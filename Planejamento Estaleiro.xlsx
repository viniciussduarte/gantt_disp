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filterPrivacy="1" codeName="EstaPastaDeTrabalho"/>
  <xr:revisionPtr revIDLastSave="0" documentId="8_{49550719-AEF1-4FE8-B73E-0FF9ABF80EEE}" xr6:coauthVersionLast="47" xr6:coauthVersionMax="47" xr10:uidLastSave="{00000000-0000-0000-0000-000000000000}"/>
  <bookViews>
    <workbookView xWindow="-110" yWindow="-110" windowWidth="19420" windowHeight="10300" firstSheet="1" activeTab="1" xr2:uid="{00000000-000D-0000-FFFF-FFFF00000000}"/>
  </bookViews>
  <sheets>
    <sheet name="Equipe" sheetId="14" r:id="rId1"/>
    <sheet name="Planejamento IED" sheetId="11" r:id="rId2"/>
    <sheet name="Planilha1" sheetId="15" r:id="rId3"/>
    <sheet name="3 Pessoas" sheetId="13" state="hidden" r:id="rId4"/>
  </sheets>
  <definedNames>
    <definedName name="_xlnm._FilterDatabase" localSheetId="0" hidden="1">Equipe!$A$1:$J$57</definedName>
    <definedName name="_xlnm._FilterDatabase" localSheetId="1" hidden="1">'Planejamento IED'!$A$6:$WS$61</definedName>
    <definedName name="Hoje" localSheetId="3">TODAY()</definedName>
    <definedName name="Hoje" localSheetId="1">TODAY()</definedName>
    <definedName name="Início_da_tarefa" localSheetId="3">'3 Pessoas'!$E1</definedName>
    <definedName name="Início_da_tarefa" localSheetId="1">'Planejamento IED'!$D1</definedName>
    <definedName name="Início_do_projeto" localSheetId="3">'3 Pessoas'!$E$3</definedName>
    <definedName name="Início_do_projeto">'Planejamento IED'!$E$3</definedName>
    <definedName name="Progresso_da_tarefa" localSheetId="3">'3 Pessoas'!$D1</definedName>
    <definedName name="Progresso_da_tarefa" localSheetId="1">'Planejamento IED'!#REF!</definedName>
    <definedName name="Semana_de_exibição" localSheetId="3">'3 Pessoas'!$E$4</definedName>
    <definedName name="Semana_de_exibição">'Planejamento IED'!$F$4</definedName>
    <definedName name="Término_da_tarefa" localSheetId="3">'3 Pessoas'!$F1</definedName>
    <definedName name="Término_da_tarefa" localSheetId="1">'Planejamento IED'!$E1</definedName>
    <definedName name="_xlnm.Print_Titles" localSheetId="3">'3 Pessoas'!$4:$6</definedName>
    <definedName name="_xlnm.Print_Titles" localSheetId="1">'Planejamento IED'!$4:$6</definedName>
  </definedNames>
  <calcPr calcId="191028" concurrentManualCount="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5" i="11" l="1"/>
  <c r="E76" i="11" l="1"/>
  <c r="E127" i="11" l="1"/>
  <c r="E122" i="11"/>
  <c r="E183" i="11"/>
  <c r="E184" i="11"/>
  <c r="G166" i="11"/>
  <c r="E165" i="11"/>
  <c r="G102" i="11"/>
  <c r="E75" i="11" l="1"/>
  <c r="D132" i="11"/>
  <c r="E87" i="11"/>
  <c r="E86" i="11" l="1"/>
  <c r="E180" i="11" l="1"/>
  <c r="E181" i="11" s="1"/>
  <c r="E62" i="11"/>
  <c r="E63" i="11"/>
  <c r="E85" i="11"/>
  <c r="E84" i="11"/>
  <c r="E83" i="11"/>
  <c r="E82" i="11"/>
  <c r="E119" i="11" l="1"/>
  <c r="E200" i="11"/>
  <c r="E201" i="11" s="1"/>
  <c r="D202" i="11" s="1"/>
  <c r="E202" i="11" s="1"/>
  <c r="D203" i="11" s="1"/>
  <c r="E203" i="11" s="1"/>
  <c r="E129" i="11" l="1"/>
  <c r="D130" i="11" s="1"/>
  <c r="E130" i="11" s="1"/>
  <c r="D131" i="11" s="1"/>
  <c r="E131" i="11" s="1"/>
  <c r="E61" i="11"/>
  <c r="E60" i="11"/>
  <c r="E59" i="11"/>
  <c r="E113" i="11"/>
  <c r="D116" i="11" s="1"/>
  <c r="E116" i="11" s="1"/>
  <c r="E74" i="11"/>
  <c r="E77" i="11"/>
  <c r="E78" i="11"/>
  <c r="E79" i="11"/>
  <c r="E80" i="11"/>
  <c r="E58" i="11"/>
  <c r="E199" i="11"/>
  <c r="E164" i="11"/>
  <c r="E163" i="11"/>
  <c r="E162" i="11"/>
  <c r="E57" i="11"/>
  <c r="E56" i="11"/>
  <c r="E55" i="11"/>
  <c r="G107" i="11" l="1"/>
  <c r="G104" i="11"/>
  <c r="E197" i="11"/>
  <c r="E198" i="11" s="1"/>
  <c r="D196" i="11" l="1"/>
  <c r="G196" i="11" s="1"/>
  <c r="G161" i="11"/>
  <c r="G100" i="11" l="1"/>
  <c r="G163" i="11"/>
  <c r="G198" i="11"/>
  <c r="G197" i="11"/>
  <c r="G162" i="11"/>
  <c r="G199" i="11" l="1"/>
  <c r="G164" i="11"/>
  <c r="E111" i="11"/>
  <c r="D114" i="11" s="1"/>
  <c r="E71" i="11"/>
  <c r="E53" i="11" l="1"/>
  <c r="E54" i="11"/>
  <c r="E72" i="11" l="1"/>
  <c r="E51" i="11"/>
  <c r="E50" i="11"/>
  <c r="E49" i="11"/>
  <c r="E48" i="11"/>
  <c r="E112" i="11" l="1"/>
  <c r="E110" i="11"/>
  <c r="E115" i="11" l="1"/>
  <c r="E45" i="11"/>
  <c r="E46" i="11"/>
  <c r="E44" i="11"/>
  <c r="E154" i="11" l="1"/>
  <c r="E153" i="11"/>
  <c r="E152" i="11"/>
  <c r="E151" i="11"/>
  <c r="E150" i="11"/>
  <c r="G97" i="11"/>
  <c r="G98" i="11"/>
  <c r="G99" i="11"/>
  <c r="G96" i="11"/>
  <c r="E149" i="11"/>
  <c r="E148" i="11"/>
  <c r="E145" i="11"/>
  <c r="E146" i="11"/>
  <c r="E143" i="11"/>
  <c r="E142" i="11"/>
  <c r="D186" i="11"/>
  <c r="G185" i="11"/>
  <c r="E73" i="11"/>
  <c r="E109" i="11"/>
  <c r="E114" i="11" s="1"/>
  <c r="E106" i="11"/>
  <c r="E139" i="11"/>
  <c r="E138" i="11"/>
  <c r="E91" i="11"/>
  <c r="G90" i="11"/>
  <c r="D140" i="11"/>
  <c r="D141" i="11" s="1"/>
  <c r="E170" i="11"/>
  <c r="D172" i="11" s="1"/>
  <c r="E169" i="11"/>
  <c r="G168" i="11"/>
  <c r="C3" i="11"/>
  <c r="D14" i="11"/>
  <c r="E14" i="11" s="1"/>
  <c r="E13" i="11"/>
  <c r="E11" i="11"/>
  <c r="E10" i="11"/>
  <c r="E66" i="11"/>
  <c r="E118" i="11" l="1"/>
  <c r="E117" i="11"/>
  <c r="D121" i="11" s="1"/>
  <c r="D108" i="11"/>
  <c r="E108" i="11" s="1"/>
  <c r="E140" i="11"/>
  <c r="E147" i="11"/>
  <c r="E144" i="11"/>
  <c r="E141" i="11"/>
  <c r="E171" i="11"/>
  <c r="E175" i="11" s="1"/>
  <c r="D16" i="11"/>
  <c r="D15" i="11" s="1"/>
  <c r="D12" i="11"/>
  <c r="D176" i="11" l="1"/>
  <c r="E176" i="11" s="1"/>
  <c r="E121" i="11"/>
  <c r="D124" i="11" s="1"/>
  <c r="E15" i="11"/>
  <c r="D17" i="11"/>
  <c r="E17" i="11" s="1"/>
  <c r="E172" i="11"/>
  <c r="D173" i="11" s="1"/>
  <c r="E173" i="11" s="1"/>
  <c r="D174" i="11" s="1"/>
  <c r="E174" i="11" s="1"/>
  <c r="D120" i="11"/>
  <c r="D18" i="11"/>
  <c r="E18" i="11" s="1"/>
  <c r="E69" i="11"/>
  <c r="E16" i="11"/>
  <c r="E12" i="11"/>
  <c r="G157" i="11"/>
  <c r="F11" i="13"/>
  <c r="E11" i="13"/>
  <c r="H31" i="13"/>
  <c r="H30" i="13"/>
  <c r="H23" i="13"/>
  <c r="H16" i="13"/>
  <c r="E9" i="13"/>
  <c r="F9" i="13" s="1"/>
  <c r="H8" i="13"/>
  <c r="H7" i="13"/>
  <c r="I5" i="13"/>
  <c r="J5" i="13" s="1"/>
  <c r="K5" i="13" s="1"/>
  <c r="C3" i="13"/>
  <c r="G7" i="11"/>
  <c r="D177" i="11" l="1"/>
  <c r="E177" i="11" s="1"/>
  <c r="D178" i="11" s="1"/>
  <c r="E178" i="11" s="1"/>
  <c r="E120" i="11"/>
  <c r="D123" i="11" s="1"/>
  <c r="E124" i="11"/>
  <c r="D19" i="11"/>
  <c r="E19" i="11" s="1"/>
  <c r="E70" i="11"/>
  <c r="I4" i="13"/>
  <c r="I6" i="13"/>
  <c r="J6" i="13"/>
  <c r="L5" i="13"/>
  <c r="K6" i="13"/>
  <c r="E182" i="11" l="1"/>
  <c r="D128" i="11"/>
  <c r="E128" i="11" s="1"/>
  <c r="E123" i="11"/>
  <c r="D20" i="11"/>
  <c r="D21" i="11" s="1"/>
  <c r="E10" i="13"/>
  <c r="F10" i="13" s="1"/>
  <c r="E12" i="13" s="1"/>
  <c r="M5" i="13"/>
  <c r="L6" i="13"/>
  <c r="H9" i="13"/>
  <c r="H5" i="11"/>
  <c r="G206" i="11"/>
  <c r="G95" i="11"/>
  <c r="G92" i="11"/>
  <c r="G65" i="11"/>
  <c r="G9" i="11"/>
  <c r="E20" i="11" l="1"/>
  <c r="E21" i="11"/>
  <c r="D22" i="11"/>
  <c r="H10" i="13"/>
  <c r="E17" i="13"/>
  <c r="F17" i="13" s="1"/>
  <c r="N5" i="13"/>
  <c r="M6" i="13"/>
  <c r="H6" i="11"/>
  <c r="E22" i="11" l="1"/>
  <c r="D23" i="11"/>
  <c r="O5" i="13"/>
  <c r="N6" i="13"/>
  <c r="H17" i="13"/>
  <c r="J5" i="11"/>
  <c r="K5" i="11" s="1"/>
  <c r="L5" i="11" s="1"/>
  <c r="M5" i="11" s="1"/>
  <c r="N5" i="11" s="1"/>
  <c r="O5" i="11" s="1"/>
  <c r="P5" i="11" s="1"/>
  <c r="H4" i="11"/>
  <c r="E23" i="11" l="1"/>
  <c r="D24" i="11"/>
  <c r="E18" i="13"/>
  <c r="F18" i="13" s="1"/>
  <c r="O6" i="13"/>
  <c r="P5" i="13"/>
  <c r="P4" i="11"/>
  <c r="Q5" i="11"/>
  <c r="R5" i="11" s="1"/>
  <c r="S5" i="11" s="1"/>
  <c r="T5" i="11" s="1"/>
  <c r="U5" i="11" s="1"/>
  <c r="V5" i="11" s="1"/>
  <c r="W5" i="11" s="1"/>
  <c r="J6" i="11"/>
  <c r="E24" i="11" l="1"/>
  <c r="D25" i="11"/>
  <c r="D26" i="11" s="1"/>
  <c r="P6" i="13"/>
  <c r="P4" i="13"/>
  <c r="Q5" i="13"/>
  <c r="E24" i="13"/>
  <c r="F24" i="13" s="1"/>
  <c r="H18" i="13"/>
  <c r="W4" i="11"/>
  <c r="X5" i="11"/>
  <c r="Y5" i="11" s="1"/>
  <c r="Z5" i="11" s="1"/>
  <c r="AA5" i="11" s="1"/>
  <c r="AB5" i="11" s="1"/>
  <c r="AC5" i="11" s="1"/>
  <c r="AD5" i="11" s="1"/>
  <c r="K6" i="11"/>
  <c r="D27" i="11" l="1"/>
  <c r="E26" i="11"/>
  <c r="E25" i="11"/>
  <c r="H24" i="13"/>
  <c r="Q6" i="13"/>
  <c r="R5" i="13"/>
  <c r="AE5" i="11"/>
  <c r="AF5" i="11" s="1"/>
  <c r="AG5" i="11" s="1"/>
  <c r="AH5" i="11" s="1"/>
  <c r="AI5" i="11" s="1"/>
  <c r="AJ5" i="11" s="1"/>
  <c r="AD4" i="11"/>
  <c r="L6" i="11"/>
  <c r="D28" i="11" l="1"/>
  <c r="E27" i="11"/>
  <c r="R6" i="13"/>
  <c r="S5" i="13"/>
  <c r="E25" i="13"/>
  <c r="F25" i="13" s="1"/>
  <c r="AK5" i="11"/>
  <c r="AL5" i="11" s="1"/>
  <c r="AM5" i="11" s="1"/>
  <c r="AN5" i="11" s="1"/>
  <c r="AO5" i="11" s="1"/>
  <c r="AP5" i="11" s="1"/>
  <c r="AQ5" i="11" s="1"/>
  <c r="M6" i="11"/>
  <c r="E28" i="11" l="1"/>
  <c r="D29" i="11"/>
  <c r="F12" i="13"/>
  <c r="H25" i="13"/>
  <c r="T5" i="13"/>
  <c r="S6" i="13"/>
  <c r="AR5" i="11"/>
  <c r="AS5" i="11" s="1"/>
  <c r="AK4" i="11"/>
  <c r="N6" i="11"/>
  <c r="D30" i="11" l="1"/>
  <c r="E29" i="11"/>
  <c r="U5" i="13"/>
  <c r="T6" i="13"/>
  <c r="AT5" i="11"/>
  <c r="AS6" i="11"/>
  <c r="AR4" i="11"/>
  <c r="O6" i="11"/>
  <c r="E30" i="11" l="1"/>
  <c r="D31" i="11"/>
  <c r="V5" i="13"/>
  <c r="U6" i="13"/>
  <c r="AU5" i="11"/>
  <c r="AT6" i="11"/>
  <c r="E31" i="11" l="1"/>
  <c r="D32" i="11"/>
  <c r="W5" i="13"/>
  <c r="V6" i="13"/>
  <c r="AV5" i="11"/>
  <c r="AU6" i="11"/>
  <c r="P6" i="11"/>
  <c r="Q6" i="11"/>
  <c r="E32" i="11" l="1"/>
  <c r="D33" i="11"/>
  <c r="W6" i="13"/>
  <c r="X5" i="13"/>
  <c r="W4" i="13"/>
  <c r="AW5" i="11"/>
  <c r="AV6" i="11"/>
  <c r="R6" i="11"/>
  <c r="D34" i="11" l="1"/>
  <c r="D35" i="11" s="1"/>
  <c r="E33" i="11"/>
  <c r="X6" i="13"/>
  <c r="Y5" i="13"/>
  <c r="AX5" i="11"/>
  <c r="AY5" i="11" s="1"/>
  <c r="AW6" i="11"/>
  <c r="S6" i="11"/>
  <c r="E34" i="11" l="1"/>
  <c r="Y6" i="13"/>
  <c r="Z5" i="13"/>
  <c r="AY6" i="11"/>
  <c r="AZ5" i="11"/>
  <c r="AY4" i="11"/>
  <c r="AX6" i="11"/>
  <c r="T6" i="11"/>
  <c r="E35" i="11" l="1"/>
  <c r="D36" i="11"/>
  <c r="Z6" i="13"/>
  <c r="AA5" i="13"/>
  <c r="BA5" i="11"/>
  <c r="AZ6" i="11"/>
  <c r="U6" i="11"/>
  <c r="E36" i="11" l="1"/>
  <c r="D37" i="11"/>
  <c r="AA6" i="13"/>
  <c r="AB5" i="13"/>
  <c r="BA6" i="11"/>
  <c r="BB5" i="11"/>
  <c r="V6" i="11"/>
  <c r="D38" i="11" l="1"/>
  <c r="E37" i="11"/>
  <c r="AB6" i="13"/>
  <c r="AC5" i="13"/>
  <c r="BB6" i="11"/>
  <c r="BC5" i="11"/>
  <c r="W6" i="11"/>
  <c r="E38" i="11" l="1"/>
  <c r="D39" i="11"/>
  <c r="AD5" i="13"/>
  <c r="AC6" i="13"/>
  <c r="BC6" i="11"/>
  <c r="BD5" i="11"/>
  <c r="X6" i="11"/>
  <c r="E39" i="11" l="1"/>
  <c r="D40" i="11"/>
  <c r="D41" i="11" s="1"/>
  <c r="AE5" i="13"/>
  <c r="AD4" i="13"/>
  <c r="AD6" i="13"/>
  <c r="BE5" i="11"/>
  <c r="BD6" i="11"/>
  <c r="Y6" i="11"/>
  <c r="E40" i="11" l="1"/>
  <c r="AE6" i="13"/>
  <c r="AF5" i="13"/>
  <c r="BE6" i="11"/>
  <c r="BF5" i="11"/>
  <c r="Z6" i="11"/>
  <c r="E41" i="11" l="1"/>
  <c r="AF6" i="13"/>
  <c r="AG5" i="13"/>
  <c r="BF6" i="11"/>
  <c r="BG5" i="11"/>
  <c r="BF4" i="11"/>
  <c r="AA6" i="11"/>
  <c r="E42" i="11" l="1"/>
  <c r="AH5" i="13"/>
  <c r="AG6" i="13"/>
  <c r="BG6" i="11"/>
  <c r="BH5" i="11"/>
  <c r="AB6" i="11"/>
  <c r="E47" i="11" l="1"/>
  <c r="E43" i="11"/>
  <c r="AI5" i="13"/>
  <c r="AH6" i="13"/>
  <c r="BI5" i="11"/>
  <c r="BH6" i="11"/>
  <c r="AC6" i="11"/>
  <c r="AI6" i="13" l="1"/>
  <c r="AJ5" i="13"/>
  <c r="BJ5" i="11"/>
  <c r="BI6" i="11"/>
  <c r="AD6" i="11"/>
  <c r="AJ6" i="13" l="1"/>
  <c r="AK5" i="13"/>
  <c r="BK5" i="11"/>
  <c r="BJ6" i="11"/>
  <c r="AE6" i="11"/>
  <c r="AL5" i="13" l="1"/>
  <c r="AK6" i="13"/>
  <c r="AK4" i="13"/>
  <c r="BL5" i="11"/>
  <c r="BM5" i="11" s="1"/>
  <c r="BK6" i="11"/>
  <c r="AF6" i="11"/>
  <c r="AM5" i="13" l="1"/>
  <c r="AL6" i="13"/>
  <c r="BM4" i="11"/>
  <c r="BN5" i="11"/>
  <c r="BM6" i="11"/>
  <c r="BL6" i="11"/>
  <c r="AG6" i="11"/>
  <c r="AM6" i="13" l="1"/>
  <c r="AN5" i="13"/>
  <c r="BN6" i="11"/>
  <c r="BO5" i="11"/>
  <c r="AH6" i="11"/>
  <c r="AN6" i="13" l="1"/>
  <c r="AO5" i="13"/>
  <c r="BO6" i="11"/>
  <c r="BP5" i="11"/>
  <c r="AI6" i="11"/>
  <c r="AP5" i="13" l="1"/>
  <c r="AO6" i="13"/>
  <c r="BP6" i="11"/>
  <c r="BQ5" i="11"/>
  <c r="AJ6" i="11"/>
  <c r="AQ5" i="13" l="1"/>
  <c r="AP6" i="13"/>
  <c r="BR5" i="11"/>
  <c r="BQ6" i="11"/>
  <c r="AK6" i="11"/>
  <c r="AR5" i="13" l="1"/>
  <c r="AQ6" i="13"/>
  <c r="BR6" i="11"/>
  <c r="BS5" i="11"/>
  <c r="AL6" i="11"/>
  <c r="AS5" i="13" l="1"/>
  <c r="AR4" i="13"/>
  <c r="AR6" i="13"/>
  <c r="BS6" i="11"/>
  <c r="BT5" i="11"/>
  <c r="AM6" i="11"/>
  <c r="AT5" i="13" l="1"/>
  <c r="AS6" i="13"/>
  <c r="BU5" i="11"/>
  <c r="BT6" i="11"/>
  <c r="BT4" i="11"/>
  <c r="AN6" i="11"/>
  <c r="AU5" i="13" l="1"/>
  <c r="AT6" i="13"/>
  <c r="BU6" i="11"/>
  <c r="BV5" i="11"/>
  <c r="AO6" i="11"/>
  <c r="AU6" i="13" l="1"/>
  <c r="AV5" i="13"/>
  <c r="BV6" i="11"/>
  <c r="BW5" i="11"/>
  <c r="AP6" i="11"/>
  <c r="AV6" i="13" l="1"/>
  <c r="AW5" i="13"/>
  <c r="BW6" i="11"/>
  <c r="BX5" i="11"/>
  <c r="AQ6" i="11"/>
  <c r="AX5" i="13" l="1"/>
  <c r="AW6" i="13"/>
  <c r="BY5" i="11"/>
  <c r="BX6" i="11"/>
  <c r="AR6" i="11"/>
  <c r="AX6" i="13" l="1"/>
  <c r="AY5" i="13"/>
  <c r="BZ5" i="11"/>
  <c r="BY6" i="11"/>
  <c r="AY4" i="13" l="1"/>
  <c r="AZ5" i="13"/>
  <c r="AY6" i="13"/>
  <c r="BZ6" i="11"/>
  <c r="CA5" i="11"/>
  <c r="BA5" i="13" l="1"/>
  <c r="AZ6" i="13"/>
  <c r="CA4" i="11"/>
  <c r="CA6" i="11"/>
  <c r="CB5" i="11"/>
  <c r="BB5" i="13" l="1"/>
  <c r="BA6" i="13"/>
  <c r="CB6" i="11"/>
  <c r="CC5" i="11"/>
  <c r="BC5" i="13" l="1"/>
  <c r="BB6" i="13"/>
  <c r="CC6" i="11"/>
  <c r="CD5" i="11"/>
  <c r="BC6" i="13" l="1"/>
  <c r="BD5" i="13"/>
  <c r="CD6" i="11"/>
  <c r="CE5" i="11"/>
  <c r="BD6" i="13" l="1"/>
  <c r="BE5" i="13"/>
  <c r="CE6" i="11"/>
  <c r="CF5" i="11"/>
  <c r="BE6" i="13" l="1"/>
  <c r="BF5" i="13"/>
  <c r="CG5" i="11"/>
  <c r="CF6" i="11"/>
  <c r="BF4" i="13" l="1"/>
  <c r="BF6" i="13"/>
  <c r="BG5" i="13"/>
  <c r="CH5" i="11"/>
  <c r="CG6" i="11"/>
  <c r="BG6" i="13" l="1"/>
  <c r="BH5" i="13"/>
  <c r="CH4" i="11"/>
  <c r="CI5" i="11"/>
  <c r="CH6" i="11"/>
  <c r="BH6" i="13" l="1"/>
  <c r="BI5" i="13"/>
  <c r="CJ5" i="11"/>
  <c r="CI6" i="11"/>
  <c r="BJ5" i="13" l="1"/>
  <c r="BI6" i="13"/>
  <c r="CJ6" i="11"/>
  <c r="CK5" i="11"/>
  <c r="BK5" i="13" l="1"/>
  <c r="BJ6" i="13"/>
  <c r="CK6" i="11"/>
  <c r="CL5" i="11"/>
  <c r="BK6" i="13" l="1"/>
  <c r="BL5" i="13"/>
  <c r="CL6" i="11"/>
  <c r="CM5" i="11"/>
  <c r="BL6" i="13" l="1"/>
  <c r="BM5" i="13"/>
  <c r="CN5" i="11"/>
  <c r="CM6" i="11"/>
  <c r="BN5" i="13" l="1"/>
  <c r="BM6" i="13"/>
  <c r="BM4" i="13"/>
  <c r="CN6" i="11"/>
  <c r="CO5" i="11"/>
  <c r="BO5" i="13" l="1"/>
  <c r="BN6" i="13"/>
  <c r="CO4" i="11"/>
  <c r="CP5" i="11"/>
  <c r="CO6" i="11"/>
  <c r="BO6" i="13" l="1"/>
  <c r="BP5" i="13"/>
  <c r="CP6" i="11"/>
  <c r="CQ5" i="11"/>
  <c r="BP6" i="13" l="1"/>
  <c r="BQ5" i="13"/>
  <c r="CR5" i="11"/>
  <c r="CQ6" i="11"/>
  <c r="BR5" i="13" l="1"/>
  <c r="BQ6" i="13"/>
  <c r="CR6" i="11"/>
  <c r="CS5" i="11"/>
  <c r="BS5" i="13" l="1"/>
  <c r="BR6" i="13"/>
  <c r="CS6" i="11"/>
  <c r="CT5" i="11"/>
  <c r="BS6" i="13" l="1"/>
  <c r="BT5" i="13"/>
  <c r="CT6" i="11"/>
  <c r="CU5" i="11"/>
  <c r="BT6" i="13" l="1"/>
  <c r="BU5" i="13"/>
  <c r="BT4" i="13"/>
  <c r="CV5" i="11"/>
  <c r="CU6" i="11"/>
  <c r="BV5" i="13" l="1"/>
  <c r="BU6" i="13"/>
  <c r="CV6" i="11"/>
  <c r="CW5" i="11"/>
  <c r="CV4" i="11"/>
  <c r="BW5" i="13" l="1"/>
  <c r="BV6" i="13"/>
  <c r="CX5" i="11"/>
  <c r="CW6" i="11"/>
  <c r="BX5" i="13" l="1"/>
  <c r="BW6" i="13"/>
  <c r="CY5" i="11"/>
  <c r="CX6" i="11"/>
  <c r="BY5" i="13" l="1"/>
  <c r="BX6" i="13"/>
  <c r="CY6" i="11"/>
  <c r="CZ5" i="11"/>
  <c r="BZ5" i="13" l="1"/>
  <c r="BY6" i="13"/>
  <c r="CZ6" i="11"/>
  <c r="DA5" i="11"/>
  <c r="CA5" i="13" l="1"/>
  <c r="BZ6" i="13"/>
  <c r="DB5" i="11"/>
  <c r="DA6" i="11"/>
  <c r="CA6" i="13" l="1"/>
  <c r="CA4" i="13"/>
  <c r="CB5" i="13"/>
  <c r="DB6" i="11"/>
  <c r="DC5" i="11"/>
  <c r="CB6" i="13" l="1"/>
  <c r="CC5" i="13"/>
  <c r="DD5" i="11"/>
  <c r="DC6" i="11"/>
  <c r="DC4" i="11"/>
  <c r="CC6" i="13" l="1"/>
  <c r="CD5" i="13"/>
  <c r="DD6" i="11"/>
  <c r="DE5" i="11"/>
  <c r="CD6" i="13" l="1"/>
  <c r="CE5" i="13"/>
  <c r="DF5" i="11"/>
  <c r="DE6" i="11"/>
  <c r="CF5" i="13" l="1"/>
  <c r="CE6" i="13"/>
  <c r="DG5" i="11"/>
  <c r="DF6" i="11"/>
  <c r="CG5" i="13" l="1"/>
  <c r="CF6" i="13"/>
  <c r="DG6" i="11"/>
  <c r="DH5" i="11"/>
  <c r="CH5" i="13" l="1"/>
  <c r="CG6" i="13"/>
  <c r="DH6" i="11"/>
  <c r="DI5" i="11"/>
  <c r="CI5" i="13" l="1"/>
  <c r="CH6" i="13"/>
  <c r="CH4" i="13"/>
  <c r="DI6" i="11"/>
  <c r="DJ5" i="11"/>
  <c r="CI6" i="13" l="1"/>
  <c r="CJ5" i="13"/>
  <c r="DJ4" i="11"/>
  <c r="DJ6" i="11"/>
  <c r="DK5" i="11"/>
  <c r="CJ6" i="13" l="1"/>
  <c r="CK5" i="13"/>
  <c r="DK6" i="11"/>
  <c r="DL5" i="11"/>
  <c r="CK6" i="13" l="1"/>
  <c r="CL5" i="13"/>
  <c r="DM5" i="11"/>
  <c r="DL6" i="11"/>
  <c r="CL6" i="13" l="1"/>
  <c r="CM5" i="13"/>
  <c r="DN5" i="11"/>
  <c r="DM6" i="11"/>
  <c r="CN5" i="13" l="1"/>
  <c r="CM6" i="13"/>
  <c r="DN6" i="11"/>
  <c r="DO5" i="11"/>
  <c r="CN6" i="13" l="1"/>
  <c r="CO5" i="13"/>
  <c r="DO6" i="11"/>
  <c r="DP5" i="11"/>
  <c r="CP5" i="13" l="1"/>
  <c r="CO4" i="13"/>
  <c r="CO6" i="13"/>
  <c r="DP6" i="11"/>
  <c r="DQ5" i="11"/>
  <c r="CQ5" i="13" l="1"/>
  <c r="CP6" i="13"/>
  <c r="DQ4" i="11"/>
  <c r="DR5" i="11"/>
  <c r="DQ6" i="11"/>
  <c r="CQ6" i="13" l="1"/>
  <c r="CR5" i="13"/>
  <c r="DR6" i="11"/>
  <c r="DS5" i="11"/>
  <c r="CR6" i="13" l="1"/>
  <c r="CS5" i="13"/>
  <c r="DS6" i="11"/>
  <c r="DT5" i="11"/>
  <c r="CS6" i="13" l="1"/>
  <c r="CT5" i="13"/>
  <c r="DT6" i="11"/>
  <c r="DU5" i="11"/>
  <c r="CU5" i="13" l="1"/>
  <c r="CT6" i="13"/>
  <c r="DV5" i="11"/>
  <c r="DU6" i="11"/>
  <c r="CU6" i="13" l="1"/>
  <c r="CV5" i="13"/>
  <c r="DV6" i="11"/>
  <c r="DW5" i="11"/>
  <c r="CV4" i="13" l="1"/>
  <c r="CV6" i="13"/>
  <c r="CW5" i="13"/>
  <c r="DX5" i="11"/>
  <c r="DW6" i="11"/>
  <c r="CX5" i="13" l="1"/>
  <c r="CW6" i="13"/>
  <c r="DX4" i="11"/>
  <c r="DY5" i="11"/>
  <c r="DX6" i="11"/>
  <c r="CY5" i="13" l="1"/>
  <c r="CX6" i="13"/>
  <c r="DY6" i="11"/>
  <c r="DZ5" i="11"/>
  <c r="EA5" i="11" s="1"/>
  <c r="EA6" i="11" s="1"/>
  <c r="CY6" i="13" l="1"/>
  <c r="CZ5" i="13"/>
  <c r="DZ6" i="11"/>
  <c r="CZ6" i="13" l="1"/>
  <c r="DA5" i="13"/>
  <c r="EB5" i="11"/>
  <c r="DB5" i="13" l="1"/>
  <c r="DA6" i="13"/>
  <c r="EB6" i="11"/>
  <c r="EC5" i="11"/>
  <c r="DC5" i="13" l="1"/>
  <c r="DB6" i="13"/>
  <c r="EC6" i="11"/>
  <c r="ED5" i="11"/>
  <c r="DC4" i="13" l="1"/>
  <c r="DD5" i="13"/>
  <c r="DC6" i="13"/>
  <c r="ED6" i="11"/>
  <c r="EE5" i="11"/>
  <c r="DE5" i="13" l="1"/>
  <c r="DD6" i="13"/>
  <c r="EE4" i="11"/>
  <c r="EF5" i="11"/>
  <c r="EE6" i="11"/>
  <c r="DF5" i="13" l="1"/>
  <c r="DE6" i="13"/>
  <c r="EG5" i="11"/>
  <c r="EF6" i="11"/>
  <c r="DG5" i="13" l="1"/>
  <c r="DF6" i="13"/>
  <c r="EG6" i="11"/>
  <c r="EH5" i="11"/>
  <c r="DG6" i="13" l="1"/>
  <c r="DH5" i="13"/>
  <c r="EH6" i="11"/>
  <c r="EI5" i="11"/>
  <c r="DH6" i="13" l="1"/>
  <c r="DI5" i="13"/>
  <c r="EJ5" i="11"/>
  <c r="EI6" i="11"/>
  <c r="DI6" i="13" l="1"/>
  <c r="DJ5" i="13"/>
  <c r="EJ6" i="11"/>
  <c r="EK5" i="11"/>
  <c r="DJ4" i="13" l="1"/>
  <c r="DJ6" i="13"/>
  <c r="DK5" i="13"/>
  <c r="EK6" i="11"/>
  <c r="EL5" i="11"/>
  <c r="DL5" i="13" l="1"/>
  <c r="DK6" i="13"/>
  <c r="EL4" i="11"/>
  <c r="EM5" i="11"/>
  <c r="EL6" i="11"/>
  <c r="DM5" i="13" l="1"/>
  <c r="DL6" i="13"/>
  <c r="EM6" i="11"/>
  <c r="EN5" i="11"/>
  <c r="DN5" i="13" l="1"/>
  <c r="DM6" i="13"/>
  <c r="EN6" i="11"/>
  <c r="EO5" i="11"/>
  <c r="DO5" i="13" l="1"/>
  <c r="DN6" i="13"/>
  <c r="EO6" i="11"/>
  <c r="EP5" i="11"/>
  <c r="DO6" i="13" l="1"/>
  <c r="DP5" i="13"/>
  <c r="EQ5" i="11"/>
  <c r="EP6" i="11"/>
  <c r="DP6" i="13" l="1"/>
  <c r="DQ5" i="13"/>
  <c r="ER5" i="11"/>
  <c r="EQ6" i="11"/>
  <c r="DQ4" i="13" l="1"/>
  <c r="DQ6" i="13"/>
  <c r="DR5" i="13"/>
  <c r="ES5" i="11"/>
  <c r="ER6" i="11"/>
  <c r="DR6" i="13" l="1"/>
  <c r="DS5" i="13"/>
  <c r="ES4" i="11"/>
  <c r="ET5" i="11"/>
  <c r="ES6" i="11"/>
  <c r="DS6" i="13" l="1"/>
  <c r="DT5" i="13"/>
  <c r="EU5" i="11"/>
  <c r="ET6" i="11"/>
  <c r="DT6" i="13" l="1"/>
  <c r="DU5" i="13"/>
  <c r="EU6" i="11"/>
  <c r="EV5" i="11"/>
  <c r="DV5" i="13" l="1"/>
  <c r="DU6" i="13"/>
  <c r="EV6" i="11"/>
  <c r="EW5" i="11"/>
  <c r="DW5" i="13" l="1"/>
  <c r="DV6" i="13"/>
  <c r="EX5" i="11"/>
  <c r="EW6" i="11"/>
  <c r="DW6" i="13" l="1"/>
  <c r="DX5" i="13"/>
  <c r="EX6" i="11"/>
  <c r="EY5" i="11"/>
  <c r="DX6" i="13" l="1"/>
  <c r="DX4" i="13"/>
  <c r="DY5" i="13"/>
  <c r="EY6" i="11"/>
  <c r="EZ5" i="11"/>
  <c r="DZ5" i="13" l="1"/>
  <c r="DY6" i="13"/>
  <c r="EZ4" i="11"/>
  <c r="EZ6" i="11"/>
  <c r="FA5" i="11"/>
  <c r="EA5" i="13" l="1"/>
  <c r="DZ6" i="13"/>
  <c r="FA6" i="11"/>
  <c r="FB5" i="11"/>
  <c r="EA6" i="13" l="1"/>
  <c r="EB5" i="13"/>
  <c r="FB6" i="11"/>
  <c r="FC5" i="11"/>
  <c r="EB6" i="13" l="1"/>
  <c r="EC5" i="13"/>
  <c r="FC6" i="11"/>
  <c r="FD5" i="11"/>
  <c r="ED5" i="13" l="1"/>
  <c r="EC6" i="13"/>
  <c r="FD6" i="11"/>
  <c r="FE5" i="11"/>
  <c r="EE5" i="13" l="1"/>
  <c r="ED6" i="13"/>
  <c r="FF5" i="11"/>
  <c r="FE6" i="11"/>
  <c r="EE6" i="13" l="1"/>
  <c r="EF5" i="13"/>
  <c r="EE4" i="13"/>
  <c r="FF6" i="11"/>
  <c r="FG5" i="11"/>
  <c r="EF6" i="13" l="1"/>
  <c r="EG5" i="13"/>
  <c r="FG4" i="11"/>
  <c r="FG6" i="11"/>
  <c r="FH5" i="11"/>
  <c r="EH5" i="13" l="1"/>
  <c r="EG6" i="13"/>
  <c r="FI5" i="11"/>
  <c r="FH6" i="11"/>
  <c r="EI5" i="13" l="1"/>
  <c r="EH6" i="13"/>
  <c r="FI6" i="11"/>
  <c r="FJ5" i="11"/>
  <c r="EJ5" i="13" l="1"/>
  <c r="EI6" i="13"/>
  <c r="FJ6" i="11"/>
  <c r="FK5" i="11"/>
  <c r="EK5" i="13" l="1"/>
  <c r="EJ6" i="13"/>
  <c r="FL5" i="11"/>
  <c r="FK6" i="11"/>
  <c r="EL5" i="13" l="1"/>
  <c r="EK6" i="13"/>
  <c r="FL6" i="11"/>
  <c r="FM5" i="11"/>
  <c r="EM5" i="13" l="1"/>
  <c r="EL6" i="13"/>
  <c r="EL4" i="13"/>
  <c r="FM6" i="11"/>
  <c r="FN5" i="11"/>
  <c r="EM6" i="13" l="1"/>
  <c r="EN5" i="13"/>
  <c r="FN4" i="11"/>
  <c r="FN6" i="11"/>
  <c r="FO5" i="11"/>
  <c r="EN6" i="13" l="1"/>
  <c r="EO5" i="13"/>
  <c r="FO6" i="11"/>
  <c r="FP5" i="11"/>
  <c r="EO6" i="13" l="1"/>
  <c r="EP5" i="13"/>
  <c r="FQ5" i="11"/>
  <c r="FP6" i="11"/>
  <c r="EP6" i="13" l="1"/>
  <c r="EQ5" i="13"/>
  <c r="FQ6" i="11"/>
  <c r="FR5" i="11"/>
  <c r="ER5" i="13" l="1"/>
  <c r="EQ6" i="13"/>
  <c r="FR6" i="11"/>
  <c r="FS5" i="11"/>
  <c r="ES5" i="13" l="1"/>
  <c r="ER6" i="13"/>
  <c r="FT5" i="11"/>
  <c r="FS6" i="11"/>
  <c r="ET5" i="13" l="1"/>
  <c r="ES6" i="13"/>
  <c r="ES4" i="13"/>
  <c r="FU5" i="11"/>
  <c r="FT6" i="11"/>
  <c r="EU5" i="13" l="1"/>
  <c r="ET6" i="13"/>
  <c r="FU4" i="11"/>
  <c r="FV5" i="11"/>
  <c r="FU6" i="11"/>
  <c r="EU6" i="13" l="1"/>
  <c r="EV5" i="13"/>
  <c r="FW5" i="11"/>
  <c r="FV6" i="11"/>
  <c r="EV6" i="13" l="1"/>
  <c r="EW5" i="13"/>
  <c r="FW6" i="11"/>
  <c r="FX5" i="11"/>
  <c r="EW6" i="13" l="1"/>
  <c r="EX5" i="13"/>
  <c r="FX6" i="11"/>
  <c r="FY5" i="11"/>
  <c r="EX6" i="13" l="1"/>
  <c r="EY5" i="13"/>
  <c r="FY6" i="11"/>
  <c r="FZ5" i="11"/>
  <c r="EY6" i="13" l="1"/>
  <c r="EZ5" i="13"/>
  <c r="FZ6" i="11"/>
  <c r="GA5" i="11"/>
  <c r="GA6" i="11" s="1"/>
  <c r="EZ6" i="13" l="1"/>
  <c r="FA5" i="13"/>
  <c r="EZ4" i="13"/>
  <c r="GB5" i="11"/>
  <c r="FB5" i="13" l="1"/>
  <c r="FA6" i="13"/>
  <c r="GC5" i="11"/>
  <c r="GB4" i="11"/>
  <c r="GB6" i="11"/>
  <c r="FC5" i="13" l="1"/>
  <c r="FB6" i="13"/>
  <c r="GC6" i="11"/>
  <c r="GD5" i="11"/>
  <c r="FC6" i="13" l="1"/>
  <c r="FD5" i="13"/>
  <c r="GE5" i="11"/>
  <c r="GD6" i="11"/>
  <c r="FD6" i="13" l="1"/>
  <c r="FE5" i="13"/>
  <c r="GE6" i="11"/>
  <c r="GF5" i="11"/>
  <c r="FF5" i="13" l="1"/>
  <c r="FE6" i="13"/>
  <c r="GG5" i="11"/>
  <c r="GF6" i="11"/>
  <c r="FG5" i="13" l="1"/>
  <c r="FF6" i="13"/>
  <c r="GH5" i="11"/>
  <c r="GH6" i="11" s="1"/>
  <c r="GG6" i="11"/>
  <c r="FG4" i="13" l="1"/>
  <c r="FG6" i="13"/>
  <c r="FH5" i="13"/>
  <c r="GI5" i="11"/>
  <c r="FH6" i="13" l="1"/>
  <c r="FI5" i="13"/>
  <c r="GI4" i="11"/>
  <c r="GJ5" i="11"/>
  <c r="GI6" i="11"/>
  <c r="FJ5" i="13" l="1"/>
  <c r="FI6" i="13"/>
  <c r="GK5" i="11"/>
  <c r="GJ6" i="11"/>
  <c r="FK5" i="13" l="1"/>
  <c r="FJ6" i="13"/>
  <c r="GK6" i="11"/>
  <c r="GL5" i="11"/>
  <c r="FK6" i="13" l="1"/>
  <c r="FL5" i="13"/>
  <c r="GM5" i="11"/>
  <c r="GL6" i="11"/>
  <c r="FL6" i="13" l="1"/>
  <c r="FM5" i="13"/>
  <c r="GN5" i="11"/>
  <c r="GM6" i="11"/>
  <c r="FN5" i="13" l="1"/>
  <c r="FM6" i="13"/>
  <c r="GN6" i="11"/>
  <c r="GO5" i="11"/>
  <c r="GO6" i="11" l="1"/>
  <c r="GP5" i="11"/>
  <c r="FN4" i="13"/>
  <c r="FO5" i="13"/>
  <c r="FN6" i="13"/>
  <c r="GP4" i="11" l="1"/>
  <c r="GQ5" i="11"/>
  <c r="GP6" i="11"/>
  <c r="FP5" i="13"/>
  <c r="FO6" i="13"/>
  <c r="GR5" i="11" l="1"/>
  <c r="GQ6" i="11"/>
  <c r="FQ5" i="13"/>
  <c r="FP6" i="13"/>
  <c r="GS5" i="11" l="1"/>
  <c r="GR6" i="11"/>
  <c r="FR5" i="13"/>
  <c r="FQ6" i="13"/>
  <c r="GS6" i="11" l="1"/>
  <c r="GT5" i="11"/>
  <c r="FS5" i="13"/>
  <c r="FR6" i="13"/>
  <c r="GU5" i="11" l="1"/>
  <c r="GT6" i="11"/>
  <c r="FS6" i="13"/>
  <c r="FT5" i="13"/>
  <c r="GV5" i="11" l="1"/>
  <c r="GU6" i="11"/>
  <c r="FT6" i="13"/>
  <c r="FU5" i="13"/>
  <c r="GV6" i="11" l="1"/>
  <c r="GW5" i="11"/>
  <c r="FU6" i="13"/>
  <c r="FU4" i="13"/>
  <c r="FV5" i="13"/>
  <c r="GX5" i="11" l="1"/>
  <c r="GW6" i="11"/>
  <c r="GW4" i="11"/>
  <c r="FV6" i="13"/>
  <c r="FW5" i="13"/>
  <c r="GX6" i="11" l="1"/>
  <c r="GY5" i="11"/>
  <c r="FX5" i="13"/>
  <c r="FW6" i="13"/>
  <c r="GZ5" i="11" l="1"/>
  <c r="GY6" i="11"/>
  <c r="FY5" i="13"/>
  <c r="FX6" i="13"/>
  <c r="HA5" i="11" l="1"/>
  <c r="GZ6" i="11"/>
  <c r="FZ5" i="13"/>
  <c r="FY6" i="13"/>
  <c r="HB5" i="11" l="1"/>
  <c r="HA6" i="11"/>
  <c r="GA5" i="13"/>
  <c r="FZ6" i="13"/>
  <c r="HC5" i="11" l="1"/>
  <c r="HB6" i="11"/>
  <c r="GA6" i="13"/>
  <c r="GB5" i="13"/>
  <c r="HD5" i="11" l="1"/>
  <c r="HC6" i="11"/>
  <c r="GB6" i="13"/>
  <c r="GC5" i="13"/>
  <c r="GB4" i="13"/>
  <c r="HE5" i="11" l="1"/>
  <c r="HD6" i="11"/>
  <c r="HD4" i="11"/>
  <c r="GC6" i="13"/>
  <c r="GD5" i="13"/>
  <c r="HE6" i="11" l="1"/>
  <c r="HF5" i="11"/>
  <c r="GD6" i="13"/>
  <c r="GE5" i="13"/>
  <c r="HF6" i="11" l="1"/>
  <c r="HG5" i="11"/>
  <c r="GF5" i="13"/>
  <c r="GE6" i="13"/>
  <c r="HG6" i="11" l="1"/>
  <c r="HH5" i="11"/>
  <c r="GF6" i="13"/>
  <c r="GG5" i="13"/>
  <c r="HH6" i="11" l="1"/>
  <c r="HI5" i="11"/>
  <c r="GH5" i="13"/>
  <c r="GG6" i="13"/>
  <c r="HJ5" i="11" l="1"/>
  <c r="HI6" i="11"/>
  <c r="GI5" i="13"/>
  <c r="GH6" i="13"/>
  <c r="HJ6" i="11" l="1"/>
  <c r="HK5" i="11"/>
  <c r="GI6" i="13"/>
  <c r="GI4" i="13"/>
  <c r="GJ5" i="13"/>
  <c r="HK6" i="11" l="1"/>
  <c r="HL5" i="11"/>
  <c r="HK4" i="11"/>
  <c r="GJ6" i="13"/>
  <c r="GK5" i="13"/>
  <c r="HM5" i="11" l="1"/>
  <c r="HL6" i="11"/>
  <c r="GL5" i="13"/>
  <c r="GK6" i="13"/>
  <c r="HN5" i="11" l="1"/>
  <c r="HM6" i="11"/>
  <c r="GM5" i="13"/>
  <c r="GL6" i="13"/>
  <c r="HN6" i="11" l="1"/>
  <c r="HO5" i="11"/>
  <c r="GM6" i="13"/>
  <c r="GN5" i="13"/>
  <c r="HO6" i="11" l="1"/>
  <c r="HP5" i="11"/>
  <c r="GN6" i="13"/>
  <c r="GO5" i="13"/>
  <c r="HQ5" i="11" l="1"/>
  <c r="HP6" i="11"/>
  <c r="GP5" i="13"/>
  <c r="GO6" i="13"/>
  <c r="HQ6" i="11" l="1"/>
  <c r="HR5" i="11"/>
  <c r="GQ5" i="13"/>
  <c r="GP6" i="13"/>
  <c r="GP4" i="13"/>
  <c r="HR6" i="11" l="1"/>
  <c r="HR4" i="11"/>
  <c r="HS5" i="11"/>
  <c r="GQ6" i="13"/>
  <c r="GR5" i="13"/>
  <c r="HS6" i="11" l="1"/>
  <c r="HT5" i="11"/>
  <c r="GR6" i="13"/>
  <c r="GS5" i="13"/>
  <c r="HU5" i="11" l="1"/>
  <c r="HT6" i="11"/>
  <c r="GS6" i="13"/>
  <c r="GT5" i="13"/>
  <c r="HV5" i="11" l="1"/>
  <c r="HU6" i="11"/>
  <c r="GU5" i="13"/>
  <c r="GT6" i="13"/>
  <c r="HV6" i="11" l="1"/>
  <c r="HW5" i="11"/>
  <c r="GV5" i="13"/>
  <c r="GU6" i="13"/>
  <c r="HX5" i="11" l="1"/>
  <c r="HW6" i="11"/>
  <c r="GW5" i="13"/>
  <c r="GV6" i="13"/>
  <c r="HY5" i="11" l="1"/>
  <c r="HX6" i="11"/>
  <c r="GX5" i="13"/>
  <c r="GW6" i="13"/>
  <c r="GW4" i="13"/>
  <c r="HY6" i="11" l="1"/>
  <c r="HY4" i="11"/>
  <c r="HZ5" i="11"/>
  <c r="GY5" i="13"/>
  <c r="GX6" i="13"/>
  <c r="IA5" i="11" l="1"/>
  <c r="HZ6" i="11"/>
  <c r="GY6" i="13"/>
  <c r="GZ5" i="13"/>
  <c r="IB5" i="11" l="1"/>
  <c r="IA6" i="11"/>
  <c r="GZ6" i="13"/>
  <c r="HA5" i="13"/>
  <c r="IB6" i="11" l="1"/>
  <c r="IC5" i="11"/>
  <c r="HB5" i="13"/>
  <c r="HA6" i="13"/>
  <c r="ID5" i="11" l="1"/>
  <c r="IC6" i="11"/>
  <c r="HB6" i="13"/>
  <c r="HC5" i="13"/>
  <c r="ID6" i="11" l="1"/>
  <c r="IE5" i="11"/>
  <c r="HC6" i="13"/>
  <c r="HD5" i="13"/>
  <c r="IE6" i="11" l="1"/>
  <c r="IF5" i="11"/>
  <c r="HD6" i="13"/>
  <c r="HE5" i="13"/>
  <c r="HD4" i="13"/>
  <c r="IG5" i="11" l="1"/>
  <c r="IF6" i="11"/>
  <c r="IF4" i="11"/>
  <c r="HF5" i="13"/>
  <c r="HE6" i="13"/>
  <c r="IH5" i="11" l="1"/>
  <c r="IG6" i="11"/>
  <c r="HG5" i="13"/>
  <c r="HF6" i="13"/>
  <c r="IH6" i="11" l="1"/>
  <c r="II5" i="11"/>
  <c r="HG6" i="13"/>
  <c r="HH5" i="13"/>
  <c r="IJ5" i="11" l="1"/>
  <c r="II6" i="11"/>
  <c r="HH6" i="13"/>
  <c r="HI5" i="13"/>
  <c r="IK5" i="11" l="1"/>
  <c r="IJ6" i="11"/>
  <c r="HJ5" i="13"/>
  <c r="HI6" i="13"/>
  <c r="IL5" i="11" l="1"/>
  <c r="IK6" i="11"/>
  <c r="HJ6" i="13"/>
  <c r="HK5" i="13"/>
  <c r="IL6" i="11" l="1"/>
  <c r="IM5" i="11"/>
  <c r="HK4" i="13"/>
  <c r="HL5" i="13"/>
  <c r="HK6" i="13"/>
  <c r="IN5" i="11" l="1"/>
  <c r="IM4" i="11"/>
  <c r="IM6" i="11"/>
  <c r="HL6" i="13"/>
  <c r="HM5" i="13"/>
  <c r="IO5" i="11" l="1"/>
  <c r="IN6" i="11"/>
  <c r="HN5" i="13"/>
  <c r="HM6" i="13"/>
  <c r="IO6" i="11" l="1"/>
  <c r="IP5" i="11"/>
  <c r="HO5" i="13"/>
  <c r="HN6" i="13"/>
  <c r="IQ5" i="11" l="1"/>
  <c r="IP6" i="11"/>
  <c r="HO6" i="13"/>
  <c r="HP5" i="13"/>
  <c r="IQ6" i="11" l="1"/>
  <c r="IR5" i="11"/>
  <c r="IS5" i="11" s="1"/>
  <c r="IS6" i="11" s="1"/>
  <c r="HP6" i="13"/>
  <c r="HQ5" i="13"/>
  <c r="IR6" i="11" l="1"/>
  <c r="HQ6" i="13"/>
  <c r="HR5" i="13"/>
  <c r="IT5" i="11" l="1"/>
  <c r="HR4" i="13"/>
  <c r="HR6" i="13"/>
  <c r="HS5" i="13"/>
  <c r="IU5" i="11" l="1"/>
  <c r="IT6" i="11"/>
  <c r="IT4" i="11"/>
  <c r="HT5" i="13"/>
  <c r="HS6" i="13"/>
  <c r="IU6" i="11" l="1"/>
  <c r="IV5" i="11"/>
  <c r="HT6" i="13"/>
  <c r="HU5" i="13"/>
  <c r="IV6" i="11" l="1"/>
  <c r="IW5" i="11"/>
  <c r="HV5" i="13"/>
  <c r="HU6" i="13"/>
  <c r="IW6" i="11" l="1"/>
  <c r="IX5" i="11"/>
  <c r="HW5" i="13"/>
  <c r="HV6" i="13"/>
  <c r="IX6" i="11" l="1"/>
  <c r="IY5" i="11"/>
  <c r="HW6" i="13"/>
  <c r="HX5" i="13"/>
  <c r="IY6" i="11" l="1"/>
  <c r="IZ5" i="11"/>
  <c r="HX6" i="13"/>
  <c r="HY5" i="13"/>
  <c r="JA5" i="11" l="1"/>
  <c r="IZ6" i="11"/>
  <c r="HY4" i="13"/>
  <c r="HZ5" i="13"/>
  <c r="HY6" i="13"/>
  <c r="JA4" i="11" l="1"/>
  <c r="JA6" i="11"/>
  <c r="JB5" i="11"/>
  <c r="IA5" i="13"/>
  <c r="HZ6" i="13"/>
  <c r="JB6" i="11" l="1"/>
  <c r="JC5" i="11"/>
  <c r="IB5" i="13"/>
  <c r="IA6" i="13"/>
  <c r="JC6" i="11" l="1"/>
  <c r="JD5" i="11"/>
  <c r="IC5" i="13"/>
  <c r="IB6" i="13"/>
  <c r="JD6" i="11" l="1"/>
  <c r="JE5" i="11"/>
  <c r="ID5" i="13"/>
  <c r="IC6" i="13"/>
  <c r="JE6" i="11" l="1"/>
  <c r="JF5" i="11"/>
  <c r="IE5" i="13"/>
  <c r="IE6" i="13" s="1"/>
  <c r="ID6" i="13"/>
  <c r="H12" i="13"/>
  <c r="JF6" i="11" l="1"/>
  <c r="JG5" i="11"/>
  <c r="E13" i="13"/>
  <c r="F13" i="13" s="1"/>
  <c r="JH5" i="11" l="1"/>
  <c r="JG6" i="11"/>
  <c r="E19" i="13"/>
  <c r="F19" i="13" s="1"/>
  <c r="JI5" i="11" l="1"/>
  <c r="JH6" i="11"/>
  <c r="JH4" i="11"/>
  <c r="E20" i="13"/>
  <c r="F20" i="13" s="1"/>
  <c r="H19" i="13"/>
  <c r="JI6" i="11" l="1"/>
  <c r="JJ5" i="11"/>
  <c r="E26" i="13"/>
  <c r="F26" i="13" s="1"/>
  <c r="JJ6" i="11" l="1"/>
  <c r="JK5" i="11"/>
  <c r="E27" i="13"/>
  <c r="F27" i="13" s="1"/>
  <c r="JK6" i="11" l="1"/>
  <c r="JL5" i="11"/>
  <c r="E14" i="13"/>
  <c r="H27" i="13"/>
  <c r="JL6" i="11" l="1"/>
  <c r="JM5" i="11"/>
  <c r="F14" i="13"/>
  <c r="E15" i="13" s="1"/>
  <c r="F15" i="13" s="1"/>
  <c r="JM6" i="11" l="1"/>
  <c r="JN5" i="11"/>
  <c r="E21" i="13"/>
  <c r="JN6" i="11" l="1"/>
  <c r="JO5" i="11"/>
  <c r="F21" i="13"/>
  <c r="E22" i="13" s="1"/>
  <c r="F22" i="13" s="1"/>
  <c r="JP5" i="11" l="1"/>
  <c r="JO6" i="11"/>
  <c r="JO4" i="11"/>
  <c r="E28" i="13"/>
  <c r="JP6" i="11" l="1"/>
  <c r="JQ5" i="11"/>
  <c r="F28" i="13"/>
  <c r="E29" i="13" s="1"/>
  <c r="F29" i="13" s="1"/>
  <c r="JQ6" i="11" l="1"/>
  <c r="JR5" i="11"/>
  <c r="JR6" i="11" l="1"/>
  <c r="JS5" i="11"/>
  <c r="JS6" i="11" l="1"/>
  <c r="JT5" i="11"/>
  <c r="JT6" i="11" l="1"/>
  <c r="JU5" i="11"/>
  <c r="JU6" i="11" l="1"/>
  <c r="JV5" i="11"/>
  <c r="JW5" i="11" l="1"/>
  <c r="JV6" i="11"/>
  <c r="JV4" i="11"/>
  <c r="JW6" i="11" l="1"/>
  <c r="JX5" i="11"/>
  <c r="JX6" i="11" l="1"/>
  <c r="JY5" i="11"/>
  <c r="JY6" i="11" l="1"/>
  <c r="JZ5" i="11"/>
  <c r="JZ6" i="11" l="1"/>
  <c r="KA5" i="11"/>
  <c r="KA6" i="11" l="1"/>
  <c r="KB5" i="11"/>
  <c r="KB6" i="11" l="1"/>
  <c r="KC5" i="11"/>
  <c r="KC6" i="11" l="1"/>
  <c r="KD5" i="11"/>
  <c r="KC4" i="11"/>
  <c r="KD6" i="11" l="1"/>
  <c r="KE5" i="11"/>
  <c r="KE6" i="11" l="1"/>
  <c r="KF5" i="11"/>
  <c r="KF6" i="11" l="1"/>
  <c r="KG5" i="11"/>
  <c r="KG6" i="11" l="1"/>
  <c r="KH5" i="11"/>
  <c r="KH6" i="11" l="1"/>
  <c r="KI5" i="11"/>
  <c r="KI6" i="11" l="1"/>
  <c r="KJ5" i="11"/>
  <c r="KK5" i="11" l="1"/>
  <c r="KJ4" i="11"/>
  <c r="KJ6" i="11"/>
  <c r="KL5" i="11" l="1"/>
  <c r="KK6" i="11"/>
  <c r="KL6" i="11" l="1"/>
  <c r="KM5" i="11"/>
  <c r="KM6" i="11" l="1"/>
  <c r="KN5" i="11"/>
  <c r="KN6" i="11" l="1"/>
  <c r="KO5" i="11"/>
  <c r="KO6" i="11" l="1"/>
  <c r="KP5" i="11"/>
  <c r="KP6" i="11" l="1"/>
  <c r="KQ5" i="11"/>
  <c r="KQ6" i="11" l="1"/>
  <c r="KR5" i="11"/>
  <c r="KQ4" i="11"/>
  <c r="KR6" i="11" l="1"/>
  <c r="KS5" i="11"/>
  <c r="KS6" i="11" l="1"/>
  <c r="KT5" i="11"/>
  <c r="KT6" i="11" l="1"/>
  <c r="KU5" i="11"/>
  <c r="KU6" i="11" l="1"/>
  <c r="KV5" i="11"/>
  <c r="KV6" i="11" l="1"/>
  <c r="KW5" i="11"/>
  <c r="KX5" i="11" l="1"/>
  <c r="KW6" i="11"/>
  <c r="KY5" i="11" l="1"/>
  <c r="KX6" i="11"/>
  <c r="KX4" i="11"/>
  <c r="KY6" i="11" l="1"/>
  <c r="KZ5" i="11"/>
  <c r="KZ6" i="11" l="1"/>
  <c r="LA5" i="11"/>
  <c r="LA6" i="11" l="1"/>
  <c r="LB5" i="11"/>
  <c r="LB6" i="11" l="1"/>
  <c r="LC5" i="11"/>
  <c r="LC6" i="11" l="1"/>
  <c r="LD5" i="11"/>
  <c r="LE5" i="11" l="1"/>
  <c r="LD6" i="11"/>
  <c r="LE6" i="11" l="1"/>
  <c r="LF5" i="11"/>
  <c r="LE4" i="11"/>
  <c r="LF6" i="11" l="1"/>
  <c r="LG5" i="11"/>
  <c r="LG6" i="11" l="1"/>
  <c r="LH5" i="11"/>
  <c r="LH6" i="11" l="1"/>
  <c r="LI5" i="11"/>
  <c r="LI6" i="11" l="1"/>
  <c r="LJ5" i="11"/>
  <c r="LJ6" i="11" l="1"/>
  <c r="LK5" i="11"/>
  <c r="LK6" i="11" l="1"/>
  <c r="LL5" i="11"/>
  <c r="LM5" i="11" l="1"/>
  <c r="LL6" i="11"/>
  <c r="LL4" i="11"/>
  <c r="LM6" i="11" l="1"/>
  <c r="LN5" i="11"/>
  <c r="LN6" i="11" l="1"/>
  <c r="LO5" i="11"/>
  <c r="LO6" i="11" l="1"/>
  <c r="LP5" i="11"/>
  <c r="LP6" i="11" l="1"/>
  <c r="LQ5" i="11"/>
  <c r="LQ6" i="11" l="1"/>
  <c r="LR5" i="11"/>
  <c r="LR6" i="11" l="1"/>
  <c r="LS5" i="11"/>
  <c r="LT5" i="11" l="1"/>
  <c r="LS6" i="11"/>
  <c r="LS4" i="11"/>
  <c r="LT6" i="11" l="1"/>
  <c r="LU5" i="11"/>
  <c r="LU6" i="11" l="1"/>
  <c r="LV5" i="11"/>
  <c r="LV6" i="11" l="1"/>
  <c r="LW5" i="11"/>
  <c r="LW6" i="11" l="1"/>
  <c r="LX5" i="11"/>
  <c r="LX6" i="11" l="1"/>
  <c r="LY5" i="11"/>
  <c r="LZ5" i="11" l="1"/>
  <c r="LY6" i="11"/>
  <c r="MA5" i="11" l="1"/>
  <c r="LZ6" i="11"/>
  <c r="LZ4" i="11"/>
  <c r="MA6" i="11" l="1"/>
  <c r="MB5" i="11"/>
  <c r="MB6" i="11" l="1"/>
  <c r="MC5" i="11"/>
  <c r="MC6" i="11" l="1"/>
  <c r="MD5" i="11"/>
  <c r="MD6" i="11" l="1"/>
  <c r="ME5" i="11"/>
  <c r="ME6" i="11" l="1"/>
  <c r="MF5" i="11"/>
  <c r="MG5" i="11" l="1"/>
  <c r="MF6" i="11"/>
  <c r="MH5" i="11" l="1"/>
  <c r="MG6" i="11"/>
  <c r="MG4" i="11"/>
  <c r="MH6" i="11" l="1"/>
  <c r="MI5" i="11"/>
  <c r="MI6" i="11" l="1"/>
  <c r="MJ5" i="11"/>
  <c r="MJ6" i="11" l="1"/>
  <c r="MK5" i="11"/>
  <c r="MK6" i="11" l="1"/>
  <c r="ML5" i="11"/>
  <c r="ML6" i="11" l="1"/>
  <c r="MM5" i="11"/>
  <c r="MM6" i="11" l="1"/>
  <c r="MN5" i="11"/>
  <c r="E105" i="11"/>
  <c r="MN4" i="11" l="1"/>
  <c r="MO5" i="11"/>
  <c r="MN6" i="11"/>
  <c r="MO6" i="11" l="1"/>
  <c r="MP5" i="11"/>
  <c r="MP6" i="11" l="1"/>
  <c r="MQ5" i="11"/>
  <c r="MQ6" i="11" l="1"/>
  <c r="MR5" i="11"/>
  <c r="MR6" i="11" l="1"/>
  <c r="MS5" i="11"/>
  <c r="MS6" i="11" l="1"/>
  <c r="MT5" i="11"/>
  <c r="MU5" i="11" l="1"/>
  <c r="MT6" i="11"/>
  <c r="MU6" i="11" l="1"/>
  <c r="MU4" i="11"/>
  <c r="MV5" i="11"/>
  <c r="MV6" i="11" l="1"/>
  <c r="MW5" i="11"/>
  <c r="MW6" i="11" l="1"/>
  <c r="MX5" i="11"/>
  <c r="MX6" i="11" l="1"/>
  <c r="MY5" i="11"/>
  <c r="MZ5" i="11" l="1"/>
  <c r="MY6" i="11"/>
  <c r="MZ6" i="11" l="1"/>
  <c r="NA5" i="11"/>
  <c r="NA6" i="11" l="1"/>
  <c r="NB5" i="11"/>
  <c r="NB6" i="11" l="1"/>
  <c r="NC5" i="11"/>
  <c r="NB4" i="11"/>
  <c r="NC6" i="11" l="1"/>
  <c r="ND5" i="11"/>
  <c r="ND6" i="11" l="1"/>
  <c r="NE5" i="11"/>
  <c r="NE6" i="11" l="1"/>
  <c r="NF5" i="11"/>
  <c r="NG5" i="11" l="1"/>
  <c r="NF6" i="11"/>
  <c r="NH5" i="11" l="1"/>
  <c r="NG6" i="11"/>
  <c r="NH6" i="11" l="1"/>
  <c r="NI5" i="11"/>
  <c r="NI6" i="11" l="1"/>
  <c r="NJ5" i="11"/>
  <c r="NI4" i="11"/>
  <c r="NJ6" i="11" l="1"/>
  <c r="NK5" i="11"/>
  <c r="NK6" i="11" l="1"/>
  <c r="NL5" i="11"/>
  <c r="NL6" i="11" l="1"/>
  <c r="NM5" i="11"/>
  <c r="NN5" i="11" l="1"/>
  <c r="NM6" i="11"/>
  <c r="NN6" i="11" l="1"/>
  <c r="NO5" i="11"/>
  <c r="NO6" i="11" l="1"/>
  <c r="NP5" i="11"/>
  <c r="NP6" i="11" l="1"/>
  <c r="NQ5" i="11"/>
  <c r="NP4" i="11"/>
  <c r="NQ6" i="11" l="1"/>
  <c r="NR5" i="11"/>
  <c r="NR6" i="11" l="1"/>
  <c r="NS5" i="11"/>
  <c r="NT5" i="11" l="1"/>
  <c r="NS6" i="11"/>
  <c r="NU5" i="11" l="1"/>
  <c r="NT6" i="11"/>
  <c r="NV5" i="11" l="1"/>
  <c r="NU6" i="11"/>
  <c r="NV6" i="11" l="1"/>
  <c r="NW5" i="11"/>
  <c r="NW4" i="11" l="1"/>
  <c r="NW6" i="11"/>
  <c r="NX5" i="11"/>
  <c r="NX6" i="11" l="1"/>
  <c r="NY5" i="11"/>
  <c r="NY6" i="11" l="1"/>
  <c r="NZ5" i="11"/>
  <c r="OA5" i="11" l="1"/>
  <c r="NZ6" i="11"/>
  <c r="OB5" i="11" l="1"/>
  <c r="OA6" i="11"/>
  <c r="OC5" i="11" l="1"/>
  <c r="OB6" i="11"/>
  <c r="OD5" i="11" l="1"/>
  <c r="OC6" i="11"/>
  <c r="OD4" i="11" l="1"/>
  <c r="OE5" i="11"/>
  <c r="OD6" i="11"/>
  <c r="OF5" i="11" l="1"/>
  <c r="OE6" i="11"/>
  <c r="OG5" i="11" l="1"/>
  <c r="OF6" i="11"/>
  <c r="OG6" i="11" l="1"/>
  <c r="OH5" i="11"/>
  <c r="OI5" i="11" l="1"/>
  <c r="OH6" i="11"/>
  <c r="OJ5" i="11" l="1"/>
  <c r="OI6" i="11"/>
  <c r="OJ6" i="11" l="1"/>
  <c r="OK5" i="11"/>
  <c r="OL5" i="11" l="1"/>
  <c r="OK4" i="11"/>
  <c r="OK6" i="11"/>
  <c r="OM5" i="11" l="1"/>
  <c r="OL6" i="11"/>
  <c r="ON5" i="11" l="1"/>
  <c r="OM6" i="11"/>
  <c r="OO5" i="11" l="1"/>
  <c r="ON6" i="11"/>
  <c r="OO6" i="11" l="1"/>
  <c r="OP5" i="11"/>
  <c r="OP6" i="11" l="1"/>
  <c r="OQ5" i="11"/>
  <c r="OR5" i="11" l="1"/>
  <c r="OQ6" i="11"/>
  <c r="OR4" i="11" l="1"/>
  <c r="OS5" i="11"/>
  <c r="OR6" i="11"/>
  <c r="OS6" i="11" l="1"/>
  <c r="OT5" i="11"/>
  <c r="OU5" i="11" l="1"/>
  <c r="OT6" i="11"/>
  <c r="OU6" i="11" l="1"/>
  <c r="OV5" i="11"/>
  <c r="OV6" i="11" l="1"/>
  <c r="OW5" i="11"/>
  <c r="OX5" i="11" l="1"/>
  <c r="OW6" i="11"/>
  <c r="OY5" i="11" l="1"/>
  <c r="OX6" i="11"/>
  <c r="OZ5" i="11" l="1"/>
  <c r="OY6" i="11"/>
  <c r="OY4" i="11"/>
  <c r="PA5" i="11" l="1"/>
  <c r="OZ6" i="11"/>
  <c r="PB5" i="11" l="1"/>
  <c r="PA6" i="11"/>
  <c r="PB6" i="11" l="1"/>
  <c r="PC5" i="11"/>
  <c r="PD5" i="11" l="1"/>
  <c r="PC6" i="11"/>
  <c r="PD6" i="11" l="1"/>
  <c r="PE5" i="11"/>
  <c r="PE6" i="11" l="1"/>
  <c r="PF5" i="11"/>
  <c r="PG5" i="11" l="1"/>
  <c r="PF6" i="11"/>
  <c r="PF4" i="11"/>
  <c r="PH5" i="11" l="1"/>
  <c r="PG6" i="11"/>
  <c r="PH6" i="11" l="1"/>
  <c r="PI5" i="11"/>
  <c r="PJ5" i="11" l="1"/>
  <c r="PI6" i="11"/>
  <c r="PK5" i="11" l="1"/>
  <c r="PJ6" i="11"/>
  <c r="PL5" i="11" l="1"/>
  <c r="PK6" i="11"/>
  <c r="PM5" i="11" l="1"/>
  <c r="PL6" i="11"/>
  <c r="PM6" i="11" l="1"/>
  <c r="PM4" i="11"/>
  <c r="PN5" i="11"/>
  <c r="PO5" i="11" l="1"/>
  <c r="PN6" i="11"/>
  <c r="PP5" i="11" l="1"/>
  <c r="PO6" i="11"/>
  <c r="PQ5" i="11" l="1"/>
  <c r="PP6" i="11"/>
  <c r="PQ6" i="11" l="1"/>
  <c r="PR5" i="11"/>
  <c r="PS5" i="11" l="1"/>
  <c r="PR6" i="11"/>
  <c r="PT5" i="11" l="1"/>
  <c r="PS6" i="11"/>
  <c r="PT6" i="11" l="1"/>
  <c r="PT4" i="11"/>
  <c r="PU5" i="11"/>
  <c r="PV5" i="11" l="1"/>
  <c r="PU6" i="11"/>
  <c r="PW5" i="11" l="1"/>
  <c r="PV6" i="11"/>
  <c r="PX5" i="11" l="1"/>
  <c r="PW6" i="11"/>
  <c r="PY5" i="11" l="1"/>
  <c r="PX6" i="11"/>
  <c r="PZ5" i="11" l="1"/>
  <c r="PY6" i="11"/>
  <c r="PZ6" i="11" l="1"/>
  <c r="QA5" i="11"/>
  <c r="QB5" i="11" l="1"/>
  <c r="QA6" i="11"/>
  <c r="QA4" i="11"/>
  <c r="QB6" i="11" l="1"/>
  <c r="QC5" i="11"/>
  <c r="QD5" i="11" l="1"/>
  <c r="QC6" i="11"/>
  <c r="QE5" i="11" l="1"/>
  <c r="QD6" i="11"/>
  <c r="QF5" i="11" l="1"/>
  <c r="QE6" i="11"/>
  <c r="QF6" i="11" l="1"/>
  <c r="QG5" i="11"/>
  <c r="QH5" i="11" l="1"/>
  <c r="QG6" i="11"/>
  <c r="QI5" i="11" l="1"/>
  <c r="QH6" i="11"/>
  <c r="QH4" i="11"/>
  <c r="QJ5" i="11" l="1"/>
  <c r="QI6" i="11"/>
  <c r="QK5" i="11" l="1"/>
  <c r="QJ6" i="11"/>
  <c r="QK6" i="11" l="1"/>
  <c r="QL5" i="11"/>
  <c r="QL6" i="11" l="1"/>
  <c r="QM5" i="11"/>
  <c r="QN5" i="11" l="1"/>
  <c r="QM6" i="11"/>
  <c r="QO5" i="11" l="1"/>
  <c r="QN6" i="11"/>
  <c r="QO4" i="11" l="1"/>
  <c r="QP5" i="11"/>
  <c r="QO6" i="11"/>
  <c r="QQ5" i="11" l="1"/>
  <c r="QP6" i="11"/>
  <c r="QR5" i="11" l="1"/>
  <c r="QQ6" i="11"/>
  <c r="QR6" i="11" l="1"/>
  <c r="QS5" i="11"/>
  <c r="QT5" i="11" l="1"/>
  <c r="QS6" i="11"/>
  <c r="QU5" i="11" l="1"/>
  <c r="QT6" i="11"/>
  <c r="QV5" i="11" l="1"/>
  <c r="QU6" i="11"/>
  <c r="QW5" i="11" l="1"/>
  <c r="QV6" i="11"/>
  <c r="QV4" i="11"/>
  <c r="QW6" i="11" l="1"/>
  <c r="QX5" i="11"/>
  <c r="QY5" i="11" l="1"/>
  <c r="QX6" i="11"/>
  <c r="QZ5" i="11" l="1"/>
  <c r="QY6" i="11"/>
  <c r="RA5" i="11" l="1"/>
  <c r="QZ6" i="11"/>
  <c r="RA6" i="11" l="1"/>
  <c r="RB5" i="11"/>
  <c r="RC5" i="11" l="1"/>
  <c r="RB6" i="11"/>
  <c r="RC4" i="11" l="1"/>
  <c r="RD5" i="11"/>
  <c r="RC6" i="11"/>
  <c r="RD6" i="11" l="1"/>
  <c r="RE5" i="11"/>
  <c r="RF5" i="11" l="1"/>
  <c r="RE6" i="11"/>
  <c r="RG5" i="11" l="1"/>
  <c r="RF6" i="11"/>
  <c r="RH5" i="11" l="1"/>
  <c r="RG6" i="11"/>
  <c r="RI5" i="11" l="1"/>
  <c r="RH6" i="11"/>
  <c r="RJ5" i="11" l="1"/>
  <c r="RI6" i="11"/>
  <c r="RJ4" i="11" l="1"/>
  <c r="RJ6" i="11"/>
  <c r="RK5" i="11"/>
  <c r="RL5" i="11" l="1"/>
  <c r="RK6" i="11"/>
  <c r="RM5" i="11" l="1"/>
  <c r="RL6" i="11"/>
  <c r="RM6" i="11" l="1"/>
  <c r="RN5" i="11"/>
  <c r="RO5" i="11" l="1"/>
  <c r="RN6" i="11"/>
  <c r="RP5" i="11" l="1"/>
  <c r="RO6" i="11"/>
  <c r="RQ5" i="11" l="1"/>
  <c r="RP6" i="11"/>
  <c r="RR5" i="11" l="1"/>
  <c r="RQ4" i="11"/>
  <c r="RQ6" i="11"/>
  <c r="RS5" i="11" l="1"/>
  <c r="RR6" i="11"/>
  <c r="RT5" i="11" l="1"/>
  <c r="RS6" i="11"/>
  <c r="RU5" i="11" l="1"/>
  <c r="RT6" i="11"/>
  <c r="RU6" i="11" l="1"/>
  <c r="RV5" i="11"/>
  <c r="RV6" i="11" l="1"/>
  <c r="RW5" i="11"/>
  <c r="RX5" i="11" l="1"/>
  <c r="RW6" i="11"/>
  <c r="RY5" i="11" l="1"/>
  <c r="RX6" i="11"/>
  <c r="RX4" i="11"/>
  <c r="RY6" i="11" l="1"/>
  <c r="RZ5" i="11"/>
  <c r="SA5" i="11" l="1"/>
  <c r="RZ6" i="11"/>
  <c r="SB5" i="11" l="1"/>
  <c r="SA6" i="11"/>
  <c r="SC5" i="11" l="1"/>
  <c r="SB6" i="11"/>
  <c r="SD5" i="11" l="1"/>
  <c r="SC6" i="11"/>
  <c r="SE5" i="11" l="1"/>
  <c r="SD6" i="11"/>
  <c r="SF5" i="11" l="1"/>
  <c r="SE6" i="11"/>
  <c r="SE4" i="11"/>
  <c r="SG5" i="11" l="1"/>
  <c r="SF6" i="11"/>
  <c r="SG6" i="11" l="1"/>
  <c r="SH5" i="11"/>
  <c r="SI5" i="11" l="1"/>
  <c r="SH6" i="11"/>
  <c r="SJ5" i="11" l="1"/>
  <c r="SI6" i="11"/>
  <c r="SK5" i="11" l="1"/>
  <c r="SJ6" i="11"/>
  <c r="SL5" i="11" l="1"/>
  <c r="SK6" i="11"/>
  <c r="SL4" i="11" l="1"/>
  <c r="SM5" i="11"/>
  <c r="SL6" i="11"/>
  <c r="SN5" i="11" l="1"/>
  <c r="SM6" i="11"/>
  <c r="SN6" i="11" l="1"/>
  <c r="SO5" i="11"/>
  <c r="SP5" i="11" l="1"/>
  <c r="SO6" i="11"/>
  <c r="SQ5" i="11" l="1"/>
  <c r="SP6" i="11"/>
  <c r="SR5" i="11" l="1"/>
  <c r="SQ6" i="11"/>
  <c r="SS5" i="11" l="1"/>
  <c r="SR6" i="11"/>
  <c r="SS4" i="11" l="1"/>
  <c r="ST5" i="11"/>
  <c r="SS6" i="11"/>
  <c r="ST6" i="11" l="1"/>
  <c r="SU5" i="11"/>
  <c r="SV5" i="11" l="1"/>
  <c r="SU6" i="11"/>
  <c r="SW5" i="11" l="1"/>
  <c r="SV6" i="11"/>
  <c r="SX5" i="11" l="1"/>
  <c r="SW6" i="11"/>
  <c r="SY5" i="11" l="1"/>
  <c r="SX6" i="11"/>
  <c r="SZ5" i="11" l="1"/>
  <c r="SY6" i="11"/>
  <c r="SZ4" i="11" l="1"/>
  <c r="TA5" i="11"/>
  <c r="SZ6" i="11"/>
  <c r="TB5" i="11" l="1"/>
  <c r="TA6" i="11"/>
  <c r="TC5" i="11" l="1"/>
  <c r="TB6" i="11"/>
  <c r="TD5" i="11" l="1"/>
  <c r="TC6" i="11"/>
  <c r="TE5" i="11" l="1"/>
  <c r="TD6" i="11"/>
  <c r="TE6" i="11" l="1"/>
  <c r="TF5" i="11"/>
  <c r="TF6" i="11" l="1"/>
  <c r="TG5" i="11"/>
  <c r="TH5" i="11" l="1"/>
  <c r="TG4" i="11"/>
  <c r="TG6" i="11"/>
  <c r="TH6" i="11" l="1"/>
  <c r="TI5" i="11"/>
  <c r="TI6" i="11" l="1"/>
  <c r="TJ5" i="11"/>
  <c r="TK5" i="11" l="1"/>
  <c r="TJ6" i="11"/>
  <c r="TL5" i="11" l="1"/>
  <c r="TK6" i="11"/>
  <c r="TM5" i="11" l="1"/>
  <c r="TL6" i="11"/>
  <c r="TN5" i="11" l="1"/>
  <c r="TM6" i="11"/>
  <c r="TO5" i="11" l="1"/>
  <c r="TN6" i="11"/>
  <c r="TN4" i="11"/>
  <c r="TP5" i="11" l="1"/>
  <c r="TO6" i="11"/>
  <c r="TQ5" i="11" l="1"/>
  <c r="TP6" i="11"/>
  <c r="TR5" i="11" l="1"/>
  <c r="TQ6" i="11"/>
  <c r="TR6" i="11" l="1"/>
  <c r="TS5" i="11"/>
  <c r="TT5" i="11" l="1"/>
  <c r="TS6" i="11"/>
  <c r="TT6" i="11" l="1"/>
  <c r="TU5" i="11"/>
  <c r="TU4" i="11" l="1"/>
  <c r="TV5" i="11"/>
  <c r="TU6" i="11"/>
  <c r="TW5" i="11" l="1"/>
  <c r="TV6" i="11"/>
  <c r="TX5" i="11" l="1"/>
  <c r="TW6" i="11"/>
  <c r="TX6" i="11" l="1"/>
  <c r="TY5" i="11"/>
  <c r="TZ5" i="11" l="1"/>
  <c r="TY6" i="11"/>
  <c r="UA5" i="11" l="1"/>
  <c r="TZ6" i="11"/>
  <c r="UB5" i="11" l="1"/>
  <c r="UA6" i="11"/>
  <c r="UC5" i="11" l="1"/>
  <c r="UB6" i="11"/>
  <c r="UB4" i="11"/>
  <c r="UC6" i="11" l="1"/>
  <c r="UD5" i="11"/>
  <c r="UE5" i="11" l="1"/>
  <c r="UD6" i="11"/>
  <c r="UF5" i="11" l="1"/>
  <c r="UE6" i="11"/>
  <c r="UG5" i="11" l="1"/>
  <c r="UF6" i="11"/>
  <c r="UH5" i="11" l="1"/>
  <c r="UG6" i="11"/>
  <c r="UI5" i="11" l="1"/>
  <c r="UH6" i="11"/>
  <c r="UI4" i="11" l="1"/>
  <c r="UJ5" i="11"/>
  <c r="UI6" i="11"/>
  <c r="UK5" i="11" l="1"/>
  <c r="UJ6" i="11"/>
  <c r="UL5" i="11" l="1"/>
  <c r="UK6" i="11"/>
  <c r="UM5" i="11" l="1"/>
  <c r="UL6" i="11"/>
  <c r="UN5" i="11" l="1"/>
  <c r="UM6" i="11"/>
  <c r="UO5" i="11" l="1"/>
  <c r="UN6" i="11"/>
  <c r="UP5" i="11" l="1"/>
  <c r="UO6" i="11"/>
  <c r="UP4" i="11" l="1"/>
  <c r="UP6" i="11"/>
  <c r="UQ5" i="11"/>
  <c r="UR5" i="11" l="1"/>
  <c r="UQ6" i="11"/>
  <c r="UR6" i="11" l="1"/>
  <c r="US5" i="11"/>
  <c r="UT5" i="11" l="1"/>
  <c r="US6" i="11"/>
  <c r="UU5" i="11" l="1"/>
  <c r="UT6" i="11"/>
  <c r="UV5" i="11" l="1"/>
  <c r="UU6" i="11"/>
  <c r="UW5" i="11" l="1"/>
  <c r="UV6" i="11"/>
  <c r="UX5" i="11" l="1"/>
  <c r="UW4" i="11"/>
  <c r="UW6" i="11"/>
  <c r="UY5" i="11" l="1"/>
  <c r="UX6" i="11"/>
  <c r="UZ5" i="11" l="1"/>
  <c r="UY6" i="11"/>
  <c r="VA5" i="11" l="1"/>
  <c r="UZ6" i="11"/>
  <c r="VA6" i="11" l="1"/>
  <c r="VB5" i="11"/>
  <c r="VB6" i="11" l="1"/>
  <c r="VC5" i="11"/>
  <c r="VD5" i="11" l="1"/>
  <c r="VC6" i="11"/>
  <c r="VD4" i="11" l="1"/>
  <c r="VE5" i="11"/>
  <c r="VD6" i="11"/>
  <c r="VF5" i="11" l="1"/>
  <c r="VE6" i="11"/>
  <c r="VG5" i="11" l="1"/>
  <c r="VF6" i="11"/>
  <c r="VH5" i="11" l="1"/>
  <c r="VG6" i="11"/>
  <c r="VI5" i="11" l="1"/>
  <c r="VH6" i="11"/>
  <c r="VJ5" i="11" l="1"/>
  <c r="VI6" i="11"/>
  <c r="VK5" i="11" l="1"/>
  <c r="VJ6" i="11"/>
  <c r="VL5" i="11" l="1"/>
  <c r="VK4" i="11"/>
  <c r="VK6" i="11"/>
  <c r="VM5" i="11" l="1"/>
  <c r="VL6" i="11"/>
  <c r="VN5" i="11" l="1"/>
  <c r="VM6" i="11"/>
  <c r="VN6" i="11" l="1"/>
  <c r="VO5" i="11"/>
  <c r="VP5" i="11" l="1"/>
  <c r="VO6" i="11"/>
  <c r="VP6" i="11" l="1"/>
  <c r="VQ5" i="11"/>
  <c r="VR5" i="11" l="1"/>
  <c r="VQ6" i="11"/>
  <c r="VS5" i="11" l="1"/>
  <c r="VR4" i="11"/>
  <c r="VR6" i="11"/>
  <c r="VT5" i="11" l="1"/>
  <c r="VS6" i="11"/>
  <c r="VT6" i="11" l="1"/>
  <c r="VU5" i="11"/>
  <c r="VV5" i="11" l="1"/>
  <c r="VU6" i="11"/>
  <c r="VW5" i="11" l="1"/>
  <c r="VV6" i="11"/>
  <c r="VX5" i="11" l="1"/>
  <c r="VW6" i="11"/>
  <c r="VY5" i="11" l="1"/>
  <c r="VX6" i="11"/>
  <c r="VY6" i="11" l="1"/>
  <c r="VZ5" i="11"/>
  <c r="VY4" i="11"/>
  <c r="WA5" i="11" l="1"/>
  <c r="VZ6" i="11"/>
  <c r="WB5" i="11" l="1"/>
  <c r="WA6" i="11"/>
  <c r="WC5" i="11" l="1"/>
  <c r="WB6" i="11"/>
  <c r="WD5" i="11" l="1"/>
  <c r="WC6" i="11"/>
  <c r="WE5" i="11" l="1"/>
  <c r="WD6" i="11"/>
  <c r="WF5" i="11" l="1"/>
  <c r="WE6" i="11"/>
  <c r="WF4" i="11" l="1"/>
  <c r="WG5" i="11"/>
  <c r="WF6" i="11"/>
  <c r="WH5" i="11" l="1"/>
  <c r="WG6" i="11"/>
  <c r="WI5" i="11" l="1"/>
  <c r="WH6" i="11"/>
  <c r="WJ5" i="11" l="1"/>
  <c r="WI6" i="11"/>
  <c r="WK5" i="11" l="1"/>
  <c r="WJ6" i="11"/>
  <c r="WK6" i="11" l="1"/>
  <c r="WL5" i="11"/>
  <c r="WL6" i="11" l="1"/>
  <c r="WM5" i="11"/>
  <c r="WN5" i="11" l="1"/>
  <c r="WM4" i="11"/>
  <c r="WM6" i="11"/>
  <c r="WO5" i="11" l="1"/>
  <c r="WN6" i="11"/>
  <c r="WP5" i="11" l="1"/>
  <c r="WO6" i="11"/>
  <c r="WQ5" i="11" l="1"/>
  <c r="WP6" i="11"/>
  <c r="WR5" i="11" l="1"/>
  <c r="WQ6" i="11"/>
  <c r="WR6" i="11" l="1"/>
  <c r="WS5" i="11"/>
  <c r="WS6" i="11" s="1"/>
  <c r="E101"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tc={43E89E34-EEDA-43A1-BD5D-31839B76977C}</author>
    <author>tc={C2788AD7-7725-4F18-AEFD-2C7C0ADF13FC}</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113" authorId="0" shapeId="0" xr:uid="{0E1DAC3B-9643-4DA5-956E-2E88B08B42D3}">
      <text>
        <r>
          <rPr>
            <b/>
            <sz val="9"/>
            <color indexed="81"/>
            <rFont val="Segoe UI"/>
            <family val="2"/>
          </rPr>
          <t>Autor:</t>
        </r>
        <r>
          <rPr>
            <sz val="9"/>
            <color indexed="81"/>
            <rFont val="Segoe UI"/>
            <family val="2"/>
          </rPr>
          <t xml:space="preserve">
Atraso na marcação da passagem.</t>
        </r>
      </text>
    </comment>
    <comment ref="C115" authorId="1" shapeId="0" xr:uid="{43E89E34-EEDA-43A1-BD5D-31839B76977C}">
      <text>
        <t>[Threaded comment]
Your version of Excel allows you to read this threaded comment; however, any edits to it will get removed if the file is opened in a newer version of Excel. Learn more: https://go.microsoft.com/fwlink/?linkid=870924
Comment:
    Luis Vitor Viegas Gonçalves - EEDSE</t>
      </text>
    </comment>
    <comment ref="C116" authorId="0" shapeId="0" xr:uid="{348F40F0-CA85-4A43-8E17-E0153537F570}">
      <text>
        <r>
          <rPr>
            <b/>
            <sz val="9"/>
            <color indexed="81"/>
            <rFont val="Segoe UI"/>
            <family val="2"/>
          </rPr>
          <t>Autor:</t>
        </r>
        <r>
          <rPr>
            <sz val="9"/>
            <color indexed="81"/>
            <rFont val="Segoe UI"/>
            <family val="2"/>
          </rPr>
          <t xml:space="preserve">
Antecipar ASO para Fevereiro</t>
        </r>
      </text>
    </comment>
    <comment ref="D119" authorId="0" shapeId="0" xr:uid="{6CEDFB85-F951-422E-B01B-164DF19F64A2}">
      <text>
        <r>
          <rPr>
            <b/>
            <sz val="9"/>
            <color indexed="81"/>
            <rFont val="Segoe UI"/>
            <family val="2"/>
          </rPr>
          <t>Autor:</t>
        </r>
        <r>
          <rPr>
            <sz val="9"/>
            <color indexed="81"/>
            <rFont val="Segoe UI"/>
            <family val="2"/>
          </rPr>
          <t xml:space="preserve">
Postergado em 7 dias devido a limitação de POB em SG</t>
        </r>
      </text>
    </comment>
    <comment ref="E119" authorId="2" shapeId="0" xr:uid="{C2788AD7-7725-4F18-AEFD-2C7C0ADF13FC}">
      <text>
        <t xml:space="preserve">[Threaded comment]
Your version of Excel allows you to read this threaded comment; however, any edits to it will get removed if the file is opened in a newer version of Excel. Learn more: https://go.microsoft.com/fwlink/?linkid=870924
Comment:
    Retorno antecipado em dois dias por causa do preço das passagens
</t>
      </text>
    </comment>
  </commentList>
</comments>
</file>

<file path=xl/sharedStrings.xml><?xml version="1.0" encoding="utf-8"?>
<sst xmlns="http://schemas.openxmlformats.org/spreadsheetml/2006/main" count="868" uniqueCount="329">
  <si>
    <t>Disciplina</t>
  </si>
  <si>
    <t>Matrícula</t>
  </si>
  <si>
    <t>Chave</t>
  </si>
  <si>
    <t>Função</t>
  </si>
  <si>
    <t>Projeto</t>
  </si>
  <si>
    <t>Experiência</t>
  </si>
  <si>
    <t>E-mail</t>
  </si>
  <si>
    <t>Nome</t>
  </si>
  <si>
    <t>Escalado Angra?</t>
  </si>
  <si>
    <t>EP</t>
  </si>
  <si>
    <t>ELET</t>
  </si>
  <si>
    <t>FWB5</t>
  </si>
  <si>
    <t>Técnico</t>
  </si>
  <si>
    <t>P80</t>
  </si>
  <si>
    <t>Novo</t>
  </si>
  <si>
    <t>tonicler.kutz@petrobras.com.br</t>
  </si>
  <si>
    <t>TONICLER KUTZ</t>
  </si>
  <si>
    <t>Planejar</t>
  </si>
  <si>
    <t>FW66</t>
  </si>
  <si>
    <t>P82</t>
  </si>
  <si>
    <t>luiz.ramos3@petrobras.com.br</t>
  </si>
  <si>
    <t>LUIZ FERNANDO</t>
  </si>
  <si>
    <t>X</t>
  </si>
  <si>
    <t>FVVS</t>
  </si>
  <si>
    <t>P83</t>
  </si>
  <si>
    <t>breno.batista@petrobras.com.br</t>
  </si>
  <si>
    <t>BRENO CARVALHO</t>
  </si>
  <si>
    <t>HFO8</t>
  </si>
  <si>
    <t>jorge.mariano@petrobras.com.br</t>
  </si>
  <si>
    <t>JORGE HENRIQUE</t>
  </si>
  <si>
    <t/>
  </si>
  <si>
    <t>INST</t>
  </si>
  <si>
    <t>APDZ</t>
  </si>
  <si>
    <t>Experiente</t>
  </si>
  <si>
    <t>er.amaral@petrobras.com.br</t>
  </si>
  <si>
    <t>EDUARDO RIBEIRO</t>
  </si>
  <si>
    <t>EMITIDO 29/12/2025</t>
  </si>
  <si>
    <t>F9TE</t>
  </si>
  <si>
    <t>reinaldo.merendaz@petrobras.com.br</t>
  </si>
  <si>
    <t>REINALDO MERENDAZ</t>
  </si>
  <si>
    <t>URDD</t>
  </si>
  <si>
    <t>igorteixeira@petrobras.com.br</t>
  </si>
  <si>
    <t>IGOR TEIXEIRA</t>
  </si>
  <si>
    <t>PLANEJAR</t>
  </si>
  <si>
    <t>F9XJ</t>
  </si>
  <si>
    <t>junio.matos@petrobras.com.br</t>
  </si>
  <si>
    <t>JUNIO AGOSTINHO</t>
  </si>
  <si>
    <t>MEC</t>
  </si>
  <si>
    <t>MGKN</t>
  </si>
  <si>
    <t>marsantos@petrobras.com.br</t>
  </si>
  <si>
    <r>
      <t xml:space="preserve">MARCELO </t>
    </r>
    <r>
      <rPr>
        <sz val="9"/>
        <color theme="1"/>
        <rFont val="Calibri"/>
        <family val="2"/>
        <scheme val="minor"/>
      </rPr>
      <t>RODRIGUES</t>
    </r>
  </si>
  <si>
    <t>APROVADO RETIRAR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</si>
  <si>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</si>
  <si>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</si>
  <si>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</si>
  <si>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</si>
  <si>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</si>
  <si>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</si>
  <si>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</si>
  <si>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</si>
  <si>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</si>
  <si>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</si>
  <si>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</si>
  <si>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</si>
  <si>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</si>
  <si>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</si>
  <si>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</si>
  <si>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</si>
  <si>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</si>
  <si>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</si>
  <si>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</si>
  <si>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</si>
  <si>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</si>
  <si>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</si>
  <si>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</si>
  <si>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</si>
  <si>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</si>
  <si>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</si>
  <si>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</si>
  <si>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</si>
  <si>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</si>
  <si>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</si>
  <si>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</si>
  <si>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</si>
  <si>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</si>
  <si>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</si>
  <si>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</si>
  <si>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</si>
  <si>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</si>
  <si>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</si>
  <si>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</si>
  <si>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</si>
  <si>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</si>
  <si>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</si>
  <si>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</si>
  <si>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</si>
  <si>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</si>
  <si>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</si>
  <si>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</si>
  <si>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</si>
  <si>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</si>
  <si>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</si>
  <si>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</si>
  <si>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</si>
  <si>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</si>
  <si>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EMITIDO 26/11/2025</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</si>
  <si>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</si>
  <si>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</si>
  <si>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</si>
  <si>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</si>
  <si>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</si>
  <si>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</si>
  <si>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</si>
  <si>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</si>
  <si>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</si>
  <si>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</si>
  <si>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</si>
  <si>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</si>
  <si>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</si>
  <si>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</si>
  <si>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</si>
  <si>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</si>
  <si>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</si>
  <si>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</si>
  <si>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</si>
  <si>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</si>
  <si>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</si>
  <si>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</si>
  <si>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</si>
  <si>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</si>
  <si>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</si>
  <si>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</si>
  <si>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</si>
  <si>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</si>
  <si>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</si>
  <si>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</si>
  <si>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</si>
  <si>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</si>
  <si>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</si>
  <si>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</si>
  <si>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</si>
  <si>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</si>
  <si>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</si>
  <si>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</si>
  <si>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</si>
  <si>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</si>
  <si>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</si>
  <si>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</si>
  <si>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G7OU</t>
  </si>
  <si>
    <t>filipi.pinto@petrobras.com.br</t>
  </si>
  <si>
    <t>FILIPI MARQUEZINE</t>
  </si>
  <si>
    <t>G7PT</t>
  </si>
  <si>
    <t>edison.amaral@petrobras.com.br</t>
  </si>
  <si>
    <t>EDISON NOVAES</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</si>
  <si>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</si>
  <si>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</si>
  <si>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</si>
  <si>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</si>
  <si>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</si>
  <si>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</si>
  <si>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</si>
  <si>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</si>
  <si>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</si>
  <si>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</si>
  <si>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</si>
  <si>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</si>
  <si>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</si>
  <si>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</si>
  <si>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</si>
  <si>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</si>
  <si>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</si>
  <si>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</si>
  <si>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URCQ</t>
  </si>
  <si>
    <t>alexandre.martins@petrobras.com.br</t>
  </si>
  <si>
    <t>ALEXANDRE MARTINS</t>
  </si>
  <si>
    <t>LMJ5</t>
  </si>
  <si>
    <t>acrodrig@petrobras.com.br</t>
  </si>
  <si>
    <t>ANDERSON COUTINHO</t>
  </si>
  <si>
    <t>URCU</t>
  </si>
  <si>
    <t>acdantas@petrobras.com.br</t>
  </si>
  <si>
    <t>ANTONIO DANTAS</t>
  </si>
  <si>
    <t>UREM</t>
  </si>
  <si>
    <t>aureliorv@petrobras.com.br</t>
  </si>
  <si>
    <t>AURELIO RODRIGUES</t>
  </si>
  <si>
    <t>WUXI</t>
  </si>
  <si>
    <t>jluiscruz@petrobras.com.br</t>
  </si>
  <si>
    <t>JOSE LUIS</t>
  </si>
  <si>
    <t>RH5O</t>
  </si>
  <si>
    <t>fredericoaugusto@petrobras.com.br</t>
  </si>
  <si>
    <t>FREDERICO AUGUSTO</t>
  </si>
  <si>
    <t>N7SC</t>
  </si>
  <si>
    <t>rodrigosfn@petrobras.com.br</t>
  </si>
  <si>
    <t>RODRIGO SCORALICK</t>
  </si>
  <si>
    <t>EVIA</t>
  </si>
  <si>
    <t>ATR</t>
  </si>
  <si>
    <t>gabriel.boaventura@petrobras.com.br</t>
  </si>
  <si>
    <t>Gabriel Boaventura</t>
  </si>
  <si>
    <t>JULIE CORREIA</t>
  </si>
  <si>
    <t>G</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</si>
  <si>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</si>
  <si>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</si>
  <si>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</si>
  <si>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</si>
  <si>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</si>
  <si>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</si>
  <si>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</si>
  <si>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</si>
  <si>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</si>
  <si>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</si>
  <si>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</si>
  <si>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</si>
  <si>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</si>
  <si>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</si>
  <si>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</si>
  <si>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</si>
  <si>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P-83</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</si>
  <si>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</si>
  <si>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</si>
  <si>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</si>
  <si>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</si>
  <si>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</si>
  <si>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</si>
  <si>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Instrumentação CGM</t>
  </si>
  <si>
    <t>SEMANA DO CARNAVAL</t>
  </si>
  <si>
    <t>Eletricista CGM</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</si>
  <si>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</si>
  <si>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</si>
  <si>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(P-80)</t>
  </si>
  <si>
    <t>MARCELO RODRIGUES</t>
  </si>
  <si>
    <t>Instrumentação CGM (P-80)</t>
  </si>
  <si>
    <t>ÁUREO JUNIOR</t>
  </si>
  <si>
    <t>FLÁVIO MARINHO</t>
  </si>
  <si>
    <t>Singapura (P80 - CGM - Engenharia) - Full load</t>
  </si>
  <si>
    <t>Engenharia CGM (Mecânica) - Hazop MOC</t>
  </si>
  <si>
    <t>Engenharia CGM( Mecânica)</t>
  </si>
  <si>
    <t>Engenharia CGM ( Mecânica)</t>
  </si>
  <si>
    <t>Nantong - China (P-80 - CGM)</t>
  </si>
  <si>
    <t>Bloco de título de fase de exemplo</t>
  </si>
  <si>
    <t>Yantai - China (P-80 - ATR)</t>
  </si>
  <si>
    <t>Engenheiro de Equipamentos</t>
  </si>
  <si>
    <t>Pablo Ferreira</t>
  </si>
  <si>
    <t>Eduardo Tavares</t>
  </si>
  <si>
    <t>Singapura (P-80 - ATR)</t>
  </si>
  <si>
    <t>Eng. Equip. Mecânica</t>
  </si>
  <si>
    <t>Eduardo Sena</t>
  </si>
  <si>
    <t>Délcio</t>
  </si>
  <si>
    <t>Eng. Equip. Elétrica</t>
  </si>
  <si>
    <t>Eng. Equip. Eletrônica</t>
  </si>
  <si>
    <t>Carlos Augusto</t>
  </si>
  <si>
    <t>Pablo</t>
  </si>
  <si>
    <t>Daniel</t>
  </si>
  <si>
    <t>P-82</t>
  </si>
  <si>
    <t>Singapura (P-82 - CGM)</t>
  </si>
  <si>
    <t>Instrumentação CGM (P-82)</t>
  </si>
  <si>
    <t>Mecânica CGM (P-82)</t>
  </si>
  <si>
    <t>Engenharia CGM</t>
  </si>
  <si>
    <t>LUIZ VITOR</t>
  </si>
  <si>
    <t>e5</t>
  </si>
  <si>
    <t>Engenheiro PBAC</t>
  </si>
  <si>
    <t>Engenharia EEDSE</t>
  </si>
  <si>
    <t>Engenheiro EEDSE</t>
  </si>
  <si>
    <t>EJA  (P-82 - CGM)</t>
  </si>
  <si>
    <t>Supervisor CGM</t>
  </si>
  <si>
    <t>Mecânica CGM</t>
  </si>
  <si>
    <t>Qidong - China (P-82 - ATR)</t>
  </si>
  <si>
    <t>Camila Ranucci de Luca</t>
  </si>
  <si>
    <t>Gabriel Boaventura Andrade</t>
  </si>
  <si>
    <t>Singapura (P-82 - ATR)</t>
  </si>
  <si>
    <t>Fábio Vinícius</t>
  </si>
  <si>
    <t>Eng. Equp. Mecânica</t>
  </si>
  <si>
    <t>Daniel Bueno</t>
  </si>
  <si>
    <t>Rafael Sales</t>
  </si>
  <si>
    <t>Técnico Mecânica ATR</t>
  </si>
  <si>
    <t>Reginaldo Alves</t>
  </si>
  <si>
    <t>Singapura (P-83 - CGM)</t>
  </si>
  <si>
    <t>Mecânica CGM (P-83)</t>
  </si>
  <si>
    <t>Instrumentação CGM (P-83)</t>
  </si>
  <si>
    <t>VICTOR LÊDO</t>
  </si>
  <si>
    <t>Engenharia CGM (ELE)</t>
  </si>
  <si>
    <t>Elienai de Oliveira Macedo</t>
  </si>
  <si>
    <t>Engenharia CGM (MEC)</t>
  </si>
  <si>
    <t>Engenharia CGM (INS)</t>
  </si>
  <si>
    <t>Nantong - China (P-83 - CGM)</t>
  </si>
  <si>
    <t>Yantai - China (P-83 - ATR)</t>
  </si>
  <si>
    <t>João Eduardo</t>
  </si>
  <si>
    <t>Rodrigo D'Amico</t>
  </si>
  <si>
    <t>M-17 Batam (P-83 - ATR)</t>
  </si>
  <si>
    <t> </t>
  </si>
  <si>
    <t>Ana Clara</t>
  </si>
  <si>
    <t>Singapura (P-83 - ATR)</t>
  </si>
  <si>
    <t>Rafael Pitta</t>
  </si>
  <si>
    <t>Henrique Alberto Loureiro</t>
  </si>
  <si>
    <t>Lucas Eduardo de Oliveira Cândido</t>
  </si>
  <si>
    <t>Esta é uma linha vazia</t>
  </si>
  <si>
    <t>Insira novas linhas ACIMA desta</t>
  </si>
  <si>
    <t>Esta linha marca o final do Cronograma do projeto. NÃO insira nada nessa linha. 
Insira novas linhas ACIMA desta linha para continuar a construção do cronograma de projeto.</t>
  </si>
  <si>
    <t>Matrícula - Nome</t>
  </si>
  <si>
    <t>Equipe</t>
  </si>
  <si>
    <t>Tutor</t>
  </si>
  <si>
    <t>4613176 - Filipi Marquezine De Souza Lopes Pinto</t>
  </si>
  <si>
    <t>CGM</t>
  </si>
  <si>
    <t>Anderson José Soares</t>
  </si>
  <si>
    <t>4613498 - Aline Fernanda Silva Araujo</t>
  </si>
  <si>
    <t>Carlos Augusto Santos Anjos</t>
  </si>
  <si>
    <t>4613186 - Edison Novaes Do Amaral</t>
  </si>
  <si>
    <t>Tadeu Menegussi Neves</t>
  </si>
  <si>
    <t>4612389 - Ronald Quaresma Da Silva Junior</t>
  </si>
  <si>
    <t>Pietro Serpa konzgen</t>
  </si>
  <si>
    <t>4612393 - Jailton Dos Santos Conceicao</t>
  </si>
  <si>
    <t>Antônio Rafael Pinto Cunha</t>
  </si>
  <si>
    <t>4612192 - Victor Fernandes Campos</t>
  </si>
  <si>
    <t>4612243 - Pablo Pereira Almeida</t>
  </si>
  <si>
    <t>4612247 - Ricardo Uema</t>
  </si>
  <si>
    <t>4612228 - Luiz Gustavo Carrasco Serpa</t>
  </si>
  <si>
    <t>4612098 - Andre Luiz Da Silva</t>
  </si>
  <si>
    <t>4612126 - Thielles Milbratz Gustavo</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</si>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</sst>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3">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s>
  <fills count="60">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
      <patternFill patternType="solid">
        <fgColor theme="8" tint="0.79998168889431442"/>
        <bgColor indexed="64"/>
      </patternFill>
    </fill>
    <fill>
      <patternFill patternType="solid">
        <fgColor rgb="FF00B0F0"/>
        <bgColor indexed="64"/>
      </patternFill>
    </fill>
    <fill>
      <patternFill patternType="solid">
        <fgColor rgb="FF00B050"/>
        <bgColor indexed="64"/>
      </patternFill>
    </fill>
  </fills>
  <borders count="35">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
      <left/>
      <right/>
      <top/>
      <bottom style="medium">
        <color theme="0" tint="-0.14996795556505021"/>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diagonal/>
    </border>
    <border>
      <left/>
      <right/>
      <top style="medium">
        <color rgb="FFD9D9D9"/>
      </top>
      <bottom style="medium">
        <color theme="0" tint="-0.14996795556505021"/>
      </bottom>
      <diagonal/>
    </border>
  </borders>
  <cellStyleXfs count="54">
    <xf numFmtId="0" fontId="0" fillId="0" borderId="0"/>
    <xf numFmtId="9" fontId="9" fillId="0" borderId="0" applyFont="0" applyFill="0" applyBorder="0" applyAlignment="0" applyProtection="0"/>
    <xf numFmtId="0" fontId="15" fillId="0" borderId="0"/>
    <xf numFmtId="9"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19" fillId="0" borderId="0" applyNumberFormat="0" applyFill="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0" applyNumberFormat="0" applyBorder="0" applyAlignment="0" applyProtection="0"/>
    <xf numFmtId="0" fontId="23" fillId="17" borderId="11" applyNumberFormat="0" applyAlignment="0" applyProtection="0"/>
    <xf numFmtId="0" fontId="24" fillId="18" borderId="12" applyNumberFormat="0" applyAlignment="0" applyProtection="0"/>
    <xf numFmtId="0" fontId="25" fillId="18" borderId="11" applyNumberFormat="0" applyAlignment="0" applyProtection="0"/>
    <xf numFmtId="0" fontId="26" fillId="0" borderId="13" applyNumberFormat="0" applyFill="0" applyAlignment="0" applyProtection="0"/>
    <xf numFmtId="0" fontId="27" fillId="19" borderId="14" applyNumberFormat="0" applyAlignment="0" applyProtection="0"/>
    <xf numFmtId="0" fontId="28" fillId="0" borderId="0" applyNumberFormat="0" applyFill="0" applyBorder="0" applyAlignment="0" applyProtection="0"/>
    <xf numFmtId="0" fontId="9" fillId="20"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5"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5"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5"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5"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5"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5"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3" fillId="0" borderId="0" applyNumberFormat="0" applyFill="0" applyBorder="0" applyAlignment="0" applyProtection="0"/>
  </cellStyleXfs>
  <cellXfs count="253">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0" fontId="13" fillId="0" borderId="0" xfId="0" applyFont="1"/>
    <xf numFmtId="0" fontId="14" fillId="0" borderId="0" xfId="53" applyFont="1" applyAlignment="1" applyProtection="1"/>
    <xf numFmtId="9" fontId="5" fillId="0" borderId="2" xfId="1"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1" applyFont="1" applyFill="1" applyBorder="1" applyAlignment="1">
      <alignment horizontal="center" vertical="center"/>
    </xf>
    <xf numFmtId="9" fontId="5" fillId="3" borderId="2" xfId="1"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1" applyFont="1" applyFill="1" applyBorder="1" applyAlignment="1">
      <alignment horizontal="center" vertical="center"/>
    </xf>
    <xf numFmtId="9" fontId="5" fillId="4" borderId="2" xfId="1"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1" applyFont="1" applyFill="1" applyBorder="1" applyAlignment="1">
      <alignment horizontal="center" vertical="center"/>
    </xf>
    <xf numFmtId="9" fontId="5" fillId="11" borderId="2" xfId="1" applyFont="1" applyFill="1" applyBorder="1" applyAlignment="1">
      <alignment horizontal="center" vertical="center"/>
    </xf>
    <xf numFmtId="0" fontId="6" fillId="5" borderId="2" xfId="0" applyFont="1" applyFill="1" applyBorder="1" applyAlignment="1">
      <alignment horizontal="left" vertical="center" indent="1"/>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2"/>
    <xf numFmtId="0" fontId="15" fillId="0" borderId="0" xfId="2" applyAlignment="1">
      <alignment wrapText="1"/>
    </xf>
    <xf numFmtId="0" fontId="15" fillId="0" borderId="0" xfId="0" applyFont="1" applyAlignment="1">
      <alignment horizontal="center"/>
    </xf>
    <xf numFmtId="0" fontId="0" fillId="0" borderId="0" xfId="0" applyAlignment="1">
      <alignment wrapText="1"/>
    </xf>
    <xf numFmtId="0" fontId="12" fillId="0" borderId="0" xfId="4" applyAlignment="1">
      <alignment horizontal="left"/>
    </xf>
    <xf numFmtId="0" fontId="10" fillId="0" borderId="0" xfId="5"/>
    <xf numFmtId="0" fontId="9" fillId="8" borderId="2" xfId="10" applyFill="1">
      <alignment horizontal="center" vertical="center"/>
    </xf>
    <xf numFmtId="0" fontId="9" fillId="3" borderId="2" xfId="10" applyFill="1">
      <alignment horizontal="center" vertical="center"/>
    </xf>
    <xf numFmtId="0" fontId="9" fillId="9" borderId="2" xfId="10" applyFill="1">
      <alignment horizontal="center" vertical="center"/>
    </xf>
    <xf numFmtId="0" fontId="9" fillId="4" borderId="2" xfId="10" applyFill="1">
      <alignment horizontal="center" vertical="center"/>
    </xf>
    <xf numFmtId="0" fontId="9" fillId="6" borderId="2" xfId="10" applyFill="1">
      <alignment horizontal="center" vertical="center"/>
    </xf>
    <xf numFmtId="0" fontId="9" fillId="11" borderId="2" xfId="10" applyFill="1">
      <alignment horizontal="center" vertical="center"/>
    </xf>
    <xf numFmtId="0" fontId="9" fillId="0" borderId="2" xfId="10">
      <alignment horizontal="center" vertical="center"/>
    </xf>
    <xf numFmtId="0" fontId="9" fillId="3" borderId="2" xfId="11" applyFill="1">
      <alignment horizontal="left" vertical="center" indent="2"/>
    </xf>
    <xf numFmtId="0" fontId="9" fillId="4" borderId="2" xfId="11" applyFill="1">
      <alignment horizontal="left" vertical="center" indent="2"/>
    </xf>
    <xf numFmtId="0" fontId="9" fillId="11" borderId="2" xfId="11" applyFill="1">
      <alignment horizontal="left" vertical="center" indent="2"/>
    </xf>
    <xf numFmtId="0" fontId="9" fillId="0" borderId="2" xfId="11">
      <alignment horizontal="left" vertical="center" indent="2"/>
    </xf>
    <xf numFmtId="0" fontId="0" fillId="0" borderId="10" xfId="0" applyBorder="1"/>
    <xf numFmtId="0" fontId="16" fillId="0" borderId="0" xfId="0" applyFont="1"/>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165" fontId="9" fillId="3" borderId="2" xfId="9" applyFill="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165" fontId="9" fillId="4" borderId="2" xfId="9" applyFill="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165" fontId="9" fillId="11" borderId="2" xfId="9" applyFill="1">
      <alignment horizontal="center" vertical="center"/>
    </xf>
    <xf numFmtId="165" fontId="9" fillId="0" borderId="2" xfId="9">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14" fontId="0" fillId="0" borderId="0" xfId="0" applyNumberFormat="1"/>
    <xf numFmtId="167" fontId="30" fillId="7" borderId="6" xfId="0" applyNumberFormat="1" applyFont="1" applyFill="1" applyBorder="1" applyAlignment="1">
      <alignment horizontal="center" vertical="center"/>
    </xf>
    <xf numFmtId="167" fontId="30" fillId="7" borderId="0" xfId="0" applyNumberFormat="1" applyFont="1" applyFill="1" applyAlignment="1">
      <alignment horizontal="center" vertical="center"/>
    </xf>
    <xf numFmtId="167" fontId="30" fillId="7" borderId="7" xfId="0" applyNumberFormat="1" applyFont="1" applyFill="1" applyBorder="1" applyAlignment="1">
      <alignment horizontal="center" vertical="center"/>
    </xf>
    <xf numFmtId="168" fontId="9" fillId="0" borderId="3" xfId="8" applyAlignment="1">
      <alignment vertical="center"/>
    </xf>
    <xf numFmtId="168" fontId="9" fillId="0" borderId="18" xfId="8" applyBorder="1" applyAlignment="1">
      <alignment vertical="center" wrapText="1"/>
    </xf>
    <xf numFmtId="0" fontId="9" fillId="0" borderId="17" xfId="7" applyBorder="1" applyAlignment="1">
      <alignment horizontal="left" vertical="center"/>
    </xf>
    <xf numFmtId="0" fontId="0" fillId="45" borderId="0" xfId="0" applyFill="1"/>
    <xf numFmtId="167" fontId="30" fillId="45" borderId="0" xfId="0" applyNumberFormat="1" applyFont="1" applyFill="1" applyAlignment="1">
      <alignment horizontal="center" vertical="center"/>
    </xf>
    <xf numFmtId="0" fontId="11"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30" fillId="6" borderId="0" xfId="0" applyNumberFormat="1" applyFont="1" applyFill="1" applyAlignment="1">
      <alignment horizontal="center" vertical="center"/>
    </xf>
    <xf numFmtId="0" fontId="11" fillId="6" borderId="8" xfId="0" applyFont="1" applyFill="1" applyBorder="1" applyAlignment="1">
      <alignment horizontal="center" vertical="center" shrinkToFit="1"/>
    </xf>
    <xf numFmtId="0" fontId="0" fillId="6" borderId="9" xfId="0" applyFill="1" applyBorder="1" applyAlignment="1">
      <alignment vertical="center"/>
    </xf>
    <xf numFmtId="0" fontId="31" fillId="47" borderId="17" xfId="0" applyFont="1" applyFill="1" applyBorder="1" applyAlignment="1">
      <alignment horizontal="center" vertical="center"/>
    </xf>
    <xf numFmtId="0" fontId="32" fillId="0" borderId="17" xfId="0" applyFont="1" applyBorder="1" applyAlignment="1">
      <alignment horizontal="center" vertical="center"/>
    </xf>
    <xf numFmtId="0" fontId="32" fillId="48" borderId="17" xfId="0" applyFont="1" applyFill="1" applyBorder="1" applyAlignment="1">
      <alignment horizontal="center" vertical="center"/>
    </xf>
    <xf numFmtId="0" fontId="0" fillId="11" borderId="2" xfId="11" applyFont="1" applyFill="1">
      <alignment horizontal="left" vertical="center" indent="2"/>
    </xf>
    <xf numFmtId="0" fontId="6" fillId="51" borderId="2" xfId="0" applyFont="1" applyFill="1" applyBorder="1" applyAlignment="1">
      <alignment horizontal="left" vertical="center" indent="1"/>
    </xf>
    <xf numFmtId="14" fontId="9" fillId="50" borderId="2" xfId="11" applyNumberFormat="1" applyFill="1">
      <alignment horizontal="left" vertical="center" indent="2"/>
    </xf>
    <xf numFmtId="0" fontId="0" fillId="10" borderId="2" xfId="11" applyFont="1" applyFill="1">
      <alignment horizontal="left" vertical="center" indent="2"/>
    </xf>
    <xf numFmtId="14" fontId="0" fillId="50" borderId="2" xfId="11" applyNumberFormat="1" applyFont="1" applyFill="1">
      <alignment horizontal="left" vertical="center" indent="2"/>
    </xf>
    <xf numFmtId="0" fontId="9" fillId="9" borderId="2" xfId="11" applyFill="1">
      <alignment horizontal="left" vertical="center" indent="2"/>
    </xf>
    <xf numFmtId="0" fontId="27" fillId="46" borderId="17" xfId="0" applyFont="1" applyFill="1" applyBorder="1" applyAlignment="1">
      <alignment horizontal="center"/>
    </xf>
    <xf numFmtId="0" fontId="27" fillId="46" borderId="19" xfId="0" applyFont="1" applyFill="1" applyBorder="1" applyAlignment="1">
      <alignment horizontal="center"/>
    </xf>
    <xf numFmtId="0" fontId="27" fillId="46" borderId="20" xfId="0" applyFont="1" applyFill="1" applyBorder="1" applyAlignment="1">
      <alignment horizontal="center"/>
    </xf>
    <xf numFmtId="0" fontId="31" fillId="48" borderId="17" xfId="0" applyFont="1" applyFill="1" applyBorder="1" applyAlignment="1">
      <alignment horizontal="center" vertical="center"/>
    </xf>
    <xf numFmtId="0" fontId="31" fillId="48" borderId="19" xfId="0" applyFont="1" applyFill="1" applyBorder="1" applyAlignment="1">
      <alignment horizontal="center" vertical="center"/>
    </xf>
    <xf numFmtId="0" fontId="32" fillId="48" borderId="20" xfId="0" applyFont="1" applyFill="1" applyBorder="1" applyAlignment="1">
      <alignment horizontal="center" vertical="center"/>
    </xf>
    <xf numFmtId="0" fontId="31" fillId="0" borderId="17" xfId="0" applyFont="1" applyBorder="1" applyAlignment="1">
      <alignment horizontal="center" vertical="center"/>
    </xf>
    <xf numFmtId="0" fontId="31" fillId="0" borderId="19" xfId="0" applyFont="1" applyBorder="1" applyAlignment="1">
      <alignment horizontal="center" vertical="center"/>
    </xf>
    <xf numFmtId="0" fontId="32" fillId="0" borderId="20" xfId="0" applyFont="1" applyBorder="1" applyAlignment="1">
      <alignment horizontal="center" vertical="center"/>
    </xf>
    <xf numFmtId="0" fontId="31" fillId="47" borderId="21" xfId="0" applyFont="1" applyFill="1" applyBorder="1" applyAlignment="1">
      <alignment horizontal="center" vertical="center"/>
    </xf>
    <xf numFmtId="0" fontId="31" fillId="0" borderId="22" xfId="0" applyFont="1" applyBorder="1" applyAlignment="1">
      <alignment horizontal="center" vertical="center"/>
    </xf>
    <xf numFmtId="0" fontId="32" fillId="0" borderId="23" xfId="0" applyFont="1" applyBorder="1" applyAlignment="1">
      <alignment horizontal="center" vertical="center"/>
    </xf>
    <xf numFmtId="0" fontId="31" fillId="48" borderId="22" xfId="0" applyFont="1" applyFill="1" applyBorder="1" applyAlignment="1">
      <alignment horizontal="center" vertical="center"/>
    </xf>
    <xf numFmtId="0" fontId="32" fillId="48" borderId="23" xfId="0" applyFont="1" applyFill="1" applyBorder="1" applyAlignment="1">
      <alignment horizontal="center" vertical="center"/>
    </xf>
    <xf numFmtId="0" fontId="0" fillId="10" borderId="2" xfId="11" applyFont="1" applyFill="1" applyAlignment="1">
      <alignment horizontal="center" vertical="center"/>
    </xf>
    <xf numFmtId="0" fontId="38" fillId="54" borderId="24" xfId="0" applyFont="1" applyFill="1" applyBorder="1"/>
    <xf numFmtId="0" fontId="40" fillId="0" borderId="24" xfId="0" applyFont="1" applyBorder="1"/>
    <xf numFmtId="0" fontId="39" fillId="55" borderId="25" xfId="0" applyFont="1" applyFill="1" applyBorder="1"/>
    <xf numFmtId="0" fontId="40" fillId="0" borderId="25" xfId="0" applyFont="1" applyBorder="1"/>
    <xf numFmtId="0" fontId="0" fillId="0" borderId="10" xfId="0" applyBorder="1" applyAlignment="1">
      <alignment horizontal="center"/>
    </xf>
    <xf numFmtId="0" fontId="39" fillId="54" borderId="24" xfId="0" applyFont="1" applyFill="1" applyBorder="1" applyAlignment="1">
      <alignment horizontal="center"/>
    </xf>
    <xf numFmtId="14" fontId="39"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9" fillId="0" borderId="3" xfId="8" applyNumberFormat="1">
      <alignment horizontal="center" vertical="center"/>
    </xf>
    <xf numFmtId="14" fontId="9" fillId="0" borderId="0" xfId="7" applyNumberFormat="1" applyAlignment="1">
      <alignment horizontal="center" vertical="center"/>
    </xf>
    <xf numFmtId="14" fontId="0" fillId="0" borderId="10" xfId="0" applyNumberFormat="1" applyBorder="1" applyAlignment="1">
      <alignment horizontal="center" vertical="center"/>
    </xf>
    <xf numFmtId="14" fontId="7" fillId="13" borderId="1" xfId="0" applyNumberFormat="1" applyFont="1" applyFill="1" applyBorder="1" applyAlignment="1">
      <alignment horizontal="center" vertical="center" wrapText="1"/>
    </xf>
    <xf numFmtId="14" fontId="9" fillId="4" borderId="2" xfId="9" applyNumberFormat="1" applyFill="1">
      <alignment horizontal="center" vertical="center"/>
    </xf>
    <xf numFmtId="14" fontId="9" fillId="50" borderId="2" xfId="9" applyNumberFormat="1" applyFill="1">
      <alignment horizontal="center" vertical="center"/>
    </xf>
    <xf numFmtId="14" fontId="9" fillId="11" borderId="2" xfId="9" applyNumberFormat="1" applyFill="1">
      <alignment horizontal="center" vertical="center"/>
    </xf>
    <xf numFmtId="14" fontId="0" fillId="11" borderId="2" xfId="9" applyNumberFormat="1" applyFont="1" applyFill="1">
      <alignment horizontal="center" vertical="center"/>
    </xf>
    <xf numFmtId="14" fontId="9" fillId="10" borderId="2" xfId="9" applyNumberFormat="1" applyFill="1">
      <alignment horizontal="center" vertical="center"/>
    </xf>
    <xf numFmtId="14" fontId="0" fillId="5" borderId="2" xfId="0" applyNumberFormat="1" applyFill="1" applyBorder="1" applyAlignment="1">
      <alignment horizontal="center" vertical="center"/>
    </xf>
    <xf numFmtId="14" fontId="5" fillId="5" borderId="2" xfId="0" applyNumberFormat="1" applyFont="1" applyFill="1" applyBorder="1" applyAlignment="1">
      <alignment horizontal="center" vertical="center"/>
    </xf>
    <xf numFmtId="14" fontId="0" fillId="10" borderId="2" xfId="9" applyNumberFormat="1" applyFont="1" applyFill="1">
      <alignment horizontal="center" vertical="center"/>
    </xf>
    <xf numFmtId="14" fontId="0" fillId="51" borderId="2" xfId="0" applyNumberFormat="1" applyFill="1" applyBorder="1" applyAlignment="1">
      <alignment horizontal="center" vertical="center"/>
    </xf>
    <xf numFmtId="14" fontId="5" fillId="51" borderId="2" xfId="0" applyNumberFormat="1" applyFont="1" applyFill="1" applyBorder="1" applyAlignment="1">
      <alignment horizontal="center" vertical="center"/>
    </xf>
    <xf numFmtId="14" fontId="9" fillId="9" borderId="2" xfId="9" applyNumberFormat="1" applyFill="1">
      <alignment horizontal="center" vertical="center"/>
    </xf>
    <xf numFmtId="14" fontId="0" fillId="6" borderId="2" xfId="0" applyNumberFormat="1" applyFill="1" applyBorder="1" applyAlignment="1">
      <alignment horizontal="center" vertical="center"/>
    </xf>
    <xf numFmtId="14" fontId="5" fillId="6" borderId="2"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40" fillId="54" borderId="24" xfId="0" applyNumberFormat="1" applyFont="1" applyFill="1" applyBorder="1" applyAlignment="1">
      <alignment horizontal="center" vertical="center"/>
    </xf>
    <xf numFmtId="14" fontId="9" fillId="0" borderId="2" xfId="9" applyNumberFormat="1">
      <alignment horizontal="center" vertical="center"/>
    </xf>
    <xf numFmtId="14" fontId="4" fillId="2" borderId="2" xfId="0" applyNumberFormat="1" applyFont="1" applyFill="1" applyBorder="1" applyAlignment="1">
      <alignment horizontal="center" vertical="center"/>
    </xf>
    <xf numFmtId="14" fontId="5" fillId="2" borderId="2" xfId="0" applyNumberFormat="1" applyFont="1" applyFill="1" applyBorder="1" applyAlignment="1">
      <alignment horizontal="center" vertical="center"/>
    </xf>
    <xf numFmtId="0" fontId="1" fillId="0" borderId="0" xfId="0" applyFont="1" applyAlignment="1">
      <alignment horizontal="center"/>
    </xf>
    <xf numFmtId="168" fontId="31" fillId="0" borderId="18" xfId="8" applyFont="1" applyBorder="1" applyAlignment="1">
      <alignment horizontal="center" vertical="center" wrapText="1"/>
    </xf>
    <xf numFmtId="0" fontId="0" fillId="0" borderId="0" xfId="0" applyAlignment="1">
      <alignment horizontal="center" wrapText="1"/>
    </xf>
    <xf numFmtId="0" fontId="9" fillId="53" borderId="2" xfId="10" applyFill="1">
      <alignment horizontal="center" vertical="center"/>
    </xf>
    <xf numFmtId="0" fontId="0" fillId="11" borderId="2" xfId="10" applyFont="1" applyFill="1">
      <alignment horizontal="center" vertical="center"/>
    </xf>
    <xf numFmtId="0" fontId="9" fillId="10" borderId="2" xfId="10" applyFill="1">
      <alignment horizontal="center" vertical="center"/>
    </xf>
    <xf numFmtId="0" fontId="0" fillId="5" borderId="2" xfId="10" applyFont="1" applyFill="1">
      <alignment horizontal="center" vertical="center"/>
    </xf>
    <xf numFmtId="0" fontId="9" fillId="51" borderId="2" xfId="10" applyFill="1">
      <alignment horizontal="center" vertical="center"/>
    </xf>
    <xf numFmtId="0" fontId="9" fillId="50" borderId="2" xfId="10" applyFill="1">
      <alignment horizontal="center" vertical="center"/>
    </xf>
    <xf numFmtId="0" fontId="0" fillId="6" borderId="2" xfId="10" applyFont="1" applyFill="1">
      <alignment horizontal="center" vertical="center"/>
    </xf>
    <xf numFmtId="0" fontId="39" fillId="55" borderId="25" xfId="0" applyFont="1" applyFill="1" applyBorder="1" applyAlignment="1">
      <alignment horizontal="center"/>
    </xf>
    <xf numFmtId="0" fontId="0" fillId="10" borderId="2" xfId="10" applyFont="1" applyFill="1">
      <alignment horizontal="center" vertical="center"/>
    </xf>
    <xf numFmtId="0" fontId="9" fillId="45" borderId="2" xfId="11" applyFill="1">
      <alignment horizontal="left" vertical="center" indent="2"/>
    </xf>
    <xf numFmtId="0" fontId="9" fillId="45" borderId="2" xfId="10" applyFill="1">
      <alignment horizontal="center" vertical="center"/>
    </xf>
    <xf numFmtId="14" fontId="9" fillId="45" borderId="2" xfId="9" applyNumberFormat="1" applyFill="1">
      <alignment horizontal="center" vertical="center"/>
    </xf>
    <xf numFmtId="0" fontId="0" fillId="56" borderId="2" xfId="11" applyFont="1" applyFill="1">
      <alignment horizontal="left" vertical="center" indent="2"/>
    </xf>
    <xf numFmtId="0" fontId="0" fillId="56" borderId="2" xfId="11" applyFont="1" applyFill="1" applyAlignment="1">
      <alignment horizontal="center" vertical="center"/>
    </xf>
    <xf numFmtId="14" fontId="0" fillId="56" borderId="2" xfId="9" applyNumberFormat="1" applyFont="1" applyFill="1">
      <alignment horizontal="center" vertical="center"/>
    </xf>
    <xf numFmtId="0" fontId="5" fillId="56" borderId="2" xfId="0" applyFont="1" applyFill="1" applyBorder="1" applyAlignment="1">
      <alignment horizontal="center" vertical="center"/>
    </xf>
    <xf numFmtId="0" fontId="27" fillId="46" borderId="26" xfId="0" applyFont="1" applyFill="1" applyBorder="1" applyAlignment="1">
      <alignment horizontal="center"/>
    </xf>
    <xf numFmtId="0" fontId="0" fillId="0" borderId="20" xfId="0" applyBorder="1" applyAlignment="1">
      <alignment horizontal="center"/>
    </xf>
    <xf numFmtId="0" fontId="27" fillId="46" borderId="27" xfId="0" applyFont="1" applyFill="1" applyBorder="1" applyAlignment="1">
      <alignment horizontal="center"/>
    </xf>
    <xf numFmtId="0" fontId="0" fillId="0" borderId="27" xfId="0" applyBorder="1"/>
    <xf numFmtId="0" fontId="0" fillId="0" borderId="27" xfId="0" applyBorder="1" applyAlignment="1">
      <alignment horizontal="center"/>
    </xf>
    <xf numFmtId="0" fontId="3" fillId="0" borderId="23" xfId="53" applyFont="1" applyBorder="1" applyAlignment="1" applyProtection="1">
      <alignment horizontal="center" vertical="center"/>
    </xf>
    <xf numFmtId="0" fontId="0" fillId="0" borderId="27" xfId="0" applyBorder="1" applyAlignment="1">
      <alignment horizontal="center" wrapText="1" shrinkToFit="1"/>
    </xf>
    <xf numFmtId="0" fontId="17" fillId="0" borderId="0" xfId="53" applyFont="1" applyAlignment="1" applyProtection="1">
      <alignment vertical="top"/>
    </xf>
    <xf numFmtId="0" fontId="0" fillId="9" borderId="2" xfId="11" applyFont="1" applyFill="1">
      <alignment horizontal="left" vertical="center" indent="2"/>
    </xf>
    <xf numFmtId="0" fontId="0" fillId="9" borderId="2" xfId="10" applyFont="1" applyFill="1">
      <alignment horizontal="center" vertical="center"/>
    </xf>
    <xf numFmtId="14" fontId="0" fillId="9" borderId="2" xfId="9" applyNumberFormat="1" applyFont="1" applyFill="1">
      <alignment horizontal="center" vertical="center"/>
    </xf>
    <xf numFmtId="0" fontId="33" fillId="0" borderId="17" xfId="53" applyFill="1" applyBorder="1" applyAlignment="1">
      <alignment horizontal="center" vertical="center"/>
    </xf>
    <xf numFmtId="0" fontId="33" fillId="48" borderId="17" xfId="53" applyFill="1" applyBorder="1" applyAlignment="1">
      <alignment horizontal="center" vertical="center"/>
    </xf>
    <xf numFmtId="0" fontId="9" fillId="3" borderId="29" xfId="10" applyFill="1" applyBorder="1">
      <alignment horizontal="center" vertical="center"/>
    </xf>
    <xf numFmtId="14" fontId="9" fillId="3" borderId="29" xfId="9" applyNumberFormat="1" applyFill="1" applyBorder="1">
      <alignment horizontal="center" vertical="center"/>
    </xf>
    <xf numFmtId="0" fontId="3" fillId="48" borderId="20" xfId="53" applyFont="1" applyFill="1" applyBorder="1" applyAlignment="1" applyProtection="1">
      <alignment horizontal="center" vertical="center"/>
    </xf>
    <xf numFmtId="0" fontId="3" fillId="0" borderId="20" xfId="53" applyFont="1" applyBorder="1" applyAlignment="1" applyProtection="1">
      <alignment horizontal="center" vertical="center"/>
    </xf>
    <xf numFmtId="0" fontId="3" fillId="48" borderId="23" xfId="53" applyFont="1" applyFill="1" applyBorder="1" applyAlignment="1" applyProtection="1">
      <alignment horizontal="center" vertical="center"/>
    </xf>
    <xf numFmtId="0" fontId="3" fillId="48" borderId="17" xfId="53" applyFont="1" applyFill="1" applyBorder="1" applyAlignment="1" applyProtection="1">
      <alignment horizontal="center" vertical="center"/>
    </xf>
    <xf numFmtId="0" fontId="3" fillId="0" borderId="17" xfId="53" applyFont="1" applyBorder="1" applyAlignment="1" applyProtection="1">
      <alignment horizontal="center" vertical="center"/>
    </xf>
    <xf numFmtId="0" fontId="9" fillId="57" borderId="2" xfId="11" applyFill="1">
      <alignment horizontal="left" vertical="center" indent="2"/>
    </xf>
    <xf numFmtId="0" fontId="9" fillId="57" borderId="2" xfId="10" applyFill="1">
      <alignment horizontal="center" vertical="center"/>
    </xf>
    <xf numFmtId="14" fontId="9" fillId="57" borderId="2" xfId="9" applyNumberFormat="1" applyFill="1">
      <alignment horizontal="center" vertical="center"/>
    </xf>
    <xf numFmtId="16" fontId="0" fillId="0" borderId="9" xfId="0" applyNumberFormat="1" applyBorder="1" applyAlignment="1">
      <alignment horizontal="right" vertical="center"/>
    </xf>
    <xf numFmtId="0" fontId="37" fillId="3" borderId="17" xfId="11" applyFont="1" applyFill="1" applyBorder="1">
      <alignment horizontal="left" vertical="center" indent="2"/>
    </xf>
    <xf numFmtId="0" fontId="9" fillId="3" borderId="17" xfId="10" applyFill="1" applyBorder="1">
      <alignment horizontal="center" vertical="center"/>
    </xf>
    <xf numFmtId="14" fontId="9" fillId="3" borderId="17" xfId="9" applyNumberFormat="1" applyFill="1" applyBorder="1">
      <alignment horizontal="center" vertical="center"/>
    </xf>
    <xf numFmtId="0" fontId="9" fillId="3" borderId="17" xfId="11" applyFill="1" applyBorder="1">
      <alignment horizontal="left" vertical="center" indent="2"/>
    </xf>
    <xf numFmtId="0" fontId="28" fillId="3" borderId="17" xfId="10" applyFont="1" applyFill="1" applyBorder="1">
      <alignment horizontal="center" vertical="center"/>
    </xf>
    <xf numFmtId="0" fontId="0" fillId="3" borderId="17" xfId="10" applyFont="1" applyFill="1" applyBorder="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5" fillId="45" borderId="2" xfId="0" applyFont="1" applyFill="1" applyBorder="1" applyAlignment="1">
      <alignment horizontal="center" vertical="center"/>
    </xf>
    <xf numFmtId="0" fontId="31" fillId="47" borderId="30" xfId="0" applyFont="1" applyFill="1" applyBorder="1" applyAlignment="1">
      <alignment horizontal="center" vertical="center"/>
    </xf>
    <xf numFmtId="0" fontId="31" fillId="0" borderId="30" xfId="0" applyFont="1" applyBorder="1" applyAlignment="1">
      <alignment horizontal="center" vertical="center"/>
    </xf>
    <xf numFmtId="0" fontId="31" fillId="0" borderId="31" xfId="0" applyFont="1" applyBorder="1" applyAlignment="1">
      <alignment horizontal="center" vertical="center"/>
    </xf>
    <xf numFmtId="0" fontId="32" fillId="0" borderId="32" xfId="0" applyFont="1" applyBorder="1" applyAlignment="1">
      <alignment horizontal="center" vertical="center"/>
    </xf>
    <xf numFmtId="0" fontId="32" fillId="0" borderId="30" xfId="0" applyFont="1" applyBorder="1" applyAlignment="1">
      <alignment horizontal="center" vertical="center"/>
    </xf>
    <xf numFmtId="0" fontId="33" fillId="0" borderId="30" xfId="53" applyFill="1" applyBorder="1" applyAlignment="1">
      <alignment horizontal="center" vertical="center"/>
    </xf>
    <xf numFmtId="0" fontId="0" fillId="0" borderId="32" xfId="0" applyBorder="1" applyAlignment="1">
      <alignment horizontal="center"/>
    </xf>
    <xf numFmtId="0" fontId="0" fillId="0" borderId="33" xfId="0" applyBorder="1"/>
    <xf numFmtId="0" fontId="31" fillId="47" borderId="27" xfId="0" applyFont="1" applyFill="1" applyBorder="1" applyAlignment="1">
      <alignment horizontal="center" vertical="center"/>
    </xf>
    <xf numFmtId="0" fontId="31" fillId="48" borderId="27" xfId="0" applyFont="1" applyFill="1" applyBorder="1" applyAlignment="1">
      <alignment horizontal="center" vertical="center"/>
    </xf>
    <xf numFmtId="0" fontId="32" fillId="0" borderId="27" xfId="0" applyFont="1" applyBorder="1" applyAlignment="1">
      <alignment horizontal="center" vertical="center"/>
    </xf>
    <xf numFmtId="0" fontId="32" fillId="48" borderId="27" xfId="0" applyFont="1" applyFill="1" applyBorder="1" applyAlignment="1">
      <alignment horizontal="center" vertical="center"/>
    </xf>
    <xf numFmtId="0" fontId="33" fillId="48" borderId="27" xfId="53" applyFill="1" applyBorder="1" applyAlignment="1">
      <alignment horizontal="center" vertical="center"/>
    </xf>
    <xf numFmtId="0" fontId="31" fillId="0" borderId="27" xfId="0" applyFont="1" applyBorder="1" applyAlignment="1">
      <alignment horizontal="center" vertical="center"/>
    </xf>
    <xf numFmtId="0" fontId="33" fillId="0" borderId="27" xfId="53" applyFill="1" applyBorder="1" applyAlignment="1">
      <alignment horizontal="center" vertical="center"/>
    </xf>
    <xf numFmtId="0" fontId="3" fillId="0" borderId="17" xfId="53" applyFont="1" applyBorder="1" applyAlignment="1">
      <alignment horizontal="center" vertical="center"/>
    </xf>
    <xf numFmtId="0" fontId="3" fillId="48" borderId="17" xfId="53" applyFont="1" applyFill="1" applyBorder="1" applyAlignment="1">
      <alignment horizontal="center" vertical="center"/>
    </xf>
    <xf numFmtId="14" fontId="6" fillId="4" borderId="2" xfId="9" applyNumberFormat="1" applyFont="1" applyFill="1">
      <alignment horizontal="center" vertical="center"/>
    </xf>
    <xf numFmtId="14" fontId="6" fillId="10" borderId="2" xfId="9" applyNumberFormat="1" applyFont="1" applyFill="1">
      <alignment horizontal="center" vertical="center"/>
    </xf>
    <xf numFmtId="14" fontId="6" fillId="45" borderId="2" xfId="9" applyNumberFormat="1" applyFont="1" applyFill="1">
      <alignment horizontal="center" vertical="center"/>
    </xf>
    <xf numFmtId="14" fontId="6" fillId="57" borderId="2" xfId="9" applyNumberFormat="1" applyFont="1" applyFill="1">
      <alignment horizontal="center" vertical="center"/>
    </xf>
    <xf numFmtId="14" fontId="6" fillId="50" borderId="2" xfId="9" applyNumberFormat="1" applyFont="1" applyFill="1">
      <alignment horizontal="center" vertical="center"/>
    </xf>
    <xf numFmtId="14" fontId="6" fillId="9" borderId="2" xfId="9" applyNumberFormat="1" applyFont="1" applyFill="1">
      <alignment horizontal="center" vertical="center"/>
    </xf>
    <xf numFmtId="14" fontId="0" fillId="4" borderId="2" xfId="9" applyNumberFormat="1" applyFont="1" applyFill="1">
      <alignment horizontal="center" vertical="center"/>
    </xf>
    <xf numFmtId="0" fontId="0" fillId="0" borderId="17" xfId="0" applyBorder="1" applyAlignment="1">
      <alignment horizontal="center" vertical="center" wrapText="1"/>
    </xf>
    <xf numFmtId="0" fontId="0" fillId="0" borderId="17" xfId="0" applyBorder="1" applyAlignment="1">
      <alignment horizontal="left" vertical="center" wrapText="1"/>
    </xf>
    <xf numFmtId="0" fontId="0" fillId="0" borderId="17" xfId="0" applyBorder="1" applyAlignment="1">
      <alignment horizontal="center"/>
    </xf>
    <xf numFmtId="0" fontId="33" fillId="0" borderId="27" xfId="53" applyBorder="1" applyAlignment="1">
      <alignment horizontal="center" vertical="center"/>
    </xf>
    <xf numFmtId="0" fontId="0" fillId="58" borderId="2" xfId="11" applyFont="1" applyFill="1">
      <alignment horizontal="left" vertical="center" indent="2"/>
    </xf>
    <xf numFmtId="0" fontId="0" fillId="58" borderId="2" xfId="10" applyFont="1" applyFill="1">
      <alignment horizontal="center" vertical="center"/>
    </xf>
    <xf numFmtId="14" fontId="0" fillId="58" borderId="2" xfId="9" applyNumberFormat="1" applyFont="1" applyFill="1">
      <alignment horizontal="center" vertical="center"/>
    </xf>
    <xf numFmtId="0" fontId="9" fillId="58" borderId="2" xfId="11" applyFill="1">
      <alignment horizontal="left" vertical="center" indent="2"/>
    </xf>
    <xf numFmtId="0" fontId="9" fillId="58" borderId="2" xfId="10" applyFill="1">
      <alignment horizontal="center" vertical="center"/>
    </xf>
    <xf numFmtId="14" fontId="9" fillId="58" borderId="2" xfId="9" applyNumberFormat="1" applyFill="1">
      <alignment horizontal="center" vertical="center"/>
    </xf>
    <xf numFmtId="0" fontId="9" fillId="59" borderId="2" xfId="11" applyFill="1">
      <alignment horizontal="left" vertical="center" indent="2"/>
    </xf>
    <xf numFmtId="0" fontId="9" fillId="59" borderId="2" xfId="10" applyFill="1">
      <alignment horizontal="center" vertical="center"/>
    </xf>
    <xf numFmtId="14" fontId="6" fillId="59" borderId="2" xfId="9" applyNumberFormat="1" applyFont="1" applyFill="1">
      <alignment horizontal="center" vertical="center"/>
    </xf>
    <xf numFmtId="14" fontId="9" fillId="59" borderId="2" xfId="9" applyNumberFormat="1" applyFill="1">
      <alignment horizontal="center" vertical="center"/>
    </xf>
    <xf numFmtId="0" fontId="0" fillId="59" borderId="2" xfId="11" applyFont="1" applyFill="1">
      <alignment horizontal="left" vertical="center" indent="2"/>
    </xf>
    <xf numFmtId="0" fontId="0" fillId="59" borderId="2" xfId="10" applyFont="1" applyFill="1">
      <alignment horizontal="center" vertical="center"/>
    </xf>
    <xf numFmtId="14" fontId="0" fillId="59" borderId="2" xfId="9" applyNumberFormat="1" applyFont="1" applyFill="1">
      <alignment horizontal="center" vertical="center"/>
    </xf>
    <xf numFmtId="14" fontId="0" fillId="45" borderId="2" xfId="9" applyNumberFormat="1" applyFont="1" applyFill="1">
      <alignment horizontal="center" vertical="center"/>
    </xf>
    <xf numFmtId="14" fontId="0" fillId="57" borderId="2" xfId="9" applyNumberFormat="1" applyFont="1" applyFill="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6" fillId="8" borderId="17" xfId="0" applyFont="1" applyFill="1" applyBorder="1" applyAlignment="1">
      <alignment horizontal="center" vertical="center" indent="1"/>
    </xf>
    <xf numFmtId="0" fontId="31" fillId="0" borderId="0" xfId="0" applyFont="1" applyAlignment="1">
      <alignment horizontal="center" textRotation="255"/>
    </xf>
    <xf numFmtId="0" fontId="0" fillId="0" borderId="0" xfId="0" applyAlignment="1">
      <alignment horizontal="center" textRotation="255"/>
    </xf>
    <xf numFmtId="0" fontId="36" fillId="46" borderId="28" xfId="11" applyFont="1" applyFill="1" applyBorder="1" applyAlignment="1">
      <alignment horizontal="center" vertical="center"/>
    </xf>
    <xf numFmtId="0" fontId="35" fillId="49" borderId="0" xfId="0" applyFont="1" applyFill="1" applyAlignment="1">
      <alignment horizontal="center" textRotation="90"/>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indent="1"/>
    </xf>
    <xf numFmtId="0" fontId="6" fillId="51" borderId="2" xfId="0" applyFont="1" applyFill="1" applyBorder="1" applyAlignment="1">
      <alignment horizontal="center" vertical="center" indent="1"/>
    </xf>
    <xf numFmtId="0" fontId="6" fillId="6" borderId="2" xfId="0" applyFont="1" applyFill="1" applyBorder="1" applyAlignment="1">
      <alignment horizontal="center" vertical="center" indent="1"/>
    </xf>
    <xf numFmtId="0" fontId="6" fillId="5" borderId="2" xfId="0" applyFont="1" applyFill="1" applyBorder="1" applyAlignment="1">
      <alignment horizontal="center" vertical="center" indent="1"/>
    </xf>
    <xf numFmtId="0" fontId="36" fillId="46" borderId="2" xfId="11" applyFont="1" applyFill="1" applyAlignment="1">
      <alignment horizontal="center" vertical="center"/>
    </xf>
    <xf numFmtId="0" fontId="6" fillId="52" borderId="2" xfId="11" applyFont="1" applyFill="1" applyAlignment="1">
      <alignment horizontal="center" vertical="center"/>
    </xf>
    <xf numFmtId="0" fontId="6" fillId="5" borderId="34" xfId="0" applyFont="1" applyFill="1" applyBorder="1" applyAlignment="1">
      <alignment horizontal="center" vertical="center"/>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8" fontId="31" fillId="0" borderId="3" xfId="8" applyFont="1" applyAlignment="1">
      <alignment horizontal="center" vertical="center"/>
    </xf>
    <xf numFmtId="168" fontId="9" fillId="0" borderId="3" xfId="8" applyAlignment="1">
      <alignment horizontal="center" vertical="center"/>
    </xf>
    <xf numFmtId="0" fontId="9" fillId="0" borderId="0" xfId="7" applyAlignment="1">
      <alignment horizontal="right" indent="1"/>
    </xf>
    <xf numFmtId="0" fontId="9" fillId="0" borderId="7" xfId="7" applyBorder="1" applyAlignment="1">
      <alignment horizontal="right" indent="1"/>
    </xf>
  </cellXfs>
  <cellStyles count="54">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13">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rgb="FFB381D9"/>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2" defaultTableStyle="TableStyleMedium2" defaultPivotStyle="PivotStyleLight16">
    <tableStyle name="ListaDeTarefasPendentes" pivot="0" count="9" xr9:uid="{00000000-0011-0000-FFFF-FFFF00000000}">
      <tableStyleElement type="wholeTable" dxfId="112"/>
      <tableStyleElement type="headerRow" dxfId="111"/>
      <tableStyleElement type="totalRow" dxfId="110"/>
      <tableStyleElement type="firstColumn" dxfId="109"/>
      <tableStyleElement type="lastColumn" dxfId="108"/>
      <tableStyleElement type="firstRowStripe" dxfId="107"/>
      <tableStyleElement type="secondRowStripe" dxfId="106"/>
      <tableStyleElement type="firstColumnStripe" dxfId="105"/>
      <tableStyleElement type="secondColumnStripe" dxfId="104"/>
    </tableStyle>
    <tableStyle name="Invisible" pivot="0" table="0" count="0" xr9:uid="{575E9918-7253-4845-827A-C8BC3003477F}"/>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15" dT="2025-11-27T18:22:56.52" personId="{00000000-0000-0000-0000-000000000000}" id="{43E89E34-EEDA-43A1-BD5D-31839B76977C}">
    <text>Luis Vitor Viegas Gonçalves - EEDSE</text>
  </threadedComment>
  <threadedComment ref="E119" dT="2026-05-15T04:20:41.05" personId="{00000000-0000-0000-0000-000000000000}" id="{C2788AD7-7725-4F18-AEFD-2C7C0ADF13FC}">
    <text xml:space="preserve">Retorno antecipado em dois dias por causa do preço das passagens
</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edison.amaral@petrobras.com.br" TargetMode="External"/><Relationship Id="rId5" Type="http://schemas.openxmlformats.org/officeDocument/2006/relationships/hyperlink" Target="mailto:fabio.unterman@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57"/>
  <sheetViews>
    <sheetView showGridLines="0" zoomScale="85" zoomScaleNormal="85" workbookViewId="0">
      <pane ySplit="1" topLeftCell="A2" activePane="bottomLeft" state="frozen"/>
      <selection pane="bottomLeft" activeCell="F60" sqref="F60"/>
    </sheetView>
  </sheetViews>
  <sheetFormatPr defaultRowHeight="14.45"/>
  <cols>
    <col min="1" max="1" width="9.42578125" bestFit="1" customWidth="1"/>
    <col min="2" max="2" width="14.5703125" bestFit="1" customWidth="1"/>
    <col min="3" max="3" width="11.42578125" bestFit="1" customWidth="1"/>
    <col min="4" max="4" width="8.42578125" bestFit="1" customWidth="1"/>
    <col min="5" max="5" width="7.42578125" bestFit="1" customWidth="1"/>
    <col min="6" max="6" width="11.42578125" bestFit="1" customWidth="1"/>
    <col min="7" max="7" width="39.42578125" customWidth="1"/>
    <col min="8" max="8" width="17.7109375" bestFit="1" customWidth="1"/>
    <col min="9" max="9" width="26.5703125" customWidth="1"/>
    <col min="10" max="10" width="22.5703125" style="5" customWidth="1"/>
  </cols>
  <sheetData>
    <row r="1" spans="1:10">
      <c r="A1" s="88" t="s">
        <v>0</v>
      </c>
      <c r="B1" s="89" t="s">
        <v>1</v>
      </c>
      <c r="C1" s="89" t="s">
        <v>2</v>
      </c>
      <c r="D1" s="89" t="s">
        <v>3</v>
      </c>
      <c r="E1" s="90" t="s">
        <v>4</v>
      </c>
      <c r="F1" s="90" t="s">
        <v>5</v>
      </c>
      <c r="G1" s="90" t="s">
        <v>6</v>
      </c>
      <c r="H1" s="90" t="s">
        <v>7</v>
      </c>
      <c r="I1" s="153" t="s">
        <v>8</v>
      </c>
      <c r="J1" s="155" t="s">
        <v>9</v>
      </c>
    </row>
    <row r="2" spans="1:10">
      <c r="A2" s="79" t="s">
        <v>10</v>
      </c>
      <c r="B2" s="91">
        <v>4612171</v>
      </c>
      <c r="C2" s="91" t="s">
        <v>11</v>
      </c>
      <c r="D2" s="92" t="s">
        <v>12</v>
      </c>
      <c r="E2" s="93" t="s">
        <v>13</v>
      </c>
      <c r="F2" s="93" t="s">
        <v>14</v>
      </c>
      <c r="G2" s="168" t="s">
        <v>15</v>
      </c>
      <c r="H2" s="93" t="s">
        <v>16</v>
      </c>
      <c r="I2" s="154" t="s">
        <v>17</v>
      </c>
      <c r="J2" s="156"/>
    </row>
    <row r="3" spans="1:10">
      <c r="A3" s="79" t="s">
        <v>10</v>
      </c>
      <c r="B3" s="94">
        <v>4612050</v>
      </c>
      <c r="C3" s="94" t="s">
        <v>18</v>
      </c>
      <c r="D3" s="95" t="s">
        <v>12</v>
      </c>
      <c r="E3" s="93" t="s">
        <v>19</v>
      </c>
      <c r="F3" s="96" t="s">
        <v>14</v>
      </c>
      <c r="G3" s="169" t="s">
        <v>20</v>
      </c>
      <c r="H3" s="96" t="s">
        <v>21</v>
      </c>
      <c r="I3" s="154" t="s">
        <v>22</v>
      </c>
      <c r="J3" s="156"/>
    </row>
    <row r="4" spans="1:10">
      <c r="A4" s="79" t="s">
        <v>10</v>
      </c>
      <c r="B4" s="91">
        <v>4612140</v>
      </c>
      <c r="C4" s="91" t="s">
        <v>23</v>
      </c>
      <c r="D4" s="92" t="s">
        <v>12</v>
      </c>
      <c r="E4" s="99" t="s">
        <v>24</v>
      </c>
      <c r="F4" s="93" t="s">
        <v>14</v>
      </c>
      <c r="G4" s="168" t="s">
        <v>25</v>
      </c>
      <c r="H4" s="93" t="s">
        <v>26</v>
      </c>
      <c r="I4" s="154" t="s">
        <v>17</v>
      </c>
      <c r="J4" s="156"/>
    </row>
    <row r="5" spans="1:10">
      <c r="A5" s="79" t="s">
        <v>10</v>
      </c>
      <c r="B5" s="94">
        <v>9842940</v>
      </c>
      <c r="C5" s="94" t="s">
        <v>27</v>
      </c>
      <c r="D5" s="95" t="s">
        <v>12</v>
      </c>
      <c r="E5" s="96" t="s">
        <v>13</v>
      </c>
      <c r="F5" s="96" t="s">
        <v>14</v>
      </c>
      <c r="G5" s="169" t="s">
        <v>28</v>
      </c>
      <c r="H5" s="96" t="s">
        <v>29</v>
      </c>
      <c r="I5" s="154" t="s">
        <v>30</v>
      </c>
      <c r="J5" s="157"/>
    </row>
    <row r="6" spans="1:10">
      <c r="A6" s="79" t="s">
        <v>31</v>
      </c>
      <c r="B6" s="91">
        <v>9886449</v>
      </c>
      <c r="C6" s="91" t="s">
        <v>32</v>
      </c>
      <c r="D6" s="92" t="s">
        <v>12</v>
      </c>
      <c r="E6" s="93" t="s">
        <v>13</v>
      </c>
      <c r="F6" s="93" t="s">
        <v>33</v>
      </c>
      <c r="G6" s="168" t="s">
        <v>34</v>
      </c>
      <c r="H6" s="93" t="s">
        <v>35</v>
      </c>
      <c r="I6" s="154" t="s">
        <v>22</v>
      </c>
      <c r="J6" s="157" t="s">
        <v>36</v>
      </c>
    </row>
    <row r="7" spans="1:10">
      <c r="A7" s="97" t="s">
        <v>31</v>
      </c>
      <c r="B7" s="94">
        <v>4608721</v>
      </c>
      <c r="C7" s="94" t="s">
        <v>37</v>
      </c>
      <c r="D7" s="98" t="s">
        <v>12</v>
      </c>
      <c r="E7" s="99" t="s">
        <v>13</v>
      </c>
      <c r="F7" s="99" t="s">
        <v>14</v>
      </c>
      <c r="G7" s="158" t="s">
        <v>38</v>
      </c>
      <c r="H7" s="99" t="s">
        <v>39</v>
      </c>
      <c r="I7" s="154" t="s">
        <v>22</v>
      </c>
      <c r="J7" s="157"/>
    </row>
    <row r="8" spans="1:10">
      <c r="A8" s="97" t="s">
        <v>31</v>
      </c>
      <c r="B8" s="91">
        <v>1385894</v>
      </c>
      <c r="C8" s="91" t="s">
        <v>40</v>
      </c>
      <c r="D8" s="100" t="s">
        <v>12</v>
      </c>
      <c r="E8" s="101" t="s">
        <v>13</v>
      </c>
      <c r="F8" s="101" t="s">
        <v>33</v>
      </c>
      <c r="G8" s="170" t="s">
        <v>41</v>
      </c>
      <c r="H8" s="101" t="s">
        <v>42</v>
      </c>
      <c r="I8" s="154" t="s">
        <v>22</v>
      </c>
      <c r="J8" s="157" t="s">
        <v>43</v>
      </c>
    </row>
    <row r="9" spans="1:10">
      <c r="A9" s="97" t="s">
        <v>31</v>
      </c>
      <c r="B9" s="94">
        <v>4608685</v>
      </c>
      <c r="C9" s="94" t="s">
        <v>44</v>
      </c>
      <c r="D9" s="98" t="s">
        <v>12</v>
      </c>
      <c r="E9" s="99" t="s">
        <v>13</v>
      </c>
      <c r="F9" s="99" t="s">
        <v>14</v>
      </c>
      <c r="G9" s="158" t="s">
        <v>45</v>
      </c>
      <c r="H9" s="99" t="s">
        <v>46</v>
      </c>
      <c r="I9" s="154" t="s">
        <v>22</v>
      </c>
      <c r="J9" s="157"/>
    </row>
    <row r="10" spans="1:10" ht="43.5">
      <c r="A10" s="97" t="s">
        <v>47</v>
      </c>
      <c r="B10" s="91">
        <v>9762281</v>
      </c>
      <c r="C10" s="91" t="s">
        <v>48</v>
      </c>
      <c r="D10" s="100" t="s">
        <v>12</v>
      </c>
      <c r="E10" s="101" t="s">
        <v>13</v>
      </c>
      <c r="F10" s="101" t="s">
        <v>33</v>
      </c>
      <c r="G10" s="170" t="s">
        <v>49</v>
      </c>
      <c r="H10" s="101" t="s">
        <v>50</v>
      </c>
      <c r="I10" s="154" t="s">
        <v>22</v>
      </c>
      <c r="J10" s="159" t="s">
        <v>51</v>
      </c>
    </row>
    <row r="11" spans="1:10">
      <c r="A11" s="97" t="s">
        <v>47</v>
      </c>
      <c r="B11" s="94">
        <v>9683150</v>
      </c>
      <c r="C11" s="94" t="s">
        <v>52</v>
      </c>
      <c r="D11" s="98" t="s">
        <v>12</v>
      </c>
      <c r="E11" s="99" t="s">
        <v>13</v>
      </c>
      <c r="F11" s="99" t="s">
        <v>33</v>
      </c>
      <c r="G11" s="158" t="s">
        <v>53</v>
      </c>
      <c r="H11" s="99" t="s">
        <v>54</v>
      </c>
      <c r="I11" s="154" t="s">
        <v>22</v>
      </c>
      <c r="J11" s="157" t="s">
        <v>55</v>
      </c>
    </row>
    <row r="12" spans="1:10">
      <c r="A12" s="79" t="s">
        <v>47</v>
      </c>
      <c r="B12" s="91">
        <v>2440812</v>
      </c>
      <c r="C12" s="91" t="s">
        <v>56</v>
      </c>
      <c r="D12" s="92" t="s">
        <v>57</v>
      </c>
      <c r="E12" s="93" t="s">
        <v>13</v>
      </c>
      <c r="F12" s="93" t="s">
        <v>33</v>
      </c>
      <c r="G12" s="168" t="s">
        <v>58</v>
      </c>
      <c r="H12" s="93" t="s">
        <v>59</v>
      </c>
      <c r="I12" s="154" t="s">
        <v>22</v>
      </c>
      <c r="J12" s="157"/>
    </row>
    <row r="13" spans="1:10">
      <c r="A13" s="97" t="s">
        <v>47</v>
      </c>
      <c r="B13" s="94">
        <v>1381625</v>
      </c>
      <c r="C13" s="94" t="s">
        <v>60</v>
      </c>
      <c r="D13" s="95" t="s">
        <v>12</v>
      </c>
      <c r="E13" s="96" t="s">
        <v>13</v>
      </c>
      <c r="F13" s="96" t="s">
        <v>33</v>
      </c>
      <c r="G13" s="169" t="s">
        <v>61</v>
      </c>
      <c r="H13" s="96" t="s">
        <v>62</v>
      </c>
      <c r="I13" s="154" t="s">
        <v>22</v>
      </c>
      <c r="J13" s="157"/>
    </row>
    <row r="14" spans="1:10">
      <c r="A14" s="79" t="s">
        <v>47</v>
      </c>
      <c r="B14" s="91">
        <v>4608389</v>
      </c>
      <c r="C14" s="91" t="s">
        <v>63</v>
      </c>
      <c r="D14" s="92" t="s">
        <v>12</v>
      </c>
      <c r="E14" s="93" t="s">
        <v>13</v>
      </c>
      <c r="F14" s="93" t="s">
        <v>14</v>
      </c>
      <c r="G14" s="168" t="s">
        <v>64</v>
      </c>
      <c r="H14" s="93" t="s">
        <v>65</v>
      </c>
      <c r="I14" s="154" t="s">
        <v>22</v>
      </c>
      <c r="J14" s="157"/>
    </row>
    <row r="15" spans="1:10">
      <c r="A15" s="97" t="s">
        <v>10</v>
      </c>
      <c r="B15" s="94">
        <v>4608544</v>
      </c>
      <c r="C15" s="94" t="s">
        <v>66</v>
      </c>
      <c r="D15" s="95" t="s">
        <v>12</v>
      </c>
      <c r="E15" s="96" t="s">
        <v>19</v>
      </c>
      <c r="F15" s="96" t="s">
        <v>14</v>
      </c>
      <c r="G15" s="169" t="s">
        <v>67</v>
      </c>
      <c r="H15" s="96" t="s">
        <v>68</v>
      </c>
      <c r="I15" s="154" t="s">
        <v>22</v>
      </c>
      <c r="J15" s="157"/>
    </row>
    <row r="16" spans="1:10">
      <c r="A16" s="97" t="s">
        <v>31</v>
      </c>
      <c r="B16" s="91">
        <v>4608474</v>
      </c>
      <c r="C16" s="91" t="s">
        <v>69</v>
      </c>
      <c r="D16" s="92" t="s">
        <v>12</v>
      </c>
      <c r="E16" s="93" t="s">
        <v>19</v>
      </c>
      <c r="F16" s="101" t="s">
        <v>14</v>
      </c>
      <c r="G16" s="170" t="s">
        <v>70</v>
      </c>
      <c r="H16" s="101" t="s">
        <v>71</v>
      </c>
      <c r="I16" s="154" t="s">
        <v>22</v>
      </c>
      <c r="J16" s="157"/>
    </row>
    <row r="17" spans="1:10">
      <c r="A17" s="79" t="s">
        <v>31</v>
      </c>
      <c r="B17" s="94">
        <v>1386344</v>
      </c>
      <c r="C17" s="94" t="s">
        <v>72</v>
      </c>
      <c r="D17" s="98" t="s">
        <v>12</v>
      </c>
      <c r="E17" s="99" t="s">
        <v>19</v>
      </c>
      <c r="F17" s="99" t="s">
        <v>33</v>
      </c>
      <c r="G17" s="158" t="s">
        <v>73</v>
      </c>
      <c r="H17" s="99" t="s">
        <v>74</v>
      </c>
      <c r="I17" s="154" t="s">
        <v>22</v>
      </c>
      <c r="J17" s="157" t="s">
        <v>55</v>
      </c>
    </row>
    <row r="18" spans="1:10">
      <c r="A18" s="79" t="s">
        <v>31</v>
      </c>
      <c r="B18" s="91">
        <v>4608684</v>
      </c>
      <c r="C18" s="91" t="s">
        <v>75</v>
      </c>
      <c r="D18" s="100" t="s">
        <v>12</v>
      </c>
      <c r="E18" s="101" t="s">
        <v>19</v>
      </c>
      <c r="F18" s="101" t="s">
        <v>14</v>
      </c>
      <c r="G18" s="170" t="s">
        <v>76</v>
      </c>
      <c r="H18" s="93" t="s">
        <v>77</v>
      </c>
      <c r="I18" s="154" t="s">
        <v>22</v>
      </c>
      <c r="J18" s="157"/>
    </row>
    <row r="19" spans="1:10">
      <c r="A19" s="79" t="s">
        <v>47</v>
      </c>
      <c r="B19" s="94">
        <v>9612082</v>
      </c>
      <c r="C19" s="94" t="s">
        <v>78</v>
      </c>
      <c r="D19" s="98" t="s">
        <v>12</v>
      </c>
      <c r="E19" s="99" t="s">
        <v>19</v>
      </c>
      <c r="F19" s="96" t="s">
        <v>33</v>
      </c>
      <c r="G19" s="158" t="s">
        <v>79</v>
      </c>
      <c r="H19" s="99" t="s">
        <v>80</v>
      </c>
      <c r="I19" s="154" t="s">
        <v>22</v>
      </c>
      <c r="J19" s="157"/>
    </row>
    <row r="20" spans="1:10">
      <c r="A20" s="79" t="s">
        <v>47</v>
      </c>
      <c r="B20" s="91">
        <v>9618720</v>
      </c>
      <c r="C20" s="91" t="s">
        <v>81</v>
      </c>
      <c r="D20" s="100" t="s">
        <v>12</v>
      </c>
      <c r="E20" s="101" t="s">
        <v>19</v>
      </c>
      <c r="F20" s="93" t="s">
        <v>33</v>
      </c>
      <c r="G20" s="170" t="s">
        <v>82</v>
      </c>
      <c r="H20" s="101" t="s">
        <v>83</v>
      </c>
      <c r="I20" s="154" t="s">
        <v>22</v>
      </c>
      <c r="J20" s="157" t="s">
        <v>43</v>
      </c>
    </row>
    <row r="21" spans="1:10">
      <c r="A21" s="79" t="s">
        <v>47</v>
      </c>
      <c r="B21" s="94">
        <v>9724817</v>
      </c>
      <c r="C21" s="94" t="s">
        <v>84</v>
      </c>
      <c r="D21" s="98" t="s">
        <v>12</v>
      </c>
      <c r="E21" s="99" t="s">
        <v>19</v>
      </c>
      <c r="F21" s="96" t="s">
        <v>33</v>
      </c>
      <c r="G21" s="158" t="s">
        <v>85</v>
      </c>
      <c r="H21" s="99" t="s">
        <v>86</v>
      </c>
      <c r="I21" s="154" t="s">
        <v>22</v>
      </c>
      <c r="J21" s="157"/>
    </row>
    <row r="22" spans="1:10">
      <c r="A22" s="79" t="s">
        <v>47</v>
      </c>
      <c r="B22" s="91">
        <v>2460800</v>
      </c>
      <c r="C22" s="91" t="s">
        <v>87</v>
      </c>
      <c r="D22" s="100" t="s">
        <v>57</v>
      </c>
      <c r="E22" s="101" t="s">
        <v>19</v>
      </c>
      <c r="F22" s="93" t="s">
        <v>33</v>
      </c>
      <c r="G22" s="168" t="s">
        <v>88</v>
      </c>
      <c r="H22" s="93" t="s">
        <v>89</v>
      </c>
      <c r="I22" s="154" t="s">
        <v>30</v>
      </c>
      <c r="J22" s="157"/>
    </row>
    <row r="23" spans="1:10">
      <c r="A23" s="79" t="s">
        <v>10</v>
      </c>
      <c r="B23" s="94">
        <v>4608559</v>
      </c>
      <c r="C23" s="94" t="s">
        <v>90</v>
      </c>
      <c r="D23" s="98" t="s">
        <v>12</v>
      </c>
      <c r="E23" s="99" t="s">
        <v>24</v>
      </c>
      <c r="F23" s="99" t="s">
        <v>14</v>
      </c>
      <c r="G23" s="158" t="s">
        <v>91</v>
      </c>
      <c r="H23" s="99" t="s">
        <v>92</v>
      </c>
      <c r="I23" s="154" t="s">
        <v>22</v>
      </c>
      <c r="J23" s="156"/>
    </row>
    <row r="24" spans="1:10">
      <c r="A24" s="79" t="s">
        <v>31</v>
      </c>
      <c r="B24" s="91">
        <v>4608411</v>
      </c>
      <c r="C24" s="91" t="s">
        <v>93</v>
      </c>
      <c r="D24" s="100" t="s">
        <v>12</v>
      </c>
      <c r="E24" s="101" t="s">
        <v>24</v>
      </c>
      <c r="F24" s="93" t="s">
        <v>14</v>
      </c>
      <c r="G24" s="170" t="s">
        <v>94</v>
      </c>
      <c r="H24" s="101" t="s">
        <v>95</v>
      </c>
      <c r="I24" s="154" t="s">
        <v>22</v>
      </c>
      <c r="J24" s="156"/>
    </row>
    <row r="25" spans="1:10">
      <c r="A25" s="79" t="s">
        <v>31</v>
      </c>
      <c r="B25" s="94">
        <v>9634180</v>
      </c>
      <c r="C25" s="94" t="s">
        <v>96</v>
      </c>
      <c r="D25" s="95" t="s">
        <v>12</v>
      </c>
      <c r="E25" s="96" t="s">
        <v>24</v>
      </c>
      <c r="F25" s="96" t="s">
        <v>33</v>
      </c>
      <c r="G25" s="169" t="s">
        <v>97</v>
      </c>
      <c r="H25" s="96" t="s">
        <v>98</v>
      </c>
      <c r="I25" s="154" t="s">
        <v>22</v>
      </c>
      <c r="J25" s="156"/>
    </row>
    <row r="26" spans="1:10">
      <c r="A26" s="79" t="s">
        <v>47</v>
      </c>
      <c r="B26" s="91">
        <v>4608780</v>
      </c>
      <c r="C26" s="91" t="s">
        <v>99</v>
      </c>
      <c r="D26" s="92" t="s">
        <v>12</v>
      </c>
      <c r="E26" s="93" t="s">
        <v>24</v>
      </c>
      <c r="F26" s="93" t="s">
        <v>14</v>
      </c>
      <c r="G26" s="168" t="s">
        <v>100</v>
      </c>
      <c r="H26" s="93" t="s">
        <v>101</v>
      </c>
      <c r="I26" s="154" t="s">
        <v>22</v>
      </c>
      <c r="J26" s="156"/>
    </row>
    <row r="27" spans="1:10">
      <c r="A27" s="79" t="s">
        <v>47</v>
      </c>
      <c r="B27" s="94">
        <v>2475130</v>
      </c>
      <c r="C27" s="94" t="s">
        <v>102</v>
      </c>
      <c r="D27" s="95" t="s">
        <v>12</v>
      </c>
      <c r="E27" s="96" t="s">
        <v>24</v>
      </c>
      <c r="F27" s="96" t="s">
        <v>33</v>
      </c>
      <c r="G27" s="158" t="s">
        <v>103</v>
      </c>
      <c r="H27" s="99" t="s">
        <v>104</v>
      </c>
      <c r="I27" s="154" t="s">
        <v>30</v>
      </c>
      <c r="J27" s="157" t="s">
        <v>105</v>
      </c>
    </row>
    <row r="28" spans="1:10">
      <c r="A28" s="79" t="s">
        <v>47</v>
      </c>
      <c r="B28" s="91">
        <v>2477135</v>
      </c>
      <c r="C28" s="91" t="s">
        <v>106</v>
      </c>
      <c r="D28" s="92" t="s">
        <v>12</v>
      </c>
      <c r="E28" s="93" t="s">
        <v>24</v>
      </c>
      <c r="F28" s="93" t="s">
        <v>33</v>
      </c>
      <c r="G28" s="170" t="s">
        <v>107</v>
      </c>
      <c r="H28" s="101" t="s">
        <v>108</v>
      </c>
      <c r="I28" s="154" t="s">
        <v>22</v>
      </c>
      <c r="J28" s="156"/>
    </row>
    <row r="29" spans="1:10">
      <c r="A29" s="79" t="s">
        <v>10</v>
      </c>
      <c r="B29" s="94">
        <v>4606246</v>
      </c>
      <c r="C29" s="94" t="s">
        <v>109</v>
      </c>
      <c r="D29" s="95" t="s">
        <v>110</v>
      </c>
      <c r="E29" s="99" t="s">
        <v>111</v>
      </c>
      <c r="F29" s="96" t="s">
        <v>14</v>
      </c>
      <c r="G29" s="158" t="s">
        <v>112</v>
      </c>
      <c r="H29" s="99" t="s">
        <v>113</v>
      </c>
      <c r="I29" s="154" t="s">
        <v>22</v>
      </c>
      <c r="J29" s="157"/>
    </row>
    <row r="30" spans="1:10">
      <c r="A30" s="79" t="s">
        <v>31</v>
      </c>
      <c r="B30" s="91">
        <v>4606308</v>
      </c>
      <c r="C30" s="91" t="s">
        <v>114</v>
      </c>
      <c r="D30" s="92" t="s">
        <v>110</v>
      </c>
      <c r="E30" s="101" t="s">
        <v>111</v>
      </c>
      <c r="F30" s="93" t="s">
        <v>14</v>
      </c>
      <c r="G30" s="170" t="s">
        <v>115</v>
      </c>
      <c r="H30" s="101" t="s">
        <v>116</v>
      </c>
      <c r="I30" s="154" t="s">
        <v>30</v>
      </c>
      <c r="J30" s="157"/>
    </row>
    <row r="31" spans="1:10">
      <c r="A31" s="79" t="s">
        <v>31</v>
      </c>
      <c r="B31" s="94">
        <v>9634222</v>
      </c>
      <c r="C31" s="94" t="s">
        <v>117</v>
      </c>
      <c r="D31" s="95" t="s">
        <v>12</v>
      </c>
      <c r="E31" s="99" t="s">
        <v>24</v>
      </c>
      <c r="F31" s="96" t="s">
        <v>33</v>
      </c>
      <c r="G31" s="158" t="s">
        <v>118</v>
      </c>
      <c r="H31" s="99" t="s">
        <v>119</v>
      </c>
      <c r="I31" s="154" t="s">
        <v>22</v>
      </c>
      <c r="J31" s="157" t="s">
        <v>55</v>
      </c>
    </row>
    <row r="32" spans="1:10">
      <c r="A32" s="79" t="s">
        <v>31</v>
      </c>
      <c r="B32" s="91">
        <v>229316</v>
      </c>
      <c r="C32" s="91" t="s">
        <v>120</v>
      </c>
      <c r="D32" s="91" t="s">
        <v>110</v>
      </c>
      <c r="E32" s="81" t="s">
        <v>111</v>
      </c>
      <c r="F32" s="81" t="s">
        <v>33</v>
      </c>
      <c r="G32" s="171" t="s">
        <v>121</v>
      </c>
      <c r="H32" s="81" t="s">
        <v>122</v>
      </c>
      <c r="I32" s="154" t="s">
        <v>22</v>
      </c>
      <c r="J32" s="157"/>
    </row>
    <row r="33" spans="1:10">
      <c r="A33" s="79" t="s">
        <v>47</v>
      </c>
      <c r="B33" s="94">
        <v>2493288</v>
      </c>
      <c r="C33" s="94" t="s">
        <v>123</v>
      </c>
      <c r="D33" s="94" t="s">
        <v>110</v>
      </c>
      <c r="E33" s="80" t="s">
        <v>111</v>
      </c>
      <c r="F33" s="96" t="s">
        <v>33</v>
      </c>
      <c r="G33" s="172" t="s">
        <v>124</v>
      </c>
      <c r="H33" s="80" t="s">
        <v>125</v>
      </c>
      <c r="I33" s="154" t="s">
        <v>22</v>
      </c>
      <c r="J33" s="157"/>
    </row>
    <row r="34" spans="1:10">
      <c r="A34" s="79" t="s">
        <v>47</v>
      </c>
      <c r="B34" s="91">
        <v>214272</v>
      </c>
      <c r="C34" s="91" t="s">
        <v>126</v>
      </c>
      <c r="D34" s="91" t="s">
        <v>110</v>
      </c>
      <c r="E34" s="81" t="s">
        <v>111</v>
      </c>
      <c r="F34" s="93" t="s">
        <v>33</v>
      </c>
      <c r="G34" s="171" t="s">
        <v>127</v>
      </c>
      <c r="H34" s="81" t="s">
        <v>128</v>
      </c>
      <c r="I34" s="154" t="s">
        <v>22</v>
      </c>
      <c r="J34" s="157"/>
    </row>
    <row r="35" spans="1:10">
      <c r="A35" s="79" t="s">
        <v>47</v>
      </c>
      <c r="B35" s="94">
        <v>4606694</v>
      </c>
      <c r="C35" s="94" t="s">
        <v>129</v>
      </c>
      <c r="D35" s="95" t="s">
        <v>110</v>
      </c>
      <c r="E35" s="80" t="s">
        <v>111</v>
      </c>
      <c r="F35" s="80" t="s">
        <v>14</v>
      </c>
      <c r="G35" s="172" t="s">
        <v>130</v>
      </c>
      <c r="H35" s="80" t="s">
        <v>131</v>
      </c>
      <c r="I35" s="154" t="s">
        <v>30</v>
      </c>
      <c r="J35" s="157"/>
    </row>
    <row r="36" spans="1:10">
      <c r="A36" s="79" t="s">
        <v>47</v>
      </c>
      <c r="B36" s="91">
        <v>2430855</v>
      </c>
      <c r="C36" s="91" t="s">
        <v>132</v>
      </c>
      <c r="D36" s="92" t="s">
        <v>12</v>
      </c>
      <c r="E36" s="81" t="s">
        <v>111</v>
      </c>
      <c r="F36" s="81" t="s">
        <v>33</v>
      </c>
      <c r="G36" s="171" t="s">
        <v>133</v>
      </c>
      <c r="H36" s="81" t="s">
        <v>134</v>
      </c>
      <c r="I36" s="154" t="s">
        <v>22</v>
      </c>
      <c r="J36" s="157"/>
    </row>
    <row r="37" spans="1:10">
      <c r="A37" s="79" t="s">
        <v>47</v>
      </c>
      <c r="B37" s="94">
        <v>4604625</v>
      </c>
      <c r="C37" s="94" t="s">
        <v>135</v>
      </c>
      <c r="D37" s="95" t="s">
        <v>136</v>
      </c>
      <c r="E37" s="80" t="s">
        <v>111</v>
      </c>
      <c r="F37" s="80" t="s">
        <v>14</v>
      </c>
      <c r="G37" s="172" t="s">
        <v>137</v>
      </c>
      <c r="H37" s="80" t="s">
        <v>138</v>
      </c>
      <c r="I37" s="154" t="s">
        <v>22</v>
      </c>
      <c r="J37" s="157"/>
    </row>
    <row r="38" spans="1:10">
      <c r="A38" s="79" t="s">
        <v>47</v>
      </c>
      <c r="B38" s="91">
        <v>4612098</v>
      </c>
      <c r="C38" s="91" t="s">
        <v>139</v>
      </c>
      <c r="D38" s="92" t="s">
        <v>12</v>
      </c>
      <c r="E38" s="93" t="s">
        <v>13</v>
      </c>
      <c r="F38" s="81" t="s">
        <v>14</v>
      </c>
      <c r="G38" s="171" t="s">
        <v>140</v>
      </c>
      <c r="H38" s="81" t="s">
        <v>141</v>
      </c>
      <c r="I38" s="154" t="s">
        <v>22</v>
      </c>
      <c r="J38" s="156"/>
    </row>
    <row r="39" spans="1:10">
      <c r="A39" s="97" t="s">
        <v>47</v>
      </c>
      <c r="B39" s="94">
        <v>4612126</v>
      </c>
      <c r="C39" s="94" t="s">
        <v>142</v>
      </c>
      <c r="D39" s="95" t="s">
        <v>12</v>
      </c>
      <c r="E39" s="93" t="s">
        <v>19</v>
      </c>
      <c r="F39" s="80" t="s">
        <v>14</v>
      </c>
      <c r="G39" s="172" t="s">
        <v>143</v>
      </c>
      <c r="H39" s="80" t="s">
        <v>144</v>
      </c>
      <c r="I39" s="154" t="s">
        <v>22</v>
      </c>
      <c r="J39" s="156"/>
    </row>
    <row r="40" spans="1:10">
      <c r="A40" s="79" t="s">
        <v>47</v>
      </c>
      <c r="B40" s="91">
        <v>2550195</v>
      </c>
      <c r="C40" s="91" t="s">
        <v>145</v>
      </c>
      <c r="D40" s="91" t="s">
        <v>57</v>
      </c>
      <c r="E40" s="81" t="s">
        <v>24</v>
      </c>
      <c r="F40" s="81" t="s">
        <v>33</v>
      </c>
      <c r="G40" s="171" t="s">
        <v>146</v>
      </c>
      <c r="H40" s="81" t="s">
        <v>147</v>
      </c>
      <c r="I40" s="154" t="s">
        <v>30</v>
      </c>
      <c r="J40" s="156"/>
    </row>
    <row r="41" spans="1:10">
      <c r="A41" s="79" t="s">
        <v>47</v>
      </c>
      <c r="B41" s="94">
        <v>4613176</v>
      </c>
      <c r="C41" s="94" t="s">
        <v>148</v>
      </c>
      <c r="D41" s="95" t="s">
        <v>12</v>
      </c>
      <c r="E41" s="96" t="s">
        <v>19</v>
      </c>
      <c r="F41" s="80" t="s">
        <v>14</v>
      </c>
      <c r="G41" s="202" t="s">
        <v>149</v>
      </c>
      <c r="H41" s="80" t="s">
        <v>150</v>
      </c>
      <c r="I41" s="154"/>
      <c r="J41" s="156"/>
    </row>
    <row r="42" spans="1:10">
      <c r="A42" s="79" t="s">
        <v>47</v>
      </c>
      <c r="B42" s="91">
        <v>4613186</v>
      </c>
      <c r="C42" s="91" t="s">
        <v>151</v>
      </c>
      <c r="D42" s="92" t="s">
        <v>12</v>
      </c>
      <c r="E42" s="93" t="s">
        <v>24</v>
      </c>
      <c r="F42" s="81" t="s">
        <v>14</v>
      </c>
      <c r="G42" s="203" t="s">
        <v>152</v>
      </c>
      <c r="H42" s="81" t="s">
        <v>153</v>
      </c>
      <c r="I42" s="154"/>
      <c r="J42" s="156"/>
    </row>
    <row r="43" spans="1:10">
      <c r="A43" s="79" t="s">
        <v>31</v>
      </c>
      <c r="B43" s="94">
        <v>4612243</v>
      </c>
      <c r="C43" s="94" t="s">
        <v>154</v>
      </c>
      <c r="D43" s="95" t="s">
        <v>12</v>
      </c>
      <c r="E43" s="96" t="s">
        <v>13</v>
      </c>
      <c r="F43" s="80" t="s">
        <v>14</v>
      </c>
      <c r="G43" s="172" t="s">
        <v>155</v>
      </c>
      <c r="H43" s="80" t="s">
        <v>156</v>
      </c>
      <c r="I43" s="154" t="s">
        <v>22</v>
      </c>
      <c r="J43" s="156"/>
    </row>
    <row r="44" spans="1:10">
      <c r="A44" s="79" t="s">
        <v>31</v>
      </c>
      <c r="B44" s="91">
        <v>4612389</v>
      </c>
      <c r="C44" s="91" t="s">
        <v>157</v>
      </c>
      <c r="D44" s="92" t="s">
        <v>12</v>
      </c>
      <c r="E44" s="96" t="s">
        <v>13</v>
      </c>
      <c r="F44" s="81" t="s">
        <v>14</v>
      </c>
      <c r="G44" s="171" t="s">
        <v>158</v>
      </c>
      <c r="H44" s="81" t="s">
        <v>159</v>
      </c>
      <c r="I44" s="154" t="s">
        <v>22</v>
      </c>
      <c r="J44" s="156"/>
    </row>
    <row r="45" spans="1:10">
      <c r="A45" s="79" t="s">
        <v>31</v>
      </c>
      <c r="B45" s="94">
        <v>4612192</v>
      </c>
      <c r="C45" s="94" t="s">
        <v>160</v>
      </c>
      <c r="D45" s="95" t="s">
        <v>12</v>
      </c>
      <c r="E45" s="93" t="s">
        <v>19</v>
      </c>
      <c r="F45" s="80" t="s">
        <v>14</v>
      </c>
      <c r="G45" s="172" t="s">
        <v>161</v>
      </c>
      <c r="H45" s="80" t="s">
        <v>162</v>
      </c>
      <c r="I45" s="154" t="s">
        <v>30</v>
      </c>
      <c r="J45" s="156"/>
    </row>
    <row r="46" spans="1:10">
      <c r="A46" s="79" t="s">
        <v>31</v>
      </c>
      <c r="B46" s="91">
        <v>4612393</v>
      </c>
      <c r="C46" s="91" t="s">
        <v>163</v>
      </c>
      <c r="D46" s="92" t="s">
        <v>12</v>
      </c>
      <c r="E46" s="99" t="s">
        <v>24</v>
      </c>
      <c r="F46" s="81" t="s">
        <v>14</v>
      </c>
      <c r="G46" s="171" t="s">
        <v>164</v>
      </c>
      <c r="H46" s="81" t="s">
        <v>165</v>
      </c>
      <c r="I46" s="154" t="s">
        <v>17</v>
      </c>
      <c r="J46" s="156"/>
    </row>
    <row r="47" spans="1:10">
      <c r="A47" s="79" t="s">
        <v>31</v>
      </c>
      <c r="B47" s="94">
        <v>4612228</v>
      </c>
      <c r="C47" s="94" t="s">
        <v>166</v>
      </c>
      <c r="D47" s="95" t="s">
        <v>12</v>
      </c>
      <c r="E47" s="93" t="s">
        <v>19</v>
      </c>
      <c r="F47" s="80" t="s">
        <v>14</v>
      </c>
      <c r="G47" s="172" t="s">
        <v>167</v>
      </c>
      <c r="H47" s="80" t="s">
        <v>168</v>
      </c>
      <c r="I47" s="154" t="s">
        <v>22</v>
      </c>
      <c r="J47" s="156"/>
    </row>
    <row r="48" spans="1:10">
      <c r="A48" s="79" t="s">
        <v>31</v>
      </c>
      <c r="B48" s="91">
        <v>4612247</v>
      </c>
      <c r="C48" s="91" t="s">
        <v>169</v>
      </c>
      <c r="D48" s="92" t="s">
        <v>12</v>
      </c>
      <c r="E48" s="99" t="s">
        <v>24</v>
      </c>
      <c r="F48" s="81" t="s">
        <v>14</v>
      </c>
      <c r="G48" s="171" t="s">
        <v>170</v>
      </c>
      <c r="H48" s="81" t="s">
        <v>171</v>
      </c>
      <c r="I48" s="154" t="s">
        <v>17</v>
      </c>
      <c r="J48" s="156"/>
    </row>
    <row r="49" spans="1:10">
      <c r="A49" s="79" t="s">
        <v>31</v>
      </c>
      <c r="B49" s="94">
        <v>1385950</v>
      </c>
      <c r="C49" s="94" t="s">
        <v>172</v>
      </c>
      <c r="D49" s="95" t="s">
        <v>12</v>
      </c>
      <c r="E49" s="93" t="s">
        <v>19</v>
      </c>
      <c r="F49" s="80" t="s">
        <v>33</v>
      </c>
      <c r="G49" s="164" t="s">
        <v>173</v>
      </c>
      <c r="H49" s="80" t="s">
        <v>174</v>
      </c>
      <c r="I49" s="154"/>
      <c r="J49" s="156"/>
    </row>
    <row r="50" spans="1:10">
      <c r="A50" s="79" t="s">
        <v>31</v>
      </c>
      <c r="B50" s="91">
        <v>1387328</v>
      </c>
      <c r="C50" s="91" t="s">
        <v>175</v>
      </c>
      <c r="D50" s="92" t="s">
        <v>12</v>
      </c>
      <c r="E50" s="93" t="s">
        <v>19</v>
      </c>
      <c r="F50" s="81" t="s">
        <v>33</v>
      </c>
      <c r="G50" s="165" t="s">
        <v>176</v>
      </c>
      <c r="H50" s="81" t="s">
        <v>177</v>
      </c>
      <c r="I50" s="154"/>
      <c r="J50" s="156"/>
    </row>
    <row r="51" spans="1:10">
      <c r="A51" s="187" t="s">
        <v>31</v>
      </c>
      <c r="B51" s="188">
        <v>1385870</v>
      </c>
      <c r="C51" s="188" t="s">
        <v>178</v>
      </c>
      <c r="D51" s="189" t="s">
        <v>12</v>
      </c>
      <c r="E51" s="190" t="s">
        <v>24</v>
      </c>
      <c r="F51" s="191" t="s">
        <v>33</v>
      </c>
      <c r="G51" s="192" t="s">
        <v>179</v>
      </c>
      <c r="H51" s="191" t="s">
        <v>180</v>
      </c>
      <c r="I51" s="193"/>
      <c r="J51" s="194"/>
    </row>
    <row r="52" spans="1:10">
      <c r="A52" s="195" t="s">
        <v>31</v>
      </c>
      <c r="B52" s="196">
        <v>1386288</v>
      </c>
      <c r="C52" s="196" t="s">
        <v>181</v>
      </c>
      <c r="D52" s="196" t="s">
        <v>12</v>
      </c>
      <c r="E52" s="197" t="s">
        <v>24</v>
      </c>
      <c r="F52" s="198" t="s">
        <v>33</v>
      </c>
      <c r="G52" s="199" t="s">
        <v>182</v>
      </c>
      <c r="H52" s="198" t="s">
        <v>183</v>
      </c>
      <c r="I52" s="157"/>
      <c r="J52" s="156"/>
    </row>
    <row r="53" spans="1:10">
      <c r="A53" s="195" t="s">
        <v>31</v>
      </c>
      <c r="B53" s="200">
        <v>9678697</v>
      </c>
      <c r="C53" s="200" t="s">
        <v>184</v>
      </c>
      <c r="D53" s="200" t="s">
        <v>12</v>
      </c>
      <c r="E53" s="197" t="s">
        <v>13</v>
      </c>
      <c r="F53" s="197" t="s">
        <v>33</v>
      </c>
      <c r="G53" s="201" t="s">
        <v>185</v>
      </c>
      <c r="H53" s="197" t="s">
        <v>186</v>
      </c>
      <c r="I53" s="157"/>
      <c r="J53" s="156"/>
    </row>
    <row r="54" spans="1:10">
      <c r="A54" s="195" t="s">
        <v>10</v>
      </c>
      <c r="B54" s="196">
        <v>9921954</v>
      </c>
      <c r="C54" s="196" t="s">
        <v>187</v>
      </c>
      <c r="D54" s="196" t="s">
        <v>12</v>
      </c>
      <c r="E54" s="198" t="s">
        <v>19</v>
      </c>
      <c r="F54" s="198" t="s">
        <v>33</v>
      </c>
      <c r="G54" s="199" t="s">
        <v>188</v>
      </c>
      <c r="H54" s="198" t="s">
        <v>189</v>
      </c>
      <c r="I54" s="157"/>
      <c r="J54" s="156"/>
    </row>
    <row r="55" spans="1:10">
      <c r="A55" s="195" t="s">
        <v>10</v>
      </c>
      <c r="B55" s="200">
        <v>2448533</v>
      </c>
      <c r="C55" s="200" t="s">
        <v>190</v>
      </c>
      <c r="D55" s="200" t="s">
        <v>12</v>
      </c>
      <c r="E55" s="197" t="s">
        <v>13</v>
      </c>
      <c r="F55" s="197" t="s">
        <v>33</v>
      </c>
      <c r="G55" s="201" t="s">
        <v>191</v>
      </c>
      <c r="H55" s="197" t="s">
        <v>192</v>
      </c>
      <c r="I55" s="157"/>
      <c r="J55" s="156"/>
    </row>
    <row r="56" spans="1:10">
      <c r="A56" s="195" t="s">
        <v>10</v>
      </c>
      <c r="B56" s="200">
        <v>4606426</v>
      </c>
      <c r="C56" s="200" t="s">
        <v>193</v>
      </c>
      <c r="D56" s="196" t="s">
        <v>110</v>
      </c>
      <c r="E56" s="197" t="s">
        <v>194</v>
      </c>
      <c r="F56" s="197"/>
      <c r="G56" s="201" t="s">
        <v>195</v>
      </c>
      <c r="H56" s="198" t="s">
        <v>196</v>
      </c>
      <c r="I56" s="156"/>
      <c r="J56" s="157"/>
    </row>
    <row r="57" spans="1:10">
      <c r="A57" s="195" t="s">
        <v>31</v>
      </c>
      <c r="B57" s="200"/>
      <c r="C57" s="200"/>
      <c r="D57" s="196" t="s">
        <v>110</v>
      </c>
      <c r="E57" s="197"/>
      <c r="F57" s="197"/>
      <c r="G57" s="214"/>
      <c r="H57" s="198" t="s">
        <v>197</v>
      </c>
      <c r="I57" s="156"/>
      <c r="J57" s="157"/>
    </row>
  </sheetData>
  <autoFilter ref="A1:J57" xr:uid="{CCFC853D-4B89-47CE-AA8F-BD4EA9CD1EC0}"/>
  <phoneticPr fontId="30" type="noConversion"/>
  <conditionalFormatting sqref="A38:A57">
    <cfRule type="containsText" dxfId="103" priority="19" operator="containsText" text="ELET">
      <formula>NOT(ISERROR(SEARCH("ELET",A38)))</formula>
    </cfRule>
    <cfRule type="containsText" dxfId="102" priority="21" operator="containsText" text="MEC">
      <formula>NOT(ISERROR(SEARCH("MEC",A38)))</formula>
    </cfRule>
    <cfRule type="containsText" dxfId="101" priority="20" operator="containsText" text="INST">
      <formula>NOT(ISERROR(SEARCH("INST",A38)))</formula>
    </cfRule>
  </conditionalFormatting>
  <conditionalFormatting sqref="A56:A57">
    <cfRule type="containsText" dxfId="100" priority="4" operator="containsText" text="ELET">
      <formula>NOT(ISERROR(SEARCH("ELET",A56)))</formula>
    </cfRule>
    <cfRule type="containsText" dxfId="99" priority="5" operator="containsText" text="INST">
      <formula>NOT(ISERROR(SEARCH("INST",A56)))</formula>
    </cfRule>
    <cfRule type="containsText" dxfId="98" priority="6" operator="containsText" text="MEC">
      <formula>NOT(ISERROR(SEARCH("MEC",A56)))</formula>
    </cfRule>
  </conditionalFormatting>
  <conditionalFormatting sqref="A57">
    <cfRule type="containsText" dxfId="97" priority="2" operator="containsText" text="INST">
      <formula>NOT(ISERROR(SEARCH("INST",A57)))</formula>
    </cfRule>
    <cfRule type="containsText" dxfId="96" priority="3" operator="containsText" text="MEC">
      <formula>NOT(ISERROR(SEARCH("MEC",A57)))</formula>
    </cfRule>
    <cfRule type="containsText" dxfId="95" priority="1" operator="containsText" text="ELET">
      <formula>NOT(ISERROR(SEARCH("ELET",A57)))</formula>
    </cfRule>
  </conditionalFormatting>
  <conditionalFormatting sqref="A1:G55 B56:G57">
    <cfRule type="containsText" dxfId="94" priority="31" operator="containsText" text="ELET">
      <formula>NOT(ISERROR(SEARCH("ELET",A1)))</formula>
    </cfRule>
    <cfRule type="containsText" dxfId="93" priority="32" operator="containsText" text="INST">
      <formula>NOT(ISERROR(SEARCH("INST",A1)))</formula>
    </cfRule>
    <cfRule type="containsText" dxfId="92" priority="33" operator="containsText" text="MEC">
      <formula>NOT(ISERROR(SEARCH("MEC",A1)))</formula>
    </cfRule>
  </conditionalFormatting>
  <conditionalFormatting sqref="D25:D31">
    <cfRule type="containsText" dxfId="91" priority="22" operator="containsText" text="ELET">
      <formula>NOT(ISERROR(SEARCH("ELET",D25)))</formula>
    </cfRule>
    <cfRule type="containsText" dxfId="90" priority="23" operator="containsText" text="INST">
      <formula>NOT(ISERROR(SEARCH("INST",D25)))</formula>
    </cfRule>
    <cfRule type="containsText" dxfId="89" priority="24" operator="containsText" text="MEC">
      <formula>NOT(ISERROR(SEARCH("MEC",D25)))</formula>
    </cfRule>
  </conditionalFormatting>
  <conditionalFormatting sqref="D35:D57">
    <cfRule type="containsText" dxfId="88" priority="16" operator="containsText" text="ELET">
      <formula>NOT(ISERROR(SEARCH("ELET",D35)))</formula>
    </cfRule>
    <cfRule type="containsText" dxfId="87" priority="18" operator="containsText" text="MEC">
      <formula>NOT(ISERROR(SEARCH("MEC",D35)))</formula>
    </cfRule>
    <cfRule type="containsText" dxfId="86" priority="17" operator="containsText" text="INST">
      <formula>NOT(ISERROR(SEARCH("INST",D35)))</formula>
    </cfRule>
  </conditionalFormatting>
  <conditionalFormatting sqref="E4">
    <cfRule type="containsText" dxfId="85" priority="10" operator="containsText" text="ELET">
      <formula>NOT(ISERROR(SEARCH("ELET",E4)))</formula>
    </cfRule>
    <cfRule type="containsText" dxfId="84" priority="11" operator="containsText" text="INST">
      <formula>NOT(ISERROR(SEARCH("INST",E4)))</formula>
    </cfRule>
    <cfRule type="containsText" dxfId="83" priority="12" operator="containsText" text="MEC">
      <formula>NOT(ISERROR(SEARCH("MEC",E4)))</formula>
    </cfRule>
  </conditionalFormatting>
  <conditionalFormatting sqref="E18:E22">
    <cfRule type="containsText" dxfId="82" priority="28" operator="containsText" text="ELET">
      <formula>NOT(ISERROR(SEARCH("ELET",E18)))</formula>
    </cfRule>
    <cfRule type="containsText" dxfId="81" priority="29" operator="containsText" text="INST">
      <formula>NOT(ISERROR(SEARCH("INST",E18)))</formula>
    </cfRule>
    <cfRule type="containsText" dxfId="80" priority="30" operator="containsText" text="MEC">
      <formula>NOT(ISERROR(SEARCH("MEC",E18)))</formula>
    </cfRule>
  </conditionalFormatting>
  <conditionalFormatting sqref="E22:E28">
    <cfRule type="containsText" dxfId="79" priority="25" operator="containsText" text="ELET">
      <formula>NOT(ISERROR(SEARCH("ELET",E22)))</formula>
    </cfRule>
    <cfRule type="containsText" dxfId="78" priority="26" operator="containsText" text="INST">
      <formula>NOT(ISERROR(SEARCH("INST",E22)))</formula>
    </cfRule>
    <cfRule type="containsText" dxfId="77" priority="27" operator="containsText" text="MEC">
      <formula>NOT(ISERROR(SEARCH("MEC",E22)))</formula>
    </cfRule>
  </conditionalFormatting>
  <conditionalFormatting sqref="E46">
    <cfRule type="containsText" dxfId="76" priority="7" operator="containsText" text="ELET">
      <formula>NOT(ISERROR(SEARCH("ELET",E46)))</formula>
    </cfRule>
    <cfRule type="containsText" dxfId="75" priority="8" operator="containsText" text="INST">
      <formula>NOT(ISERROR(SEARCH("INST",E46)))</formula>
    </cfRule>
    <cfRule type="containsText" dxfId="74" priority="9" operator="containsText" text="MEC">
      <formula>NOT(ISERROR(SEARCH("MEC",E46)))</formula>
    </cfRule>
  </conditionalFormatting>
  <conditionalFormatting sqref="E48:E57">
    <cfRule type="containsText" dxfId="73" priority="13" operator="containsText" text="ELET">
      <formula>NOT(ISERROR(SEARCH("ELET",E48)))</formula>
    </cfRule>
    <cfRule type="containsText" dxfId="72" priority="14" operator="containsText" text="INST">
      <formula>NOT(ISERROR(SEARCH("INST",E48)))</formula>
    </cfRule>
    <cfRule type="containsText" dxfId="71" priority="15" operator="containsText" text="MEC">
      <formula>NOT(ISERROR(SEARCH("MEC",E48)))</formula>
    </cfRule>
  </conditionalFormatting>
  <conditionalFormatting sqref="I1:J1">
    <cfRule type="containsText" dxfId="70" priority="64" operator="containsText" text="ELET">
      <formula>NOT(ISERROR(SEARCH("ELET",I1)))</formula>
    </cfRule>
    <cfRule type="containsText" dxfId="69" priority="65" operator="containsText" text="INST">
      <formula>NOT(ISERROR(SEARCH("INST",I1)))</formula>
    </cfRule>
    <cfRule type="containsText" dxfId="68" priority="66" operator="containsText" text="MEC">
      <formula>NOT(ISERROR(SEARCH("MEC",I1)))</formula>
    </cfRule>
  </conditionalFormatting>
  <hyperlinks>
    <hyperlink ref="G23" r:id="rId1" display="mailto:maria.santos8@petrobras.com.br" xr:uid="{31924FE1-CC62-413E-8084-F76F966B5C5A}"/>
    <hyperlink ref="G33" r:id="rId2" display="mailto:felipecahet@petrobras.com.br" xr:uid="{08939E5C-E4DC-4B93-B48A-1350C4DA3F30}"/>
    <hyperlink ref="G31" r:id="rId3" display="mailto:rperez@petrobras.com.br" xr:uid="{3202B49B-F150-4570-B029-75FB0A407641}"/>
    <hyperlink ref="G24" r:id="rId4" display="mailto:antonio.r.cunha@petrobras.com.br" xr:uid="{7170E85A-3B8D-4F0F-A870-D606AB79D9FB}"/>
    <hyperlink ref="G35" r:id="rId5" display="mailto:fabio.unterman@petrobras.com.br" xr:uid="{C7277ABB-3620-45C4-B229-0227405B17D9}"/>
    <hyperlink ref="G32" r:id="rId6" display="mailto:leandro.eloy@petrobras.com.br" xr:uid="{9487D3BC-002D-465A-9936-424DCC707C7A}"/>
    <hyperlink ref="G25" r:id="rId7" display="mailto:vledo@petrobras.com.br" xr:uid="{31FB01F6-F37F-48C2-B64E-298FEAF3776A}"/>
    <hyperlink ref="G17" r:id="rId8" display="mailto:aureojr@petrobras.com.br" xr:uid="{C43D3FE3-7411-4008-A9A4-562DCFCE5E71}"/>
    <hyperlink ref="G30" r:id="rId9" display="mailto:pietro.konzgen@petrobras.com.br" xr:uid="{D332474F-B9FC-4595-A472-8A12D376435F}"/>
    <hyperlink ref="G7" r:id="rId10" display="mailto:reinaldo.merendaz@petrobras.com.br" xr:uid="{EF850ED7-434E-4927-B4F4-3E34428B0AE4}"/>
    <hyperlink ref="G5" r:id="rId11" display="mailto:jorge.mariano@petrobras.com.br" xr:uid="{699FA76A-052E-423D-9451-84FD65A38D59}"/>
    <hyperlink ref="G18" r:id="rId12" display="mailto:julio.fassarela@petrobras.com.br" xr:uid="{6409386F-B621-40C0-B374-4603CB407642}"/>
    <hyperlink ref="G29" r:id="rId13" display="mailto:julio.bento@petrobras.com.br" xr:uid="{96F10838-B335-47DB-82F3-4952C227D3DF}"/>
    <hyperlink ref="G16" r:id="rId14" display="mailto:eder.reis@petrobras.com.br" xr:uid="{32943001-2440-421B-B500-C7A7D91A28CF}"/>
    <hyperlink ref="G15" r:id="rId15" display="mailto:kevin.cunha@petrobras.com.br" xr:uid="{FAB8E89E-9EB6-4D51-9B4B-D19CB1996435}"/>
    <hyperlink ref="G14" r:id="rId16" display="mailto:andre.sthel@petrobras.com.br" xr:uid="{1ACACF33-5BD0-4920-81E5-9E72054BAC97}"/>
    <hyperlink ref="G9" r:id="rId17" display="mailto:junio.matos@petrobras.com.br" xr:uid="{557AB8A2-6656-42D6-B8F2-A9115F7F77D3}"/>
    <hyperlink ref="G11" r:id="rId18" display="mailto:flaviomarinho@petrobras.com.br" xr:uid="{63F12697-FFCF-4C68-9D45-BF0B29C8BACF}"/>
    <hyperlink ref="G10" r:id="rId19" display="mailto:marsantos@petrobras.com.br" xr:uid="{42729194-F1BC-4A6E-A930-686B4DB2A8BA}"/>
    <hyperlink ref="G26" r:id="rId20" display="mailto:rafaelventurini@petrobras.com.br" xr:uid="{B6DF485A-4F79-4712-8A09-46C0D5C9678B}"/>
    <hyperlink ref="G34" r:id="rId21" display="mailto:marcelo.vaqueiro@petrobras.com.br" xr:uid="{1C79F3E5-931F-4BA2-93F5-2118CE777AD2}"/>
    <hyperlink ref="G36" r:id="rId22" display="mailto:thiago_gomes@petrobras.com.br" xr:uid="{88E399A7-02D0-48AB-BEFB-5CA0DF046C41}"/>
    <hyperlink ref="G6" r:id="rId23" display="mailto:er.amaral@petrobras.com.br" xr:uid="{B9BC3BF2-D2E6-4F15-A613-59D3AF062193}"/>
    <hyperlink ref="G27" r:id="rId24" display="mailto:raulalende@petrobras.com.br" xr:uid="{8F90D1B6-96D5-4E14-AB9B-6EAFCA9CD6FD}"/>
    <hyperlink ref="G8" r:id="rId25" display="mailto:igorteixeira@petrobras.com.br" xr:uid="{075BCC4D-6F81-4F00-973F-CBE6D9E2C751}"/>
    <hyperlink ref="G19" r:id="rId26" display="mailto:andi9@petrobras.com.br" xr:uid="{CDF0941D-BD59-430C-A69F-C6200D18AD78}"/>
    <hyperlink ref="G20" r:id="rId27" display="mailto:diogosouza@petrobras.com.br" xr:uid="{400BB255-E4C0-486C-9047-12D82940C8F9}"/>
    <hyperlink ref="G21" r:id="rId28" display="mailto:al.larangeira@petrobras.com.br" xr:uid="{2B67D3D7-2A6B-4CF3-A7C6-5E752F2C3B41}"/>
    <hyperlink ref="G13" r:id="rId29" display="mailto:tmenegussi@petrobras.com.br" xr:uid="{487B711F-CFDD-48D5-87F3-3996CB4D6B03}"/>
    <hyperlink ref="G28" r:id="rId30" display="mailto:alexsandroviana@petrobras.com.br" xr:uid="{A218FA1F-1C2C-4A91-BB4C-5F532806C245}"/>
    <hyperlink ref="G37" r:id="rId31" display="mailto:vinicius.s.duarte@petrobras.com.br" xr:uid="{2EE5F359-49E4-4334-881A-5460A7622D49}"/>
    <hyperlink ref="G2" r:id="rId32" display="mailto:tonicler.kutz@petrobras.com.br" xr:uid="{F3108FA9-E6B3-4477-BA0F-2F325D8E9E56}"/>
    <hyperlink ref="G22" r:id="rId33" display="mailto:wellingtonmarques@petrobras.com.br" xr:uid="{56961390-D747-48FE-9DCE-0A3A66E4FAD3}"/>
    <hyperlink ref="G12" r:id="rId34" display="mailto:marcioamaral@petrobras.com.br" xr:uid="{EF95CBB5-7DD1-4164-9FA2-7081B76C5F45}"/>
    <hyperlink ref="G4" r:id="rId35" display="mailto:breno.batista@petrobras.com.br" xr:uid="{6C641B76-E9B3-497B-A744-58EAA451E613}"/>
    <hyperlink ref="G38" r:id="rId36" display="mailto:andre.silva35@petrobras.com.br" xr:uid="{1399D305-0209-48C3-B133-B7B186E835BA}"/>
    <hyperlink ref="G40" r:id="rId37" display="mailto:dimitriaraujo@petrobras.com.br" xr:uid="{DD11039F-B020-4C75-9837-68298616B7AD}"/>
    <hyperlink ref="G43" r:id="rId38" display="mailto:pablo.p.almeida@petrobras.com.br" xr:uid="{9FB29758-D8D7-4857-8606-5E70C80E798E}"/>
    <hyperlink ref="G44" r:id="rId39" display="mailto:ronald.quaresma@petrobras.com.br" xr:uid="{8269AE51-0C13-4D6D-B536-4B04818C4B14}"/>
    <hyperlink ref="G45" r:id="rId40" display="mailto:victor.f.campos@petrobras.com.br" xr:uid="{3F3EC4F4-1F58-43F7-98FE-D5B9F81B259B}"/>
    <hyperlink ref="G46" r:id="rId41" display="mailto:jailton.conceicao@petrobras.com.br" xr:uid="{04A723A3-0B94-4F3D-AE39-A503748881B9}"/>
    <hyperlink ref="G47" r:id="rId42" display="mailto:luiz.serpa@petrobras.com.br" xr:uid="{6D8C83B0-20C1-49B0-9E7D-27C6DDEFD390}"/>
    <hyperlink ref="G48" r:id="rId43" display="mailto:ricardo.uema@petrobras.com.br" xr:uid="{24CF1749-93B5-4084-BDAB-26CCCEE2027E}"/>
    <hyperlink ref="G39" r:id="rId44" display="mailto:thielles.gustavo@petrobras.com.br" xr:uid="{969B347A-F7AB-470A-9DB0-690D5A26C898}"/>
    <hyperlink ref="G3" r:id="rId45" display="mailto:luiz.ramos3@petrobras.com.br" xr:uid="{81287040-651C-4771-B902-EBE6D76C903D}"/>
    <hyperlink ref="G49" r:id="rId46" xr:uid="{11109C92-24DE-41D9-AC5B-B8DE456246C8}"/>
    <hyperlink ref="G50" r:id="rId47" xr:uid="{C27F965E-FA1B-43EB-9905-DBEDD2CC09EB}"/>
    <hyperlink ref="G51" r:id="rId48" xr:uid="{80E92C81-7A98-4489-B94B-93002CC75016}"/>
    <hyperlink ref="G52" r:id="rId49" xr:uid="{13ABD4E7-A9D6-4313-8200-F713CD3E8ABD}"/>
    <hyperlink ref="G53" r:id="rId50" xr:uid="{4D5B71C7-1667-4C2E-9DB5-74F7C4299E8D}"/>
    <hyperlink ref="G54" r:id="rId51" xr:uid="{077160BB-565E-4CE2-9572-36A117FFDEB8}"/>
    <hyperlink ref="G55" r:id="rId52" xr:uid="{6BCA10BF-F74E-4461-9524-10AB9F0693E3}"/>
    <hyperlink ref="G42" r:id="rId53" xr:uid="{EE216573-D1A8-4343-9F23-3EE1E0F4DFA9}"/>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S207"/>
  <sheetViews>
    <sheetView showGridLines="0" tabSelected="1" showRuler="0" zoomScale="85" zoomScaleNormal="85" zoomScalePageLayoutView="70" workbookViewId="0">
      <pane xSplit="7" ySplit="6" topLeftCell="H166" activePane="bottomRight" state="frozen"/>
      <selection pane="bottomRight" activeCell="G125" sqref="G125"/>
      <selection pane="bottomLeft" activeCell="A7" sqref="A7"/>
      <selection pane="topRight" activeCell="H1" sqref="H1"/>
    </sheetView>
  </sheetViews>
  <sheetFormatPr defaultColWidth="9.42578125" defaultRowHeight="14.45" outlineLevelRow="1"/>
  <cols>
    <col min="1" max="1" width="0.42578125" customWidth="1"/>
    <col min="2" max="2" width="37.5703125" bestFit="1" customWidth="1"/>
    <col min="3" max="3" width="27.5703125" style="5" bestFit="1" customWidth="1"/>
    <col min="4" max="4" width="21" style="111" bestFit="1" customWidth="1"/>
    <col min="5" max="5" width="19" style="111" customWidth="1"/>
    <col min="6" max="7" width="4.42578125" customWidth="1"/>
    <col min="8" max="9" width="0.42578125" customWidth="1"/>
    <col min="10" max="10" width="2.5703125" bestFit="1" customWidth="1"/>
    <col min="11" max="19" width="2" bestFit="1" customWidth="1"/>
    <col min="20" max="24" width="2.5703125" bestFit="1" customWidth="1"/>
    <col min="25" max="25" width="6.5703125" bestFit="1" customWidth="1"/>
    <col min="26" max="41" width="2.5703125" bestFit="1" customWidth="1"/>
    <col min="42" max="50" width="2" bestFit="1" customWidth="1"/>
    <col min="51" max="69" width="2.5703125" bestFit="1" customWidth="1"/>
    <col min="70" max="78" width="2" bestFit="1" customWidth="1"/>
    <col min="79" max="100" width="2.5703125" bestFit="1" customWidth="1"/>
    <col min="101" max="109" width="2" bestFit="1" customWidth="1"/>
    <col min="110" max="130" width="2.5703125" bestFit="1" customWidth="1"/>
    <col min="131" max="139" width="2" bestFit="1" customWidth="1"/>
    <col min="140" max="161" width="2.5703125" bestFit="1" customWidth="1"/>
    <col min="162" max="170" width="2" bestFit="1" customWidth="1"/>
    <col min="171" max="191" width="2.5703125" bestFit="1" customWidth="1"/>
    <col min="192" max="200" width="2" bestFit="1" customWidth="1"/>
    <col min="201" max="222" width="2.5703125" bestFit="1" customWidth="1"/>
    <col min="223" max="231" width="2" bestFit="1" customWidth="1"/>
    <col min="232" max="253" width="2.5703125" bestFit="1" customWidth="1"/>
    <col min="254" max="262" width="2" bestFit="1" customWidth="1"/>
    <col min="263" max="283" width="2.5703125" bestFit="1" customWidth="1"/>
    <col min="284" max="292" width="2" bestFit="1" customWidth="1"/>
    <col min="293" max="314" width="2.5703125" bestFit="1" customWidth="1"/>
    <col min="315" max="323" width="2" bestFit="1" customWidth="1"/>
    <col min="324" max="617" width="2.5703125" bestFit="1" customWidth="1"/>
  </cols>
  <sheetData>
    <row r="1" spans="1:617" ht="9.6" customHeight="1">
      <c r="A1" s="34" t="s">
        <v>198</v>
      </c>
      <c r="B1" s="37" t="s">
        <v>199</v>
      </c>
      <c r="C1" s="134"/>
      <c r="D1" s="110"/>
      <c r="E1" s="110"/>
      <c r="G1" s="2"/>
      <c r="H1" s="51"/>
      <c r="I1" s="51"/>
      <c r="BT1" s="237" t="s">
        <v>200</v>
      </c>
      <c r="BU1" s="237"/>
      <c r="BV1" s="237"/>
      <c r="CQ1" s="235"/>
      <c r="CR1" s="235"/>
      <c r="CX1" s="234"/>
      <c r="CY1" s="234"/>
      <c r="EK1" s="235"/>
    </row>
    <row r="2" spans="1:617" ht="9.6" customHeight="1">
      <c r="A2" s="33" t="s">
        <v>201</v>
      </c>
      <c r="B2" s="38"/>
      <c r="BT2" s="237"/>
      <c r="BU2" s="237"/>
      <c r="BV2" s="237"/>
      <c r="CQ2" s="235"/>
      <c r="CR2" s="235"/>
      <c r="CX2" s="234"/>
      <c r="CY2" s="234"/>
      <c r="EK2" s="235"/>
    </row>
    <row r="3" spans="1:617" ht="9.6" customHeight="1">
      <c r="A3" s="33" t="s">
        <v>202</v>
      </c>
      <c r="B3" s="70" t="s">
        <v>203</v>
      </c>
      <c r="C3" s="135">
        <f>Início_do_projeto+660</f>
        <v>46318</v>
      </c>
      <c r="D3" s="112" t="s">
        <v>204</v>
      </c>
      <c r="E3" s="249">
        <v>45658</v>
      </c>
      <c r="F3" s="249"/>
      <c r="BT3" s="237"/>
      <c r="BU3" s="237"/>
      <c r="BV3" s="237"/>
      <c r="CQ3" s="235"/>
      <c r="CR3" s="235"/>
      <c r="CX3" s="234"/>
      <c r="CY3" s="234"/>
      <c r="EK3" s="235"/>
    </row>
    <row r="4" spans="1:617" ht="9.6" customHeight="1">
      <c r="A4" s="34" t="s">
        <v>205</v>
      </c>
      <c r="D4" s="113" t="s">
        <v>206</v>
      </c>
      <c r="F4" s="7">
        <v>20</v>
      </c>
      <c r="H4" s="230">
        <f>H5</f>
        <v>45789</v>
      </c>
      <c r="I4" s="231"/>
      <c r="J4" s="231"/>
      <c r="K4" s="231"/>
      <c r="L4" s="231"/>
      <c r="M4" s="231"/>
      <c r="N4" s="231"/>
      <c r="O4" s="232"/>
      <c r="P4" s="230">
        <f>P5</f>
        <v>45796</v>
      </c>
      <c r="Q4" s="231"/>
      <c r="R4" s="231"/>
      <c r="S4" s="231"/>
      <c r="T4" s="231"/>
      <c r="U4" s="231"/>
      <c r="V4" s="232"/>
      <c r="W4" s="230">
        <f>W5</f>
        <v>45803</v>
      </c>
      <c r="X4" s="231"/>
      <c r="Y4" s="231"/>
      <c r="Z4" s="231"/>
      <c r="AA4" s="231"/>
      <c r="AB4" s="231"/>
      <c r="AC4" s="232"/>
      <c r="AD4" s="230">
        <f>AD5</f>
        <v>45810</v>
      </c>
      <c r="AE4" s="231"/>
      <c r="AF4" s="231"/>
      <c r="AG4" s="231"/>
      <c r="AH4" s="231"/>
      <c r="AI4" s="231"/>
      <c r="AJ4" s="232"/>
      <c r="AK4" s="230">
        <f>AK5</f>
        <v>45817</v>
      </c>
      <c r="AL4" s="231"/>
      <c r="AM4" s="231"/>
      <c r="AN4" s="231"/>
      <c r="AO4" s="231"/>
      <c r="AP4" s="231"/>
      <c r="AQ4" s="232"/>
      <c r="AR4" s="230">
        <f>AR5</f>
        <v>45824</v>
      </c>
      <c r="AS4" s="231"/>
      <c r="AT4" s="231"/>
      <c r="AU4" s="231"/>
      <c r="AV4" s="231"/>
      <c r="AW4" s="231"/>
      <c r="AX4" s="232"/>
      <c r="AY4" s="230">
        <f>AY5</f>
        <v>45831</v>
      </c>
      <c r="AZ4" s="231"/>
      <c r="BA4" s="231"/>
      <c r="BB4" s="231"/>
      <c r="BC4" s="231"/>
      <c r="BD4" s="231"/>
      <c r="BE4" s="232"/>
      <c r="BF4" s="230">
        <f>BF5</f>
        <v>45838</v>
      </c>
      <c r="BG4" s="231"/>
      <c r="BH4" s="231"/>
      <c r="BI4" s="231"/>
      <c r="BJ4" s="231"/>
      <c r="BK4" s="231"/>
      <c r="BL4" s="232"/>
      <c r="BM4" s="230">
        <f>BM5</f>
        <v>45845</v>
      </c>
      <c r="BN4" s="231"/>
      <c r="BO4" s="231"/>
      <c r="BP4" s="231"/>
      <c r="BQ4" s="231"/>
      <c r="BR4" s="231"/>
      <c r="BS4" s="232"/>
      <c r="BT4" s="230">
        <f>BT5</f>
        <v>45852</v>
      </c>
      <c r="BU4" s="231"/>
      <c r="BV4" s="231"/>
      <c r="BW4" s="231"/>
      <c r="BX4" s="231"/>
      <c r="BY4" s="231"/>
      <c r="BZ4" s="232"/>
      <c r="CA4" s="230">
        <f>CA5</f>
        <v>45859</v>
      </c>
      <c r="CB4" s="231"/>
      <c r="CC4" s="231"/>
      <c r="CD4" s="231"/>
      <c r="CE4" s="231"/>
      <c r="CF4" s="231"/>
      <c r="CG4" s="232"/>
      <c r="CH4" s="230">
        <f>CH5</f>
        <v>45866</v>
      </c>
      <c r="CI4" s="231"/>
      <c r="CJ4" s="231"/>
      <c r="CK4" s="231"/>
      <c r="CL4" s="231"/>
      <c r="CM4" s="231"/>
      <c r="CN4" s="232"/>
      <c r="CO4" s="230">
        <f>CO5</f>
        <v>45873</v>
      </c>
      <c r="CP4" s="231"/>
      <c r="CQ4" s="231"/>
      <c r="CR4" s="231"/>
      <c r="CS4" s="231"/>
      <c r="CT4" s="231"/>
      <c r="CU4" s="232"/>
      <c r="CV4" s="230">
        <f>CV5</f>
        <v>45880</v>
      </c>
      <c r="CW4" s="231"/>
      <c r="CX4" s="231"/>
      <c r="CY4" s="231"/>
      <c r="CZ4" s="231"/>
      <c r="DA4" s="231"/>
      <c r="DB4" s="232"/>
      <c r="DC4" s="230">
        <f>DC5</f>
        <v>45887</v>
      </c>
      <c r="DD4" s="231"/>
      <c r="DE4" s="231"/>
      <c r="DF4" s="231"/>
      <c r="DG4" s="231"/>
      <c r="DH4" s="231"/>
      <c r="DI4" s="232"/>
      <c r="DJ4" s="230">
        <f>DJ5</f>
        <v>45894</v>
      </c>
      <c r="DK4" s="231"/>
      <c r="DL4" s="231"/>
      <c r="DM4" s="231"/>
      <c r="DN4" s="231"/>
      <c r="DO4" s="231"/>
      <c r="DP4" s="232"/>
      <c r="DQ4" s="230">
        <f>DQ5</f>
        <v>45901</v>
      </c>
      <c r="DR4" s="231"/>
      <c r="DS4" s="231"/>
      <c r="DT4" s="231"/>
      <c r="DU4" s="231"/>
      <c r="DV4" s="231"/>
      <c r="DW4" s="232"/>
      <c r="DX4" s="230">
        <f>DX5</f>
        <v>45908</v>
      </c>
      <c r="DY4" s="231"/>
      <c r="DZ4" s="231"/>
      <c r="EA4" s="231"/>
      <c r="EB4" s="231"/>
      <c r="EC4" s="231"/>
      <c r="ED4" s="232"/>
      <c r="EE4" s="230">
        <f t="shared" ref="EE4" si="0">EE5</f>
        <v>45915</v>
      </c>
      <c r="EF4" s="231"/>
      <c r="EG4" s="231"/>
      <c r="EH4" s="231"/>
      <c r="EI4" s="231"/>
      <c r="EJ4" s="231"/>
      <c r="EK4" s="232"/>
      <c r="EL4" s="230">
        <f t="shared" ref="EL4" si="1">EL5</f>
        <v>45922</v>
      </c>
      <c r="EM4" s="231"/>
      <c r="EN4" s="231"/>
      <c r="EO4" s="231"/>
      <c r="EP4" s="231"/>
      <c r="EQ4" s="231"/>
      <c r="ER4" s="232"/>
      <c r="ES4" s="230">
        <f t="shared" ref="ES4" si="2">ES5</f>
        <v>45929</v>
      </c>
      <c r="ET4" s="231"/>
      <c r="EU4" s="231"/>
      <c r="EV4" s="231"/>
      <c r="EW4" s="231"/>
      <c r="EX4" s="231"/>
      <c r="EY4" s="232"/>
      <c r="EZ4" s="230">
        <f t="shared" ref="EZ4" si="3">EZ5</f>
        <v>45936</v>
      </c>
      <c r="FA4" s="231"/>
      <c r="FB4" s="231"/>
      <c r="FC4" s="231"/>
      <c r="FD4" s="231"/>
      <c r="FE4" s="231"/>
      <c r="FF4" s="232"/>
      <c r="FG4" s="230">
        <f t="shared" ref="FG4" si="4">FG5</f>
        <v>45943</v>
      </c>
      <c r="FH4" s="231"/>
      <c r="FI4" s="231"/>
      <c r="FJ4" s="231"/>
      <c r="FK4" s="231"/>
      <c r="FL4" s="231"/>
      <c r="FM4" s="232"/>
      <c r="FN4" s="230">
        <f t="shared" ref="FN4" si="5">FN5</f>
        <v>45950</v>
      </c>
      <c r="FO4" s="231"/>
      <c r="FP4" s="231"/>
      <c r="FQ4" s="231"/>
      <c r="FR4" s="231"/>
      <c r="FS4" s="231"/>
      <c r="FT4" s="232"/>
      <c r="FU4" s="230">
        <f t="shared" ref="FU4" si="6">FU5</f>
        <v>45957</v>
      </c>
      <c r="FV4" s="231"/>
      <c r="FW4" s="231"/>
      <c r="FX4" s="231"/>
      <c r="FY4" s="231"/>
      <c r="FZ4" s="231"/>
      <c r="GA4" s="232"/>
      <c r="GB4" s="230">
        <f t="shared" ref="GB4" si="7">GB5</f>
        <v>45964</v>
      </c>
      <c r="GC4" s="231"/>
      <c r="GD4" s="231"/>
      <c r="GE4" s="231"/>
      <c r="GF4" s="231"/>
      <c r="GG4" s="231"/>
      <c r="GH4" s="232"/>
      <c r="GI4" s="230">
        <f t="shared" ref="GI4" si="8">GI5</f>
        <v>45971</v>
      </c>
      <c r="GJ4" s="231"/>
      <c r="GK4" s="231"/>
      <c r="GL4" s="231"/>
      <c r="GM4" s="231"/>
      <c r="GN4" s="231"/>
      <c r="GO4" s="232"/>
      <c r="GP4" s="230">
        <f t="shared" ref="GP4" si="9">GP5</f>
        <v>45978</v>
      </c>
      <c r="GQ4" s="231"/>
      <c r="GR4" s="231"/>
      <c r="GS4" s="231"/>
      <c r="GT4" s="231"/>
      <c r="GU4" s="231"/>
      <c r="GV4" s="232"/>
      <c r="GW4" s="230">
        <f t="shared" ref="GW4" si="10">GW5</f>
        <v>45985</v>
      </c>
      <c r="GX4" s="231"/>
      <c r="GY4" s="231"/>
      <c r="GZ4" s="231"/>
      <c r="HA4" s="231"/>
      <c r="HB4" s="231"/>
      <c r="HC4" s="232"/>
      <c r="HD4" s="230">
        <f t="shared" ref="HD4" si="11">HD5</f>
        <v>45992</v>
      </c>
      <c r="HE4" s="231"/>
      <c r="HF4" s="231"/>
      <c r="HG4" s="231"/>
      <c r="HH4" s="231"/>
      <c r="HI4" s="231"/>
      <c r="HJ4" s="232"/>
      <c r="HK4" s="230">
        <f t="shared" ref="HK4" si="12">HK5</f>
        <v>45999</v>
      </c>
      <c r="HL4" s="231"/>
      <c r="HM4" s="231"/>
      <c r="HN4" s="231"/>
      <c r="HO4" s="231"/>
      <c r="HP4" s="231"/>
      <c r="HQ4" s="232"/>
      <c r="HR4" s="230">
        <f t="shared" ref="HR4" si="13">HR5</f>
        <v>46006</v>
      </c>
      <c r="HS4" s="231"/>
      <c r="HT4" s="231"/>
      <c r="HU4" s="231"/>
      <c r="HV4" s="231"/>
      <c r="HW4" s="231"/>
      <c r="HX4" s="232"/>
      <c r="HY4" s="230">
        <f t="shared" ref="HY4" si="14">HY5</f>
        <v>46013</v>
      </c>
      <c r="HZ4" s="231"/>
      <c r="IA4" s="231"/>
      <c r="IB4" s="231"/>
      <c r="IC4" s="231"/>
      <c r="ID4" s="231"/>
      <c r="IE4" s="232"/>
      <c r="IF4" s="230">
        <f t="shared" ref="IF4" si="15">IF5</f>
        <v>46020</v>
      </c>
      <c r="IG4" s="231"/>
      <c r="IH4" s="231"/>
      <c r="II4" s="231"/>
      <c r="IJ4" s="231"/>
      <c r="IK4" s="231"/>
      <c r="IL4" s="232"/>
      <c r="IM4" s="230">
        <f t="shared" ref="IM4" si="16">IM5</f>
        <v>46027</v>
      </c>
      <c r="IN4" s="231"/>
      <c r="IO4" s="231"/>
      <c r="IP4" s="231"/>
      <c r="IQ4" s="231"/>
      <c r="IR4" s="231"/>
      <c r="IS4" s="232"/>
      <c r="IT4" s="230">
        <f t="shared" ref="IT4" si="17">IT5</f>
        <v>46034</v>
      </c>
      <c r="IU4" s="231"/>
      <c r="IV4" s="231"/>
      <c r="IW4" s="231"/>
      <c r="IX4" s="231"/>
      <c r="IY4" s="231"/>
      <c r="IZ4" s="232"/>
      <c r="JA4" s="230">
        <f t="shared" ref="JA4" si="18">JA5</f>
        <v>46041</v>
      </c>
      <c r="JB4" s="231"/>
      <c r="JC4" s="231"/>
      <c r="JD4" s="231"/>
      <c r="JE4" s="231"/>
      <c r="JF4" s="231"/>
      <c r="JG4" s="232"/>
      <c r="JH4" s="230">
        <f t="shared" ref="JH4" si="19">JH5</f>
        <v>46048</v>
      </c>
      <c r="JI4" s="231"/>
      <c r="JJ4" s="231"/>
      <c r="JK4" s="231"/>
      <c r="JL4" s="231"/>
      <c r="JM4" s="231"/>
      <c r="JN4" s="232"/>
      <c r="JO4" s="230">
        <f t="shared" ref="JO4" si="20">JO5</f>
        <v>46055</v>
      </c>
      <c r="JP4" s="231"/>
      <c r="JQ4" s="231"/>
      <c r="JR4" s="231"/>
      <c r="JS4" s="231"/>
      <c r="JT4" s="231"/>
      <c r="JU4" s="232"/>
      <c r="JV4" s="230">
        <f t="shared" ref="JV4" si="21">JV5</f>
        <v>46062</v>
      </c>
      <c r="JW4" s="231"/>
      <c r="JX4" s="231"/>
      <c r="JY4" s="231"/>
      <c r="JZ4" s="231"/>
      <c r="KA4" s="231"/>
      <c r="KB4" s="232"/>
      <c r="KC4" s="230">
        <f t="shared" ref="KC4" si="22">KC5</f>
        <v>46069</v>
      </c>
      <c r="KD4" s="231"/>
      <c r="KE4" s="231"/>
      <c r="KF4" s="231"/>
      <c r="KG4" s="231"/>
      <c r="KH4" s="231"/>
      <c r="KI4" s="232"/>
      <c r="KJ4" s="230">
        <f t="shared" ref="KJ4" si="23">KJ5</f>
        <v>46076</v>
      </c>
      <c r="KK4" s="231"/>
      <c r="KL4" s="231"/>
      <c r="KM4" s="231"/>
      <c r="KN4" s="231"/>
      <c r="KO4" s="231"/>
      <c r="KP4" s="232"/>
      <c r="KQ4" s="230">
        <f t="shared" ref="KQ4" si="24">KQ5</f>
        <v>46083</v>
      </c>
      <c r="KR4" s="231"/>
      <c r="KS4" s="231"/>
      <c r="KT4" s="231"/>
      <c r="KU4" s="231"/>
      <c r="KV4" s="231"/>
      <c r="KW4" s="232"/>
      <c r="KX4" s="230">
        <f t="shared" ref="KX4" si="25">KX5</f>
        <v>46090</v>
      </c>
      <c r="KY4" s="231"/>
      <c r="KZ4" s="231"/>
      <c r="LA4" s="231"/>
      <c r="LB4" s="231"/>
      <c r="LC4" s="231"/>
      <c r="LD4" s="232"/>
      <c r="LE4" s="230">
        <f t="shared" ref="LE4" si="26">LE5</f>
        <v>46097</v>
      </c>
      <c r="LF4" s="231"/>
      <c r="LG4" s="231"/>
      <c r="LH4" s="231"/>
      <c r="LI4" s="231"/>
      <c r="LJ4" s="231"/>
      <c r="LK4" s="232"/>
      <c r="LL4" s="230">
        <f t="shared" ref="LL4" si="27">LL5</f>
        <v>46104</v>
      </c>
      <c r="LM4" s="231"/>
      <c r="LN4" s="231"/>
      <c r="LO4" s="231"/>
      <c r="LP4" s="231"/>
      <c r="LQ4" s="231"/>
      <c r="LR4" s="232"/>
      <c r="LS4" s="230">
        <f t="shared" ref="LS4" si="28">LS5</f>
        <v>46111</v>
      </c>
      <c r="LT4" s="230"/>
      <c r="LU4" s="230"/>
      <c r="LV4" s="230"/>
      <c r="LW4" s="230"/>
      <c r="LX4" s="230"/>
      <c r="LY4" s="230"/>
      <c r="LZ4" s="230">
        <f t="shared" ref="LZ4" si="29">LZ5</f>
        <v>46118</v>
      </c>
      <c r="MA4" s="231"/>
      <c r="MB4" s="231"/>
      <c r="MC4" s="231"/>
      <c r="MD4" s="231"/>
      <c r="ME4" s="231"/>
      <c r="MF4" s="232"/>
      <c r="MG4" s="230">
        <f t="shared" ref="MG4" si="30">MG5</f>
        <v>46125</v>
      </c>
      <c r="MH4" s="231"/>
      <c r="MI4" s="231"/>
      <c r="MJ4" s="231"/>
      <c r="MK4" s="231"/>
      <c r="ML4" s="231"/>
      <c r="MM4" s="232"/>
      <c r="MN4" s="230">
        <f t="shared" ref="MN4:OY4" si="31">MN5</f>
        <v>46132</v>
      </c>
      <c r="MO4" s="231"/>
      <c r="MP4" s="231"/>
      <c r="MQ4" s="231"/>
      <c r="MR4" s="231"/>
      <c r="MS4" s="231"/>
      <c r="MT4" s="232"/>
      <c r="MU4" s="230">
        <f t="shared" si="31"/>
        <v>46139</v>
      </c>
      <c r="MV4" s="231"/>
      <c r="MW4" s="231"/>
      <c r="MX4" s="231"/>
      <c r="MY4" s="231"/>
      <c r="MZ4" s="231"/>
      <c r="NA4" s="232"/>
      <c r="NB4" s="230">
        <f t="shared" si="31"/>
        <v>46146</v>
      </c>
      <c r="NC4" s="231"/>
      <c r="ND4" s="231"/>
      <c r="NE4" s="231"/>
      <c r="NF4" s="231"/>
      <c r="NG4" s="231"/>
      <c r="NH4" s="232"/>
      <c r="NI4" s="230">
        <f t="shared" si="31"/>
        <v>46153</v>
      </c>
      <c r="NJ4" s="231"/>
      <c r="NK4" s="231"/>
      <c r="NL4" s="231"/>
      <c r="NM4" s="231"/>
      <c r="NN4" s="231"/>
      <c r="NO4" s="232"/>
      <c r="NP4" s="230">
        <f t="shared" si="31"/>
        <v>46160</v>
      </c>
      <c r="NQ4" s="231"/>
      <c r="NR4" s="231"/>
      <c r="NS4" s="231"/>
      <c r="NT4" s="231"/>
      <c r="NU4" s="231"/>
      <c r="NV4" s="232"/>
      <c r="NW4" s="183">
        <f t="shared" si="31"/>
        <v>46167</v>
      </c>
      <c r="NX4" s="184"/>
      <c r="NY4" s="184"/>
      <c r="NZ4" s="184"/>
      <c r="OA4" s="184"/>
      <c r="OB4" s="230"/>
      <c r="OC4" s="231"/>
      <c r="OD4" s="231">
        <f t="shared" si="31"/>
        <v>46174</v>
      </c>
      <c r="OE4" s="231"/>
      <c r="OF4" s="231"/>
      <c r="OG4" s="231"/>
      <c r="OH4" s="232"/>
      <c r="OI4" s="184"/>
      <c r="OJ4" s="185"/>
      <c r="OK4" s="183">
        <f t="shared" si="31"/>
        <v>46181</v>
      </c>
      <c r="OL4" s="184"/>
      <c r="OM4" s="184"/>
      <c r="ON4" s="230"/>
      <c r="OO4" s="231"/>
      <c r="OP4" s="231"/>
      <c r="OQ4" s="231"/>
      <c r="OR4" s="231">
        <f t="shared" si="31"/>
        <v>46188</v>
      </c>
      <c r="OS4" s="231"/>
      <c r="OT4" s="232"/>
      <c r="OU4" s="184"/>
      <c r="OV4" s="184"/>
      <c r="OW4" s="184"/>
      <c r="OX4" s="185"/>
      <c r="OY4" s="183">
        <f t="shared" si="31"/>
        <v>46195</v>
      </c>
      <c r="OZ4" s="230"/>
      <c r="PA4" s="231"/>
      <c r="PB4" s="231"/>
      <c r="PC4" s="231"/>
      <c r="PD4" s="231"/>
      <c r="PE4" s="231"/>
      <c r="PF4" s="232">
        <f t="shared" ref="PF4:RQ4" si="32">PF5</f>
        <v>46202</v>
      </c>
      <c r="PG4" s="184"/>
      <c r="PH4" s="184"/>
      <c r="PI4" s="184"/>
      <c r="PJ4" s="184"/>
      <c r="PK4" s="184"/>
      <c r="PL4" s="230"/>
      <c r="PM4" s="231">
        <f t="shared" si="32"/>
        <v>46209</v>
      </c>
      <c r="PN4" s="231"/>
      <c r="PO4" s="231"/>
      <c r="PP4" s="231"/>
      <c r="PQ4" s="231"/>
      <c r="PR4" s="232"/>
      <c r="PS4" s="185"/>
      <c r="PT4" s="183">
        <f t="shared" si="32"/>
        <v>46216</v>
      </c>
      <c r="PU4" s="184"/>
      <c r="PV4" s="184"/>
      <c r="PW4" s="184"/>
      <c r="PX4" s="230"/>
      <c r="PY4" s="231"/>
      <c r="PZ4" s="231"/>
      <c r="QA4" s="231">
        <f t="shared" si="32"/>
        <v>46223</v>
      </c>
      <c r="QB4" s="231"/>
      <c r="QC4" s="231"/>
      <c r="QD4" s="232"/>
      <c r="QE4" s="184"/>
      <c r="QF4" s="184"/>
      <c r="QG4" s="185"/>
      <c r="QH4" s="183">
        <f t="shared" si="32"/>
        <v>46230</v>
      </c>
      <c r="QI4" s="184"/>
      <c r="QJ4" s="230"/>
      <c r="QK4" s="231"/>
      <c r="QL4" s="231"/>
      <c r="QM4" s="231"/>
      <c r="QN4" s="231"/>
      <c r="QO4" s="231">
        <f t="shared" si="32"/>
        <v>46237</v>
      </c>
      <c r="QP4" s="232"/>
      <c r="QQ4" s="184"/>
      <c r="QR4" s="184"/>
      <c r="QS4" s="184"/>
      <c r="QT4" s="184"/>
      <c r="QU4" s="185"/>
      <c r="QV4" s="230">
        <f t="shared" si="32"/>
        <v>46244</v>
      </c>
      <c r="QW4" s="231"/>
      <c r="QX4" s="231"/>
      <c r="QY4" s="231"/>
      <c r="QZ4" s="231"/>
      <c r="RA4" s="231"/>
      <c r="RB4" s="232"/>
      <c r="RC4" s="183">
        <f t="shared" si="32"/>
        <v>46251</v>
      </c>
      <c r="RD4" s="184"/>
      <c r="RE4" s="184"/>
      <c r="RF4" s="184"/>
      <c r="RG4" s="184"/>
      <c r="RH4" s="230"/>
      <c r="RI4" s="231"/>
      <c r="RJ4" s="231">
        <f t="shared" si="32"/>
        <v>46258</v>
      </c>
      <c r="RK4" s="231"/>
      <c r="RL4" s="231"/>
      <c r="RM4" s="231"/>
      <c r="RN4" s="232"/>
      <c r="RO4" s="184"/>
      <c r="RP4" s="185"/>
      <c r="RQ4" s="183">
        <f t="shared" si="32"/>
        <v>46265</v>
      </c>
      <c r="RR4" s="184"/>
      <c r="RS4" s="184"/>
      <c r="RT4" s="230"/>
      <c r="RU4" s="231"/>
      <c r="RV4" s="231"/>
      <c r="RW4" s="231"/>
      <c r="RX4" s="231">
        <f t="shared" ref="RX4:UI4" si="33">RX5</f>
        <v>46272</v>
      </c>
      <c r="RY4" s="231"/>
      <c r="RZ4" s="232"/>
      <c r="SA4" s="184"/>
      <c r="SB4" s="184"/>
      <c r="SC4" s="184"/>
      <c r="SD4" s="185"/>
      <c r="SE4" s="183">
        <f t="shared" si="33"/>
        <v>46279</v>
      </c>
      <c r="SF4" s="230"/>
      <c r="SG4" s="231"/>
      <c r="SH4" s="231"/>
      <c r="SI4" s="231"/>
      <c r="SJ4" s="231"/>
      <c r="SK4" s="231"/>
      <c r="SL4" s="232">
        <f t="shared" si="33"/>
        <v>46286</v>
      </c>
      <c r="SM4" s="184"/>
      <c r="SN4" s="184"/>
      <c r="SO4" s="184"/>
      <c r="SP4" s="184"/>
      <c r="SQ4" s="184"/>
      <c r="SR4" s="230"/>
      <c r="SS4" s="231">
        <f t="shared" si="33"/>
        <v>46293</v>
      </c>
      <c r="ST4" s="231"/>
      <c r="SU4" s="231"/>
      <c r="SV4" s="231"/>
      <c r="SW4" s="231"/>
      <c r="SX4" s="232"/>
      <c r="SY4" s="185"/>
      <c r="SZ4" s="183">
        <f t="shared" si="33"/>
        <v>46300</v>
      </c>
      <c r="TA4" s="184"/>
      <c r="TB4" s="184"/>
      <c r="TC4" s="184"/>
      <c r="TD4" s="230"/>
      <c r="TE4" s="231"/>
      <c r="TF4" s="231"/>
      <c r="TG4" s="231">
        <f t="shared" si="33"/>
        <v>46307</v>
      </c>
      <c r="TH4" s="231"/>
      <c r="TI4" s="231"/>
      <c r="TJ4" s="232"/>
      <c r="TK4" s="184"/>
      <c r="TL4" s="184"/>
      <c r="TM4" s="185"/>
      <c r="TN4" s="183">
        <f t="shared" si="33"/>
        <v>46314</v>
      </c>
      <c r="TO4" s="184"/>
      <c r="TP4" s="230"/>
      <c r="TQ4" s="231"/>
      <c r="TR4" s="231"/>
      <c r="TS4" s="231"/>
      <c r="TT4" s="231"/>
      <c r="TU4" s="231">
        <f t="shared" si="33"/>
        <v>46321</v>
      </c>
      <c r="TV4" s="232"/>
      <c r="TW4" s="184"/>
      <c r="TX4" s="184"/>
      <c r="TY4" s="184"/>
      <c r="TZ4" s="184"/>
      <c r="UA4" s="185"/>
      <c r="UB4" s="230">
        <f t="shared" si="33"/>
        <v>46328</v>
      </c>
      <c r="UC4" s="231"/>
      <c r="UD4" s="231"/>
      <c r="UE4" s="231"/>
      <c r="UF4" s="231"/>
      <c r="UG4" s="231"/>
      <c r="UH4" s="232"/>
      <c r="UI4" s="183">
        <f t="shared" si="33"/>
        <v>46335</v>
      </c>
      <c r="UJ4" s="184"/>
      <c r="UK4" s="184"/>
      <c r="UL4" s="184"/>
      <c r="UM4" s="184"/>
      <c r="UN4" s="230"/>
      <c r="UO4" s="231"/>
      <c r="UP4" s="231">
        <f t="shared" ref="UP4:WM4" si="34">UP5</f>
        <v>46342</v>
      </c>
      <c r="UQ4" s="231"/>
      <c r="UR4" s="231"/>
      <c r="US4" s="231"/>
      <c r="UT4" s="232"/>
      <c r="UU4" s="184"/>
      <c r="UV4" s="185"/>
      <c r="UW4" s="183">
        <f t="shared" si="34"/>
        <v>46349</v>
      </c>
      <c r="UX4" s="184"/>
      <c r="UY4" s="184"/>
      <c r="UZ4" s="230"/>
      <c r="VA4" s="231"/>
      <c r="VB4" s="231"/>
      <c r="VC4" s="231"/>
      <c r="VD4" s="231">
        <f t="shared" si="34"/>
        <v>46356</v>
      </c>
      <c r="VE4" s="231"/>
      <c r="VF4" s="232"/>
      <c r="VG4" s="184"/>
      <c r="VH4" s="184"/>
      <c r="VI4" s="184"/>
      <c r="VJ4" s="185"/>
      <c r="VK4" s="183">
        <f t="shared" si="34"/>
        <v>46363</v>
      </c>
      <c r="VL4" s="230"/>
      <c r="VM4" s="231"/>
      <c r="VN4" s="231"/>
      <c r="VO4" s="231"/>
      <c r="VP4" s="231"/>
      <c r="VQ4" s="231"/>
      <c r="VR4" s="232">
        <f t="shared" si="34"/>
        <v>46370</v>
      </c>
      <c r="VS4" s="184"/>
      <c r="VT4" s="184"/>
      <c r="VU4" s="184"/>
      <c r="VV4" s="184"/>
      <c r="VW4" s="184"/>
      <c r="VX4" s="230"/>
      <c r="VY4" s="231">
        <f t="shared" si="34"/>
        <v>46377</v>
      </c>
      <c r="VZ4" s="231"/>
      <c r="WA4" s="231"/>
      <c r="WB4" s="231"/>
      <c r="WC4" s="231"/>
      <c r="WD4" s="232"/>
      <c r="WE4" s="185"/>
      <c r="WF4" s="183">
        <f t="shared" si="34"/>
        <v>46384</v>
      </c>
      <c r="WG4" s="184"/>
      <c r="WH4" s="184"/>
      <c r="WI4" s="184"/>
      <c r="WJ4" s="230"/>
      <c r="WK4" s="231"/>
      <c r="WL4" s="231"/>
      <c r="WM4" s="231">
        <f t="shared" si="34"/>
        <v>46391</v>
      </c>
      <c r="WN4" s="231"/>
      <c r="WO4" s="231"/>
      <c r="WP4" s="232"/>
      <c r="WQ4" s="184"/>
      <c r="WR4" s="184"/>
      <c r="WS4" s="185"/>
    </row>
    <row r="5" spans="1:617" ht="9.6" customHeight="1">
      <c r="A5" s="34" t="s">
        <v>207</v>
      </c>
      <c r="B5" s="50"/>
      <c r="C5" s="107"/>
      <c r="D5" s="114"/>
      <c r="E5" s="114"/>
      <c r="F5" s="50"/>
      <c r="H5" s="65">
        <f>Início_do_projeto-WEEKDAY(Início_do_projeto,1)+2+7*(Semana_de_exibição-1)</f>
        <v>45789</v>
      </c>
      <c r="I5" s="66"/>
      <c r="J5" s="66">
        <f>H5+1</f>
        <v>45790</v>
      </c>
      <c r="K5" s="66">
        <f t="shared" ref="K5:AX5" si="35">J5+1</f>
        <v>45791</v>
      </c>
      <c r="L5" s="66">
        <f t="shared" si="35"/>
        <v>45792</v>
      </c>
      <c r="M5" s="66">
        <f t="shared" si="35"/>
        <v>45793</v>
      </c>
      <c r="N5" s="66">
        <f t="shared" si="35"/>
        <v>45794</v>
      </c>
      <c r="O5" s="67">
        <f t="shared" si="35"/>
        <v>45795</v>
      </c>
      <c r="P5" s="65">
        <f>O5+1</f>
        <v>45796</v>
      </c>
      <c r="Q5" s="66">
        <f>P5+1</f>
        <v>45797</v>
      </c>
      <c r="R5" s="66">
        <f t="shared" si="35"/>
        <v>45798</v>
      </c>
      <c r="S5" s="66">
        <f t="shared" si="35"/>
        <v>45799</v>
      </c>
      <c r="T5" s="66">
        <f t="shared" si="35"/>
        <v>45800</v>
      </c>
      <c r="U5" s="66">
        <f t="shared" si="35"/>
        <v>45801</v>
      </c>
      <c r="V5" s="67">
        <f t="shared" si="35"/>
        <v>45802</v>
      </c>
      <c r="W5" s="65">
        <f>V5+1</f>
        <v>45803</v>
      </c>
      <c r="X5" s="66">
        <f>W5+1</f>
        <v>45804</v>
      </c>
      <c r="Y5" s="66">
        <f t="shared" si="35"/>
        <v>45805</v>
      </c>
      <c r="Z5" s="66">
        <f t="shared" si="35"/>
        <v>45806</v>
      </c>
      <c r="AA5" s="66">
        <f t="shared" si="35"/>
        <v>45807</v>
      </c>
      <c r="AB5" s="66">
        <f t="shared" si="35"/>
        <v>45808</v>
      </c>
      <c r="AC5" s="67">
        <f t="shared" si="35"/>
        <v>45809</v>
      </c>
      <c r="AD5" s="65">
        <f>AC5+1</f>
        <v>45810</v>
      </c>
      <c r="AE5" s="66">
        <f>AD5+1</f>
        <v>45811</v>
      </c>
      <c r="AF5" s="66">
        <f t="shared" si="35"/>
        <v>45812</v>
      </c>
      <c r="AG5" s="66">
        <f t="shared" si="35"/>
        <v>45813</v>
      </c>
      <c r="AH5" s="66">
        <f t="shared" si="35"/>
        <v>45814</v>
      </c>
      <c r="AI5" s="66">
        <f t="shared" si="35"/>
        <v>45815</v>
      </c>
      <c r="AJ5" s="67">
        <f t="shared" si="35"/>
        <v>45816</v>
      </c>
      <c r="AK5" s="65">
        <f>AJ5+1</f>
        <v>45817</v>
      </c>
      <c r="AL5" s="66">
        <f>AK5+1</f>
        <v>45818</v>
      </c>
      <c r="AM5" s="66">
        <f t="shared" si="35"/>
        <v>45819</v>
      </c>
      <c r="AN5" s="66">
        <f t="shared" si="35"/>
        <v>45820</v>
      </c>
      <c r="AO5" s="66">
        <f t="shared" si="35"/>
        <v>45821</v>
      </c>
      <c r="AP5" s="66">
        <f t="shared" si="35"/>
        <v>45822</v>
      </c>
      <c r="AQ5" s="67">
        <f t="shared" si="35"/>
        <v>45823</v>
      </c>
      <c r="AR5" s="65">
        <f>AQ5+1</f>
        <v>45824</v>
      </c>
      <c r="AS5" s="66">
        <f>AR5+1</f>
        <v>45825</v>
      </c>
      <c r="AT5" s="66">
        <f t="shared" si="35"/>
        <v>45826</v>
      </c>
      <c r="AU5" s="66">
        <f t="shared" si="35"/>
        <v>45827</v>
      </c>
      <c r="AV5" s="66">
        <f t="shared" si="35"/>
        <v>45828</v>
      </c>
      <c r="AW5" s="66">
        <f t="shared" si="35"/>
        <v>45829</v>
      </c>
      <c r="AX5" s="67">
        <f t="shared" si="35"/>
        <v>45830</v>
      </c>
      <c r="AY5" s="65">
        <f>AX5+1</f>
        <v>45831</v>
      </c>
      <c r="AZ5" s="66">
        <f>AY5+1</f>
        <v>45832</v>
      </c>
      <c r="BA5" s="66">
        <f t="shared" ref="BA5:BE5" si="36">AZ5+1</f>
        <v>45833</v>
      </c>
      <c r="BB5" s="66">
        <f t="shared" si="36"/>
        <v>45834</v>
      </c>
      <c r="BC5" s="66">
        <f t="shared" si="36"/>
        <v>45835</v>
      </c>
      <c r="BD5" s="66">
        <f t="shared" si="36"/>
        <v>45836</v>
      </c>
      <c r="BE5" s="67">
        <f t="shared" si="36"/>
        <v>45837</v>
      </c>
      <c r="BF5" s="65">
        <f>BE5+1</f>
        <v>45838</v>
      </c>
      <c r="BG5" s="66">
        <f>BF5+1</f>
        <v>45839</v>
      </c>
      <c r="BH5" s="66">
        <f t="shared" ref="BH5:BL5" si="37">BG5+1</f>
        <v>45840</v>
      </c>
      <c r="BI5" s="66">
        <f t="shared" si="37"/>
        <v>45841</v>
      </c>
      <c r="BJ5" s="66">
        <f t="shared" si="37"/>
        <v>45842</v>
      </c>
      <c r="BK5" s="66">
        <f t="shared" si="37"/>
        <v>45843</v>
      </c>
      <c r="BL5" s="67">
        <f t="shared" si="37"/>
        <v>45844</v>
      </c>
      <c r="BM5" s="65">
        <f>BL5+1</f>
        <v>45845</v>
      </c>
      <c r="BN5" s="66">
        <f>BM5+1</f>
        <v>45846</v>
      </c>
      <c r="BO5" s="66">
        <f t="shared" ref="BO5" si="38">BN5+1</f>
        <v>45847</v>
      </c>
      <c r="BP5" s="66">
        <f t="shared" ref="BP5" si="39">BO5+1</f>
        <v>45848</v>
      </c>
      <c r="BQ5" s="66">
        <f t="shared" ref="BQ5" si="40">BP5+1</f>
        <v>45849</v>
      </c>
      <c r="BR5" s="66">
        <f t="shared" ref="BR5" si="41">BQ5+1</f>
        <v>45850</v>
      </c>
      <c r="BS5" s="67">
        <f t="shared" ref="BS5" si="42">BR5+1</f>
        <v>45851</v>
      </c>
      <c r="BT5" s="65">
        <f>BS5+1</f>
        <v>45852</v>
      </c>
      <c r="BU5" s="66">
        <f>BT5+1</f>
        <v>45853</v>
      </c>
      <c r="BV5" s="66">
        <f t="shared" ref="BV5" si="43">BU5+1</f>
        <v>45854</v>
      </c>
      <c r="BW5" s="66">
        <f t="shared" ref="BW5" si="44">BV5+1</f>
        <v>45855</v>
      </c>
      <c r="BX5" s="66">
        <f t="shared" ref="BX5" si="45">BW5+1</f>
        <v>45856</v>
      </c>
      <c r="BY5" s="66">
        <f t="shared" ref="BY5" si="46">BX5+1</f>
        <v>45857</v>
      </c>
      <c r="BZ5" s="67">
        <f t="shared" ref="BZ5" si="47">BY5+1</f>
        <v>45858</v>
      </c>
      <c r="CA5" s="65">
        <f>BZ5+1</f>
        <v>45859</v>
      </c>
      <c r="CB5" s="66">
        <f>CA5+1</f>
        <v>45860</v>
      </c>
      <c r="CC5" s="66">
        <f t="shared" ref="CC5" si="48">CB5+1</f>
        <v>45861</v>
      </c>
      <c r="CD5" s="66">
        <f t="shared" ref="CD5" si="49">CC5+1</f>
        <v>45862</v>
      </c>
      <c r="CE5" s="66">
        <f t="shared" ref="CE5" si="50">CD5+1</f>
        <v>45863</v>
      </c>
      <c r="CF5" s="66">
        <f t="shared" ref="CF5" si="51">CE5+1</f>
        <v>45864</v>
      </c>
      <c r="CG5" s="67">
        <f t="shared" ref="CG5" si="52">CF5+1</f>
        <v>45865</v>
      </c>
      <c r="CH5" s="65">
        <f>CG5+1</f>
        <v>45866</v>
      </c>
      <c r="CI5" s="66">
        <f>CH5+1</f>
        <v>45867</v>
      </c>
      <c r="CJ5" s="66">
        <f t="shared" ref="CJ5" si="53">CI5+1</f>
        <v>45868</v>
      </c>
      <c r="CK5" s="66">
        <f t="shared" ref="CK5" si="54">CJ5+1</f>
        <v>45869</v>
      </c>
      <c r="CL5" s="66">
        <f t="shared" ref="CL5" si="55">CK5+1</f>
        <v>45870</v>
      </c>
      <c r="CM5" s="66">
        <f t="shared" ref="CM5" si="56">CL5+1</f>
        <v>45871</v>
      </c>
      <c r="CN5" s="67">
        <f t="shared" ref="CN5" si="57">CM5+1</f>
        <v>45872</v>
      </c>
      <c r="CO5" s="65">
        <f>CN5+1</f>
        <v>45873</v>
      </c>
      <c r="CP5" s="66">
        <f>CO5+1</f>
        <v>45874</v>
      </c>
      <c r="CQ5" s="66">
        <f t="shared" ref="CQ5" si="58">CP5+1</f>
        <v>45875</v>
      </c>
      <c r="CR5" s="66">
        <f t="shared" ref="CR5" si="59">CQ5+1</f>
        <v>45876</v>
      </c>
      <c r="CS5" s="66">
        <f t="shared" ref="CS5" si="60">CR5+1</f>
        <v>45877</v>
      </c>
      <c r="CT5" s="66">
        <f t="shared" ref="CT5" si="61">CS5+1</f>
        <v>45878</v>
      </c>
      <c r="CU5" s="67">
        <f t="shared" ref="CU5" si="62">CT5+1</f>
        <v>45879</v>
      </c>
      <c r="CV5" s="65">
        <f>CU5+1</f>
        <v>45880</v>
      </c>
      <c r="CW5" s="66">
        <f>CV5+1</f>
        <v>45881</v>
      </c>
      <c r="CX5" s="66">
        <f t="shared" ref="CX5" si="63">CW5+1</f>
        <v>45882</v>
      </c>
      <c r="CY5" s="66">
        <f t="shared" ref="CY5" si="64">CX5+1</f>
        <v>45883</v>
      </c>
      <c r="CZ5" s="66">
        <f t="shared" ref="CZ5" si="65">CY5+1</f>
        <v>45884</v>
      </c>
      <c r="DA5" s="66">
        <f t="shared" ref="DA5" si="66">CZ5+1</f>
        <v>45885</v>
      </c>
      <c r="DB5" s="67">
        <f t="shared" ref="DB5" si="67">DA5+1</f>
        <v>45886</v>
      </c>
      <c r="DC5" s="65">
        <f>DB5+1</f>
        <v>45887</v>
      </c>
      <c r="DD5" s="66">
        <f>DC5+1</f>
        <v>45888</v>
      </c>
      <c r="DE5" s="66">
        <f t="shared" ref="DE5" si="68">DD5+1</f>
        <v>45889</v>
      </c>
      <c r="DF5" s="66">
        <f t="shared" ref="DF5" si="69">DE5+1</f>
        <v>45890</v>
      </c>
      <c r="DG5" s="66">
        <f t="shared" ref="DG5" si="70">DF5+1</f>
        <v>45891</v>
      </c>
      <c r="DH5" s="66">
        <f t="shared" ref="DH5" si="71">DG5+1</f>
        <v>45892</v>
      </c>
      <c r="DI5" s="67">
        <f t="shared" ref="DI5" si="72">DH5+1</f>
        <v>45893</v>
      </c>
      <c r="DJ5" s="65">
        <f>DI5+1</f>
        <v>45894</v>
      </c>
      <c r="DK5" s="66">
        <f>DJ5+1</f>
        <v>45895</v>
      </c>
      <c r="DL5" s="66">
        <f t="shared" ref="DL5" si="73">DK5+1</f>
        <v>45896</v>
      </c>
      <c r="DM5" s="66">
        <f t="shared" ref="DM5" si="74">DL5+1</f>
        <v>45897</v>
      </c>
      <c r="DN5" s="66">
        <f t="shared" ref="DN5" si="75">DM5+1</f>
        <v>45898</v>
      </c>
      <c r="DO5" s="66">
        <f t="shared" ref="DO5" si="76">DN5+1</f>
        <v>45899</v>
      </c>
      <c r="DP5" s="67">
        <f t="shared" ref="DP5" si="77">DO5+1</f>
        <v>45900</v>
      </c>
      <c r="DQ5" s="65">
        <f>DP5+1</f>
        <v>45901</v>
      </c>
      <c r="DR5" s="66">
        <f>DQ5+1</f>
        <v>45902</v>
      </c>
      <c r="DS5" s="66">
        <f t="shared" ref="DS5" si="78">DR5+1</f>
        <v>45903</v>
      </c>
      <c r="DT5" s="66">
        <f t="shared" ref="DT5" si="79">DS5+1</f>
        <v>45904</v>
      </c>
      <c r="DU5" s="66">
        <f t="shared" ref="DU5" si="80">DT5+1</f>
        <v>45905</v>
      </c>
      <c r="DV5" s="66">
        <f t="shared" ref="DV5" si="81">DU5+1</f>
        <v>45906</v>
      </c>
      <c r="DW5" s="67">
        <f t="shared" ref="DW5" si="82">DV5+1</f>
        <v>45907</v>
      </c>
      <c r="DX5" s="65">
        <f>DW5+1</f>
        <v>45908</v>
      </c>
      <c r="DY5" s="66">
        <f>DX5+1</f>
        <v>45909</v>
      </c>
      <c r="DZ5" s="66">
        <f t="shared" ref="DZ5:EA5" si="83">DY5+1</f>
        <v>45910</v>
      </c>
      <c r="EA5" s="66">
        <f t="shared" si="83"/>
        <v>45911</v>
      </c>
      <c r="EB5" s="66">
        <f t="shared" ref="EB5" si="84">EA5+1</f>
        <v>45912</v>
      </c>
      <c r="EC5" s="66">
        <f t="shared" ref="EC5" si="85">EB5+1</f>
        <v>45913</v>
      </c>
      <c r="ED5" s="67">
        <f t="shared" ref="ED5:EF5" si="86">EC5+1</f>
        <v>45914</v>
      </c>
      <c r="EE5" s="65">
        <f t="shared" si="86"/>
        <v>45915</v>
      </c>
      <c r="EF5" s="66">
        <f t="shared" si="86"/>
        <v>45916</v>
      </c>
      <c r="EG5" s="66">
        <f t="shared" ref="EG5" si="87">EF5+1</f>
        <v>45917</v>
      </c>
      <c r="EH5" s="66">
        <f t="shared" ref="EH5" si="88">EG5+1</f>
        <v>45918</v>
      </c>
      <c r="EI5" s="66">
        <f t="shared" ref="EI5" si="89">EH5+1</f>
        <v>45919</v>
      </c>
      <c r="EJ5" s="66">
        <f t="shared" ref="EJ5" si="90">EI5+1</f>
        <v>45920</v>
      </c>
      <c r="EK5" s="66">
        <f t="shared" ref="EK5:EM5" si="91">EJ5+1</f>
        <v>45921</v>
      </c>
      <c r="EL5" s="65">
        <f t="shared" si="91"/>
        <v>45922</v>
      </c>
      <c r="EM5" s="66">
        <f t="shared" si="91"/>
        <v>45923</v>
      </c>
      <c r="EN5" s="66">
        <f t="shared" ref="EN5" si="92">EM5+1</f>
        <v>45924</v>
      </c>
      <c r="EO5" s="66">
        <f t="shared" ref="EO5" si="93">EN5+1</f>
        <v>45925</v>
      </c>
      <c r="EP5" s="66">
        <f t="shared" ref="EP5" si="94">EO5+1</f>
        <v>45926</v>
      </c>
      <c r="EQ5" s="66">
        <f t="shared" ref="EQ5" si="95">EP5+1</f>
        <v>45927</v>
      </c>
      <c r="ER5" s="67">
        <f t="shared" ref="ER5:ET5" si="96">EQ5+1</f>
        <v>45928</v>
      </c>
      <c r="ES5" s="65">
        <f t="shared" si="96"/>
        <v>45929</v>
      </c>
      <c r="ET5" s="66">
        <f t="shared" si="96"/>
        <v>45930</v>
      </c>
      <c r="EU5" s="66">
        <f t="shared" ref="EU5" si="97">ET5+1</f>
        <v>45931</v>
      </c>
      <c r="EV5" s="66">
        <f t="shared" ref="EV5" si="98">EU5+1</f>
        <v>45932</v>
      </c>
      <c r="EW5" s="66">
        <f t="shared" ref="EW5" si="99">EV5+1</f>
        <v>45933</v>
      </c>
      <c r="EX5" s="66">
        <f t="shared" ref="EX5" si="100">EW5+1</f>
        <v>45934</v>
      </c>
      <c r="EY5" s="67">
        <f t="shared" ref="EY5" si="101">EX5+1</f>
        <v>45935</v>
      </c>
      <c r="EZ5" s="65">
        <f t="shared" ref="EZ5" si="102">EY5+1</f>
        <v>45936</v>
      </c>
      <c r="FA5" s="66">
        <f t="shared" ref="FA5" si="103">EZ5+1</f>
        <v>45937</v>
      </c>
      <c r="FB5" s="66">
        <f t="shared" ref="FB5" si="104">FA5+1</f>
        <v>45938</v>
      </c>
      <c r="FC5" s="66">
        <f t="shared" ref="FC5" si="105">FB5+1</f>
        <v>45939</v>
      </c>
      <c r="FD5" s="66">
        <f t="shared" ref="FD5" si="106">FC5+1</f>
        <v>45940</v>
      </c>
      <c r="FE5" s="66">
        <f t="shared" ref="FE5" si="107">FD5+1</f>
        <v>45941</v>
      </c>
      <c r="FF5" s="67">
        <f t="shared" ref="FF5" si="108">FE5+1</f>
        <v>45942</v>
      </c>
      <c r="FG5" s="65">
        <f t="shared" ref="FG5" si="109">FF5+1</f>
        <v>45943</v>
      </c>
      <c r="FH5" s="66">
        <f t="shared" ref="FH5" si="110">FG5+1</f>
        <v>45944</v>
      </c>
      <c r="FI5" s="66">
        <f t="shared" ref="FI5" si="111">FH5+1</f>
        <v>45945</v>
      </c>
      <c r="FJ5" s="66">
        <f t="shared" ref="FJ5" si="112">FI5+1</f>
        <v>45946</v>
      </c>
      <c r="FK5" s="66">
        <f t="shared" ref="FK5" si="113">FJ5+1</f>
        <v>45947</v>
      </c>
      <c r="FL5" s="66">
        <f t="shared" ref="FL5" si="114">FK5+1</f>
        <v>45948</v>
      </c>
      <c r="FM5" s="67">
        <f t="shared" ref="FM5" si="115">FL5+1</f>
        <v>45949</v>
      </c>
      <c r="FN5" s="65">
        <f t="shared" ref="FN5" si="116">FM5+1</f>
        <v>45950</v>
      </c>
      <c r="FO5" s="66">
        <f t="shared" ref="FO5" si="117">FN5+1</f>
        <v>45951</v>
      </c>
      <c r="FP5" s="66">
        <f t="shared" ref="FP5" si="118">FO5+1</f>
        <v>45952</v>
      </c>
      <c r="FQ5" s="66">
        <f t="shared" ref="FQ5" si="119">FP5+1</f>
        <v>45953</v>
      </c>
      <c r="FR5" s="66">
        <f t="shared" ref="FR5" si="120">FQ5+1</f>
        <v>45954</v>
      </c>
      <c r="FS5" s="66">
        <f t="shared" ref="FS5" si="121">FR5+1</f>
        <v>45955</v>
      </c>
      <c r="FT5" s="67">
        <f t="shared" ref="FT5" si="122">FS5+1</f>
        <v>45956</v>
      </c>
      <c r="FU5" s="65">
        <f t="shared" ref="FU5" si="123">FT5+1</f>
        <v>45957</v>
      </c>
      <c r="FV5" s="66">
        <f t="shared" ref="FV5" si="124">FU5+1</f>
        <v>45958</v>
      </c>
      <c r="FW5" s="66">
        <f t="shared" ref="FW5" si="125">FV5+1</f>
        <v>45959</v>
      </c>
      <c r="FX5" s="66">
        <f t="shared" ref="FX5" si="126">FW5+1</f>
        <v>45960</v>
      </c>
      <c r="FY5" s="66">
        <f t="shared" ref="FY5" si="127">FX5+1</f>
        <v>45961</v>
      </c>
      <c r="FZ5" s="66">
        <f t="shared" ref="FZ5" si="128">FY5+1</f>
        <v>45962</v>
      </c>
      <c r="GA5" s="67">
        <f t="shared" ref="GA5" si="129">FZ5+1</f>
        <v>45963</v>
      </c>
      <c r="GB5" s="65">
        <f t="shared" ref="GB5" si="130">GA5+1</f>
        <v>45964</v>
      </c>
      <c r="GC5" s="66">
        <f t="shared" ref="GC5" si="131">GB5+1</f>
        <v>45965</v>
      </c>
      <c r="GD5" s="66">
        <f t="shared" ref="GD5" si="132">GC5+1</f>
        <v>45966</v>
      </c>
      <c r="GE5" s="66">
        <f t="shared" ref="GE5" si="133">GD5+1</f>
        <v>45967</v>
      </c>
      <c r="GF5" s="66">
        <f t="shared" ref="GF5" si="134">GE5+1</f>
        <v>45968</v>
      </c>
      <c r="GG5" s="66">
        <f t="shared" ref="GG5" si="135">GF5+1</f>
        <v>45969</v>
      </c>
      <c r="GH5" s="67">
        <f t="shared" ref="GH5" si="136">GG5+1</f>
        <v>45970</v>
      </c>
      <c r="GI5" s="65">
        <f t="shared" ref="GI5" si="137">GH5+1</f>
        <v>45971</v>
      </c>
      <c r="GJ5" s="66">
        <f t="shared" ref="GJ5" si="138">GI5+1</f>
        <v>45972</v>
      </c>
      <c r="GK5" s="66">
        <f t="shared" ref="GK5" si="139">GJ5+1</f>
        <v>45973</v>
      </c>
      <c r="GL5" s="66">
        <f t="shared" ref="GL5" si="140">GK5+1</f>
        <v>45974</v>
      </c>
      <c r="GM5" s="66">
        <f t="shared" ref="GM5" si="141">GL5+1</f>
        <v>45975</v>
      </c>
      <c r="GN5" s="66">
        <f t="shared" ref="GN5" si="142">GM5+1</f>
        <v>45976</v>
      </c>
      <c r="GO5" s="67">
        <f t="shared" ref="GO5" si="143">GN5+1</f>
        <v>45977</v>
      </c>
      <c r="GP5" s="65">
        <f t="shared" ref="GP5" si="144">GO5+1</f>
        <v>45978</v>
      </c>
      <c r="GQ5" s="66">
        <f t="shared" ref="GQ5" si="145">GP5+1</f>
        <v>45979</v>
      </c>
      <c r="GR5" s="66">
        <f t="shared" ref="GR5" si="146">GQ5+1</f>
        <v>45980</v>
      </c>
      <c r="GS5" s="66">
        <f t="shared" ref="GS5" si="147">GR5+1</f>
        <v>45981</v>
      </c>
      <c r="GT5" s="66">
        <f t="shared" ref="GT5" si="148">GS5+1</f>
        <v>45982</v>
      </c>
      <c r="GU5" s="66">
        <f t="shared" ref="GU5" si="149">GT5+1</f>
        <v>45983</v>
      </c>
      <c r="GV5" s="67">
        <f t="shared" ref="GV5" si="150">GU5+1</f>
        <v>45984</v>
      </c>
      <c r="GW5" s="65">
        <f t="shared" ref="GW5" si="151">GV5+1</f>
        <v>45985</v>
      </c>
      <c r="GX5" s="66">
        <f t="shared" ref="GX5" si="152">GW5+1</f>
        <v>45986</v>
      </c>
      <c r="GY5" s="66">
        <f t="shared" ref="GY5" si="153">GX5+1</f>
        <v>45987</v>
      </c>
      <c r="GZ5" s="66">
        <f t="shared" ref="GZ5" si="154">GY5+1</f>
        <v>45988</v>
      </c>
      <c r="HA5" s="66">
        <f t="shared" ref="HA5" si="155">GZ5+1</f>
        <v>45989</v>
      </c>
      <c r="HB5" s="66">
        <f t="shared" ref="HB5" si="156">HA5+1</f>
        <v>45990</v>
      </c>
      <c r="HC5" s="67">
        <f t="shared" ref="HC5" si="157">HB5+1</f>
        <v>45991</v>
      </c>
      <c r="HD5" s="65">
        <f t="shared" ref="HD5" si="158">HC5+1</f>
        <v>45992</v>
      </c>
      <c r="HE5" s="66">
        <f t="shared" ref="HE5" si="159">HD5+1</f>
        <v>45993</v>
      </c>
      <c r="HF5" s="66">
        <f t="shared" ref="HF5" si="160">HE5+1</f>
        <v>45994</v>
      </c>
      <c r="HG5" s="66">
        <f t="shared" ref="HG5" si="161">HF5+1</f>
        <v>45995</v>
      </c>
      <c r="HH5" s="66">
        <f t="shared" ref="HH5" si="162">HG5+1</f>
        <v>45996</v>
      </c>
      <c r="HI5" s="66">
        <f t="shared" ref="HI5" si="163">HH5+1</f>
        <v>45997</v>
      </c>
      <c r="HJ5" s="67">
        <f t="shared" ref="HJ5" si="164">HI5+1</f>
        <v>45998</v>
      </c>
      <c r="HK5" s="65">
        <f t="shared" ref="HK5" si="165">HJ5+1</f>
        <v>45999</v>
      </c>
      <c r="HL5" s="66">
        <f t="shared" ref="HL5" si="166">HK5+1</f>
        <v>46000</v>
      </c>
      <c r="HM5" s="66">
        <f t="shared" ref="HM5" si="167">HL5+1</f>
        <v>46001</v>
      </c>
      <c r="HN5" s="66">
        <f t="shared" ref="HN5" si="168">HM5+1</f>
        <v>46002</v>
      </c>
      <c r="HO5" s="66">
        <f t="shared" ref="HO5" si="169">HN5+1</f>
        <v>46003</v>
      </c>
      <c r="HP5" s="66">
        <f t="shared" ref="HP5" si="170">HO5+1</f>
        <v>46004</v>
      </c>
      <c r="HQ5" s="67">
        <f t="shared" ref="HQ5" si="171">HP5+1</f>
        <v>46005</v>
      </c>
      <c r="HR5" s="65">
        <f t="shared" ref="HR5" si="172">HQ5+1</f>
        <v>46006</v>
      </c>
      <c r="HS5" s="66">
        <f t="shared" ref="HS5" si="173">HR5+1</f>
        <v>46007</v>
      </c>
      <c r="HT5" s="66">
        <f t="shared" ref="HT5" si="174">HS5+1</f>
        <v>46008</v>
      </c>
      <c r="HU5" s="66">
        <f t="shared" ref="HU5" si="175">HT5+1</f>
        <v>46009</v>
      </c>
      <c r="HV5" s="66">
        <f t="shared" ref="HV5" si="176">HU5+1</f>
        <v>46010</v>
      </c>
      <c r="HW5" s="66">
        <f t="shared" ref="HW5" si="177">HV5+1</f>
        <v>46011</v>
      </c>
      <c r="HX5" s="67">
        <f t="shared" ref="HX5" si="178">HW5+1</f>
        <v>46012</v>
      </c>
      <c r="HY5" s="65">
        <f t="shared" ref="HY5" si="179">HX5+1</f>
        <v>46013</v>
      </c>
      <c r="HZ5" s="66">
        <f t="shared" ref="HZ5" si="180">HY5+1</f>
        <v>46014</v>
      </c>
      <c r="IA5" s="66">
        <f t="shared" ref="IA5" si="181">HZ5+1</f>
        <v>46015</v>
      </c>
      <c r="IB5" s="66">
        <f t="shared" ref="IB5" si="182">IA5+1</f>
        <v>46016</v>
      </c>
      <c r="IC5" s="66">
        <f t="shared" ref="IC5" si="183">IB5+1</f>
        <v>46017</v>
      </c>
      <c r="ID5" s="66">
        <f t="shared" ref="ID5" si="184">IC5+1</f>
        <v>46018</v>
      </c>
      <c r="IE5" s="67">
        <f t="shared" ref="IE5" si="185">ID5+1</f>
        <v>46019</v>
      </c>
      <c r="IF5" s="65">
        <f t="shared" ref="IF5" si="186">IE5+1</f>
        <v>46020</v>
      </c>
      <c r="IG5" s="66">
        <f t="shared" ref="IG5" si="187">IF5+1</f>
        <v>46021</v>
      </c>
      <c r="IH5" s="66">
        <f t="shared" ref="IH5" si="188">IG5+1</f>
        <v>46022</v>
      </c>
      <c r="II5" s="66">
        <f t="shared" ref="II5" si="189">IH5+1</f>
        <v>46023</v>
      </c>
      <c r="IJ5" s="66">
        <f t="shared" ref="IJ5" si="190">II5+1</f>
        <v>46024</v>
      </c>
      <c r="IK5" s="66">
        <f t="shared" ref="IK5" si="191">IJ5+1</f>
        <v>46025</v>
      </c>
      <c r="IL5" s="67">
        <f t="shared" ref="IL5" si="192">IK5+1</f>
        <v>46026</v>
      </c>
      <c r="IM5" s="65">
        <f t="shared" ref="IM5" si="193">IL5+1</f>
        <v>46027</v>
      </c>
      <c r="IN5" s="66">
        <f t="shared" ref="IN5" si="194">IM5+1</f>
        <v>46028</v>
      </c>
      <c r="IO5" s="66">
        <f t="shared" ref="IO5" si="195">IN5+1</f>
        <v>46029</v>
      </c>
      <c r="IP5" s="66">
        <f t="shared" ref="IP5" si="196">IO5+1</f>
        <v>46030</v>
      </c>
      <c r="IQ5" s="66">
        <f t="shared" ref="IQ5" si="197">IP5+1</f>
        <v>46031</v>
      </c>
      <c r="IR5" s="66">
        <f t="shared" ref="IR5:IS5" si="198">IQ5+1</f>
        <v>46032</v>
      </c>
      <c r="IS5" s="66">
        <f t="shared" si="198"/>
        <v>46033</v>
      </c>
      <c r="IT5" s="65">
        <f t="shared" ref="IT5" si="199">IS5+1</f>
        <v>46034</v>
      </c>
      <c r="IU5" s="66">
        <f t="shared" ref="IU5" si="200">IT5+1</f>
        <v>46035</v>
      </c>
      <c r="IV5" s="66">
        <f t="shared" ref="IV5" si="201">IU5+1</f>
        <v>46036</v>
      </c>
      <c r="IW5" s="66">
        <f t="shared" ref="IW5" si="202">IV5+1</f>
        <v>46037</v>
      </c>
      <c r="IX5" s="66">
        <f t="shared" ref="IX5" si="203">IW5+1</f>
        <v>46038</v>
      </c>
      <c r="IY5" s="66">
        <f t="shared" ref="IY5" si="204">IX5+1</f>
        <v>46039</v>
      </c>
      <c r="IZ5" s="67">
        <f t="shared" ref="IZ5" si="205">IY5+1</f>
        <v>46040</v>
      </c>
      <c r="JA5" s="65">
        <f t="shared" ref="JA5" si="206">IZ5+1</f>
        <v>46041</v>
      </c>
      <c r="JB5" s="66">
        <f t="shared" ref="JB5" si="207">JA5+1</f>
        <v>46042</v>
      </c>
      <c r="JC5" s="66">
        <f t="shared" ref="JC5" si="208">JB5+1</f>
        <v>46043</v>
      </c>
      <c r="JD5" s="66">
        <f t="shared" ref="JD5" si="209">JC5+1</f>
        <v>46044</v>
      </c>
      <c r="JE5" s="66">
        <f t="shared" ref="JE5" si="210">JD5+1</f>
        <v>46045</v>
      </c>
      <c r="JF5" s="66">
        <f t="shared" ref="JF5" si="211">JE5+1</f>
        <v>46046</v>
      </c>
      <c r="JG5" s="67">
        <f t="shared" ref="JG5" si="212">JF5+1</f>
        <v>46047</v>
      </c>
      <c r="JH5" s="65">
        <f t="shared" ref="JH5" si="213">JG5+1</f>
        <v>46048</v>
      </c>
      <c r="JI5" s="66">
        <f t="shared" ref="JI5" si="214">JH5+1</f>
        <v>46049</v>
      </c>
      <c r="JJ5" s="66">
        <f t="shared" ref="JJ5" si="215">JI5+1</f>
        <v>46050</v>
      </c>
      <c r="JK5" s="66">
        <f t="shared" ref="JK5" si="216">JJ5+1</f>
        <v>46051</v>
      </c>
      <c r="JL5" s="66">
        <f t="shared" ref="JL5" si="217">JK5+1</f>
        <v>46052</v>
      </c>
      <c r="JM5" s="66">
        <f t="shared" ref="JM5" si="218">JL5+1</f>
        <v>46053</v>
      </c>
      <c r="JN5" s="67">
        <f t="shared" ref="JN5" si="219">JM5+1</f>
        <v>46054</v>
      </c>
      <c r="JO5" s="65">
        <f t="shared" ref="JO5" si="220">JN5+1</f>
        <v>46055</v>
      </c>
      <c r="JP5" s="66">
        <f t="shared" ref="JP5" si="221">JO5+1</f>
        <v>46056</v>
      </c>
      <c r="JQ5" s="66">
        <f t="shared" ref="JQ5" si="222">JP5+1</f>
        <v>46057</v>
      </c>
      <c r="JR5" s="66">
        <f t="shared" ref="JR5" si="223">JQ5+1</f>
        <v>46058</v>
      </c>
      <c r="JS5" s="66">
        <f t="shared" ref="JS5" si="224">JR5+1</f>
        <v>46059</v>
      </c>
      <c r="JT5" s="66">
        <f t="shared" ref="JT5" si="225">JS5+1</f>
        <v>46060</v>
      </c>
      <c r="JU5" s="67">
        <f t="shared" ref="JU5" si="226">JT5+1</f>
        <v>46061</v>
      </c>
      <c r="JV5" s="65">
        <f t="shared" ref="JV5" si="227">JU5+1</f>
        <v>46062</v>
      </c>
      <c r="JW5" s="66">
        <f t="shared" ref="JW5" si="228">JV5+1</f>
        <v>46063</v>
      </c>
      <c r="JX5" s="66">
        <f t="shared" ref="JX5" si="229">JW5+1</f>
        <v>46064</v>
      </c>
      <c r="JY5" s="66">
        <f t="shared" ref="JY5" si="230">JX5+1</f>
        <v>46065</v>
      </c>
      <c r="JZ5" s="66">
        <f t="shared" ref="JZ5" si="231">JY5+1</f>
        <v>46066</v>
      </c>
      <c r="KA5" s="66">
        <f t="shared" ref="KA5" si="232">JZ5+1</f>
        <v>46067</v>
      </c>
      <c r="KB5" s="67">
        <f t="shared" ref="KB5" si="233">KA5+1</f>
        <v>46068</v>
      </c>
      <c r="KC5" s="65">
        <f t="shared" ref="KC5" si="234">KB5+1</f>
        <v>46069</v>
      </c>
      <c r="KD5" s="66">
        <f t="shared" ref="KD5" si="235">KC5+1</f>
        <v>46070</v>
      </c>
      <c r="KE5" s="66">
        <f t="shared" ref="KE5" si="236">KD5+1</f>
        <v>46071</v>
      </c>
      <c r="KF5" s="66">
        <f t="shared" ref="KF5" si="237">KE5+1</f>
        <v>46072</v>
      </c>
      <c r="KG5" s="66">
        <f t="shared" ref="KG5" si="238">KF5+1</f>
        <v>46073</v>
      </c>
      <c r="KH5" s="66">
        <f t="shared" ref="KH5" si="239">KG5+1</f>
        <v>46074</v>
      </c>
      <c r="KI5" s="67">
        <f t="shared" ref="KI5" si="240">KH5+1</f>
        <v>46075</v>
      </c>
      <c r="KJ5" s="65">
        <f t="shared" ref="KJ5" si="241">KI5+1</f>
        <v>46076</v>
      </c>
      <c r="KK5" s="66">
        <f t="shared" ref="KK5" si="242">KJ5+1</f>
        <v>46077</v>
      </c>
      <c r="KL5" s="66">
        <f t="shared" ref="KL5" si="243">KK5+1</f>
        <v>46078</v>
      </c>
      <c r="KM5" s="66">
        <f t="shared" ref="KM5" si="244">KL5+1</f>
        <v>46079</v>
      </c>
      <c r="KN5" s="66">
        <f t="shared" ref="KN5" si="245">KM5+1</f>
        <v>46080</v>
      </c>
      <c r="KO5" s="66">
        <f t="shared" ref="KO5" si="246">KN5+1</f>
        <v>46081</v>
      </c>
      <c r="KP5" s="67">
        <f t="shared" ref="KP5" si="247">KO5+1</f>
        <v>46082</v>
      </c>
      <c r="KQ5" s="65">
        <f t="shared" ref="KQ5" si="248">KP5+1</f>
        <v>46083</v>
      </c>
      <c r="KR5" s="66">
        <f t="shared" ref="KR5" si="249">KQ5+1</f>
        <v>46084</v>
      </c>
      <c r="KS5" s="66">
        <f t="shared" ref="KS5" si="250">KR5+1</f>
        <v>46085</v>
      </c>
      <c r="KT5" s="66">
        <f t="shared" ref="KT5" si="251">KS5+1</f>
        <v>46086</v>
      </c>
      <c r="KU5" s="66">
        <f t="shared" ref="KU5" si="252">KT5+1</f>
        <v>46087</v>
      </c>
      <c r="KV5" s="66">
        <f t="shared" ref="KV5" si="253">KU5+1</f>
        <v>46088</v>
      </c>
      <c r="KW5" s="67">
        <f t="shared" ref="KW5" si="254">KV5+1</f>
        <v>46089</v>
      </c>
      <c r="KX5" s="65">
        <f t="shared" ref="KX5" si="255">KW5+1</f>
        <v>46090</v>
      </c>
      <c r="KY5" s="66">
        <f t="shared" ref="KY5" si="256">KX5+1</f>
        <v>46091</v>
      </c>
      <c r="KZ5" s="66">
        <f t="shared" ref="KZ5" si="257">KY5+1</f>
        <v>46092</v>
      </c>
      <c r="LA5" s="66">
        <f t="shared" ref="LA5" si="258">KZ5+1</f>
        <v>46093</v>
      </c>
      <c r="LB5" s="66">
        <f t="shared" ref="LB5" si="259">LA5+1</f>
        <v>46094</v>
      </c>
      <c r="LC5" s="66">
        <f t="shared" ref="LC5" si="260">LB5+1</f>
        <v>46095</v>
      </c>
      <c r="LD5" s="67">
        <f t="shared" ref="LD5" si="261">LC5+1</f>
        <v>46096</v>
      </c>
      <c r="LE5" s="65">
        <f t="shared" ref="LE5" si="262">LD5+1</f>
        <v>46097</v>
      </c>
      <c r="LF5" s="66">
        <f t="shared" ref="LF5" si="263">LE5+1</f>
        <v>46098</v>
      </c>
      <c r="LG5" s="66">
        <f t="shared" ref="LG5" si="264">LF5+1</f>
        <v>46099</v>
      </c>
      <c r="LH5" s="66">
        <f t="shared" ref="LH5" si="265">LG5+1</f>
        <v>46100</v>
      </c>
      <c r="LI5" s="66">
        <f t="shared" ref="LI5" si="266">LH5+1</f>
        <v>46101</v>
      </c>
      <c r="LJ5" s="66">
        <f t="shared" ref="LJ5" si="267">LI5+1</f>
        <v>46102</v>
      </c>
      <c r="LK5" s="67">
        <f t="shared" ref="LK5" si="268">LJ5+1</f>
        <v>46103</v>
      </c>
      <c r="LL5" s="65">
        <f t="shared" ref="LL5" si="269">LK5+1</f>
        <v>46104</v>
      </c>
      <c r="LM5" s="66">
        <f t="shared" ref="LM5" si="270">LL5+1</f>
        <v>46105</v>
      </c>
      <c r="LN5" s="66">
        <f t="shared" ref="LN5" si="271">LM5+1</f>
        <v>46106</v>
      </c>
      <c r="LO5" s="66">
        <f t="shared" ref="LO5" si="272">LN5+1</f>
        <v>46107</v>
      </c>
      <c r="LP5" s="66">
        <f t="shared" ref="LP5" si="273">LO5+1</f>
        <v>46108</v>
      </c>
      <c r="LQ5" s="66">
        <f t="shared" ref="LQ5" si="274">LP5+1</f>
        <v>46109</v>
      </c>
      <c r="LR5" s="67">
        <f t="shared" ref="LR5" si="275">LQ5+1</f>
        <v>46110</v>
      </c>
      <c r="LS5" s="65">
        <f t="shared" ref="LS5" si="276">LR5+1</f>
        <v>46111</v>
      </c>
      <c r="LT5" s="66">
        <f t="shared" ref="LT5" si="277">LS5+1</f>
        <v>46112</v>
      </c>
      <c r="LU5" s="66">
        <f t="shared" ref="LU5" si="278">LT5+1</f>
        <v>46113</v>
      </c>
      <c r="LV5" s="66">
        <f t="shared" ref="LV5" si="279">LU5+1</f>
        <v>46114</v>
      </c>
      <c r="LW5" s="66">
        <f t="shared" ref="LW5" si="280">LV5+1</f>
        <v>46115</v>
      </c>
      <c r="LX5" s="66">
        <f t="shared" ref="LX5" si="281">LW5+1</f>
        <v>46116</v>
      </c>
      <c r="LY5" s="67">
        <f t="shared" ref="LY5" si="282">LX5+1</f>
        <v>46117</v>
      </c>
      <c r="LZ5" s="65">
        <f t="shared" ref="LZ5" si="283">LY5+1</f>
        <v>46118</v>
      </c>
      <c r="MA5" s="66">
        <f t="shared" ref="MA5" si="284">LZ5+1</f>
        <v>46119</v>
      </c>
      <c r="MB5" s="66">
        <f t="shared" ref="MB5" si="285">MA5+1</f>
        <v>46120</v>
      </c>
      <c r="MC5" s="66">
        <f t="shared" ref="MC5" si="286">MB5+1</f>
        <v>46121</v>
      </c>
      <c r="MD5" s="66">
        <f t="shared" ref="MD5" si="287">MC5+1</f>
        <v>46122</v>
      </c>
      <c r="ME5" s="66">
        <f t="shared" ref="ME5" si="288">MD5+1</f>
        <v>46123</v>
      </c>
      <c r="MF5" s="67">
        <f t="shared" ref="MF5" si="289">ME5+1</f>
        <v>46124</v>
      </c>
      <c r="MG5" s="65">
        <f t="shared" ref="MG5" si="290">MF5+1</f>
        <v>46125</v>
      </c>
      <c r="MH5" s="66">
        <f t="shared" ref="MH5" si="291">MG5+1</f>
        <v>46126</v>
      </c>
      <c r="MI5" s="66">
        <f t="shared" ref="MI5" si="292">MH5+1</f>
        <v>46127</v>
      </c>
      <c r="MJ5" s="66">
        <f t="shared" ref="MJ5" si="293">MI5+1</f>
        <v>46128</v>
      </c>
      <c r="MK5" s="66">
        <f t="shared" ref="MK5" si="294">MJ5+1</f>
        <v>46129</v>
      </c>
      <c r="ML5" s="66">
        <f t="shared" ref="ML5" si="295">MK5+1</f>
        <v>46130</v>
      </c>
      <c r="MM5" s="67">
        <f t="shared" ref="MM5" si="296">ML5+1</f>
        <v>46131</v>
      </c>
      <c r="MN5" s="65">
        <f t="shared" ref="MN5" si="297">MM5+1</f>
        <v>46132</v>
      </c>
      <c r="MO5" s="66">
        <f t="shared" ref="MO5" si="298">MN5+1</f>
        <v>46133</v>
      </c>
      <c r="MP5" s="66">
        <f t="shared" ref="MP5" si="299">MO5+1</f>
        <v>46134</v>
      </c>
      <c r="MQ5" s="66">
        <f t="shared" ref="MQ5" si="300">MP5+1</f>
        <v>46135</v>
      </c>
      <c r="MR5" s="66">
        <f t="shared" ref="MR5" si="301">MQ5+1</f>
        <v>46136</v>
      </c>
      <c r="MS5" s="66">
        <f t="shared" ref="MS5" si="302">MR5+1</f>
        <v>46137</v>
      </c>
      <c r="MT5" s="67">
        <f t="shared" ref="MT5" si="303">MS5+1</f>
        <v>46138</v>
      </c>
      <c r="MU5" s="65">
        <f t="shared" ref="MU5" si="304">MT5+1</f>
        <v>46139</v>
      </c>
      <c r="MV5" s="66">
        <f t="shared" ref="MV5" si="305">MU5+1</f>
        <v>46140</v>
      </c>
      <c r="MW5" s="66">
        <f t="shared" ref="MW5" si="306">MV5+1</f>
        <v>46141</v>
      </c>
      <c r="MX5" s="66">
        <f t="shared" ref="MX5" si="307">MW5+1</f>
        <v>46142</v>
      </c>
      <c r="MY5" s="66">
        <f t="shared" ref="MY5" si="308">MX5+1</f>
        <v>46143</v>
      </c>
      <c r="MZ5" s="66">
        <f t="shared" ref="MZ5" si="309">MY5+1</f>
        <v>46144</v>
      </c>
      <c r="NA5" s="67">
        <f t="shared" ref="NA5" si="310">MZ5+1</f>
        <v>46145</v>
      </c>
      <c r="NB5" s="65">
        <f t="shared" ref="NB5" si="311">NA5+1</f>
        <v>46146</v>
      </c>
      <c r="NC5" s="66">
        <f t="shared" ref="NC5" si="312">NB5+1</f>
        <v>46147</v>
      </c>
      <c r="ND5" s="66">
        <f t="shared" ref="ND5" si="313">NC5+1</f>
        <v>46148</v>
      </c>
      <c r="NE5" s="66">
        <f t="shared" ref="NE5" si="314">ND5+1</f>
        <v>46149</v>
      </c>
      <c r="NF5" s="66">
        <f t="shared" ref="NF5" si="315">NE5+1</f>
        <v>46150</v>
      </c>
      <c r="NG5" s="66">
        <f t="shared" ref="NG5" si="316">NF5+1</f>
        <v>46151</v>
      </c>
      <c r="NH5" s="67">
        <f t="shared" ref="NH5" si="317">NG5+1</f>
        <v>46152</v>
      </c>
      <c r="NI5" s="65">
        <f t="shared" ref="NI5" si="318">NH5+1</f>
        <v>46153</v>
      </c>
      <c r="NJ5" s="66">
        <f t="shared" ref="NJ5" si="319">NI5+1</f>
        <v>46154</v>
      </c>
      <c r="NK5" s="66">
        <f t="shared" ref="NK5" si="320">NJ5+1</f>
        <v>46155</v>
      </c>
      <c r="NL5" s="66">
        <f t="shared" ref="NL5" si="321">NK5+1</f>
        <v>46156</v>
      </c>
      <c r="NM5" s="66">
        <f t="shared" ref="NM5" si="322">NL5+1</f>
        <v>46157</v>
      </c>
      <c r="NN5" s="66">
        <f t="shared" ref="NN5" si="323">NM5+1</f>
        <v>46158</v>
      </c>
      <c r="NO5" s="67">
        <f t="shared" ref="NO5" si="324">NN5+1</f>
        <v>46159</v>
      </c>
      <c r="NP5" s="65">
        <f t="shared" ref="NP5" si="325">NO5+1</f>
        <v>46160</v>
      </c>
      <c r="NQ5" s="66">
        <f t="shared" ref="NQ5" si="326">NP5+1</f>
        <v>46161</v>
      </c>
      <c r="NR5" s="66">
        <f t="shared" ref="NR5" si="327">NQ5+1</f>
        <v>46162</v>
      </c>
      <c r="NS5" s="66">
        <f t="shared" ref="NS5" si="328">NR5+1</f>
        <v>46163</v>
      </c>
      <c r="NT5" s="66">
        <f t="shared" ref="NT5" si="329">NS5+1</f>
        <v>46164</v>
      </c>
      <c r="NU5" s="66">
        <f t="shared" ref="NU5" si="330">NT5+1</f>
        <v>46165</v>
      </c>
      <c r="NV5" s="67">
        <f t="shared" ref="NV5" si="331">NU5+1</f>
        <v>46166</v>
      </c>
      <c r="NW5" s="66">
        <f t="shared" ref="NW5" si="332">NV5+1</f>
        <v>46167</v>
      </c>
      <c r="NX5" s="66">
        <f t="shared" ref="NX5" si="333">NW5+1</f>
        <v>46168</v>
      </c>
      <c r="NY5" s="66">
        <f t="shared" ref="NY5" si="334">NX5+1</f>
        <v>46169</v>
      </c>
      <c r="NZ5" s="66">
        <f t="shared" ref="NZ5" si="335">NY5+1</f>
        <v>46170</v>
      </c>
      <c r="OA5" s="67">
        <f t="shared" ref="OA5" si="336">NZ5+1</f>
        <v>46171</v>
      </c>
      <c r="OB5" s="65">
        <f t="shared" ref="OB5" si="337">OA5+1</f>
        <v>46172</v>
      </c>
      <c r="OC5" s="66">
        <f t="shared" ref="OC5" si="338">OB5+1</f>
        <v>46173</v>
      </c>
      <c r="OD5" s="66">
        <f t="shared" ref="OD5" si="339">OC5+1</f>
        <v>46174</v>
      </c>
      <c r="OE5" s="66">
        <f t="shared" ref="OE5" si="340">OD5+1</f>
        <v>46175</v>
      </c>
      <c r="OF5" s="66">
        <f t="shared" ref="OF5" si="341">OE5+1</f>
        <v>46176</v>
      </c>
      <c r="OG5" s="66">
        <f t="shared" ref="OG5" si="342">OF5+1</f>
        <v>46177</v>
      </c>
      <c r="OH5" s="67">
        <f t="shared" ref="OH5" si="343">OG5+1</f>
        <v>46178</v>
      </c>
      <c r="OI5" s="66">
        <f t="shared" ref="OI5" si="344">OH5+1</f>
        <v>46179</v>
      </c>
      <c r="OJ5" s="66">
        <f t="shared" ref="OJ5" si="345">OI5+1</f>
        <v>46180</v>
      </c>
      <c r="OK5" s="66">
        <f t="shared" ref="OK5" si="346">OJ5+1</f>
        <v>46181</v>
      </c>
      <c r="OL5" s="66">
        <f t="shared" ref="OL5" si="347">OK5+1</f>
        <v>46182</v>
      </c>
      <c r="OM5" s="67">
        <f t="shared" ref="OM5" si="348">OL5+1</f>
        <v>46183</v>
      </c>
      <c r="ON5" s="65">
        <f t="shared" ref="ON5" si="349">OM5+1</f>
        <v>46184</v>
      </c>
      <c r="OO5" s="66">
        <f t="shared" ref="OO5" si="350">ON5+1</f>
        <v>46185</v>
      </c>
      <c r="OP5" s="66">
        <f t="shared" ref="OP5" si="351">OO5+1</f>
        <v>46186</v>
      </c>
      <c r="OQ5" s="66">
        <f t="shared" ref="OQ5" si="352">OP5+1</f>
        <v>46187</v>
      </c>
      <c r="OR5" s="66">
        <f t="shared" ref="OR5" si="353">OQ5+1</f>
        <v>46188</v>
      </c>
      <c r="OS5" s="66">
        <f t="shared" ref="OS5" si="354">OR5+1</f>
        <v>46189</v>
      </c>
      <c r="OT5" s="67">
        <f t="shared" ref="OT5" si="355">OS5+1</f>
        <v>46190</v>
      </c>
      <c r="OU5" s="66">
        <f t="shared" ref="OU5" si="356">OT5+1</f>
        <v>46191</v>
      </c>
      <c r="OV5" s="66">
        <f t="shared" ref="OV5" si="357">OU5+1</f>
        <v>46192</v>
      </c>
      <c r="OW5" s="66">
        <f t="shared" ref="OW5" si="358">OV5+1</f>
        <v>46193</v>
      </c>
      <c r="OX5" s="66">
        <f t="shared" ref="OX5" si="359">OW5+1</f>
        <v>46194</v>
      </c>
      <c r="OY5" s="67">
        <f t="shared" ref="OY5" si="360">OX5+1</f>
        <v>46195</v>
      </c>
      <c r="OZ5" s="65">
        <f t="shared" ref="OZ5" si="361">OY5+1</f>
        <v>46196</v>
      </c>
      <c r="PA5" s="66">
        <f t="shared" ref="PA5" si="362">OZ5+1</f>
        <v>46197</v>
      </c>
      <c r="PB5" s="66">
        <f t="shared" ref="PB5" si="363">PA5+1</f>
        <v>46198</v>
      </c>
      <c r="PC5" s="66">
        <f t="shared" ref="PC5" si="364">PB5+1</f>
        <v>46199</v>
      </c>
      <c r="PD5" s="66">
        <f t="shared" ref="PD5" si="365">PC5+1</f>
        <v>46200</v>
      </c>
      <c r="PE5" s="66">
        <f t="shared" ref="PE5" si="366">PD5+1</f>
        <v>46201</v>
      </c>
      <c r="PF5" s="67">
        <f t="shared" ref="PF5" si="367">PE5+1</f>
        <v>46202</v>
      </c>
      <c r="PG5" s="66">
        <f t="shared" ref="PG5" si="368">PF5+1</f>
        <v>46203</v>
      </c>
      <c r="PH5" s="66">
        <f t="shared" ref="PH5" si="369">PG5+1</f>
        <v>46204</v>
      </c>
      <c r="PI5" s="66">
        <f t="shared" ref="PI5" si="370">PH5+1</f>
        <v>46205</v>
      </c>
      <c r="PJ5" s="66">
        <f t="shared" ref="PJ5" si="371">PI5+1</f>
        <v>46206</v>
      </c>
      <c r="PK5" s="67">
        <f t="shared" ref="PK5" si="372">PJ5+1</f>
        <v>46207</v>
      </c>
      <c r="PL5" s="65">
        <f t="shared" ref="PL5" si="373">PK5+1</f>
        <v>46208</v>
      </c>
      <c r="PM5" s="66">
        <f t="shared" ref="PM5" si="374">PL5+1</f>
        <v>46209</v>
      </c>
      <c r="PN5" s="66">
        <f t="shared" ref="PN5" si="375">PM5+1</f>
        <v>46210</v>
      </c>
      <c r="PO5" s="66">
        <f t="shared" ref="PO5" si="376">PN5+1</f>
        <v>46211</v>
      </c>
      <c r="PP5" s="66">
        <f t="shared" ref="PP5" si="377">PO5+1</f>
        <v>46212</v>
      </c>
      <c r="PQ5" s="66">
        <f t="shared" ref="PQ5" si="378">PP5+1</f>
        <v>46213</v>
      </c>
      <c r="PR5" s="67">
        <f t="shared" ref="PR5" si="379">PQ5+1</f>
        <v>46214</v>
      </c>
      <c r="PS5" s="66">
        <f t="shared" ref="PS5" si="380">PR5+1</f>
        <v>46215</v>
      </c>
      <c r="PT5" s="66">
        <f t="shared" ref="PT5" si="381">PS5+1</f>
        <v>46216</v>
      </c>
      <c r="PU5" s="66">
        <f t="shared" ref="PU5" si="382">PT5+1</f>
        <v>46217</v>
      </c>
      <c r="PV5" s="66">
        <f t="shared" ref="PV5" si="383">PU5+1</f>
        <v>46218</v>
      </c>
      <c r="PW5" s="67">
        <f t="shared" ref="PW5" si="384">PV5+1</f>
        <v>46219</v>
      </c>
      <c r="PX5" s="65">
        <f t="shared" ref="PX5" si="385">PW5+1</f>
        <v>46220</v>
      </c>
      <c r="PY5" s="66">
        <f t="shared" ref="PY5" si="386">PX5+1</f>
        <v>46221</v>
      </c>
      <c r="PZ5" s="66">
        <f t="shared" ref="PZ5" si="387">PY5+1</f>
        <v>46222</v>
      </c>
      <c r="QA5" s="66">
        <f t="shared" ref="QA5" si="388">PZ5+1</f>
        <v>46223</v>
      </c>
      <c r="QB5" s="66">
        <f t="shared" ref="QB5" si="389">QA5+1</f>
        <v>46224</v>
      </c>
      <c r="QC5" s="66">
        <f t="shared" ref="QC5" si="390">QB5+1</f>
        <v>46225</v>
      </c>
      <c r="QD5" s="67">
        <f t="shared" ref="QD5" si="391">QC5+1</f>
        <v>46226</v>
      </c>
      <c r="QE5" s="66">
        <f t="shared" ref="QE5" si="392">QD5+1</f>
        <v>46227</v>
      </c>
      <c r="QF5" s="66">
        <f t="shared" ref="QF5" si="393">QE5+1</f>
        <v>46228</v>
      </c>
      <c r="QG5" s="66">
        <f t="shared" ref="QG5" si="394">QF5+1</f>
        <v>46229</v>
      </c>
      <c r="QH5" s="66">
        <f t="shared" ref="QH5" si="395">QG5+1</f>
        <v>46230</v>
      </c>
      <c r="QI5" s="67">
        <f t="shared" ref="QI5" si="396">QH5+1</f>
        <v>46231</v>
      </c>
      <c r="QJ5" s="65">
        <f t="shared" ref="QJ5" si="397">QI5+1</f>
        <v>46232</v>
      </c>
      <c r="QK5" s="66">
        <f t="shared" ref="QK5" si="398">QJ5+1</f>
        <v>46233</v>
      </c>
      <c r="QL5" s="66">
        <f t="shared" ref="QL5" si="399">QK5+1</f>
        <v>46234</v>
      </c>
      <c r="QM5" s="66">
        <f t="shared" ref="QM5" si="400">QL5+1</f>
        <v>46235</v>
      </c>
      <c r="QN5" s="66">
        <f t="shared" ref="QN5" si="401">QM5+1</f>
        <v>46236</v>
      </c>
      <c r="QO5" s="66">
        <f t="shared" ref="QO5" si="402">QN5+1</f>
        <v>46237</v>
      </c>
      <c r="QP5" s="67">
        <f t="shared" ref="QP5" si="403">QO5+1</f>
        <v>46238</v>
      </c>
      <c r="QQ5" s="66">
        <f t="shared" ref="QQ5" si="404">QP5+1</f>
        <v>46239</v>
      </c>
      <c r="QR5" s="66">
        <f t="shared" ref="QR5" si="405">QQ5+1</f>
        <v>46240</v>
      </c>
      <c r="QS5" s="66">
        <f t="shared" ref="QS5" si="406">QR5+1</f>
        <v>46241</v>
      </c>
      <c r="QT5" s="66">
        <f t="shared" ref="QT5" si="407">QS5+1</f>
        <v>46242</v>
      </c>
      <c r="QU5" s="67">
        <f t="shared" ref="QU5" si="408">QT5+1</f>
        <v>46243</v>
      </c>
      <c r="QV5" s="65">
        <f t="shared" ref="QV5" si="409">QU5+1</f>
        <v>46244</v>
      </c>
      <c r="QW5" s="66">
        <f t="shared" ref="QW5" si="410">QV5+1</f>
        <v>46245</v>
      </c>
      <c r="QX5" s="66">
        <f t="shared" ref="QX5" si="411">QW5+1</f>
        <v>46246</v>
      </c>
      <c r="QY5" s="66">
        <f t="shared" ref="QY5" si="412">QX5+1</f>
        <v>46247</v>
      </c>
      <c r="QZ5" s="66">
        <f t="shared" ref="QZ5" si="413">QY5+1</f>
        <v>46248</v>
      </c>
      <c r="RA5" s="66">
        <f t="shared" ref="RA5" si="414">QZ5+1</f>
        <v>46249</v>
      </c>
      <c r="RB5" s="67">
        <f t="shared" ref="RB5" si="415">RA5+1</f>
        <v>46250</v>
      </c>
      <c r="RC5" s="66">
        <f t="shared" ref="RC5" si="416">RB5+1</f>
        <v>46251</v>
      </c>
      <c r="RD5" s="66">
        <f t="shared" ref="RD5" si="417">RC5+1</f>
        <v>46252</v>
      </c>
      <c r="RE5" s="66">
        <f t="shared" ref="RE5" si="418">RD5+1</f>
        <v>46253</v>
      </c>
      <c r="RF5" s="66">
        <f t="shared" ref="RF5" si="419">RE5+1</f>
        <v>46254</v>
      </c>
      <c r="RG5" s="67">
        <f t="shared" ref="RG5" si="420">RF5+1</f>
        <v>46255</v>
      </c>
      <c r="RH5" s="65">
        <f t="shared" ref="RH5" si="421">RG5+1</f>
        <v>46256</v>
      </c>
      <c r="RI5" s="66">
        <f t="shared" ref="RI5" si="422">RH5+1</f>
        <v>46257</v>
      </c>
      <c r="RJ5" s="66">
        <f t="shared" ref="RJ5" si="423">RI5+1</f>
        <v>46258</v>
      </c>
      <c r="RK5" s="66">
        <f t="shared" ref="RK5" si="424">RJ5+1</f>
        <v>46259</v>
      </c>
      <c r="RL5" s="66">
        <f t="shared" ref="RL5" si="425">RK5+1</f>
        <v>46260</v>
      </c>
      <c r="RM5" s="66">
        <f t="shared" ref="RM5" si="426">RL5+1</f>
        <v>46261</v>
      </c>
      <c r="RN5" s="67">
        <f t="shared" ref="RN5" si="427">RM5+1</f>
        <v>46262</v>
      </c>
      <c r="RO5" s="66">
        <f t="shared" ref="RO5" si="428">RN5+1</f>
        <v>46263</v>
      </c>
      <c r="RP5" s="66">
        <f t="shared" ref="RP5" si="429">RO5+1</f>
        <v>46264</v>
      </c>
      <c r="RQ5" s="66">
        <f t="shared" ref="RQ5" si="430">RP5+1</f>
        <v>46265</v>
      </c>
      <c r="RR5" s="66">
        <f t="shared" ref="RR5" si="431">RQ5+1</f>
        <v>46266</v>
      </c>
      <c r="RS5" s="67">
        <f t="shared" ref="RS5" si="432">RR5+1</f>
        <v>46267</v>
      </c>
      <c r="RT5" s="65">
        <f t="shared" ref="RT5" si="433">RS5+1</f>
        <v>46268</v>
      </c>
      <c r="RU5" s="66">
        <f t="shared" ref="RU5" si="434">RT5+1</f>
        <v>46269</v>
      </c>
      <c r="RV5" s="66">
        <f t="shared" ref="RV5" si="435">RU5+1</f>
        <v>46270</v>
      </c>
      <c r="RW5" s="66">
        <f t="shared" ref="RW5" si="436">RV5+1</f>
        <v>46271</v>
      </c>
      <c r="RX5" s="66">
        <f t="shared" ref="RX5" si="437">RW5+1</f>
        <v>46272</v>
      </c>
      <c r="RY5" s="66">
        <f t="shared" ref="RY5" si="438">RX5+1</f>
        <v>46273</v>
      </c>
      <c r="RZ5" s="67">
        <f t="shared" ref="RZ5" si="439">RY5+1</f>
        <v>46274</v>
      </c>
      <c r="SA5" s="66">
        <f t="shared" ref="SA5" si="440">RZ5+1</f>
        <v>46275</v>
      </c>
      <c r="SB5" s="66">
        <f t="shared" ref="SB5" si="441">SA5+1</f>
        <v>46276</v>
      </c>
      <c r="SC5" s="66">
        <f t="shared" ref="SC5" si="442">SB5+1</f>
        <v>46277</v>
      </c>
      <c r="SD5" s="66">
        <f t="shared" ref="SD5" si="443">SC5+1</f>
        <v>46278</v>
      </c>
      <c r="SE5" s="67">
        <f t="shared" ref="SE5" si="444">SD5+1</f>
        <v>46279</v>
      </c>
      <c r="SF5" s="65">
        <f t="shared" ref="SF5" si="445">SE5+1</f>
        <v>46280</v>
      </c>
      <c r="SG5" s="66">
        <f t="shared" ref="SG5" si="446">SF5+1</f>
        <v>46281</v>
      </c>
      <c r="SH5" s="66">
        <f t="shared" ref="SH5" si="447">SG5+1</f>
        <v>46282</v>
      </c>
      <c r="SI5" s="66">
        <f t="shared" ref="SI5" si="448">SH5+1</f>
        <v>46283</v>
      </c>
      <c r="SJ5" s="66">
        <f t="shared" ref="SJ5" si="449">SI5+1</f>
        <v>46284</v>
      </c>
      <c r="SK5" s="66">
        <f t="shared" ref="SK5" si="450">SJ5+1</f>
        <v>46285</v>
      </c>
      <c r="SL5" s="67">
        <f t="shared" ref="SL5" si="451">SK5+1</f>
        <v>46286</v>
      </c>
      <c r="SM5" s="66">
        <f t="shared" ref="SM5" si="452">SL5+1</f>
        <v>46287</v>
      </c>
      <c r="SN5" s="66">
        <f t="shared" ref="SN5" si="453">SM5+1</f>
        <v>46288</v>
      </c>
      <c r="SO5" s="66">
        <f t="shared" ref="SO5" si="454">SN5+1</f>
        <v>46289</v>
      </c>
      <c r="SP5" s="66">
        <f t="shared" ref="SP5" si="455">SO5+1</f>
        <v>46290</v>
      </c>
      <c r="SQ5" s="67">
        <f t="shared" ref="SQ5" si="456">SP5+1</f>
        <v>46291</v>
      </c>
      <c r="SR5" s="65">
        <f t="shared" ref="SR5" si="457">SQ5+1</f>
        <v>46292</v>
      </c>
      <c r="SS5" s="66">
        <f t="shared" ref="SS5" si="458">SR5+1</f>
        <v>46293</v>
      </c>
      <c r="ST5" s="66">
        <f t="shared" ref="ST5" si="459">SS5+1</f>
        <v>46294</v>
      </c>
      <c r="SU5" s="66">
        <f t="shared" ref="SU5" si="460">ST5+1</f>
        <v>46295</v>
      </c>
      <c r="SV5" s="66">
        <f t="shared" ref="SV5" si="461">SU5+1</f>
        <v>46296</v>
      </c>
      <c r="SW5" s="66">
        <f t="shared" ref="SW5" si="462">SV5+1</f>
        <v>46297</v>
      </c>
      <c r="SX5" s="67">
        <f t="shared" ref="SX5" si="463">SW5+1</f>
        <v>46298</v>
      </c>
      <c r="SY5" s="66">
        <f t="shared" ref="SY5" si="464">SX5+1</f>
        <v>46299</v>
      </c>
      <c r="SZ5" s="66">
        <f t="shared" ref="SZ5" si="465">SY5+1</f>
        <v>46300</v>
      </c>
      <c r="TA5" s="66">
        <f t="shared" ref="TA5" si="466">SZ5+1</f>
        <v>46301</v>
      </c>
      <c r="TB5" s="66">
        <f t="shared" ref="TB5" si="467">TA5+1</f>
        <v>46302</v>
      </c>
      <c r="TC5" s="67">
        <f t="shared" ref="TC5" si="468">TB5+1</f>
        <v>46303</v>
      </c>
      <c r="TD5" s="65">
        <f t="shared" ref="TD5" si="469">TC5+1</f>
        <v>46304</v>
      </c>
      <c r="TE5" s="66">
        <f t="shared" ref="TE5" si="470">TD5+1</f>
        <v>46305</v>
      </c>
      <c r="TF5" s="66">
        <f t="shared" ref="TF5" si="471">TE5+1</f>
        <v>46306</v>
      </c>
      <c r="TG5" s="66">
        <f t="shared" ref="TG5" si="472">TF5+1</f>
        <v>46307</v>
      </c>
      <c r="TH5" s="66">
        <f t="shared" ref="TH5" si="473">TG5+1</f>
        <v>46308</v>
      </c>
      <c r="TI5" s="66">
        <f t="shared" ref="TI5" si="474">TH5+1</f>
        <v>46309</v>
      </c>
      <c r="TJ5" s="67">
        <f t="shared" ref="TJ5" si="475">TI5+1</f>
        <v>46310</v>
      </c>
      <c r="TK5" s="66">
        <f t="shared" ref="TK5" si="476">TJ5+1</f>
        <v>46311</v>
      </c>
      <c r="TL5" s="66">
        <f t="shared" ref="TL5" si="477">TK5+1</f>
        <v>46312</v>
      </c>
      <c r="TM5" s="66">
        <f t="shared" ref="TM5" si="478">TL5+1</f>
        <v>46313</v>
      </c>
      <c r="TN5" s="66">
        <f t="shared" ref="TN5" si="479">TM5+1</f>
        <v>46314</v>
      </c>
      <c r="TO5" s="67">
        <f t="shared" ref="TO5" si="480">TN5+1</f>
        <v>46315</v>
      </c>
      <c r="TP5" s="65">
        <f t="shared" ref="TP5" si="481">TO5+1</f>
        <v>46316</v>
      </c>
      <c r="TQ5" s="66">
        <f t="shared" ref="TQ5" si="482">TP5+1</f>
        <v>46317</v>
      </c>
      <c r="TR5" s="66">
        <f t="shared" ref="TR5" si="483">TQ5+1</f>
        <v>46318</v>
      </c>
      <c r="TS5" s="66">
        <f t="shared" ref="TS5" si="484">TR5+1</f>
        <v>46319</v>
      </c>
      <c r="TT5" s="66">
        <f t="shared" ref="TT5" si="485">TS5+1</f>
        <v>46320</v>
      </c>
      <c r="TU5" s="66">
        <f t="shared" ref="TU5" si="486">TT5+1</f>
        <v>46321</v>
      </c>
      <c r="TV5" s="67">
        <f t="shared" ref="TV5" si="487">TU5+1</f>
        <v>46322</v>
      </c>
      <c r="TW5" s="66">
        <f t="shared" ref="TW5" si="488">TV5+1</f>
        <v>46323</v>
      </c>
      <c r="TX5" s="66">
        <f t="shared" ref="TX5" si="489">TW5+1</f>
        <v>46324</v>
      </c>
      <c r="TY5" s="66">
        <f t="shared" ref="TY5" si="490">TX5+1</f>
        <v>46325</v>
      </c>
      <c r="TZ5" s="66">
        <f t="shared" ref="TZ5" si="491">TY5+1</f>
        <v>46326</v>
      </c>
      <c r="UA5" s="67">
        <f t="shared" ref="UA5" si="492">TZ5+1</f>
        <v>46327</v>
      </c>
      <c r="UB5" s="65">
        <f t="shared" ref="UB5" si="493">UA5+1</f>
        <v>46328</v>
      </c>
      <c r="UC5" s="66">
        <f t="shared" ref="UC5" si="494">UB5+1</f>
        <v>46329</v>
      </c>
      <c r="UD5" s="66">
        <f t="shared" ref="UD5" si="495">UC5+1</f>
        <v>46330</v>
      </c>
      <c r="UE5" s="66">
        <f t="shared" ref="UE5" si="496">UD5+1</f>
        <v>46331</v>
      </c>
      <c r="UF5" s="66">
        <f t="shared" ref="UF5" si="497">UE5+1</f>
        <v>46332</v>
      </c>
      <c r="UG5" s="66">
        <f t="shared" ref="UG5" si="498">UF5+1</f>
        <v>46333</v>
      </c>
      <c r="UH5" s="67">
        <f t="shared" ref="UH5" si="499">UG5+1</f>
        <v>46334</v>
      </c>
      <c r="UI5" s="66">
        <f t="shared" ref="UI5" si="500">UH5+1</f>
        <v>46335</v>
      </c>
      <c r="UJ5" s="66">
        <f t="shared" ref="UJ5" si="501">UI5+1</f>
        <v>46336</v>
      </c>
      <c r="UK5" s="66">
        <f t="shared" ref="UK5" si="502">UJ5+1</f>
        <v>46337</v>
      </c>
      <c r="UL5" s="66">
        <f t="shared" ref="UL5" si="503">UK5+1</f>
        <v>46338</v>
      </c>
      <c r="UM5" s="67">
        <f t="shared" ref="UM5" si="504">UL5+1</f>
        <v>46339</v>
      </c>
      <c r="UN5" s="65">
        <f t="shared" ref="UN5" si="505">UM5+1</f>
        <v>46340</v>
      </c>
      <c r="UO5" s="66">
        <f t="shared" ref="UO5" si="506">UN5+1</f>
        <v>46341</v>
      </c>
      <c r="UP5" s="66">
        <f t="shared" ref="UP5" si="507">UO5+1</f>
        <v>46342</v>
      </c>
      <c r="UQ5" s="66">
        <f t="shared" ref="UQ5" si="508">UP5+1</f>
        <v>46343</v>
      </c>
      <c r="UR5" s="66">
        <f t="shared" ref="UR5" si="509">UQ5+1</f>
        <v>46344</v>
      </c>
      <c r="US5" s="66">
        <f t="shared" ref="US5" si="510">UR5+1</f>
        <v>46345</v>
      </c>
      <c r="UT5" s="67">
        <f t="shared" ref="UT5" si="511">US5+1</f>
        <v>46346</v>
      </c>
      <c r="UU5" s="66">
        <f t="shared" ref="UU5" si="512">UT5+1</f>
        <v>46347</v>
      </c>
      <c r="UV5" s="66">
        <f t="shared" ref="UV5" si="513">UU5+1</f>
        <v>46348</v>
      </c>
      <c r="UW5" s="66">
        <f t="shared" ref="UW5" si="514">UV5+1</f>
        <v>46349</v>
      </c>
      <c r="UX5" s="66">
        <f t="shared" ref="UX5" si="515">UW5+1</f>
        <v>46350</v>
      </c>
      <c r="UY5" s="67">
        <f t="shared" ref="UY5" si="516">UX5+1</f>
        <v>46351</v>
      </c>
      <c r="UZ5" s="65">
        <f t="shared" ref="UZ5" si="517">UY5+1</f>
        <v>46352</v>
      </c>
      <c r="VA5" s="66">
        <f t="shared" ref="VA5" si="518">UZ5+1</f>
        <v>46353</v>
      </c>
      <c r="VB5" s="66">
        <f t="shared" ref="VB5" si="519">VA5+1</f>
        <v>46354</v>
      </c>
      <c r="VC5" s="66">
        <f t="shared" ref="VC5" si="520">VB5+1</f>
        <v>46355</v>
      </c>
      <c r="VD5" s="66">
        <f t="shared" ref="VD5" si="521">VC5+1</f>
        <v>46356</v>
      </c>
      <c r="VE5" s="66">
        <f t="shared" ref="VE5" si="522">VD5+1</f>
        <v>46357</v>
      </c>
      <c r="VF5" s="67">
        <f t="shared" ref="VF5" si="523">VE5+1</f>
        <v>46358</v>
      </c>
      <c r="VG5" s="66">
        <f t="shared" ref="VG5" si="524">VF5+1</f>
        <v>46359</v>
      </c>
      <c r="VH5" s="66">
        <f t="shared" ref="VH5" si="525">VG5+1</f>
        <v>46360</v>
      </c>
      <c r="VI5" s="66">
        <f t="shared" ref="VI5" si="526">VH5+1</f>
        <v>46361</v>
      </c>
      <c r="VJ5" s="66">
        <f t="shared" ref="VJ5" si="527">VI5+1</f>
        <v>46362</v>
      </c>
      <c r="VK5" s="67">
        <f t="shared" ref="VK5" si="528">VJ5+1</f>
        <v>46363</v>
      </c>
      <c r="VL5" s="65">
        <f t="shared" ref="VL5" si="529">VK5+1</f>
        <v>46364</v>
      </c>
      <c r="VM5" s="66">
        <f t="shared" ref="VM5" si="530">VL5+1</f>
        <v>46365</v>
      </c>
      <c r="VN5" s="66">
        <f t="shared" ref="VN5" si="531">VM5+1</f>
        <v>46366</v>
      </c>
      <c r="VO5" s="66">
        <f t="shared" ref="VO5" si="532">VN5+1</f>
        <v>46367</v>
      </c>
      <c r="VP5" s="66">
        <f t="shared" ref="VP5" si="533">VO5+1</f>
        <v>46368</v>
      </c>
      <c r="VQ5" s="66">
        <f t="shared" ref="VQ5" si="534">VP5+1</f>
        <v>46369</v>
      </c>
      <c r="VR5" s="67">
        <f t="shared" ref="VR5" si="535">VQ5+1</f>
        <v>46370</v>
      </c>
      <c r="VS5" s="66">
        <f t="shared" ref="VS5" si="536">VR5+1</f>
        <v>46371</v>
      </c>
      <c r="VT5" s="66">
        <f t="shared" ref="VT5" si="537">VS5+1</f>
        <v>46372</v>
      </c>
      <c r="VU5" s="66">
        <f t="shared" ref="VU5" si="538">VT5+1</f>
        <v>46373</v>
      </c>
      <c r="VV5" s="66">
        <f t="shared" ref="VV5" si="539">VU5+1</f>
        <v>46374</v>
      </c>
      <c r="VW5" s="67">
        <f t="shared" ref="VW5" si="540">VV5+1</f>
        <v>46375</v>
      </c>
      <c r="VX5" s="65">
        <f t="shared" ref="VX5" si="541">VW5+1</f>
        <v>46376</v>
      </c>
      <c r="VY5" s="66">
        <f t="shared" ref="VY5" si="542">VX5+1</f>
        <v>46377</v>
      </c>
      <c r="VZ5" s="66">
        <f t="shared" ref="VZ5" si="543">VY5+1</f>
        <v>46378</v>
      </c>
      <c r="WA5" s="66">
        <f t="shared" ref="WA5" si="544">VZ5+1</f>
        <v>46379</v>
      </c>
      <c r="WB5" s="66">
        <f t="shared" ref="WB5" si="545">WA5+1</f>
        <v>46380</v>
      </c>
      <c r="WC5" s="66">
        <f t="shared" ref="WC5" si="546">WB5+1</f>
        <v>46381</v>
      </c>
      <c r="WD5" s="67">
        <f t="shared" ref="WD5" si="547">WC5+1</f>
        <v>46382</v>
      </c>
      <c r="WE5" s="66">
        <f t="shared" ref="WE5" si="548">WD5+1</f>
        <v>46383</v>
      </c>
      <c r="WF5" s="66">
        <f t="shared" ref="WF5" si="549">WE5+1</f>
        <v>46384</v>
      </c>
      <c r="WG5" s="66">
        <f t="shared" ref="WG5" si="550">WF5+1</f>
        <v>46385</v>
      </c>
      <c r="WH5" s="66">
        <f t="shared" ref="WH5" si="551">WG5+1</f>
        <v>46386</v>
      </c>
      <c r="WI5" s="67">
        <f t="shared" ref="WI5" si="552">WH5+1</f>
        <v>46387</v>
      </c>
      <c r="WJ5" s="65">
        <f t="shared" ref="WJ5" si="553">WI5+1</f>
        <v>46388</v>
      </c>
      <c r="WK5" s="66">
        <f t="shared" ref="WK5" si="554">WJ5+1</f>
        <v>46389</v>
      </c>
      <c r="WL5" s="66">
        <f t="shared" ref="WL5" si="555">WK5+1</f>
        <v>46390</v>
      </c>
      <c r="WM5" s="66">
        <f t="shared" ref="WM5" si="556">WL5+1</f>
        <v>46391</v>
      </c>
      <c r="WN5" s="66">
        <f t="shared" ref="WN5" si="557">WM5+1</f>
        <v>46392</v>
      </c>
      <c r="WO5" s="66">
        <f t="shared" ref="WO5" si="558">WN5+1</f>
        <v>46393</v>
      </c>
      <c r="WP5" s="67">
        <f t="shared" ref="WP5" si="559">WO5+1</f>
        <v>46394</v>
      </c>
      <c r="WQ5" s="66">
        <f t="shared" ref="WQ5" si="560">WP5+1</f>
        <v>46395</v>
      </c>
      <c r="WR5" s="66">
        <f t="shared" ref="WR5" si="561">WQ5+1</f>
        <v>46396</v>
      </c>
      <c r="WS5" s="66">
        <f t="shared" ref="WS5" si="562">WR5+1</f>
        <v>46397</v>
      </c>
    </row>
    <row r="6" spans="1:617" ht="9.6" customHeight="1" thickBot="1">
      <c r="A6" s="34" t="s">
        <v>208</v>
      </c>
      <c r="B6" s="8" t="s">
        <v>209</v>
      </c>
      <c r="C6" s="9" t="s">
        <v>210</v>
      </c>
      <c r="D6" s="115" t="s">
        <v>211</v>
      </c>
      <c r="E6" s="115" t="s">
        <v>212</v>
      </c>
      <c r="F6" s="9"/>
      <c r="G6" s="9" t="s">
        <v>213</v>
      </c>
      <c r="H6" s="10" t="str">
        <f t="shared" ref="H6" si="563">LEFT(TEXT(H5,"ddd"),1)</f>
        <v>s</v>
      </c>
      <c r="I6" s="10"/>
      <c r="J6" s="10" t="str">
        <f t="shared" ref="J6:AR6" si="564">LEFT(TEXT(J5,"ddd"),1)</f>
        <v>t</v>
      </c>
      <c r="K6" s="10" t="str">
        <f t="shared" si="564"/>
        <v>q</v>
      </c>
      <c r="L6" s="10" t="str">
        <f t="shared" si="564"/>
        <v>q</v>
      </c>
      <c r="M6" s="10" t="str">
        <f t="shared" si="564"/>
        <v>s</v>
      </c>
      <c r="N6" s="10" t="str">
        <f t="shared" si="564"/>
        <v>s</v>
      </c>
      <c r="O6" s="10" t="str">
        <f t="shared" si="564"/>
        <v>d</v>
      </c>
      <c r="P6" s="10" t="str">
        <f t="shared" si="564"/>
        <v>s</v>
      </c>
      <c r="Q6" s="10" t="str">
        <f t="shared" si="564"/>
        <v>t</v>
      </c>
      <c r="R6" s="10" t="str">
        <f t="shared" si="564"/>
        <v>q</v>
      </c>
      <c r="S6" s="10" t="str">
        <f t="shared" si="564"/>
        <v>q</v>
      </c>
      <c r="T6" s="10" t="str">
        <f t="shared" si="564"/>
        <v>s</v>
      </c>
      <c r="U6" s="10" t="str">
        <f t="shared" si="564"/>
        <v>s</v>
      </c>
      <c r="V6" s="10" t="str">
        <f t="shared" si="564"/>
        <v>d</v>
      </c>
      <c r="W6" s="10" t="str">
        <f t="shared" si="564"/>
        <v>s</v>
      </c>
      <c r="X6" s="10" t="str">
        <f t="shared" si="564"/>
        <v>t</v>
      </c>
      <c r="Y6" s="10" t="str">
        <f t="shared" si="564"/>
        <v>q</v>
      </c>
      <c r="Z6" s="10" t="str">
        <f t="shared" si="564"/>
        <v>q</v>
      </c>
      <c r="AA6" s="10" t="str">
        <f t="shared" si="564"/>
        <v>s</v>
      </c>
      <c r="AB6" s="10" t="str">
        <f t="shared" si="564"/>
        <v>s</v>
      </c>
      <c r="AC6" s="10" t="str">
        <f t="shared" si="564"/>
        <v>d</v>
      </c>
      <c r="AD6" s="10" t="str">
        <f t="shared" si="564"/>
        <v>s</v>
      </c>
      <c r="AE6" s="10" t="str">
        <f t="shared" si="564"/>
        <v>t</v>
      </c>
      <c r="AF6" s="10" t="str">
        <f t="shared" si="564"/>
        <v>q</v>
      </c>
      <c r="AG6" s="10" t="str">
        <f t="shared" si="564"/>
        <v>q</v>
      </c>
      <c r="AH6" s="10" t="str">
        <f t="shared" si="564"/>
        <v>s</v>
      </c>
      <c r="AI6" s="10" t="str">
        <f t="shared" si="564"/>
        <v>s</v>
      </c>
      <c r="AJ6" s="10" t="str">
        <f t="shared" si="564"/>
        <v>d</v>
      </c>
      <c r="AK6" s="10" t="str">
        <f t="shared" si="564"/>
        <v>s</v>
      </c>
      <c r="AL6" s="10" t="str">
        <f t="shared" si="564"/>
        <v>t</v>
      </c>
      <c r="AM6" s="10" t="str">
        <f t="shared" si="564"/>
        <v>q</v>
      </c>
      <c r="AN6" s="10" t="str">
        <f t="shared" si="564"/>
        <v>q</v>
      </c>
      <c r="AO6" s="10" t="str">
        <f t="shared" si="564"/>
        <v>s</v>
      </c>
      <c r="AP6" s="10" t="str">
        <f t="shared" si="564"/>
        <v>s</v>
      </c>
      <c r="AQ6" s="10" t="str">
        <f t="shared" si="564"/>
        <v>d</v>
      </c>
      <c r="AR6" s="10" t="str">
        <f t="shared" si="564"/>
        <v>s</v>
      </c>
      <c r="AS6" s="10" t="str">
        <f t="shared" ref="AS6:BL6" si="565">LEFT(TEXT(AS5,"ddd"),1)</f>
        <v>t</v>
      </c>
      <c r="AT6" s="10" t="str">
        <f t="shared" si="565"/>
        <v>q</v>
      </c>
      <c r="AU6" s="10" t="str">
        <f t="shared" si="565"/>
        <v>q</v>
      </c>
      <c r="AV6" s="10" t="str">
        <f t="shared" si="565"/>
        <v>s</v>
      </c>
      <c r="AW6" s="10" t="str">
        <f t="shared" si="565"/>
        <v>s</v>
      </c>
      <c r="AX6" s="10" t="str">
        <f t="shared" si="565"/>
        <v>d</v>
      </c>
      <c r="AY6" s="10" t="str">
        <f t="shared" si="565"/>
        <v>s</v>
      </c>
      <c r="AZ6" s="10" t="str">
        <f t="shared" si="565"/>
        <v>t</v>
      </c>
      <c r="BA6" s="10" t="str">
        <f t="shared" si="565"/>
        <v>q</v>
      </c>
      <c r="BB6" s="10" t="str">
        <f t="shared" si="565"/>
        <v>q</v>
      </c>
      <c r="BC6" s="10" t="str">
        <f t="shared" si="565"/>
        <v>s</v>
      </c>
      <c r="BD6" s="10" t="str">
        <f t="shared" si="565"/>
        <v>s</v>
      </c>
      <c r="BE6" s="10" t="str">
        <f t="shared" si="565"/>
        <v>d</v>
      </c>
      <c r="BF6" s="10" t="str">
        <f t="shared" si="565"/>
        <v>s</v>
      </c>
      <c r="BG6" s="10" t="str">
        <f t="shared" si="565"/>
        <v>t</v>
      </c>
      <c r="BH6" s="10" t="str">
        <f t="shared" si="565"/>
        <v>q</v>
      </c>
      <c r="BI6" s="10" t="str">
        <f t="shared" si="565"/>
        <v>q</v>
      </c>
      <c r="BJ6" s="10" t="str">
        <f t="shared" si="565"/>
        <v>s</v>
      </c>
      <c r="BK6" s="10" t="str">
        <f t="shared" si="565"/>
        <v>s</v>
      </c>
      <c r="BL6" s="10" t="str">
        <f t="shared" si="565"/>
        <v>d</v>
      </c>
      <c r="BM6" s="10" t="str">
        <f t="shared" ref="BM6:BS6" si="566">LEFT(TEXT(BM5,"ddd"),1)</f>
        <v>s</v>
      </c>
      <c r="BN6" s="10" t="str">
        <f t="shared" si="566"/>
        <v>t</v>
      </c>
      <c r="BO6" s="10" t="str">
        <f t="shared" si="566"/>
        <v>q</v>
      </c>
      <c r="BP6" s="10" t="str">
        <f t="shared" si="566"/>
        <v>q</v>
      </c>
      <c r="BQ6" s="10" t="str">
        <f t="shared" si="566"/>
        <v>s</v>
      </c>
      <c r="BR6" s="10" t="str">
        <f t="shared" si="566"/>
        <v>s</v>
      </c>
      <c r="BS6" s="10" t="str">
        <f t="shared" si="566"/>
        <v>d</v>
      </c>
      <c r="BT6" s="10" t="str">
        <f t="shared" ref="BT6:CG6" si="567">LEFT(TEXT(BT5,"ddd"),1)</f>
        <v>s</v>
      </c>
      <c r="BU6" s="10" t="str">
        <f t="shared" si="567"/>
        <v>t</v>
      </c>
      <c r="BV6" s="10" t="str">
        <f t="shared" si="567"/>
        <v>q</v>
      </c>
      <c r="BW6" s="10" t="str">
        <f t="shared" si="567"/>
        <v>q</v>
      </c>
      <c r="BX6" s="10" t="str">
        <f t="shared" si="567"/>
        <v>s</v>
      </c>
      <c r="BY6" s="10" t="str">
        <f t="shared" si="567"/>
        <v>s</v>
      </c>
      <c r="BZ6" s="10" t="str">
        <f t="shared" si="567"/>
        <v>d</v>
      </c>
      <c r="CA6" s="10" t="str">
        <f t="shared" si="567"/>
        <v>s</v>
      </c>
      <c r="CB6" s="10" t="str">
        <f t="shared" si="567"/>
        <v>t</v>
      </c>
      <c r="CC6" s="10" t="str">
        <f t="shared" si="567"/>
        <v>q</v>
      </c>
      <c r="CD6" s="10" t="str">
        <f t="shared" si="567"/>
        <v>q</v>
      </c>
      <c r="CE6" s="10" t="str">
        <f t="shared" si="567"/>
        <v>s</v>
      </c>
      <c r="CF6" s="10" t="str">
        <f t="shared" si="567"/>
        <v>s</v>
      </c>
      <c r="CG6" s="10" t="str">
        <f t="shared" si="567"/>
        <v>d</v>
      </c>
      <c r="CH6" s="10" t="str">
        <f t="shared" ref="CH6:CU6" si="568">LEFT(TEXT(CH5,"ddd"),1)</f>
        <v>s</v>
      </c>
      <c r="CI6" s="10" t="str">
        <f t="shared" si="568"/>
        <v>t</v>
      </c>
      <c r="CJ6" s="10" t="str">
        <f t="shared" si="568"/>
        <v>q</v>
      </c>
      <c r="CK6" s="10" t="str">
        <f t="shared" si="568"/>
        <v>q</v>
      </c>
      <c r="CL6" s="10" t="str">
        <f t="shared" si="568"/>
        <v>s</v>
      </c>
      <c r="CM6" s="10" t="str">
        <f t="shared" si="568"/>
        <v>s</v>
      </c>
      <c r="CN6" s="10" t="str">
        <f t="shared" si="568"/>
        <v>d</v>
      </c>
      <c r="CO6" s="10" t="str">
        <f t="shared" si="568"/>
        <v>s</v>
      </c>
      <c r="CP6" s="10" t="str">
        <f t="shared" si="568"/>
        <v>t</v>
      </c>
      <c r="CQ6" s="10" t="str">
        <f t="shared" si="568"/>
        <v>q</v>
      </c>
      <c r="CR6" s="10" t="str">
        <f t="shared" si="568"/>
        <v>q</v>
      </c>
      <c r="CS6" s="10" t="str">
        <f t="shared" si="568"/>
        <v>s</v>
      </c>
      <c r="CT6" s="10" t="str">
        <f t="shared" si="568"/>
        <v>s</v>
      </c>
      <c r="CU6" s="10" t="str">
        <f t="shared" si="568"/>
        <v>d</v>
      </c>
      <c r="CV6" s="10" t="str">
        <f t="shared" ref="CV6:DI6" si="569">LEFT(TEXT(CV5,"ddd"),1)</f>
        <v>s</v>
      </c>
      <c r="CW6" s="10" t="str">
        <f t="shared" si="569"/>
        <v>t</v>
      </c>
      <c r="CX6" s="10" t="str">
        <f t="shared" si="569"/>
        <v>q</v>
      </c>
      <c r="CY6" s="10" t="str">
        <f t="shared" si="569"/>
        <v>q</v>
      </c>
      <c r="CZ6" s="10" t="str">
        <f t="shared" si="569"/>
        <v>s</v>
      </c>
      <c r="DA6" s="10" t="str">
        <f t="shared" si="569"/>
        <v>s</v>
      </c>
      <c r="DB6" s="10" t="str">
        <f t="shared" si="569"/>
        <v>d</v>
      </c>
      <c r="DC6" s="10" t="str">
        <f t="shared" si="569"/>
        <v>s</v>
      </c>
      <c r="DD6" s="10" t="str">
        <f t="shared" si="569"/>
        <v>t</v>
      </c>
      <c r="DE6" s="10" t="str">
        <f t="shared" si="569"/>
        <v>q</v>
      </c>
      <c r="DF6" s="10" t="str">
        <f t="shared" si="569"/>
        <v>q</v>
      </c>
      <c r="DG6" s="10" t="str">
        <f t="shared" si="569"/>
        <v>s</v>
      </c>
      <c r="DH6" s="10" t="str">
        <f t="shared" si="569"/>
        <v>s</v>
      </c>
      <c r="DI6" s="10" t="str">
        <f t="shared" si="569"/>
        <v>d</v>
      </c>
      <c r="DJ6" s="10" t="str">
        <f t="shared" ref="DJ6:DW6" si="570">LEFT(TEXT(DJ5,"ddd"),1)</f>
        <v>s</v>
      </c>
      <c r="DK6" s="10" t="str">
        <f t="shared" si="570"/>
        <v>t</v>
      </c>
      <c r="DL6" s="10" t="str">
        <f t="shared" si="570"/>
        <v>q</v>
      </c>
      <c r="DM6" s="10" t="str">
        <f t="shared" si="570"/>
        <v>q</v>
      </c>
      <c r="DN6" s="10" t="str">
        <f t="shared" si="570"/>
        <v>s</v>
      </c>
      <c r="DO6" s="10" t="str">
        <f t="shared" si="570"/>
        <v>s</v>
      </c>
      <c r="DP6" s="10" t="str">
        <f t="shared" si="570"/>
        <v>d</v>
      </c>
      <c r="DQ6" s="10" t="str">
        <f t="shared" si="570"/>
        <v>s</v>
      </c>
      <c r="DR6" s="10" t="str">
        <f t="shared" si="570"/>
        <v>t</v>
      </c>
      <c r="DS6" s="10" t="str">
        <f t="shared" si="570"/>
        <v>q</v>
      </c>
      <c r="DT6" s="10" t="str">
        <f t="shared" si="570"/>
        <v>q</v>
      </c>
      <c r="DU6" s="10" t="str">
        <f t="shared" si="570"/>
        <v>s</v>
      </c>
      <c r="DV6" s="10" t="str">
        <f t="shared" si="570"/>
        <v>s</v>
      </c>
      <c r="DW6" s="10" t="str">
        <f t="shared" si="570"/>
        <v>d</v>
      </c>
      <c r="DX6" s="10" t="str">
        <f t="shared" ref="DX6:ED6" si="571">LEFT(TEXT(DX5,"ddd"),1)</f>
        <v>s</v>
      </c>
      <c r="DY6" s="10" t="str">
        <f t="shared" si="571"/>
        <v>t</v>
      </c>
      <c r="DZ6" s="10" t="str">
        <f t="shared" si="571"/>
        <v>q</v>
      </c>
      <c r="EA6" s="10" t="str">
        <f t="shared" ref="EA6" si="572">LEFT(TEXT(EA5,"ddd"),1)</f>
        <v>q</v>
      </c>
      <c r="EB6" s="10" t="str">
        <f t="shared" si="571"/>
        <v>s</v>
      </c>
      <c r="EC6" s="10" t="str">
        <f t="shared" si="571"/>
        <v>s</v>
      </c>
      <c r="ED6" s="10" t="str">
        <f t="shared" si="571"/>
        <v>d</v>
      </c>
      <c r="EE6" s="10" t="str">
        <f t="shared" ref="EE6:EY6" si="573">LEFT(TEXT(EE5,"ddd"),1)</f>
        <v>s</v>
      </c>
      <c r="EF6" s="10" t="str">
        <f t="shared" si="573"/>
        <v>t</v>
      </c>
      <c r="EG6" s="10" t="str">
        <f t="shared" si="573"/>
        <v>q</v>
      </c>
      <c r="EH6" s="10" t="str">
        <f t="shared" si="573"/>
        <v>q</v>
      </c>
      <c r="EI6" s="10" t="str">
        <f t="shared" si="573"/>
        <v>s</v>
      </c>
      <c r="EJ6" s="10" t="str">
        <f t="shared" si="573"/>
        <v>s</v>
      </c>
      <c r="EK6" s="10" t="str">
        <f t="shared" si="573"/>
        <v>d</v>
      </c>
      <c r="EL6" s="10" t="str">
        <f t="shared" si="573"/>
        <v>s</v>
      </c>
      <c r="EM6" s="10" t="str">
        <f t="shared" si="573"/>
        <v>t</v>
      </c>
      <c r="EN6" s="10" t="str">
        <f t="shared" si="573"/>
        <v>q</v>
      </c>
      <c r="EO6" s="10" t="str">
        <f t="shared" si="573"/>
        <v>q</v>
      </c>
      <c r="EP6" s="10" t="str">
        <f t="shared" si="573"/>
        <v>s</v>
      </c>
      <c r="EQ6" s="10" t="str">
        <f t="shared" si="573"/>
        <v>s</v>
      </c>
      <c r="ER6" s="10" t="str">
        <f t="shared" si="573"/>
        <v>d</v>
      </c>
      <c r="ES6" s="10" t="str">
        <f t="shared" si="573"/>
        <v>s</v>
      </c>
      <c r="ET6" s="10" t="str">
        <f t="shared" si="573"/>
        <v>t</v>
      </c>
      <c r="EU6" s="10" t="str">
        <f t="shared" si="573"/>
        <v>q</v>
      </c>
      <c r="EV6" s="10" t="str">
        <f t="shared" si="573"/>
        <v>q</v>
      </c>
      <c r="EW6" s="10" t="str">
        <f t="shared" si="573"/>
        <v>s</v>
      </c>
      <c r="EX6" s="10" t="str">
        <f t="shared" si="573"/>
        <v>s</v>
      </c>
      <c r="EY6" s="10" t="str">
        <f t="shared" si="573"/>
        <v>d</v>
      </c>
      <c r="EZ6" s="10" t="str">
        <f t="shared" ref="EZ6:FZ6" si="574">LEFT(TEXT(EZ5,"ddd"),1)</f>
        <v>s</v>
      </c>
      <c r="FA6" s="10" t="str">
        <f t="shared" si="574"/>
        <v>t</v>
      </c>
      <c r="FB6" s="10" t="str">
        <f t="shared" si="574"/>
        <v>q</v>
      </c>
      <c r="FC6" s="10" t="str">
        <f t="shared" si="574"/>
        <v>q</v>
      </c>
      <c r="FD6" s="10" t="str">
        <f t="shared" si="574"/>
        <v>s</v>
      </c>
      <c r="FE6" s="10" t="str">
        <f t="shared" si="574"/>
        <v>s</v>
      </c>
      <c r="FF6" s="10" t="str">
        <f t="shared" si="574"/>
        <v>d</v>
      </c>
      <c r="FG6" s="10" t="str">
        <f t="shared" si="574"/>
        <v>s</v>
      </c>
      <c r="FH6" s="10" t="str">
        <f t="shared" si="574"/>
        <v>t</v>
      </c>
      <c r="FI6" s="10" t="str">
        <f t="shared" si="574"/>
        <v>q</v>
      </c>
      <c r="FJ6" s="10" t="str">
        <f t="shared" si="574"/>
        <v>q</v>
      </c>
      <c r="FK6" s="10" t="str">
        <f t="shared" si="574"/>
        <v>s</v>
      </c>
      <c r="FL6" s="10" t="str">
        <f t="shared" si="574"/>
        <v>s</v>
      </c>
      <c r="FM6" s="10" t="str">
        <f t="shared" si="574"/>
        <v>d</v>
      </c>
      <c r="FN6" s="10" t="str">
        <f t="shared" si="574"/>
        <v>s</v>
      </c>
      <c r="FO6" s="10" t="str">
        <f t="shared" si="574"/>
        <v>t</v>
      </c>
      <c r="FP6" s="10" t="str">
        <f t="shared" si="574"/>
        <v>q</v>
      </c>
      <c r="FQ6" s="10" t="str">
        <f t="shared" si="574"/>
        <v>q</v>
      </c>
      <c r="FR6" s="10" t="str">
        <f t="shared" si="574"/>
        <v>s</v>
      </c>
      <c r="FS6" s="10" t="str">
        <f t="shared" si="574"/>
        <v>s</v>
      </c>
      <c r="FT6" s="10" t="str">
        <f t="shared" si="574"/>
        <v>d</v>
      </c>
      <c r="FU6" s="10" t="str">
        <f t="shared" si="574"/>
        <v>s</v>
      </c>
      <c r="FV6" s="10" t="str">
        <f t="shared" si="574"/>
        <v>t</v>
      </c>
      <c r="FW6" s="10" t="str">
        <f t="shared" si="574"/>
        <v>q</v>
      </c>
      <c r="FX6" s="10" t="str">
        <f t="shared" si="574"/>
        <v>q</v>
      </c>
      <c r="FY6" s="10" t="str">
        <f t="shared" si="574"/>
        <v>s</v>
      </c>
      <c r="FZ6" s="10" t="str">
        <f t="shared" si="574"/>
        <v>s</v>
      </c>
      <c r="GA6" s="10" t="str">
        <f t="shared" ref="GA6" si="575">LEFT(TEXT(GA5,"ddd"),1)</f>
        <v>d</v>
      </c>
      <c r="GB6" s="10" t="str">
        <f t="shared" ref="GB6:GO6" si="576">LEFT(TEXT(GB5,"ddd"),1)</f>
        <v>s</v>
      </c>
      <c r="GC6" s="10" t="str">
        <f t="shared" si="576"/>
        <v>t</v>
      </c>
      <c r="GD6" s="10" t="str">
        <f t="shared" si="576"/>
        <v>q</v>
      </c>
      <c r="GE6" s="10" t="str">
        <f t="shared" si="576"/>
        <v>q</v>
      </c>
      <c r="GF6" s="10" t="str">
        <f t="shared" si="576"/>
        <v>s</v>
      </c>
      <c r="GG6" s="10" t="str">
        <f t="shared" si="576"/>
        <v>s</v>
      </c>
      <c r="GH6" s="10" t="str">
        <f t="shared" si="576"/>
        <v>d</v>
      </c>
      <c r="GI6" s="10" t="str">
        <f t="shared" si="576"/>
        <v>s</v>
      </c>
      <c r="GJ6" s="10" t="str">
        <f t="shared" si="576"/>
        <v>t</v>
      </c>
      <c r="GK6" s="10" t="str">
        <f t="shared" si="576"/>
        <v>q</v>
      </c>
      <c r="GL6" s="10" t="str">
        <f t="shared" si="576"/>
        <v>q</v>
      </c>
      <c r="GM6" s="10" t="str">
        <f t="shared" si="576"/>
        <v>s</v>
      </c>
      <c r="GN6" s="10" t="str">
        <f t="shared" si="576"/>
        <v>s</v>
      </c>
      <c r="GO6" s="10" t="str">
        <f t="shared" si="576"/>
        <v>d</v>
      </c>
      <c r="GP6" s="10" t="str">
        <f t="shared" ref="GP6:JA6" si="577">LEFT(TEXT(GP5,"ddd"),1)</f>
        <v>s</v>
      </c>
      <c r="GQ6" s="10" t="str">
        <f t="shared" si="577"/>
        <v>t</v>
      </c>
      <c r="GR6" s="10" t="str">
        <f t="shared" si="577"/>
        <v>q</v>
      </c>
      <c r="GS6" s="10" t="str">
        <f t="shared" si="577"/>
        <v>q</v>
      </c>
      <c r="GT6" s="10" t="str">
        <f t="shared" si="577"/>
        <v>s</v>
      </c>
      <c r="GU6" s="10" t="str">
        <f t="shared" si="577"/>
        <v>s</v>
      </c>
      <c r="GV6" s="10" t="str">
        <f t="shared" si="577"/>
        <v>d</v>
      </c>
      <c r="GW6" s="10" t="str">
        <f t="shared" si="577"/>
        <v>s</v>
      </c>
      <c r="GX6" s="10" t="str">
        <f t="shared" si="577"/>
        <v>t</v>
      </c>
      <c r="GY6" s="10" t="str">
        <f t="shared" si="577"/>
        <v>q</v>
      </c>
      <c r="GZ6" s="10" t="str">
        <f t="shared" si="577"/>
        <v>q</v>
      </c>
      <c r="HA6" s="10" t="str">
        <f t="shared" si="577"/>
        <v>s</v>
      </c>
      <c r="HB6" s="10" t="str">
        <f t="shared" si="577"/>
        <v>s</v>
      </c>
      <c r="HC6" s="10" t="str">
        <f t="shared" si="577"/>
        <v>d</v>
      </c>
      <c r="HD6" s="10" t="str">
        <f t="shared" si="577"/>
        <v>s</v>
      </c>
      <c r="HE6" s="10" t="str">
        <f t="shared" si="577"/>
        <v>t</v>
      </c>
      <c r="HF6" s="10" t="str">
        <f t="shared" si="577"/>
        <v>q</v>
      </c>
      <c r="HG6" s="10" t="str">
        <f t="shared" si="577"/>
        <v>q</v>
      </c>
      <c r="HH6" s="10" t="str">
        <f t="shared" si="577"/>
        <v>s</v>
      </c>
      <c r="HI6" s="10" t="str">
        <f t="shared" si="577"/>
        <v>s</v>
      </c>
      <c r="HJ6" s="10" t="str">
        <f t="shared" si="577"/>
        <v>d</v>
      </c>
      <c r="HK6" s="10" t="str">
        <f t="shared" si="577"/>
        <v>s</v>
      </c>
      <c r="HL6" s="10" t="str">
        <f t="shared" si="577"/>
        <v>t</v>
      </c>
      <c r="HM6" s="10" t="str">
        <f t="shared" si="577"/>
        <v>q</v>
      </c>
      <c r="HN6" s="10" t="str">
        <f t="shared" si="577"/>
        <v>q</v>
      </c>
      <c r="HO6" s="10" t="str">
        <f t="shared" si="577"/>
        <v>s</v>
      </c>
      <c r="HP6" s="10" t="str">
        <f t="shared" si="577"/>
        <v>s</v>
      </c>
      <c r="HQ6" s="10" t="str">
        <f t="shared" si="577"/>
        <v>d</v>
      </c>
      <c r="HR6" s="10" t="str">
        <f t="shared" si="577"/>
        <v>s</v>
      </c>
      <c r="HS6" s="10" t="str">
        <f t="shared" si="577"/>
        <v>t</v>
      </c>
      <c r="HT6" s="10" t="str">
        <f t="shared" si="577"/>
        <v>q</v>
      </c>
      <c r="HU6" s="10" t="str">
        <f t="shared" si="577"/>
        <v>q</v>
      </c>
      <c r="HV6" s="10" t="str">
        <f t="shared" si="577"/>
        <v>s</v>
      </c>
      <c r="HW6" s="10" t="str">
        <f t="shared" si="577"/>
        <v>s</v>
      </c>
      <c r="HX6" s="10" t="str">
        <f t="shared" si="577"/>
        <v>d</v>
      </c>
      <c r="HY6" s="10" t="str">
        <f t="shared" si="577"/>
        <v>s</v>
      </c>
      <c r="HZ6" s="10" t="str">
        <f t="shared" si="577"/>
        <v>t</v>
      </c>
      <c r="IA6" s="10" t="str">
        <f t="shared" si="577"/>
        <v>q</v>
      </c>
      <c r="IB6" s="10" t="str">
        <f t="shared" si="577"/>
        <v>q</v>
      </c>
      <c r="IC6" s="10" t="str">
        <f t="shared" si="577"/>
        <v>s</v>
      </c>
      <c r="ID6" s="10" t="str">
        <f t="shared" si="577"/>
        <v>s</v>
      </c>
      <c r="IE6" s="10" t="str">
        <f t="shared" si="577"/>
        <v>d</v>
      </c>
      <c r="IF6" s="10" t="str">
        <f t="shared" si="577"/>
        <v>s</v>
      </c>
      <c r="IG6" s="10" t="str">
        <f t="shared" si="577"/>
        <v>t</v>
      </c>
      <c r="IH6" s="10" t="str">
        <f t="shared" si="577"/>
        <v>q</v>
      </c>
      <c r="II6" s="10" t="str">
        <f t="shared" si="577"/>
        <v>q</v>
      </c>
      <c r="IJ6" s="10" t="str">
        <f t="shared" si="577"/>
        <v>s</v>
      </c>
      <c r="IK6" s="10" t="str">
        <f t="shared" si="577"/>
        <v>s</v>
      </c>
      <c r="IL6" s="10" t="str">
        <f t="shared" si="577"/>
        <v>d</v>
      </c>
      <c r="IM6" s="10" t="str">
        <f t="shared" si="577"/>
        <v>s</v>
      </c>
      <c r="IN6" s="10" t="str">
        <f t="shared" si="577"/>
        <v>t</v>
      </c>
      <c r="IO6" s="10" t="str">
        <f t="shared" si="577"/>
        <v>q</v>
      </c>
      <c r="IP6" s="10" t="str">
        <f t="shared" si="577"/>
        <v>q</v>
      </c>
      <c r="IQ6" s="10" t="str">
        <f t="shared" si="577"/>
        <v>s</v>
      </c>
      <c r="IR6" s="10" t="str">
        <f t="shared" si="577"/>
        <v>s</v>
      </c>
      <c r="IS6" s="10" t="str">
        <f t="shared" ref="IS6" si="578">LEFT(TEXT(IS5,"ddd"),1)</f>
        <v>d</v>
      </c>
      <c r="IT6" s="10" t="str">
        <f t="shared" si="577"/>
        <v>s</v>
      </c>
      <c r="IU6" s="10" t="str">
        <f t="shared" si="577"/>
        <v>t</v>
      </c>
      <c r="IV6" s="10" t="str">
        <f t="shared" si="577"/>
        <v>q</v>
      </c>
      <c r="IW6" s="10" t="str">
        <f t="shared" si="577"/>
        <v>q</v>
      </c>
      <c r="IX6" s="10" t="str">
        <f t="shared" si="577"/>
        <v>s</v>
      </c>
      <c r="IY6" s="10" t="str">
        <f t="shared" si="577"/>
        <v>s</v>
      </c>
      <c r="IZ6" s="10" t="str">
        <f t="shared" si="577"/>
        <v>d</v>
      </c>
      <c r="JA6" s="10" t="str">
        <f t="shared" si="577"/>
        <v>s</v>
      </c>
      <c r="JB6" s="10" t="str">
        <f t="shared" ref="JB6:LM6" si="579">LEFT(TEXT(JB5,"ddd"),1)</f>
        <v>t</v>
      </c>
      <c r="JC6" s="10" t="str">
        <f t="shared" si="579"/>
        <v>q</v>
      </c>
      <c r="JD6" s="10" t="str">
        <f t="shared" si="579"/>
        <v>q</v>
      </c>
      <c r="JE6" s="10" t="str">
        <f t="shared" si="579"/>
        <v>s</v>
      </c>
      <c r="JF6" s="10" t="str">
        <f t="shared" si="579"/>
        <v>s</v>
      </c>
      <c r="JG6" s="10" t="str">
        <f t="shared" si="579"/>
        <v>d</v>
      </c>
      <c r="JH6" s="10" t="str">
        <f t="shared" si="579"/>
        <v>s</v>
      </c>
      <c r="JI6" s="10" t="str">
        <f t="shared" si="579"/>
        <v>t</v>
      </c>
      <c r="JJ6" s="10" t="str">
        <f t="shared" si="579"/>
        <v>q</v>
      </c>
      <c r="JK6" s="10" t="str">
        <f t="shared" si="579"/>
        <v>q</v>
      </c>
      <c r="JL6" s="10" t="str">
        <f t="shared" si="579"/>
        <v>s</v>
      </c>
      <c r="JM6" s="10" t="str">
        <f t="shared" si="579"/>
        <v>s</v>
      </c>
      <c r="JN6" s="10" t="str">
        <f t="shared" si="579"/>
        <v>d</v>
      </c>
      <c r="JO6" s="10" t="str">
        <f t="shared" si="579"/>
        <v>s</v>
      </c>
      <c r="JP6" s="10" t="str">
        <f t="shared" si="579"/>
        <v>t</v>
      </c>
      <c r="JQ6" s="10" t="str">
        <f t="shared" si="579"/>
        <v>q</v>
      </c>
      <c r="JR6" s="10" t="str">
        <f t="shared" si="579"/>
        <v>q</v>
      </c>
      <c r="JS6" s="10" t="str">
        <f t="shared" si="579"/>
        <v>s</v>
      </c>
      <c r="JT6" s="10" t="str">
        <f t="shared" si="579"/>
        <v>s</v>
      </c>
      <c r="JU6" s="10" t="str">
        <f t="shared" si="579"/>
        <v>d</v>
      </c>
      <c r="JV6" s="10" t="str">
        <f t="shared" si="579"/>
        <v>s</v>
      </c>
      <c r="JW6" s="10" t="str">
        <f t="shared" si="579"/>
        <v>t</v>
      </c>
      <c r="JX6" s="10" t="str">
        <f t="shared" si="579"/>
        <v>q</v>
      </c>
      <c r="JY6" s="10" t="str">
        <f t="shared" si="579"/>
        <v>q</v>
      </c>
      <c r="JZ6" s="10" t="str">
        <f t="shared" si="579"/>
        <v>s</v>
      </c>
      <c r="KA6" s="10" t="str">
        <f t="shared" si="579"/>
        <v>s</v>
      </c>
      <c r="KB6" s="10" t="str">
        <f t="shared" si="579"/>
        <v>d</v>
      </c>
      <c r="KC6" s="10" t="str">
        <f t="shared" si="579"/>
        <v>s</v>
      </c>
      <c r="KD6" s="10" t="str">
        <f t="shared" si="579"/>
        <v>t</v>
      </c>
      <c r="KE6" s="10" t="str">
        <f t="shared" si="579"/>
        <v>q</v>
      </c>
      <c r="KF6" s="10" t="str">
        <f t="shared" si="579"/>
        <v>q</v>
      </c>
      <c r="KG6" s="10" t="str">
        <f t="shared" si="579"/>
        <v>s</v>
      </c>
      <c r="KH6" s="10" t="str">
        <f t="shared" si="579"/>
        <v>s</v>
      </c>
      <c r="KI6" s="10" t="str">
        <f t="shared" si="579"/>
        <v>d</v>
      </c>
      <c r="KJ6" s="10" t="str">
        <f t="shared" si="579"/>
        <v>s</v>
      </c>
      <c r="KK6" s="10" t="str">
        <f t="shared" si="579"/>
        <v>t</v>
      </c>
      <c r="KL6" s="10" t="str">
        <f t="shared" si="579"/>
        <v>q</v>
      </c>
      <c r="KM6" s="10" t="str">
        <f t="shared" si="579"/>
        <v>q</v>
      </c>
      <c r="KN6" s="10" t="str">
        <f t="shared" si="579"/>
        <v>s</v>
      </c>
      <c r="KO6" s="10" t="str">
        <f t="shared" si="579"/>
        <v>s</v>
      </c>
      <c r="KP6" s="10" t="str">
        <f t="shared" si="579"/>
        <v>d</v>
      </c>
      <c r="KQ6" s="10" t="str">
        <f t="shared" si="579"/>
        <v>s</v>
      </c>
      <c r="KR6" s="10" t="str">
        <f t="shared" si="579"/>
        <v>t</v>
      </c>
      <c r="KS6" s="10" t="str">
        <f t="shared" si="579"/>
        <v>q</v>
      </c>
      <c r="KT6" s="10" t="str">
        <f t="shared" si="579"/>
        <v>q</v>
      </c>
      <c r="KU6" s="10" t="str">
        <f t="shared" si="579"/>
        <v>s</v>
      </c>
      <c r="KV6" s="10" t="str">
        <f t="shared" si="579"/>
        <v>s</v>
      </c>
      <c r="KW6" s="10" t="str">
        <f t="shared" si="579"/>
        <v>d</v>
      </c>
      <c r="KX6" s="10" t="str">
        <f t="shared" si="579"/>
        <v>s</v>
      </c>
      <c r="KY6" s="10" t="str">
        <f t="shared" si="579"/>
        <v>t</v>
      </c>
      <c r="KZ6" s="10" t="str">
        <f t="shared" si="579"/>
        <v>q</v>
      </c>
      <c r="LA6" s="10" t="str">
        <f t="shared" si="579"/>
        <v>q</v>
      </c>
      <c r="LB6" s="10" t="str">
        <f t="shared" si="579"/>
        <v>s</v>
      </c>
      <c r="LC6" s="10" t="str">
        <f t="shared" si="579"/>
        <v>s</v>
      </c>
      <c r="LD6" s="10" t="str">
        <f t="shared" si="579"/>
        <v>d</v>
      </c>
      <c r="LE6" s="10" t="str">
        <f t="shared" si="579"/>
        <v>s</v>
      </c>
      <c r="LF6" s="10" t="str">
        <f t="shared" si="579"/>
        <v>t</v>
      </c>
      <c r="LG6" s="10" t="str">
        <f t="shared" si="579"/>
        <v>q</v>
      </c>
      <c r="LH6" s="10" t="str">
        <f t="shared" si="579"/>
        <v>q</v>
      </c>
      <c r="LI6" s="10" t="str">
        <f t="shared" si="579"/>
        <v>s</v>
      </c>
      <c r="LJ6" s="10" t="str">
        <f t="shared" si="579"/>
        <v>s</v>
      </c>
      <c r="LK6" s="10" t="str">
        <f t="shared" si="579"/>
        <v>d</v>
      </c>
      <c r="LL6" s="10" t="str">
        <f t="shared" si="579"/>
        <v>s</v>
      </c>
      <c r="LM6" s="10" t="str">
        <f t="shared" si="579"/>
        <v>t</v>
      </c>
      <c r="LN6" s="10" t="str">
        <f t="shared" ref="LN6:MM6" si="580">LEFT(TEXT(LN5,"ddd"),1)</f>
        <v>q</v>
      </c>
      <c r="LO6" s="10" t="str">
        <f t="shared" si="580"/>
        <v>q</v>
      </c>
      <c r="LP6" s="10" t="str">
        <f t="shared" si="580"/>
        <v>s</v>
      </c>
      <c r="LQ6" s="10" t="str">
        <f t="shared" si="580"/>
        <v>s</v>
      </c>
      <c r="LR6" s="10" t="str">
        <f t="shared" si="580"/>
        <v>d</v>
      </c>
      <c r="LS6" s="10" t="str">
        <f t="shared" si="580"/>
        <v>s</v>
      </c>
      <c r="LT6" s="10" t="str">
        <f t="shared" si="580"/>
        <v>t</v>
      </c>
      <c r="LU6" s="10" t="str">
        <f t="shared" si="580"/>
        <v>q</v>
      </c>
      <c r="LV6" s="10" t="str">
        <f t="shared" si="580"/>
        <v>q</v>
      </c>
      <c r="LW6" s="10" t="str">
        <f t="shared" si="580"/>
        <v>s</v>
      </c>
      <c r="LX6" s="10" t="str">
        <f t="shared" si="580"/>
        <v>s</v>
      </c>
      <c r="LY6" s="10" t="str">
        <f t="shared" si="580"/>
        <v>d</v>
      </c>
      <c r="LZ6" s="10" t="str">
        <f t="shared" si="580"/>
        <v>s</v>
      </c>
      <c r="MA6" s="10" t="str">
        <f t="shared" si="580"/>
        <v>t</v>
      </c>
      <c r="MB6" s="10" t="str">
        <f t="shared" si="580"/>
        <v>q</v>
      </c>
      <c r="MC6" s="10" t="str">
        <f t="shared" si="580"/>
        <v>q</v>
      </c>
      <c r="MD6" s="10" t="str">
        <f t="shared" si="580"/>
        <v>s</v>
      </c>
      <c r="ME6" s="10" t="str">
        <f t="shared" si="580"/>
        <v>s</v>
      </c>
      <c r="MF6" s="10" t="str">
        <f t="shared" si="580"/>
        <v>d</v>
      </c>
      <c r="MG6" s="10" t="str">
        <f t="shared" si="580"/>
        <v>s</v>
      </c>
      <c r="MH6" s="10" t="str">
        <f t="shared" si="580"/>
        <v>t</v>
      </c>
      <c r="MI6" s="10" t="str">
        <f t="shared" si="580"/>
        <v>q</v>
      </c>
      <c r="MJ6" s="10" t="str">
        <f t="shared" si="580"/>
        <v>q</v>
      </c>
      <c r="MK6" s="10" t="str">
        <f t="shared" si="580"/>
        <v>s</v>
      </c>
      <c r="ML6" s="10" t="str">
        <f t="shared" si="580"/>
        <v>s</v>
      </c>
      <c r="MM6" s="10" t="str">
        <f t="shared" si="580"/>
        <v>d</v>
      </c>
      <c r="MN6" s="10" t="str">
        <f t="shared" ref="MN6:NV6" si="581">LEFT(TEXT(MN5,"ddd"),1)</f>
        <v>s</v>
      </c>
      <c r="MO6" s="10" t="str">
        <f t="shared" si="581"/>
        <v>t</v>
      </c>
      <c r="MP6" s="10" t="str">
        <f t="shared" si="581"/>
        <v>q</v>
      </c>
      <c r="MQ6" s="10" t="str">
        <f t="shared" si="581"/>
        <v>q</v>
      </c>
      <c r="MR6" s="10" t="str">
        <f t="shared" si="581"/>
        <v>s</v>
      </c>
      <c r="MS6" s="10" t="str">
        <f t="shared" si="581"/>
        <v>s</v>
      </c>
      <c r="MT6" s="10" t="str">
        <f t="shared" si="581"/>
        <v>d</v>
      </c>
      <c r="MU6" s="10" t="str">
        <f t="shared" si="581"/>
        <v>s</v>
      </c>
      <c r="MV6" s="10" t="str">
        <f t="shared" si="581"/>
        <v>t</v>
      </c>
      <c r="MW6" s="10" t="str">
        <f t="shared" si="581"/>
        <v>q</v>
      </c>
      <c r="MX6" s="10" t="str">
        <f t="shared" si="581"/>
        <v>q</v>
      </c>
      <c r="MY6" s="10" t="str">
        <f t="shared" si="581"/>
        <v>s</v>
      </c>
      <c r="MZ6" s="10" t="str">
        <f t="shared" si="581"/>
        <v>s</v>
      </c>
      <c r="NA6" s="10" t="str">
        <f t="shared" si="581"/>
        <v>d</v>
      </c>
      <c r="NB6" s="10" t="str">
        <f t="shared" si="581"/>
        <v>s</v>
      </c>
      <c r="NC6" s="10" t="str">
        <f t="shared" si="581"/>
        <v>t</v>
      </c>
      <c r="ND6" s="10" t="str">
        <f t="shared" si="581"/>
        <v>q</v>
      </c>
      <c r="NE6" s="10" t="str">
        <f t="shared" si="581"/>
        <v>q</v>
      </c>
      <c r="NF6" s="10" t="str">
        <f t="shared" si="581"/>
        <v>s</v>
      </c>
      <c r="NG6" s="10" t="str">
        <f t="shared" si="581"/>
        <v>s</v>
      </c>
      <c r="NH6" s="10" t="str">
        <f t="shared" si="581"/>
        <v>d</v>
      </c>
      <c r="NI6" s="10" t="str">
        <f t="shared" si="581"/>
        <v>s</v>
      </c>
      <c r="NJ6" s="10" t="str">
        <f t="shared" si="581"/>
        <v>t</v>
      </c>
      <c r="NK6" s="10" t="str">
        <f t="shared" si="581"/>
        <v>q</v>
      </c>
      <c r="NL6" s="10" t="str">
        <f t="shared" si="581"/>
        <v>q</v>
      </c>
      <c r="NM6" s="10" t="str">
        <f t="shared" si="581"/>
        <v>s</v>
      </c>
      <c r="NN6" s="10" t="str">
        <f t="shared" si="581"/>
        <v>s</v>
      </c>
      <c r="NO6" s="10" t="str">
        <f t="shared" si="581"/>
        <v>d</v>
      </c>
      <c r="NP6" s="10" t="str">
        <f t="shared" si="581"/>
        <v>s</v>
      </c>
      <c r="NQ6" s="10" t="str">
        <f t="shared" si="581"/>
        <v>t</v>
      </c>
      <c r="NR6" s="10" t="str">
        <f t="shared" si="581"/>
        <v>q</v>
      </c>
      <c r="NS6" s="10" t="str">
        <f t="shared" si="581"/>
        <v>q</v>
      </c>
      <c r="NT6" s="10" t="str">
        <f t="shared" si="581"/>
        <v>s</v>
      </c>
      <c r="NU6" s="10" t="str">
        <f t="shared" si="581"/>
        <v>s</v>
      </c>
      <c r="NV6" s="10" t="str">
        <f t="shared" si="581"/>
        <v>d</v>
      </c>
      <c r="NW6" s="10" t="str">
        <f t="shared" ref="NW6:QH6" si="582">LEFT(TEXT(NW5,"ddd"),1)</f>
        <v>s</v>
      </c>
      <c r="NX6" s="10" t="str">
        <f t="shared" si="582"/>
        <v>t</v>
      </c>
      <c r="NY6" s="10" t="str">
        <f t="shared" si="582"/>
        <v>q</v>
      </c>
      <c r="NZ6" s="10" t="str">
        <f t="shared" si="582"/>
        <v>q</v>
      </c>
      <c r="OA6" s="10" t="str">
        <f t="shared" si="582"/>
        <v>s</v>
      </c>
      <c r="OB6" s="10" t="str">
        <f t="shared" si="582"/>
        <v>s</v>
      </c>
      <c r="OC6" s="10" t="str">
        <f t="shared" si="582"/>
        <v>d</v>
      </c>
      <c r="OD6" s="10" t="str">
        <f t="shared" si="582"/>
        <v>s</v>
      </c>
      <c r="OE6" s="10" t="str">
        <f t="shared" si="582"/>
        <v>t</v>
      </c>
      <c r="OF6" s="10" t="str">
        <f t="shared" si="582"/>
        <v>q</v>
      </c>
      <c r="OG6" s="10" t="str">
        <f t="shared" si="582"/>
        <v>q</v>
      </c>
      <c r="OH6" s="10" t="str">
        <f t="shared" si="582"/>
        <v>s</v>
      </c>
      <c r="OI6" s="10" t="str">
        <f t="shared" si="582"/>
        <v>s</v>
      </c>
      <c r="OJ6" s="10" t="str">
        <f t="shared" si="582"/>
        <v>d</v>
      </c>
      <c r="OK6" s="10" t="str">
        <f t="shared" si="582"/>
        <v>s</v>
      </c>
      <c r="OL6" s="10" t="str">
        <f t="shared" si="582"/>
        <v>t</v>
      </c>
      <c r="OM6" s="10" t="str">
        <f t="shared" si="582"/>
        <v>q</v>
      </c>
      <c r="ON6" s="10" t="str">
        <f t="shared" si="582"/>
        <v>q</v>
      </c>
      <c r="OO6" s="10" t="str">
        <f t="shared" si="582"/>
        <v>s</v>
      </c>
      <c r="OP6" s="10" t="str">
        <f t="shared" si="582"/>
        <v>s</v>
      </c>
      <c r="OQ6" s="10" t="str">
        <f t="shared" si="582"/>
        <v>d</v>
      </c>
      <c r="OR6" s="10" t="str">
        <f t="shared" si="582"/>
        <v>s</v>
      </c>
      <c r="OS6" s="10" t="str">
        <f t="shared" si="582"/>
        <v>t</v>
      </c>
      <c r="OT6" s="10" t="str">
        <f t="shared" si="582"/>
        <v>q</v>
      </c>
      <c r="OU6" s="10" t="str">
        <f t="shared" si="582"/>
        <v>q</v>
      </c>
      <c r="OV6" s="10" t="str">
        <f t="shared" si="582"/>
        <v>s</v>
      </c>
      <c r="OW6" s="10" t="str">
        <f t="shared" si="582"/>
        <v>s</v>
      </c>
      <c r="OX6" s="10" t="str">
        <f t="shared" si="582"/>
        <v>d</v>
      </c>
      <c r="OY6" s="10" t="str">
        <f t="shared" si="582"/>
        <v>s</v>
      </c>
      <c r="OZ6" s="10" t="str">
        <f t="shared" si="582"/>
        <v>t</v>
      </c>
      <c r="PA6" s="10" t="str">
        <f t="shared" si="582"/>
        <v>q</v>
      </c>
      <c r="PB6" s="10" t="str">
        <f t="shared" si="582"/>
        <v>q</v>
      </c>
      <c r="PC6" s="10" t="str">
        <f t="shared" si="582"/>
        <v>s</v>
      </c>
      <c r="PD6" s="10" t="str">
        <f t="shared" si="582"/>
        <v>s</v>
      </c>
      <c r="PE6" s="10" t="str">
        <f t="shared" si="582"/>
        <v>d</v>
      </c>
      <c r="PF6" s="10" t="str">
        <f t="shared" si="582"/>
        <v>s</v>
      </c>
      <c r="PG6" s="10" t="str">
        <f t="shared" si="582"/>
        <v>t</v>
      </c>
      <c r="PH6" s="10" t="str">
        <f t="shared" si="582"/>
        <v>q</v>
      </c>
      <c r="PI6" s="10" t="str">
        <f t="shared" si="582"/>
        <v>q</v>
      </c>
      <c r="PJ6" s="10" t="str">
        <f t="shared" si="582"/>
        <v>s</v>
      </c>
      <c r="PK6" s="10" t="str">
        <f t="shared" si="582"/>
        <v>s</v>
      </c>
      <c r="PL6" s="10" t="str">
        <f t="shared" si="582"/>
        <v>d</v>
      </c>
      <c r="PM6" s="10" t="str">
        <f t="shared" si="582"/>
        <v>s</v>
      </c>
      <c r="PN6" s="10" t="str">
        <f t="shared" si="582"/>
        <v>t</v>
      </c>
      <c r="PO6" s="10" t="str">
        <f t="shared" si="582"/>
        <v>q</v>
      </c>
      <c r="PP6" s="10" t="str">
        <f t="shared" si="582"/>
        <v>q</v>
      </c>
      <c r="PQ6" s="10" t="str">
        <f t="shared" si="582"/>
        <v>s</v>
      </c>
      <c r="PR6" s="10" t="str">
        <f t="shared" si="582"/>
        <v>s</v>
      </c>
      <c r="PS6" s="10" t="str">
        <f t="shared" si="582"/>
        <v>d</v>
      </c>
      <c r="PT6" s="10" t="str">
        <f t="shared" si="582"/>
        <v>s</v>
      </c>
      <c r="PU6" s="10" t="str">
        <f t="shared" si="582"/>
        <v>t</v>
      </c>
      <c r="PV6" s="10" t="str">
        <f t="shared" si="582"/>
        <v>q</v>
      </c>
      <c r="PW6" s="10" t="str">
        <f t="shared" si="582"/>
        <v>q</v>
      </c>
      <c r="PX6" s="10" t="str">
        <f t="shared" si="582"/>
        <v>s</v>
      </c>
      <c r="PY6" s="10" t="str">
        <f t="shared" si="582"/>
        <v>s</v>
      </c>
      <c r="PZ6" s="10" t="str">
        <f t="shared" si="582"/>
        <v>d</v>
      </c>
      <c r="QA6" s="10" t="str">
        <f t="shared" si="582"/>
        <v>s</v>
      </c>
      <c r="QB6" s="10" t="str">
        <f t="shared" si="582"/>
        <v>t</v>
      </c>
      <c r="QC6" s="10" t="str">
        <f t="shared" si="582"/>
        <v>q</v>
      </c>
      <c r="QD6" s="10" t="str">
        <f t="shared" si="582"/>
        <v>q</v>
      </c>
      <c r="QE6" s="10" t="str">
        <f t="shared" si="582"/>
        <v>s</v>
      </c>
      <c r="QF6" s="10" t="str">
        <f t="shared" si="582"/>
        <v>s</v>
      </c>
      <c r="QG6" s="10" t="str">
        <f t="shared" si="582"/>
        <v>d</v>
      </c>
      <c r="QH6" s="10" t="str">
        <f t="shared" si="582"/>
        <v>s</v>
      </c>
      <c r="QI6" s="10" t="str">
        <f t="shared" ref="QI6:ST6" si="583">LEFT(TEXT(QI5,"ddd"),1)</f>
        <v>t</v>
      </c>
      <c r="QJ6" s="10" t="str">
        <f t="shared" si="583"/>
        <v>q</v>
      </c>
      <c r="QK6" s="10" t="str">
        <f t="shared" si="583"/>
        <v>q</v>
      </c>
      <c r="QL6" s="10" t="str">
        <f t="shared" si="583"/>
        <v>s</v>
      </c>
      <c r="QM6" s="10" t="str">
        <f t="shared" si="583"/>
        <v>s</v>
      </c>
      <c r="QN6" s="10" t="str">
        <f t="shared" si="583"/>
        <v>d</v>
      </c>
      <c r="QO6" s="10" t="str">
        <f t="shared" si="583"/>
        <v>s</v>
      </c>
      <c r="QP6" s="10" t="str">
        <f t="shared" si="583"/>
        <v>t</v>
      </c>
      <c r="QQ6" s="10" t="str">
        <f t="shared" si="583"/>
        <v>q</v>
      </c>
      <c r="QR6" s="10" t="str">
        <f t="shared" si="583"/>
        <v>q</v>
      </c>
      <c r="QS6" s="10" t="str">
        <f t="shared" si="583"/>
        <v>s</v>
      </c>
      <c r="QT6" s="10" t="str">
        <f t="shared" si="583"/>
        <v>s</v>
      </c>
      <c r="QU6" s="10" t="str">
        <f t="shared" si="583"/>
        <v>d</v>
      </c>
      <c r="QV6" s="10" t="str">
        <f t="shared" si="583"/>
        <v>s</v>
      </c>
      <c r="QW6" s="10" t="str">
        <f t="shared" si="583"/>
        <v>t</v>
      </c>
      <c r="QX6" s="10" t="str">
        <f t="shared" si="583"/>
        <v>q</v>
      </c>
      <c r="QY6" s="10" t="str">
        <f t="shared" si="583"/>
        <v>q</v>
      </c>
      <c r="QZ6" s="10" t="str">
        <f t="shared" si="583"/>
        <v>s</v>
      </c>
      <c r="RA6" s="10" t="str">
        <f t="shared" si="583"/>
        <v>s</v>
      </c>
      <c r="RB6" s="10" t="str">
        <f t="shared" si="583"/>
        <v>d</v>
      </c>
      <c r="RC6" s="10" t="str">
        <f t="shared" si="583"/>
        <v>s</v>
      </c>
      <c r="RD6" s="10" t="str">
        <f t="shared" si="583"/>
        <v>t</v>
      </c>
      <c r="RE6" s="10" t="str">
        <f t="shared" si="583"/>
        <v>q</v>
      </c>
      <c r="RF6" s="10" t="str">
        <f t="shared" si="583"/>
        <v>q</v>
      </c>
      <c r="RG6" s="10" t="str">
        <f t="shared" si="583"/>
        <v>s</v>
      </c>
      <c r="RH6" s="10" t="str">
        <f t="shared" si="583"/>
        <v>s</v>
      </c>
      <c r="RI6" s="10" t="str">
        <f t="shared" si="583"/>
        <v>d</v>
      </c>
      <c r="RJ6" s="10" t="str">
        <f t="shared" si="583"/>
        <v>s</v>
      </c>
      <c r="RK6" s="10" t="str">
        <f t="shared" si="583"/>
        <v>t</v>
      </c>
      <c r="RL6" s="10" t="str">
        <f t="shared" si="583"/>
        <v>q</v>
      </c>
      <c r="RM6" s="10" t="str">
        <f t="shared" si="583"/>
        <v>q</v>
      </c>
      <c r="RN6" s="10" t="str">
        <f t="shared" si="583"/>
        <v>s</v>
      </c>
      <c r="RO6" s="10" t="str">
        <f t="shared" si="583"/>
        <v>s</v>
      </c>
      <c r="RP6" s="10" t="str">
        <f t="shared" si="583"/>
        <v>d</v>
      </c>
      <c r="RQ6" s="10" t="str">
        <f t="shared" si="583"/>
        <v>s</v>
      </c>
      <c r="RR6" s="10" t="str">
        <f t="shared" si="583"/>
        <v>t</v>
      </c>
      <c r="RS6" s="10" t="str">
        <f t="shared" si="583"/>
        <v>q</v>
      </c>
      <c r="RT6" s="10" t="str">
        <f t="shared" si="583"/>
        <v>q</v>
      </c>
      <c r="RU6" s="10" t="str">
        <f t="shared" si="583"/>
        <v>s</v>
      </c>
      <c r="RV6" s="10" t="str">
        <f t="shared" si="583"/>
        <v>s</v>
      </c>
      <c r="RW6" s="10" t="str">
        <f t="shared" si="583"/>
        <v>d</v>
      </c>
      <c r="RX6" s="10" t="str">
        <f t="shared" si="583"/>
        <v>s</v>
      </c>
      <c r="RY6" s="10" t="str">
        <f t="shared" si="583"/>
        <v>t</v>
      </c>
      <c r="RZ6" s="10" t="str">
        <f t="shared" si="583"/>
        <v>q</v>
      </c>
      <c r="SA6" s="10" t="str">
        <f t="shared" si="583"/>
        <v>q</v>
      </c>
      <c r="SB6" s="10" t="str">
        <f t="shared" si="583"/>
        <v>s</v>
      </c>
      <c r="SC6" s="10" t="str">
        <f t="shared" si="583"/>
        <v>s</v>
      </c>
      <c r="SD6" s="10" t="str">
        <f t="shared" si="583"/>
        <v>d</v>
      </c>
      <c r="SE6" s="10" t="str">
        <f t="shared" si="583"/>
        <v>s</v>
      </c>
      <c r="SF6" s="10" t="str">
        <f t="shared" si="583"/>
        <v>t</v>
      </c>
      <c r="SG6" s="10" t="str">
        <f t="shared" si="583"/>
        <v>q</v>
      </c>
      <c r="SH6" s="10" t="str">
        <f t="shared" si="583"/>
        <v>q</v>
      </c>
      <c r="SI6" s="10" t="str">
        <f t="shared" si="583"/>
        <v>s</v>
      </c>
      <c r="SJ6" s="10" t="str">
        <f t="shared" si="583"/>
        <v>s</v>
      </c>
      <c r="SK6" s="10" t="str">
        <f t="shared" si="583"/>
        <v>d</v>
      </c>
      <c r="SL6" s="10" t="str">
        <f t="shared" si="583"/>
        <v>s</v>
      </c>
      <c r="SM6" s="10" t="str">
        <f t="shared" si="583"/>
        <v>t</v>
      </c>
      <c r="SN6" s="10" t="str">
        <f t="shared" si="583"/>
        <v>q</v>
      </c>
      <c r="SO6" s="10" t="str">
        <f t="shared" si="583"/>
        <v>q</v>
      </c>
      <c r="SP6" s="10" t="str">
        <f t="shared" si="583"/>
        <v>s</v>
      </c>
      <c r="SQ6" s="10" t="str">
        <f t="shared" si="583"/>
        <v>s</v>
      </c>
      <c r="SR6" s="10" t="str">
        <f t="shared" si="583"/>
        <v>d</v>
      </c>
      <c r="SS6" s="10" t="str">
        <f t="shared" si="583"/>
        <v>s</v>
      </c>
      <c r="ST6" s="10" t="str">
        <f t="shared" si="583"/>
        <v>t</v>
      </c>
      <c r="SU6" s="10" t="str">
        <f t="shared" ref="SU6:VF6" si="584">LEFT(TEXT(SU5,"ddd"),1)</f>
        <v>q</v>
      </c>
      <c r="SV6" s="10" t="str">
        <f t="shared" si="584"/>
        <v>q</v>
      </c>
      <c r="SW6" s="10" t="str">
        <f t="shared" si="584"/>
        <v>s</v>
      </c>
      <c r="SX6" s="10" t="str">
        <f t="shared" si="584"/>
        <v>s</v>
      </c>
      <c r="SY6" s="10" t="str">
        <f t="shared" si="584"/>
        <v>d</v>
      </c>
      <c r="SZ6" s="10" t="str">
        <f t="shared" si="584"/>
        <v>s</v>
      </c>
      <c r="TA6" s="10" t="str">
        <f t="shared" si="584"/>
        <v>t</v>
      </c>
      <c r="TB6" s="10" t="str">
        <f t="shared" si="584"/>
        <v>q</v>
      </c>
      <c r="TC6" s="10" t="str">
        <f t="shared" si="584"/>
        <v>q</v>
      </c>
      <c r="TD6" s="10" t="str">
        <f t="shared" si="584"/>
        <v>s</v>
      </c>
      <c r="TE6" s="10" t="str">
        <f t="shared" si="584"/>
        <v>s</v>
      </c>
      <c r="TF6" s="10" t="str">
        <f t="shared" si="584"/>
        <v>d</v>
      </c>
      <c r="TG6" s="10" t="str">
        <f t="shared" si="584"/>
        <v>s</v>
      </c>
      <c r="TH6" s="10" t="str">
        <f t="shared" si="584"/>
        <v>t</v>
      </c>
      <c r="TI6" s="10" t="str">
        <f t="shared" si="584"/>
        <v>q</v>
      </c>
      <c r="TJ6" s="10" t="str">
        <f t="shared" si="584"/>
        <v>q</v>
      </c>
      <c r="TK6" s="10" t="str">
        <f t="shared" si="584"/>
        <v>s</v>
      </c>
      <c r="TL6" s="10" t="str">
        <f t="shared" si="584"/>
        <v>s</v>
      </c>
      <c r="TM6" s="10" t="str">
        <f t="shared" si="584"/>
        <v>d</v>
      </c>
      <c r="TN6" s="10" t="str">
        <f t="shared" si="584"/>
        <v>s</v>
      </c>
      <c r="TO6" s="10" t="str">
        <f t="shared" si="584"/>
        <v>t</v>
      </c>
      <c r="TP6" s="10" t="str">
        <f t="shared" si="584"/>
        <v>q</v>
      </c>
      <c r="TQ6" s="10" t="str">
        <f t="shared" si="584"/>
        <v>q</v>
      </c>
      <c r="TR6" s="10" t="str">
        <f t="shared" si="584"/>
        <v>s</v>
      </c>
      <c r="TS6" s="10" t="str">
        <f t="shared" si="584"/>
        <v>s</v>
      </c>
      <c r="TT6" s="10" t="str">
        <f t="shared" si="584"/>
        <v>d</v>
      </c>
      <c r="TU6" s="10" t="str">
        <f t="shared" si="584"/>
        <v>s</v>
      </c>
      <c r="TV6" s="10" t="str">
        <f t="shared" si="584"/>
        <v>t</v>
      </c>
      <c r="TW6" s="10" t="str">
        <f t="shared" si="584"/>
        <v>q</v>
      </c>
      <c r="TX6" s="10" t="str">
        <f t="shared" si="584"/>
        <v>q</v>
      </c>
      <c r="TY6" s="10" t="str">
        <f t="shared" si="584"/>
        <v>s</v>
      </c>
      <c r="TZ6" s="10" t="str">
        <f t="shared" si="584"/>
        <v>s</v>
      </c>
      <c r="UA6" s="10" t="str">
        <f t="shared" si="584"/>
        <v>d</v>
      </c>
      <c r="UB6" s="10" t="str">
        <f t="shared" si="584"/>
        <v>s</v>
      </c>
      <c r="UC6" s="10" t="str">
        <f t="shared" si="584"/>
        <v>t</v>
      </c>
      <c r="UD6" s="10" t="str">
        <f t="shared" si="584"/>
        <v>q</v>
      </c>
      <c r="UE6" s="10" t="str">
        <f t="shared" si="584"/>
        <v>q</v>
      </c>
      <c r="UF6" s="10" t="str">
        <f t="shared" si="584"/>
        <v>s</v>
      </c>
      <c r="UG6" s="10" t="str">
        <f t="shared" si="584"/>
        <v>s</v>
      </c>
      <c r="UH6" s="10" t="str">
        <f t="shared" si="584"/>
        <v>d</v>
      </c>
      <c r="UI6" s="10" t="str">
        <f t="shared" si="584"/>
        <v>s</v>
      </c>
      <c r="UJ6" s="10" t="str">
        <f t="shared" si="584"/>
        <v>t</v>
      </c>
      <c r="UK6" s="10" t="str">
        <f t="shared" si="584"/>
        <v>q</v>
      </c>
      <c r="UL6" s="10" t="str">
        <f t="shared" si="584"/>
        <v>q</v>
      </c>
      <c r="UM6" s="10" t="str">
        <f t="shared" si="584"/>
        <v>s</v>
      </c>
      <c r="UN6" s="10" t="str">
        <f t="shared" si="584"/>
        <v>s</v>
      </c>
      <c r="UO6" s="10" t="str">
        <f t="shared" si="584"/>
        <v>d</v>
      </c>
      <c r="UP6" s="10" t="str">
        <f t="shared" si="584"/>
        <v>s</v>
      </c>
      <c r="UQ6" s="10" t="str">
        <f t="shared" si="584"/>
        <v>t</v>
      </c>
      <c r="UR6" s="10" t="str">
        <f t="shared" si="584"/>
        <v>q</v>
      </c>
      <c r="US6" s="10" t="str">
        <f t="shared" si="584"/>
        <v>q</v>
      </c>
      <c r="UT6" s="10" t="str">
        <f t="shared" si="584"/>
        <v>s</v>
      </c>
      <c r="UU6" s="10" t="str">
        <f t="shared" si="584"/>
        <v>s</v>
      </c>
      <c r="UV6" s="10" t="str">
        <f t="shared" si="584"/>
        <v>d</v>
      </c>
      <c r="UW6" s="10" t="str">
        <f t="shared" si="584"/>
        <v>s</v>
      </c>
      <c r="UX6" s="10" t="str">
        <f t="shared" si="584"/>
        <v>t</v>
      </c>
      <c r="UY6" s="10" t="str">
        <f t="shared" si="584"/>
        <v>q</v>
      </c>
      <c r="UZ6" s="10" t="str">
        <f t="shared" si="584"/>
        <v>q</v>
      </c>
      <c r="VA6" s="10" t="str">
        <f t="shared" si="584"/>
        <v>s</v>
      </c>
      <c r="VB6" s="10" t="str">
        <f t="shared" si="584"/>
        <v>s</v>
      </c>
      <c r="VC6" s="10" t="str">
        <f t="shared" si="584"/>
        <v>d</v>
      </c>
      <c r="VD6" s="10" t="str">
        <f t="shared" si="584"/>
        <v>s</v>
      </c>
      <c r="VE6" s="10" t="str">
        <f t="shared" si="584"/>
        <v>t</v>
      </c>
      <c r="VF6" s="10" t="str">
        <f t="shared" si="584"/>
        <v>q</v>
      </c>
      <c r="VG6" s="10" t="str">
        <f t="shared" ref="VG6:WS6" si="585">LEFT(TEXT(VG5,"ddd"),1)</f>
        <v>q</v>
      </c>
      <c r="VH6" s="10" t="str">
        <f t="shared" si="585"/>
        <v>s</v>
      </c>
      <c r="VI6" s="10" t="str">
        <f t="shared" si="585"/>
        <v>s</v>
      </c>
      <c r="VJ6" s="10" t="str">
        <f t="shared" si="585"/>
        <v>d</v>
      </c>
      <c r="VK6" s="10" t="str">
        <f t="shared" si="585"/>
        <v>s</v>
      </c>
      <c r="VL6" s="10" t="str">
        <f t="shared" si="585"/>
        <v>t</v>
      </c>
      <c r="VM6" s="10" t="str">
        <f t="shared" si="585"/>
        <v>q</v>
      </c>
      <c r="VN6" s="10" t="str">
        <f t="shared" si="585"/>
        <v>q</v>
      </c>
      <c r="VO6" s="10" t="str">
        <f t="shared" si="585"/>
        <v>s</v>
      </c>
      <c r="VP6" s="10" t="str">
        <f t="shared" si="585"/>
        <v>s</v>
      </c>
      <c r="VQ6" s="10" t="str">
        <f t="shared" si="585"/>
        <v>d</v>
      </c>
      <c r="VR6" s="10" t="str">
        <f t="shared" si="585"/>
        <v>s</v>
      </c>
      <c r="VS6" s="10" t="str">
        <f t="shared" si="585"/>
        <v>t</v>
      </c>
      <c r="VT6" s="10" t="str">
        <f t="shared" si="585"/>
        <v>q</v>
      </c>
      <c r="VU6" s="10" t="str">
        <f t="shared" si="585"/>
        <v>q</v>
      </c>
      <c r="VV6" s="10" t="str">
        <f t="shared" si="585"/>
        <v>s</v>
      </c>
      <c r="VW6" s="10" t="str">
        <f t="shared" si="585"/>
        <v>s</v>
      </c>
      <c r="VX6" s="10" t="str">
        <f t="shared" si="585"/>
        <v>d</v>
      </c>
      <c r="VY6" s="10" t="str">
        <f t="shared" si="585"/>
        <v>s</v>
      </c>
      <c r="VZ6" s="10" t="str">
        <f t="shared" si="585"/>
        <v>t</v>
      </c>
      <c r="WA6" s="10" t="str">
        <f t="shared" si="585"/>
        <v>q</v>
      </c>
      <c r="WB6" s="10" t="str">
        <f t="shared" si="585"/>
        <v>q</v>
      </c>
      <c r="WC6" s="10" t="str">
        <f t="shared" si="585"/>
        <v>s</v>
      </c>
      <c r="WD6" s="10" t="str">
        <f t="shared" si="585"/>
        <v>s</v>
      </c>
      <c r="WE6" s="10" t="str">
        <f t="shared" si="585"/>
        <v>d</v>
      </c>
      <c r="WF6" s="10" t="str">
        <f t="shared" si="585"/>
        <v>s</v>
      </c>
      <c r="WG6" s="10" t="str">
        <f t="shared" si="585"/>
        <v>t</v>
      </c>
      <c r="WH6" s="10" t="str">
        <f t="shared" si="585"/>
        <v>q</v>
      </c>
      <c r="WI6" s="10" t="str">
        <f t="shared" si="585"/>
        <v>q</v>
      </c>
      <c r="WJ6" s="10" t="str">
        <f t="shared" si="585"/>
        <v>s</v>
      </c>
      <c r="WK6" s="10" t="str">
        <f t="shared" si="585"/>
        <v>s</v>
      </c>
      <c r="WL6" s="10" t="str">
        <f t="shared" si="585"/>
        <v>d</v>
      </c>
      <c r="WM6" s="10" t="str">
        <f t="shared" si="585"/>
        <v>s</v>
      </c>
      <c r="WN6" s="10" t="str">
        <f t="shared" si="585"/>
        <v>t</v>
      </c>
      <c r="WO6" s="10" t="str">
        <f t="shared" si="585"/>
        <v>q</v>
      </c>
      <c r="WP6" s="10" t="str">
        <f t="shared" si="585"/>
        <v>q</v>
      </c>
      <c r="WQ6" s="10" t="str">
        <f t="shared" si="585"/>
        <v>s</v>
      </c>
      <c r="WR6" s="10" t="str">
        <f t="shared" si="585"/>
        <v>s</v>
      </c>
      <c r="WS6" s="10" t="str">
        <f t="shared" si="585"/>
        <v>d</v>
      </c>
    </row>
    <row r="7" spans="1:617" ht="15" thickBot="1">
      <c r="A7" s="33" t="s">
        <v>214</v>
      </c>
      <c r="C7" s="136"/>
      <c r="G7" t="str">
        <f ca="1">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617" ht="15.95" thickBot="1">
      <c r="A8" s="33"/>
      <c r="B8" s="236" t="s">
        <v>215</v>
      </c>
      <c r="C8" s="236"/>
      <c r="D8" s="236"/>
      <c r="E8" s="236"/>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c r="MM8" s="29"/>
      <c r="MN8" s="29"/>
      <c r="MO8" s="29"/>
      <c r="MP8" s="29"/>
      <c r="MQ8" s="29"/>
      <c r="MR8" s="29"/>
      <c r="MS8" s="29"/>
      <c r="MT8" s="29"/>
      <c r="MU8" s="29"/>
      <c r="MV8" s="29"/>
      <c r="MW8" s="29"/>
      <c r="MX8" s="29"/>
      <c r="MY8" s="29"/>
      <c r="MZ8" s="29"/>
      <c r="NA8" s="29"/>
      <c r="NB8" s="29"/>
      <c r="NC8" s="29"/>
      <c r="ND8" s="29"/>
      <c r="NE8" s="29"/>
      <c r="NF8" s="29"/>
      <c r="NG8" s="29"/>
      <c r="NH8" s="29"/>
      <c r="NI8" s="29"/>
      <c r="NJ8" s="29"/>
      <c r="NK8" s="29"/>
      <c r="NL8" s="29"/>
      <c r="NM8" s="29"/>
      <c r="NN8" s="29"/>
      <c r="NO8" s="29"/>
      <c r="NP8" s="29"/>
      <c r="NQ8" s="29"/>
      <c r="NR8" s="29"/>
      <c r="NS8" s="29"/>
      <c r="NT8" s="29"/>
      <c r="NU8" s="29"/>
      <c r="NV8" s="29"/>
      <c r="NW8" s="29"/>
      <c r="NX8" s="29"/>
      <c r="NY8" s="29"/>
      <c r="NZ8" s="29"/>
      <c r="OA8" s="29"/>
      <c r="OB8" s="29"/>
      <c r="OC8" s="29"/>
      <c r="OD8" s="29"/>
      <c r="OE8" s="29"/>
      <c r="OF8" s="29"/>
      <c r="OG8" s="29"/>
      <c r="OH8" s="29"/>
      <c r="OI8" s="29"/>
      <c r="OJ8" s="29"/>
      <c r="OK8" s="29"/>
      <c r="OL8" s="29"/>
      <c r="OM8" s="29"/>
      <c r="ON8" s="29"/>
      <c r="OO8" s="29"/>
      <c r="OP8" s="29"/>
      <c r="OQ8" s="29"/>
      <c r="OR8" s="29"/>
      <c r="OS8" s="29"/>
      <c r="OT8" s="29"/>
      <c r="OU8" s="29"/>
      <c r="OV8" s="29"/>
      <c r="OW8" s="29"/>
      <c r="OX8" s="29"/>
      <c r="OY8" s="29"/>
      <c r="OZ8" s="29"/>
      <c r="PA8" s="29"/>
      <c r="PB8" s="29"/>
      <c r="PC8" s="29"/>
      <c r="PD8" s="29"/>
      <c r="PE8" s="29"/>
      <c r="PF8" s="29"/>
      <c r="PG8" s="29"/>
      <c r="PH8" s="29"/>
      <c r="PI8" s="29"/>
      <c r="PJ8" s="29"/>
      <c r="PK8" s="29"/>
      <c r="PL8" s="29"/>
      <c r="PM8" s="29"/>
      <c r="PN8" s="29"/>
      <c r="PO8" s="29"/>
      <c r="PP8" s="29"/>
      <c r="PQ8" s="29"/>
      <c r="PR8" s="29"/>
      <c r="PS8" s="29"/>
      <c r="PT8" s="29"/>
      <c r="PU8" s="29"/>
      <c r="PV8" s="29"/>
      <c r="PW8" s="29"/>
      <c r="PX8" s="29"/>
      <c r="PY8" s="29"/>
      <c r="PZ8" s="29"/>
      <c r="QA8" s="29"/>
      <c r="QB8" s="29"/>
      <c r="QC8" s="29"/>
      <c r="QD8" s="29"/>
      <c r="QE8" s="29"/>
      <c r="QF8" s="29"/>
      <c r="QG8" s="29"/>
      <c r="QH8" s="29"/>
      <c r="QI8" s="29"/>
      <c r="QJ8" s="29"/>
      <c r="QK8" s="29"/>
      <c r="QL8" s="29"/>
      <c r="QM8" s="29"/>
      <c r="QN8" s="29"/>
      <c r="QO8" s="29"/>
      <c r="QP8" s="29"/>
      <c r="QQ8" s="29"/>
      <c r="QR8" s="29"/>
      <c r="QS8" s="29"/>
      <c r="QT8" s="29"/>
      <c r="QU8" s="29"/>
      <c r="QV8" s="29"/>
      <c r="QW8" s="29"/>
      <c r="QX8" s="29"/>
      <c r="QY8" s="29"/>
      <c r="QZ8" s="29"/>
      <c r="RA8" s="29"/>
      <c r="RB8" s="29"/>
      <c r="RC8" s="29"/>
      <c r="RD8" s="29"/>
      <c r="RE8" s="29"/>
      <c r="RF8" s="29"/>
      <c r="RG8" s="29"/>
      <c r="RH8" s="29"/>
      <c r="RI8" s="29"/>
      <c r="RJ8" s="29"/>
      <c r="RK8" s="29"/>
      <c r="RL8" s="29"/>
      <c r="RM8" s="29"/>
      <c r="RN8" s="29"/>
      <c r="RO8" s="29"/>
      <c r="RP8" s="29"/>
      <c r="RQ8" s="29"/>
      <c r="RR8" s="29"/>
      <c r="RS8" s="29"/>
      <c r="RT8" s="29"/>
      <c r="RU8" s="29"/>
      <c r="RV8" s="29"/>
      <c r="RW8" s="29"/>
      <c r="RX8" s="29"/>
      <c r="RY8" s="29"/>
      <c r="RZ8" s="29"/>
      <c r="SA8" s="29"/>
      <c r="SB8" s="29"/>
      <c r="SC8" s="29"/>
      <c r="SD8" s="29"/>
      <c r="SE8" s="29"/>
      <c r="SF8" s="29"/>
      <c r="SG8" s="29"/>
      <c r="SH8" s="29"/>
      <c r="SI8" s="29"/>
      <c r="SJ8" s="29"/>
      <c r="SK8" s="29"/>
      <c r="SL8" s="29"/>
      <c r="SM8" s="29"/>
      <c r="SN8" s="29"/>
      <c r="SO8" s="29"/>
      <c r="SP8" s="29"/>
      <c r="SQ8" s="29"/>
      <c r="SR8" s="29"/>
      <c r="SS8" s="29"/>
      <c r="ST8" s="29"/>
      <c r="SU8" s="29"/>
      <c r="SV8" s="29"/>
      <c r="SW8" s="29"/>
      <c r="SX8" s="29"/>
      <c r="SY8" s="29"/>
      <c r="SZ8" s="29"/>
      <c r="TA8" s="29"/>
      <c r="TB8" s="29"/>
      <c r="TC8" s="29"/>
      <c r="TD8" s="29"/>
      <c r="TE8" s="29"/>
      <c r="TF8" s="29"/>
      <c r="TG8" s="29"/>
      <c r="TH8" s="29"/>
      <c r="TI8" s="29"/>
      <c r="TJ8" s="29"/>
      <c r="TK8" s="29"/>
      <c r="TL8" s="29"/>
      <c r="TM8" s="29"/>
      <c r="TN8" s="29"/>
      <c r="TO8" s="29"/>
      <c r="TP8" s="29"/>
      <c r="TQ8" s="29"/>
      <c r="TR8" s="29"/>
      <c r="TS8" s="29"/>
      <c r="TT8" s="29"/>
      <c r="TU8" s="29"/>
      <c r="TV8" s="29"/>
      <c r="TW8" s="29"/>
      <c r="TX8" s="29"/>
      <c r="TY8" s="29"/>
      <c r="TZ8" s="29"/>
      <c r="UA8" s="29"/>
      <c r="UB8" s="29"/>
      <c r="UC8" s="29"/>
      <c r="UD8" s="29"/>
      <c r="UE8" s="29"/>
      <c r="UF8" s="29"/>
      <c r="UG8" s="29"/>
      <c r="UH8" s="29"/>
      <c r="UI8" s="29"/>
      <c r="UJ8" s="29"/>
      <c r="UK8" s="29"/>
      <c r="UL8" s="29"/>
      <c r="UM8" s="29"/>
      <c r="UN8" s="29"/>
      <c r="UO8" s="29"/>
      <c r="UP8" s="29"/>
      <c r="UQ8" s="29"/>
      <c r="UR8" s="29"/>
      <c r="US8" s="29"/>
      <c r="UT8" s="29"/>
      <c r="UU8" s="29"/>
      <c r="UV8" s="29"/>
      <c r="UW8" s="29"/>
      <c r="UX8" s="29"/>
      <c r="UY8" s="29"/>
      <c r="UZ8" s="29"/>
      <c r="VA8" s="29"/>
      <c r="VB8" s="29"/>
      <c r="VC8" s="29"/>
      <c r="VD8" s="29"/>
      <c r="VE8" s="29"/>
      <c r="VF8" s="29"/>
      <c r="VG8" s="29"/>
      <c r="VH8" s="29"/>
      <c r="VI8" s="29"/>
      <c r="VJ8" s="29"/>
      <c r="VK8" s="29"/>
      <c r="VL8" s="29"/>
      <c r="VM8" s="29"/>
      <c r="VN8" s="29"/>
      <c r="VO8" s="29"/>
      <c r="VP8" s="29"/>
      <c r="VQ8" s="29"/>
      <c r="VR8" s="29"/>
      <c r="VS8" s="29"/>
      <c r="VT8" s="29"/>
      <c r="VU8" s="29"/>
      <c r="VV8" s="29"/>
      <c r="VW8" s="29"/>
      <c r="VX8" s="29"/>
      <c r="VY8" s="29"/>
      <c r="VZ8" s="29"/>
      <c r="WA8" s="29"/>
      <c r="WB8" s="29"/>
      <c r="WC8" s="29"/>
      <c r="WD8" s="29"/>
      <c r="WE8" s="29"/>
      <c r="WF8" s="29"/>
      <c r="WG8" s="29"/>
      <c r="WH8" s="29"/>
      <c r="WI8" s="29"/>
      <c r="WJ8" s="29"/>
      <c r="WK8" s="29"/>
      <c r="WL8" s="29"/>
      <c r="WM8" s="29"/>
      <c r="WN8" s="29"/>
      <c r="WO8" s="29"/>
      <c r="WP8" s="29"/>
      <c r="WQ8" s="29"/>
      <c r="WR8" s="29"/>
      <c r="WS8" s="29"/>
    </row>
    <row r="9" spans="1:617" s="3" customFormat="1" ht="11.85" customHeight="1" outlineLevel="1" thickBot="1">
      <c r="A9" s="34" t="s">
        <v>216</v>
      </c>
      <c r="B9" s="233" t="s">
        <v>217</v>
      </c>
      <c r="C9" s="233"/>
      <c r="D9" s="233"/>
      <c r="E9" s="233"/>
      <c r="F9" s="14"/>
      <c r="G9" s="14" t="str">
        <f t="shared" ref="G9:G206" ca="1" si="586">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c r="MM9" s="29"/>
      <c r="MN9" s="29"/>
      <c r="MO9" s="29"/>
      <c r="MP9" s="29"/>
      <c r="MQ9" s="29"/>
      <c r="MR9" s="29"/>
      <c r="MS9" s="29"/>
      <c r="MT9" s="29"/>
      <c r="MU9" s="29"/>
      <c r="MV9" s="29"/>
      <c r="MW9" s="29"/>
      <c r="MX9" s="29"/>
      <c r="MY9" s="29"/>
      <c r="MZ9" s="29"/>
      <c r="NA9" s="29"/>
      <c r="NB9" s="29"/>
      <c r="NC9" s="29"/>
      <c r="ND9" s="29"/>
      <c r="NE9" s="29"/>
      <c r="NF9" s="29"/>
      <c r="NG9" s="29"/>
      <c r="NH9" s="29"/>
      <c r="NI9" s="29"/>
      <c r="NJ9" s="29"/>
      <c r="NK9" s="29"/>
      <c r="NL9" s="29"/>
      <c r="NM9" s="29"/>
      <c r="NN9" s="29"/>
      <c r="NO9" s="29"/>
      <c r="NP9" s="29"/>
      <c r="NQ9" s="29"/>
      <c r="NR9" s="29"/>
      <c r="NS9" s="29"/>
      <c r="NT9" s="29"/>
      <c r="NU9" s="29"/>
      <c r="NV9" s="29"/>
      <c r="NW9" s="29"/>
      <c r="NX9" s="29"/>
      <c r="NY9" s="29"/>
      <c r="NZ9" s="29"/>
      <c r="OA9" s="29"/>
      <c r="OB9" s="29"/>
      <c r="OC9" s="29"/>
      <c r="OD9" s="29"/>
      <c r="OE9" s="29"/>
      <c r="OF9" s="29"/>
      <c r="OG9" s="29"/>
      <c r="OH9" s="29"/>
      <c r="OI9" s="29"/>
      <c r="OJ9" s="29"/>
      <c r="OK9" s="29"/>
      <c r="OL9" s="29"/>
      <c r="OM9" s="29"/>
      <c r="ON9" s="29"/>
      <c r="OO9" s="29"/>
      <c r="OP9" s="29"/>
      <c r="OQ9" s="29"/>
      <c r="OR9" s="29"/>
      <c r="OS9" s="29"/>
      <c r="OT9" s="29"/>
      <c r="OU9" s="29"/>
      <c r="OV9" s="29"/>
      <c r="OW9" s="29"/>
      <c r="OX9" s="29"/>
      <c r="OY9" s="29"/>
      <c r="OZ9" s="29"/>
      <c r="PA9" s="29"/>
      <c r="PB9" s="29"/>
      <c r="PC9" s="29"/>
      <c r="PD9" s="29"/>
      <c r="PE9" s="29"/>
      <c r="PF9" s="29"/>
      <c r="PG9" s="29"/>
      <c r="PH9" s="29"/>
      <c r="PI9" s="29"/>
      <c r="PJ9" s="29"/>
      <c r="PK9" s="29"/>
      <c r="PL9" s="29"/>
      <c r="PM9" s="29"/>
      <c r="PN9" s="29"/>
      <c r="PO9" s="29"/>
      <c r="PP9" s="29"/>
      <c r="PQ9" s="29"/>
      <c r="PR9" s="29"/>
      <c r="PS9" s="29"/>
      <c r="PT9" s="29"/>
      <c r="PU9" s="29"/>
      <c r="PV9" s="29"/>
      <c r="PW9" s="29"/>
      <c r="PX9" s="29"/>
      <c r="PY9" s="29"/>
      <c r="PZ9" s="29"/>
      <c r="QA9" s="29"/>
      <c r="QB9" s="29"/>
      <c r="QC9" s="29"/>
      <c r="QD9" s="29"/>
      <c r="QE9" s="29"/>
      <c r="QF9" s="29"/>
      <c r="QG9" s="29"/>
      <c r="QH9" s="29"/>
      <c r="QI9" s="29"/>
      <c r="QJ9" s="29"/>
      <c r="QK9" s="29"/>
      <c r="QL9" s="29"/>
      <c r="QM9" s="29"/>
      <c r="QN9" s="29"/>
      <c r="QO9" s="29"/>
      <c r="QP9" s="29"/>
      <c r="QQ9" s="29"/>
      <c r="QR9" s="29"/>
      <c r="QS9" s="29"/>
      <c r="QT9" s="29"/>
      <c r="QU9" s="29"/>
      <c r="QV9" s="29"/>
      <c r="QW9" s="29"/>
      <c r="QX9" s="29"/>
      <c r="QY9" s="29"/>
      <c r="QZ9" s="29"/>
      <c r="RA9" s="29"/>
      <c r="RB9" s="29"/>
      <c r="RC9" s="29"/>
      <c r="RD9" s="29"/>
      <c r="RE9" s="29"/>
      <c r="RF9" s="29"/>
      <c r="RG9" s="29"/>
      <c r="RH9" s="29"/>
      <c r="RI9" s="29"/>
      <c r="RJ9" s="29"/>
      <c r="RK9" s="29"/>
      <c r="RL9" s="29"/>
      <c r="RM9" s="29"/>
      <c r="RN9" s="29"/>
      <c r="RO9" s="29"/>
      <c r="RP9" s="29"/>
      <c r="RQ9" s="29"/>
      <c r="RR9" s="29"/>
      <c r="RS9" s="29"/>
      <c r="RT9" s="29"/>
      <c r="RU9" s="29"/>
      <c r="RV9" s="29"/>
      <c r="RW9" s="29"/>
      <c r="RX9" s="29"/>
      <c r="RY9" s="29"/>
      <c r="RZ9" s="29"/>
      <c r="SA9" s="29"/>
      <c r="SB9" s="29"/>
      <c r="SC9" s="29"/>
      <c r="SD9" s="29"/>
      <c r="SE9" s="29"/>
      <c r="SF9" s="29"/>
      <c r="SG9" s="29"/>
      <c r="SH9" s="29"/>
      <c r="SI9" s="29"/>
      <c r="SJ9" s="29"/>
      <c r="SK9" s="29"/>
      <c r="SL9" s="29"/>
      <c r="SM9" s="29"/>
      <c r="SN9" s="29"/>
      <c r="SO9" s="29"/>
      <c r="SP9" s="29"/>
      <c r="SQ9" s="29"/>
      <c r="SR9" s="29"/>
      <c r="SS9" s="29"/>
      <c r="ST9" s="29"/>
      <c r="SU9" s="29"/>
      <c r="SV9" s="29"/>
      <c r="SW9" s="29"/>
      <c r="SX9" s="29"/>
      <c r="SY9" s="29"/>
      <c r="SZ9" s="29"/>
      <c r="TA9" s="29"/>
      <c r="TB9" s="29"/>
      <c r="TC9" s="29"/>
      <c r="TD9" s="29"/>
      <c r="TE9" s="29"/>
      <c r="TF9" s="29"/>
      <c r="TG9" s="29"/>
      <c r="TH9" s="29"/>
      <c r="TI9" s="29"/>
      <c r="TJ9" s="29"/>
      <c r="TK9" s="29"/>
      <c r="TL9" s="29"/>
      <c r="TM9" s="29"/>
      <c r="TN9" s="29"/>
      <c r="TO9" s="29"/>
      <c r="TP9" s="29"/>
      <c r="TQ9" s="29"/>
      <c r="TR9" s="29"/>
      <c r="TS9" s="29"/>
      <c r="TT9" s="29"/>
      <c r="TU9" s="29"/>
      <c r="TV9" s="29"/>
      <c r="TW9" s="29"/>
      <c r="TX9" s="29"/>
      <c r="TY9" s="29"/>
      <c r="TZ9" s="29"/>
      <c r="UA9" s="29"/>
      <c r="UB9" s="29"/>
      <c r="UC9" s="29"/>
      <c r="UD9" s="29"/>
      <c r="UE9" s="29"/>
      <c r="UF9" s="29"/>
      <c r="UG9" s="29"/>
      <c r="UH9" s="29"/>
      <c r="UI9" s="29"/>
      <c r="UJ9" s="29"/>
      <c r="UK9" s="29"/>
      <c r="UL9" s="29"/>
      <c r="UM9" s="29"/>
      <c r="UN9" s="29"/>
      <c r="UO9" s="29"/>
      <c r="UP9" s="29"/>
      <c r="UQ9" s="29"/>
      <c r="UR9" s="29"/>
      <c r="US9" s="29"/>
      <c r="UT9" s="29"/>
      <c r="UU9" s="29"/>
      <c r="UV9" s="29"/>
      <c r="UW9" s="29"/>
      <c r="UX9" s="29"/>
      <c r="UY9" s="29"/>
      <c r="UZ9" s="29"/>
      <c r="VA9" s="29"/>
      <c r="VB9" s="29"/>
      <c r="VC9" s="29"/>
      <c r="VD9" s="29"/>
      <c r="VE9" s="29"/>
      <c r="VF9" s="29"/>
      <c r="VG9" s="29"/>
      <c r="VH9" s="29"/>
      <c r="VI9" s="29"/>
      <c r="VJ9" s="29"/>
      <c r="VK9" s="29"/>
      <c r="VL9" s="29"/>
      <c r="VM9" s="29"/>
      <c r="VN9" s="29"/>
      <c r="VO9" s="29"/>
      <c r="VP9" s="29"/>
      <c r="VQ9" s="29"/>
      <c r="VR9" s="29"/>
      <c r="VS9" s="29"/>
      <c r="VT9" s="29"/>
      <c r="VU9" s="29"/>
      <c r="VV9" s="29"/>
      <c r="VW9" s="29"/>
      <c r="VX9" s="29"/>
      <c r="VY9" s="29"/>
      <c r="VZ9" s="29"/>
      <c r="WA9" s="29"/>
      <c r="WB9" s="29"/>
      <c r="WC9" s="29"/>
      <c r="WD9" s="29"/>
      <c r="WE9" s="29"/>
      <c r="WF9" s="29"/>
      <c r="WG9" s="29"/>
      <c r="WH9" s="29"/>
      <c r="WI9" s="29"/>
      <c r="WJ9" s="29"/>
      <c r="WK9" s="29"/>
      <c r="WL9" s="29"/>
      <c r="WM9" s="29"/>
      <c r="WN9" s="29"/>
      <c r="WO9" s="29"/>
      <c r="WP9" s="29"/>
      <c r="WQ9" s="29"/>
      <c r="WR9" s="29"/>
      <c r="WS9" s="29"/>
    </row>
    <row r="10" spans="1:617" s="3" customFormat="1" ht="12.6" customHeight="1" outlineLevel="1" thickBot="1">
      <c r="A10" s="34" t="s">
        <v>218</v>
      </c>
      <c r="B10" s="177"/>
      <c r="C10" s="178" t="s">
        <v>119</v>
      </c>
      <c r="D10" s="179">
        <v>45691</v>
      </c>
      <c r="E10" s="179">
        <f t="shared" ref="E10:E25" si="587">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c r="MN10" s="29"/>
      <c r="MO10" s="29"/>
      <c r="MP10" s="29"/>
      <c r="MQ10" s="29"/>
      <c r="MR10" s="29"/>
      <c r="MS10" s="29"/>
      <c r="MT10" s="29"/>
      <c r="MU10" s="29"/>
      <c r="MV10" s="29"/>
      <c r="MW10" s="29"/>
      <c r="MX10" s="29"/>
      <c r="MY10" s="29"/>
      <c r="MZ10" s="29"/>
      <c r="NA10" s="29"/>
      <c r="NB10" s="29"/>
      <c r="NC10" s="29"/>
      <c r="ND10" s="29"/>
      <c r="NE10" s="29"/>
      <c r="NF10" s="29"/>
      <c r="NG10" s="29"/>
      <c r="NH10" s="29"/>
      <c r="NI10" s="29"/>
      <c r="NJ10" s="29"/>
      <c r="NK10" s="29"/>
      <c r="NL10" s="29"/>
      <c r="NM10" s="29"/>
      <c r="NN10" s="29"/>
      <c r="NO10" s="29"/>
      <c r="NP10" s="29"/>
      <c r="NQ10" s="29"/>
      <c r="NR10" s="29"/>
      <c r="NS10" s="29"/>
      <c r="NT10" s="29"/>
      <c r="NU10" s="29"/>
      <c r="NV10" s="29"/>
      <c r="NW10" s="29"/>
      <c r="NX10" s="29"/>
      <c r="NY10" s="29"/>
      <c r="NZ10" s="29"/>
      <c r="OA10" s="29"/>
      <c r="OB10" s="29"/>
      <c r="OC10" s="29"/>
      <c r="OD10" s="29"/>
      <c r="OE10" s="29"/>
      <c r="OF10" s="29"/>
      <c r="OG10" s="29"/>
      <c r="OH10" s="29"/>
      <c r="OI10" s="29"/>
      <c r="OJ10" s="29"/>
      <c r="OK10" s="29"/>
      <c r="OL10" s="29"/>
      <c r="OM10" s="29"/>
      <c r="ON10" s="29"/>
      <c r="OO10" s="29"/>
      <c r="OP10" s="29"/>
      <c r="OQ10" s="29"/>
      <c r="OR10" s="29"/>
      <c r="OS10" s="29"/>
      <c r="OT10" s="29"/>
      <c r="OU10" s="29"/>
      <c r="OV10" s="29"/>
      <c r="OW10" s="29"/>
      <c r="OX10" s="29"/>
      <c r="OY10" s="29"/>
      <c r="OZ10" s="29"/>
      <c r="PA10" s="29"/>
      <c r="PB10" s="29"/>
      <c r="PC10" s="29"/>
      <c r="PD10" s="29"/>
      <c r="PE10" s="29"/>
      <c r="PF10" s="29"/>
      <c r="PG10" s="29"/>
      <c r="PH10" s="29"/>
      <c r="PI10" s="29"/>
      <c r="PJ10" s="29"/>
      <c r="PK10" s="29"/>
      <c r="PL10" s="29"/>
      <c r="PM10" s="29"/>
      <c r="PN10" s="29"/>
      <c r="PO10" s="29"/>
      <c r="PP10" s="29"/>
      <c r="PQ10" s="29"/>
      <c r="PR10" s="29"/>
      <c r="PS10" s="29"/>
      <c r="PT10" s="29"/>
      <c r="PU10" s="29"/>
      <c r="PV10" s="29"/>
      <c r="PW10" s="29"/>
      <c r="PX10" s="29"/>
      <c r="PY10" s="29"/>
      <c r="PZ10" s="29"/>
      <c r="QA10" s="29"/>
      <c r="QB10" s="29"/>
      <c r="QC10" s="29"/>
      <c r="QD10" s="29"/>
      <c r="QE10" s="29"/>
      <c r="QF10" s="29"/>
      <c r="QG10" s="29"/>
      <c r="QH10" s="29"/>
      <c r="QI10" s="29"/>
      <c r="QJ10" s="29"/>
      <c r="QK10" s="29"/>
      <c r="QL10" s="29"/>
      <c r="QM10" s="29"/>
      <c r="QN10" s="29"/>
      <c r="QO10" s="29"/>
      <c r="QP10" s="29"/>
      <c r="QQ10" s="29"/>
      <c r="QR10" s="29"/>
      <c r="QS10" s="29"/>
      <c r="QT10" s="29"/>
      <c r="QU10" s="29"/>
      <c r="QV10" s="29"/>
      <c r="QW10" s="29"/>
      <c r="QX10" s="29"/>
      <c r="QY10" s="29"/>
      <c r="QZ10" s="29"/>
      <c r="RA10" s="29"/>
      <c r="RB10" s="29"/>
      <c r="RC10" s="29"/>
      <c r="RD10" s="29"/>
      <c r="RE10" s="29"/>
      <c r="RF10" s="29"/>
      <c r="RG10" s="29"/>
      <c r="RH10" s="29"/>
      <c r="RI10" s="29"/>
      <c r="RJ10" s="29"/>
      <c r="RK10" s="29"/>
      <c r="RL10" s="29"/>
      <c r="RM10" s="29"/>
      <c r="RN10" s="29"/>
      <c r="RO10" s="29"/>
      <c r="RP10" s="29"/>
      <c r="RQ10" s="29"/>
      <c r="RR10" s="29"/>
      <c r="RS10" s="29"/>
      <c r="RT10" s="29"/>
      <c r="RU10" s="29"/>
      <c r="RV10" s="29"/>
      <c r="RW10" s="29"/>
      <c r="RX10" s="29"/>
      <c r="RY10" s="29"/>
      <c r="RZ10" s="29"/>
      <c r="SA10" s="29"/>
      <c r="SB10" s="29"/>
      <c r="SC10" s="29"/>
      <c r="SD10" s="29"/>
      <c r="SE10" s="29"/>
      <c r="SF10" s="29"/>
      <c r="SG10" s="29"/>
      <c r="SH10" s="29"/>
      <c r="SI10" s="29"/>
      <c r="SJ10" s="29"/>
      <c r="SK10" s="29"/>
      <c r="SL10" s="29"/>
      <c r="SM10" s="29"/>
      <c r="SN10" s="29"/>
      <c r="SO10" s="29"/>
      <c r="SP10" s="29"/>
      <c r="SQ10" s="29"/>
      <c r="SR10" s="29"/>
      <c r="SS10" s="29"/>
      <c r="ST10" s="29"/>
      <c r="SU10" s="29"/>
      <c r="SV10" s="29"/>
      <c r="SW10" s="29"/>
      <c r="SX10" s="29"/>
      <c r="SY10" s="29"/>
      <c r="SZ10" s="29"/>
      <c r="TA10" s="29"/>
      <c r="TB10" s="29"/>
      <c r="TC10" s="29"/>
      <c r="TD10" s="29"/>
      <c r="TE10" s="29"/>
      <c r="TF10" s="29"/>
      <c r="TG10" s="29"/>
      <c r="TH10" s="29"/>
      <c r="TI10" s="29"/>
      <c r="TJ10" s="29"/>
      <c r="TK10" s="29"/>
      <c r="TL10" s="29"/>
      <c r="TM10" s="29"/>
      <c r="TN10" s="29"/>
      <c r="TO10" s="29"/>
      <c r="TP10" s="29"/>
      <c r="TQ10" s="29"/>
      <c r="TR10" s="29"/>
      <c r="TS10" s="29"/>
      <c r="TT10" s="29"/>
      <c r="TU10" s="29"/>
      <c r="TV10" s="29"/>
      <c r="TW10" s="29"/>
      <c r="TX10" s="29"/>
      <c r="TY10" s="29"/>
      <c r="TZ10" s="29"/>
      <c r="UA10" s="29"/>
      <c r="UB10" s="29"/>
      <c r="UC10" s="29"/>
      <c r="UD10" s="29"/>
      <c r="UE10" s="29"/>
      <c r="UF10" s="29"/>
      <c r="UG10" s="29"/>
      <c r="UH10" s="29"/>
      <c r="UI10" s="29"/>
      <c r="UJ10" s="29"/>
      <c r="UK10" s="29"/>
      <c r="UL10" s="29"/>
      <c r="UM10" s="29"/>
      <c r="UN10" s="29"/>
      <c r="UO10" s="29"/>
      <c r="UP10" s="29"/>
      <c r="UQ10" s="29"/>
      <c r="UR10" s="29"/>
      <c r="US10" s="29"/>
      <c r="UT10" s="29"/>
      <c r="UU10" s="29"/>
      <c r="UV10" s="29"/>
      <c r="UW10" s="29"/>
      <c r="UX10" s="29"/>
      <c r="UY10" s="29"/>
      <c r="UZ10" s="29"/>
      <c r="VA10" s="29"/>
      <c r="VB10" s="29"/>
      <c r="VC10" s="29"/>
      <c r="VD10" s="29"/>
      <c r="VE10" s="29"/>
      <c r="VF10" s="29"/>
      <c r="VG10" s="29"/>
      <c r="VH10" s="29"/>
      <c r="VI10" s="29"/>
      <c r="VJ10" s="29"/>
      <c r="VK10" s="29"/>
      <c r="VL10" s="29"/>
      <c r="VM10" s="29"/>
      <c r="VN10" s="29"/>
      <c r="VO10" s="29"/>
      <c r="VP10" s="29"/>
      <c r="VQ10" s="29"/>
      <c r="VR10" s="29"/>
      <c r="VS10" s="29"/>
      <c r="VT10" s="29"/>
      <c r="VU10" s="29"/>
      <c r="VV10" s="29"/>
      <c r="VW10" s="29"/>
      <c r="VX10" s="29"/>
      <c r="VY10" s="29"/>
      <c r="VZ10" s="29"/>
      <c r="WA10" s="29"/>
      <c r="WB10" s="29"/>
      <c r="WC10" s="29"/>
      <c r="WD10" s="29"/>
      <c r="WE10" s="29"/>
      <c r="WF10" s="29"/>
      <c r="WG10" s="29"/>
      <c r="WH10" s="29"/>
      <c r="WI10" s="29"/>
      <c r="WJ10" s="29"/>
      <c r="WK10" s="29"/>
      <c r="WL10" s="29"/>
      <c r="WM10" s="29"/>
      <c r="WN10" s="29"/>
      <c r="WO10" s="29"/>
      <c r="WP10" s="29"/>
      <c r="WQ10" s="29"/>
      <c r="WR10" s="29"/>
      <c r="WS10" s="29"/>
    </row>
    <row r="11" spans="1:617" s="3" customFormat="1" ht="15" outlineLevel="1" thickBot="1">
      <c r="A11" s="34"/>
      <c r="B11" s="177"/>
      <c r="C11" s="178" t="s">
        <v>138</v>
      </c>
      <c r="D11" s="179">
        <v>45691</v>
      </c>
      <c r="E11" s="179">
        <f t="shared" si="587"/>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c r="MM11" s="29"/>
      <c r="MN11" s="29"/>
      <c r="MO11" s="29"/>
      <c r="MP11" s="29"/>
      <c r="MQ11" s="29"/>
      <c r="MR11" s="29"/>
      <c r="MS11" s="29"/>
      <c r="MT11" s="29"/>
      <c r="MU11" s="29"/>
      <c r="MV11" s="29"/>
      <c r="MW11" s="29"/>
      <c r="MX11" s="29"/>
      <c r="MY11" s="29"/>
      <c r="MZ11" s="29"/>
      <c r="NA11" s="29"/>
      <c r="NB11" s="29"/>
      <c r="NC11" s="29"/>
      <c r="ND11" s="29"/>
      <c r="NE11" s="29"/>
      <c r="NF11" s="29"/>
      <c r="NG11" s="29"/>
      <c r="NH11" s="29"/>
      <c r="NI11" s="29"/>
      <c r="NJ11" s="29"/>
      <c r="NK11" s="29"/>
      <c r="NL11" s="29"/>
      <c r="NM11" s="29"/>
      <c r="NN11" s="29"/>
      <c r="NO11" s="29"/>
      <c r="NP11" s="29"/>
      <c r="NQ11" s="29"/>
      <c r="NR11" s="29"/>
      <c r="NS11" s="29"/>
      <c r="NT11" s="29"/>
      <c r="NU11" s="29"/>
      <c r="NV11" s="29"/>
      <c r="NW11" s="29"/>
      <c r="NX11" s="29"/>
      <c r="NY11" s="29"/>
      <c r="NZ11" s="29"/>
      <c r="OA11" s="29"/>
      <c r="OB11" s="29"/>
      <c r="OC11" s="29"/>
      <c r="OD11" s="29"/>
      <c r="OE11" s="29"/>
      <c r="OF11" s="29"/>
      <c r="OG11" s="29"/>
      <c r="OH11" s="29"/>
      <c r="OI11" s="29"/>
      <c r="OJ11" s="29"/>
      <c r="OK11" s="29"/>
      <c r="OL11" s="29"/>
      <c r="OM11" s="29"/>
      <c r="ON11" s="29"/>
      <c r="OO11" s="29"/>
      <c r="OP11" s="29"/>
      <c r="OQ11" s="29"/>
      <c r="OR11" s="29"/>
      <c r="OS11" s="29"/>
      <c r="OT11" s="29"/>
      <c r="OU11" s="29"/>
      <c r="OV11" s="29"/>
      <c r="OW11" s="29"/>
      <c r="OX11" s="29"/>
      <c r="OY11" s="29"/>
      <c r="OZ11" s="29"/>
      <c r="PA11" s="29"/>
      <c r="PB11" s="29"/>
      <c r="PC11" s="29"/>
      <c r="PD11" s="29"/>
      <c r="PE11" s="29"/>
      <c r="PF11" s="29"/>
      <c r="PG11" s="29"/>
      <c r="PH11" s="29"/>
      <c r="PI11" s="29"/>
      <c r="PJ11" s="29"/>
      <c r="PK11" s="29"/>
      <c r="PL11" s="29"/>
      <c r="PM11" s="29"/>
      <c r="PN11" s="29"/>
      <c r="PO11" s="29"/>
      <c r="PP11" s="29"/>
      <c r="PQ11" s="29"/>
      <c r="PR11" s="29"/>
      <c r="PS11" s="29"/>
      <c r="PT11" s="29"/>
      <c r="PU11" s="29"/>
      <c r="PV11" s="29"/>
      <c r="PW11" s="29"/>
      <c r="PX11" s="29"/>
      <c r="PY11" s="29"/>
      <c r="PZ11" s="29"/>
      <c r="QA11" s="29"/>
      <c r="QB11" s="29"/>
      <c r="QC11" s="29"/>
      <c r="QD11" s="29"/>
      <c r="QE11" s="29"/>
      <c r="QF11" s="29"/>
      <c r="QG11" s="29"/>
      <c r="QH11" s="29"/>
      <c r="QI11" s="29"/>
      <c r="QJ11" s="29"/>
      <c r="QK11" s="29"/>
      <c r="QL11" s="29"/>
      <c r="QM11" s="29"/>
      <c r="QN11" s="29"/>
      <c r="QO11" s="29"/>
      <c r="QP11" s="29"/>
      <c r="QQ11" s="29"/>
      <c r="QR11" s="29"/>
      <c r="QS11" s="29"/>
      <c r="QT11" s="29"/>
      <c r="QU11" s="29"/>
      <c r="QV11" s="29"/>
      <c r="QW11" s="29"/>
      <c r="QX11" s="29"/>
      <c r="QY11" s="29"/>
      <c r="QZ11" s="29"/>
      <c r="RA11" s="29"/>
      <c r="RB11" s="29"/>
      <c r="RC11" s="29"/>
      <c r="RD11" s="29"/>
      <c r="RE11" s="29"/>
      <c r="RF11" s="29"/>
      <c r="RG11" s="29"/>
      <c r="RH11" s="29"/>
      <c r="RI11" s="29"/>
      <c r="RJ11" s="29"/>
      <c r="RK11" s="29"/>
      <c r="RL11" s="29"/>
      <c r="RM11" s="29"/>
      <c r="RN11" s="29"/>
      <c r="RO11" s="29"/>
      <c r="RP11" s="29"/>
      <c r="RQ11" s="29"/>
      <c r="RR11" s="29"/>
      <c r="RS11" s="29"/>
      <c r="RT11" s="29"/>
      <c r="RU11" s="29"/>
      <c r="RV11" s="29"/>
      <c r="RW11" s="29"/>
      <c r="RX11" s="29"/>
      <c r="RY11" s="29"/>
      <c r="RZ11" s="29"/>
      <c r="SA11" s="29"/>
      <c r="SB11" s="29"/>
      <c r="SC11" s="29"/>
      <c r="SD11" s="29"/>
      <c r="SE11" s="29"/>
      <c r="SF11" s="29"/>
      <c r="SG11" s="29"/>
      <c r="SH11" s="29"/>
      <c r="SI11" s="29"/>
      <c r="SJ11" s="29"/>
      <c r="SK11" s="29"/>
      <c r="SL11" s="29"/>
      <c r="SM11" s="29"/>
      <c r="SN11" s="29"/>
      <c r="SO11" s="29"/>
      <c r="SP11" s="29"/>
      <c r="SQ11" s="29"/>
      <c r="SR11" s="29"/>
      <c r="SS11" s="29"/>
      <c r="ST11" s="29"/>
      <c r="SU11" s="29"/>
      <c r="SV11" s="29"/>
      <c r="SW11" s="29"/>
      <c r="SX11" s="29"/>
      <c r="SY11" s="29"/>
      <c r="SZ11" s="29"/>
      <c r="TA11" s="29"/>
      <c r="TB11" s="29"/>
      <c r="TC11" s="29"/>
      <c r="TD11" s="29"/>
      <c r="TE11" s="29"/>
      <c r="TF11" s="29"/>
      <c r="TG11" s="29"/>
      <c r="TH11" s="29"/>
      <c r="TI11" s="29"/>
      <c r="TJ11" s="29"/>
      <c r="TK11" s="29"/>
      <c r="TL11" s="29"/>
      <c r="TM11" s="29"/>
      <c r="TN11" s="29"/>
      <c r="TO11" s="29"/>
      <c r="TP11" s="29"/>
      <c r="TQ11" s="29"/>
      <c r="TR11" s="29"/>
      <c r="TS11" s="29"/>
      <c r="TT11" s="29"/>
      <c r="TU11" s="29"/>
      <c r="TV11" s="29"/>
      <c r="TW11" s="29"/>
      <c r="TX11" s="29"/>
      <c r="TY11" s="29"/>
      <c r="TZ11" s="29"/>
      <c r="UA11" s="29"/>
      <c r="UB11" s="29"/>
      <c r="UC11" s="29"/>
      <c r="UD11" s="29"/>
      <c r="UE11" s="29"/>
      <c r="UF11" s="29"/>
      <c r="UG11" s="29"/>
      <c r="UH11" s="29"/>
      <c r="UI11" s="29"/>
      <c r="UJ11" s="29"/>
      <c r="UK11" s="29"/>
      <c r="UL11" s="29"/>
      <c r="UM11" s="29"/>
      <c r="UN11" s="29"/>
      <c r="UO11" s="29"/>
      <c r="UP11" s="29"/>
      <c r="UQ11" s="29"/>
      <c r="UR11" s="29"/>
      <c r="US11" s="29"/>
      <c r="UT11" s="29"/>
      <c r="UU11" s="29"/>
      <c r="UV11" s="29"/>
      <c r="UW11" s="29"/>
      <c r="UX11" s="29"/>
      <c r="UY11" s="29"/>
      <c r="UZ11" s="29"/>
      <c r="VA11" s="29"/>
      <c r="VB11" s="29"/>
      <c r="VC11" s="29"/>
      <c r="VD11" s="29"/>
      <c r="VE11" s="29"/>
      <c r="VF11" s="29"/>
      <c r="VG11" s="29"/>
      <c r="VH11" s="29"/>
      <c r="VI11" s="29"/>
      <c r="VJ11" s="29"/>
      <c r="VK11" s="29"/>
      <c r="VL11" s="29"/>
      <c r="VM11" s="29"/>
      <c r="VN11" s="29"/>
      <c r="VO11" s="29"/>
      <c r="VP11" s="29"/>
      <c r="VQ11" s="29"/>
      <c r="VR11" s="29"/>
      <c r="VS11" s="29"/>
      <c r="VT11" s="29"/>
      <c r="VU11" s="29"/>
      <c r="VV11" s="29"/>
      <c r="VW11" s="29"/>
      <c r="VX11" s="29"/>
      <c r="VY11" s="29"/>
      <c r="VZ11" s="29"/>
      <c r="WA11" s="29"/>
      <c r="WB11" s="29"/>
      <c r="WC11" s="29"/>
      <c r="WD11" s="29"/>
      <c r="WE11" s="29"/>
      <c r="WF11" s="29"/>
      <c r="WG11" s="29"/>
      <c r="WH11" s="29"/>
      <c r="WI11" s="29"/>
      <c r="WJ11" s="29"/>
      <c r="WK11" s="29"/>
      <c r="WL11" s="29"/>
      <c r="WM11" s="29"/>
      <c r="WN11" s="29"/>
      <c r="WO11" s="29"/>
      <c r="WP11" s="29"/>
      <c r="WQ11" s="29"/>
      <c r="WR11" s="29"/>
      <c r="WS11" s="29"/>
    </row>
    <row r="12" spans="1:617" s="3" customFormat="1" ht="0.6" customHeight="1" outlineLevel="1" thickBot="1">
      <c r="A12" s="34" t="s">
        <v>219</v>
      </c>
      <c r="B12" s="177"/>
      <c r="C12" s="178" t="s">
        <v>128</v>
      </c>
      <c r="D12" s="179">
        <f>D11+14</f>
        <v>45705</v>
      </c>
      <c r="E12" s="179">
        <f t="shared" si="587"/>
        <v>45709</v>
      </c>
      <c r="F12" s="14"/>
      <c r="G12" s="14">
        <v>5</v>
      </c>
      <c r="H12" s="29"/>
      <c r="I12" s="29"/>
      <c r="J12" s="29"/>
      <c r="K12" s="29"/>
      <c r="L12" s="29"/>
      <c r="M12" s="29"/>
      <c r="N12" s="29"/>
      <c r="O12" s="29"/>
      <c r="P12" s="29"/>
      <c r="Q12" s="29"/>
      <c r="R12" s="29"/>
      <c r="S12" s="29"/>
      <c r="T12" s="29"/>
      <c r="U12" s="30"/>
      <c r="V12" s="30"/>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c r="MM12" s="29"/>
      <c r="MN12" s="29"/>
      <c r="MO12" s="29"/>
      <c r="MP12" s="29"/>
      <c r="MQ12" s="29"/>
      <c r="MR12" s="29"/>
      <c r="MS12" s="29"/>
      <c r="MT12" s="29"/>
      <c r="MU12" s="29"/>
      <c r="MV12" s="29"/>
      <c r="MW12" s="29"/>
      <c r="MX12" s="29"/>
      <c r="MY12" s="29"/>
      <c r="MZ12" s="29"/>
      <c r="NA12" s="29"/>
      <c r="NB12" s="29"/>
      <c r="NC12" s="29"/>
      <c r="ND12" s="29"/>
      <c r="NE12" s="29"/>
      <c r="NF12" s="29"/>
      <c r="NG12" s="29"/>
      <c r="NH12" s="29"/>
      <c r="NI12" s="29"/>
      <c r="NJ12" s="29"/>
      <c r="NK12" s="29"/>
      <c r="NL12" s="29"/>
      <c r="NM12" s="29"/>
      <c r="NN12" s="29"/>
      <c r="NO12" s="29"/>
      <c r="NP12" s="29"/>
      <c r="NQ12" s="29"/>
      <c r="NR12" s="29"/>
      <c r="NS12" s="29"/>
      <c r="NT12" s="29"/>
      <c r="NU12" s="29"/>
      <c r="NV12" s="29"/>
      <c r="NW12" s="29"/>
      <c r="NX12" s="29"/>
      <c r="NY12" s="29"/>
      <c r="NZ12" s="29"/>
      <c r="OA12" s="29"/>
      <c r="OB12" s="29"/>
      <c r="OC12" s="29"/>
      <c r="OD12" s="29"/>
      <c r="OE12" s="29"/>
      <c r="OF12" s="29"/>
      <c r="OG12" s="29"/>
      <c r="OH12" s="29"/>
      <c r="OI12" s="29"/>
      <c r="OJ12" s="29"/>
      <c r="OK12" s="29"/>
      <c r="OL12" s="29"/>
      <c r="OM12" s="29"/>
      <c r="ON12" s="29"/>
      <c r="OO12" s="29"/>
      <c r="OP12" s="29"/>
      <c r="OQ12" s="29"/>
      <c r="OR12" s="29"/>
      <c r="OS12" s="29"/>
      <c r="OT12" s="29"/>
      <c r="OU12" s="29"/>
      <c r="OV12" s="29"/>
      <c r="OW12" s="29"/>
      <c r="OX12" s="29"/>
      <c r="OY12" s="29"/>
      <c r="OZ12" s="29"/>
      <c r="PA12" s="29"/>
      <c r="PB12" s="29"/>
      <c r="PC12" s="29"/>
      <c r="PD12" s="29"/>
      <c r="PE12" s="29"/>
      <c r="PF12" s="29"/>
      <c r="PG12" s="29"/>
      <c r="PH12" s="29"/>
      <c r="PI12" s="29"/>
      <c r="PJ12" s="29"/>
      <c r="PK12" s="29"/>
      <c r="PL12" s="29"/>
      <c r="PM12" s="29"/>
      <c r="PN12" s="29"/>
      <c r="PO12" s="29"/>
      <c r="PP12" s="29"/>
      <c r="PQ12" s="29"/>
      <c r="PR12" s="29"/>
      <c r="PS12" s="29"/>
      <c r="PT12" s="29"/>
      <c r="PU12" s="29"/>
      <c r="PV12" s="29"/>
      <c r="PW12" s="29"/>
      <c r="PX12" s="29"/>
      <c r="PY12" s="29"/>
      <c r="PZ12" s="29"/>
      <c r="QA12" s="29"/>
      <c r="QB12" s="29"/>
      <c r="QC12" s="29"/>
      <c r="QD12" s="29"/>
      <c r="QE12" s="29"/>
      <c r="QF12" s="29"/>
      <c r="QG12" s="29"/>
      <c r="QH12" s="29"/>
      <c r="QI12" s="29"/>
      <c r="QJ12" s="29"/>
      <c r="QK12" s="29"/>
      <c r="QL12" s="29"/>
      <c r="QM12" s="29"/>
      <c r="QN12" s="29"/>
      <c r="QO12" s="29"/>
      <c r="QP12" s="29"/>
      <c r="QQ12" s="29"/>
      <c r="QR12" s="29"/>
      <c r="QS12" s="29"/>
      <c r="QT12" s="29"/>
      <c r="QU12" s="29"/>
      <c r="QV12" s="29"/>
      <c r="QW12" s="29"/>
      <c r="QX12" s="29"/>
      <c r="QY12" s="29"/>
      <c r="QZ12" s="29"/>
      <c r="RA12" s="29"/>
      <c r="RB12" s="29"/>
      <c r="RC12" s="29"/>
      <c r="RD12" s="29"/>
      <c r="RE12" s="29"/>
      <c r="RF12" s="29"/>
      <c r="RG12" s="29"/>
      <c r="RH12" s="29"/>
      <c r="RI12" s="29"/>
      <c r="RJ12" s="29"/>
      <c r="RK12" s="29"/>
      <c r="RL12" s="29"/>
      <c r="RM12" s="29"/>
      <c r="RN12" s="29"/>
      <c r="RO12" s="29"/>
      <c r="RP12" s="29"/>
      <c r="RQ12" s="29"/>
      <c r="RR12" s="29"/>
      <c r="RS12" s="29"/>
      <c r="RT12" s="29"/>
      <c r="RU12" s="29"/>
      <c r="RV12" s="29"/>
      <c r="RW12" s="29"/>
      <c r="RX12" s="29"/>
      <c r="RY12" s="29"/>
      <c r="RZ12" s="29"/>
      <c r="SA12" s="29"/>
      <c r="SB12" s="29"/>
      <c r="SC12" s="29"/>
      <c r="SD12" s="29"/>
      <c r="SE12" s="29"/>
      <c r="SF12" s="29"/>
      <c r="SG12" s="29"/>
      <c r="SH12" s="29"/>
      <c r="SI12" s="29"/>
      <c r="SJ12" s="29"/>
      <c r="SK12" s="29"/>
      <c r="SL12" s="29"/>
      <c r="SM12" s="29"/>
      <c r="SN12" s="29"/>
      <c r="SO12" s="29"/>
      <c r="SP12" s="29"/>
      <c r="SQ12" s="29"/>
      <c r="SR12" s="29"/>
      <c r="SS12" s="29"/>
      <c r="ST12" s="29"/>
      <c r="SU12" s="29"/>
      <c r="SV12" s="29"/>
      <c r="SW12" s="29"/>
      <c r="SX12" s="29"/>
      <c r="SY12" s="29"/>
      <c r="SZ12" s="29"/>
      <c r="TA12" s="29"/>
      <c r="TB12" s="29"/>
      <c r="TC12" s="29"/>
      <c r="TD12" s="29"/>
      <c r="TE12" s="29"/>
      <c r="TF12" s="29"/>
      <c r="TG12" s="29"/>
      <c r="TH12" s="29"/>
      <c r="TI12" s="29"/>
      <c r="TJ12" s="29"/>
      <c r="TK12" s="29"/>
      <c r="TL12" s="29"/>
      <c r="TM12" s="29"/>
      <c r="TN12" s="29"/>
      <c r="TO12" s="29"/>
      <c r="TP12" s="29"/>
      <c r="TQ12" s="29"/>
      <c r="TR12" s="29"/>
      <c r="TS12" s="29"/>
      <c r="TT12" s="29"/>
      <c r="TU12" s="29"/>
      <c r="TV12" s="29"/>
      <c r="TW12" s="29"/>
      <c r="TX12" s="29"/>
      <c r="TY12" s="29"/>
      <c r="TZ12" s="29"/>
      <c r="UA12" s="29"/>
      <c r="UB12" s="29"/>
      <c r="UC12" s="29"/>
      <c r="UD12" s="29"/>
      <c r="UE12" s="29"/>
      <c r="UF12" s="29"/>
      <c r="UG12" s="29"/>
      <c r="UH12" s="29"/>
      <c r="UI12" s="29"/>
      <c r="UJ12" s="29"/>
      <c r="UK12" s="29"/>
      <c r="UL12" s="29"/>
      <c r="UM12" s="29"/>
      <c r="UN12" s="29"/>
      <c r="UO12" s="29"/>
      <c r="UP12" s="29"/>
      <c r="UQ12" s="29"/>
      <c r="UR12" s="29"/>
      <c r="US12" s="29"/>
      <c r="UT12" s="29"/>
      <c r="UU12" s="29"/>
      <c r="UV12" s="29"/>
      <c r="UW12" s="29"/>
      <c r="UX12" s="29"/>
      <c r="UY12" s="29"/>
      <c r="UZ12" s="29"/>
      <c r="VA12" s="29"/>
      <c r="VB12" s="29"/>
      <c r="VC12" s="29"/>
      <c r="VD12" s="29"/>
      <c r="VE12" s="29"/>
      <c r="VF12" s="29"/>
      <c r="VG12" s="29"/>
      <c r="VH12" s="29"/>
      <c r="VI12" s="29"/>
      <c r="VJ12" s="29"/>
      <c r="VK12" s="29"/>
      <c r="VL12" s="29"/>
      <c r="VM12" s="29"/>
      <c r="VN12" s="29"/>
      <c r="VO12" s="29"/>
      <c r="VP12" s="29"/>
      <c r="VQ12" s="29"/>
      <c r="VR12" s="29"/>
      <c r="VS12" s="29"/>
      <c r="VT12" s="29"/>
      <c r="VU12" s="29"/>
      <c r="VV12" s="29"/>
      <c r="VW12" s="29"/>
      <c r="VX12" s="29"/>
      <c r="VY12" s="29"/>
      <c r="VZ12" s="29"/>
      <c r="WA12" s="29"/>
      <c r="WB12" s="29"/>
      <c r="WC12" s="29"/>
      <c r="WD12" s="29"/>
      <c r="WE12" s="29"/>
      <c r="WF12" s="29"/>
      <c r="WG12" s="29"/>
      <c r="WH12" s="29"/>
      <c r="WI12" s="29"/>
      <c r="WJ12" s="29"/>
      <c r="WK12" s="29"/>
      <c r="WL12" s="29"/>
      <c r="WM12" s="29"/>
      <c r="WN12" s="29"/>
      <c r="WO12" s="29"/>
      <c r="WP12" s="29"/>
      <c r="WQ12" s="29"/>
      <c r="WR12" s="29"/>
      <c r="WS12" s="29"/>
    </row>
    <row r="13" spans="1:617" s="3" customFormat="1" ht="15" outlineLevel="1" thickBot="1">
      <c r="A13" s="33"/>
      <c r="B13" s="177"/>
      <c r="C13" s="178" t="s">
        <v>220</v>
      </c>
      <c r="D13" s="179">
        <v>45705</v>
      </c>
      <c r="E13" s="179">
        <f t="shared" si="587"/>
        <v>45716</v>
      </c>
      <c r="F13" s="14"/>
      <c r="G13" s="14">
        <v>12</v>
      </c>
      <c r="H13" s="29"/>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c r="MM13" s="29"/>
      <c r="MN13" s="29"/>
      <c r="MO13" s="29"/>
      <c r="MP13" s="29"/>
      <c r="MQ13" s="29"/>
      <c r="MR13" s="29"/>
      <c r="MS13" s="29"/>
      <c r="MT13" s="29"/>
      <c r="MU13" s="29"/>
      <c r="MV13" s="29"/>
      <c r="MW13" s="29"/>
      <c r="MX13" s="29"/>
      <c r="MY13" s="29"/>
      <c r="MZ13" s="29"/>
      <c r="NA13" s="29"/>
      <c r="NB13" s="29"/>
      <c r="NC13" s="29"/>
      <c r="ND13" s="29"/>
      <c r="NE13" s="29"/>
      <c r="NF13" s="29"/>
      <c r="NG13" s="29"/>
      <c r="NH13" s="29"/>
      <c r="NI13" s="29"/>
      <c r="NJ13" s="29"/>
      <c r="NK13" s="29"/>
      <c r="NL13" s="29"/>
      <c r="NM13" s="29"/>
      <c r="NN13" s="29"/>
      <c r="NO13" s="29"/>
      <c r="NP13" s="29"/>
      <c r="NQ13" s="29"/>
      <c r="NR13" s="29"/>
      <c r="NS13" s="29"/>
      <c r="NT13" s="29"/>
      <c r="NU13" s="29"/>
      <c r="NV13" s="29"/>
      <c r="NW13" s="29"/>
      <c r="NX13" s="29"/>
      <c r="NY13" s="29"/>
      <c r="NZ13" s="29"/>
      <c r="OA13" s="29"/>
      <c r="OB13" s="29"/>
      <c r="OC13" s="29"/>
      <c r="OD13" s="29"/>
      <c r="OE13" s="29"/>
      <c r="OF13" s="29"/>
      <c r="OG13" s="29"/>
      <c r="OH13" s="29"/>
      <c r="OI13" s="29"/>
      <c r="OJ13" s="29"/>
      <c r="OK13" s="29"/>
      <c r="OL13" s="29"/>
      <c r="OM13" s="29"/>
      <c r="ON13" s="29"/>
      <c r="OO13" s="29"/>
      <c r="OP13" s="29"/>
      <c r="OQ13" s="29"/>
      <c r="OR13" s="29"/>
      <c r="OS13" s="29"/>
      <c r="OT13" s="29"/>
      <c r="OU13" s="29"/>
      <c r="OV13" s="29"/>
      <c r="OW13" s="29"/>
      <c r="OX13" s="29"/>
      <c r="OY13" s="29"/>
      <c r="OZ13" s="29"/>
      <c r="PA13" s="29"/>
      <c r="PB13" s="29"/>
      <c r="PC13" s="29"/>
      <c r="PD13" s="29"/>
      <c r="PE13" s="29"/>
      <c r="PF13" s="29"/>
      <c r="PG13" s="29"/>
      <c r="PH13" s="29"/>
      <c r="PI13" s="29"/>
      <c r="PJ13" s="29"/>
      <c r="PK13" s="29"/>
      <c r="PL13" s="29"/>
      <c r="PM13" s="29"/>
      <c r="PN13" s="29"/>
      <c r="PO13" s="29"/>
      <c r="PP13" s="29"/>
      <c r="PQ13" s="29"/>
      <c r="PR13" s="29"/>
      <c r="PS13" s="29"/>
      <c r="PT13" s="29"/>
      <c r="PU13" s="29"/>
      <c r="PV13" s="29"/>
      <c r="PW13" s="29"/>
      <c r="PX13" s="29"/>
      <c r="PY13" s="29"/>
      <c r="PZ13" s="29"/>
      <c r="QA13" s="29"/>
      <c r="QB13" s="29"/>
      <c r="QC13" s="29"/>
      <c r="QD13" s="29"/>
      <c r="QE13" s="29"/>
      <c r="QF13" s="29"/>
      <c r="QG13" s="29"/>
      <c r="QH13" s="29"/>
      <c r="QI13" s="29"/>
      <c r="QJ13" s="29"/>
      <c r="QK13" s="29"/>
      <c r="QL13" s="29"/>
      <c r="QM13" s="29"/>
      <c r="QN13" s="29"/>
      <c r="QO13" s="29"/>
      <c r="QP13" s="29"/>
      <c r="QQ13" s="29"/>
      <c r="QR13" s="29"/>
      <c r="QS13" s="29"/>
      <c r="QT13" s="29"/>
      <c r="QU13" s="29"/>
      <c r="QV13" s="29"/>
      <c r="QW13" s="29"/>
      <c r="QX13" s="29"/>
      <c r="QY13" s="29"/>
      <c r="QZ13" s="29"/>
      <c r="RA13" s="29"/>
      <c r="RB13" s="29"/>
      <c r="RC13" s="29"/>
      <c r="RD13" s="29"/>
      <c r="RE13" s="29"/>
      <c r="RF13" s="29"/>
      <c r="RG13" s="29"/>
      <c r="RH13" s="29"/>
      <c r="RI13" s="29"/>
      <c r="RJ13" s="29"/>
      <c r="RK13" s="29"/>
      <c r="RL13" s="29"/>
      <c r="RM13" s="29"/>
      <c r="RN13" s="29"/>
      <c r="RO13" s="29"/>
      <c r="RP13" s="29"/>
      <c r="RQ13" s="29"/>
      <c r="RR13" s="29"/>
      <c r="RS13" s="29"/>
      <c r="RT13" s="29"/>
      <c r="RU13" s="29"/>
      <c r="RV13" s="29"/>
      <c r="RW13" s="29"/>
      <c r="RX13" s="29"/>
      <c r="RY13" s="29"/>
      <c r="RZ13" s="29"/>
      <c r="SA13" s="29"/>
      <c r="SB13" s="29"/>
      <c r="SC13" s="29"/>
      <c r="SD13" s="29"/>
      <c r="SE13" s="29"/>
      <c r="SF13" s="29"/>
      <c r="SG13" s="29"/>
      <c r="SH13" s="29"/>
      <c r="SI13" s="29"/>
      <c r="SJ13" s="29"/>
      <c r="SK13" s="29"/>
      <c r="SL13" s="29"/>
      <c r="SM13" s="29"/>
      <c r="SN13" s="29"/>
      <c r="SO13" s="29"/>
      <c r="SP13" s="29"/>
      <c r="SQ13" s="29"/>
      <c r="SR13" s="29"/>
      <c r="SS13" s="29"/>
      <c r="ST13" s="29"/>
      <c r="SU13" s="29"/>
      <c r="SV13" s="29"/>
      <c r="SW13" s="29"/>
      <c r="SX13" s="29"/>
      <c r="SY13" s="29"/>
      <c r="SZ13" s="29"/>
      <c r="TA13" s="29"/>
      <c r="TB13" s="29"/>
      <c r="TC13" s="29"/>
      <c r="TD13" s="29"/>
      <c r="TE13" s="29"/>
      <c r="TF13" s="29"/>
      <c r="TG13" s="29"/>
      <c r="TH13" s="29"/>
      <c r="TI13" s="29"/>
      <c r="TJ13" s="29"/>
      <c r="TK13" s="29"/>
      <c r="TL13" s="29"/>
      <c r="TM13" s="29"/>
      <c r="TN13" s="29"/>
      <c r="TO13" s="29"/>
      <c r="TP13" s="29"/>
      <c r="TQ13" s="29"/>
      <c r="TR13" s="29"/>
      <c r="TS13" s="29"/>
      <c r="TT13" s="29"/>
      <c r="TU13" s="29"/>
      <c r="TV13" s="29"/>
      <c r="TW13" s="29"/>
      <c r="TX13" s="29"/>
      <c r="TY13" s="29"/>
      <c r="TZ13" s="29"/>
      <c r="UA13" s="29"/>
      <c r="UB13" s="29"/>
      <c r="UC13" s="29"/>
      <c r="UD13" s="29"/>
      <c r="UE13" s="29"/>
      <c r="UF13" s="29"/>
      <c r="UG13" s="29"/>
      <c r="UH13" s="29"/>
      <c r="UI13" s="29"/>
      <c r="UJ13" s="29"/>
      <c r="UK13" s="29"/>
      <c r="UL13" s="29"/>
      <c r="UM13" s="29"/>
      <c r="UN13" s="29"/>
      <c r="UO13" s="29"/>
      <c r="UP13" s="29"/>
      <c r="UQ13" s="29"/>
      <c r="UR13" s="29"/>
      <c r="US13" s="29"/>
      <c r="UT13" s="29"/>
      <c r="UU13" s="29"/>
      <c r="UV13" s="29"/>
      <c r="UW13" s="29"/>
      <c r="UX13" s="29"/>
      <c r="UY13" s="29"/>
      <c r="UZ13" s="29"/>
      <c r="VA13" s="29"/>
      <c r="VB13" s="29"/>
      <c r="VC13" s="29"/>
      <c r="VD13" s="29"/>
      <c r="VE13" s="29"/>
      <c r="VF13" s="29"/>
      <c r="VG13" s="29"/>
      <c r="VH13" s="29"/>
      <c r="VI13" s="29"/>
      <c r="VJ13" s="29"/>
      <c r="VK13" s="29"/>
      <c r="VL13" s="29"/>
      <c r="VM13" s="29"/>
      <c r="VN13" s="29"/>
      <c r="VO13" s="29"/>
      <c r="VP13" s="29"/>
      <c r="VQ13" s="29"/>
      <c r="VR13" s="29"/>
      <c r="VS13" s="29"/>
      <c r="VT13" s="29"/>
      <c r="VU13" s="29"/>
      <c r="VV13" s="29"/>
      <c r="VW13" s="29"/>
      <c r="VX13" s="29"/>
      <c r="VY13" s="29"/>
      <c r="VZ13" s="29"/>
      <c r="WA13" s="29"/>
      <c r="WB13" s="29"/>
      <c r="WC13" s="29"/>
      <c r="WD13" s="29"/>
      <c r="WE13" s="29"/>
      <c r="WF13" s="29"/>
      <c r="WG13" s="29"/>
      <c r="WH13" s="29"/>
      <c r="WI13" s="29"/>
      <c r="WJ13" s="29"/>
      <c r="WK13" s="29"/>
      <c r="WL13" s="29"/>
      <c r="WM13" s="29"/>
      <c r="WN13" s="29"/>
      <c r="WO13" s="29"/>
      <c r="WP13" s="29"/>
      <c r="WQ13" s="29"/>
      <c r="WR13" s="29"/>
      <c r="WS13" s="29"/>
    </row>
    <row r="14" spans="1:617" s="3" customFormat="1" ht="15" outlineLevel="1" thickBot="1">
      <c r="A14" s="33"/>
      <c r="B14" s="180"/>
      <c r="C14" s="178" t="s">
        <v>221</v>
      </c>
      <c r="D14" s="179">
        <f>D13+7</f>
        <v>45712</v>
      </c>
      <c r="E14" s="179">
        <f t="shared" si="587"/>
        <v>45716</v>
      </c>
      <c r="F14" s="14"/>
      <c r="G14" s="14">
        <v>5</v>
      </c>
      <c r="H14" s="29"/>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c r="MM14" s="29"/>
      <c r="MN14" s="29"/>
      <c r="MO14" s="29"/>
      <c r="MP14" s="29"/>
      <c r="MQ14" s="29"/>
      <c r="MR14" s="29"/>
      <c r="MS14" s="29"/>
      <c r="MT14" s="29"/>
      <c r="MU14" s="29"/>
      <c r="MV14" s="29"/>
      <c r="MW14" s="29"/>
      <c r="MX14" s="29"/>
      <c r="MY14" s="29"/>
      <c r="MZ14" s="29"/>
      <c r="NA14" s="29"/>
      <c r="NB14" s="29"/>
      <c r="NC14" s="29"/>
      <c r="ND14" s="29"/>
      <c r="NE14" s="29"/>
      <c r="NF14" s="29"/>
      <c r="NG14" s="29"/>
      <c r="NH14" s="29"/>
      <c r="NI14" s="29"/>
      <c r="NJ14" s="29"/>
      <c r="NK14" s="29"/>
      <c r="NL14" s="29"/>
      <c r="NM14" s="29"/>
      <c r="NN14" s="29"/>
      <c r="NO14" s="29"/>
      <c r="NP14" s="29"/>
      <c r="NQ14" s="29"/>
      <c r="NR14" s="29"/>
      <c r="NS14" s="29"/>
      <c r="NT14" s="29"/>
      <c r="NU14" s="29"/>
      <c r="NV14" s="29"/>
      <c r="NW14" s="29"/>
      <c r="NX14" s="29"/>
      <c r="NY14" s="29"/>
      <c r="NZ14" s="29"/>
      <c r="OA14" s="29"/>
      <c r="OB14" s="29"/>
      <c r="OC14" s="29"/>
      <c r="OD14" s="29"/>
      <c r="OE14" s="29"/>
      <c r="OF14" s="29"/>
      <c r="OG14" s="29"/>
      <c r="OH14" s="29"/>
      <c r="OI14" s="29"/>
      <c r="OJ14" s="29"/>
      <c r="OK14" s="29"/>
      <c r="OL14" s="29"/>
      <c r="OM14" s="29"/>
      <c r="ON14" s="29"/>
      <c r="OO14" s="29"/>
      <c r="OP14" s="29"/>
      <c r="OQ14" s="29"/>
      <c r="OR14" s="29"/>
      <c r="OS14" s="29"/>
      <c r="OT14" s="29"/>
      <c r="OU14" s="29"/>
      <c r="OV14" s="29"/>
      <c r="OW14" s="29"/>
      <c r="OX14" s="29"/>
      <c r="OY14" s="29"/>
      <c r="OZ14" s="29"/>
      <c r="PA14" s="29"/>
      <c r="PB14" s="29"/>
      <c r="PC14" s="29"/>
      <c r="PD14" s="29"/>
      <c r="PE14" s="29"/>
      <c r="PF14" s="29"/>
      <c r="PG14" s="29"/>
      <c r="PH14" s="29"/>
      <c r="PI14" s="29"/>
      <c r="PJ14" s="29"/>
      <c r="PK14" s="29"/>
      <c r="PL14" s="29"/>
      <c r="PM14" s="29"/>
      <c r="PN14" s="29"/>
      <c r="PO14" s="29"/>
      <c r="PP14" s="29"/>
      <c r="PQ14" s="29"/>
      <c r="PR14" s="29"/>
      <c r="PS14" s="29"/>
      <c r="PT14" s="29"/>
      <c r="PU14" s="29"/>
      <c r="PV14" s="29"/>
      <c r="PW14" s="29"/>
      <c r="PX14" s="29"/>
      <c r="PY14" s="29"/>
      <c r="PZ14" s="29"/>
      <c r="QA14" s="29"/>
      <c r="QB14" s="29"/>
      <c r="QC14" s="29"/>
      <c r="QD14" s="29"/>
      <c r="QE14" s="29"/>
      <c r="QF14" s="29"/>
      <c r="QG14" s="29"/>
      <c r="QH14" s="29"/>
      <c r="QI14" s="29"/>
      <c r="QJ14" s="29"/>
      <c r="QK14" s="29"/>
      <c r="QL14" s="29"/>
      <c r="QM14" s="29"/>
      <c r="QN14" s="29"/>
      <c r="QO14" s="29"/>
      <c r="QP14" s="29"/>
      <c r="QQ14" s="29"/>
      <c r="QR14" s="29"/>
      <c r="QS14" s="29"/>
      <c r="QT14" s="29"/>
      <c r="QU14" s="29"/>
      <c r="QV14" s="29"/>
      <c r="QW14" s="29"/>
      <c r="QX14" s="29"/>
      <c r="QY14" s="29"/>
      <c r="QZ14" s="29"/>
      <c r="RA14" s="29"/>
      <c r="RB14" s="29"/>
      <c r="RC14" s="29"/>
      <c r="RD14" s="29"/>
      <c r="RE14" s="29"/>
      <c r="RF14" s="29"/>
      <c r="RG14" s="29"/>
      <c r="RH14" s="29"/>
      <c r="RI14" s="29"/>
      <c r="RJ14" s="29"/>
      <c r="RK14" s="29"/>
      <c r="RL14" s="29"/>
      <c r="RM14" s="29"/>
      <c r="RN14" s="29"/>
      <c r="RO14" s="29"/>
      <c r="RP14" s="29"/>
      <c r="RQ14" s="29"/>
      <c r="RR14" s="29"/>
      <c r="RS14" s="29"/>
      <c r="RT14" s="29"/>
      <c r="RU14" s="29"/>
      <c r="RV14" s="29"/>
      <c r="RW14" s="29"/>
      <c r="RX14" s="29"/>
      <c r="RY14" s="29"/>
      <c r="RZ14" s="29"/>
      <c r="SA14" s="29"/>
      <c r="SB14" s="29"/>
      <c r="SC14" s="29"/>
      <c r="SD14" s="29"/>
      <c r="SE14" s="29"/>
      <c r="SF14" s="29"/>
      <c r="SG14" s="29"/>
      <c r="SH14" s="29"/>
      <c r="SI14" s="29"/>
      <c r="SJ14" s="29"/>
      <c r="SK14" s="29"/>
      <c r="SL14" s="29"/>
      <c r="SM14" s="29"/>
      <c r="SN14" s="29"/>
      <c r="SO14" s="29"/>
      <c r="SP14" s="29"/>
      <c r="SQ14" s="29"/>
      <c r="SR14" s="29"/>
      <c r="SS14" s="29"/>
      <c r="ST14" s="29"/>
      <c r="SU14" s="29"/>
      <c r="SV14" s="29"/>
      <c r="SW14" s="29"/>
      <c r="SX14" s="29"/>
      <c r="SY14" s="29"/>
      <c r="SZ14" s="29"/>
      <c r="TA14" s="29"/>
      <c r="TB14" s="29"/>
      <c r="TC14" s="29"/>
      <c r="TD14" s="29"/>
      <c r="TE14" s="29"/>
      <c r="TF14" s="29"/>
      <c r="TG14" s="29"/>
      <c r="TH14" s="29"/>
      <c r="TI14" s="29"/>
      <c r="TJ14" s="29"/>
      <c r="TK14" s="29"/>
      <c r="TL14" s="29"/>
      <c r="TM14" s="29"/>
      <c r="TN14" s="29"/>
      <c r="TO14" s="29"/>
      <c r="TP14" s="29"/>
      <c r="TQ14" s="29"/>
      <c r="TR14" s="29"/>
      <c r="TS14" s="29"/>
      <c r="TT14" s="29"/>
      <c r="TU14" s="29"/>
      <c r="TV14" s="29"/>
      <c r="TW14" s="29"/>
      <c r="TX14" s="29"/>
      <c r="TY14" s="29"/>
      <c r="TZ14" s="29"/>
      <c r="UA14" s="29"/>
      <c r="UB14" s="29"/>
      <c r="UC14" s="29"/>
      <c r="UD14" s="29"/>
      <c r="UE14" s="29"/>
      <c r="UF14" s="29"/>
      <c r="UG14" s="29"/>
      <c r="UH14" s="29"/>
      <c r="UI14" s="29"/>
      <c r="UJ14" s="29"/>
      <c r="UK14" s="29"/>
      <c r="UL14" s="29"/>
      <c r="UM14" s="29"/>
      <c r="UN14" s="29"/>
      <c r="UO14" s="29"/>
      <c r="UP14" s="29"/>
      <c r="UQ14" s="29"/>
      <c r="UR14" s="29"/>
      <c r="US14" s="29"/>
      <c r="UT14" s="29"/>
      <c r="UU14" s="29"/>
      <c r="UV14" s="29"/>
      <c r="UW14" s="29"/>
      <c r="UX14" s="29"/>
      <c r="UY14" s="29"/>
      <c r="UZ14" s="29"/>
      <c r="VA14" s="29"/>
      <c r="VB14" s="29"/>
      <c r="VC14" s="29"/>
      <c r="VD14" s="29"/>
      <c r="VE14" s="29"/>
      <c r="VF14" s="29"/>
      <c r="VG14" s="29"/>
      <c r="VH14" s="29"/>
      <c r="VI14" s="29"/>
      <c r="VJ14" s="29"/>
      <c r="VK14" s="29"/>
      <c r="VL14" s="29"/>
      <c r="VM14" s="29"/>
      <c r="VN14" s="29"/>
      <c r="VO14" s="29"/>
      <c r="VP14" s="29"/>
      <c r="VQ14" s="29"/>
      <c r="VR14" s="29"/>
      <c r="VS14" s="29"/>
      <c r="VT14" s="29"/>
      <c r="VU14" s="29"/>
      <c r="VV14" s="29"/>
      <c r="VW14" s="29"/>
      <c r="VX14" s="29"/>
      <c r="VY14" s="29"/>
      <c r="VZ14" s="29"/>
      <c r="WA14" s="29"/>
      <c r="WB14" s="29"/>
      <c r="WC14" s="29"/>
      <c r="WD14" s="29"/>
      <c r="WE14" s="29"/>
      <c r="WF14" s="29"/>
      <c r="WG14" s="29"/>
      <c r="WH14" s="29"/>
      <c r="WI14" s="29"/>
      <c r="WJ14" s="29"/>
      <c r="WK14" s="29"/>
      <c r="WL14" s="29"/>
      <c r="WM14" s="29"/>
      <c r="WN14" s="29"/>
      <c r="WO14" s="29"/>
      <c r="WP14" s="29"/>
      <c r="WQ14" s="29"/>
      <c r="WR14" s="29"/>
      <c r="WS14" s="29"/>
    </row>
    <row r="15" spans="1:617" s="3" customFormat="1" ht="15" outlineLevel="1" thickBot="1">
      <c r="A15" s="33"/>
      <c r="B15" s="181"/>
      <c r="C15" s="178" t="s">
        <v>122</v>
      </c>
      <c r="D15" s="179">
        <f>D16</f>
        <v>45726</v>
      </c>
      <c r="E15" s="179">
        <f>D15+G15-1</f>
        <v>45730</v>
      </c>
      <c r="F15" s="14"/>
      <c r="G15" s="14">
        <v>5</v>
      </c>
      <c r="H15" s="29"/>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c r="MM15" s="29"/>
      <c r="MN15" s="29"/>
      <c r="MO15" s="29"/>
      <c r="MP15" s="29"/>
      <c r="MQ15" s="29"/>
      <c r="MR15" s="29"/>
      <c r="MS15" s="29"/>
      <c r="MT15" s="29"/>
      <c r="MU15" s="29"/>
      <c r="MV15" s="29"/>
      <c r="MW15" s="29"/>
      <c r="MX15" s="29"/>
      <c r="MY15" s="29"/>
      <c r="MZ15" s="29"/>
      <c r="NA15" s="29"/>
      <c r="NB15" s="29"/>
      <c r="NC15" s="29"/>
      <c r="ND15" s="29"/>
      <c r="NE15" s="29"/>
      <c r="NF15" s="29"/>
      <c r="NG15" s="29"/>
      <c r="NH15" s="29"/>
      <c r="NI15" s="29"/>
      <c r="NJ15" s="29"/>
      <c r="NK15" s="29"/>
      <c r="NL15" s="29"/>
      <c r="NM15" s="29"/>
      <c r="NN15" s="29"/>
      <c r="NO15" s="29"/>
      <c r="NP15" s="29"/>
      <c r="NQ15" s="29"/>
      <c r="NR15" s="29"/>
      <c r="NS15" s="29"/>
      <c r="NT15" s="29"/>
      <c r="NU15" s="29"/>
      <c r="NV15" s="29"/>
      <c r="NW15" s="29"/>
      <c r="NX15" s="29"/>
      <c r="NY15" s="29"/>
      <c r="NZ15" s="29"/>
      <c r="OA15" s="29"/>
      <c r="OB15" s="29"/>
      <c r="OC15" s="29"/>
      <c r="OD15" s="29"/>
      <c r="OE15" s="29"/>
      <c r="OF15" s="29"/>
      <c r="OG15" s="29"/>
      <c r="OH15" s="29"/>
      <c r="OI15" s="29"/>
      <c r="OJ15" s="29"/>
      <c r="OK15" s="29"/>
      <c r="OL15" s="29"/>
      <c r="OM15" s="29"/>
      <c r="ON15" s="29"/>
      <c r="OO15" s="29"/>
      <c r="OP15" s="29"/>
      <c r="OQ15" s="29"/>
      <c r="OR15" s="29"/>
      <c r="OS15" s="29"/>
      <c r="OT15" s="29"/>
      <c r="OU15" s="29"/>
      <c r="OV15" s="29"/>
      <c r="OW15" s="29"/>
      <c r="OX15" s="29"/>
      <c r="OY15" s="29"/>
      <c r="OZ15" s="29"/>
      <c r="PA15" s="29"/>
      <c r="PB15" s="29"/>
      <c r="PC15" s="29"/>
      <c r="PD15" s="29"/>
      <c r="PE15" s="29"/>
      <c r="PF15" s="29"/>
      <c r="PG15" s="29"/>
      <c r="PH15" s="29"/>
      <c r="PI15" s="29"/>
      <c r="PJ15" s="29"/>
      <c r="PK15" s="29"/>
      <c r="PL15" s="29"/>
      <c r="PM15" s="29"/>
      <c r="PN15" s="29"/>
      <c r="PO15" s="29"/>
      <c r="PP15" s="29"/>
      <c r="PQ15" s="29"/>
      <c r="PR15" s="29"/>
      <c r="PS15" s="29"/>
      <c r="PT15" s="29"/>
      <c r="PU15" s="29"/>
      <c r="PV15" s="29"/>
      <c r="PW15" s="29"/>
      <c r="PX15" s="29"/>
      <c r="PY15" s="29"/>
      <c r="PZ15" s="29"/>
      <c r="QA15" s="29"/>
      <c r="QB15" s="29"/>
      <c r="QC15" s="29"/>
      <c r="QD15" s="29"/>
      <c r="QE15" s="29"/>
      <c r="QF15" s="29"/>
      <c r="QG15" s="29"/>
      <c r="QH15" s="29"/>
      <c r="QI15" s="29"/>
      <c r="QJ15" s="29"/>
      <c r="QK15" s="29"/>
      <c r="QL15" s="29"/>
      <c r="QM15" s="29"/>
      <c r="QN15" s="29"/>
      <c r="QO15" s="29"/>
      <c r="QP15" s="29"/>
      <c r="QQ15" s="29"/>
      <c r="QR15" s="29"/>
      <c r="QS15" s="29"/>
      <c r="QT15" s="29"/>
      <c r="QU15" s="29"/>
      <c r="QV15" s="29"/>
      <c r="QW15" s="29"/>
      <c r="QX15" s="29"/>
      <c r="QY15" s="29"/>
      <c r="QZ15" s="29"/>
      <c r="RA15" s="29"/>
      <c r="RB15" s="29"/>
      <c r="RC15" s="29"/>
      <c r="RD15" s="29"/>
      <c r="RE15" s="29"/>
      <c r="RF15" s="29"/>
      <c r="RG15" s="29"/>
      <c r="RH15" s="29"/>
      <c r="RI15" s="29"/>
      <c r="RJ15" s="29"/>
      <c r="RK15" s="29"/>
      <c r="RL15" s="29"/>
      <c r="RM15" s="29"/>
      <c r="RN15" s="29"/>
      <c r="RO15" s="29"/>
      <c r="RP15" s="29"/>
      <c r="RQ15" s="29"/>
      <c r="RR15" s="29"/>
      <c r="RS15" s="29"/>
      <c r="RT15" s="29"/>
      <c r="RU15" s="29"/>
      <c r="RV15" s="29"/>
      <c r="RW15" s="29"/>
      <c r="RX15" s="29"/>
      <c r="RY15" s="29"/>
      <c r="RZ15" s="29"/>
      <c r="SA15" s="29"/>
      <c r="SB15" s="29"/>
      <c r="SC15" s="29"/>
      <c r="SD15" s="29"/>
      <c r="SE15" s="29"/>
      <c r="SF15" s="29"/>
      <c r="SG15" s="29"/>
      <c r="SH15" s="29"/>
      <c r="SI15" s="29"/>
      <c r="SJ15" s="29"/>
      <c r="SK15" s="29"/>
      <c r="SL15" s="29"/>
      <c r="SM15" s="29"/>
      <c r="SN15" s="29"/>
      <c r="SO15" s="29"/>
      <c r="SP15" s="29"/>
      <c r="SQ15" s="29"/>
      <c r="SR15" s="29"/>
      <c r="SS15" s="29"/>
      <c r="ST15" s="29"/>
      <c r="SU15" s="29"/>
      <c r="SV15" s="29"/>
      <c r="SW15" s="29"/>
      <c r="SX15" s="29"/>
      <c r="SY15" s="29"/>
      <c r="SZ15" s="29"/>
      <c r="TA15" s="29"/>
      <c r="TB15" s="29"/>
      <c r="TC15" s="29"/>
      <c r="TD15" s="29"/>
      <c r="TE15" s="29"/>
      <c r="TF15" s="29"/>
      <c r="TG15" s="29"/>
      <c r="TH15" s="29"/>
      <c r="TI15" s="29"/>
      <c r="TJ15" s="29"/>
      <c r="TK15" s="29"/>
      <c r="TL15" s="29"/>
      <c r="TM15" s="29"/>
      <c r="TN15" s="29"/>
      <c r="TO15" s="29"/>
      <c r="TP15" s="29"/>
      <c r="TQ15" s="29"/>
      <c r="TR15" s="29"/>
      <c r="TS15" s="29"/>
      <c r="TT15" s="29"/>
      <c r="TU15" s="29"/>
      <c r="TV15" s="29"/>
      <c r="TW15" s="29"/>
      <c r="TX15" s="29"/>
      <c r="TY15" s="29"/>
      <c r="TZ15" s="29"/>
      <c r="UA15" s="29"/>
      <c r="UB15" s="29"/>
      <c r="UC15" s="29"/>
      <c r="UD15" s="29"/>
      <c r="UE15" s="29"/>
      <c r="UF15" s="29"/>
      <c r="UG15" s="29"/>
      <c r="UH15" s="29"/>
      <c r="UI15" s="29"/>
      <c r="UJ15" s="29"/>
      <c r="UK15" s="29"/>
      <c r="UL15" s="29"/>
      <c r="UM15" s="29"/>
      <c r="UN15" s="29"/>
      <c r="UO15" s="29"/>
      <c r="UP15" s="29"/>
      <c r="UQ15" s="29"/>
      <c r="UR15" s="29"/>
      <c r="US15" s="29"/>
      <c r="UT15" s="29"/>
      <c r="UU15" s="29"/>
      <c r="UV15" s="29"/>
      <c r="UW15" s="29"/>
      <c r="UX15" s="29"/>
      <c r="UY15" s="29"/>
      <c r="UZ15" s="29"/>
      <c r="VA15" s="29"/>
      <c r="VB15" s="29"/>
      <c r="VC15" s="29"/>
      <c r="VD15" s="29"/>
      <c r="VE15" s="29"/>
      <c r="VF15" s="29"/>
      <c r="VG15" s="29"/>
      <c r="VH15" s="29"/>
      <c r="VI15" s="29"/>
      <c r="VJ15" s="29"/>
      <c r="VK15" s="29"/>
      <c r="VL15" s="29"/>
      <c r="VM15" s="29"/>
      <c r="VN15" s="29"/>
      <c r="VO15" s="29"/>
      <c r="VP15" s="29"/>
      <c r="VQ15" s="29"/>
      <c r="VR15" s="29"/>
      <c r="VS15" s="29"/>
      <c r="VT15" s="29"/>
      <c r="VU15" s="29"/>
      <c r="VV15" s="29"/>
      <c r="VW15" s="29"/>
      <c r="VX15" s="29"/>
      <c r="VY15" s="29"/>
      <c r="VZ15" s="29"/>
      <c r="WA15" s="29"/>
      <c r="WB15" s="29"/>
      <c r="WC15" s="29"/>
      <c r="WD15" s="29"/>
      <c r="WE15" s="29"/>
      <c r="WF15" s="29"/>
      <c r="WG15" s="29"/>
      <c r="WH15" s="29"/>
      <c r="WI15" s="29"/>
      <c r="WJ15" s="29"/>
      <c r="WK15" s="29"/>
      <c r="WL15" s="29"/>
      <c r="WM15" s="29"/>
      <c r="WN15" s="29"/>
      <c r="WO15" s="29"/>
      <c r="WP15" s="29"/>
      <c r="WQ15" s="29"/>
      <c r="WR15" s="29"/>
      <c r="WS15" s="29"/>
    </row>
    <row r="16" spans="1:617" s="3" customFormat="1" ht="15" outlineLevel="1" thickBot="1">
      <c r="A16" s="33"/>
      <c r="B16" s="181"/>
      <c r="C16" s="178" t="s">
        <v>42</v>
      </c>
      <c r="D16" s="179">
        <f>D14+14</f>
        <v>45726</v>
      </c>
      <c r="E16" s="179">
        <f t="shared" si="587"/>
        <v>45737</v>
      </c>
      <c r="F16" s="14"/>
      <c r="G16" s="14">
        <v>12</v>
      </c>
      <c r="H16" s="29"/>
      <c r="I16" s="29"/>
      <c r="J16" s="29"/>
      <c r="K16" s="29"/>
      <c r="L16" s="29"/>
      <c r="M16" s="29"/>
      <c r="N16" s="29"/>
      <c r="O16" s="29"/>
      <c r="P16" s="29"/>
      <c r="Q16" s="29"/>
      <c r="R16" s="29"/>
      <c r="S16" s="29"/>
      <c r="T16" s="29"/>
      <c r="U16" s="29"/>
      <c r="V16" s="29"/>
      <c r="W16" s="29"/>
      <c r="X16" s="29"/>
      <c r="Y16" s="30"/>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c r="MM16" s="29"/>
      <c r="MN16" s="29"/>
      <c r="MO16" s="29"/>
      <c r="MP16" s="29"/>
      <c r="MQ16" s="29"/>
      <c r="MR16" s="29"/>
      <c r="MS16" s="29"/>
      <c r="MT16" s="29"/>
      <c r="MU16" s="29"/>
      <c r="MV16" s="29"/>
      <c r="MW16" s="29"/>
      <c r="MX16" s="29"/>
      <c r="MY16" s="29"/>
      <c r="MZ16" s="29"/>
      <c r="NA16" s="29"/>
      <c r="NB16" s="29"/>
      <c r="NC16" s="29"/>
      <c r="ND16" s="29"/>
      <c r="NE16" s="29"/>
      <c r="NF16" s="29"/>
      <c r="NG16" s="29"/>
      <c r="NH16" s="29"/>
      <c r="NI16" s="29"/>
      <c r="NJ16" s="29"/>
      <c r="NK16" s="29"/>
      <c r="NL16" s="29"/>
      <c r="NM16" s="29"/>
      <c r="NN16" s="29"/>
      <c r="NO16" s="29"/>
      <c r="NP16" s="29"/>
      <c r="NQ16" s="29"/>
      <c r="NR16" s="29"/>
      <c r="NS16" s="29"/>
      <c r="NT16" s="29"/>
      <c r="NU16" s="29"/>
      <c r="NV16" s="29"/>
      <c r="NW16" s="29"/>
      <c r="NX16" s="29"/>
      <c r="NY16" s="29"/>
      <c r="NZ16" s="29"/>
      <c r="OA16" s="29"/>
      <c r="OB16" s="29"/>
      <c r="OC16" s="29"/>
      <c r="OD16" s="29"/>
      <c r="OE16" s="29"/>
      <c r="OF16" s="29"/>
      <c r="OG16" s="29"/>
      <c r="OH16" s="29"/>
      <c r="OI16" s="29"/>
      <c r="OJ16" s="29"/>
      <c r="OK16" s="29"/>
      <c r="OL16" s="29"/>
      <c r="OM16" s="29"/>
      <c r="ON16" s="29"/>
      <c r="OO16" s="29"/>
      <c r="OP16" s="29"/>
      <c r="OQ16" s="29"/>
      <c r="OR16" s="29"/>
      <c r="OS16" s="29"/>
      <c r="OT16" s="29"/>
      <c r="OU16" s="29"/>
      <c r="OV16" s="29"/>
      <c r="OW16" s="29"/>
      <c r="OX16" s="29"/>
      <c r="OY16" s="29"/>
      <c r="OZ16" s="29"/>
      <c r="PA16" s="29"/>
      <c r="PB16" s="29"/>
      <c r="PC16" s="29"/>
      <c r="PD16" s="29"/>
      <c r="PE16" s="29"/>
      <c r="PF16" s="29"/>
      <c r="PG16" s="29"/>
      <c r="PH16" s="29"/>
      <c r="PI16" s="29"/>
      <c r="PJ16" s="29"/>
      <c r="PK16" s="29"/>
      <c r="PL16" s="29"/>
      <c r="PM16" s="29"/>
      <c r="PN16" s="29"/>
      <c r="PO16" s="29"/>
      <c r="PP16" s="29"/>
      <c r="PQ16" s="29"/>
      <c r="PR16" s="29"/>
      <c r="PS16" s="29"/>
      <c r="PT16" s="29"/>
      <c r="PU16" s="29"/>
      <c r="PV16" s="29"/>
      <c r="PW16" s="29"/>
      <c r="PX16" s="29"/>
      <c r="PY16" s="29"/>
      <c r="PZ16" s="29"/>
      <c r="QA16" s="29"/>
      <c r="QB16" s="29"/>
      <c r="QC16" s="29"/>
      <c r="QD16" s="29"/>
      <c r="QE16" s="29"/>
      <c r="QF16" s="29"/>
      <c r="QG16" s="29"/>
      <c r="QH16" s="29"/>
      <c r="QI16" s="29"/>
      <c r="QJ16" s="29"/>
      <c r="QK16" s="29"/>
      <c r="QL16" s="29"/>
      <c r="QM16" s="29"/>
      <c r="QN16" s="29"/>
      <c r="QO16" s="29"/>
      <c r="QP16" s="29"/>
      <c r="QQ16" s="29"/>
      <c r="QR16" s="29"/>
      <c r="QS16" s="29"/>
      <c r="QT16" s="29"/>
      <c r="QU16" s="29"/>
      <c r="QV16" s="29"/>
      <c r="QW16" s="29"/>
      <c r="QX16" s="29"/>
      <c r="QY16" s="29"/>
      <c r="QZ16" s="29"/>
      <c r="RA16" s="29"/>
      <c r="RB16" s="29"/>
      <c r="RC16" s="29"/>
      <c r="RD16" s="29"/>
      <c r="RE16" s="29"/>
      <c r="RF16" s="29"/>
      <c r="RG16" s="29"/>
      <c r="RH16" s="29"/>
      <c r="RI16" s="29"/>
      <c r="RJ16" s="29"/>
      <c r="RK16" s="29"/>
      <c r="RL16" s="29"/>
      <c r="RM16" s="29"/>
      <c r="RN16" s="29"/>
      <c r="RO16" s="29"/>
      <c r="RP16" s="29"/>
      <c r="RQ16" s="29"/>
      <c r="RR16" s="29"/>
      <c r="RS16" s="29"/>
      <c r="RT16" s="29"/>
      <c r="RU16" s="29"/>
      <c r="RV16" s="29"/>
      <c r="RW16" s="29"/>
      <c r="RX16" s="29"/>
      <c r="RY16" s="29"/>
      <c r="RZ16" s="29"/>
      <c r="SA16" s="29"/>
      <c r="SB16" s="29"/>
      <c r="SC16" s="29"/>
      <c r="SD16" s="29"/>
      <c r="SE16" s="29"/>
      <c r="SF16" s="29"/>
      <c r="SG16" s="29"/>
      <c r="SH16" s="29"/>
      <c r="SI16" s="29"/>
      <c r="SJ16" s="29"/>
      <c r="SK16" s="29"/>
      <c r="SL16" s="29"/>
      <c r="SM16" s="29"/>
      <c r="SN16" s="29"/>
      <c r="SO16" s="29"/>
      <c r="SP16" s="29"/>
      <c r="SQ16" s="29"/>
      <c r="SR16" s="29"/>
      <c r="SS16" s="29"/>
      <c r="ST16" s="29"/>
      <c r="SU16" s="29"/>
      <c r="SV16" s="29"/>
      <c r="SW16" s="29"/>
      <c r="SX16" s="29"/>
      <c r="SY16" s="29"/>
      <c r="SZ16" s="29"/>
      <c r="TA16" s="29"/>
      <c r="TB16" s="29"/>
      <c r="TC16" s="29"/>
      <c r="TD16" s="29"/>
      <c r="TE16" s="29"/>
      <c r="TF16" s="29"/>
      <c r="TG16" s="29"/>
      <c r="TH16" s="29"/>
      <c r="TI16" s="29"/>
      <c r="TJ16" s="29"/>
      <c r="TK16" s="29"/>
      <c r="TL16" s="29"/>
      <c r="TM16" s="29"/>
      <c r="TN16" s="29"/>
      <c r="TO16" s="29"/>
      <c r="TP16" s="29"/>
      <c r="TQ16" s="29"/>
      <c r="TR16" s="29"/>
      <c r="TS16" s="29"/>
      <c r="TT16" s="29"/>
      <c r="TU16" s="29"/>
      <c r="TV16" s="29"/>
      <c r="TW16" s="29"/>
      <c r="TX16" s="29"/>
      <c r="TY16" s="29"/>
      <c r="TZ16" s="29"/>
      <c r="UA16" s="29"/>
      <c r="UB16" s="29"/>
      <c r="UC16" s="29"/>
      <c r="UD16" s="29"/>
      <c r="UE16" s="29"/>
      <c r="UF16" s="29"/>
      <c r="UG16" s="29"/>
      <c r="UH16" s="29"/>
      <c r="UI16" s="29"/>
      <c r="UJ16" s="29"/>
      <c r="UK16" s="29"/>
      <c r="UL16" s="29"/>
      <c r="UM16" s="29"/>
      <c r="UN16" s="29"/>
      <c r="UO16" s="29"/>
      <c r="UP16" s="29"/>
      <c r="UQ16" s="29"/>
      <c r="UR16" s="29"/>
      <c r="US16" s="29"/>
      <c r="UT16" s="29"/>
      <c r="UU16" s="29"/>
      <c r="UV16" s="29"/>
      <c r="UW16" s="29"/>
      <c r="UX16" s="29"/>
      <c r="UY16" s="29"/>
      <c r="UZ16" s="29"/>
      <c r="VA16" s="29"/>
      <c r="VB16" s="29"/>
      <c r="VC16" s="29"/>
      <c r="VD16" s="29"/>
      <c r="VE16" s="29"/>
      <c r="VF16" s="29"/>
      <c r="VG16" s="29"/>
      <c r="VH16" s="29"/>
      <c r="VI16" s="29"/>
      <c r="VJ16" s="29"/>
      <c r="VK16" s="29"/>
      <c r="VL16" s="29"/>
      <c r="VM16" s="29"/>
      <c r="VN16" s="29"/>
      <c r="VO16" s="29"/>
      <c r="VP16" s="29"/>
      <c r="VQ16" s="29"/>
      <c r="VR16" s="29"/>
      <c r="VS16" s="29"/>
      <c r="VT16" s="29"/>
      <c r="VU16" s="29"/>
      <c r="VV16" s="29"/>
      <c r="VW16" s="29"/>
      <c r="VX16" s="29"/>
      <c r="VY16" s="29"/>
      <c r="VZ16" s="29"/>
      <c r="WA16" s="29"/>
      <c r="WB16" s="29"/>
      <c r="WC16" s="29"/>
      <c r="WD16" s="29"/>
      <c r="WE16" s="29"/>
      <c r="WF16" s="29"/>
      <c r="WG16" s="29"/>
      <c r="WH16" s="29"/>
      <c r="WI16" s="29"/>
      <c r="WJ16" s="29"/>
      <c r="WK16" s="29"/>
      <c r="WL16" s="29"/>
      <c r="WM16" s="29"/>
      <c r="WN16" s="29"/>
      <c r="WO16" s="29"/>
      <c r="WP16" s="29"/>
      <c r="WQ16" s="29"/>
      <c r="WR16" s="29"/>
      <c r="WS16" s="29"/>
    </row>
    <row r="17" spans="1:617" s="3" customFormat="1" ht="15" outlineLevel="1" thickBot="1">
      <c r="A17" s="33"/>
      <c r="B17" s="181"/>
      <c r="C17" s="178" t="s">
        <v>101</v>
      </c>
      <c r="D17" s="179">
        <f>D15+14</f>
        <v>45740</v>
      </c>
      <c r="E17" s="179">
        <f t="shared" si="587"/>
        <v>45744</v>
      </c>
      <c r="F17" s="14"/>
      <c r="G17" s="14">
        <v>5</v>
      </c>
      <c r="H17" s="29"/>
      <c r="I17" s="29"/>
      <c r="J17" s="29"/>
      <c r="K17" s="29"/>
      <c r="L17" s="29"/>
      <c r="M17" s="29"/>
      <c r="N17" s="29"/>
      <c r="O17" s="29"/>
      <c r="P17" s="29"/>
      <c r="Q17" s="29"/>
      <c r="R17" s="29"/>
      <c r="S17" s="29"/>
      <c r="T17" s="29"/>
      <c r="U17" s="29"/>
      <c r="V17" s="29"/>
      <c r="W17" s="29"/>
      <c r="X17" s="29"/>
      <c r="Y17" s="30"/>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c r="MM17" s="29"/>
      <c r="MN17" s="29"/>
      <c r="MO17" s="29"/>
      <c r="MP17" s="29"/>
      <c r="MQ17" s="29"/>
      <c r="MR17" s="29"/>
      <c r="MS17" s="29"/>
      <c r="MT17" s="29"/>
      <c r="MU17" s="29"/>
      <c r="MV17" s="29"/>
      <c r="MW17" s="29"/>
      <c r="MX17" s="29"/>
      <c r="MY17" s="29"/>
      <c r="MZ17" s="29"/>
      <c r="NA17" s="29"/>
      <c r="NB17" s="29"/>
      <c r="NC17" s="29"/>
      <c r="ND17" s="29"/>
      <c r="NE17" s="29"/>
      <c r="NF17" s="29"/>
      <c r="NG17" s="29"/>
      <c r="NH17" s="29"/>
      <c r="NI17" s="29"/>
      <c r="NJ17" s="29"/>
      <c r="NK17" s="29"/>
      <c r="NL17" s="29"/>
      <c r="NM17" s="29"/>
      <c r="NN17" s="29"/>
      <c r="NO17" s="29"/>
      <c r="NP17" s="29"/>
      <c r="NQ17" s="29"/>
      <c r="NR17" s="29"/>
      <c r="NS17" s="29"/>
      <c r="NT17" s="29"/>
      <c r="NU17" s="29"/>
      <c r="NV17" s="29"/>
      <c r="NW17" s="29"/>
      <c r="NX17" s="29"/>
      <c r="NY17" s="29"/>
      <c r="NZ17" s="29"/>
      <c r="OA17" s="29"/>
      <c r="OB17" s="29"/>
      <c r="OC17" s="29"/>
      <c r="OD17" s="29"/>
      <c r="OE17" s="29"/>
      <c r="OF17" s="29"/>
      <c r="OG17" s="29"/>
      <c r="OH17" s="29"/>
      <c r="OI17" s="29"/>
      <c r="OJ17" s="29"/>
      <c r="OK17" s="29"/>
      <c r="OL17" s="29"/>
      <c r="OM17" s="29"/>
      <c r="ON17" s="29"/>
      <c r="OO17" s="29"/>
      <c r="OP17" s="29"/>
      <c r="OQ17" s="29"/>
      <c r="OR17" s="29"/>
      <c r="OS17" s="29"/>
      <c r="OT17" s="29"/>
      <c r="OU17" s="29"/>
      <c r="OV17" s="29"/>
      <c r="OW17" s="29"/>
      <c r="OX17" s="29"/>
      <c r="OY17" s="29"/>
      <c r="OZ17" s="29"/>
      <c r="PA17" s="29"/>
      <c r="PB17" s="29"/>
      <c r="PC17" s="29"/>
      <c r="PD17" s="29"/>
      <c r="PE17" s="29"/>
      <c r="PF17" s="29"/>
      <c r="PG17" s="29"/>
      <c r="PH17" s="29"/>
      <c r="PI17" s="29"/>
      <c r="PJ17" s="29"/>
      <c r="PK17" s="29"/>
      <c r="PL17" s="29"/>
      <c r="PM17" s="29"/>
      <c r="PN17" s="29"/>
      <c r="PO17" s="29"/>
      <c r="PP17" s="29"/>
      <c r="PQ17" s="29"/>
      <c r="PR17" s="29"/>
      <c r="PS17" s="29"/>
      <c r="PT17" s="29"/>
      <c r="PU17" s="29"/>
      <c r="PV17" s="29"/>
      <c r="PW17" s="29"/>
      <c r="PX17" s="29"/>
      <c r="PY17" s="29"/>
      <c r="PZ17" s="29"/>
      <c r="QA17" s="29"/>
      <c r="QB17" s="29"/>
      <c r="QC17" s="29"/>
      <c r="QD17" s="29"/>
      <c r="QE17" s="29"/>
      <c r="QF17" s="29"/>
      <c r="QG17" s="29"/>
      <c r="QH17" s="29"/>
      <c r="QI17" s="29"/>
      <c r="QJ17" s="29"/>
      <c r="QK17" s="29"/>
      <c r="QL17" s="29"/>
      <c r="QM17" s="29"/>
      <c r="QN17" s="29"/>
      <c r="QO17" s="29"/>
      <c r="QP17" s="29"/>
      <c r="QQ17" s="29"/>
      <c r="QR17" s="29"/>
      <c r="QS17" s="29"/>
      <c r="QT17" s="29"/>
      <c r="QU17" s="29"/>
      <c r="QV17" s="29"/>
      <c r="QW17" s="29"/>
      <c r="QX17" s="29"/>
      <c r="QY17" s="29"/>
      <c r="QZ17" s="29"/>
      <c r="RA17" s="29"/>
      <c r="RB17" s="29"/>
      <c r="RC17" s="29"/>
      <c r="RD17" s="29"/>
      <c r="RE17" s="29"/>
      <c r="RF17" s="29"/>
      <c r="RG17" s="29"/>
      <c r="RH17" s="29"/>
      <c r="RI17" s="29"/>
      <c r="RJ17" s="29"/>
      <c r="RK17" s="29"/>
      <c r="RL17" s="29"/>
      <c r="RM17" s="29"/>
      <c r="RN17" s="29"/>
      <c r="RO17" s="29"/>
      <c r="RP17" s="29"/>
      <c r="RQ17" s="29"/>
      <c r="RR17" s="29"/>
      <c r="RS17" s="29"/>
      <c r="RT17" s="29"/>
      <c r="RU17" s="29"/>
      <c r="RV17" s="29"/>
      <c r="RW17" s="29"/>
      <c r="RX17" s="29"/>
      <c r="RY17" s="29"/>
      <c r="RZ17" s="29"/>
      <c r="SA17" s="29"/>
      <c r="SB17" s="29"/>
      <c r="SC17" s="29"/>
      <c r="SD17" s="29"/>
      <c r="SE17" s="29"/>
      <c r="SF17" s="29"/>
      <c r="SG17" s="29"/>
      <c r="SH17" s="29"/>
      <c r="SI17" s="29"/>
      <c r="SJ17" s="29"/>
      <c r="SK17" s="29"/>
      <c r="SL17" s="29"/>
      <c r="SM17" s="29"/>
      <c r="SN17" s="29"/>
      <c r="SO17" s="29"/>
      <c r="SP17" s="29"/>
      <c r="SQ17" s="29"/>
      <c r="SR17" s="29"/>
      <c r="SS17" s="29"/>
      <c r="ST17" s="29"/>
      <c r="SU17" s="29"/>
      <c r="SV17" s="29"/>
      <c r="SW17" s="29"/>
      <c r="SX17" s="29"/>
      <c r="SY17" s="29"/>
      <c r="SZ17" s="29"/>
      <c r="TA17" s="29"/>
      <c r="TB17" s="29"/>
      <c r="TC17" s="29"/>
      <c r="TD17" s="29"/>
      <c r="TE17" s="29"/>
      <c r="TF17" s="29"/>
      <c r="TG17" s="29"/>
      <c r="TH17" s="29"/>
      <c r="TI17" s="29"/>
      <c r="TJ17" s="29"/>
      <c r="TK17" s="29"/>
      <c r="TL17" s="29"/>
      <c r="TM17" s="29"/>
      <c r="TN17" s="29"/>
      <c r="TO17" s="29"/>
      <c r="TP17" s="29"/>
      <c r="TQ17" s="29"/>
      <c r="TR17" s="29"/>
      <c r="TS17" s="29"/>
      <c r="TT17" s="29"/>
      <c r="TU17" s="29"/>
      <c r="TV17" s="29"/>
      <c r="TW17" s="29"/>
      <c r="TX17" s="29"/>
      <c r="TY17" s="29"/>
      <c r="TZ17" s="29"/>
      <c r="UA17" s="29"/>
      <c r="UB17" s="29"/>
      <c r="UC17" s="29"/>
      <c r="UD17" s="29"/>
      <c r="UE17" s="29"/>
      <c r="UF17" s="29"/>
      <c r="UG17" s="29"/>
      <c r="UH17" s="29"/>
      <c r="UI17" s="29"/>
      <c r="UJ17" s="29"/>
      <c r="UK17" s="29"/>
      <c r="UL17" s="29"/>
      <c r="UM17" s="29"/>
      <c r="UN17" s="29"/>
      <c r="UO17" s="29"/>
      <c r="UP17" s="29"/>
      <c r="UQ17" s="29"/>
      <c r="UR17" s="29"/>
      <c r="US17" s="29"/>
      <c r="UT17" s="29"/>
      <c r="UU17" s="29"/>
      <c r="UV17" s="29"/>
      <c r="UW17" s="29"/>
      <c r="UX17" s="29"/>
      <c r="UY17" s="29"/>
      <c r="UZ17" s="29"/>
      <c r="VA17" s="29"/>
      <c r="VB17" s="29"/>
      <c r="VC17" s="29"/>
      <c r="VD17" s="29"/>
      <c r="VE17" s="29"/>
      <c r="VF17" s="29"/>
      <c r="VG17" s="29"/>
      <c r="VH17" s="29"/>
      <c r="VI17" s="29"/>
      <c r="VJ17" s="29"/>
      <c r="VK17" s="29"/>
      <c r="VL17" s="29"/>
      <c r="VM17" s="29"/>
      <c r="VN17" s="29"/>
      <c r="VO17" s="29"/>
      <c r="VP17" s="29"/>
      <c r="VQ17" s="29"/>
      <c r="VR17" s="29"/>
      <c r="VS17" s="29"/>
      <c r="VT17" s="29"/>
      <c r="VU17" s="29"/>
      <c r="VV17" s="29"/>
      <c r="VW17" s="29"/>
      <c r="VX17" s="29"/>
      <c r="VY17" s="29"/>
      <c r="VZ17" s="29"/>
      <c r="WA17" s="29"/>
      <c r="WB17" s="29"/>
      <c r="WC17" s="29"/>
      <c r="WD17" s="29"/>
      <c r="WE17" s="29"/>
      <c r="WF17" s="29"/>
      <c r="WG17" s="29"/>
      <c r="WH17" s="29"/>
      <c r="WI17" s="29"/>
      <c r="WJ17" s="29"/>
      <c r="WK17" s="29"/>
      <c r="WL17" s="29"/>
      <c r="WM17" s="29"/>
      <c r="WN17" s="29"/>
      <c r="WO17" s="29"/>
      <c r="WP17" s="29"/>
      <c r="WQ17" s="29"/>
      <c r="WR17" s="29"/>
      <c r="WS17" s="29"/>
    </row>
    <row r="18" spans="1:617" s="3" customFormat="1" ht="15" outlineLevel="1" thickBot="1">
      <c r="A18" s="33"/>
      <c r="B18" s="178"/>
      <c r="C18" s="178" t="s">
        <v>108</v>
      </c>
      <c r="D18" s="179">
        <f>D16+14</f>
        <v>45740</v>
      </c>
      <c r="E18" s="179">
        <f t="shared" si="587"/>
        <v>45751</v>
      </c>
      <c r="F18" s="14"/>
      <c r="G18" s="14">
        <v>12</v>
      </c>
      <c r="H18" s="29"/>
      <c r="I18" s="29"/>
      <c r="J18" s="29"/>
      <c r="K18" s="29"/>
      <c r="L18" s="29"/>
      <c r="M18" s="29"/>
      <c r="N18" s="29"/>
      <c r="O18" s="29"/>
      <c r="P18" s="29"/>
      <c r="Q18" s="29"/>
      <c r="R18" s="29"/>
      <c r="S18" s="29"/>
      <c r="T18" s="29"/>
      <c r="U18" s="29"/>
      <c r="V18" s="29"/>
      <c r="W18" s="29"/>
      <c r="X18" s="29"/>
      <c r="Y18" s="30"/>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c r="MM18" s="29"/>
      <c r="MN18" s="29"/>
      <c r="MO18" s="29"/>
      <c r="MP18" s="29"/>
      <c r="MQ18" s="29"/>
      <c r="MR18" s="29"/>
      <c r="MS18" s="29"/>
      <c r="MT18" s="29"/>
      <c r="MU18" s="29"/>
      <c r="MV18" s="29"/>
      <c r="MW18" s="29"/>
      <c r="MX18" s="29"/>
      <c r="MY18" s="29"/>
      <c r="MZ18" s="29"/>
      <c r="NA18" s="29"/>
      <c r="NB18" s="29"/>
      <c r="NC18" s="29"/>
      <c r="ND18" s="29"/>
      <c r="NE18" s="29"/>
      <c r="NF18" s="29"/>
      <c r="NG18" s="29"/>
      <c r="NH18" s="29"/>
      <c r="NI18" s="29"/>
      <c r="NJ18" s="29"/>
      <c r="NK18" s="29"/>
      <c r="NL18" s="29"/>
      <c r="NM18" s="29"/>
      <c r="NN18" s="29"/>
      <c r="NO18" s="29"/>
      <c r="NP18" s="29"/>
      <c r="NQ18" s="29"/>
      <c r="NR18" s="29"/>
      <c r="NS18" s="29"/>
      <c r="NT18" s="29"/>
      <c r="NU18" s="29"/>
      <c r="NV18" s="29"/>
      <c r="NW18" s="29"/>
      <c r="NX18" s="29"/>
      <c r="NY18" s="29"/>
      <c r="NZ18" s="29"/>
      <c r="OA18" s="29"/>
      <c r="OB18" s="29"/>
      <c r="OC18" s="29"/>
      <c r="OD18" s="29"/>
      <c r="OE18" s="29"/>
      <c r="OF18" s="29"/>
      <c r="OG18" s="29"/>
      <c r="OH18" s="29"/>
      <c r="OI18" s="29"/>
      <c r="OJ18" s="29"/>
      <c r="OK18" s="29"/>
      <c r="OL18" s="29"/>
      <c r="OM18" s="29"/>
      <c r="ON18" s="29"/>
      <c r="OO18" s="29"/>
      <c r="OP18" s="29"/>
      <c r="OQ18" s="29"/>
      <c r="OR18" s="29"/>
      <c r="OS18" s="29"/>
      <c r="OT18" s="29"/>
      <c r="OU18" s="29"/>
      <c r="OV18" s="29"/>
      <c r="OW18" s="29"/>
      <c r="OX18" s="29"/>
      <c r="OY18" s="29"/>
      <c r="OZ18" s="29"/>
      <c r="PA18" s="29"/>
      <c r="PB18" s="29"/>
      <c r="PC18" s="29"/>
      <c r="PD18" s="29"/>
      <c r="PE18" s="29"/>
      <c r="PF18" s="29"/>
      <c r="PG18" s="29"/>
      <c r="PH18" s="29"/>
      <c r="PI18" s="29"/>
      <c r="PJ18" s="29"/>
      <c r="PK18" s="29"/>
      <c r="PL18" s="29"/>
      <c r="PM18" s="29"/>
      <c r="PN18" s="29"/>
      <c r="PO18" s="29"/>
      <c r="PP18" s="29"/>
      <c r="PQ18" s="29"/>
      <c r="PR18" s="29"/>
      <c r="PS18" s="29"/>
      <c r="PT18" s="29"/>
      <c r="PU18" s="29"/>
      <c r="PV18" s="29"/>
      <c r="PW18" s="29"/>
      <c r="PX18" s="29"/>
      <c r="PY18" s="29"/>
      <c r="PZ18" s="29"/>
      <c r="QA18" s="29"/>
      <c r="QB18" s="29"/>
      <c r="QC18" s="29"/>
      <c r="QD18" s="29"/>
      <c r="QE18" s="29"/>
      <c r="QF18" s="29"/>
      <c r="QG18" s="29"/>
      <c r="QH18" s="29"/>
      <c r="QI18" s="29"/>
      <c r="QJ18" s="29"/>
      <c r="QK18" s="29"/>
      <c r="QL18" s="29"/>
      <c r="QM18" s="29"/>
      <c r="QN18" s="29"/>
      <c r="QO18" s="29"/>
      <c r="QP18" s="29"/>
      <c r="QQ18" s="29"/>
      <c r="QR18" s="29"/>
      <c r="QS18" s="29"/>
      <c r="QT18" s="29"/>
      <c r="QU18" s="29"/>
      <c r="QV18" s="29"/>
      <c r="QW18" s="29"/>
      <c r="QX18" s="29"/>
      <c r="QY18" s="29"/>
      <c r="QZ18" s="29"/>
      <c r="RA18" s="29"/>
      <c r="RB18" s="29"/>
      <c r="RC18" s="29"/>
      <c r="RD18" s="29"/>
      <c r="RE18" s="29"/>
      <c r="RF18" s="29"/>
      <c r="RG18" s="29"/>
      <c r="RH18" s="29"/>
      <c r="RI18" s="29"/>
      <c r="RJ18" s="29"/>
      <c r="RK18" s="29"/>
      <c r="RL18" s="29"/>
      <c r="RM18" s="29"/>
      <c r="RN18" s="29"/>
      <c r="RO18" s="29"/>
      <c r="RP18" s="29"/>
      <c r="RQ18" s="29"/>
      <c r="RR18" s="29"/>
      <c r="RS18" s="29"/>
      <c r="RT18" s="29"/>
      <c r="RU18" s="29"/>
      <c r="RV18" s="29"/>
      <c r="RW18" s="29"/>
      <c r="RX18" s="29"/>
      <c r="RY18" s="29"/>
      <c r="RZ18" s="29"/>
      <c r="SA18" s="29"/>
      <c r="SB18" s="29"/>
      <c r="SC18" s="29"/>
      <c r="SD18" s="29"/>
      <c r="SE18" s="29"/>
      <c r="SF18" s="29"/>
      <c r="SG18" s="29"/>
      <c r="SH18" s="29"/>
      <c r="SI18" s="29"/>
      <c r="SJ18" s="29"/>
      <c r="SK18" s="29"/>
      <c r="SL18" s="29"/>
      <c r="SM18" s="29"/>
      <c r="SN18" s="29"/>
      <c r="SO18" s="29"/>
      <c r="SP18" s="29"/>
      <c r="SQ18" s="29"/>
      <c r="SR18" s="29"/>
      <c r="SS18" s="29"/>
      <c r="ST18" s="29"/>
      <c r="SU18" s="29"/>
      <c r="SV18" s="29"/>
      <c r="SW18" s="29"/>
      <c r="SX18" s="29"/>
      <c r="SY18" s="29"/>
      <c r="SZ18" s="29"/>
      <c r="TA18" s="29"/>
      <c r="TB18" s="29"/>
      <c r="TC18" s="29"/>
      <c r="TD18" s="29"/>
      <c r="TE18" s="29"/>
      <c r="TF18" s="29"/>
      <c r="TG18" s="29"/>
      <c r="TH18" s="29"/>
      <c r="TI18" s="29"/>
      <c r="TJ18" s="29"/>
      <c r="TK18" s="29"/>
      <c r="TL18" s="29"/>
      <c r="TM18" s="29"/>
      <c r="TN18" s="29"/>
      <c r="TO18" s="29"/>
      <c r="TP18" s="29"/>
      <c r="TQ18" s="29"/>
      <c r="TR18" s="29"/>
      <c r="TS18" s="29"/>
      <c r="TT18" s="29"/>
      <c r="TU18" s="29"/>
      <c r="TV18" s="29"/>
      <c r="TW18" s="29"/>
      <c r="TX18" s="29"/>
      <c r="TY18" s="29"/>
      <c r="TZ18" s="29"/>
      <c r="UA18" s="29"/>
      <c r="UB18" s="29"/>
      <c r="UC18" s="29"/>
      <c r="UD18" s="29"/>
      <c r="UE18" s="29"/>
      <c r="UF18" s="29"/>
      <c r="UG18" s="29"/>
      <c r="UH18" s="29"/>
      <c r="UI18" s="29"/>
      <c r="UJ18" s="29"/>
      <c r="UK18" s="29"/>
      <c r="UL18" s="29"/>
      <c r="UM18" s="29"/>
      <c r="UN18" s="29"/>
      <c r="UO18" s="29"/>
      <c r="UP18" s="29"/>
      <c r="UQ18" s="29"/>
      <c r="UR18" s="29"/>
      <c r="US18" s="29"/>
      <c r="UT18" s="29"/>
      <c r="UU18" s="29"/>
      <c r="UV18" s="29"/>
      <c r="UW18" s="29"/>
      <c r="UX18" s="29"/>
      <c r="UY18" s="29"/>
      <c r="UZ18" s="29"/>
      <c r="VA18" s="29"/>
      <c r="VB18" s="29"/>
      <c r="VC18" s="29"/>
      <c r="VD18" s="29"/>
      <c r="VE18" s="29"/>
      <c r="VF18" s="29"/>
      <c r="VG18" s="29"/>
      <c r="VH18" s="29"/>
      <c r="VI18" s="29"/>
      <c r="VJ18" s="29"/>
      <c r="VK18" s="29"/>
      <c r="VL18" s="29"/>
      <c r="VM18" s="29"/>
      <c r="VN18" s="29"/>
      <c r="VO18" s="29"/>
      <c r="VP18" s="29"/>
      <c r="VQ18" s="29"/>
      <c r="VR18" s="29"/>
      <c r="VS18" s="29"/>
      <c r="VT18" s="29"/>
      <c r="VU18" s="29"/>
      <c r="VV18" s="29"/>
      <c r="VW18" s="29"/>
      <c r="VX18" s="29"/>
      <c r="VY18" s="29"/>
      <c r="VZ18" s="29"/>
      <c r="WA18" s="29"/>
      <c r="WB18" s="29"/>
      <c r="WC18" s="29"/>
      <c r="WD18" s="29"/>
      <c r="WE18" s="29"/>
      <c r="WF18" s="29"/>
      <c r="WG18" s="29"/>
      <c r="WH18" s="29"/>
      <c r="WI18" s="29"/>
      <c r="WJ18" s="29"/>
      <c r="WK18" s="29"/>
      <c r="WL18" s="29"/>
      <c r="WM18" s="29"/>
      <c r="WN18" s="29"/>
      <c r="WO18" s="29"/>
      <c r="WP18" s="29"/>
      <c r="WQ18" s="29"/>
      <c r="WR18" s="29"/>
      <c r="WS18" s="29"/>
    </row>
    <row r="19" spans="1:617" s="3" customFormat="1" ht="15" outlineLevel="1" thickBot="1">
      <c r="A19" s="33"/>
      <c r="B19" s="178"/>
      <c r="C19" s="178" t="s">
        <v>83</v>
      </c>
      <c r="D19" s="179">
        <f t="shared" ref="D19:D40" si="588">D18+7</f>
        <v>45747</v>
      </c>
      <c r="E19" s="179">
        <f t="shared" si="587"/>
        <v>45758</v>
      </c>
      <c r="F19" s="14"/>
      <c r="G19" s="14">
        <v>12</v>
      </c>
      <c r="H19" s="29"/>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c r="MM19" s="29"/>
      <c r="MN19" s="29"/>
      <c r="MO19" s="29"/>
      <c r="MP19" s="29"/>
      <c r="MQ19" s="29"/>
      <c r="MR19" s="29"/>
      <c r="MS19" s="29"/>
      <c r="MT19" s="29"/>
      <c r="MU19" s="29"/>
      <c r="MV19" s="29"/>
      <c r="MW19" s="29"/>
      <c r="MX19" s="29"/>
      <c r="MY19" s="29"/>
      <c r="MZ19" s="29"/>
      <c r="NA19" s="29"/>
      <c r="NB19" s="29"/>
      <c r="NC19" s="29"/>
      <c r="ND19" s="29"/>
      <c r="NE19" s="29"/>
      <c r="NF19" s="29"/>
      <c r="NG19" s="29"/>
      <c r="NH19" s="29"/>
      <c r="NI19" s="29"/>
      <c r="NJ19" s="29"/>
      <c r="NK19" s="29"/>
      <c r="NL19" s="29"/>
      <c r="NM19" s="29"/>
      <c r="NN19" s="29"/>
      <c r="NO19" s="29"/>
      <c r="NP19" s="29"/>
      <c r="NQ19" s="29"/>
      <c r="NR19" s="29"/>
      <c r="NS19" s="29"/>
      <c r="NT19" s="29"/>
      <c r="NU19" s="29"/>
      <c r="NV19" s="29"/>
      <c r="NW19" s="29"/>
      <c r="NX19" s="29"/>
      <c r="NY19" s="29"/>
      <c r="NZ19" s="29"/>
      <c r="OA19" s="29"/>
      <c r="OB19" s="29"/>
      <c r="OC19" s="29"/>
      <c r="OD19" s="29"/>
      <c r="OE19" s="29"/>
      <c r="OF19" s="29"/>
      <c r="OG19" s="29"/>
      <c r="OH19" s="29"/>
      <c r="OI19" s="29"/>
      <c r="OJ19" s="29"/>
      <c r="OK19" s="29"/>
      <c r="OL19" s="29"/>
      <c r="OM19" s="29"/>
      <c r="ON19" s="29"/>
      <c r="OO19" s="29"/>
      <c r="OP19" s="29"/>
      <c r="OQ19" s="29"/>
      <c r="OR19" s="29"/>
      <c r="OS19" s="29"/>
      <c r="OT19" s="29"/>
      <c r="OU19" s="29"/>
      <c r="OV19" s="29"/>
      <c r="OW19" s="29"/>
      <c r="OX19" s="29"/>
      <c r="OY19" s="29"/>
      <c r="OZ19" s="29"/>
      <c r="PA19" s="29"/>
      <c r="PB19" s="29"/>
      <c r="PC19" s="29"/>
      <c r="PD19" s="29"/>
      <c r="PE19" s="29"/>
      <c r="PF19" s="29"/>
      <c r="PG19" s="29"/>
      <c r="PH19" s="29"/>
      <c r="PI19" s="29"/>
      <c r="PJ19" s="29"/>
      <c r="PK19" s="29"/>
      <c r="PL19" s="29"/>
      <c r="PM19" s="29"/>
      <c r="PN19" s="29"/>
      <c r="PO19" s="29"/>
      <c r="PP19" s="29"/>
      <c r="PQ19" s="29"/>
      <c r="PR19" s="29"/>
      <c r="PS19" s="29"/>
      <c r="PT19" s="29"/>
      <c r="PU19" s="29"/>
      <c r="PV19" s="29"/>
      <c r="PW19" s="29"/>
      <c r="PX19" s="29"/>
      <c r="PY19" s="29"/>
      <c r="PZ19" s="29"/>
      <c r="QA19" s="29"/>
      <c r="QB19" s="29"/>
      <c r="QC19" s="29"/>
      <c r="QD19" s="29"/>
      <c r="QE19" s="29"/>
      <c r="QF19" s="29"/>
      <c r="QG19" s="29"/>
      <c r="QH19" s="29"/>
      <c r="QI19" s="29"/>
      <c r="QJ19" s="29"/>
      <c r="QK19" s="29"/>
      <c r="QL19" s="29"/>
      <c r="QM19" s="29"/>
      <c r="QN19" s="29"/>
      <c r="QO19" s="29"/>
      <c r="QP19" s="29"/>
      <c r="QQ19" s="29"/>
      <c r="QR19" s="29"/>
      <c r="QS19" s="29"/>
      <c r="QT19" s="29"/>
      <c r="QU19" s="29"/>
      <c r="QV19" s="29"/>
      <c r="QW19" s="29"/>
      <c r="QX19" s="29"/>
      <c r="QY19" s="29"/>
      <c r="QZ19" s="29"/>
      <c r="RA19" s="29"/>
      <c r="RB19" s="29"/>
      <c r="RC19" s="29"/>
      <c r="RD19" s="29"/>
      <c r="RE19" s="29"/>
      <c r="RF19" s="29"/>
      <c r="RG19" s="29"/>
      <c r="RH19" s="29"/>
      <c r="RI19" s="29"/>
      <c r="RJ19" s="29"/>
      <c r="RK19" s="29"/>
      <c r="RL19" s="29"/>
      <c r="RM19" s="29"/>
      <c r="RN19" s="29"/>
      <c r="RO19" s="29"/>
      <c r="RP19" s="29"/>
      <c r="RQ19" s="29"/>
      <c r="RR19" s="29"/>
      <c r="RS19" s="29"/>
      <c r="RT19" s="29"/>
      <c r="RU19" s="29"/>
      <c r="RV19" s="29"/>
      <c r="RW19" s="29"/>
      <c r="RX19" s="29"/>
      <c r="RY19" s="29"/>
      <c r="RZ19" s="29"/>
      <c r="SA19" s="29"/>
      <c r="SB19" s="29"/>
      <c r="SC19" s="29"/>
      <c r="SD19" s="29"/>
      <c r="SE19" s="29"/>
      <c r="SF19" s="29"/>
      <c r="SG19" s="29"/>
      <c r="SH19" s="29"/>
      <c r="SI19" s="29"/>
      <c r="SJ19" s="29"/>
      <c r="SK19" s="29"/>
      <c r="SL19" s="29"/>
      <c r="SM19" s="29"/>
      <c r="SN19" s="29"/>
      <c r="SO19" s="29"/>
      <c r="SP19" s="29"/>
      <c r="SQ19" s="29"/>
      <c r="SR19" s="29"/>
      <c r="SS19" s="29"/>
      <c r="ST19" s="29"/>
      <c r="SU19" s="29"/>
      <c r="SV19" s="29"/>
      <c r="SW19" s="29"/>
      <c r="SX19" s="29"/>
      <c r="SY19" s="29"/>
      <c r="SZ19" s="29"/>
      <c r="TA19" s="29"/>
      <c r="TB19" s="29"/>
      <c r="TC19" s="29"/>
      <c r="TD19" s="29"/>
      <c r="TE19" s="29"/>
      <c r="TF19" s="29"/>
      <c r="TG19" s="29"/>
      <c r="TH19" s="29"/>
      <c r="TI19" s="29"/>
      <c r="TJ19" s="29"/>
      <c r="TK19" s="29"/>
      <c r="TL19" s="29"/>
      <c r="TM19" s="29"/>
      <c r="TN19" s="29"/>
      <c r="TO19" s="29"/>
      <c r="TP19" s="29"/>
      <c r="TQ19" s="29"/>
      <c r="TR19" s="29"/>
      <c r="TS19" s="29"/>
      <c r="TT19" s="29"/>
      <c r="TU19" s="29"/>
      <c r="TV19" s="29"/>
      <c r="TW19" s="29"/>
      <c r="TX19" s="29"/>
      <c r="TY19" s="29"/>
      <c r="TZ19" s="29"/>
      <c r="UA19" s="29"/>
      <c r="UB19" s="29"/>
      <c r="UC19" s="29"/>
      <c r="UD19" s="29"/>
      <c r="UE19" s="29"/>
      <c r="UF19" s="29"/>
      <c r="UG19" s="29"/>
      <c r="UH19" s="29"/>
      <c r="UI19" s="29"/>
      <c r="UJ19" s="29"/>
      <c r="UK19" s="29"/>
      <c r="UL19" s="29"/>
      <c r="UM19" s="29"/>
      <c r="UN19" s="29"/>
      <c r="UO19" s="29"/>
      <c r="UP19" s="29"/>
      <c r="UQ19" s="29"/>
      <c r="UR19" s="29"/>
      <c r="US19" s="29"/>
      <c r="UT19" s="29"/>
      <c r="UU19" s="29"/>
      <c r="UV19" s="29"/>
      <c r="UW19" s="29"/>
      <c r="UX19" s="29"/>
      <c r="UY19" s="29"/>
      <c r="UZ19" s="29"/>
      <c r="VA19" s="29"/>
      <c r="VB19" s="29"/>
      <c r="VC19" s="29"/>
      <c r="VD19" s="29"/>
      <c r="VE19" s="29"/>
      <c r="VF19" s="29"/>
      <c r="VG19" s="29"/>
      <c r="VH19" s="29"/>
      <c r="VI19" s="29"/>
      <c r="VJ19" s="29"/>
      <c r="VK19" s="29"/>
      <c r="VL19" s="29"/>
      <c r="VM19" s="29"/>
      <c r="VN19" s="29"/>
      <c r="VO19" s="29"/>
      <c r="VP19" s="29"/>
      <c r="VQ19" s="29"/>
      <c r="VR19" s="29"/>
      <c r="VS19" s="29"/>
      <c r="VT19" s="29"/>
      <c r="VU19" s="29"/>
      <c r="VV19" s="29"/>
      <c r="VW19" s="29"/>
      <c r="VX19" s="29"/>
      <c r="VY19" s="29"/>
      <c r="VZ19" s="29"/>
      <c r="WA19" s="29"/>
      <c r="WB19" s="29"/>
      <c r="WC19" s="29"/>
      <c r="WD19" s="29"/>
      <c r="WE19" s="29"/>
      <c r="WF19" s="29"/>
      <c r="WG19" s="29"/>
      <c r="WH19" s="29"/>
      <c r="WI19" s="29"/>
      <c r="WJ19" s="29"/>
      <c r="WK19" s="29"/>
      <c r="WL19" s="29"/>
      <c r="WM19" s="29"/>
      <c r="WN19" s="29"/>
      <c r="WO19" s="29"/>
      <c r="WP19" s="29"/>
      <c r="WQ19" s="29"/>
      <c r="WR19" s="29"/>
      <c r="WS19" s="29"/>
    </row>
    <row r="20" spans="1:617" s="3" customFormat="1" ht="15" outlineLevel="1" thickBot="1">
      <c r="A20" s="33"/>
      <c r="B20" s="178"/>
      <c r="C20" s="178" t="s">
        <v>80</v>
      </c>
      <c r="D20" s="179">
        <f t="shared" si="588"/>
        <v>45754</v>
      </c>
      <c r="E20" s="179">
        <f t="shared" si="587"/>
        <v>45765</v>
      </c>
      <c r="F20" s="14"/>
      <c r="G20" s="14">
        <v>12</v>
      </c>
      <c r="H20" s="29"/>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c r="MM20" s="29"/>
      <c r="MN20" s="29"/>
      <c r="MO20" s="29"/>
      <c r="MP20" s="29"/>
      <c r="MQ20" s="29"/>
      <c r="MR20" s="29"/>
      <c r="MS20" s="29"/>
      <c r="MT20" s="29"/>
      <c r="MU20" s="29"/>
      <c r="MV20" s="29"/>
      <c r="MW20" s="29"/>
      <c r="MX20" s="29"/>
      <c r="MY20" s="29"/>
      <c r="MZ20" s="29"/>
      <c r="NA20" s="29"/>
      <c r="NB20" s="29"/>
      <c r="NC20" s="29"/>
      <c r="ND20" s="29"/>
      <c r="NE20" s="29"/>
      <c r="NF20" s="29"/>
      <c r="NG20" s="29"/>
      <c r="NH20" s="29"/>
      <c r="NI20" s="29"/>
      <c r="NJ20" s="29"/>
      <c r="NK20" s="29"/>
      <c r="NL20" s="29"/>
      <c r="NM20" s="29"/>
      <c r="NN20" s="29"/>
      <c r="NO20" s="29"/>
      <c r="NP20" s="29"/>
      <c r="NQ20" s="29"/>
      <c r="NR20" s="29"/>
      <c r="NS20" s="29"/>
      <c r="NT20" s="29"/>
      <c r="NU20" s="29"/>
      <c r="NV20" s="29"/>
      <c r="NW20" s="29"/>
      <c r="NX20" s="29"/>
      <c r="NY20" s="29"/>
      <c r="NZ20" s="29"/>
      <c r="OA20" s="29"/>
      <c r="OB20" s="29"/>
      <c r="OC20" s="29"/>
      <c r="OD20" s="29"/>
      <c r="OE20" s="29"/>
      <c r="OF20" s="29"/>
      <c r="OG20" s="29"/>
      <c r="OH20" s="29"/>
      <c r="OI20" s="29"/>
      <c r="OJ20" s="29"/>
      <c r="OK20" s="29"/>
      <c r="OL20" s="29"/>
      <c r="OM20" s="29"/>
      <c r="ON20" s="29"/>
      <c r="OO20" s="29"/>
      <c r="OP20" s="29"/>
      <c r="OQ20" s="29"/>
      <c r="OR20" s="29"/>
      <c r="OS20" s="29"/>
      <c r="OT20" s="29"/>
      <c r="OU20" s="29"/>
      <c r="OV20" s="29"/>
      <c r="OW20" s="29"/>
      <c r="OX20" s="29"/>
      <c r="OY20" s="29"/>
      <c r="OZ20" s="29"/>
      <c r="PA20" s="29"/>
      <c r="PB20" s="29"/>
      <c r="PC20" s="29"/>
      <c r="PD20" s="29"/>
      <c r="PE20" s="29"/>
      <c r="PF20" s="29"/>
      <c r="PG20" s="29"/>
      <c r="PH20" s="29"/>
      <c r="PI20" s="29"/>
      <c r="PJ20" s="29"/>
      <c r="PK20" s="29"/>
      <c r="PL20" s="29"/>
      <c r="PM20" s="29"/>
      <c r="PN20" s="29"/>
      <c r="PO20" s="29"/>
      <c r="PP20" s="29"/>
      <c r="PQ20" s="29"/>
      <c r="PR20" s="29"/>
      <c r="PS20" s="29"/>
      <c r="PT20" s="29"/>
      <c r="PU20" s="29"/>
      <c r="PV20" s="29"/>
      <c r="PW20" s="29"/>
      <c r="PX20" s="29"/>
      <c r="PY20" s="29"/>
      <c r="PZ20" s="29"/>
      <c r="QA20" s="29"/>
      <c r="QB20" s="29"/>
      <c r="QC20" s="29"/>
      <c r="QD20" s="29"/>
      <c r="QE20" s="29"/>
      <c r="QF20" s="29"/>
      <c r="QG20" s="29"/>
      <c r="QH20" s="29"/>
      <c r="QI20" s="29"/>
      <c r="QJ20" s="29"/>
      <c r="QK20" s="29"/>
      <c r="QL20" s="29"/>
      <c r="QM20" s="29"/>
      <c r="QN20" s="29"/>
      <c r="QO20" s="29"/>
      <c r="QP20" s="29"/>
      <c r="QQ20" s="29"/>
      <c r="QR20" s="29"/>
      <c r="QS20" s="29"/>
      <c r="QT20" s="29"/>
      <c r="QU20" s="29"/>
      <c r="QV20" s="29"/>
      <c r="QW20" s="29"/>
      <c r="QX20" s="29"/>
      <c r="QY20" s="29"/>
      <c r="QZ20" s="29"/>
      <c r="RA20" s="29"/>
      <c r="RB20" s="29"/>
      <c r="RC20" s="29"/>
      <c r="RD20" s="29"/>
      <c r="RE20" s="29"/>
      <c r="RF20" s="29"/>
      <c r="RG20" s="29"/>
      <c r="RH20" s="29"/>
      <c r="RI20" s="29"/>
      <c r="RJ20" s="29"/>
      <c r="RK20" s="29"/>
      <c r="RL20" s="29"/>
      <c r="RM20" s="29"/>
      <c r="RN20" s="29"/>
      <c r="RO20" s="29"/>
      <c r="RP20" s="29"/>
      <c r="RQ20" s="29"/>
      <c r="RR20" s="29"/>
      <c r="RS20" s="29"/>
      <c r="RT20" s="29"/>
      <c r="RU20" s="29"/>
      <c r="RV20" s="29"/>
      <c r="RW20" s="29"/>
      <c r="RX20" s="29"/>
      <c r="RY20" s="29"/>
      <c r="RZ20" s="29"/>
      <c r="SA20" s="29"/>
      <c r="SB20" s="29"/>
      <c r="SC20" s="29"/>
      <c r="SD20" s="29"/>
      <c r="SE20" s="29"/>
      <c r="SF20" s="29"/>
      <c r="SG20" s="29"/>
      <c r="SH20" s="29"/>
      <c r="SI20" s="29"/>
      <c r="SJ20" s="29"/>
      <c r="SK20" s="29"/>
      <c r="SL20" s="29"/>
      <c r="SM20" s="29"/>
      <c r="SN20" s="29"/>
      <c r="SO20" s="29"/>
      <c r="SP20" s="29"/>
      <c r="SQ20" s="29"/>
      <c r="SR20" s="29"/>
      <c r="SS20" s="29"/>
      <c r="ST20" s="29"/>
      <c r="SU20" s="29"/>
      <c r="SV20" s="29"/>
      <c r="SW20" s="29"/>
      <c r="SX20" s="29"/>
      <c r="SY20" s="29"/>
      <c r="SZ20" s="29"/>
      <c r="TA20" s="29"/>
      <c r="TB20" s="29"/>
      <c r="TC20" s="29"/>
      <c r="TD20" s="29"/>
      <c r="TE20" s="29"/>
      <c r="TF20" s="29"/>
      <c r="TG20" s="29"/>
      <c r="TH20" s="29"/>
      <c r="TI20" s="29"/>
      <c r="TJ20" s="29"/>
      <c r="TK20" s="29"/>
      <c r="TL20" s="29"/>
      <c r="TM20" s="29"/>
      <c r="TN20" s="29"/>
      <c r="TO20" s="29"/>
      <c r="TP20" s="29"/>
      <c r="TQ20" s="29"/>
      <c r="TR20" s="29"/>
      <c r="TS20" s="29"/>
      <c r="TT20" s="29"/>
      <c r="TU20" s="29"/>
      <c r="TV20" s="29"/>
      <c r="TW20" s="29"/>
      <c r="TX20" s="29"/>
      <c r="TY20" s="29"/>
      <c r="TZ20" s="29"/>
      <c r="UA20" s="29"/>
      <c r="UB20" s="29"/>
      <c r="UC20" s="29"/>
      <c r="UD20" s="29"/>
      <c r="UE20" s="29"/>
      <c r="UF20" s="29"/>
      <c r="UG20" s="29"/>
      <c r="UH20" s="29"/>
      <c r="UI20" s="29"/>
      <c r="UJ20" s="29"/>
      <c r="UK20" s="29"/>
      <c r="UL20" s="29"/>
      <c r="UM20" s="29"/>
      <c r="UN20" s="29"/>
      <c r="UO20" s="29"/>
      <c r="UP20" s="29"/>
      <c r="UQ20" s="29"/>
      <c r="UR20" s="29"/>
      <c r="US20" s="29"/>
      <c r="UT20" s="29"/>
      <c r="UU20" s="29"/>
      <c r="UV20" s="29"/>
      <c r="UW20" s="29"/>
      <c r="UX20" s="29"/>
      <c r="UY20" s="29"/>
      <c r="UZ20" s="29"/>
      <c r="VA20" s="29"/>
      <c r="VB20" s="29"/>
      <c r="VC20" s="29"/>
      <c r="VD20" s="29"/>
      <c r="VE20" s="29"/>
      <c r="VF20" s="29"/>
      <c r="VG20" s="29"/>
      <c r="VH20" s="29"/>
      <c r="VI20" s="29"/>
      <c r="VJ20" s="29"/>
      <c r="VK20" s="29"/>
      <c r="VL20" s="29"/>
      <c r="VM20" s="29"/>
      <c r="VN20" s="29"/>
      <c r="VO20" s="29"/>
      <c r="VP20" s="29"/>
      <c r="VQ20" s="29"/>
      <c r="VR20" s="29"/>
      <c r="VS20" s="29"/>
      <c r="VT20" s="29"/>
      <c r="VU20" s="29"/>
      <c r="VV20" s="29"/>
      <c r="VW20" s="29"/>
      <c r="VX20" s="29"/>
      <c r="VY20" s="29"/>
      <c r="VZ20" s="29"/>
      <c r="WA20" s="29"/>
      <c r="WB20" s="29"/>
      <c r="WC20" s="29"/>
      <c r="WD20" s="29"/>
      <c r="WE20" s="29"/>
      <c r="WF20" s="29"/>
      <c r="WG20" s="29"/>
      <c r="WH20" s="29"/>
      <c r="WI20" s="29"/>
      <c r="WJ20" s="29"/>
      <c r="WK20" s="29"/>
      <c r="WL20" s="29"/>
      <c r="WM20" s="29"/>
      <c r="WN20" s="29"/>
      <c r="WO20" s="29"/>
      <c r="WP20" s="29"/>
      <c r="WQ20" s="29"/>
      <c r="WR20" s="29"/>
      <c r="WS20" s="29"/>
    </row>
    <row r="21" spans="1:617" s="3" customFormat="1" ht="15" outlineLevel="1" thickBot="1">
      <c r="A21" s="33"/>
      <c r="B21" s="178"/>
      <c r="C21" s="178" t="s">
        <v>95</v>
      </c>
      <c r="D21" s="179">
        <f t="shared" si="588"/>
        <v>45761</v>
      </c>
      <c r="E21" s="179">
        <f t="shared" si="587"/>
        <v>45772</v>
      </c>
      <c r="F21" s="14"/>
      <c r="G21" s="14">
        <v>12</v>
      </c>
      <c r="H21" s="29"/>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c r="MM21" s="29"/>
      <c r="MN21" s="29"/>
      <c r="MO21" s="29"/>
      <c r="MP21" s="29"/>
      <c r="MQ21" s="29"/>
      <c r="MR21" s="29"/>
      <c r="MS21" s="29"/>
      <c r="MT21" s="29"/>
      <c r="MU21" s="29"/>
      <c r="MV21" s="29"/>
      <c r="MW21" s="29"/>
      <c r="MX21" s="29"/>
      <c r="MY21" s="29"/>
      <c r="MZ21" s="29"/>
      <c r="NA21" s="29"/>
      <c r="NB21" s="29"/>
      <c r="NC21" s="29"/>
      <c r="ND21" s="29"/>
      <c r="NE21" s="29"/>
      <c r="NF21" s="29"/>
      <c r="NG21" s="29"/>
      <c r="NH21" s="29"/>
      <c r="NI21" s="29"/>
      <c r="NJ21" s="29"/>
      <c r="NK21" s="29"/>
      <c r="NL21" s="29"/>
      <c r="NM21" s="29"/>
      <c r="NN21" s="29"/>
      <c r="NO21" s="29"/>
      <c r="NP21" s="29"/>
      <c r="NQ21" s="29"/>
      <c r="NR21" s="29"/>
      <c r="NS21" s="29"/>
      <c r="NT21" s="29"/>
      <c r="NU21" s="29"/>
      <c r="NV21" s="29"/>
      <c r="NW21" s="29"/>
      <c r="NX21" s="29"/>
      <c r="NY21" s="29"/>
      <c r="NZ21" s="29"/>
      <c r="OA21" s="29"/>
      <c r="OB21" s="29"/>
      <c r="OC21" s="29"/>
      <c r="OD21" s="29"/>
      <c r="OE21" s="29"/>
      <c r="OF21" s="29"/>
      <c r="OG21" s="29"/>
      <c r="OH21" s="29"/>
      <c r="OI21" s="29"/>
      <c r="OJ21" s="29"/>
      <c r="OK21" s="29"/>
      <c r="OL21" s="29"/>
      <c r="OM21" s="29"/>
      <c r="ON21" s="29"/>
      <c r="OO21" s="29"/>
      <c r="OP21" s="29"/>
      <c r="OQ21" s="29"/>
      <c r="OR21" s="29"/>
      <c r="OS21" s="29"/>
      <c r="OT21" s="29"/>
      <c r="OU21" s="29"/>
      <c r="OV21" s="29"/>
      <c r="OW21" s="29"/>
      <c r="OX21" s="29"/>
      <c r="OY21" s="29"/>
      <c r="OZ21" s="29"/>
      <c r="PA21" s="29"/>
      <c r="PB21" s="29"/>
      <c r="PC21" s="29"/>
      <c r="PD21" s="29"/>
      <c r="PE21" s="29"/>
      <c r="PF21" s="29"/>
      <c r="PG21" s="29"/>
      <c r="PH21" s="29"/>
      <c r="PI21" s="29"/>
      <c r="PJ21" s="29"/>
      <c r="PK21" s="29"/>
      <c r="PL21" s="29"/>
      <c r="PM21" s="29"/>
      <c r="PN21" s="29"/>
      <c r="PO21" s="29"/>
      <c r="PP21" s="29"/>
      <c r="PQ21" s="29"/>
      <c r="PR21" s="29"/>
      <c r="PS21" s="29"/>
      <c r="PT21" s="29"/>
      <c r="PU21" s="29"/>
      <c r="PV21" s="29"/>
      <c r="PW21" s="29"/>
      <c r="PX21" s="29"/>
      <c r="PY21" s="29"/>
      <c r="PZ21" s="29"/>
      <c r="QA21" s="29"/>
      <c r="QB21" s="29"/>
      <c r="QC21" s="29"/>
      <c r="QD21" s="29"/>
      <c r="QE21" s="29"/>
      <c r="QF21" s="29"/>
      <c r="QG21" s="29"/>
      <c r="QH21" s="29"/>
      <c r="QI21" s="29"/>
      <c r="QJ21" s="29"/>
      <c r="QK21" s="29"/>
      <c r="QL21" s="29"/>
      <c r="QM21" s="29"/>
      <c r="QN21" s="29"/>
      <c r="QO21" s="29"/>
      <c r="QP21" s="29"/>
      <c r="QQ21" s="29"/>
      <c r="QR21" s="29"/>
      <c r="QS21" s="29"/>
      <c r="QT21" s="29"/>
      <c r="QU21" s="29"/>
      <c r="QV21" s="29"/>
      <c r="QW21" s="29"/>
      <c r="QX21" s="29"/>
      <c r="QY21" s="29"/>
      <c r="QZ21" s="29"/>
      <c r="RA21" s="29"/>
      <c r="RB21" s="29"/>
      <c r="RC21" s="29"/>
      <c r="RD21" s="29"/>
      <c r="RE21" s="29"/>
      <c r="RF21" s="29"/>
      <c r="RG21" s="29"/>
      <c r="RH21" s="29"/>
      <c r="RI21" s="29"/>
      <c r="RJ21" s="29"/>
      <c r="RK21" s="29"/>
      <c r="RL21" s="29"/>
      <c r="RM21" s="29"/>
      <c r="RN21" s="29"/>
      <c r="RO21" s="29"/>
      <c r="RP21" s="29"/>
      <c r="RQ21" s="29"/>
      <c r="RR21" s="29"/>
      <c r="RS21" s="29"/>
      <c r="RT21" s="29"/>
      <c r="RU21" s="29"/>
      <c r="RV21" s="29"/>
      <c r="RW21" s="29"/>
      <c r="RX21" s="29"/>
      <c r="RY21" s="29"/>
      <c r="RZ21" s="29"/>
      <c r="SA21" s="29"/>
      <c r="SB21" s="29"/>
      <c r="SC21" s="29"/>
      <c r="SD21" s="29"/>
      <c r="SE21" s="29"/>
      <c r="SF21" s="29"/>
      <c r="SG21" s="29"/>
      <c r="SH21" s="29"/>
      <c r="SI21" s="29"/>
      <c r="SJ21" s="29"/>
      <c r="SK21" s="29"/>
      <c r="SL21" s="29"/>
      <c r="SM21" s="29"/>
      <c r="SN21" s="29"/>
      <c r="SO21" s="29"/>
      <c r="SP21" s="29"/>
      <c r="SQ21" s="29"/>
      <c r="SR21" s="29"/>
      <c r="SS21" s="29"/>
      <c r="ST21" s="29"/>
      <c r="SU21" s="29"/>
      <c r="SV21" s="29"/>
      <c r="SW21" s="29"/>
      <c r="SX21" s="29"/>
      <c r="SY21" s="29"/>
      <c r="SZ21" s="29"/>
      <c r="TA21" s="29"/>
      <c r="TB21" s="29"/>
      <c r="TC21" s="29"/>
      <c r="TD21" s="29"/>
      <c r="TE21" s="29"/>
      <c r="TF21" s="29"/>
      <c r="TG21" s="29"/>
      <c r="TH21" s="29"/>
      <c r="TI21" s="29"/>
      <c r="TJ21" s="29"/>
      <c r="TK21" s="29"/>
      <c r="TL21" s="29"/>
      <c r="TM21" s="29"/>
      <c r="TN21" s="29"/>
      <c r="TO21" s="29"/>
      <c r="TP21" s="29"/>
      <c r="TQ21" s="29"/>
      <c r="TR21" s="29"/>
      <c r="TS21" s="29"/>
      <c r="TT21" s="29"/>
      <c r="TU21" s="29"/>
      <c r="TV21" s="29"/>
      <c r="TW21" s="29"/>
      <c r="TX21" s="29"/>
      <c r="TY21" s="29"/>
      <c r="TZ21" s="29"/>
      <c r="UA21" s="29"/>
      <c r="UB21" s="29"/>
      <c r="UC21" s="29"/>
      <c r="UD21" s="29"/>
      <c r="UE21" s="29"/>
      <c r="UF21" s="29"/>
      <c r="UG21" s="29"/>
      <c r="UH21" s="29"/>
      <c r="UI21" s="29"/>
      <c r="UJ21" s="29"/>
      <c r="UK21" s="29"/>
      <c r="UL21" s="29"/>
      <c r="UM21" s="29"/>
      <c r="UN21" s="29"/>
      <c r="UO21" s="29"/>
      <c r="UP21" s="29"/>
      <c r="UQ21" s="29"/>
      <c r="UR21" s="29"/>
      <c r="US21" s="29"/>
      <c r="UT21" s="29"/>
      <c r="UU21" s="29"/>
      <c r="UV21" s="29"/>
      <c r="UW21" s="29"/>
      <c r="UX21" s="29"/>
      <c r="UY21" s="29"/>
      <c r="UZ21" s="29"/>
      <c r="VA21" s="29"/>
      <c r="VB21" s="29"/>
      <c r="VC21" s="29"/>
      <c r="VD21" s="29"/>
      <c r="VE21" s="29"/>
      <c r="VF21" s="29"/>
      <c r="VG21" s="29"/>
      <c r="VH21" s="29"/>
      <c r="VI21" s="29"/>
      <c r="VJ21" s="29"/>
      <c r="VK21" s="29"/>
      <c r="VL21" s="29"/>
      <c r="VM21" s="29"/>
      <c r="VN21" s="29"/>
      <c r="VO21" s="29"/>
      <c r="VP21" s="29"/>
      <c r="VQ21" s="29"/>
      <c r="VR21" s="29"/>
      <c r="VS21" s="29"/>
      <c r="VT21" s="29"/>
      <c r="VU21" s="29"/>
      <c r="VV21" s="29"/>
      <c r="VW21" s="29"/>
      <c r="VX21" s="29"/>
      <c r="VY21" s="29"/>
      <c r="VZ21" s="29"/>
      <c r="WA21" s="29"/>
      <c r="WB21" s="29"/>
      <c r="WC21" s="29"/>
      <c r="WD21" s="29"/>
      <c r="WE21" s="29"/>
      <c r="WF21" s="29"/>
      <c r="WG21" s="29"/>
      <c r="WH21" s="29"/>
      <c r="WI21" s="29"/>
      <c r="WJ21" s="29"/>
      <c r="WK21" s="29"/>
      <c r="WL21" s="29"/>
      <c r="WM21" s="29"/>
      <c r="WN21" s="29"/>
      <c r="WO21" s="29"/>
      <c r="WP21" s="29"/>
      <c r="WQ21" s="29"/>
      <c r="WR21" s="29"/>
      <c r="WS21" s="29"/>
    </row>
    <row r="22" spans="1:617" s="3" customFormat="1" ht="15" outlineLevel="1" thickBot="1">
      <c r="A22" s="33"/>
      <c r="B22" s="178"/>
      <c r="C22" s="178" t="s">
        <v>65</v>
      </c>
      <c r="D22" s="179">
        <f t="shared" si="588"/>
        <v>45768</v>
      </c>
      <c r="E22" s="179">
        <f t="shared" si="587"/>
        <v>45779</v>
      </c>
      <c r="F22" s="14"/>
      <c r="G22" s="14">
        <v>12</v>
      </c>
      <c r="H22" s="29"/>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c r="MM22" s="29"/>
      <c r="MN22" s="29"/>
      <c r="MO22" s="29"/>
      <c r="MP22" s="29"/>
      <c r="MQ22" s="29"/>
      <c r="MR22" s="29"/>
      <c r="MS22" s="29"/>
      <c r="MT22" s="29"/>
      <c r="MU22" s="29"/>
      <c r="MV22" s="29"/>
      <c r="MW22" s="29"/>
      <c r="MX22" s="29"/>
      <c r="MY22" s="29"/>
      <c r="MZ22" s="29"/>
      <c r="NA22" s="29"/>
      <c r="NB22" s="29"/>
      <c r="NC22" s="29"/>
      <c r="ND22" s="29"/>
      <c r="NE22" s="29"/>
      <c r="NF22" s="29"/>
      <c r="NG22" s="29"/>
      <c r="NH22" s="29"/>
      <c r="NI22" s="29"/>
      <c r="NJ22" s="29"/>
      <c r="NK22" s="29"/>
      <c r="NL22" s="29"/>
      <c r="NM22" s="29"/>
      <c r="NN22" s="29"/>
      <c r="NO22" s="29"/>
      <c r="NP22" s="29"/>
      <c r="NQ22" s="29"/>
      <c r="NR22" s="29"/>
      <c r="NS22" s="29"/>
      <c r="NT22" s="29"/>
      <c r="NU22" s="29"/>
      <c r="NV22" s="29"/>
      <c r="NW22" s="29"/>
      <c r="NX22" s="29"/>
      <c r="NY22" s="29"/>
      <c r="NZ22" s="29"/>
      <c r="OA22" s="29"/>
      <c r="OB22" s="29"/>
      <c r="OC22" s="29"/>
      <c r="OD22" s="29"/>
      <c r="OE22" s="29"/>
      <c r="OF22" s="29"/>
      <c r="OG22" s="29"/>
      <c r="OH22" s="29"/>
      <c r="OI22" s="29"/>
      <c r="OJ22" s="29"/>
      <c r="OK22" s="29"/>
      <c r="OL22" s="29"/>
      <c r="OM22" s="29"/>
      <c r="ON22" s="29"/>
      <c r="OO22" s="29"/>
      <c r="OP22" s="29"/>
      <c r="OQ22" s="29"/>
      <c r="OR22" s="29"/>
      <c r="OS22" s="29"/>
      <c r="OT22" s="29"/>
      <c r="OU22" s="29"/>
      <c r="OV22" s="29"/>
      <c r="OW22" s="29"/>
      <c r="OX22" s="29"/>
      <c r="OY22" s="29"/>
      <c r="OZ22" s="29"/>
      <c r="PA22" s="29"/>
      <c r="PB22" s="29"/>
      <c r="PC22" s="29"/>
      <c r="PD22" s="29"/>
      <c r="PE22" s="29"/>
      <c r="PF22" s="29"/>
      <c r="PG22" s="29"/>
      <c r="PH22" s="29"/>
      <c r="PI22" s="29"/>
      <c r="PJ22" s="29"/>
      <c r="PK22" s="29"/>
      <c r="PL22" s="29"/>
      <c r="PM22" s="29"/>
      <c r="PN22" s="29"/>
      <c r="PO22" s="29"/>
      <c r="PP22" s="29"/>
      <c r="PQ22" s="29"/>
      <c r="PR22" s="29"/>
      <c r="PS22" s="29"/>
      <c r="PT22" s="29"/>
      <c r="PU22" s="29"/>
      <c r="PV22" s="29"/>
      <c r="PW22" s="29"/>
      <c r="PX22" s="29"/>
      <c r="PY22" s="29"/>
      <c r="PZ22" s="29"/>
      <c r="QA22" s="29"/>
      <c r="QB22" s="29"/>
      <c r="QC22" s="29"/>
      <c r="QD22" s="29"/>
      <c r="QE22" s="29"/>
      <c r="QF22" s="29"/>
      <c r="QG22" s="29"/>
      <c r="QH22" s="29"/>
      <c r="QI22" s="29"/>
      <c r="QJ22" s="29"/>
      <c r="QK22" s="29"/>
      <c r="QL22" s="29"/>
      <c r="QM22" s="29"/>
      <c r="QN22" s="29"/>
      <c r="QO22" s="29"/>
      <c r="QP22" s="29"/>
      <c r="QQ22" s="29"/>
      <c r="QR22" s="29"/>
      <c r="QS22" s="29"/>
      <c r="QT22" s="29"/>
      <c r="QU22" s="29"/>
      <c r="QV22" s="29"/>
      <c r="QW22" s="29"/>
      <c r="QX22" s="29"/>
      <c r="QY22" s="29"/>
      <c r="QZ22" s="29"/>
      <c r="RA22" s="29"/>
      <c r="RB22" s="29"/>
      <c r="RC22" s="29"/>
      <c r="RD22" s="29"/>
      <c r="RE22" s="29"/>
      <c r="RF22" s="29"/>
      <c r="RG22" s="29"/>
      <c r="RH22" s="29"/>
      <c r="RI22" s="29"/>
      <c r="RJ22" s="29"/>
      <c r="RK22" s="29"/>
      <c r="RL22" s="29"/>
      <c r="RM22" s="29"/>
      <c r="RN22" s="29"/>
      <c r="RO22" s="29"/>
      <c r="RP22" s="29"/>
      <c r="RQ22" s="29"/>
      <c r="RR22" s="29"/>
      <c r="RS22" s="29"/>
      <c r="RT22" s="29"/>
      <c r="RU22" s="29"/>
      <c r="RV22" s="29"/>
      <c r="RW22" s="29"/>
      <c r="RX22" s="29"/>
      <c r="RY22" s="29"/>
      <c r="RZ22" s="29"/>
      <c r="SA22" s="29"/>
      <c r="SB22" s="29"/>
      <c r="SC22" s="29"/>
      <c r="SD22" s="29"/>
      <c r="SE22" s="29"/>
      <c r="SF22" s="29"/>
      <c r="SG22" s="29"/>
      <c r="SH22" s="29"/>
      <c r="SI22" s="29"/>
      <c r="SJ22" s="29"/>
      <c r="SK22" s="29"/>
      <c r="SL22" s="29"/>
      <c r="SM22" s="29"/>
      <c r="SN22" s="29"/>
      <c r="SO22" s="29"/>
      <c r="SP22" s="29"/>
      <c r="SQ22" s="29"/>
      <c r="SR22" s="29"/>
      <c r="SS22" s="29"/>
      <c r="ST22" s="29"/>
      <c r="SU22" s="29"/>
      <c r="SV22" s="29"/>
      <c r="SW22" s="29"/>
      <c r="SX22" s="29"/>
      <c r="SY22" s="29"/>
      <c r="SZ22" s="29"/>
      <c r="TA22" s="29"/>
      <c r="TB22" s="29"/>
      <c r="TC22" s="29"/>
      <c r="TD22" s="29"/>
      <c r="TE22" s="29"/>
      <c r="TF22" s="29"/>
      <c r="TG22" s="29"/>
      <c r="TH22" s="29"/>
      <c r="TI22" s="29"/>
      <c r="TJ22" s="29"/>
      <c r="TK22" s="29"/>
      <c r="TL22" s="29"/>
      <c r="TM22" s="29"/>
      <c r="TN22" s="29"/>
      <c r="TO22" s="29"/>
      <c r="TP22" s="29"/>
      <c r="TQ22" s="29"/>
      <c r="TR22" s="29"/>
      <c r="TS22" s="29"/>
      <c r="TT22" s="29"/>
      <c r="TU22" s="29"/>
      <c r="TV22" s="29"/>
      <c r="TW22" s="29"/>
      <c r="TX22" s="29"/>
      <c r="TY22" s="29"/>
      <c r="TZ22" s="29"/>
      <c r="UA22" s="29"/>
      <c r="UB22" s="29"/>
      <c r="UC22" s="29"/>
      <c r="UD22" s="29"/>
      <c r="UE22" s="29"/>
      <c r="UF22" s="29"/>
      <c r="UG22" s="29"/>
      <c r="UH22" s="29"/>
      <c r="UI22" s="29"/>
      <c r="UJ22" s="29"/>
      <c r="UK22" s="29"/>
      <c r="UL22" s="29"/>
      <c r="UM22" s="29"/>
      <c r="UN22" s="29"/>
      <c r="UO22" s="29"/>
      <c r="UP22" s="29"/>
      <c r="UQ22" s="29"/>
      <c r="UR22" s="29"/>
      <c r="US22" s="29"/>
      <c r="UT22" s="29"/>
      <c r="UU22" s="29"/>
      <c r="UV22" s="29"/>
      <c r="UW22" s="29"/>
      <c r="UX22" s="29"/>
      <c r="UY22" s="29"/>
      <c r="UZ22" s="29"/>
      <c r="VA22" s="29"/>
      <c r="VB22" s="29"/>
      <c r="VC22" s="29"/>
      <c r="VD22" s="29"/>
      <c r="VE22" s="29"/>
      <c r="VF22" s="29"/>
      <c r="VG22" s="29"/>
      <c r="VH22" s="29"/>
      <c r="VI22" s="29"/>
      <c r="VJ22" s="29"/>
      <c r="VK22" s="29"/>
      <c r="VL22" s="29"/>
      <c r="VM22" s="29"/>
      <c r="VN22" s="29"/>
      <c r="VO22" s="29"/>
      <c r="VP22" s="29"/>
      <c r="VQ22" s="29"/>
      <c r="VR22" s="29"/>
      <c r="VS22" s="29"/>
      <c r="VT22" s="29"/>
      <c r="VU22" s="29"/>
      <c r="VV22" s="29"/>
      <c r="VW22" s="29"/>
      <c r="VX22" s="29"/>
      <c r="VY22" s="29"/>
      <c r="VZ22" s="29"/>
      <c r="WA22" s="29"/>
      <c r="WB22" s="29"/>
      <c r="WC22" s="29"/>
      <c r="WD22" s="29"/>
      <c r="WE22" s="29"/>
      <c r="WF22" s="29"/>
      <c r="WG22" s="29"/>
      <c r="WH22" s="29"/>
      <c r="WI22" s="29"/>
      <c r="WJ22" s="29"/>
      <c r="WK22" s="29"/>
      <c r="WL22" s="29"/>
      <c r="WM22" s="29"/>
      <c r="WN22" s="29"/>
      <c r="WO22" s="29"/>
      <c r="WP22" s="29"/>
      <c r="WQ22" s="29"/>
      <c r="WR22" s="29"/>
      <c r="WS22" s="29"/>
    </row>
    <row r="23" spans="1:617" s="3" customFormat="1" ht="15" outlineLevel="1" thickBot="1">
      <c r="A23" s="33"/>
      <c r="B23" s="178"/>
      <c r="C23" s="178" t="s">
        <v>62</v>
      </c>
      <c r="D23" s="179">
        <f t="shared" si="588"/>
        <v>45775</v>
      </c>
      <c r="E23" s="179">
        <f t="shared" si="587"/>
        <v>45786</v>
      </c>
      <c r="F23" s="14"/>
      <c r="G23" s="14">
        <v>12</v>
      </c>
      <c r="H23" s="29"/>
      <c r="I23" s="29"/>
      <c r="J23" s="29"/>
      <c r="K23" s="29"/>
      <c r="L23" s="29"/>
      <c r="M23" s="29"/>
      <c r="N23" s="29"/>
      <c r="O23" s="29"/>
      <c r="P23" s="29"/>
      <c r="Q23" s="29"/>
      <c r="R23" s="29"/>
      <c r="S23" s="29"/>
      <c r="T23" s="29"/>
      <c r="U23" s="29"/>
      <c r="V23" s="29"/>
      <c r="W23" s="29"/>
      <c r="X23" s="29"/>
      <c r="Y23" s="30"/>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c r="MM23" s="29"/>
      <c r="MN23" s="29"/>
      <c r="MO23" s="29"/>
      <c r="MP23" s="29"/>
      <c r="MQ23" s="29"/>
      <c r="MR23" s="29"/>
      <c r="MS23" s="29"/>
      <c r="MT23" s="29"/>
      <c r="MU23" s="29"/>
      <c r="MV23" s="29"/>
      <c r="MW23" s="29"/>
      <c r="MX23" s="29"/>
      <c r="MY23" s="29"/>
      <c r="MZ23" s="29"/>
      <c r="NA23" s="29"/>
      <c r="NB23" s="29"/>
      <c r="NC23" s="29"/>
      <c r="ND23" s="29"/>
      <c r="NE23" s="29"/>
      <c r="NF23" s="29"/>
      <c r="NG23" s="29"/>
      <c r="NH23" s="29"/>
      <c r="NI23" s="29"/>
      <c r="NJ23" s="29"/>
      <c r="NK23" s="29"/>
      <c r="NL23" s="29"/>
      <c r="NM23" s="29"/>
      <c r="NN23" s="29"/>
      <c r="NO23" s="29"/>
      <c r="NP23" s="29"/>
      <c r="NQ23" s="29"/>
      <c r="NR23" s="29"/>
      <c r="NS23" s="29"/>
      <c r="NT23" s="29"/>
      <c r="NU23" s="29"/>
      <c r="NV23" s="29"/>
      <c r="NW23" s="29"/>
      <c r="NX23" s="29"/>
      <c r="NY23" s="29"/>
      <c r="NZ23" s="29"/>
      <c r="OA23" s="29"/>
      <c r="OB23" s="29"/>
      <c r="OC23" s="29"/>
      <c r="OD23" s="29"/>
      <c r="OE23" s="29"/>
      <c r="OF23" s="29"/>
      <c r="OG23" s="29"/>
      <c r="OH23" s="29"/>
      <c r="OI23" s="29"/>
      <c r="OJ23" s="29"/>
      <c r="OK23" s="29"/>
      <c r="OL23" s="29"/>
      <c r="OM23" s="29"/>
      <c r="ON23" s="29"/>
      <c r="OO23" s="29"/>
      <c r="OP23" s="29"/>
      <c r="OQ23" s="29"/>
      <c r="OR23" s="29"/>
      <c r="OS23" s="29"/>
      <c r="OT23" s="29"/>
      <c r="OU23" s="29"/>
      <c r="OV23" s="29"/>
      <c r="OW23" s="29"/>
      <c r="OX23" s="29"/>
      <c r="OY23" s="29"/>
      <c r="OZ23" s="29"/>
      <c r="PA23" s="29"/>
      <c r="PB23" s="29"/>
      <c r="PC23" s="29"/>
      <c r="PD23" s="29"/>
      <c r="PE23" s="29"/>
      <c r="PF23" s="29"/>
      <c r="PG23" s="29"/>
      <c r="PH23" s="29"/>
      <c r="PI23" s="29"/>
      <c r="PJ23" s="29"/>
      <c r="PK23" s="29"/>
      <c r="PL23" s="29"/>
      <c r="PM23" s="29"/>
      <c r="PN23" s="29"/>
      <c r="PO23" s="29"/>
      <c r="PP23" s="29"/>
      <c r="PQ23" s="29"/>
      <c r="PR23" s="29"/>
      <c r="PS23" s="29"/>
      <c r="PT23" s="29"/>
      <c r="PU23" s="29"/>
      <c r="PV23" s="29"/>
      <c r="PW23" s="29"/>
      <c r="PX23" s="29"/>
      <c r="PY23" s="29"/>
      <c r="PZ23" s="29"/>
      <c r="QA23" s="29"/>
      <c r="QB23" s="29"/>
      <c r="QC23" s="29"/>
      <c r="QD23" s="29"/>
      <c r="QE23" s="29"/>
      <c r="QF23" s="29"/>
      <c r="QG23" s="29"/>
      <c r="QH23" s="29"/>
      <c r="QI23" s="29"/>
      <c r="QJ23" s="29"/>
      <c r="QK23" s="29"/>
      <c r="QL23" s="29"/>
      <c r="QM23" s="29"/>
      <c r="QN23" s="29"/>
      <c r="QO23" s="29"/>
      <c r="QP23" s="29"/>
      <c r="QQ23" s="29"/>
      <c r="QR23" s="29"/>
      <c r="QS23" s="29"/>
      <c r="QT23" s="29"/>
      <c r="QU23" s="29"/>
      <c r="QV23" s="29"/>
      <c r="QW23" s="29"/>
      <c r="QX23" s="29"/>
      <c r="QY23" s="29"/>
      <c r="QZ23" s="29"/>
      <c r="RA23" s="29"/>
      <c r="RB23" s="29"/>
      <c r="RC23" s="29"/>
      <c r="RD23" s="29"/>
      <c r="RE23" s="29"/>
      <c r="RF23" s="29"/>
      <c r="RG23" s="29"/>
      <c r="RH23" s="29"/>
      <c r="RI23" s="29"/>
      <c r="RJ23" s="29"/>
      <c r="RK23" s="29"/>
      <c r="RL23" s="29"/>
      <c r="RM23" s="29"/>
      <c r="RN23" s="29"/>
      <c r="RO23" s="29"/>
      <c r="RP23" s="29"/>
      <c r="RQ23" s="29"/>
      <c r="RR23" s="29"/>
      <c r="RS23" s="29"/>
      <c r="RT23" s="29"/>
      <c r="RU23" s="29"/>
      <c r="RV23" s="29"/>
      <c r="RW23" s="29"/>
      <c r="RX23" s="29"/>
      <c r="RY23" s="29"/>
      <c r="RZ23" s="29"/>
      <c r="SA23" s="29"/>
      <c r="SB23" s="29"/>
      <c r="SC23" s="29"/>
      <c r="SD23" s="29"/>
      <c r="SE23" s="29"/>
      <c r="SF23" s="29"/>
      <c r="SG23" s="29"/>
      <c r="SH23" s="29"/>
      <c r="SI23" s="29"/>
      <c r="SJ23" s="29"/>
      <c r="SK23" s="29"/>
      <c r="SL23" s="29"/>
      <c r="SM23" s="29"/>
      <c r="SN23" s="29"/>
      <c r="SO23" s="29"/>
      <c r="SP23" s="29"/>
      <c r="SQ23" s="29"/>
      <c r="SR23" s="29"/>
      <c r="SS23" s="29"/>
      <c r="ST23" s="29"/>
      <c r="SU23" s="29"/>
      <c r="SV23" s="29"/>
      <c r="SW23" s="29"/>
      <c r="SX23" s="29"/>
      <c r="SY23" s="29"/>
      <c r="SZ23" s="29"/>
      <c r="TA23" s="29"/>
      <c r="TB23" s="29"/>
      <c r="TC23" s="29"/>
      <c r="TD23" s="29"/>
      <c r="TE23" s="29"/>
      <c r="TF23" s="29"/>
      <c r="TG23" s="29"/>
      <c r="TH23" s="29"/>
      <c r="TI23" s="29"/>
      <c r="TJ23" s="29"/>
      <c r="TK23" s="29"/>
      <c r="TL23" s="29"/>
      <c r="TM23" s="29"/>
      <c r="TN23" s="29"/>
      <c r="TO23" s="29"/>
      <c r="TP23" s="29"/>
      <c r="TQ23" s="29"/>
      <c r="TR23" s="29"/>
      <c r="TS23" s="29"/>
      <c r="TT23" s="29"/>
      <c r="TU23" s="29"/>
      <c r="TV23" s="29"/>
      <c r="TW23" s="29"/>
      <c r="TX23" s="29"/>
      <c r="TY23" s="29"/>
      <c r="TZ23" s="29"/>
      <c r="UA23" s="29"/>
      <c r="UB23" s="29"/>
      <c r="UC23" s="29"/>
      <c r="UD23" s="29"/>
      <c r="UE23" s="29"/>
      <c r="UF23" s="29"/>
      <c r="UG23" s="29"/>
      <c r="UH23" s="29"/>
      <c r="UI23" s="29"/>
      <c r="UJ23" s="29"/>
      <c r="UK23" s="29"/>
      <c r="UL23" s="29"/>
      <c r="UM23" s="29"/>
      <c r="UN23" s="29"/>
      <c r="UO23" s="29"/>
      <c r="UP23" s="29"/>
      <c r="UQ23" s="29"/>
      <c r="UR23" s="29"/>
      <c r="US23" s="29"/>
      <c r="UT23" s="29"/>
      <c r="UU23" s="29"/>
      <c r="UV23" s="29"/>
      <c r="UW23" s="29"/>
      <c r="UX23" s="29"/>
      <c r="UY23" s="29"/>
      <c r="UZ23" s="29"/>
      <c r="VA23" s="29"/>
      <c r="VB23" s="29"/>
      <c r="VC23" s="29"/>
      <c r="VD23" s="29"/>
      <c r="VE23" s="29"/>
      <c r="VF23" s="29"/>
      <c r="VG23" s="29"/>
      <c r="VH23" s="29"/>
      <c r="VI23" s="29"/>
      <c r="VJ23" s="29"/>
      <c r="VK23" s="29"/>
      <c r="VL23" s="29"/>
      <c r="VM23" s="29"/>
      <c r="VN23" s="29"/>
      <c r="VO23" s="29"/>
      <c r="VP23" s="29"/>
      <c r="VQ23" s="29"/>
      <c r="VR23" s="29"/>
      <c r="VS23" s="29"/>
      <c r="VT23" s="29"/>
      <c r="VU23" s="29"/>
      <c r="VV23" s="29"/>
      <c r="VW23" s="29"/>
      <c r="VX23" s="29"/>
      <c r="VY23" s="29"/>
      <c r="VZ23" s="29"/>
      <c r="WA23" s="29"/>
      <c r="WB23" s="29"/>
      <c r="WC23" s="29"/>
      <c r="WD23" s="29"/>
      <c r="WE23" s="29"/>
      <c r="WF23" s="29"/>
      <c r="WG23" s="29"/>
      <c r="WH23" s="29"/>
      <c r="WI23" s="29"/>
      <c r="WJ23" s="29"/>
      <c r="WK23" s="29"/>
      <c r="WL23" s="29"/>
      <c r="WM23" s="29"/>
      <c r="WN23" s="29"/>
      <c r="WO23" s="29"/>
      <c r="WP23" s="29"/>
      <c r="WQ23" s="29"/>
      <c r="WR23" s="29"/>
      <c r="WS23" s="29"/>
    </row>
    <row r="24" spans="1:617" s="3" customFormat="1" ht="15" outlineLevel="1" thickBot="1">
      <c r="A24" s="33"/>
      <c r="B24" s="178"/>
      <c r="C24" s="178" t="s">
        <v>68</v>
      </c>
      <c r="D24" s="179">
        <f t="shared" si="588"/>
        <v>45782</v>
      </c>
      <c r="E24" s="179">
        <f t="shared" si="587"/>
        <v>45793</v>
      </c>
      <c r="F24" s="14"/>
      <c r="G24" s="14">
        <v>12</v>
      </c>
      <c r="H24" s="29"/>
      <c r="I24" s="29"/>
      <c r="J24" s="29"/>
      <c r="K24" s="29"/>
      <c r="L24" s="29"/>
      <c r="M24" s="29"/>
      <c r="N24" s="29"/>
      <c r="O24" s="29"/>
      <c r="P24" s="29"/>
      <c r="Q24" s="29"/>
      <c r="R24" s="29"/>
      <c r="S24" s="29"/>
      <c r="T24" s="29"/>
      <c r="U24" s="29"/>
      <c r="V24" s="29"/>
      <c r="W24" s="29"/>
      <c r="X24" s="29"/>
      <c r="Y24" s="30"/>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c r="MM24" s="29"/>
      <c r="MN24" s="29"/>
      <c r="MO24" s="29"/>
      <c r="MP24" s="29"/>
      <c r="MQ24" s="29"/>
      <c r="MR24" s="29"/>
      <c r="MS24" s="29"/>
      <c r="MT24" s="29"/>
      <c r="MU24" s="29"/>
      <c r="MV24" s="29"/>
      <c r="MW24" s="29"/>
      <c r="MX24" s="29"/>
      <c r="MY24" s="29"/>
      <c r="MZ24" s="29"/>
      <c r="NA24" s="29"/>
      <c r="NB24" s="29"/>
      <c r="NC24" s="29"/>
      <c r="ND24" s="29"/>
      <c r="NE24" s="29"/>
      <c r="NF24" s="29"/>
      <c r="NG24" s="29"/>
      <c r="NH24" s="29"/>
      <c r="NI24" s="29"/>
      <c r="NJ24" s="29"/>
      <c r="NK24" s="29"/>
      <c r="NL24" s="29"/>
      <c r="NM24" s="29"/>
      <c r="NN24" s="29"/>
      <c r="NO24" s="29"/>
      <c r="NP24" s="29"/>
      <c r="NQ24" s="29"/>
      <c r="NR24" s="29"/>
      <c r="NS24" s="29"/>
      <c r="NT24" s="29"/>
      <c r="NU24" s="29"/>
      <c r="NV24" s="29"/>
      <c r="NW24" s="29"/>
      <c r="NX24" s="29"/>
      <c r="NY24" s="29"/>
      <c r="NZ24" s="29"/>
      <c r="OA24" s="29"/>
      <c r="OB24" s="29"/>
      <c r="OC24" s="29"/>
      <c r="OD24" s="29"/>
      <c r="OE24" s="29"/>
      <c r="OF24" s="29"/>
      <c r="OG24" s="29"/>
      <c r="OH24" s="29"/>
      <c r="OI24" s="29"/>
      <c r="OJ24" s="29"/>
      <c r="OK24" s="29"/>
      <c r="OL24" s="29"/>
      <c r="OM24" s="29"/>
      <c r="ON24" s="29"/>
      <c r="OO24" s="29"/>
      <c r="OP24" s="29"/>
      <c r="OQ24" s="29"/>
      <c r="OR24" s="29"/>
      <c r="OS24" s="29"/>
      <c r="OT24" s="29"/>
      <c r="OU24" s="29"/>
      <c r="OV24" s="29"/>
      <c r="OW24" s="29"/>
      <c r="OX24" s="29"/>
      <c r="OY24" s="29"/>
      <c r="OZ24" s="29"/>
      <c r="PA24" s="29"/>
      <c r="PB24" s="29"/>
      <c r="PC24" s="29"/>
      <c r="PD24" s="29"/>
      <c r="PE24" s="29"/>
      <c r="PF24" s="29"/>
      <c r="PG24" s="29"/>
      <c r="PH24" s="29"/>
      <c r="PI24" s="29"/>
      <c r="PJ24" s="29"/>
      <c r="PK24" s="29"/>
      <c r="PL24" s="29"/>
      <c r="PM24" s="29"/>
      <c r="PN24" s="29"/>
      <c r="PO24" s="29"/>
      <c r="PP24" s="29"/>
      <c r="PQ24" s="29"/>
      <c r="PR24" s="29"/>
      <c r="PS24" s="29"/>
      <c r="PT24" s="29"/>
      <c r="PU24" s="29"/>
      <c r="PV24" s="29"/>
      <c r="PW24" s="29"/>
      <c r="PX24" s="29"/>
      <c r="PY24" s="29"/>
      <c r="PZ24" s="29"/>
      <c r="QA24" s="29"/>
      <c r="QB24" s="29"/>
      <c r="QC24" s="29"/>
      <c r="QD24" s="29"/>
      <c r="QE24" s="29"/>
      <c r="QF24" s="29"/>
      <c r="QG24" s="29"/>
      <c r="QH24" s="29"/>
      <c r="QI24" s="29"/>
      <c r="QJ24" s="29"/>
      <c r="QK24" s="29"/>
      <c r="QL24" s="29"/>
      <c r="QM24" s="29"/>
      <c r="QN24" s="29"/>
      <c r="QO24" s="29"/>
      <c r="QP24" s="29"/>
      <c r="QQ24" s="29"/>
      <c r="QR24" s="29"/>
      <c r="QS24" s="29"/>
      <c r="QT24" s="29"/>
      <c r="QU24" s="29"/>
      <c r="QV24" s="29"/>
      <c r="QW24" s="29"/>
      <c r="QX24" s="29"/>
      <c r="QY24" s="29"/>
      <c r="QZ24" s="29"/>
      <c r="RA24" s="29"/>
      <c r="RB24" s="29"/>
      <c r="RC24" s="29"/>
      <c r="RD24" s="29"/>
      <c r="RE24" s="29"/>
      <c r="RF24" s="29"/>
      <c r="RG24" s="29"/>
      <c r="RH24" s="29"/>
      <c r="RI24" s="29"/>
      <c r="RJ24" s="29"/>
      <c r="RK24" s="29"/>
      <c r="RL24" s="29"/>
      <c r="RM24" s="29"/>
      <c r="RN24" s="29"/>
      <c r="RO24" s="29"/>
      <c r="RP24" s="29"/>
      <c r="RQ24" s="29"/>
      <c r="RR24" s="29"/>
      <c r="RS24" s="29"/>
      <c r="RT24" s="29"/>
      <c r="RU24" s="29"/>
      <c r="RV24" s="29"/>
      <c r="RW24" s="29"/>
      <c r="RX24" s="29"/>
      <c r="RY24" s="29"/>
      <c r="RZ24" s="29"/>
      <c r="SA24" s="29"/>
      <c r="SB24" s="29"/>
      <c r="SC24" s="29"/>
      <c r="SD24" s="29"/>
      <c r="SE24" s="29"/>
      <c r="SF24" s="29"/>
      <c r="SG24" s="29"/>
      <c r="SH24" s="29"/>
      <c r="SI24" s="29"/>
      <c r="SJ24" s="29"/>
      <c r="SK24" s="29"/>
      <c r="SL24" s="29"/>
      <c r="SM24" s="29"/>
      <c r="SN24" s="29"/>
      <c r="SO24" s="29"/>
      <c r="SP24" s="29"/>
      <c r="SQ24" s="29"/>
      <c r="SR24" s="29"/>
      <c r="SS24" s="29"/>
      <c r="ST24" s="29"/>
      <c r="SU24" s="29"/>
      <c r="SV24" s="29"/>
      <c r="SW24" s="29"/>
      <c r="SX24" s="29"/>
      <c r="SY24" s="29"/>
      <c r="SZ24" s="29"/>
      <c r="TA24" s="29"/>
      <c r="TB24" s="29"/>
      <c r="TC24" s="29"/>
      <c r="TD24" s="29"/>
      <c r="TE24" s="29"/>
      <c r="TF24" s="29"/>
      <c r="TG24" s="29"/>
      <c r="TH24" s="29"/>
      <c r="TI24" s="29"/>
      <c r="TJ24" s="29"/>
      <c r="TK24" s="29"/>
      <c r="TL24" s="29"/>
      <c r="TM24" s="29"/>
      <c r="TN24" s="29"/>
      <c r="TO24" s="29"/>
      <c r="TP24" s="29"/>
      <c r="TQ24" s="29"/>
      <c r="TR24" s="29"/>
      <c r="TS24" s="29"/>
      <c r="TT24" s="29"/>
      <c r="TU24" s="29"/>
      <c r="TV24" s="29"/>
      <c r="TW24" s="29"/>
      <c r="TX24" s="29"/>
      <c r="TY24" s="29"/>
      <c r="TZ24" s="29"/>
      <c r="UA24" s="29"/>
      <c r="UB24" s="29"/>
      <c r="UC24" s="29"/>
      <c r="UD24" s="29"/>
      <c r="UE24" s="29"/>
      <c r="UF24" s="29"/>
      <c r="UG24" s="29"/>
      <c r="UH24" s="29"/>
      <c r="UI24" s="29"/>
      <c r="UJ24" s="29"/>
      <c r="UK24" s="29"/>
      <c r="UL24" s="29"/>
      <c r="UM24" s="29"/>
      <c r="UN24" s="29"/>
      <c r="UO24" s="29"/>
      <c r="UP24" s="29"/>
      <c r="UQ24" s="29"/>
      <c r="UR24" s="29"/>
      <c r="US24" s="29"/>
      <c r="UT24" s="29"/>
      <c r="UU24" s="29"/>
      <c r="UV24" s="29"/>
      <c r="UW24" s="29"/>
      <c r="UX24" s="29"/>
      <c r="UY24" s="29"/>
      <c r="UZ24" s="29"/>
      <c r="VA24" s="29"/>
      <c r="VB24" s="29"/>
      <c r="VC24" s="29"/>
      <c r="VD24" s="29"/>
      <c r="VE24" s="29"/>
      <c r="VF24" s="29"/>
      <c r="VG24" s="29"/>
      <c r="VH24" s="29"/>
      <c r="VI24" s="29"/>
      <c r="VJ24" s="29"/>
      <c r="VK24" s="29"/>
      <c r="VL24" s="29"/>
      <c r="VM24" s="29"/>
      <c r="VN24" s="29"/>
      <c r="VO24" s="29"/>
      <c r="VP24" s="29"/>
      <c r="VQ24" s="29"/>
      <c r="VR24" s="29"/>
      <c r="VS24" s="29"/>
      <c r="VT24" s="29"/>
      <c r="VU24" s="29"/>
      <c r="VV24" s="29"/>
      <c r="VW24" s="29"/>
      <c r="VX24" s="29"/>
      <c r="VY24" s="29"/>
      <c r="VZ24" s="29"/>
      <c r="WA24" s="29"/>
      <c r="WB24" s="29"/>
      <c r="WC24" s="29"/>
      <c r="WD24" s="29"/>
      <c r="WE24" s="29"/>
      <c r="WF24" s="29"/>
      <c r="WG24" s="29"/>
      <c r="WH24" s="29"/>
      <c r="WI24" s="29"/>
      <c r="WJ24" s="29"/>
      <c r="WK24" s="29"/>
      <c r="WL24" s="29"/>
      <c r="WM24" s="29"/>
      <c r="WN24" s="29"/>
      <c r="WO24" s="29"/>
      <c r="WP24" s="29"/>
      <c r="WQ24" s="29"/>
      <c r="WR24" s="29"/>
      <c r="WS24" s="29"/>
    </row>
    <row r="25" spans="1:617" s="3" customFormat="1" ht="15" outlineLevel="1" thickBot="1">
      <c r="A25" s="33"/>
      <c r="B25" s="178"/>
      <c r="C25" s="178" t="s">
        <v>134</v>
      </c>
      <c r="D25" s="179">
        <f t="shared" si="588"/>
        <v>45789</v>
      </c>
      <c r="E25" s="179">
        <f t="shared" si="587"/>
        <v>45800</v>
      </c>
      <c r="F25" s="14"/>
      <c r="G25" s="14">
        <v>12</v>
      </c>
      <c r="H25" s="29"/>
      <c r="I25" s="29"/>
      <c r="J25" s="29"/>
      <c r="K25" s="29"/>
      <c r="L25" s="29"/>
      <c r="M25" s="29"/>
      <c r="N25" s="29"/>
      <c r="O25" s="29"/>
      <c r="P25" s="29"/>
      <c r="Q25" s="29"/>
      <c r="R25" s="29"/>
      <c r="S25" s="29"/>
      <c r="T25" s="29"/>
      <c r="U25" s="29"/>
      <c r="V25" s="29"/>
      <c r="W25" s="29"/>
      <c r="X25" s="29"/>
      <c r="Y25" s="30"/>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c r="MM25" s="29"/>
      <c r="MN25" s="29"/>
      <c r="MO25" s="29"/>
      <c r="MP25" s="29"/>
      <c r="MQ25" s="29"/>
      <c r="MR25" s="29"/>
      <c r="MS25" s="29"/>
      <c r="MT25" s="29"/>
      <c r="MU25" s="29"/>
      <c r="MV25" s="29"/>
      <c r="MW25" s="29"/>
      <c r="MX25" s="29"/>
      <c r="MY25" s="29"/>
      <c r="MZ25" s="29"/>
      <c r="NA25" s="29"/>
      <c r="NB25" s="29"/>
      <c r="NC25" s="29"/>
      <c r="ND25" s="29"/>
      <c r="NE25" s="29"/>
      <c r="NF25" s="29"/>
      <c r="NG25" s="29"/>
      <c r="NH25" s="29"/>
      <c r="NI25" s="29"/>
      <c r="NJ25" s="29"/>
      <c r="NK25" s="29"/>
      <c r="NL25" s="29"/>
      <c r="NM25" s="29"/>
      <c r="NN25" s="29"/>
      <c r="NO25" s="29"/>
      <c r="NP25" s="29"/>
      <c r="NQ25" s="29"/>
      <c r="NR25" s="29"/>
      <c r="NS25" s="29"/>
      <c r="NT25" s="29"/>
      <c r="NU25" s="29"/>
      <c r="NV25" s="29"/>
      <c r="NW25" s="29"/>
      <c r="NX25" s="29"/>
      <c r="NY25" s="29"/>
      <c r="NZ25" s="29"/>
      <c r="OA25" s="29"/>
      <c r="OB25" s="29"/>
      <c r="OC25" s="29"/>
      <c r="OD25" s="29"/>
      <c r="OE25" s="29"/>
      <c r="OF25" s="29"/>
      <c r="OG25" s="29"/>
      <c r="OH25" s="29"/>
      <c r="OI25" s="29"/>
      <c r="OJ25" s="29"/>
      <c r="OK25" s="29"/>
      <c r="OL25" s="29"/>
      <c r="OM25" s="29"/>
      <c r="ON25" s="29"/>
      <c r="OO25" s="29"/>
      <c r="OP25" s="29"/>
      <c r="OQ25" s="29"/>
      <c r="OR25" s="29"/>
      <c r="OS25" s="29"/>
      <c r="OT25" s="29"/>
      <c r="OU25" s="29"/>
      <c r="OV25" s="29"/>
      <c r="OW25" s="29"/>
      <c r="OX25" s="29"/>
      <c r="OY25" s="29"/>
      <c r="OZ25" s="29"/>
      <c r="PA25" s="29"/>
      <c r="PB25" s="29"/>
      <c r="PC25" s="29"/>
      <c r="PD25" s="29"/>
      <c r="PE25" s="29"/>
      <c r="PF25" s="29"/>
      <c r="PG25" s="29"/>
      <c r="PH25" s="29"/>
      <c r="PI25" s="29"/>
      <c r="PJ25" s="29"/>
      <c r="PK25" s="29"/>
      <c r="PL25" s="29"/>
      <c r="PM25" s="29"/>
      <c r="PN25" s="29"/>
      <c r="PO25" s="29"/>
      <c r="PP25" s="29"/>
      <c r="PQ25" s="29"/>
      <c r="PR25" s="29"/>
      <c r="PS25" s="29"/>
      <c r="PT25" s="29"/>
      <c r="PU25" s="29"/>
      <c r="PV25" s="29"/>
      <c r="PW25" s="29"/>
      <c r="PX25" s="29"/>
      <c r="PY25" s="29"/>
      <c r="PZ25" s="29"/>
      <c r="QA25" s="29"/>
      <c r="QB25" s="29"/>
      <c r="QC25" s="29"/>
      <c r="QD25" s="29"/>
      <c r="QE25" s="29"/>
      <c r="QF25" s="29"/>
      <c r="QG25" s="29"/>
      <c r="QH25" s="29"/>
      <c r="QI25" s="29"/>
      <c r="QJ25" s="29"/>
      <c r="QK25" s="29"/>
      <c r="QL25" s="29"/>
      <c r="QM25" s="29"/>
      <c r="QN25" s="29"/>
      <c r="QO25" s="29"/>
      <c r="QP25" s="29"/>
      <c r="QQ25" s="29"/>
      <c r="QR25" s="29"/>
      <c r="QS25" s="29"/>
      <c r="QT25" s="29"/>
      <c r="QU25" s="29"/>
      <c r="QV25" s="29"/>
      <c r="QW25" s="29"/>
      <c r="QX25" s="29"/>
      <c r="QY25" s="29"/>
      <c r="QZ25" s="29"/>
      <c r="RA25" s="29"/>
      <c r="RB25" s="29"/>
      <c r="RC25" s="29"/>
      <c r="RD25" s="29"/>
      <c r="RE25" s="29"/>
      <c r="RF25" s="29"/>
      <c r="RG25" s="29"/>
      <c r="RH25" s="29"/>
      <c r="RI25" s="29"/>
      <c r="RJ25" s="29"/>
      <c r="RK25" s="29"/>
      <c r="RL25" s="29"/>
      <c r="RM25" s="29"/>
      <c r="RN25" s="29"/>
      <c r="RO25" s="29"/>
      <c r="RP25" s="29"/>
      <c r="RQ25" s="29"/>
      <c r="RR25" s="29"/>
      <c r="RS25" s="29"/>
      <c r="RT25" s="29"/>
      <c r="RU25" s="29"/>
      <c r="RV25" s="29"/>
      <c r="RW25" s="29"/>
      <c r="RX25" s="29"/>
      <c r="RY25" s="29"/>
      <c r="RZ25" s="29"/>
      <c r="SA25" s="29"/>
      <c r="SB25" s="29"/>
      <c r="SC25" s="29"/>
      <c r="SD25" s="29"/>
      <c r="SE25" s="29"/>
      <c r="SF25" s="29"/>
      <c r="SG25" s="29"/>
      <c r="SH25" s="29"/>
      <c r="SI25" s="29"/>
      <c r="SJ25" s="29"/>
      <c r="SK25" s="29"/>
      <c r="SL25" s="29"/>
      <c r="SM25" s="29"/>
      <c r="SN25" s="29"/>
      <c r="SO25" s="29"/>
      <c r="SP25" s="29"/>
      <c r="SQ25" s="29"/>
      <c r="SR25" s="29"/>
      <c r="SS25" s="29"/>
      <c r="ST25" s="29"/>
      <c r="SU25" s="29"/>
      <c r="SV25" s="29"/>
      <c r="SW25" s="29"/>
      <c r="SX25" s="29"/>
      <c r="SY25" s="29"/>
      <c r="SZ25" s="29"/>
      <c r="TA25" s="29"/>
      <c r="TB25" s="29"/>
      <c r="TC25" s="29"/>
      <c r="TD25" s="29"/>
      <c r="TE25" s="29"/>
      <c r="TF25" s="29"/>
      <c r="TG25" s="29"/>
      <c r="TH25" s="29"/>
      <c r="TI25" s="29"/>
      <c r="TJ25" s="29"/>
      <c r="TK25" s="29"/>
      <c r="TL25" s="29"/>
      <c r="TM25" s="29"/>
      <c r="TN25" s="29"/>
      <c r="TO25" s="29"/>
      <c r="TP25" s="29"/>
      <c r="TQ25" s="29"/>
      <c r="TR25" s="29"/>
      <c r="TS25" s="29"/>
      <c r="TT25" s="29"/>
      <c r="TU25" s="29"/>
      <c r="TV25" s="29"/>
      <c r="TW25" s="29"/>
      <c r="TX25" s="29"/>
      <c r="TY25" s="29"/>
      <c r="TZ25" s="29"/>
      <c r="UA25" s="29"/>
      <c r="UB25" s="29"/>
      <c r="UC25" s="29"/>
      <c r="UD25" s="29"/>
      <c r="UE25" s="29"/>
      <c r="UF25" s="29"/>
      <c r="UG25" s="29"/>
      <c r="UH25" s="29"/>
      <c r="UI25" s="29"/>
      <c r="UJ25" s="29"/>
      <c r="UK25" s="29"/>
      <c r="UL25" s="29"/>
      <c r="UM25" s="29"/>
      <c r="UN25" s="29"/>
      <c r="UO25" s="29"/>
      <c r="UP25" s="29"/>
      <c r="UQ25" s="29"/>
      <c r="UR25" s="29"/>
      <c r="US25" s="29"/>
      <c r="UT25" s="29"/>
      <c r="UU25" s="29"/>
      <c r="UV25" s="29"/>
      <c r="UW25" s="29"/>
      <c r="UX25" s="29"/>
      <c r="UY25" s="29"/>
      <c r="UZ25" s="29"/>
      <c r="VA25" s="29"/>
      <c r="VB25" s="29"/>
      <c r="VC25" s="29"/>
      <c r="VD25" s="29"/>
      <c r="VE25" s="29"/>
      <c r="VF25" s="29"/>
      <c r="VG25" s="29"/>
      <c r="VH25" s="29"/>
      <c r="VI25" s="29"/>
      <c r="VJ25" s="29"/>
      <c r="VK25" s="29"/>
      <c r="VL25" s="29"/>
      <c r="VM25" s="29"/>
      <c r="VN25" s="29"/>
      <c r="VO25" s="29"/>
      <c r="VP25" s="29"/>
      <c r="VQ25" s="29"/>
      <c r="VR25" s="29"/>
      <c r="VS25" s="29"/>
      <c r="VT25" s="29"/>
      <c r="VU25" s="29"/>
      <c r="VV25" s="29"/>
      <c r="VW25" s="29"/>
      <c r="VX25" s="29"/>
      <c r="VY25" s="29"/>
      <c r="VZ25" s="29"/>
      <c r="WA25" s="29"/>
      <c r="WB25" s="29"/>
      <c r="WC25" s="29"/>
      <c r="WD25" s="29"/>
      <c r="WE25" s="29"/>
      <c r="WF25" s="29"/>
      <c r="WG25" s="29"/>
      <c r="WH25" s="29"/>
      <c r="WI25" s="29"/>
      <c r="WJ25" s="29"/>
      <c r="WK25" s="29"/>
      <c r="WL25" s="29"/>
      <c r="WM25" s="29"/>
      <c r="WN25" s="29"/>
      <c r="WO25" s="29"/>
      <c r="WP25" s="29"/>
      <c r="WQ25" s="29"/>
      <c r="WR25" s="29"/>
      <c r="WS25" s="29"/>
    </row>
    <row r="26" spans="1:617" s="3" customFormat="1" ht="15" outlineLevel="1" thickBot="1">
      <c r="A26" s="33"/>
      <c r="B26" s="178"/>
      <c r="C26" s="178" t="s">
        <v>86</v>
      </c>
      <c r="D26" s="179">
        <f>D25+7</f>
        <v>45796</v>
      </c>
      <c r="E26" s="179">
        <f t="shared" ref="E26:E50" si="589">D26+G26-1</f>
        <v>45807</v>
      </c>
      <c r="F26" s="14"/>
      <c r="G26" s="14">
        <v>12</v>
      </c>
      <c r="H26" s="29"/>
      <c r="I26" s="29"/>
      <c r="J26" s="29"/>
      <c r="K26" s="29"/>
      <c r="L26" s="29"/>
      <c r="M26" s="29"/>
      <c r="N26" s="29"/>
      <c r="O26" s="29"/>
      <c r="P26" s="29"/>
      <c r="Q26" s="29"/>
      <c r="R26" s="29"/>
      <c r="S26" s="29"/>
      <c r="T26" s="29"/>
      <c r="U26" s="29"/>
      <c r="V26" s="29"/>
      <c r="W26" s="29"/>
      <c r="X26" s="29"/>
      <c r="Y26" s="30"/>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c r="MM26" s="29"/>
      <c r="MN26" s="29"/>
      <c r="MO26" s="29"/>
      <c r="MP26" s="29"/>
      <c r="MQ26" s="29"/>
      <c r="MR26" s="29"/>
      <c r="MS26" s="29"/>
      <c r="MT26" s="29"/>
      <c r="MU26" s="29"/>
      <c r="MV26" s="29"/>
      <c r="MW26" s="29"/>
      <c r="MX26" s="29"/>
      <c r="MY26" s="29"/>
      <c r="MZ26" s="29"/>
      <c r="NA26" s="29"/>
      <c r="NB26" s="29"/>
      <c r="NC26" s="29"/>
      <c r="ND26" s="29"/>
      <c r="NE26" s="29"/>
      <c r="NF26" s="29"/>
      <c r="NG26" s="29"/>
      <c r="NH26" s="29"/>
      <c r="NI26" s="29"/>
      <c r="NJ26" s="29"/>
      <c r="NK26" s="29"/>
      <c r="NL26" s="29"/>
      <c r="NM26" s="29"/>
      <c r="NN26" s="29"/>
      <c r="NO26" s="29"/>
      <c r="NP26" s="29"/>
      <c r="NQ26" s="29"/>
      <c r="NR26" s="29"/>
      <c r="NS26" s="29"/>
      <c r="NT26" s="29"/>
      <c r="NU26" s="29"/>
      <c r="NV26" s="29"/>
      <c r="NW26" s="29"/>
      <c r="NX26" s="29"/>
      <c r="NY26" s="29"/>
      <c r="NZ26" s="29"/>
      <c r="OA26" s="29"/>
      <c r="OB26" s="29"/>
      <c r="OC26" s="29"/>
      <c r="OD26" s="29"/>
      <c r="OE26" s="29"/>
      <c r="OF26" s="29"/>
      <c r="OG26" s="29"/>
      <c r="OH26" s="29"/>
      <c r="OI26" s="29"/>
      <c r="OJ26" s="29"/>
      <c r="OK26" s="29"/>
      <c r="OL26" s="29"/>
      <c r="OM26" s="29"/>
      <c r="ON26" s="29"/>
      <c r="OO26" s="29"/>
      <c r="OP26" s="29"/>
      <c r="OQ26" s="29"/>
      <c r="OR26" s="29"/>
      <c r="OS26" s="29"/>
      <c r="OT26" s="29"/>
      <c r="OU26" s="29"/>
      <c r="OV26" s="29"/>
      <c r="OW26" s="29"/>
      <c r="OX26" s="29"/>
      <c r="OY26" s="29"/>
      <c r="OZ26" s="29"/>
      <c r="PA26" s="29"/>
      <c r="PB26" s="29"/>
      <c r="PC26" s="29"/>
      <c r="PD26" s="29"/>
      <c r="PE26" s="29"/>
      <c r="PF26" s="29"/>
      <c r="PG26" s="29"/>
      <c r="PH26" s="29"/>
      <c r="PI26" s="29"/>
      <c r="PJ26" s="29"/>
      <c r="PK26" s="29"/>
      <c r="PL26" s="29"/>
      <c r="PM26" s="29"/>
      <c r="PN26" s="29"/>
      <c r="PO26" s="29"/>
      <c r="PP26" s="29"/>
      <c r="PQ26" s="29"/>
      <c r="PR26" s="29"/>
      <c r="PS26" s="29"/>
      <c r="PT26" s="29"/>
      <c r="PU26" s="29"/>
      <c r="PV26" s="29"/>
      <c r="PW26" s="29"/>
      <c r="PX26" s="29"/>
      <c r="PY26" s="29"/>
      <c r="PZ26" s="29"/>
      <c r="QA26" s="29"/>
      <c r="QB26" s="29"/>
      <c r="QC26" s="29"/>
      <c r="QD26" s="29"/>
      <c r="QE26" s="29"/>
      <c r="QF26" s="29"/>
      <c r="QG26" s="29"/>
      <c r="QH26" s="29"/>
      <c r="QI26" s="29"/>
      <c r="QJ26" s="29"/>
      <c r="QK26" s="29"/>
      <c r="QL26" s="29"/>
      <c r="QM26" s="29"/>
      <c r="QN26" s="29"/>
      <c r="QO26" s="29"/>
      <c r="QP26" s="29"/>
      <c r="QQ26" s="29"/>
      <c r="QR26" s="29"/>
      <c r="QS26" s="29"/>
      <c r="QT26" s="29"/>
      <c r="QU26" s="29"/>
      <c r="QV26" s="29"/>
      <c r="QW26" s="29"/>
      <c r="QX26" s="29"/>
      <c r="QY26" s="29"/>
      <c r="QZ26" s="29"/>
      <c r="RA26" s="29"/>
      <c r="RB26" s="29"/>
      <c r="RC26" s="29"/>
      <c r="RD26" s="29"/>
      <c r="RE26" s="29"/>
      <c r="RF26" s="29"/>
      <c r="RG26" s="29"/>
      <c r="RH26" s="29"/>
      <c r="RI26" s="29"/>
      <c r="RJ26" s="29"/>
      <c r="RK26" s="29"/>
      <c r="RL26" s="29"/>
      <c r="RM26" s="29"/>
      <c r="RN26" s="29"/>
      <c r="RO26" s="29"/>
      <c r="RP26" s="29"/>
      <c r="RQ26" s="29"/>
      <c r="RR26" s="29"/>
      <c r="RS26" s="29"/>
      <c r="RT26" s="29"/>
      <c r="RU26" s="29"/>
      <c r="RV26" s="29"/>
      <c r="RW26" s="29"/>
      <c r="RX26" s="29"/>
      <c r="RY26" s="29"/>
      <c r="RZ26" s="29"/>
      <c r="SA26" s="29"/>
      <c r="SB26" s="29"/>
      <c r="SC26" s="29"/>
      <c r="SD26" s="29"/>
      <c r="SE26" s="29"/>
      <c r="SF26" s="29"/>
      <c r="SG26" s="29"/>
      <c r="SH26" s="29"/>
      <c r="SI26" s="29"/>
      <c r="SJ26" s="29"/>
      <c r="SK26" s="29"/>
      <c r="SL26" s="29"/>
      <c r="SM26" s="29"/>
      <c r="SN26" s="29"/>
      <c r="SO26" s="29"/>
      <c r="SP26" s="29"/>
      <c r="SQ26" s="29"/>
      <c r="SR26" s="29"/>
      <c r="SS26" s="29"/>
      <c r="ST26" s="29"/>
      <c r="SU26" s="29"/>
      <c r="SV26" s="29"/>
      <c r="SW26" s="29"/>
      <c r="SX26" s="29"/>
      <c r="SY26" s="29"/>
      <c r="SZ26" s="29"/>
      <c r="TA26" s="29"/>
      <c r="TB26" s="29"/>
      <c r="TC26" s="29"/>
      <c r="TD26" s="29"/>
      <c r="TE26" s="29"/>
      <c r="TF26" s="29"/>
      <c r="TG26" s="29"/>
      <c r="TH26" s="29"/>
      <c r="TI26" s="29"/>
      <c r="TJ26" s="29"/>
      <c r="TK26" s="29"/>
      <c r="TL26" s="29"/>
      <c r="TM26" s="29"/>
      <c r="TN26" s="29"/>
      <c r="TO26" s="29"/>
      <c r="TP26" s="29"/>
      <c r="TQ26" s="29"/>
      <c r="TR26" s="29"/>
      <c r="TS26" s="29"/>
      <c r="TT26" s="29"/>
      <c r="TU26" s="29"/>
      <c r="TV26" s="29"/>
      <c r="TW26" s="29"/>
      <c r="TX26" s="29"/>
      <c r="TY26" s="29"/>
      <c r="TZ26" s="29"/>
      <c r="UA26" s="29"/>
      <c r="UB26" s="29"/>
      <c r="UC26" s="29"/>
      <c r="UD26" s="29"/>
      <c r="UE26" s="29"/>
      <c r="UF26" s="29"/>
      <c r="UG26" s="29"/>
      <c r="UH26" s="29"/>
      <c r="UI26" s="29"/>
      <c r="UJ26" s="29"/>
      <c r="UK26" s="29"/>
      <c r="UL26" s="29"/>
      <c r="UM26" s="29"/>
      <c r="UN26" s="29"/>
      <c r="UO26" s="29"/>
      <c r="UP26" s="29"/>
      <c r="UQ26" s="29"/>
      <c r="UR26" s="29"/>
      <c r="US26" s="29"/>
      <c r="UT26" s="29"/>
      <c r="UU26" s="29"/>
      <c r="UV26" s="29"/>
      <c r="UW26" s="29"/>
      <c r="UX26" s="29"/>
      <c r="UY26" s="29"/>
      <c r="UZ26" s="29"/>
      <c r="VA26" s="29"/>
      <c r="VB26" s="29"/>
      <c r="VC26" s="29"/>
      <c r="VD26" s="29"/>
      <c r="VE26" s="29"/>
      <c r="VF26" s="29"/>
      <c r="VG26" s="29"/>
      <c r="VH26" s="29"/>
      <c r="VI26" s="29"/>
      <c r="VJ26" s="29"/>
      <c r="VK26" s="29"/>
      <c r="VL26" s="29"/>
      <c r="VM26" s="29"/>
      <c r="VN26" s="29"/>
      <c r="VO26" s="29"/>
      <c r="VP26" s="29"/>
      <c r="VQ26" s="29"/>
      <c r="VR26" s="29"/>
      <c r="VS26" s="29"/>
      <c r="VT26" s="29"/>
      <c r="VU26" s="29"/>
      <c r="VV26" s="29"/>
      <c r="VW26" s="29"/>
      <c r="VX26" s="29"/>
      <c r="VY26" s="29"/>
      <c r="VZ26" s="29"/>
      <c r="WA26" s="29"/>
      <c r="WB26" s="29"/>
      <c r="WC26" s="29"/>
      <c r="WD26" s="29"/>
      <c r="WE26" s="29"/>
      <c r="WF26" s="29"/>
      <c r="WG26" s="29"/>
      <c r="WH26" s="29"/>
      <c r="WI26" s="29"/>
      <c r="WJ26" s="29"/>
      <c r="WK26" s="29"/>
      <c r="WL26" s="29"/>
      <c r="WM26" s="29"/>
      <c r="WN26" s="29"/>
      <c r="WO26" s="29"/>
      <c r="WP26" s="29"/>
      <c r="WQ26" s="29"/>
      <c r="WR26" s="29"/>
      <c r="WS26" s="29"/>
    </row>
    <row r="27" spans="1:617" s="3" customFormat="1" ht="15" outlineLevel="1" thickBot="1">
      <c r="A27" s="33"/>
      <c r="B27" s="178"/>
      <c r="C27" s="178" t="s">
        <v>39</v>
      </c>
      <c r="D27" s="179">
        <f t="shared" si="588"/>
        <v>45803</v>
      </c>
      <c r="E27" s="179">
        <f t="shared" si="589"/>
        <v>45814</v>
      </c>
      <c r="F27" s="14"/>
      <c r="G27" s="14">
        <v>12</v>
      </c>
      <c r="H27" s="29"/>
      <c r="I27" s="29"/>
      <c r="J27" s="29"/>
      <c r="K27" s="29"/>
      <c r="L27" s="29"/>
      <c r="M27" s="29"/>
      <c r="N27" s="29"/>
      <c r="O27" s="29"/>
      <c r="P27" s="29"/>
      <c r="Q27" s="29"/>
      <c r="R27" s="29"/>
      <c r="S27" s="29"/>
      <c r="T27" s="29"/>
      <c r="U27" s="29"/>
      <c r="V27" s="29"/>
      <c r="W27" s="29"/>
      <c r="X27" s="29"/>
      <c r="Y27" s="30"/>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c r="MM27" s="29"/>
      <c r="MN27" s="29"/>
      <c r="MO27" s="29"/>
      <c r="MP27" s="29"/>
      <c r="MQ27" s="29"/>
      <c r="MR27" s="29"/>
      <c r="MS27" s="29"/>
      <c r="MT27" s="29"/>
      <c r="MU27" s="29"/>
      <c r="MV27" s="29"/>
      <c r="MW27" s="29"/>
      <c r="MX27" s="29"/>
      <c r="MY27" s="29"/>
      <c r="MZ27" s="29"/>
      <c r="NA27" s="29"/>
      <c r="NB27" s="29"/>
      <c r="NC27" s="29"/>
      <c r="ND27" s="29"/>
      <c r="NE27" s="29"/>
      <c r="NF27" s="29"/>
      <c r="NG27" s="29"/>
      <c r="NH27" s="29"/>
      <c r="NI27" s="29"/>
      <c r="NJ27" s="29"/>
      <c r="NK27" s="29"/>
      <c r="NL27" s="29"/>
      <c r="NM27" s="29"/>
      <c r="NN27" s="29"/>
      <c r="NO27" s="29"/>
      <c r="NP27" s="29"/>
      <c r="NQ27" s="29"/>
      <c r="NR27" s="29"/>
      <c r="NS27" s="29"/>
      <c r="NT27" s="29"/>
      <c r="NU27" s="29"/>
      <c r="NV27" s="29"/>
      <c r="NW27" s="29"/>
      <c r="NX27" s="29"/>
      <c r="NY27" s="29"/>
      <c r="NZ27" s="29"/>
      <c r="OA27" s="29"/>
      <c r="OB27" s="29"/>
      <c r="OC27" s="29"/>
      <c r="OD27" s="29"/>
      <c r="OE27" s="29"/>
      <c r="OF27" s="29"/>
      <c r="OG27" s="29"/>
      <c r="OH27" s="29"/>
      <c r="OI27" s="29"/>
      <c r="OJ27" s="29"/>
      <c r="OK27" s="29"/>
      <c r="OL27" s="29"/>
      <c r="OM27" s="29"/>
      <c r="ON27" s="29"/>
      <c r="OO27" s="29"/>
      <c r="OP27" s="29"/>
      <c r="OQ27" s="29"/>
      <c r="OR27" s="29"/>
      <c r="OS27" s="29"/>
      <c r="OT27" s="29"/>
      <c r="OU27" s="29"/>
      <c r="OV27" s="29"/>
      <c r="OW27" s="29"/>
      <c r="OX27" s="29"/>
      <c r="OY27" s="29"/>
      <c r="OZ27" s="29"/>
      <c r="PA27" s="29"/>
      <c r="PB27" s="29"/>
      <c r="PC27" s="29"/>
      <c r="PD27" s="29"/>
      <c r="PE27" s="29"/>
      <c r="PF27" s="29"/>
      <c r="PG27" s="29"/>
      <c r="PH27" s="29"/>
      <c r="PI27" s="29"/>
      <c r="PJ27" s="29"/>
      <c r="PK27" s="29"/>
      <c r="PL27" s="29"/>
      <c r="PM27" s="29"/>
      <c r="PN27" s="29"/>
      <c r="PO27" s="29"/>
      <c r="PP27" s="29"/>
      <c r="PQ27" s="29"/>
      <c r="PR27" s="29"/>
      <c r="PS27" s="29"/>
      <c r="PT27" s="29"/>
      <c r="PU27" s="29"/>
      <c r="PV27" s="29"/>
      <c r="PW27" s="29"/>
      <c r="PX27" s="29"/>
      <c r="PY27" s="29"/>
      <c r="PZ27" s="29"/>
      <c r="QA27" s="29"/>
      <c r="QB27" s="29"/>
      <c r="QC27" s="29"/>
      <c r="QD27" s="29"/>
      <c r="QE27" s="29"/>
      <c r="QF27" s="29"/>
      <c r="QG27" s="29"/>
      <c r="QH27" s="29"/>
      <c r="QI27" s="29"/>
      <c r="QJ27" s="29"/>
      <c r="QK27" s="29"/>
      <c r="QL27" s="29"/>
      <c r="QM27" s="29"/>
      <c r="QN27" s="29"/>
      <c r="QO27" s="29"/>
      <c r="QP27" s="29"/>
      <c r="QQ27" s="29"/>
      <c r="QR27" s="29"/>
      <c r="QS27" s="29"/>
      <c r="QT27" s="29"/>
      <c r="QU27" s="29"/>
      <c r="QV27" s="29"/>
      <c r="QW27" s="29"/>
      <c r="QX27" s="29"/>
      <c r="QY27" s="29"/>
      <c r="QZ27" s="29"/>
      <c r="RA27" s="29"/>
      <c r="RB27" s="29"/>
      <c r="RC27" s="29"/>
      <c r="RD27" s="29"/>
      <c r="RE27" s="29"/>
      <c r="RF27" s="29"/>
      <c r="RG27" s="29"/>
      <c r="RH27" s="29"/>
      <c r="RI27" s="29"/>
      <c r="RJ27" s="29"/>
      <c r="RK27" s="29"/>
      <c r="RL27" s="29"/>
      <c r="RM27" s="29"/>
      <c r="RN27" s="29"/>
      <c r="RO27" s="29"/>
      <c r="RP27" s="29"/>
      <c r="RQ27" s="29"/>
      <c r="RR27" s="29"/>
      <c r="RS27" s="29"/>
      <c r="RT27" s="29"/>
      <c r="RU27" s="29"/>
      <c r="RV27" s="29"/>
      <c r="RW27" s="29"/>
      <c r="RX27" s="29"/>
      <c r="RY27" s="29"/>
      <c r="RZ27" s="29"/>
      <c r="SA27" s="29"/>
      <c r="SB27" s="29"/>
      <c r="SC27" s="29"/>
      <c r="SD27" s="29"/>
      <c r="SE27" s="29"/>
      <c r="SF27" s="29"/>
      <c r="SG27" s="29"/>
      <c r="SH27" s="29"/>
      <c r="SI27" s="29"/>
      <c r="SJ27" s="29"/>
      <c r="SK27" s="29"/>
      <c r="SL27" s="29"/>
      <c r="SM27" s="29"/>
      <c r="SN27" s="29"/>
      <c r="SO27" s="29"/>
      <c r="SP27" s="29"/>
      <c r="SQ27" s="29"/>
      <c r="SR27" s="29"/>
      <c r="SS27" s="29"/>
      <c r="ST27" s="29"/>
      <c r="SU27" s="29"/>
      <c r="SV27" s="29"/>
      <c r="SW27" s="29"/>
      <c r="SX27" s="29"/>
      <c r="SY27" s="29"/>
      <c r="SZ27" s="29"/>
      <c r="TA27" s="29"/>
      <c r="TB27" s="29"/>
      <c r="TC27" s="29"/>
      <c r="TD27" s="29"/>
      <c r="TE27" s="29"/>
      <c r="TF27" s="29"/>
      <c r="TG27" s="29"/>
      <c r="TH27" s="29"/>
      <c r="TI27" s="29"/>
      <c r="TJ27" s="29"/>
      <c r="TK27" s="29"/>
      <c r="TL27" s="29"/>
      <c r="TM27" s="29"/>
      <c r="TN27" s="29"/>
      <c r="TO27" s="29"/>
      <c r="TP27" s="29"/>
      <c r="TQ27" s="29"/>
      <c r="TR27" s="29"/>
      <c r="TS27" s="29"/>
      <c r="TT27" s="29"/>
      <c r="TU27" s="29"/>
      <c r="TV27" s="29"/>
      <c r="TW27" s="29"/>
      <c r="TX27" s="29"/>
      <c r="TY27" s="29"/>
      <c r="TZ27" s="29"/>
      <c r="UA27" s="29"/>
      <c r="UB27" s="29"/>
      <c r="UC27" s="29"/>
      <c r="UD27" s="29"/>
      <c r="UE27" s="29"/>
      <c r="UF27" s="29"/>
      <c r="UG27" s="29"/>
      <c r="UH27" s="29"/>
      <c r="UI27" s="29"/>
      <c r="UJ27" s="29"/>
      <c r="UK27" s="29"/>
      <c r="UL27" s="29"/>
      <c r="UM27" s="29"/>
      <c r="UN27" s="29"/>
      <c r="UO27" s="29"/>
      <c r="UP27" s="29"/>
      <c r="UQ27" s="29"/>
      <c r="UR27" s="29"/>
      <c r="US27" s="29"/>
      <c r="UT27" s="29"/>
      <c r="UU27" s="29"/>
      <c r="UV27" s="29"/>
      <c r="UW27" s="29"/>
      <c r="UX27" s="29"/>
      <c r="UY27" s="29"/>
      <c r="UZ27" s="29"/>
      <c r="VA27" s="29"/>
      <c r="VB27" s="29"/>
      <c r="VC27" s="29"/>
      <c r="VD27" s="29"/>
      <c r="VE27" s="29"/>
      <c r="VF27" s="29"/>
      <c r="VG27" s="29"/>
      <c r="VH27" s="29"/>
      <c r="VI27" s="29"/>
      <c r="VJ27" s="29"/>
      <c r="VK27" s="29"/>
      <c r="VL27" s="29"/>
      <c r="VM27" s="29"/>
      <c r="VN27" s="29"/>
      <c r="VO27" s="29"/>
      <c r="VP27" s="29"/>
      <c r="VQ27" s="29"/>
      <c r="VR27" s="29"/>
      <c r="VS27" s="29"/>
      <c r="VT27" s="29"/>
      <c r="VU27" s="29"/>
      <c r="VV27" s="29"/>
      <c r="VW27" s="29"/>
      <c r="VX27" s="29"/>
      <c r="VY27" s="29"/>
      <c r="VZ27" s="29"/>
      <c r="WA27" s="29"/>
      <c r="WB27" s="29"/>
      <c r="WC27" s="29"/>
      <c r="WD27" s="29"/>
      <c r="WE27" s="29"/>
      <c r="WF27" s="29"/>
      <c r="WG27" s="29"/>
      <c r="WH27" s="29"/>
      <c r="WI27" s="29"/>
      <c r="WJ27" s="29"/>
      <c r="WK27" s="29"/>
      <c r="WL27" s="29"/>
      <c r="WM27" s="29"/>
      <c r="WN27" s="29"/>
      <c r="WO27" s="29"/>
      <c r="WP27" s="29"/>
      <c r="WQ27" s="29"/>
      <c r="WR27" s="29"/>
      <c r="WS27" s="29"/>
    </row>
    <row r="28" spans="1:617" s="3" customFormat="1" ht="15" outlineLevel="1" thickBot="1">
      <c r="A28" s="33"/>
      <c r="B28" s="178"/>
      <c r="C28" s="178" t="s">
        <v>71</v>
      </c>
      <c r="D28" s="179">
        <f t="shared" si="588"/>
        <v>45810</v>
      </c>
      <c r="E28" s="179">
        <f t="shared" si="589"/>
        <v>45821</v>
      </c>
      <c r="F28" s="14"/>
      <c r="G28" s="14">
        <v>12</v>
      </c>
      <c r="H28" s="29"/>
      <c r="I28" s="29"/>
      <c r="J28" s="29"/>
      <c r="K28" s="29"/>
      <c r="L28" s="29"/>
      <c r="M28" s="29"/>
      <c r="N28" s="29"/>
      <c r="O28" s="29"/>
      <c r="P28" s="29"/>
      <c r="Q28" s="29"/>
      <c r="R28" s="29"/>
      <c r="S28" s="29"/>
      <c r="T28" s="29"/>
      <c r="U28" s="29"/>
      <c r="V28" s="29"/>
      <c r="W28" s="29"/>
      <c r="X28" s="29"/>
      <c r="Y28" s="30"/>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c r="MM28" s="29"/>
      <c r="MN28" s="29"/>
      <c r="MO28" s="29"/>
      <c r="MP28" s="29"/>
      <c r="MQ28" s="29"/>
      <c r="MR28" s="29"/>
      <c r="MS28" s="29"/>
      <c r="MT28" s="29"/>
      <c r="MU28" s="29"/>
      <c r="MV28" s="29"/>
      <c r="MW28" s="29"/>
      <c r="MX28" s="29"/>
      <c r="MY28" s="29"/>
      <c r="MZ28" s="29"/>
      <c r="NA28" s="29"/>
      <c r="NB28" s="29"/>
      <c r="NC28" s="29"/>
      <c r="ND28" s="29"/>
      <c r="NE28" s="29"/>
      <c r="NF28" s="29"/>
      <c r="NG28" s="29"/>
      <c r="NH28" s="29"/>
      <c r="NI28" s="29"/>
      <c r="NJ28" s="29"/>
      <c r="NK28" s="29"/>
      <c r="NL28" s="29"/>
      <c r="NM28" s="29"/>
      <c r="NN28" s="29"/>
      <c r="NO28" s="29"/>
      <c r="NP28" s="29"/>
      <c r="NQ28" s="29"/>
      <c r="NR28" s="29"/>
      <c r="NS28" s="29"/>
      <c r="NT28" s="29"/>
      <c r="NU28" s="29"/>
      <c r="NV28" s="29"/>
      <c r="NW28" s="29"/>
      <c r="NX28" s="29"/>
      <c r="NY28" s="29"/>
      <c r="NZ28" s="29"/>
      <c r="OA28" s="29"/>
      <c r="OB28" s="29"/>
      <c r="OC28" s="29"/>
      <c r="OD28" s="29"/>
      <c r="OE28" s="29"/>
      <c r="OF28" s="29"/>
      <c r="OG28" s="29"/>
      <c r="OH28" s="29"/>
      <c r="OI28" s="29"/>
      <c r="OJ28" s="29"/>
      <c r="OK28" s="29"/>
      <c r="OL28" s="29"/>
      <c r="OM28" s="29"/>
      <c r="ON28" s="29"/>
      <c r="OO28" s="29"/>
      <c r="OP28" s="29"/>
      <c r="OQ28" s="29"/>
      <c r="OR28" s="29"/>
      <c r="OS28" s="29"/>
      <c r="OT28" s="29"/>
      <c r="OU28" s="29"/>
      <c r="OV28" s="29"/>
      <c r="OW28" s="29"/>
      <c r="OX28" s="29"/>
      <c r="OY28" s="29"/>
      <c r="OZ28" s="29"/>
      <c r="PA28" s="29"/>
      <c r="PB28" s="29"/>
      <c r="PC28" s="29"/>
      <c r="PD28" s="29"/>
      <c r="PE28" s="29"/>
      <c r="PF28" s="29"/>
      <c r="PG28" s="29"/>
      <c r="PH28" s="29"/>
      <c r="PI28" s="29"/>
      <c r="PJ28" s="29"/>
      <c r="PK28" s="29"/>
      <c r="PL28" s="29"/>
      <c r="PM28" s="29"/>
      <c r="PN28" s="29"/>
      <c r="PO28" s="29"/>
      <c r="PP28" s="29"/>
      <c r="PQ28" s="29"/>
      <c r="PR28" s="29"/>
      <c r="PS28" s="29"/>
      <c r="PT28" s="29"/>
      <c r="PU28" s="29"/>
      <c r="PV28" s="29"/>
      <c r="PW28" s="29"/>
      <c r="PX28" s="29"/>
      <c r="PY28" s="29"/>
      <c r="PZ28" s="29"/>
      <c r="QA28" s="29"/>
      <c r="QB28" s="29"/>
      <c r="QC28" s="29"/>
      <c r="QD28" s="29"/>
      <c r="QE28" s="29"/>
      <c r="QF28" s="29"/>
      <c r="QG28" s="29"/>
      <c r="QH28" s="29"/>
      <c r="QI28" s="29"/>
      <c r="QJ28" s="29"/>
      <c r="QK28" s="29"/>
      <c r="QL28" s="29"/>
      <c r="QM28" s="29"/>
      <c r="QN28" s="29"/>
      <c r="QO28" s="29"/>
      <c r="QP28" s="29"/>
      <c r="QQ28" s="29"/>
      <c r="QR28" s="29"/>
      <c r="QS28" s="29"/>
      <c r="QT28" s="29"/>
      <c r="QU28" s="29"/>
      <c r="QV28" s="29"/>
      <c r="QW28" s="29"/>
      <c r="QX28" s="29"/>
      <c r="QY28" s="29"/>
      <c r="QZ28" s="29"/>
      <c r="RA28" s="29"/>
      <c r="RB28" s="29"/>
      <c r="RC28" s="29"/>
      <c r="RD28" s="29"/>
      <c r="RE28" s="29"/>
      <c r="RF28" s="29"/>
      <c r="RG28" s="29"/>
      <c r="RH28" s="29"/>
      <c r="RI28" s="29"/>
      <c r="RJ28" s="29"/>
      <c r="RK28" s="29"/>
      <c r="RL28" s="29"/>
      <c r="RM28" s="29"/>
      <c r="RN28" s="29"/>
      <c r="RO28" s="29"/>
      <c r="RP28" s="29"/>
      <c r="RQ28" s="29"/>
      <c r="RR28" s="29"/>
      <c r="RS28" s="29"/>
      <c r="RT28" s="29"/>
      <c r="RU28" s="29"/>
      <c r="RV28" s="29"/>
      <c r="RW28" s="29"/>
      <c r="RX28" s="29"/>
      <c r="RY28" s="29"/>
      <c r="RZ28" s="29"/>
      <c r="SA28" s="29"/>
      <c r="SB28" s="29"/>
      <c r="SC28" s="29"/>
      <c r="SD28" s="29"/>
      <c r="SE28" s="29"/>
      <c r="SF28" s="29"/>
      <c r="SG28" s="29"/>
      <c r="SH28" s="29"/>
      <c r="SI28" s="29"/>
      <c r="SJ28" s="29"/>
      <c r="SK28" s="29"/>
      <c r="SL28" s="29"/>
      <c r="SM28" s="29"/>
      <c r="SN28" s="29"/>
      <c r="SO28" s="29"/>
      <c r="SP28" s="29"/>
      <c r="SQ28" s="29"/>
      <c r="SR28" s="29"/>
      <c r="SS28" s="29"/>
      <c r="ST28" s="29"/>
      <c r="SU28" s="29"/>
      <c r="SV28" s="29"/>
      <c r="SW28" s="29"/>
      <c r="SX28" s="29"/>
      <c r="SY28" s="29"/>
      <c r="SZ28" s="29"/>
      <c r="TA28" s="29"/>
      <c r="TB28" s="29"/>
      <c r="TC28" s="29"/>
      <c r="TD28" s="29"/>
      <c r="TE28" s="29"/>
      <c r="TF28" s="29"/>
      <c r="TG28" s="29"/>
      <c r="TH28" s="29"/>
      <c r="TI28" s="29"/>
      <c r="TJ28" s="29"/>
      <c r="TK28" s="29"/>
      <c r="TL28" s="29"/>
      <c r="TM28" s="29"/>
      <c r="TN28" s="29"/>
      <c r="TO28" s="29"/>
      <c r="TP28" s="29"/>
      <c r="TQ28" s="29"/>
      <c r="TR28" s="29"/>
      <c r="TS28" s="29"/>
      <c r="TT28" s="29"/>
      <c r="TU28" s="29"/>
      <c r="TV28" s="29"/>
      <c r="TW28" s="29"/>
      <c r="TX28" s="29"/>
      <c r="TY28" s="29"/>
      <c r="TZ28" s="29"/>
      <c r="UA28" s="29"/>
      <c r="UB28" s="29"/>
      <c r="UC28" s="29"/>
      <c r="UD28" s="29"/>
      <c r="UE28" s="29"/>
      <c r="UF28" s="29"/>
      <c r="UG28" s="29"/>
      <c r="UH28" s="29"/>
      <c r="UI28" s="29"/>
      <c r="UJ28" s="29"/>
      <c r="UK28" s="29"/>
      <c r="UL28" s="29"/>
      <c r="UM28" s="29"/>
      <c r="UN28" s="29"/>
      <c r="UO28" s="29"/>
      <c r="UP28" s="29"/>
      <c r="UQ28" s="29"/>
      <c r="UR28" s="29"/>
      <c r="US28" s="29"/>
      <c r="UT28" s="29"/>
      <c r="UU28" s="29"/>
      <c r="UV28" s="29"/>
      <c r="UW28" s="29"/>
      <c r="UX28" s="29"/>
      <c r="UY28" s="29"/>
      <c r="UZ28" s="29"/>
      <c r="VA28" s="29"/>
      <c r="VB28" s="29"/>
      <c r="VC28" s="29"/>
      <c r="VD28" s="29"/>
      <c r="VE28" s="29"/>
      <c r="VF28" s="29"/>
      <c r="VG28" s="29"/>
      <c r="VH28" s="29"/>
      <c r="VI28" s="29"/>
      <c r="VJ28" s="29"/>
      <c r="VK28" s="29"/>
      <c r="VL28" s="29"/>
      <c r="VM28" s="29"/>
      <c r="VN28" s="29"/>
      <c r="VO28" s="29"/>
      <c r="VP28" s="29"/>
      <c r="VQ28" s="29"/>
      <c r="VR28" s="29"/>
      <c r="VS28" s="29"/>
      <c r="VT28" s="29"/>
      <c r="VU28" s="29"/>
      <c r="VV28" s="29"/>
      <c r="VW28" s="29"/>
      <c r="VX28" s="29"/>
      <c r="VY28" s="29"/>
      <c r="VZ28" s="29"/>
      <c r="WA28" s="29"/>
      <c r="WB28" s="29"/>
      <c r="WC28" s="29"/>
      <c r="WD28" s="29"/>
      <c r="WE28" s="29"/>
      <c r="WF28" s="29"/>
      <c r="WG28" s="29"/>
      <c r="WH28" s="29"/>
      <c r="WI28" s="29"/>
      <c r="WJ28" s="29"/>
      <c r="WK28" s="29"/>
      <c r="WL28" s="29"/>
      <c r="WM28" s="29"/>
      <c r="WN28" s="29"/>
      <c r="WO28" s="29"/>
      <c r="WP28" s="29"/>
      <c r="WQ28" s="29"/>
      <c r="WR28" s="29"/>
      <c r="WS28" s="29"/>
    </row>
    <row r="29" spans="1:617" s="3" customFormat="1" ht="15" outlineLevel="1" thickBot="1">
      <c r="A29" s="33"/>
      <c r="B29" s="178"/>
      <c r="C29" s="178" t="s">
        <v>35</v>
      </c>
      <c r="D29" s="179">
        <f t="shared" si="588"/>
        <v>45817</v>
      </c>
      <c r="E29" s="179">
        <f t="shared" si="589"/>
        <v>45828</v>
      </c>
      <c r="F29" s="14"/>
      <c r="G29" s="14">
        <v>12</v>
      </c>
      <c r="H29" s="29"/>
      <c r="I29" s="29"/>
      <c r="J29" s="29"/>
      <c r="K29" s="29"/>
      <c r="L29" s="29"/>
      <c r="M29" s="29"/>
      <c r="N29" s="29"/>
      <c r="O29" s="29"/>
      <c r="P29" s="29"/>
      <c r="Q29" s="29"/>
      <c r="R29" s="29"/>
      <c r="S29" s="29"/>
      <c r="T29" s="29"/>
      <c r="U29" s="29"/>
      <c r="V29" s="29"/>
      <c r="W29" s="29"/>
      <c r="X29" s="29"/>
      <c r="Y29" s="30"/>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c r="MM29" s="29"/>
      <c r="MN29" s="29"/>
      <c r="MO29" s="29"/>
      <c r="MP29" s="29"/>
      <c r="MQ29" s="29"/>
      <c r="MR29" s="29"/>
      <c r="MS29" s="29"/>
      <c r="MT29" s="29"/>
      <c r="MU29" s="29"/>
      <c r="MV29" s="29"/>
      <c r="MW29" s="29"/>
      <c r="MX29" s="29"/>
      <c r="MY29" s="29"/>
      <c r="MZ29" s="29"/>
      <c r="NA29" s="29"/>
      <c r="NB29" s="29"/>
      <c r="NC29" s="29"/>
      <c r="ND29" s="29"/>
      <c r="NE29" s="29"/>
      <c r="NF29" s="29"/>
      <c r="NG29" s="29"/>
      <c r="NH29" s="29"/>
      <c r="NI29" s="29"/>
      <c r="NJ29" s="29"/>
      <c r="NK29" s="29"/>
      <c r="NL29" s="29"/>
      <c r="NM29" s="29"/>
      <c r="NN29" s="29"/>
      <c r="NO29" s="29"/>
      <c r="NP29" s="29"/>
      <c r="NQ29" s="29"/>
      <c r="NR29" s="29"/>
      <c r="NS29" s="29"/>
      <c r="NT29" s="29"/>
      <c r="NU29" s="29"/>
      <c r="NV29" s="29"/>
      <c r="NW29" s="29"/>
      <c r="NX29" s="29"/>
      <c r="NY29" s="29"/>
      <c r="NZ29" s="29"/>
      <c r="OA29" s="29"/>
      <c r="OB29" s="29"/>
      <c r="OC29" s="29"/>
      <c r="OD29" s="29"/>
      <c r="OE29" s="29"/>
      <c r="OF29" s="29"/>
      <c r="OG29" s="29"/>
      <c r="OH29" s="29"/>
      <c r="OI29" s="29"/>
      <c r="OJ29" s="29"/>
      <c r="OK29" s="29"/>
      <c r="OL29" s="29"/>
      <c r="OM29" s="29"/>
      <c r="ON29" s="29"/>
      <c r="OO29" s="29"/>
      <c r="OP29" s="29"/>
      <c r="OQ29" s="29"/>
      <c r="OR29" s="29"/>
      <c r="OS29" s="29"/>
      <c r="OT29" s="29"/>
      <c r="OU29" s="29"/>
      <c r="OV29" s="29"/>
      <c r="OW29" s="29"/>
      <c r="OX29" s="29"/>
      <c r="OY29" s="29"/>
      <c r="OZ29" s="29"/>
      <c r="PA29" s="29"/>
      <c r="PB29" s="29"/>
      <c r="PC29" s="29"/>
      <c r="PD29" s="29"/>
      <c r="PE29" s="29"/>
      <c r="PF29" s="29"/>
      <c r="PG29" s="29"/>
      <c r="PH29" s="29"/>
      <c r="PI29" s="29"/>
      <c r="PJ29" s="29"/>
      <c r="PK29" s="29"/>
      <c r="PL29" s="29"/>
      <c r="PM29" s="29"/>
      <c r="PN29" s="29"/>
      <c r="PO29" s="29"/>
      <c r="PP29" s="29"/>
      <c r="PQ29" s="29"/>
      <c r="PR29" s="29"/>
      <c r="PS29" s="29"/>
      <c r="PT29" s="29"/>
      <c r="PU29" s="29"/>
      <c r="PV29" s="29"/>
      <c r="PW29" s="29"/>
      <c r="PX29" s="29"/>
      <c r="PY29" s="29"/>
      <c r="PZ29" s="29"/>
      <c r="QA29" s="29"/>
      <c r="QB29" s="29"/>
      <c r="QC29" s="29"/>
      <c r="QD29" s="29"/>
      <c r="QE29" s="29"/>
      <c r="QF29" s="29"/>
      <c r="QG29" s="29"/>
      <c r="QH29" s="29"/>
      <c r="QI29" s="29"/>
      <c r="QJ29" s="29"/>
      <c r="QK29" s="29"/>
      <c r="QL29" s="29"/>
      <c r="QM29" s="29"/>
      <c r="QN29" s="29"/>
      <c r="QO29" s="29"/>
      <c r="QP29" s="29"/>
      <c r="QQ29" s="29"/>
      <c r="QR29" s="29"/>
      <c r="QS29" s="29"/>
      <c r="QT29" s="29"/>
      <c r="QU29" s="29"/>
      <c r="QV29" s="29"/>
      <c r="QW29" s="29"/>
      <c r="QX29" s="29"/>
      <c r="QY29" s="29"/>
      <c r="QZ29" s="29"/>
      <c r="RA29" s="29"/>
      <c r="RB29" s="29"/>
      <c r="RC29" s="29"/>
      <c r="RD29" s="29"/>
      <c r="RE29" s="29"/>
      <c r="RF29" s="29"/>
      <c r="RG29" s="29"/>
      <c r="RH29" s="29"/>
      <c r="RI29" s="29"/>
      <c r="RJ29" s="29"/>
      <c r="RK29" s="29"/>
      <c r="RL29" s="29"/>
      <c r="RM29" s="29"/>
      <c r="RN29" s="29"/>
      <c r="RO29" s="29"/>
      <c r="RP29" s="29"/>
      <c r="RQ29" s="29"/>
      <c r="RR29" s="29"/>
      <c r="RS29" s="29"/>
      <c r="RT29" s="29"/>
      <c r="RU29" s="29"/>
      <c r="RV29" s="29"/>
      <c r="RW29" s="29"/>
      <c r="RX29" s="29"/>
      <c r="RY29" s="29"/>
      <c r="RZ29" s="29"/>
      <c r="SA29" s="29"/>
      <c r="SB29" s="29"/>
      <c r="SC29" s="29"/>
      <c r="SD29" s="29"/>
      <c r="SE29" s="29"/>
      <c r="SF29" s="29"/>
      <c r="SG29" s="29"/>
      <c r="SH29" s="29"/>
      <c r="SI29" s="29"/>
      <c r="SJ29" s="29"/>
      <c r="SK29" s="29"/>
      <c r="SL29" s="29"/>
      <c r="SM29" s="29"/>
      <c r="SN29" s="29"/>
      <c r="SO29" s="29"/>
      <c r="SP29" s="29"/>
      <c r="SQ29" s="29"/>
      <c r="SR29" s="29"/>
      <c r="SS29" s="29"/>
      <c r="ST29" s="29"/>
      <c r="SU29" s="29"/>
      <c r="SV29" s="29"/>
      <c r="SW29" s="29"/>
      <c r="SX29" s="29"/>
      <c r="SY29" s="29"/>
      <c r="SZ29" s="29"/>
      <c r="TA29" s="29"/>
      <c r="TB29" s="29"/>
      <c r="TC29" s="29"/>
      <c r="TD29" s="29"/>
      <c r="TE29" s="29"/>
      <c r="TF29" s="29"/>
      <c r="TG29" s="29"/>
      <c r="TH29" s="29"/>
      <c r="TI29" s="29"/>
      <c r="TJ29" s="29"/>
      <c r="TK29" s="29"/>
      <c r="TL29" s="29"/>
      <c r="TM29" s="29"/>
      <c r="TN29" s="29"/>
      <c r="TO29" s="29"/>
      <c r="TP29" s="29"/>
      <c r="TQ29" s="29"/>
      <c r="TR29" s="29"/>
      <c r="TS29" s="29"/>
      <c r="TT29" s="29"/>
      <c r="TU29" s="29"/>
      <c r="TV29" s="29"/>
      <c r="TW29" s="29"/>
      <c r="TX29" s="29"/>
      <c r="TY29" s="29"/>
      <c r="TZ29" s="29"/>
      <c r="UA29" s="29"/>
      <c r="UB29" s="29"/>
      <c r="UC29" s="29"/>
      <c r="UD29" s="29"/>
      <c r="UE29" s="29"/>
      <c r="UF29" s="29"/>
      <c r="UG29" s="29"/>
      <c r="UH29" s="29"/>
      <c r="UI29" s="29"/>
      <c r="UJ29" s="29"/>
      <c r="UK29" s="29"/>
      <c r="UL29" s="29"/>
      <c r="UM29" s="29"/>
      <c r="UN29" s="29"/>
      <c r="UO29" s="29"/>
      <c r="UP29" s="29"/>
      <c r="UQ29" s="29"/>
      <c r="UR29" s="29"/>
      <c r="US29" s="29"/>
      <c r="UT29" s="29"/>
      <c r="UU29" s="29"/>
      <c r="UV29" s="29"/>
      <c r="UW29" s="29"/>
      <c r="UX29" s="29"/>
      <c r="UY29" s="29"/>
      <c r="UZ29" s="29"/>
      <c r="VA29" s="29"/>
      <c r="VB29" s="29"/>
      <c r="VC29" s="29"/>
      <c r="VD29" s="29"/>
      <c r="VE29" s="29"/>
      <c r="VF29" s="29"/>
      <c r="VG29" s="29"/>
      <c r="VH29" s="29"/>
      <c r="VI29" s="29"/>
      <c r="VJ29" s="29"/>
      <c r="VK29" s="29"/>
      <c r="VL29" s="29"/>
      <c r="VM29" s="29"/>
      <c r="VN29" s="29"/>
      <c r="VO29" s="29"/>
      <c r="VP29" s="29"/>
      <c r="VQ29" s="29"/>
      <c r="VR29" s="29"/>
      <c r="VS29" s="29"/>
      <c r="VT29" s="29"/>
      <c r="VU29" s="29"/>
      <c r="VV29" s="29"/>
      <c r="VW29" s="29"/>
      <c r="VX29" s="29"/>
      <c r="VY29" s="29"/>
      <c r="VZ29" s="29"/>
      <c r="WA29" s="29"/>
      <c r="WB29" s="29"/>
      <c r="WC29" s="29"/>
      <c r="WD29" s="29"/>
      <c r="WE29" s="29"/>
      <c r="WF29" s="29"/>
      <c r="WG29" s="29"/>
      <c r="WH29" s="29"/>
      <c r="WI29" s="29"/>
      <c r="WJ29" s="29"/>
      <c r="WK29" s="29"/>
      <c r="WL29" s="29"/>
      <c r="WM29" s="29"/>
      <c r="WN29" s="29"/>
      <c r="WO29" s="29"/>
      <c r="WP29" s="29"/>
      <c r="WQ29" s="29"/>
      <c r="WR29" s="29"/>
      <c r="WS29" s="29"/>
    </row>
    <row r="30" spans="1:617" s="3" customFormat="1" ht="15" outlineLevel="1" thickBot="1">
      <c r="A30" s="33"/>
      <c r="B30" s="178"/>
      <c r="C30" s="178" t="s">
        <v>92</v>
      </c>
      <c r="D30" s="179">
        <f t="shared" si="588"/>
        <v>45824</v>
      </c>
      <c r="E30" s="179">
        <f t="shared" si="589"/>
        <v>45835</v>
      </c>
      <c r="F30" s="14"/>
      <c r="G30" s="14">
        <v>12</v>
      </c>
      <c r="H30" s="29"/>
      <c r="I30" s="29"/>
      <c r="J30" s="29"/>
      <c r="K30" s="29"/>
      <c r="L30" s="29"/>
      <c r="M30" s="29"/>
      <c r="N30" s="29"/>
      <c r="O30" s="29"/>
      <c r="P30" s="29"/>
      <c r="Q30" s="29"/>
      <c r="R30" s="29"/>
      <c r="S30" s="29"/>
      <c r="T30" s="29"/>
      <c r="U30" s="29"/>
      <c r="V30" s="29"/>
      <c r="W30" s="29"/>
      <c r="X30" s="29"/>
      <c r="Y30" s="30"/>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c r="MM30" s="29"/>
      <c r="MN30" s="29"/>
      <c r="MO30" s="29"/>
      <c r="MP30" s="29"/>
      <c r="MQ30" s="29"/>
      <c r="MR30" s="29"/>
      <c r="MS30" s="29"/>
      <c r="MT30" s="29"/>
      <c r="MU30" s="29"/>
      <c r="MV30" s="29"/>
      <c r="MW30" s="29"/>
      <c r="MX30" s="29"/>
      <c r="MY30" s="29"/>
      <c r="MZ30" s="29"/>
      <c r="NA30" s="29"/>
      <c r="NB30" s="29"/>
      <c r="NC30" s="29"/>
      <c r="ND30" s="29"/>
      <c r="NE30" s="29"/>
      <c r="NF30" s="29"/>
      <c r="NG30" s="29"/>
      <c r="NH30" s="29"/>
      <c r="NI30" s="29"/>
      <c r="NJ30" s="29"/>
      <c r="NK30" s="29"/>
      <c r="NL30" s="29"/>
      <c r="NM30" s="29"/>
      <c r="NN30" s="29"/>
      <c r="NO30" s="29"/>
      <c r="NP30" s="29"/>
      <c r="NQ30" s="29"/>
      <c r="NR30" s="29"/>
      <c r="NS30" s="29"/>
      <c r="NT30" s="29"/>
      <c r="NU30" s="29"/>
      <c r="NV30" s="29"/>
      <c r="NW30" s="29"/>
      <c r="NX30" s="29"/>
      <c r="NY30" s="29"/>
      <c r="NZ30" s="29"/>
      <c r="OA30" s="29"/>
      <c r="OB30" s="29"/>
      <c r="OC30" s="29"/>
      <c r="OD30" s="29"/>
      <c r="OE30" s="29"/>
      <c r="OF30" s="29"/>
      <c r="OG30" s="29"/>
      <c r="OH30" s="29"/>
      <c r="OI30" s="29"/>
      <c r="OJ30" s="29"/>
      <c r="OK30" s="29"/>
      <c r="OL30" s="29"/>
      <c r="OM30" s="29"/>
      <c r="ON30" s="29"/>
      <c r="OO30" s="29"/>
      <c r="OP30" s="29"/>
      <c r="OQ30" s="29"/>
      <c r="OR30" s="29"/>
      <c r="OS30" s="29"/>
      <c r="OT30" s="29"/>
      <c r="OU30" s="29"/>
      <c r="OV30" s="29"/>
      <c r="OW30" s="29"/>
      <c r="OX30" s="29"/>
      <c r="OY30" s="29"/>
      <c r="OZ30" s="29"/>
      <c r="PA30" s="29"/>
      <c r="PB30" s="29"/>
      <c r="PC30" s="29"/>
      <c r="PD30" s="29"/>
      <c r="PE30" s="29"/>
      <c r="PF30" s="29"/>
      <c r="PG30" s="29"/>
      <c r="PH30" s="29"/>
      <c r="PI30" s="29"/>
      <c r="PJ30" s="29"/>
      <c r="PK30" s="29"/>
      <c r="PL30" s="29"/>
      <c r="PM30" s="29"/>
      <c r="PN30" s="29"/>
      <c r="PO30" s="29"/>
      <c r="PP30" s="29"/>
      <c r="PQ30" s="29"/>
      <c r="PR30" s="29"/>
      <c r="PS30" s="29"/>
      <c r="PT30" s="29"/>
      <c r="PU30" s="29"/>
      <c r="PV30" s="29"/>
      <c r="PW30" s="29"/>
      <c r="PX30" s="29"/>
      <c r="PY30" s="29"/>
      <c r="PZ30" s="29"/>
      <c r="QA30" s="29"/>
      <c r="QB30" s="29"/>
      <c r="QC30" s="29"/>
      <c r="QD30" s="29"/>
      <c r="QE30" s="29"/>
      <c r="QF30" s="29"/>
      <c r="QG30" s="29"/>
      <c r="QH30" s="29"/>
      <c r="QI30" s="29"/>
      <c r="QJ30" s="29"/>
      <c r="QK30" s="29"/>
      <c r="QL30" s="29"/>
      <c r="QM30" s="29"/>
      <c r="QN30" s="29"/>
      <c r="QO30" s="29"/>
      <c r="QP30" s="29"/>
      <c r="QQ30" s="29"/>
      <c r="QR30" s="29"/>
      <c r="QS30" s="29"/>
      <c r="QT30" s="29"/>
      <c r="QU30" s="29"/>
      <c r="QV30" s="29"/>
      <c r="QW30" s="29"/>
      <c r="QX30" s="29"/>
      <c r="QY30" s="29"/>
      <c r="QZ30" s="29"/>
      <c r="RA30" s="29"/>
      <c r="RB30" s="29"/>
      <c r="RC30" s="29"/>
      <c r="RD30" s="29"/>
      <c r="RE30" s="29"/>
      <c r="RF30" s="29"/>
      <c r="RG30" s="29"/>
      <c r="RH30" s="29"/>
      <c r="RI30" s="29"/>
      <c r="RJ30" s="29"/>
      <c r="RK30" s="29"/>
      <c r="RL30" s="29"/>
      <c r="RM30" s="29"/>
      <c r="RN30" s="29"/>
      <c r="RO30" s="29"/>
      <c r="RP30" s="29"/>
      <c r="RQ30" s="29"/>
      <c r="RR30" s="29"/>
      <c r="RS30" s="29"/>
      <c r="RT30" s="29"/>
      <c r="RU30" s="29"/>
      <c r="RV30" s="29"/>
      <c r="RW30" s="29"/>
      <c r="RX30" s="29"/>
      <c r="RY30" s="29"/>
      <c r="RZ30" s="29"/>
      <c r="SA30" s="29"/>
      <c r="SB30" s="29"/>
      <c r="SC30" s="29"/>
      <c r="SD30" s="29"/>
      <c r="SE30" s="29"/>
      <c r="SF30" s="29"/>
      <c r="SG30" s="29"/>
      <c r="SH30" s="29"/>
      <c r="SI30" s="29"/>
      <c r="SJ30" s="29"/>
      <c r="SK30" s="29"/>
      <c r="SL30" s="29"/>
      <c r="SM30" s="29"/>
      <c r="SN30" s="29"/>
      <c r="SO30" s="29"/>
      <c r="SP30" s="29"/>
      <c r="SQ30" s="29"/>
      <c r="SR30" s="29"/>
      <c r="SS30" s="29"/>
      <c r="ST30" s="29"/>
      <c r="SU30" s="29"/>
      <c r="SV30" s="29"/>
      <c r="SW30" s="29"/>
      <c r="SX30" s="29"/>
      <c r="SY30" s="29"/>
      <c r="SZ30" s="29"/>
      <c r="TA30" s="29"/>
      <c r="TB30" s="29"/>
      <c r="TC30" s="29"/>
      <c r="TD30" s="29"/>
      <c r="TE30" s="29"/>
      <c r="TF30" s="29"/>
      <c r="TG30" s="29"/>
      <c r="TH30" s="29"/>
      <c r="TI30" s="29"/>
      <c r="TJ30" s="29"/>
      <c r="TK30" s="29"/>
      <c r="TL30" s="29"/>
      <c r="TM30" s="29"/>
      <c r="TN30" s="29"/>
      <c r="TO30" s="29"/>
      <c r="TP30" s="29"/>
      <c r="TQ30" s="29"/>
      <c r="TR30" s="29"/>
      <c r="TS30" s="29"/>
      <c r="TT30" s="29"/>
      <c r="TU30" s="29"/>
      <c r="TV30" s="29"/>
      <c r="TW30" s="29"/>
      <c r="TX30" s="29"/>
      <c r="TY30" s="29"/>
      <c r="TZ30" s="29"/>
      <c r="UA30" s="29"/>
      <c r="UB30" s="29"/>
      <c r="UC30" s="29"/>
      <c r="UD30" s="29"/>
      <c r="UE30" s="29"/>
      <c r="UF30" s="29"/>
      <c r="UG30" s="29"/>
      <c r="UH30" s="29"/>
      <c r="UI30" s="29"/>
      <c r="UJ30" s="29"/>
      <c r="UK30" s="29"/>
      <c r="UL30" s="29"/>
      <c r="UM30" s="29"/>
      <c r="UN30" s="29"/>
      <c r="UO30" s="29"/>
      <c r="UP30" s="29"/>
      <c r="UQ30" s="29"/>
      <c r="UR30" s="29"/>
      <c r="US30" s="29"/>
      <c r="UT30" s="29"/>
      <c r="UU30" s="29"/>
      <c r="UV30" s="29"/>
      <c r="UW30" s="29"/>
      <c r="UX30" s="29"/>
      <c r="UY30" s="29"/>
      <c r="UZ30" s="29"/>
      <c r="VA30" s="29"/>
      <c r="VB30" s="29"/>
      <c r="VC30" s="29"/>
      <c r="VD30" s="29"/>
      <c r="VE30" s="29"/>
      <c r="VF30" s="29"/>
      <c r="VG30" s="29"/>
      <c r="VH30" s="29"/>
      <c r="VI30" s="29"/>
      <c r="VJ30" s="29"/>
      <c r="VK30" s="29"/>
      <c r="VL30" s="29"/>
      <c r="VM30" s="29"/>
      <c r="VN30" s="29"/>
      <c r="VO30" s="29"/>
      <c r="VP30" s="29"/>
      <c r="VQ30" s="29"/>
      <c r="VR30" s="29"/>
      <c r="VS30" s="29"/>
      <c r="VT30" s="29"/>
      <c r="VU30" s="29"/>
      <c r="VV30" s="29"/>
      <c r="VW30" s="29"/>
      <c r="VX30" s="29"/>
      <c r="VY30" s="29"/>
      <c r="VZ30" s="29"/>
      <c r="WA30" s="29"/>
      <c r="WB30" s="29"/>
      <c r="WC30" s="29"/>
      <c r="WD30" s="29"/>
      <c r="WE30" s="29"/>
      <c r="WF30" s="29"/>
      <c r="WG30" s="29"/>
      <c r="WH30" s="29"/>
      <c r="WI30" s="29"/>
      <c r="WJ30" s="29"/>
      <c r="WK30" s="29"/>
      <c r="WL30" s="29"/>
      <c r="WM30" s="29"/>
      <c r="WN30" s="29"/>
      <c r="WO30" s="29"/>
      <c r="WP30" s="29"/>
      <c r="WQ30" s="29"/>
      <c r="WR30" s="29"/>
      <c r="WS30" s="29"/>
    </row>
    <row r="31" spans="1:617" s="3" customFormat="1" ht="15" outlineLevel="1" thickBot="1">
      <c r="A31" s="33"/>
      <c r="B31" s="178"/>
      <c r="C31" s="178" t="s">
        <v>104</v>
      </c>
      <c r="D31" s="179">
        <f t="shared" si="588"/>
        <v>45831</v>
      </c>
      <c r="E31" s="179">
        <f t="shared" si="589"/>
        <v>45842</v>
      </c>
      <c r="F31" s="14"/>
      <c r="G31" s="14">
        <v>12</v>
      </c>
      <c r="H31" s="29"/>
      <c r="I31" s="29"/>
      <c r="J31" s="29"/>
      <c r="K31" s="29"/>
      <c r="L31" s="29"/>
      <c r="M31" s="29"/>
      <c r="N31" s="29"/>
      <c r="O31" s="29"/>
      <c r="P31" s="29"/>
      <c r="Q31" s="29"/>
      <c r="R31" s="29"/>
      <c r="S31" s="29"/>
      <c r="T31" s="29"/>
      <c r="U31" s="29"/>
      <c r="V31" s="29"/>
      <c r="W31" s="29"/>
      <c r="X31" s="29"/>
      <c r="Y31" s="30"/>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c r="MM31" s="29"/>
      <c r="MN31" s="29"/>
      <c r="MO31" s="29"/>
      <c r="MP31" s="29"/>
      <c r="MQ31" s="29"/>
      <c r="MR31" s="29"/>
      <c r="MS31" s="29"/>
      <c r="MT31" s="29"/>
      <c r="MU31" s="29"/>
      <c r="MV31" s="29"/>
      <c r="MW31" s="29"/>
      <c r="MX31" s="29"/>
      <c r="MY31" s="29"/>
      <c r="MZ31" s="29"/>
      <c r="NA31" s="29"/>
      <c r="NB31" s="29"/>
      <c r="NC31" s="29"/>
      <c r="ND31" s="29"/>
      <c r="NE31" s="29"/>
      <c r="NF31" s="29"/>
      <c r="NG31" s="29"/>
      <c r="NH31" s="29"/>
      <c r="NI31" s="29"/>
      <c r="NJ31" s="29"/>
      <c r="NK31" s="29"/>
      <c r="NL31" s="29"/>
      <c r="NM31" s="29"/>
      <c r="NN31" s="29"/>
      <c r="NO31" s="29"/>
      <c r="NP31" s="29"/>
      <c r="NQ31" s="29"/>
      <c r="NR31" s="29"/>
      <c r="NS31" s="29"/>
      <c r="NT31" s="29"/>
      <c r="NU31" s="29"/>
      <c r="NV31" s="29"/>
      <c r="NW31" s="29"/>
      <c r="NX31" s="29"/>
      <c r="NY31" s="29"/>
      <c r="NZ31" s="29"/>
      <c r="OA31" s="29"/>
      <c r="OB31" s="29"/>
      <c r="OC31" s="29"/>
      <c r="OD31" s="29"/>
      <c r="OE31" s="29"/>
      <c r="OF31" s="29"/>
      <c r="OG31" s="29"/>
      <c r="OH31" s="29"/>
      <c r="OI31" s="29"/>
      <c r="OJ31" s="29"/>
      <c r="OK31" s="29"/>
      <c r="OL31" s="29"/>
      <c r="OM31" s="29"/>
      <c r="ON31" s="29"/>
      <c r="OO31" s="29"/>
      <c r="OP31" s="29"/>
      <c r="OQ31" s="29"/>
      <c r="OR31" s="29"/>
      <c r="OS31" s="29"/>
      <c r="OT31" s="29"/>
      <c r="OU31" s="29"/>
      <c r="OV31" s="29"/>
      <c r="OW31" s="29"/>
      <c r="OX31" s="29"/>
      <c r="OY31" s="29"/>
      <c r="OZ31" s="29"/>
      <c r="PA31" s="29"/>
      <c r="PB31" s="29"/>
      <c r="PC31" s="29"/>
      <c r="PD31" s="29"/>
      <c r="PE31" s="29"/>
      <c r="PF31" s="29"/>
      <c r="PG31" s="29"/>
      <c r="PH31" s="29"/>
      <c r="PI31" s="29"/>
      <c r="PJ31" s="29"/>
      <c r="PK31" s="29"/>
      <c r="PL31" s="29"/>
      <c r="PM31" s="29"/>
      <c r="PN31" s="29"/>
      <c r="PO31" s="29"/>
      <c r="PP31" s="29"/>
      <c r="PQ31" s="29"/>
      <c r="PR31" s="29"/>
      <c r="PS31" s="29"/>
      <c r="PT31" s="29"/>
      <c r="PU31" s="29"/>
      <c r="PV31" s="29"/>
      <c r="PW31" s="29"/>
      <c r="PX31" s="29"/>
      <c r="PY31" s="29"/>
      <c r="PZ31" s="29"/>
      <c r="QA31" s="29"/>
      <c r="QB31" s="29"/>
      <c r="QC31" s="29"/>
      <c r="QD31" s="29"/>
      <c r="QE31" s="29"/>
      <c r="QF31" s="29"/>
      <c r="QG31" s="29"/>
      <c r="QH31" s="29"/>
      <c r="QI31" s="29"/>
      <c r="QJ31" s="29"/>
      <c r="QK31" s="29"/>
      <c r="QL31" s="29"/>
      <c r="QM31" s="29"/>
      <c r="QN31" s="29"/>
      <c r="QO31" s="29"/>
      <c r="QP31" s="29"/>
      <c r="QQ31" s="29"/>
      <c r="QR31" s="29"/>
      <c r="QS31" s="29"/>
      <c r="QT31" s="29"/>
      <c r="QU31" s="29"/>
      <c r="QV31" s="29"/>
      <c r="QW31" s="29"/>
      <c r="QX31" s="29"/>
      <c r="QY31" s="29"/>
      <c r="QZ31" s="29"/>
      <c r="RA31" s="29"/>
      <c r="RB31" s="29"/>
      <c r="RC31" s="29"/>
      <c r="RD31" s="29"/>
      <c r="RE31" s="29"/>
      <c r="RF31" s="29"/>
      <c r="RG31" s="29"/>
      <c r="RH31" s="29"/>
      <c r="RI31" s="29"/>
      <c r="RJ31" s="29"/>
      <c r="RK31" s="29"/>
      <c r="RL31" s="29"/>
      <c r="RM31" s="29"/>
      <c r="RN31" s="29"/>
      <c r="RO31" s="29"/>
      <c r="RP31" s="29"/>
      <c r="RQ31" s="29"/>
      <c r="RR31" s="29"/>
      <c r="RS31" s="29"/>
      <c r="RT31" s="29"/>
      <c r="RU31" s="29"/>
      <c r="RV31" s="29"/>
      <c r="RW31" s="29"/>
      <c r="RX31" s="29"/>
      <c r="RY31" s="29"/>
      <c r="RZ31" s="29"/>
      <c r="SA31" s="29"/>
      <c r="SB31" s="29"/>
      <c r="SC31" s="29"/>
      <c r="SD31" s="29"/>
      <c r="SE31" s="29"/>
      <c r="SF31" s="29"/>
      <c r="SG31" s="29"/>
      <c r="SH31" s="29"/>
      <c r="SI31" s="29"/>
      <c r="SJ31" s="29"/>
      <c r="SK31" s="29"/>
      <c r="SL31" s="29"/>
      <c r="SM31" s="29"/>
      <c r="SN31" s="29"/>
      <c r="SO31" s="29"/>
      <c r="SP31" s="29"/>
      <c r="SQ31" s="29"/>
      <c r="SR31" s="29"/>
      <c r="SS31" s="29"/>
      <c r="ST31" s="29"/>
      <c r="SU31" s="29"/>
      <c r="SV31" s="29"/>
      <c r="SW31" s="29"/>
      <c r="SX31" s="29"/>
      <c r="SY31" s="29"/>
      <c r="SZ31" s="29"/>
      <c r="TA31" s="29"/>
      <c r="TB31" s="29"/>
      <c r="TC31" s="29"/>
      <c r="TD31" s="29"/>
      <c r="TE31" s="29"/>
      <c r="TF31" s="29"/>
      <c r="TG31" s="29"/>
      <c r="TH31" s="29"/>
      <c r="TI31" s="29"/>
      <c r="TJ31" s="29"/>
      <c r="TK31" s="29"/>
      <c r="TL31" s="29"/>
      <c r="TM31" s="29"/>
      <c r="TN31" s="29"/>
      <c r="TO31" s="29"/>
      <c r="TP31" s="29"/>
      <c r="TQ31" s="29"/>
      <c r="TR31" s="29"/>
      <c r="TS31" s="29"/>
      <c r="TT31" s="29"/>
      <c r="TU31" s="29"/>
      <c r="TV31" s="29"/>
      <c r="TW31" s="29"/>
      <c r="TX31" s="29"/>
      <c r="TY31" s="29"/>
      <c r="TZ31" s="29"/>
      <c r="UA31" s="29"/>
      <c r="UB31" s="29"/>
      <c r="UC31" s="29"/>
      <c r="UD31" s="29"/>
      <c r="UE31" s="29"/>
      <c r="UF31" s="29"/>
      <c r="UG31" s="29"/>
      <c r="UH31" s="29"/>
      <c r="UI31" s="29"/>
      <c r="UJ31" s="29"/>
      <c r="UK31" s="29"/>
      <c r="UL31" s="29"/>
      <c r="UM31" s="29"/>
      <c r="UN31" s="29"/>
      <c r="UO31" s="29"/>
      <c r="UP31" s="29"/>
      <c r="UQ31" s="29"/>
      <c r="UR31" s="29"/>
      <c r="US31" s="29"/>
      <c r="UT31" s="29"/>
      <c r="UU31" s="29"/>
      <c r="UV31" s="29"/>
      <c r="UW31" s="29"/>
      <c r="UX31" s="29"/>
      <c r="UY31" s="29"/>
      <c r="UZ31" s="29"/>
      <c r="VA31" s="29"/>
      <c r="VB31" s="29"/>
      <c r="VC31" s="29"/>
      <c r="VD31" s="29"/>
      <c r="VE31" s="29"/>
      <c r="VF31" s="29"/>
      <c r="VG31" s="29"/>
      <c r="VH31" s="29"/>
      <c r="VI31" s="29"/>
      <c r="VJ31" s="29"/>
      <c r="VK31" s="29"/>
      <c r="VL31" s="29"/>
      <c r="VM31" s="29"/>
      <c r="VN31" s="29"/>
      <c r="VO31" s="29"/>
      <c r="VP31" s="29"/>
      <c r="VQ31" s="29"/>
      <c r="VR31" s="29"/>
      <c r="VS31" s="29"/>
      <c r="VT31" s="29"/>
      <c r="VU31" s="29"/>
      <c r="VV31" s="29"/>
      <c r="VW31" s="29"/>
      <c r="VX31" s="29"/>
      <c r="VY31" s="29"/>
      <c r="VZ31" s="29"/>
      <c r="WA31" s="29"/>
      <c r="WB31" s="29"/>
      <c r="WC31" s="29"/>
      <c r="WD31" s="29"/>
      <c r="WE31" s="29"/>
      <c r="WF31" s="29"/>
      <c r="WG31" s="29"/>
      <c r="WH31" s="29"/>
      <c r="WI31" s="29"/>
      <c r="WJ31" s="29"/>
      <c r="WK31" s="29"/>
      <c r="WL31" s="29"/>
      <c r="WM31" s="29"/>
      <c r="WN31" s="29"/>
      <c r="WO31" s="29"/>
      <c r="WP31" s="29"/>
      <c r="WQ31" s="29"/>
      <c r="WR31" s="29"/>
      <c r="WS31" s="29"/>
    </row>
    <row r="32" spans="1:617" s="3" customFormat="1" ht="15" outlineLevel="1" thickBot="1">
      <c r="A32" s="33"/>
      <c r="B32" s="178"/>
      <c r="C32" s="178" t="s">
        <v>101</v>
      </c>
      <c r="D32" s="179">
        <f t="shared" si="588"/>
        <v>45838</v>
      </c>
      <c r="E32" s="179">
        <f t="shared" si="589"/>
        <v>45849</v>
      </c>
      <c r="F32" s="14"/>
      <c r="G32" s="14">
        <v>12</v>
      </c>
      <c r="H32" s="29"/>
      <c r="I32" s="29"/>
      <c r="J32" s="29"/>
      <c r="K32" s="29"/>
      <c r="L32" s="29"/>
      <c r="M32" s="29"/>
      <c r="N32" s="29"/>
      <c r="O32" s="29"/>
      <c r="P32" s="29"/>
      <c r="Q32" s="29"/>
      <c r="R32" s="29"/>
      <c r="S32" s="29"/>
      <c r="T32" s="29"/>
      <c r="U32" s="29"/>
      <c r="V32" s="29"/>
      <c r="W32" s="29"/>
      <c r="X32" s="29"/>
      <c r="Y32" s="30"/>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c r="MM32" s="29"/>
      <c r="MN32" s="29"/>
      <c r="MO32" s="29"/>
      <c r="MP32" s="29"/>
      <c r="MQ32" s="29"/>
      <c r="MR32" s="29"/>
      <c r="MS32" s="29"/>
      <c r="MT32" s="29"/>
      <c r="MU32" s="29"/>
      <c r="MV32" s="29"/>
      <c r="MW32" s="29"/>
      <c r="MX32" s="29"/>
      <c r="MY32" s="29"/>
      <c r="MZ32" s="29"/>
      <c r="NA32" s="29"/>
      <c r="NB32" s="29"/>
      <c r="NC32" s="29"/>
      <c r="ND32" s="29"/>
      <c r="NE32" s="29"/>
      <c r="NF32" s="29"/>
      <c r="NG32" s="29"/>
      <c r="NH32" s="29"/>
      <c r="NI32" s="29"/>
      <c r="NJ32" s="29"/>
      <c r="NK32" s="29"/>
      <c r="NL32" s="29"/>
      <c r="NM32" s="29"/>
      <c r="NN32" s="29"/>
      <c r="NO32" s="29"/>
      <c r="NP32" s="29"/>
      <c r="NQ32" s="29"/>
      <c r="NR32" s="29"/>
      <c r="NS32" s="29"/>
      <c r="NT32" s="29"/>
      <c r="NU32" s="29"/>
      <c r="NV32" s="29"/>
      <c r="NW32" s="29"/>
      <c r="NX32" s="29"/>
      <c r="NY32" s="29"/>
      <c r="NZ32" s="29"/>
      <c r="OA32" s="29"/>
      <c r="OB32" s="29"/>
      <c r="OC32" s="29"/>
      <c r="OD32" s="29"/>
      <c r="OE32" s="29"/>
      <c r="OF32" s="29"/>
      <c r="OG32" s="29"/>
      <c r="OH32" s="29"/>
      <c r="OI32" s="29"/>
      <c r="OJ32" s="29"/>
      <c r="OK32" s="29"/>
      <c r="OL32" s="29"/>
      <c r="OM32" s="29"/>
      <c r="ON32" s="29"/>
      <c r="OO32" s="29"/>
      <c r="OP32" s="29"/>
      <c r="OQ32" s="29"/>
      <c r="OR32" s="29"/>
      <c r="OS32" s="29"/>
      <c r="OT32" s="29"/>
      <c r="OU32" s="29"/>
      <c r="OV32" s="29"/>
      <c r="OW32" s="29"/>
      <c r="OX32" s="29"/>
      <c r="OY32" s="29"/>
      <c r="OZ32" s="29"/>
      <c r="PA32" s="29"/>
      <c r="PB32" s="29"/>
      <c r="PC32" s="29"/>
      <c r="PD32" s="29"/>
      <c r="PE32" s="29"/>
      <c r="PF32" s="29"/>
      <c r="PG32" s="29"/>
      <c r="PH32" s="29"/>
      <c r="PI32" s="29"/>
      <c r="PJ32" s="29"/>
      <c r="PK32" s="29"/>
      <c r="PL32" s="29"/>
      <c r="PM32" s="29"/>
      <c r="PN32" s="29"/>
      <c r="PO32" s="29"/>
      <c r="PP32" s="29"/>
      <c r="PQ32" s="29"/>
      <c r="PR32" s="29"/>
      <c r="PS32" s="29"/>
      <c r="PT32" s="29"/>
      <c r="PU32" s="29"/>
      <c r="PV32" s="29"/>
      <c r="PW32" s="29"/>
      <c r="PX32" s="29"/>
      <c r="PY32" s="29"/>
      <c r="PZ32" s="29"/>
      <c r="QA32" s="29"/>
      <c r="QB32" s="29"/>
      <c r="QC32" s="29"/>
      <c r="QD32" s="29"/>
      <c r="QE32" s="29"/>
      <c r="QF32" s="29"/>
      <c r="QG32" s="29"/>
      <c r="QH32" s="29"/>
      <c r="QI32" s="29"/>
      <c r="QJ32" s="29"/>
      <c r="QK32" s="29"/>
      <c r="QL32" s="29"/>
      <c r="QM32" s="29"/>
      <c r="QN32" s="29"/>
      <c r="QO32" s="29"/>
      <c r="QP32" s="29"/>
      <c r="QQ32" s="29"/>
      <c r="QR32" s="29"/>
      <c r="QS32" s="29"/>
      <c r="QT32" s="29"/>
      <c r="QU32" s="29"/>
      <c r="QV32" s="29"/>
      <c r="QW32" s="29"/>
      <c r="QX32" s="29"/>
      <c r="QY32" s="29"/>
      <c r="QZ32" s="29"/>
      <c r="RA32" s="29"/>
      <c r="RB32" s="29"/>
      <c r="RC32" s="29"/>
      <c r="RD32" s="29"/>
      <c r="RE32" s="29"/>
      <c r="RF32" s="29"/>
      <c r="RG32" s="29"/>
      <c r="RH32" s="29"/>
      <c r="RI32" s="29"/>
      <c r="RJ32" s="29"/>
      <c r="RK32" s="29"/>
      <c r="RL32" s="29"/>
      <c r="RM32" s="29"/>
      <c r="RN32" s="29"/>
      <c r="RO32" s="29"/>
      <c r="RP32" s="29"/>
      <c r="RQ32" s="29"/>
      <c r="RR32" s="29"/>
      <c r="RS32" s="29"/>
      <c r="RT32" s="29"/>
      <c r="RU32" s="29"/>
      <c r="RV32" s="29"/>
      <c r="RW32" s="29"/>
      <c r="RX32" s="29"/>
      <c r="RY32" s="29"/>
      <c r="RZ32" s="29"/>
      <c r="SA32" s="29"/>
      <c r="SB32" s="29"/>
      <c r="SC32" s="29"/>
      <c r="SD32" s="29"/>
      <c r="SE32" s="29"/>
      <c r="SF32" s="29"/>
      <c r="SG32" s="29"/>
      <c r="SH32" s="29"/>
      <c r="SI32" s="29"/>
      <c r="SJ32" s="29"/>
      <c r="SK32" s="29"/>
      <c r="SL32" s="29"/>
      <c r="SM32" s="29"/>
      <c r="SN32" s="29"/>
      <c r="SO32" s="29"/>
      <c r="SP32" s="29"/>
      <c r="SQ32" s="29"/>
      <c r="SR32" s="29"/>
      <c r="SS32" s="29"/>
      <c r="ST32" s="29"/>
      <c r="SU32" s="29"/>
      <c r="SV32" s="29"/>
      <c r="SW32" s="29"/>
      <c r="SX32" s="29"/>
      <c r="SY32" s="29"/>
      <c r="SZ32" s="29"/>
      <c r="TA32" s="29"/>
      <c r="TB32" s="29"/>
      <c r="TC32" s="29"/>
      <c r="TD32" s="29"/>
      <c r="TE32" s="29"/>
      <c r="TF32" s="29"/>
      <c r="TG32" s="29"/>
      <c r="TH32" s="29"/>
      <c r="TI32" s="29"/>
      <c r="TJ32" s="29"/>
      <c r="TK32" s="29"/>
      <c r="TL32" s="29"/>
      <c r="TM32" s="29"/>
      <c r="TN32" s="29"/>
      <c r="TO32" s="29"/>
      <c r="TP32" s="29"/>
      <c r="TQ32" s="29"/>
      <c r="TR32" s="29"/>
      <c r="TS32" s="29"/>
      <c r="TT32" s="29"/>
      <c r="TU32" s="29"/>
      <c r="TV32" s="29"/>
      <c r="TW32" s="29"/>
      <c r="TX32" s="29"/>
      <c r="TY32" s="29"/>
      <c r="TZ32" s="29"/>
      <c r="UA32" s="29"/>
      <c r="UB32" s="29"/>
      <c r="UC32" s="29"/>
      <c r="UD32" s="29"/>
      <c r="UE32" s="29"/>
      <c r="UF32" s="29"/>
      <c r="UG32" s="29"/>
      <c r="UH32" s="29"/>
      <c r="UI32" s="29"/>
      <c r="UJ32" s="29"/>
      <c r="UK32" s="29"/>
      <c r="UL32" s="29"/>
      <c r="UM32" s="29"/>
      <c r="UN32" s="29"/>
      <c r="UO32" s="29"/>
      <c r="UP32" s="29"/>
      <c r="UQ32" s="29"/>
      <c r="UR32" s="29"/>
      <c r="US32" s="29"/>
      <c r="UT32" s="29"/>
      <c r="UU32" s="29"/>
      <c r="UV32" s="29"/>
      <c r="UW32" s="29"/>
      <c r="UX32" s="29"/>
      <c r="UY32" s="29"/>
      <c r="UZ32" s="29"/>
      <c r="VA32" s="29"/>
      <c r="VB32" s="29"/>
      <c r="VC32" s="29"/>
      <c r="VD32" s="29"/>
      <c r="VE32" s="29"/>
      <c r="VF32" s="29"/>
      <c r="VG32" s="29"/>
      <c r="VH32" s="29"/>
      <c r="VI32" s="29"/>
      <c r="VJ32" s="29"/>
      <c r="VK32" s="29"/>
      <c r="VL32" s="29"/>
      <c r="VM32" s="29"/>
      <c r="VN32" s="29"/>
      <c r="VO32" s="29"/>
      <c r="VP32" s="29"/>
      <c r="VQ32" s="29"/>
      <c r="VR32" s="29"/>
      <c r="VS32" s="29"/>
      <c r="VT32" s="29"/>
      <c r="VU32" s="29"/>
      <c r="VV32" s="29"/>
      <c r="VW32" s="29"/>
      <c r="VX32" s="29"/>
      <c r="VY32" s="29"/>
      <c r="VZ32" s="29"/>
      <c r="WA32" s="29"/>
      <c r="WB32" s="29"/>
      <c r="WC32" s="29"/>
      <c r="WD32" s="29"/>
      <c r="WE32" s="29"/>
      <c r="WF32" s="29"/>
      <c r="WG32" s="29"/>
      <c r="WH32" s="29"/>
      <c r="WI32" s="29"/>
      <c r="WJ32" s="29"/>
      <c r="WK32" s="29"/>
      <c r="WL32" s="29"/>
      <c r="WM32" s="29"/>
      <c r="WN32" s="29"/>
      <c r="WO32" s="29"/>
      <c r="WP32" s="29"/>
      <c r="WQ32" s="29"/>
      <c r="WR32" s="29"/>
      <c r="WS32" s="29"/>
    </row>
    <row r="33" spans="1:617" s="3" customFormat="1" ht="15" outlineLevel="1" thickBot="1">
      <c r="A33" s="33"/>
      <c r="B33" s="178"/>
      <c r="C33" s="178" t="s">
        <v>77</v>
      </c>
      <c r="D33" s="179">
        <f t="shared" si="588"/>
        <v>45845</v>
      </c>
      <c r="E33" s="179">
        <f t="shared" si="589"/>
        <v>45856</v>
      </c>
      <c r="F33" s="14"/>
      <c r="G33" s="14">
        <v>12</v>
      </c>
      <c r="H33" s="29"/>
      <c r="I33" s="29"/>
      <c r="J33" s="29"/>
      <c r="K33" s="29"/>
      <c r="L33" s="29"/>
      <c r="M33" s="29"/>
      <c r="N33" s="29"/>
      <c r="O33" s="29"/>
      <c r="P33" s="29"/>
      <c r="Q33" s="29"/>
      <c r="R33" s="29"/>
      <c r="S33" s="29"/>
      <c r="T33" s="29"/>
      <c r="U33" s="29"/>
      <c r="V33" s="29"/>
      <c r="W33" s="29"/>
      <c r="X33" s="29"/>
      <c r="Y33" s="30"/>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c r="MM33" s="29"/>
      <c r="MN33" s="29"/>
      <c r="MO33" s="29"/>
      <c r="MP33" s="29"/>
      <c r="MQ33" s="29"/>
      <c r="MR33" s="29"/>
      <c r="MS33" s="29"/>
      <c r="MT33" s="29"/>
      <c r="MU33" s="29"/>
      <c r="MV33" s="29"/>
      <c r="MW33" s="29"/>
      <c r="MX33" s="29"/>
      <c r="MY33" s="29"/>
      <c r="MZ33" s="29"/>
      <c r="NA33" s="29"/>
      <c r="NB33" s="29"/>
      <c r="NC33" s="29"/>
      <c r="ND33" s="29"/>
      <c r="NE33" s="29"/>
      <c r="NF33" s="29"/>
      <c r="NG33" s="29"/>
      <c r="NH33" s="29"/>
      <c r="NI33" s="29"/>
      <c r="NJ33" s="29"/>
      <c r="NK33" s="29"/>
      <c r="NL33" s="29"/>
      <c r="NM33" s="29"/>
      <c r="NN33" s="29"/>
      <c r="NO33" s="29"/>
      <c r="NP33" s="29"/>
      <c r="NQ33" s="29"/>
      <c r="NR33" s="29"/>
      <c r="NS33" s="29"/>
      <c r="NT33" s="29"/>
      <c r="NU33" s="29"/>
      <c r="NV33" s="29"/>
      <c r="NW33" s="29"/>
      <c r="NX33" s="29"/>
      <c r="NY33" s="29"/>
      <c r="NZ33" s="29"/>
      <c r="OA33" s="29"/>
      <c r="OB33" s="29"/>
      <c r="OC33" s="29"/>
      <c r="OD33" s="29"/>
      <c r="OE33" s="29"/>
      <c r="OF33" s="29"/>
      <c r="OG33" s="29"/>
      <c r="OH33" s="29"/>
      <c r="OI33" s="29"/>
      <c r="OJ33" s="29"/>
      <c r="OK33" s="29"/>
      <c r="OL33" s="29"/>
      <c r="OM33" s="29"/>
      <c r="ON33" s="29"/>
      <c r="OO33" s="29"/>
      <c r="OP33" s="29"/>
      <c r="OQ33" s="29"/>
      <c r="OR33" s="29"/>
      <c r="OS33" s="29"/>
      <c r="OT33" s="29"/>
      <c r="OU33" s="29"/>
      <c r="OV33" s="29"/>
      <c r="OW33" s="29"/>
      <c r="OX33" s="29"/>
      <c r="OY33" s="29"/>
      <c r="OZ33" s="29"/>
      <c r="PA33" s="29"/>
      <c r="PB33" s="29"/>
      <c r="PC33" s="29"/>
      <c r="PD33" s="29"/>
      <c r="PE33" s="29"/>
      <c r="PF33" s="29"/>
      <c r="PG33" s="29"/>
      <c r="PH33" s="29"/>
      <c r="PI33" s="29"/>
      <c r="PJ33" s="29"/>
      <c r="PK33" s="29"/>
      <c r="PL33" s="29"/>
      <c r="PM33" s="29"/>
      <c r="PN33" s="29"/>
      <c r="PO33" s="29"/>
      <c r="PP33" s="29"/>
      <c r="PQ33" s="29"/>
      <c r="PR33" s="29"/>
      <c r="PS33" s="29"/>
      <c r="PT33" s="29"/>
      <c r="PU33" s="29"/>
      <c r="PV33" s="29"/>
      <c r="PW33" s="29"/>
      <c r="PX33" s="29"/>
      <c r="PY33" s="29"/>
      <c r="PZ33" s="29"/>
      <c r="QA33" s="29"/>
      <c r="QB33" s="29"/>
      <c r="QC33" s="29"/>
      <c r="QD33" s="29"/>
      <c r="QE33" s="29"/>
      <c r="QF33" s="29"/>
      <c r="QG33" s="29"/>
      <c r="QH33" s="29"/>
      <c r="QI33" s="29"/>
      <c r="QJ33" s="29"/>
      <c r="QK33" s="29"/>
      <c r="QL33" s="29"/>
      <c r="QM33" s="29"/>
      <c r="QN33" s="29"/>
      <c r="QO33" s="29"/>
      <c r="QP33" s="29"/>
      <c r="QQ33" s="29"/>
      <c r="QR33" s="29"/>
      <c r="QS33" s="29"/>
      <c r="QT33" s="29"/>
      <c r="QU33" s="29"/>
      <c r="QV33" s="29"/>
      <c r="QW33" s="29"/>
      <c r="QX33" s="29"/>
      <c r="QY33" s="29"/>
      <c r="QZ33" s="29"/>
      <c r="RA33" s="29"/>
      <c r="RB33" s="29"/>
      <c r="RC33" s="29"/>
      <c r="RD33" s="29"/>
      <c r="RE33" s="29"/>
      <c r="RF33" s="29"/>
      <c r="RG33" s="29"/>
      <c r="RH33" s="29"/>
      <c r="RI33" s="29"/>
      <c r="RJ33" s="29"/>
      <c r="RK33" s="29"/>
      <c r="RL33" s="29"/>
      <c r="RM33" s="29"/>
      <c r="RN33" s="29"/>
      <c r="RO33" s="29"/>
      <c r="RP33" s="29"/>
      <c r="RQ33" s="29"/>
      <c r="RR33" s="29"/>
      <c r="RS33" s="29"/>
      <c r="RT33" s="29"/>
      <c r="RU33" s="29"/>
      <c r="RV33" s="29"/>
      <c r="RW33" s="29"/>
      <c r="RX33" s="29"/>
      <c r="RY33" s="29"/>
      <c r="RZ33" s="29"/>
      <c r="SA33" s="29"/>
      <c r="SB33" s="29"/>
      <c r="SC33" s="29"/>
      <c r="SD33" s="29"/>
      <c r="SE33" s="29"/>
      <c r="SF33" s="29"/>
      <c r="SG33" s="29"/>
      <c r="SH33" s="29"/>
      <c r="SI33" s="29"/>
      <c r="SJ33" s="29"/>
      <c r="SK33" s="29"/>
      <c r="SL33" s="29"/>
      <c r="SM33" s="29"/>
      <c r="SN33" s="29"/>
      <c r="SO33" s="29"/>
      <c r="SP33" s="29"/>
      <c r="SQ33" s="29"/>
      <c r="SR33" s="29"/>
      <c r="SS33" s="29"/>
      <c r="ST33" s="29"/>
      <c r="SU33" s="29"/>
      <c r="SV33" s="29"/>
      <c r="SW33" s="29"/>
      <c r="SX33" s="29"/>
      <c r="SY33" s="29"/>
      <c r="SZ33" s="29"/>
      <c r="TA33" s="29"/>
      <c r="TB33" s="29"/>
      <c r="TC33" s="29"/>
      <c r="TD33" s="29"/>
      <c r="TE33" s="29"/>
      <c r="TF33" s="29"/>
      <c r="TG33" s="29"/>
      <c r="TH33" s="29"/>
      <c r="TI33" s="29"/>
      <c r="TJ33" s="29"/>
      <c r="TK33" s="29"/>
      <c r="TL33" s="29"/>
      <c r="TM33" s="29"/>
      <c r="TN33" s="29"/>
      <c r="TO33" s="29"/>
      <c r="TP33" s="29"/>
      <c r="TQ33" s="29"/>
      <c r="TR33" s="29"/>
      <c r="TS33" s="29"/>
      <c r="TT33" s="29"/>
      <c r="TU33" s="29"/>
      <c r="TV33" s="29"/>
      <c r="TW33" s="29"/>
      <c r="TX33" s="29"/>
      <c r="TY33" s="29"/>
      <c r="TZ33" s="29"/>
      <c r="UA33" s="29"/>
      <c r="UB33" s="29"/>
      <c r="UC33" s="29"/>
      <c r="UD33" s="29"/>
      <c r="UE33" s="29"/>
      <c r="UF33" s="29"/>
      <c r="UG33" s="29"/>
      <c r="UH33" s="29"/>
      <c r="UI33" s="29"/>
      <c r="UJ33" s="29"/>
      <c r="UK33" s="29"/>
      <c r="UL33" s="29"/>
      <c r="UM33" s="29"/>
      <c r="UN33" s="29"/>
      <c r="UO33" s="29"/>
      <c r="UP33" s="29"/>
      <c r="UQ33" s="29"/>
      <c r="UR33" s="29"/>
      <c r="US33" s="29"/>
      <c r="UT33" s="29"/>
      <c r="UU33" s="29"/>
      <c r="UV33" s="29"/>
      <c r="UW33" s="29"/>
      <c r="UX33" s="29"/>
      <c r="UY33" s="29"/>
      <c r="UZ33" s="29"/>
      <c r="VA33" s="29"/>
      <c r="VB33" s="29"/>
      <c r="VC33" s="29"/>
      <c r="VD33" s="29"/>
      <c r="VE33" s="29"/>
      <c r="VF33" s="29"/>
      <c r="VG33" s="29"/>
      <c r="VH33" s="29"/>
      <c r="VI33" s="29"/>
      <c r="VJ33" s="29"/>
      <c r="VK33" s="29"/>
      <c r="VL33" s="29"/>
      <c r="VM33" s="29"/>
      <c r="VN33" s="29"/>
      <c r="VO33" s="29"/>
      <c r="VP33" s="29"/>
      <c r="VQ33" s="29"/>
      <c r="VR33" s="29"/>
      <c r="VS33" s="29"/>
      <c r="VT33" s="29"/>
      <c r="VU33" s="29"/>
      <c r="VV33" s="29"/>
      <c r="VW33" s="29"/>
      <c r="VX33" s="29"/>
      <c r="VY33" s="29"/>
      <c r="VZ33" s="29"/>
      <c r="WA33" s="29"/>
      <c r="WB33" s="29"/>
      <c r="WC33" s="29"/>
      <c r="WD33" s="29"/>
      <c r="WE33" s="29"/>
      <c r="WF33" s="29"/>
      <c r="WG33" s="29"/>
      <c r="WH33" s="29"/>
      <c r="WI33" s="29"/>
      <c r="WJ33" s="29"/>
      <c r="WK33" s="29"/>
      <c r="WL33" s="29"/>
      <c r="WM33" s="29"/>
      <c r="WN33" s="29"/>
      <c r="WO33" s="29"/>
      <c r="WP33" s="29"/>
      <c r="WQ33" s="29"/>
      <c r="WR33" s="29"/>
      <c r="WS33" s="29"/>
    </row>
    <row r="34" spans="1:617" s="3" customFormat="1" ht="15" outlineLevel="1" thickBot="1">
      <c r="A34" s="33"/>
      <c r="B34" s="178"/>
      <c r="C34" s="178" t="s">
        <v>71</v>
      </c>
      <c r="D34" s="179">
        <f t="shared" si="588"/>
        <v>45852</v>
      </c>
      <c r="E34" s="179">
        <f t="shared" si="589"/>
        <v>45863</v>
      </c>
      <c r="F34" s="14"/>
      <c r="G34" s="14">
        <v>12</v>
      </c>
      <c r="H34" s="29"/>
      <c r="I34" s="29"/>
      <c r="J34" s="29"/>
      <c r="K34" s="29"/>
      <c r="L34" s="29"/>
      <c r="M34" s="29"/>
      <c r="N34" s="29"/>
      <c r="O34" s="29"/>
      <c r="P34" s="29"/>
      <c r="Q34" s="29"/>
      <c r="R34" s="29"/>
      <c r="S34" s="29"/>
      <c r="T34" s="29"/>
      <c r="U34" s="29"/>
      <c r="V34" s="29"/>
      <c r="W34" s="29"/>
      <c r="X34" s="29"/>
      <c r="Y34" s="30"/>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c r="MM34" s="29"/>
      <c r="MN34" s="29"/>
      <c r="MO34" s="29"/>
      <c r="MP34" s="29"/>
      <c r="MQ34" s="29"/>
      <c r="MR34" s="29"/>
      <c r="MS34" s="29"/>
      <c r="MT34" s="29"/>
      <c r="MU34" s="29"/>
      <c r="MV34" s="29"/>
      <c r="MW34" s="29"/>
      <c r="MX34" s="29"/>
      <c r="MY34" s="29"/>
      <c r="MZ34" s="29"/>
      <c r="NA34" s="29"/>
      <c r="NB34" s="29"/>
      <c r="NC34" s="29"/>
      <c r="ND34" s="29"/>
      <c r="NE34" s="29"/>
      <c r="NF34" s="29"/>
      <c r="NG34" s="29"/>
      <c r="NH34" s="29"/>
      <c r="NI34" s="29"/>
      <c r="NJ34" s="29"/>
      <c r="NK34" s="29"/>
      <c r="NL34" s="29"/>
      <c r="NM34" s="29"/>
      <c r="NN34" s="29"/>
      <c r="NO34" s="29"/>
      <c r="NP34" s="29"/>
      <c r="NQ34" s="29"/>
      <c r="NR34" s="29"/>
      <c r="NS34" s="29"/>
      <c r="NT34" s="29"/>
      <c r="NU34" s="29"/>
      <c r="NV34" s="29"/>
      <c r="NW34" s="29"/>
      <c r="NX34" s="29"/>
      <c r="NY34" s="29"/>
      <c r="NZ34" s="29"/>
      <c r="OA34" s="29"/>
      <c r="OB34" s="29"/>
      <c r="OC34" s="29"/>
      <c r="OD34" s="29"/>
      <c r="OE34" s="29"/>
      <c r="OF34" s="29"/>
      <c r="OG34" s="29"/>
      <c r="OH34" s="29"/>
      <c r="OI34" s="29"/>
      <c r="OJ34" s="29"/>
      <c r="OK34" s="29"/>
      <c r="OL34" s="29"/>
      <c r="OM34" s="29"/>
      <c r="ON34" s="29"/>
      <c r="OO34" s="29"/>
      <c r="OP34" s="29"/>
      <c r="OQ34" s="29"/>
      <c r="OR34" s="29"/>
      <c r="OS34" s="29"/>
      <c r="OT34" s="29"/>
      <c r="OU34" s="29"/>
      <c r="OV34" s="29"/>
      <c r="OW34" s="29"/>
      <c r="OX34" s="29"/>
      <c r="OY34" s="29"/>
      <c r="OZ34" s="29"/>
      <c r="PA34" s="29"/>
      <c r="PB34" s="29"/>
      <c r="PC34" s="29"/>
      <c r="PD34" s="29"/>
      <c r="PE34" s="29"/>
      <c r="PF34" s="29"/>
      <c r="PG34" s="29"/>
      <c r="PH34" s="29"/>
      <c r="PI34" s="29"/>
      <c r="PJ34" s="29"/>
      <c r="PK34" s="29"/>
      <c r="PL34" s="29"/>
      <c r="PM34" s="29"/>
      <c r="PN34" s="29"/>
      <c r="PO34" s="29"/>
      <c r="PP34" s="29"/>
      <c r="PQ34" s="29"/>
      <c r="PR34" s="29"/>
      <c r="PS34" s="29"/>
      <c r="PT34" s="29"/>
      <c r="PU34" s="29"/>
      <c r="PV34" s="29"/>
      <c r="PW34" s="29"/>
      <c r="PX34" s="29"/>
      <c r="PY34" s="29"/>
      <c r="PZ34" s="29"/>
      <c r="QA34" s="29"/>
      <c r="QB34" s="29"/>
      <c r="QC34" s="29"/>
      <c r="QD34" s="29"/>
      <c r="QE34" s="29"/>
      <c r="QF34" s="29"/>
      <c r="QG34" s="29"/>
      <c r="QH34" s="29"/>
      <c r="QI34" s="29"/>
      <c r="QJ34" s="29"/>
      <c r="QK34" s="29"/>
      <c r="QL34" s="29"/>
      <c r="QM34" s="29"/>
      <c r="QN34" s="29"/>
      <c r="QO34" s="29"/>
      <c r="QP34" s="29"/>
      <c r="QQ34" s="29"/>
      <c r="QR34" s="29"/>
      <c r="QS34" s="29"/>
      <c r="QT34" s="29"/>
      <c r="QU34" s="29"/>
      <c r="QV34" s="29"/>
      <c r="QW34" s="29"/>
      <c r="QX34" s="29"/>
      <c r="QY34" s="29"/>
      <c r="QZ34" s="29"/>
      <c r="RA34" s="29"/>
      <c r="RB34" s="29"/>
      <c r="RC34" s="29"/>
      <c r="RD34" s="29"/>
      <c r="RE34" s="29"/>
      <c r="RF34" s="29"/>
      <c r="RG34" s="29"/>
      <c r="RH34" s="29"/>
      <c r="RI34" s="29"/>
      <c r="RJ34" s="29"/>
      <c r="RK34" s="29"/>
      <c r="RL34" s="29"/>
      <c r="RM34" s="29"/>
      <c r="RN34" s="29"/>
      <c r="RO34" s="29"/>
      <c r="RP34" s="29"/>
      <c r="RQ34" s="29"/>
      <c r="RR34" s="29"/>
      <c r="RS34" s="29"/>
      <c r="RT34" s="29"/>
      <c r="RU34" s="29"/>
      <c r="RV34" s="29"/>
      <c r="RW34" s="29"/>
      <c r="RX34" s="29"/>
      <c r="RY34" s="29"/>
      <c r="RZ34" s="29"/>
      <c r="SA34" s="29"/>
      <c r="SB34" s="29"/>
      <c r="SC34" s="29"/>
      <c r="SD34" s="29"/>
      <c r="SE34" s="29"/>
      <c r="SF34" s="29"/>
      <c r="SG34" s="29"/>
      <c r="SH34" s="29"/>
      <c r="SI34" s="29"/>
      <c r="SJ34" s="29"/>
      <c r="SK34" s="29"/>
      <c r="SL34" s="29"/>
      <c r="SM34" s="29"/>
      <c r="SN34" s="29"/>
      <c r="SO34" s="29"/>
      <c r="SP34" s="29"/>
      <c r="SQ34" s="29"/>
      <c r="SR34" s="29"/>
      <c r="SS34" s="29"/>
      <c r="ST34" s="29"/>
      <c r="SU34" s="29"/>
      <c r="SV34" s="29"/>
      <c r="SW34" s="29"/>
      <c r="SX34" s="29"/>
      <c r="SY34" s="29"/>
      <c r="SZ34" s="29"/>
      <c r="TA34" s="29"/>
      <c r="TB34" s="29"/>
      <c r="TC34" s="29"/>
      <c r="TD34" s="29"/>
      <c r="TE34" s="29"/>
      <c r="TF34" s="29"/>
      <c r="TG34" s="29"/>
      <c r="TH34" s="29"/>
      <c r="TI34" s="29"/>
      <c r="TJ34" s="29"/>
      <c r="TK34" s="29"/>
      <c r="TL34" s="29"/>
      <c r="TM34" s="29"/>
      <c r="TN34" s="29"/>
      <c r="TO34" s="29"/>
      <c r="TP34" s="29"/>
      <c r="TQ34" s="29"/>
      <c r="TR34" s="29"/>
      <c r="TS34" s="29"/>
      <c r="TT34" s="29"/>
      <c r="TU34" s="29"/>
      <c r="TV34" s="29"/>
      <c r="TW34" s="29"/>
      <c r="TX34" s="29"/>
      <c r="TY34" s="29"/>
      <c r="TZ34" s="29"/>
      <c r="UA34" s="29"/>
      <c r="UB34" s="29"/>
      <c r="UC34" s="29"/>
      <c r="UD34" s="29"/>
      <c r="UE34" s="29"/>
      <c r="UF34" s="29"/>
      <c r="UG34" s="29"/>
      <c r="UH34" s="29"/>
      <c r="UI34" s="29"/>
      <c r="UJ34" s="29"/>
      <c r="UK34" s="29"/>
      <c r="UL34" s="29"/>
      <c r="UM34" s="29"/>
      <c r="UN34" s="29"/>
      <c r="UO34" s="29"/>
      <c r="UP34" s="29"/>
      <c r="UQ34" s="29"/>
      <c r="UR34" s="29"/>
      <c r="US34" s="29"/>
      <c r="UT34" s="29"/>
      <c r="UU34" s="29"/>
      <c r="UV34" s="29"/>
      <c r="UW34" s="29"/>
      <c r="UX34" s="29"/>
      <c r="UY34" s="29"/>
      <c r="UZ34" s="29"/>
      <c r="VA34" s="29"/>
      <c r="VB34" s="29"/>
      <c r="VC34" s="29"/>
      <c r="VD34" s="29"/>
      <c r="VE34" s="29"/>
      <c r="VF34" s="29"/>
      <c r="VG34" s="29"/>
      <c r="VH34" s="29"/>
      <c r="VI34" s="29"/>
      <c r="VJ34" s="29"/>
      <c r="VK34" s="29"/>
      <c r="VL34" s="29"/>
      <c r="VM34" s="29"/>
      <c r="VN34" s="29"/>
      <c r="VO34" s="29"/>
      <c r="VP34" s="29"/>
      <c r="VQ34" s="29"/>
      <c r="VR34" s="29"/>
      <c r="VS34" s="29"/>
      <c r="VT34" s="29"/>
      <c r="VU34" s="29"/>
      <c r="VV34" s="29"/>
      <c r="VW34" s="29"/>
      <c r="VX34" s="29"/>
      <c r="VY34" s="29"/>
      <c r="VZ34" s="29"/>
      <c r="WA34" s="29"/>
      <c r="WB34" s="29"/>
      <c r="WC34" s="29"/>
      <c r="WD34" s="29"/>
      <c r="WE34" s="29"/>
      <c r="WF34" s="29"/>
      <c r="WG34" s="29"/>
      <c r="WH34" s="29"/>
      <c r="WI34" s="29"/>
      <c r="WJ34" s="29"/>
      <c r="WK34" s="29"/>
      <c r="WL34" s="29"/>
      <c r="WM34" s="29"/>
      <c r="WN34" s="29"/>
      <c r="WO34" s="29"/>
      <c r="WP34" s="29"/>
      <c r="WQ34" s="29"/>
      <c r="WR34" s="29"/>
      <c r="WS34" s="29"/>
    </row>
    <row r="35" spans="1:617" s="3" customFormat="1" ht="15" outlineLevel="1" thickBot="1">
      <c r="A35" s="33"/>
      <c r="B35" s="178"/>
      <c r="C35" s="178" t="s">
        <v>39</v>
      </c>
      <c r="D35" s="179">
        <f t="shared" si="588"/>
        <v>45859</v>
      </c>
      <c r="E35" s="179">
        <f t="shared" si="589"/>
        <v>45870</v>
      </c>
      <c r="F35" s="14"/>
      <c r="G35" s="14">
        <v>12</v>
      </c>
      <c r="H35" s="29"/>
      <c r="I35" s="29"/>
      <c r="J35" s="29"/>
      <c r="K35" s="29"/>
      <c r="L35" s="29"/>
      <c r="M35" s="29"/>
      <c r="N35" s="29"/>
      <c r="O35" s="29"/>
      <c r="P35" s="29"/>
      <c r="Q35" s="29"/>
      <c r="R35" s="29"/>
      <c r="S35" s="29"/>
      <c r="T35" s="29"/>
      <c r="U35" s="29"/>
      <c r="V35" s="29"/>
      <c r="W35" s="29"/>
      <c r="X35" s="29"/>
      <c r="Y35" s="30"/>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c r="MM35" s="29"/>
      <c r="MN35" s="29"/>
      <c r="MO35" s="29"/>
      <c r="MP35" s="29"/>
      <c r="MQ35" s="29"/>
      <c r="MR35" s="29"/>
      <c r="MS35" s="29"/>
      <c r="MT35" s="29"/>
      <c r="MU35" s="29"/>
      <c r="MV35" s="29"/>
      <c r="MW35" s="29"/>
      <c r="MX35" s="29"/>
      <c r="MY35" s="29"/>
      <c r="MZ35" s="29"/>
      <c r="NA35" s="29"/>
      <c r="NB35" s="29"/>
      <c r="NC35" s="29"/>
      <c r="ND35" s="29"/>
      <c r="NE35" s="29"/>
      <c r="NF35" s="29"/>
      <c r="NG35" s="29"/>
      <c r="NH35" s="29"/>
      <c r="NI35" s="29"/>
      <c r="NJ35" s="29"/>
      <c r="NK35" s="29"/>
      <c r="NL35" s="29"/>
      <c r="NM35" s="29"/>
      <c r="NN35" s="29"/>
      <c r="NO35" s="29"/>
      <c r="NP35" s="29"/>
      <c r="NQ35" s="29"/>
      <c r="NR35" s="29"/>
      <c r="NS35" s="29"/>
      <c r="NT35" s="29"/>
      <c r="NU35" s="29"/>
      <c r="NV35" s="29"/>
      <c r="NW35" s="29"/>
      <c r="NX35" s="29"/>
      <c r="NY35" s="29"/>
      <c r="NZ35" s="29"/>
      <c r="OA35" s="29"/>
      <c r="OB35" s="29"/>
      <c r="OC35" s="29"/>
      <c r="OD35" s="29"/>
      <c r="OE35" s="29"/>
      <c r="OF35" s="29"/>
      <c r="OG35" s="29"/>
      <c r="OH35" s="29"/>
      <c r="OI35" s="29"/>
      <c r="OJ35" s="29"/>
      <c r="OK35" s="29"/>
      <c r="OL35" s="29"/>
      <c r="OM35" s="29"/>
      <c r="ON35" s="29"/>
      <c r="OO35" s="29"/>
      <c r="OP35" s="29"/>
      <c r="OQ35" s="29"/>
      <c r="OR35" s="29"/>
      <c r="OS35" s="29"/>
      <c r="OT35" s="29"/>
      <c r="OU35" s="29"/>
      <c r="OV35" s="29"/>
      <c r="OW35" s="29"/>
      <c r="OX35" s="29"/>
      <c r="OY35" s="29"/>
      <c r="OZ35" s="29"/>
      <c r="PA35" s="29"/>
      <c r="PB35" s="29"/>
      <c r="PC35" s="29"/>
      <c r="PD35" s="29"/>
      <c r="PE35" s="29"/>
      <c r="PF35" s="29"/>
      <c r="PG35" s="29"/>
      <c r="PH35" s="29"/>
      <c r="PI35" s="29"/>
      <c r="PJ35" s="29"/>
      <c r="PK35" s="29"/>
      <c r="PL35" s="29"/>
      <c r="PM35" s="29"/>
      <c r="PN35" s="29"/>
      <c r="PO35" s="29"/>
      <c r="PP35" s="29"/>
      <c r="PQ35" s="29"/>
      <c r="PR35" s="29"/>
      <c r="PS35" s="29"/>
      <c r="PT35" s="29"/>
      <c r="PU35" s="29"/>
      <c r="PV35" s="29"/>
      <c r="PW35" s="29"/>
      <c r="PX35" s="29"/>
      <c r="PY35" s="29"/>
      <c r="PZ35" s="29"/>
      <c r="QA35" s="29"/>
      <c r="QB35" s="29"/>
      <c r="QC35" s="29"/>
      <c r="QD35" s="29"/>
      <c r="QE35" s="29"/>
      <c r="QF35" s="29"/>
      <c r="QG35" s="29"/>
      <c r="QH35" s="29"/>
      <c r="QI35" s="29"/>
      <c r="QJ35" s="29"/>
      <c r="QK35" s="29"/>
      <c r="QL35" s="29"/>
      <c r="QM35" s="29"/>
      <c r="QN35" s="29"/>
      <c r="QO35" s="29"/>
      <c r="QP35" s="29"/>
      <c r="QQ35" s="29"/>
      <c r="QR35" s="29"/>
      <c r="QS35" s="29"/>
      <c r="QT35" s="29"/>
      <c r="QU35" s="29"/>
      <c r="QV35" s="29"/>
      <c r="QW35" s="29"/>
      <c r="QX35" s="29"/>
      <c r="QY35" s="29"/>
      <c r="QZ35" s="29"/>
      <c r="RA35" s="29"/>
      <c r="RB35" s="29"/>
      <c r="RC35" s="29"/>
      <c r="RD35" s="29"/>
      <c r="RE35" s="29"/>
      <c r="RF35" s="29"/>
      <c r="RG35" s="29"/>
      <c r="RH35" s="29"/>
      <c r="RI35" s="29"/>
      <c r="RJ35" s="29"/>
      <c r="RK35" s="29"/>
      <c r="RL35" s="29"/>
      <c r="RM35" s="29"/>
      <c r="RN35" s="29"/>
      <c r="RO35" s="29"/>
      <c r="RP35" s="29"/>
      <c r="RQ35" s="29"/>
      <c r="RR35" s="29"/>
      <c r="RS35" s="29"/>
      <c r="RT35" s="29"/>
      <c r="RU35" s="29"/>
      <c r="RV35" s="29"/>
      <c r="RW35" s="29"/>
      <c r="RX35" s="29"/>
      <c r="RY35" s="29"/>
      <c r="RZ35" s="29"/>
      <c r="SA35" s="29"/>
      <c r="SB35" s="29"/>
      <c r="SC35" s="29"/>
      <c r="SD35" s="29"/>
      <c r="SE35" s="29"/>
      <c r="SF35" s="29"/>
      <c r="SG35" s="29"/>
      <c r="SH35" s="29"/>
      <c r="SI35" s="29"/>
      <c r="SJ35" s="29"/>
      <c r="SK35" s="29"/>
      <c r="SL35" s="29"/>
      <c r="SM35" s="29"/>
      <c r="SN35" s="29"/>
      <c r="SO35" s="29"/>
      <c r="SP35" s="29"/>
      <c r="SQ35" s="29"/>
      <c r="SR35" s="29"/>
      <c r="SS35" s="29"/>
      <c r="ST35" s="29"/>
      <c r="SU35" s="29"/>
      <c r="SV35" s="29"/>
      <c r="SW35" s="29"/>
      <c r="SX35" s="29"/>
      <c r="SY35" s="29"/>
      <c r="SZ35" s="29"/>
      <c r="TA35" s="29"/>
      <c r="TB35" s="29"/>
      <c r="TC35" s="29"/>
      <c r="TD35" s="29"/>
      <c r="TE35" s="29"/>
      <c r="TF35" s="29"/>
      <c r="TG35" s="29"/>
      <c r="TH35" s="29"/>
      <c r="TI35" s="29"/>
      <c r="TJ35" s="29"/>
      <c r="TK35" s="29"/>
      <c r="TL35" s="29"/>
      <c r="TM35" s="29"/>
      <c r="TN35" s="29"/>
      <c r="TO35" s="29"/>
      <c r="TP35" s="29"/>
      <c r="TQ35" s="29"/>
      <c r="TR35" s="29"/>
      <c r="TS35" s="29"/>
      <c r="TT35" s="29"/>
      <c r="TU35" s="29"/>
      <c r="TV35" s="29"/>
      <c r="TW35" s="29"/>
      <c r="TX35" s="29"/>
      <c r="TY35" s="29"/>
      <c r="TZ35" s="29"/>
      <c r="UA35" s="29"/>
      <c r="UB35" s="29"/>
      <c r="UC35" s="29"/>
      <c r="UD35" s="29"/>
      <c r="UE35" s="29"/>
      <c r="UF35" s="29"/>
      <c r="UG35" s="29"/>
      <c r="UH35" s="29"/>
      <c r="UI35" s="29"/>
      <c r="UJ35" s="29"/>
      <c r="UK35" s="29"/>
      <c r="UL35" s="29"/>
      <c r="UM35" s="29"/>
      <c r="UN35" s="29"/>
      <c r="UO35" s="29"/>
      <c r="UP35" s="29"/>
      <c r="UQ35" s="29"/>
      <c r="UR35" s="29"/>
      <c r="US35" s="29"/>
      <c r="UT35" s="29"/>
      <c r="UU35" s="29"/>
      <c r="UV35" s="29"/>
      <c r="UW35" s="29"/>
      <c r="UX35" s="29"/>
      <c r="UY35" s="29"/>
      <c r="UZ35" s="29"/>
      <c r="VA35" s="29"/>
      <c r="VB35" s="29"/>
      <c r="VC35" s="29"/>
      <c r="VD35" s="29"/>
      <c r="VE35" s="29"/>
      <c r="VF35" s="29"/>
      <c r="VG35" s="29"/>
      <c r="VH35" s="29"/>
      <c r="VI35" s="29"/>
      <c r="VJ35" s="29"/>
      <c r="VK35" s="29"/>
      <c r="VL35" s="29"/>
      <c r="VM35" s="29"/>
      <c r="VN35" s="29"/>
      <c r="VO35" s="29"/>
      <c r="VP35" s="29"/>
      <c r="VQ35" s="29"/>
      <c r="VR35" s="29"/>
      <c r="VS35" s="29"/>
      <c r="VT35" s="29"/>
      <c r="VU35" s="29"/>
      <c r="VV35" s="29"/>
      <c r="VW35" s="29"/>
      <c r="VX35" s="29"/>
      <c r="VY35" s="29"/>
      <c r="VZ35" s="29"/>
      <c r="WA35" s="29"/>
      <c r="WB35" s="29"/>
      <c r="WC35" s="29"/>
      <c r="WD35" s="29"/>
      <c r="WE35" s="29"/>
      <c r="WF35" s="29"/>
      <c r="WG35" s="29"/>
      <c r="WH35" s="29"/>
      <c r="WI35" s="29"/>
      <c r="WJ35" s="29"/>
      <c r="WK35" s="29"/>
      <c r="WL35" s="29"/>
      <c r="WM35" s="29"/>
      <c r="WN35" s="29"/>
      <c r="WO35" s="29"/>
      <c r="WP35" s="29"/>
      <c r="WQ35" s="29"/>
      <c r="WR35" s="29"/>
      <c r="WS35" s="29"/>
    </row>
    <row r="36" spans="1:617" s="3" customFormat="1" ht="15" outlineLevel="1" thickBot="1">
      <c r="A36" s="33"/>
      <c r="B36" s="178"/>
      <c r="C36" s="178" t="s">
        <v>134</v>
      </c>
      <c r="D36" s="179">
        <f t="shared" si="588"/>
        <v>45866</v>
      </c>
      <c r="E36" s="179">
        <f t="shared" si="589"/>
        <v>45877</v>
      </c>
      <c r="F36" s="14"/>
      <c r="G36" s="14">
        <v>12</v>
      </c>
      <c r="H36" s="29"/>
      <c r="I36" s="29"/>
      <c r="J36" s="29"/>
      <c r="K36" s="29"/>
      <c r="L36" s="29"/>
      <c r="M36" s="29"/>
      <c r="N36" s="29"/>
      <c r="O36" s="29"/>
      <c r="P36" s="29"/>
      <c r="Q36" s="29"/>
      <c r="R36" s="29"/>
      <c r="S36" s="29"/>
      <c r="T36" s="29"/>
      <c r="U36" s="29"/>
      <c r="V36" s="29"/>
      <c r="W36" s="29"/>
      <c r="X36" s="29"/>
      <c r="Y36" s="30"/>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c r="MM36" s="29"/>
      <c r="MN36" s="29"/>
      <c r="MO36" s="29"/>
      <c r="MP36" s="29"/>
      <c r="MQ36" s="29"/>
      <c r="MR36" s="29"/>
      <c r="MS36" s="29"/>
      <c r="MT36" s="29"/>
      <c r="MU36" s="29"/>
      <c r="MV36" s="29"/>
      <c r="MW36" s="29"/>
      <c r="MX36" s="29"/>
      <c r="MY36" s="29"/>
      <c r="MZ36" s="29"/>
      <c r="NA36" s="29"/>
      <c r="NB36" s="29"/>
      <c r="NC36" s="29"/>
      <c r="ND36" s="29"/>
      <c r="NE36" s="29"/>
      <c r="NF36" s="29"/>
      <c r="NG36" s="29"/>
      <c r="NH36" s="29"/>
      <c r="NI36" s="29"/>
      <c r="NJ36" s="29"/>
      <c r="NK36" s="29"/>
      <c r="NL36" s="29"/>
      <c r="NM36" s="29"/>
      <c r="NN36" s="29"/>
      <c r="NO36" s="29"/>
      <c r="NP36" s="29"/>
      <c r="NQ36" s="29"/>
      <c r="NR36" s="29"/>
      <c r="NS36" s="29"/>
      <c r="NT36" s="29"/>
      <c r="NU36" s="29"/>
      <c r="NV36" s="29"/>
      <c r="NW36" s="29"/>
      <c r="NX36" s="29"/>
      <c r="NY36" s="29"/>
      <c r="NZ36" s="29"/>
      <c r="OA36" s="29"/>
      <c r="OB36" s="29"/>
      <c r="OC36" s="29"/>
      <c r="OD36" s="29"/>
      <c r="OE36" s="29"/>
      <c r="OF36" s="29"/>
      <c r="OG36" s="29"/>
      <c r="OH36" s="29"/>
      <c r="OI36" s="29"/>
      <c r="OJ36" s="29"/>
      <c r="OK36" s="29"/>
      <c r="OL36" s="29"/>
      <c r="OM36" s="29"/>
      <c r="ON36" s="29"/>
      <c r="OO36" s="29"/>
      <c r="OP36" s="29"/>
      <c r="OQ36" s="29"/>
      <c r="OR36" s="29"/>
      <c r="OS36" s="29"/>
      <c r="OT36" s="29"/>
      <c r="OU36" s="29"/>
      <c r="OV36" s="29"/>
      <c r="OW36" s="29"/>
      <c r="OX36" s="29"/>
      <c r="OY36" s="29"/>
      <c r="OZ36" s="29"/>
      <c r="PA36" s="29"/>
      <c r="PB36" s="29"/>
      <c r="PC36" s="29"/>
      <c r="PD36" s="29"/>
      <c r="PE36" s="29"/>
      <c r="PF36" s="29"/>
      <c r="PG36" s="29"/>
      <c r="PH36" s="29"/>
      <c r="PI36" s="29"/>
      <c r="PJ36" s="29"/>
      <c r="PK36" s="29"/>
      <c r="PL36" s="29"/>
      <c r="PM36" s="29"/>
      <c r="PN36" s="29"/>
      <c r="PO36" s="29"/>
      <c r="PP36" s="29"/>
      <c r="PQ36" s="29"/>
      <c r="PR36" s="29"/>
      <c r="PS36" s="29"/>
      <c r="PT36" s="29"/>
      <c r="PU36" s="29"/>
      <c r="PV36" s="29"/>
      <c r="PW36" s="29"/>
      <c r="PX36" s="29"/>
      <c r="PY36" s="29"/>
      <c r="PZ36" s="29"/>
      <c r="QA36" s="29"/>
      <c r="QB36" s="29"/>
      <c r="QC36" s="29"/>
      <c r="QD36" s="29"/>
      <c r="QE36" s="29"/>
      <c r="QF36" s="29"/>
      <c r="QG36" s="29"/>
      <c r="QH36" s="29"/>
      <c r="QI36" s="29"/>
      <c r="QJ36" s="29"/>
      <c r="QK36" s="29"/>
      <c r="QL36" s="29"/>
      <c r="QM36" s="29"/>
      <c r="QN36" s="29"/>
      <c r="QO36" s="29"/>
      <c r="QP36" s="29"/>
      <c r="QQ36" s="29"/>
      <c r="QR36" s="29"/>
      <c r="QS36" s="29"/>
      <c r="QT36" s="29"/>
      <c r="QU36" s="29"/>
      <c r="QV36" s="29"/>
      <c r="QW36" s="29"/>
      <c r="QX36" s="29"/>
      <c r="QY36" s="29"/>
      <c r="QZ36" s="29"/>
      <c r="RA36" s="29"/>
      <c r="RB36" s="29"/>
      <c r="RC36" s="29"/>
      <c r="RD36" s="29"/>
      <c r="RE36" s="29"/>
      <c r="RF36" s="29"/>
      <c r="RG36" s="29"/>
      <c r="RH36" s="29"/>
      <c r="RI36" s="29"/>
      <c r="RJ36" s="29"/>
      <c r="RK36" s="29"/>
      <c r="RL36" s="29"/>
      <c r="RM36" s="29"/>
      <c r="RN36" s="29"/>
      <c r="RO36" s="29"/>
      <c r="RP36" s="29"/>
      <c r="RQ36" s="29"/>
      <c r="RR36" s="29"/>
      <c r="RS36" s="29"/>
      <c r="RT36" s="29"/>
      <c r="RU36" s="29"/>
      <c r="RV36" s="29"/>
      <c r="RW36" s="29"/>
      <c r="RX36" s="29"/>
      <c r="RY36" s="29"/>
      <c r="RZ36" s="29"/>
      <c r="SA36" s="29"/>
      <c r="SB36" s="29"/>
      <c r="SC36" s="29"/>
      <c r="SD36" s="29"/>
      <c r="SE36" s="29"/>
      <c r="SF36" s="29"/>
      <c r="SG36" s="29"/>
      <c r="SH36" s="29"/>
      <c r="SI36" s="29"/>
      <c r="SJ36" s="29"/>
      <c r="SK36" s="29"/>
      <c r="SL36" s="29"/>
      <c r="SM36" s="29"/>
      <c r="SN36" s="29"/>
      <c r="SO36" s="29"/>
      <c r="SP36" s="29"/>
      <c r="SQ36" s="29"/>
      <c r="SR36" s="29"/>
      <c r="SS36" s="29"/>
      <c r="ST36" s="29"/>
      <c r="SU36" s="29"/>
      <c r="SV36" s="29"/>
      <c r="SW36" s="29"/>
      <c r="SX36" s="29"/>
      <c r="SY36" s="29"/>
      <c r="SZ36" s="29"/>
      <c r="TA36" s="29"/>
      <c r="TB36" s="29"/>
      <c r="TC36" s="29"/>
      <c r="TD36" s="29"/>
      <c r="TE36" s="29"/>
      <c r="TF36" s="29"/>
      <c r="TG36" s="29"/>
      <c r="TH36" s="29"/>
      <c r="TI36" s="29"/>
      <c r="TJ36" s="29"/>
      <c r="TK36" s="29"/>
      <c r="TL36" s="29"/>
      <c r="TM36" s="29"/>
      <c r="TN36" s="29"/>
      <c r="TO36" s="29"/>
      <c r="TP36" s="29"/>
      <c r="TQ36" s="29"/>
      <c r="TR36" s="29"/>
      <c r="TS36" s="29"/>
      <c r="TT36" s="29"/>
      <c r="TU36" s="29"/>
      <c r="TV36" s="29"/>
      <c r="TW36" s="29"/>
      <c r="TX36" s="29"/>
      <c r="TY36" s="29"/>
      <c r="TZ36" s="29"/>
      <c r="UA36" s="29"/>
      <c r="UB36" s="29"/>
      <c r="UC36" s="29"/>
      <c r="UD36" s="29"/>
      <c r="UE36" s="29"/>
      <c r="UF36" s="29"/>
      <c r="UG36" s="29"/>
      <c r="UH36" s="29"/>
      <c r="UI36" s="29"/>
      <c r="UJ36" s="29"/>
      <c r="UK36" s="29"/>
      <c r="UL36" s="29"/>
      <c r="UM36" s="29"/>
      <c r="UN36" s="29"/>
      <c r="UO36" s="29"/>
      <c r="UP36" s="29"/>
      <c r="UQ36" s="29"/>
      <c r="UR36" s="29"/>
      <c r="US36" s="29"/>
      <c r="UT36" s="29"/>
      <c r="UU36" s="29"/>
      <c r="UV36" s="29"/>
      <c r="UW36" s="29"/>
      <c r="UX36" s="29"/>
      <c r="UY36" s="29"/>
      <c r="UZ36" s="29"/>
      <c r="VA36" s="29"/>
      <c r="VB36" s="29"/>
      <c r="VC36" s="29"/>
      <c r="VD36" s="29"/>
      <c r="VE36" s="29"/>
      <c r="VF36" s="29"/>
      <c r="VG36" s="29"/>
      <c r="VH36" s="29"/>
      <c r="VI36" s="29"/>
      <c r="VJ36" s="29"/>
      <c r="VK36" s="29"/>
      <c r="VL36" s="29"/>
      <c r="VM36" s="29"/>
      <c r="VN36" s="29"/>
      <c r="VO36" s="29"/>
      <c r="VP36" s="29"/>
      <c r="VQ36" s="29"/>
      <c r="VR36" s="29"/>
      <c r="VS36" s="29"/>
      <c r="VT36" s="29"/>
      <c r="VU36" s="29"/>
      <c r="VV36" s="29"/>
      <c r="VW36" s="29"/>
      <c r="VX36" s="29"/>
      <c r="VY36" s="29"/>
      <c r="VZ36" s="29"/>
      <c r="WA36" s="29"/>
      <c r="WB36" s="29"/>
      <c r="WC36" s="29"/>
      <c r="WD36" s="29"/>
      <c r="WE36" s="29"/>
      <c r="WF36" s="29"/>
      <c r="WG36" s="29"/>
      <c r="WH36" s="29"/>
      <c r="WI36" s="29"/>
      <c r="WJ36" s="29"/>
      <c r="WK36" s="29"/>
      <c r="WL36" s="29"/>
      <c r="WM36" s="29"/>
      <c r="WN36" s="29"/>
      <c r="WO36" s="29"/>
      <c r="WP36" s="29"/>
      <c r="WQ36" s="29"/>
      <c r="WR36" s="29"/>
      <c r="WS36" s="29"/>
    </row>
    <row r="37" spans="1:617" s="3" customFormat="1" ht="15" outlineLevel="1" thickBot="1">
      <c r="A37" s="33"/>
      <c r="B37" s="178"/>
      <c r="C37" s="178" t="s">
        <v>116</v>
      </c>
      <c r="D37" s="179">
        <f t="shared" si="588"/>
        <v>45873</v>
      </c>
      <c r="E37" s="179">
        <f t="shared" si="589"/>
        <v>45884</v>
      </c>
      <c r="F37" s="14"/>
      <c r="G37" s="14">
        <v>12</v>
      </c>
      <c r="H37" s="29"/>
      <c r="I37" s="29"/>
      <c r="J37" s="29"/>
      <c r="K37" s="29"/>
      <c r="L37" s="29"/>
      <c r="M37" s="29"/>
      <c r="N37" s="29"/>
      <c r="O37" s="29"/>
      <c r="P37" s="29"/>
      <c r="Q37" s="29"/>
      <c r="R37" s="29"/>
      <c r="S37" s="29"/>
      <c r="T37" s="29"/>
      <c r="U37" s="29"/>
      <c r="V37" s="29"/>
      <c r="W37" s="29"/>
      <c r="X37" s="29"/>
      <c r="Y37" s="30"/>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c r="MM37" s="29"/>
      <c r="MN37" s="29"/>
      <c r="MO37" s="29"/>
      <c r="MP37" s="29"/>
      <c r="MQ37" s="29"/>
      <c r="MR37" s="29"/>
      <c r="MS37" s="29"/>
      <c r="MT37" s="29"/>
      <c r="MU37" s="29"/>
      <c r="MV37" s="29"/>
      <c r="MW37" s="29"/>
      <c r="MX37" s="29"/>
      <c r="MY37" s="29"/>
      <c r="MZ37" s="29"/>
      <c r="NA37" s="29"/>
      <c r="NB37" s="29"/>
      <c r="NC37" s="29"/>
      <c r="ND37" s="29"/>
      <c r="NE37" s="29"/>
      <c r="NF37" s="29"/>
      <c r="NG37" s="29"/>
      <c r="NH37" s="29"/>
      <c r="NI37" s="29"/>
      <c r="NJ37" s="29"/>
      <c r="NK37" s="29"/>
      <c r="NL37" s="29"/>
      <c r="NM37" s="29"/>
      <c r="NN37" s="29"/>
      <c r="NO37" s="29"/>
      <c r="NP37" s="29"/>
      <c r="NQ37" s="29"/>
      <c r="NR37" s="29"/>
      <c r="NS37" s="29"/>
      <c r="NT37" s="29"/>
      <c r="NU37" s="29"/>
      <c r="NV37" s="29"/>
      <c r="NW37" s="29"/>
      <c r="NX37" s="29"/>
      <c r="NY37" s="29"/>
      <c r="NZ37" s="29"/>
      <c r="OA37" s="29"/>
      <c r="OB37" s="29"/>
      <c r="OC37" s="29"/>
      <c r="OD37" s="29"/>
      <c r="OE37" s="29"/>
      <c r="OF37" s="29"/>
      <c r="OG37" s="29"/>
      <c r="OH37" s="29"/>
      <c r="OI37" s="29"/>
      <c r="OJ37" s="29"/>
      <c r="OK37" s="29"/>
      <c r="OL37" s="29"/>
      <c r="OM37" s="29"/>
      <c r="ON37" s="29"/>
      <c r="OO37" s="29"/>
      <c r="OP37" s="29"/>
      <c r="OQ37" s="29"/>
      <c r="OR37" s="29"/>
      <c r="OS37" s="29"/>
      <c r="OT37" s="29"/>
      <c r="OU37" s="29"/>
      <c r="OV37" s="29"/>
      <c r="OW37" s="29"/>
      <c r="OX37" s="29"/>
      <c r="OY37" s="29"/>
      <c r="OZ37" s="29"/>
      <c r="PA37" s="29"/>
      <c r="PB37" s="29"/>
      <c r="PC37" s="29"/>
      <c r="PD37" s="29"/>
      <c r="PE37" s="29"/>
      <c r="PF37" s="29"/>
      <c r="PG37" s="29"/>
      <c r="PH37" s="29"/>
      <c r="PI37" s="29"/>
      <c r="PJ37" s="29"/>
      <c r="PK37" s="29"/>
      <c r="PL37" s="29"/>
      <c r="PM37" s="29"/>
      <c r="PN37" s="29"/>
      <c r="PO37" s="29"/>
      <c r="PP37" s="29"/>
      <c r="PQ37" s="29"/>
      <c r="PR37" s="29"/>
      <c r="PS37" s="29"/>
      <c r="PT37" s="29"/>
      <c r="PU37" s="29"/>
      <c r="PV37" s="29"/>
      <c r="PW37" s="29"/>
      <c r="PX37" s="29"/>
      <c r="PY37" s="29"/>
      <c r="PZ37" s="29"/>
      <c r="QA37" s="29"/>
      <c r="QB37" s="29"/>
      <c r="QC37" s="29"/>
      <c r="QD37" s="29"/>
      <c r="QE37" s="29"/>
      <c r="QF37" s="29"/>
      <c r="QG37" s="29"/>
      <c r="QH37" s="29"/>
      <c r="QI37" s="29"/>
      <c r="QJ37" s="29"/>
      <c r="QK37" s="29"/>
      <c r="QL37" s="29"/>
      <c r="QM37" s="29"/>
      <c r="QN37" s="29"/>
      <c r="QO37" s="29"/>
      <c r="QP37" s="29"/>
      <c r="QQ37" s="29"/>
      <c r="QR37" s="29"/>
      <c r="QS37" s="29"/>
      <c r="QT37" s="29"/>
      <c r="QU37" s="29"/>
      <c r="QV37" s="29"/>
      <c r="QW37" s="29"/>
      <c r="QX37" s="29"/>
      <c r="QY37" s="29"/>
      <c r="QZ37" s="29"/>
      <c r="RA37" s="29"/>
      <c r="RB37" s="29"/>
      <c r="RC37" s="29"/>
      <c r="RD37" s="29"/>
      <c r="RE37" s="29"/>
      <c r="RF37" s="29"/>
      <c r="RG37" s="29"/>
      <c r="RH37" s="29"/>
      <c r="RI37" s="29"/>
      <c r="RJ37" s="29"/>
      <c r="RK37" s="29"/>
      <c r="RL37" s="29"/>
      <c r="RM37" s="29"/>
      <c r="RN37" s="29"/>
      <c r="RO37" s="29"/>
      <c r="RP37" s="29"/>
      <c r="RQ37" s="29"/>
      <c r="RR37" s="29"/>
      <c r="RS37" s="29"/>
      <c r="RT37" s="29"/>
      <c r="RU37" s="29"/>
      <c r="RV37" s="29"/>
      <c r="RW37" s="29"/>
      <c r="RX37" s="29"/>
      <c r="RY37" s="29"/>
      <c r="RZ37" s="29"/>
      <c r="SA37" s="29"/>
      <c r="SB37" s="29"/>
      <c r="SC37" s="29"/>
      <c r="SD37" s="29"/>
      <c r="SE37" s="29"/>
      <c r="SF37" s="29"/>
      <c r="SG37" s="29"/>
      <c r="SH37" s="29"/>
      <c r="SI37" s="29"/>
      <c r="SJ37" s="29"/>
      <c r="SK37" s="29"/>
      <c r="SL37" s="29"/>
      <c r="SM37" s="29"/>
      <c r="SN37" s="29"/>
      <c r="SO37" s="29"/>
      <c r="SP37" s="29"/>
      <c r="SQ37" s="29"/>
      <c r="SR37" s="29"/>
      <c r="SS37" s="29"/>
      <c r="ST37" s="29"/>
      <c r="SU37" s="29"/>
      <c r="SV37" s="29"/>
      <c r="SW37" s="29"/>
      <c r="SX37" s="29"/>
      <c r="SY37" s="29"/>
      <c r="SZ37" s="29"/>
      <c r="TA37" s="29"/>
      <c r="TB37" s="29"/>
      <c r="TC37" s="29"/>
      <c r="TD37" s="29"/>
      <c r="TE37" s="29"/>
      <c r="TF37" s="29"/>
      <c r="TG37" s="29"/>
      <c r="TH37" s="29"/>
      <c r="TI37" s="29"/>
      <c r="TJ37" s="29"/>
      <c r="TK37" s="29"/>
      <c r="TL37" s="29"/>
      <c r="TM37" s="29"/>
      <c r="TN37" s="29"/>
      <c r="TO37" s="29"/>
      <c r="TP37" s="29"/>
      <c r="TQ37" s="29"/>
      <c r="TR37" s="29"/>
      <c r="TS37" s="29"/>
      <c r="TT37" s="29"/>
      <c r="TU37" s="29"/>
      <c r="TV37" s="29"/>
      <c r="TW37" s="29"/>
      <c r="TX37" s="29"/>
      <c r="TY37" s="29"/>
      <c r="TZ37" s="29"/>
      <c r="UA37" s="29"/>
      <c r="UB37" s="29"/>
      <c r="UC37" s="29"/>
      <c r="UD37" s="29"/>
      <c r="UE37" s="29"/>
      <c r="UF37" s="29"/>
      <c r="UG37" s="29"/>
      <c r="UH37" s="29"/>
      <c r="UI37" s="29"/>
      <c r="UJ37" s="29"/>
      <c r="UK37" s="29"/>
      <c r="UL37" s="29"/>
      <c r="UM37" s="29"/>
      <c r="UN37" s="29"/>
      <c r="UO37" s="29"/>
      <c r="UP37" s="29"/>
      <c r="UQ37" s="29"/>
      <c r="UR37" s="29"/>
      <c r="US37" s="29"/>
      <c r="UT37" s="29"/>
      <c r="UU37" s="29"/>
      <c r="UV37" s="29"/>
      <c r="UW37" s="29"/>
      <c r="UX37" s="29"/>
      <c r="UY37" s="29"/>
      <c r="UZ37" s="29"/>
      <c r="VA37" s="29"/>
      <c r="VB37" s="29"/>
      <c r="VC37" s="29"/>
      <c r="VD37" s="29"/>
      <c r="VE37" s="29"/>
      <c r="VF37" s="29"/>
      <c r="VG37" s="29"/>
      <c r="VH37" s="29"/>
      <c r="VI37" s="29"/>
      <c r="VJ37" s="29"/>
      <c r="VK37" s="29"/>
      <c r="VL37" s="29"/>
      <c r="VM37" s="29"/>
      <c r="VN37" s="29"/>
      <c r="VO37" s="29"/>
      <c r="VP37" s="29"/>
      <c r="VQ37" s="29"/>
      <c r="VR37" s="29"/>
      <c r="VS37" s="29"/>
      <c r="VT37" s="29"/>
      <c r="VU37" s="29"/>
      <c r="VV37" s="29"/>
      <c r="VW37" s="29"/>
      <c r="VX37" s="29"/>
      <c r="VY37" s="29"/>
      <c r="VZ37" s="29"/>
      <c r="WA37" s="29"/>
      <c r="WB37" s="29"/>
      <c r="WC37" s="29"/>
      <c r="WD37" s="29"/>
      <c r="WE37" s="29"/>
      <c r="WF37" s="29"/>
      <c r="WG37" s="29"/>
      <c r="WH37" s="29"/>
      <c r="WI37" s="29"/>
      <c r="WJ37" s="29"/>
      <c r="WK37" s="29"/>
      <c r="WL37" s="29"/>
      <c r="WM37" s="29"/>
      <c r="WN37" s="29"/>
      <c r="WO37" s="29"/>
      <c r="WP37" s="29"/>
      <c r="WQ37" s="29"/>
      <c r="WR37" s="29"/>
      <c r="WS37" s="29"/>
    </row>
    <row r="38" spans="1:617" s="3" customFormat="1" ht="15" outlineLevel="1" thickBot="1">
      <c r="A38" s="33"/>
      <c r="B38" s="178"/>
      <c r="C38" s="178" t="s">
        <v>131</v>
      </c>
      <c r="D38" s="179">
        <f t="shared" si="588"/>
        <v>45880</v>
      </c>
      <c r="E38" s="179">
        <f t="shared" si="589"/>
        <v>45891</v>
      </c>
      <c r="F38" s="14"/>
      <c r="G38" s="14">
        <v>12</v>
      </c>
      <c r="H38" s="29"/>
      <c r="I38" s="29"/>
      <c r="J38" s="29"/>
      <c r="K38" s="29"/>
      <c r="L38" s="29"/>
      <c r="M38" s="29"/>
      <c r="N38" s="29"/>
      <c r="O38" s="29"/>
      <c r="P38" s="29"/>
      <c r="Q38" s="29"/>
      <c r="R38" s="29"/>
      <c r="S38" s="29"/>
      <c r="T38" s="29"/>
      <c r="U38" s="29"/>
      <c r="V38" s="29"/>
      <c r="W38" s="29"/>
      <c r="X38" s="29"/>
      <c r="Y38" s="30"/>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c r="MM38" s="29"/>
      <c r="MN38" s="29"/>
      <c r="MO38" s="29"/>
      <c r="MP38" s="29"/>
      <c r="MQ38" s="29"/>
      <c r="MR38" s="29"/>
      <c r="MS38" s="29"/>
      <c r="MT38" s="29"/>
      <c r="MU38" s="29"/>
      <c r="MV38" s="29"/>
      <c r="MW38" s="29"/>
      <c r="MX38" s="29"/>
      <c r="MY38" s="29"/>
      <c r="MZ38" s="29"/>
      <c r="NA38" s="29"/>
      <c r="NB38" s="29"/>
      <c r="NC38" s="29"/>
      <c r="ND38" s="29"/>
      <c r="NE38" s="29"/>
      <c r="NF38" s="29"/>
      <c r="NG38" s="29"/>
      <c r="NH38" s="29"/>
      <c r="NI38" s="29"/>
      <c r="NJ38" s="29"/>
      <c r="NK38" s="29"/>
      <c r="NL38" s="29"/>
      <c r="NM38" s="29"/>
      <c r="NN38" s="29"/>
      <c r="NO38" s="29"/>
      <c r="NP38" s="29"/>
      <c r="NQ38" s="29"/>
      <c r="NR38" s="29"/>
      <c r="NS38" s="29"/>
      <c r="NT38" s="29"/>
      <c r="NU38" s="29"/>
      <c r="NV38" s="29"/>
      <c r="NW38" s="29"/>
      <c r="NX38" s="29"/>
      <c r="NY38" s="29"/>
      <c r="NZ38" s="29"/>
      <c r="OA38" s="29"/>
      <c r="OB38" s="29"/>
      <c r="OC38" s="29"/>
      <c r="OD38" s="29"/>
      <c r="OE38" s="29"/>
      <c r="OF38" s="29"/>
      <c r="OG38" s="29"/>
      <c r="OH38" s="29"/>
      <c r="OI38" s="29"/>
      <c r="OJ38" s="29"/>
      <c r="OK38" s="29"/>
      <c r="OL38" s="29"/>
      <c r="OM38" s="29"/>
      <c r="ON38" s="29"/>
      <c r="OO38" s="29"/>
      <c r="OP38" s="29"/>
      <c r="OQ38" s="29"/>
      <c r="OR38" s="29"/>
      <c r="OS38" s="29"/>
      <c r="OT38" s="29"/>
      <c r="OU38" s="29"/>
      <c r="OV38" s="29"/>
      <c r="OW38" s="29"/>
      <c r="OX38" s="29"/>
      <c r="OY38" s="29"/>
      <c r="OZ38" s="29"/>
      <c r="PA38" s="29"/>
      <c r="PB38" s="29"/>
      <c r="PC38" s="29"/>
      <c r="PD38" s="29"/>
      <c r="PE38" s="29"/>
      <c r="PF38" s="29"/>
      <c r="PG38" s="29"/>
      <c r="PH38" s="29"/>
      <c r="PI38" s="29"/>
      <c r="PJ38" s="29"/>
      <c r="PK38" s="29"/>
      <c r="PL38" s="29"/>
      <c r="PM38" s="29"/>
      <c r="PN38" s="29"/>
      <c r="PO38" s="29"/>
      <c r="PP38" s="29"/>
      <c r="PQ38" s="29"/>
      <c r="PR38" s="29"/>
      <c r="PS38" s="29"/>
      <c r="PT38" s="29"/>
      <c r="PU38" s="29"/>
      <c r="PV38" s="29"/>
      <c r="PW38" s="29"/>
      <c r="PX38" s="29"/>
      <c r="PY38" s="29"/>
      <c r="PZ38" s="29"/>
      <c r="QA38" s="29"/>
      <c r="QB38" s="29"/>
      <c r="QC38" s="29"/>
      <c r="QD38" s="29"/>
      <c r="QE38" s="29"/>
      <c r="QF38" s="29"/>
      <c r="QG38" s="29"/>
      <c r="QH38" s="29"/>
      <c r="QI38" s="29"/>
      <c r="QJ38" s="29"/>
      <c r="QK38" s="29"/>
      <c r="QL38" s="29"/>
      <c r="QM38" s="29"/>
      <c r="QN38" s="29"/>
      <c r="QO38" s="29"/>
      <c r="QP38" s="29"/>
      <c r="QQ38" s="29"/>
      <c r="QR38" s="29"/>
      <c r="QS38" s="29"/>
      <c r="QT38" s="29"/>
      <c r="QU38" s="29"/>
      <c r="QV38" s="29"/>
      <c r="QW38" s="29"/>
      <c r="QX38" s="29"/>
      <c r="QY38" s="29"/>
      <c r="QZ38" s="29"/>
      <c r="RA38" s="29"/>
      <c r="RB38" s="29"/>
      <c r="RC38" s="29"/>
      <c r="RD38" s="29"/>
      <c r="RE38" s="29"/>
      <c r="RF38" s="29"/>
      <c r="RG38" s="29"/>
      <c r="RH38" s="29"/>
      <c r="RI38" s="29"/>
      <c r="RJ38" s="29"/>
      <c r="RK38" s="29"/>
      <c r="RL38" s="29"/>
      <c r="RM38" s="29"/>
      <c r="RN38" s="29"/>
      <c r="RO38" s="29"/>
      <c r="RP38" s="29"/>
      <c r="RQ38" s="29"/>
      <c r="RR38" s="29"/>
      <c r="RS38" s="29"/>
      <c r="RT38" s="29"/>
      <c r="RU38" s="29"/>
      <c r="RV38" s="29"/>
      <c r="RW38" s="29"/>
      <c r="RX38" s="29"/>
      <c r="RY38" s="29"/>
      <c r="RZ38" s="29"/>
      <c r="SA38" s="29"/>
      <c r="SB38" s="29"/>
      <c r="SC38" s="29"/>
      <c r="SD38" s="29"/>
      <c r="SE38" s="29"/>
      <c r="SF38" s="29"/>
      <c r="SG38" s="29"/>
      <c r="SH38" s="29"/>
      <c r="SI38" s="29"/>
      <c r="SJ38" s="29"/>
      <c r="SK38" s="29"/>
      <c r="SL38" s="29"/>
      <c r="SM38" s="29"/>
      <c r="SN38" s="29"/>
      <c r="SO38" s="29"/>
      <c r="SP38" s="29"/>
      <c r="SQ38" s="29"/>
      <c r="SR38" s="29"/>
      <c r="SS38" s="29"/>
      <c r="ST38" s="29"/>
      <c r="SU38" s="29"/>
      <c r="SV38" s="29"/>
      <c r="SW38" s="29"/>
      <c r="SX38" s="29"/>
      <c r="SY38" s="29"/>
      <c r="SZ38" s="29"/>
      <c r="TA38" s="29"/>
      <c r="TB38" s="29"/>
      <c r="TC38" s="29"/>
      <c r="TD38" s="29"/>
      <c r="TE38" s="29"/>
      <c r="TF38" s="29"/>
      <c r="TG38" s="29"/>
      <c r="TH38" s="29"/>
      <c r="TI38" s="29"/>
      <c r="TJ38" s="29"/>
      <c r="TK38" s="29"/>
      <c r="TL38" s="29"/>
      <c r="TM38" s="29"/>
      <c r="TN38" s="29"/>
      <c r="TO38" s="29"/>
      <c r="TP38" s="29"/>
      <c r="TQ38" s="29"/>
      <c r="TR38" s="29"/>
      <c r="TS38" s="29"/>
      <c r="TT38" s="29"/>
      <c r="TU38" s="29"/>
      <c r="TV38" s="29"/>
      <c r="TW38" s="29"/>
      <c r="TX38" s="29"/>
      <c r="TY38" s="29"/>
      <c r="TZ38" s="29"/>
      <c r="UA38" s="29"/>
      <c r="UB38" s="29"/>
      <c r="UC38" s="29"/>
      <c r="UD38" s="29"/>
      <c r="UE38" s="29"/>
      <c r="UF38" s="29"/>
      <c r="UG38" s="29"/>
      <c r="UH38" s="29"/>
      <c r="UI38" s="29"/>
      <c r="UJ38" s="29"/>
      <c r="UK38" s="29"/>
      <c r="UL38" s="29"/>
      <c r="UM38" s="29"/>
      <c r="UN38" s="29"/>
      <c r="UO38" s="29"/>
      <c r="UP38" s="29"/>
      <c r="UQ38" s="29"/>
      <c r="UR38" s="29"/>
      <c r="US38" s="29"/>
      <c r="UT38" s="29"/>
      <c r="UU38" s="29"/>
      <c r="UV38" s="29"/>
      <c r="UW38" s="29"/>
      <c r="UX38" s="29"/>
      <c r="UY38" s="29"/>
      <c r="UZ38" s="29"/>
      <c r="VA38" s="29"/>
      <c r="VB38" s="29"/>
      <c r="VC38" s="29"/>
      <c r="VD38" s="29"/>
      <c r="VE38" s="29"/>
      <c r="VF38" s="29"/>
      <c r="VG38" s="29"/>
      <c r="VH38" s="29"/>
      <c r="VI38" s="29"/>
      <c r="VJ38" s="29"/>
      <c r="VK38" s="29"/>
      <c r="VL38" s="29"/>
      <c r="VM38" s="29"/>
      <c r="VN38" s="29"/>
      <c r="VO38" s="29"/>
      <c r="VP38" s="29"/>
      <c r="VQ38" s="29"/>
      <c r="VR38" s="29"/>
      <c r="VS38" s="29"/>
      <c r="VT38" s="29"/>
      <c r="VU38" s="29"/>
      <c r="VV38" s="29"/>
      <c r="VW38" s="29"/>
      <c r="VX38" s="29"/>
      <c r="VY38" s="29"/>
      <c r="VZ38" s="29"/>
      <c r="WA38" s="29"/>
      <c r="WB38" s="29"/>
      <c r="WC38" s="29"/>
      <c r="WD38" s="29"/>
      <c r="WE38" s="29"/>
      <c r="WF38" s="29"/>
      <c r="WG38" s="29"/>
      <c r="WH38" s="29"/>
      <c r="WI38" s="29"/>
      <c r="WJ38" s="29"/>
      <c r="WK38" s="29"/>
      <c r="WL38" s="29"/>
      <c r="WM38" s="29"/>
      <c r="WN38" s="29"/>
      <c r="WO38" s="29"/>
      <c r="WP38" s="29"/>
      <c r="WQ38" s="29"/>
      <c r="WR38" s="29"/>
      <c r="WS38" s="29"/>
    </row>
    <row r="39" spans="1:617" s="3" customFormat="1" ht="15" outlineLevel="1" thickBot="1">
      <c r="A39" s="33"/>
      <c r="B39" s="178"/>
      <c r="C39" s="182" t="s">
        <v>95</v>
      </c>
      <c r="D39" s="179">
        <f t="shared" si="588"/>
        <v>45887</v>
      </c>
      <c r="E39" s="179">
        <f t="shared" si="589"/>
        <v>45898</v>
      </c>
      <c r="F39" s="14"/>
      <c r="G39" s="14">
        <v>12</v>
      </c>
      <c r="H39" s="29"/>
      <c r="I39" s="29"/>
      <c r="J39" s="29"/>
      <c r="K39" s="29"/>
      <c r="L39" s="29"/>
      <c r="M39" s="29"/>
      <c r="N39" s="29"/>
      <c r="O39" s="29"/>
      <c r="P39" s="29"/>
      <c r="Q39" s="29"/>
      <c r="R39" s="29"/>
      <c r="S39" s="29"/>
      <c r="T39" s="29"/>
      <c r="U39" s="29"/>
      <c r="V39" s="29"/>
      <c r="W39" s="29"/>
      <c r="X39" s="29"/>
      <c r="Y39" s="30"/>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c r="MM39" s="29"/>
      <c r="MN39" s="29"/>
      <c r="MO39" s="29"/>
      <c r="MP39" s="29"/>
      <c r="MQ39" s="29"/>
      <c r="MR39" s="29"/>
      <c r="MS39" s="29"/>
      <c r="MT39" s="29"/>
      <c r="MU39" s="29"/>
      <c r="MV39" s="29"/>
      <c r="MW39" s="29"/>
      <c r="MX39" s="29"/>
      <c r="MY39" s="29"/>
      <c r="MZ39" s="29"/>
      <c r="NA39" s="29"/>
      <c r="NB39" s="29"/>
      <c r="NC39" s="29"/>
      <c r="ND39" s="29"/>
      <c r="NE39" s="29"/>
      <c r="NF39" s="29"/>
      <c r="NG39" s="29"/>
      <c r="NH39" s="29"/>
      <c r="NI39" s="29"/>
      <c r="NJ39" s="29"/>
      <c r="NK39" s="29"/>
      <c r="NL39" s="29"/>
      <c r="NM39" s="29"/>
      <c r="NN39" s="29"/>
      <c r="NO39" s="29"/>
      <c r="NP39" s="29"/>
      <c r="NQ39" s="29"/>
      <c r="NR39" s="29"/>
      <c r="NS39" s="29"/>
      <c r="NT39" s="29"/>
      <c r="NU39" s="29"/>
      <c r="NV39" s="29"/>
      <c r="NW39" s="29"/>
      <c r="NX39" s="29"/>
      <c r="NY39" s="29"/>
      <c r="NZ39" s="29"/>
      <c r="OA39" s="29"/>
      <c r="OB39" s="29"/>
      <c r="OC39" s="29"/>
      <c r="OD39" s="29"/>
      <c r="OE39" s="29"/>
      <c r="OF39" s="29"/>
      <c r="OG39" s="29"/>
      <c r="OH39" s="29"/>
      <c r="OI39" s="29"/>
      <c r="OJ39" s="29"/>
      <c r="OK39" s="29"/>
      <c r="OL39" s="29"/>
      <c r="OM39" s="29"/>
      <c r="ON39" s="29"/>
      <c r="OO39" s="29"/>
      <c r="OP39" s="29"/>
      <c r="OQ39" s="29"/>
      <c r="OR39" s="29"/>
      <c r="OS39" s="29"/>
      <c r="OT39" s="29"/>
      <c r="OU39" s="29"/>
      <c r="OV39" s="29"/>
      <c r="OW39" s="29"/>
      <c r="OX39" s="29"/>
      <c r="OY39" s="29"/>
      <c r="OZ39" s="29"/>
      <c r="PA39" s="29"/>
      <c r="PB39" s="29"/>
      <c r="PC39" s="29"/>
      <c r="PD39" s="29"/>
      <c r="PE39" s="29"/>
      <c r="PF39" s="29"/>
      <c r="PG39" s="29"/>
      <c r="PH39" s="29"/>
      <c r="PI39" s="29"/>
      <c r="PJ39" s="29"/>
      <c r="PK39" s="29"/>
      <c r="PL39" s="29"/>
      <c r="PM39" s="29"/>
      <c r="PN39" s="29"/>
      <c r="PO39" s="29"/>
      <c r="PP39" s="29"/>
      <c r="PQ39" s="29"/>
      <c r="PR39" s="29"/>
      <c r="PS39" s="29"/>
      <c r="PT39" s="29"/>
      <c r="PU39" s="29"/>
      <c r="PV39" s="29"/>
      <c r="PW39" s="29"/>
      <c r="PX39" s="29"/>
      <c r="PY39" s="29"/>
      <c r="PZ39" s="29"/>
      <c r="QA39" s="29"/>
      <c r="QB39" s="29"/>
      <c r="QC39" s="29"/>
      <c r="QD39" s="29"/>
      <c r="QE39" s="29"/>
      <c r="QF39" s="29"/>
      <c r="QG39" s="29"/>
      <c r="QH39" s="29"/>
      <c r="QI39" s="29"/>
      <c r="QJ39" s="29"/>
      <c r="QK39" s="29"/>
      <c r="QL39" s="29"/>
      <c r="QM39" s="29"/>
      <c r="QN39" s="29"/>
      <c r="QO39" s="29"/>
      <c r="QP39" s="29"/>
      <c r="QQ39" s="29"/>
      <c r="QR39" s="29"/>
      <c r="QS39" s="29"/>
      <c r="QT39" s="29"/>
      <c r="QU39" s="29"/>
      <c r="QV39" s="29"/>
      <c r="QW39" s="29"/>
      <c r="QX39" s="29"/>
      <c r="QY39" s="29"/>
      <c r="QZ39" s="29"/>
      <c r="RA39" s="29"/>
      <c r="RB39" s="29"/>
      <c r="RC39" s="29"/>
      <c r="RD39" s="29"/>
      <c r="RE39" s="29"/>
      <c r="RF39" s="29"/>
      <c r="RG39" s="29"/>
      <c r="RH39" s="29"/>
      <c r="RI39" s="29"/>
      <c r="RJ39" s="29"/>
      <c r="RK39" s="29"/>
      <c r="RL39" s="29"/>
      <c r="RM39" s="29"/>
      <c r="RN39" s="29"/>
      <c r="RO39" s="29"/>
      <c r="RP39" s="29"/>
      <c r="RQ39" s="29"/>
      <c r="RR39" s="29"/>
      <c r="RS39" s="29"/>
      <c r="RT39" s="29"/>
      <c r="RU39" s="29"/>
      <c r="RV39" s="29"/>
      <c r="RW39" s="29"/>
      <c r="RX39" s="29"/>
      <c r="RY39" s="29"/>
      <c r="RZ39" s="29"/>
      <c r="SA39" s="29"/>
      <c r="SB39" s="29"/>
      <c r="SC39" s="29"/>
      <c r="SD39" s="29"/>
      <c r="SE39" s="29"/>
      <c r="SF39" s="29"/>
      <c r="SG39" s="29"/>
      <c r="SH39" s="29"/>
      <c r="SI39" s="29"/>
      <c r="SJ39" s="29"/>
      <c r="SK39" s="29"/>
      <c r="SL39" s="29"/>
      <c r="SM39" s="29"/>
      <c r="SN39" s="29"/>
      <c r="SO39" s="29"/>
      <c r="SP39" s="29"/>
      <c r="SQ39" s="29"/>
      <c r="SR39" s="29"/>
      <c r="SS39" s="29"/>
      <c r="ST39" s="29"/>
      <c r="SU39" s="29"/>
      <c r="SV39" s="29"/>
      <c r="SW39" s="29"/>
      <c r="SX39" s="29"/>
      <c r="SY39" s="29"/>
      <c r="SZ39" s="29"/>
      <c r="TA39" s="29"/>
      <c r="TB39" s="29"/>
      <c r="TC39" s="29"/>
      <c r="TD39" s="29"/>
      <c r="TE39" s="29"/>
      <c r="TF39" s="29"/>
      <c r="TG39" s="29"/>
      <c r="TH39" s="29"/>
      <c r="TI39" s="29"/>
      <c r="TJ39" s="29"/>
      <c r="TK39" s="29"/>
      <c r="TL39" s="29"/>
      <c r="TM39" s="29"/>
      <c r="TN39" s="29"/>
      <c r="TO39" s="29"/>
      <c r="TP39" s="29"/>
      <c r="TQ39" s="29"/>
      <c r="TR39" s="29"/>
      <c r="TS39" s="29"/>
      <c r="TT39" s="29"/>
      <c r="TU39" s="29"/>
      <c r="TV39" s="29"/>
      <c r="TW39" s="29"/>
      <c r="TX39" s="29"/>
      <c r="TY39" s="29"/>
      <c r="TZ39" s="29"/>
      <c r="UA39" s="29"/>
      <c r="UB39" s="29"/>
      <c r="UC39" s="29"/>
      <c r="UD39" s="29"/>
      <c r="UE39" s="29"/>
      <c r="UF39" s="29"/>
      <c r="UG39" s="29"/>
      <c r="UH39" s="29"/>
      <c r="UI39" s="29"/>
      <c r="UJ39" s="29"/>
      <c r="UK39" s="29"/>
      <c r="UL39" s="29"/>
      <c r="UM39" s="29"/>
      <c r="UN39" s="29"/>
      <c r="UO39" s="29"/>
      <c r="UP39" s="29"/>
      <c r="UQ39" s="29"/>
      <c r="UR39" s="29"/>
      <c r="US39" s="29"/>
      <c r="UT39" s="29"/>
      <c r="UU39" s="29"/>
      <c r="UV39" s="29"/>
      <c r="UW39" s="29"/>
      <c r="UX39" s="29"/>
      <c r="UY39" s="29"/>
      <c r="UZ39" s="29"/>
      <c r="VA39" s="29"/>
      <c r="VB39" s="29"/>
      <c r="VC39" s="29"/>
      <c r="VD39" s="29"/>
      <c r="VE39" s="29"/>
      <c r="VF39" s="29"/>
      <c r="VG39" s="29"/>
      <c r="VH39" s="29"/>
      <c r="VI39" s="29"/>
      <c r="VJ39" s="29"/>
      <c r="VK39" s="29"/>
      <c r="VL39" s="29"/>
      <c r="VM39" s="29"/>
      <c r="VN39" s="29"/>
      <c r="VO39" s="29"/>
      <c r="VP39" s="29"/>
      <c r="VQ39" s="29"/>
      <c r="VR39" s="29"/>
      <c r="VS39" s="29"/>
      <c r="VT39" s="29"/>
      <c r="VU39" s="29"/>
      <c r="VV39" s="29"/>
      <c r="VW39" s="29"/>
      <c r="VX39" s="29"/>
      <c r="VY39" s="29"/>
      <c r="VZ39" s="29"/>
      <c r="WA39" s="29"/>
      <c r="WB39" s="29"/>
      <c r="WC39" s="29"/>
      <c r="WD39" s="29"/>
      <c r="WE39" s="29"/>
      <c r="WF39" s="29"/>
      <c r="WG39" s="29"/>
      <c r="WH39" s="29"/>
      <c r="WI39" s="29"/>
      <c r="WJ39" s="29"/>
      <c r="WK39" s="29"/>
      <c r="WL39" s="29"/>
      <c r="WM39" s="29"/>
      <c r="WN39" s="29"/>
      <c r="WO39" s="29"/>
      <c r="WP39" s="29"/>
      <c r="WQ39" s="29"/>
      <c r="WR39" s="29"/>
      <c r="WS39" s="29"/>
    </row>
    <row r="40" spans="1:617" s="3" customFormat="1" ht="15" outlineLevel="1" thickBot="1">
      <c r="A40" s="33"/>
      <c r="B40" s="178"/>
      <c r="C40" s="178" t="s">
        <v>104</v>
      </c>
      <c r="D40" s="179">
        <f t="shared" si="588"/>
        <v>45894</v>
      </c>
      <c r="E40" s="179">
        <f t="shared" si="589"/>
        <v>45912</v>
      </c>
      <c r="F40" s="14"/>
      <c r="G40" s="14">
        <v>19</v>
      </c>
      <c r="H40" s="29"/>
      <c r="I40" s="29"/>
      <c r="J40" s="29"/>
      <c r="K40" s="29"/>
      <c r="L40" s="29"/>
      <c r="M40" s="29"/>
      <c r="N40" s="29"/>
      <c r="O40" s="29"/>
      <c r="P40" s="29"/>
      <c r="Q40" s="29"/>
      <c r="R40" s="29"/>
      <c r="S40" s="29"/>
      <c r="T40" s="29"/>
      <c r="U40" s="29"/>
      <c r="V40" s="29"/>
      <c r="W40" s="29"/>
      <c r="X40" s="29"/>
      <c r="Y40" s="30"/>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c r="MM40" s="29"/>
      <c r="MN40" s="29"/>
      <c r="MO40" s="29"/>
      <c r="MP40" s="29"/>
      <c r="MQ40" s="29"/>
      <c r="MR40" s="29"/>
      <c r="MS40" s="29"/>
      <c r="MT40" s="29"/>
      <c r="MU40" s="29"/>
      <c r="MV40" s="29"/>
      <c r="MW40" s="29"/>
      <c r="MX40" s="29"/>
      <c r="MY40" s="29"/>
      <c r="MZ40" s="29"/>
      <c r="NA40" s="29"/>
      <c r="NB40" s="29"/>
      <c r="NC40" s="29"/>
      <c r="ND40" s="29"/>
      <c r="NE40" s="29"/>
      <c r="NF40" s="29"/>
      <c r="NG40" s="29"/>
      <c r="NH40" s="29"/>
      <c r="NI40" s="29"/>
      <c r="NJ40" s="29"/>
      <c r="NK40" s="29"/>
      <c r="NL40" s="29"/>
      <c r="NM40" s="29"/>
      <c r="NN40" s="29"/>
      <c r="NO40" s="29"/>
      <c r="NP40" s="29"/>
      <c r="NQ40" s="29"/>
      <c r="NR40" s="29"/>
      <c r="NS40" s="29"/>
      <c r="NT40" s="29"/>
      <c r="NU40" s="29"/>
      <c r="NV40" s="29"/>
      <c r="NW40" s="29"/>
      <c r="NX40" s="29"/>
      <c r="NY40" s="29"/>
      <c r="NZ40" s="29"/>
      <c r="OA40" s="29"/>
      <c r="OB40" s="29"/>
      <c r="OC40" s="29"/>
      <c r="OD40" s="29"/>
      <c r="OE40" s="29"/>
      <c r="OF40" s="29"/>
      <c r="OG40" s="29"/>
      <c r="OH40" s="29"/>
      <c r="OI40" s="29"/>
      <c r="OJ40" s="29"/>
      <c r="OK40" s="29"/>
      <c r="OL40" s="29"/>
      <c r="OM40" s="29"/>
      <c r="ON40" s="29"/>
      <c r="OO40" s="29"/>
      <c r="OP40" s="29"/>
      <c r="OQ40" s="29"/>
      <c r="OR40" s="29"/>
      <c r="OS40" s="29"/>
      <c r="OT40" s="29"/>
      <c r="OU40" s="29"/>
      <c r="OV40" s="29"/>
      <c r="OW40" s="29"/>
      <c r="OX40" s="29"/>
      <c r="OY40" s="29"/>
      <c r="OZ40" s="29"/>
      <c r="PA40" s="29"/>
      <c r="PB40" s="29"/>
      <c r="PC40" s="29"/>
      <c r="PD40" s="29"/>
      <c r="PE40" s="29"/>
      <c r="PF40" s="29"/>
      <c r="PG40" s="29"/>
      <c r="PH40" s="29"/>
      <c r="PI40" s="29"/>
      <c r="PJ40" s="29"/>
      <c r="PK40" s="29"/>
      <c r="PL40" s="29"/>
      <c r="PM40" s="29"/>
      <c r="PN40" s="29"/>
      <c r="PO40" s="29"/>
      <c r="PP40" s="29"/>
      <c r="PQ40" s="29"/>
      <c r="PR40" s="29"/>
      <c r="PS40" s="29"/>
      <c r="PT40" s="29"/>
      <c r="PU40" s="29"/>
      <c r="PV40" s="29"/>
      <c r="PW40" s="29"/>
      <c r="PX40" s="29"/>
      <c r="PY40" s="29"/>
      <c r="PZ40" s="29"/>
      <c r="QA40" s="29"/>
      <c r="QB40" s="29"/>
      <c r="QC40" s="29"/>
      <c r="QD40" s="29"/>
      <c r="QE40" s="29"/>
      <c r="QF40" s="29"/>
      <c r="QG40" s="29"/>
      <c r="QH40" s="29"/>
      <c r="QI40" s="29"/>
      <c r="QJ40" s="29"/>
      <c r="QK40" s="29"/>
      <c r="QL40" s="29"/>
      <c r="QM40" s="29"/>
      <c r="QN40" s="29"/>
      <c r="QO40" s="29"/>
      <c r="QP40" s="29"/>
      <c r="QQ40" s="29"/>
      <c r="QR40" s="29"/>
      <c r="QS40" s="29"/>
      <c r="QT40" s="29"/>
      <c r="QU40" s="29"/>
      <c r="QV40" s="29"/>
      <c r="QW40" s="29"/>
      <c r="QX40" s="29"/>
      <c r="QY40" s="29"/>
      <c r="QZ40" s="29"/>
      <c r="RA40" s="29"/>
      <c r="RB40" s="29"/>
      <c r="RC40" s="29"/>
      <c r="RD40" s="29"/>
      <c r="RE40" s="29"/>
      <c r="RF40" s="29"/>
      <c r="RG40" s="29"/>
      <c r="RH40" s="29"/>
      <c r="RI40" s="29"/>
      <c r="RJ40" s="29"/>
      <c r="RK40" s="29"/>
      <c r="RL40" s="29"/>
      <c r="RM40" s="29"/>
      <c r="RN40" s="29"/>
      <c r="RO40" s="29"/>
      <c r="RP40" s="29"/>
      <c r="RQ40" s="29"/>
      <c r="RR40" s="29"/>
      <c r="RS40" s="29"/>
      <c r="RT40" s="29"/>
      <c r="RU40" s="29"/>
      <c r="RV40" s="29"/>
      <c r="RW40" s="29"/>
      <c r="RX40" s="29"/>
      <c r="RY40" s="29"/>
      <c r="RZ40" s="29"/>
      <c r="SA40" s="29"/>
      <c r="SB40" s="29"/>
      <c r="SC40" s="29"/>
      <c r="SD40" s="29"/>
      <c r="SE40" s="29"/>
      <c r="SF40" s="29"/>
      <c r="SG40" s="29"/>
      <c r="SH40" s="29"/>
      <c r="SI40" s="29"/>
      <c r="SJ40" s="29"/>
      <c r="SK40" s="29"/>
      <c r="SL40" s="29"/>
      <c r="SM40" s="29"/>
      <c r="SN40" s="29"/>
      <c r="SO40" s="29"/>
      <c r="SP40" s="29"/>
      <c r="SQ40" s="29"/>
      <c r="SR40" s="29"/>
      <c r="SS40" s="29"/>
      <c r="ST40" s="29"/>
      <c r="SU40" s="29"/>
      <c r="SV40" s="29"/>
      <c r="SW40" s="29"/>
      <c r="SX40" s="29"/>
      <c r="SY40" s="29"/>
      <c r="SZ40" s="29"/>
      <c r="TA40" s="29"/>
      <c r="TB40" s="29"/>
      <c r="TC40" s="29"/>
      <c r="TD40" s="29"/>
      <c r="TE40" s="29"/>
      <c r="TF40" s="29"/>
      <c r="TG40" s="29"/>
      <c r="TH40" s="29"/>
      <c r="TI40" s="29"/>
      <c r="TJ40" s="29"/>
      <c r="TK40" s="29"/>
      <c r="TL40" s="29"/>
      <c r="TM40" s="29"/>
      <c r="TN40" s="29"/>
      <c r="TO40" s="29"/>
      <c r="TP40" s="29"/>
      <c r="TQ40" s="29"/>
      <c r="TR40" s="29"/>
      <c r="TS40" s="29"/>
      <c r="TT40" s="29"/>
      <c r="TU40" s="29"/>
      <c r="TV40" s="29"/>
      <c r="TW40" s="29"/>
      <c r="TX40" s="29"/>
      <c r="TY40" s="29"/>
      <c r="TZ40" s="29"/>
      <c r="UA40" s="29"/>
      <c r="UB40" s="29"/>
      <c r="UC40" s="29"/>
      <c r="UD40" s="29"/>
      <c r="UE40" s="29"/>
      <c r="UF40" s="29"/>
      <c r="UG40" s="29"/>
      <c r="UH40" s="29"/>
      <c r="UI40" s="29"/>
      <c r="UJ40" s="29"/>
      <c r="UK40" s="29"/>
      <c r="UL40" s="29"/>
      <c r="UM40" s="29"/>
      <c r="UN40" s="29"/>
      <c r="UO40" s="29"/>
      <c r="UP40" s="29"/>
      <c r="UQ40" s="29"/>
      <c r="UR40" s="29"/>
      <c r="US40" s="29"/>
      <c r="UT40" s="29"/>
      <c r="UU40" s="29"/>
      <c r="UV40" s="29"/>
      <c r="UW40" s="29"/>
      <c r="UX40" s="29"/>
      <c r="UY40" s="29"/>
      <c r="UZ40" s="29"/>
      <c r="VA40" s="29"/>
      <c r="VB40" s="29"/>
      <c r="VC40" s="29"/>
      <c r="VD40" s="29"/>
      <c r="VE40" s="29"/>
      <c r="VF40" s="29"/>
      <c r="VG40" s="29"/>
      <c r="VH40" s="29"/>
      <c r="VI40" s="29"/>
      <c r="VJ40" s="29"/>
      <c r="VK40" s="29"/>
      <c r="VL40" s="29"/>
      <c r="VM40" s="29"/>
      <c r="VN40" s="29"/>
      <c r="VO40" s="29"/>
      <c r="VP40" s="29"/>
      <c r="VQ40" s="29"/>
      <c r="VR40" s="29"/>
      <c r="VS40" s="29"/>
      <c r="VT40" s="29"/>
      <c r="VU40" s="29"/>
      <c r="VV40" s="29"/>
      <c r="VW40" s="29"/>
      <c r="VX40" s="29"/>
      <c r="VY40" s="29"/>
      <c r="VZ40" s="29"/>
      <c r="WA40" s="29"/>
      <c r="WB40" s="29"/>
      <c r="WC40" s="29"/>
      <c r="WD40" s="29"/>
      <c r="WE40" s="29"/>
      <c r="WF40" s="29"/>
      <c r="WG40" s="29"/>
      <c r="WH40" s="29"/>
      <c r="WI40" s="29"/>
      <c r="WJ40" s="29"/>
      <c r="WK40" s="29"/>
      <c r="WL40" s="29"/>
      <c r="WM40" s="29"/>
      <c r="WN40" s="29"/>
      <c r="WO40" s="29"/>
      <c r="WP40" s="29"/>
      <c r="WQ40" s="29"/>
      <c r="WR40" s="29"/>
      <c r="WS40" s="29"/>
    </row>
    <row r="41" spans="1:617" s="3" customFormat="1" ht="15" outlineLevel="1" thickBot="1">
      <c r="A41" s="33"/>
      <c r="B41" s="178"/>
      <c r="C41" s="178" t="s">
        <v>46</v>
      </c>
      <c r="D41" s="179">
        <f>D40+7</f>
        <v>45901</v>
      </c>
      <c r="E41" s="179">
        <f t="shared" si="589"/>
        <v>45919</v>
      </c>
      <c r="F41" s="14"/>
      <c r="G41" s="14">
        <v>19</v>
      </c>
      <c r="H41" s="29"/>
      <c r="I41" s="29"/>
      <c r="J41" s="29"/>
      <c r="K41" s="29"/>
      <c r="L41" s="29"/>
      <c r="M41" s="29"/>
      <c r="N41" s="29"/>
      <c r="O41" s="29"/>
      <c r="P41" s="29"/>
      <c r="Q41" s="29"/>
      <c r="R41" s="29"/>
      <c r="S41" s="29"/>
      <c r="T41" s="29"/>
      <c r="U41" s="29"/>
      <c r="V41" s="29"/>
      <c r="W41" s="29"/>
      <c r="X41" s="29"/>
      <c r="Y41" s="30"/>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c r="MM41" s="29"/>
      <c r="MN41" s="29"/>
      <c r="MO41" s="29"/>
      <c r="MP41" s="29"/>
      <c r="MQ41" s="29"/>
      <c r="MR41" s="29"/>
      <c r="MS41" s="29"/>
      <c r="MT41" s="29"/>
      <c r="MU41" s="29"/>
      <c r="MV41" s="29"/>
      <c r="MW41" s="29"/>
      <c r="MX41" s="29"/>
      <c r="MY41" s="29"/>
      <c r="MZ41" s="29"/>
      <c r="NA41" s="29"/>
      <c r="NB41" s="29"/>
      <c r="NC41" s="29"/>
      <c r="ND41" s="29"/>
      <c r="NE41" s="29"/>
      <c r="NF41" s="29"/>
      <c r="NG41" s="29"/>
      <c r="NH41" s="29"/>
      <c r="NI41" s="29"/>
      <c r="NJ41" s="29"/>
      <c r="NK41" s="29"/>
      <c r="NL41" s="29"/>
      <c r="NM41" s="29"/>
      <c r="NN41" s="29"/>
      <c r="NO41" s="29"/>
      <c r="NP41" s="29"/>
      <c r="NQ41" s="29"/>
      <c r="NR41" s="29"/>
      <c r="NS41" s="29"/>
      <c r="NT41" s="29"/>
      <c r="NU41" s="29"/>
      <c r="NV41" s="29"/>
      <c r="NW41" s="29"/>
      <c r="NX41" s="29"/>
      <c r="NY41" s="29"/>
      <c r="NZ41" s="29"/>
      <c r="OA41" s="29"/>
      <c r="OB41" s="29"/>
      <c r="OC41" s="29"/>
      <c r="OD41" s="29"/>
      <c r="OE41" s="29"/>
      <c r="OF41" s="29"/>
      <c r="OG41" s="29"/>
      <c r="OH41" s="29"/>
      <c r="OI41" s="29"/>
      <c r="OJ41" s="29"/>
      <c r="OK41" s="29"/>
      <c r="OL41" s="29"/>
      <c r="OM41" s="29"/>
      <c r="ON41" s="29"/>
      <c r="OO41" s="29"/>
      <c r="OP41" s="29"/>
      <c r="OQ41" s="29"/>
      <c r="OR41" s="29"/>
      <c r="OS41" s="29"/>
      <c r="OT41" s="29"/>
      <c r="OU41" s="29"/>
      <c r="OV41" s="29"/>
      <c r="OW41" s="29"/>
      <c r="OX41" s="29"/>
      <c r="OY41" s="29"/>
      <c r="OZ41" s="29"/>
      <c r="PA41" s="29"/>
      <c r="PB41" s="29"/>
      <c r="PC41" s="29"/>
      <c r="PD41" s="29"/>
      <c r="PE41" s="29"/>
      <c r="PF41" s="29"/>
      <c r="PG41" s="29"/>
      <c r="PH41" s="29"/>
      <c r="PI41" s="29"/>
      <c r="PJ41" s="29"/>
      <c r="PK41" s="29"/>
      <c r="PL41" s="29"/>
      <c r="PM41" s="29"/>
      <c r="PN41" s="29"/>
      <c r="PO41" s="29"/>
      <c r="PP41" s="29"/>
      <c r="PQ41" s="29"/>
      <c r="PR41" s="29"/>
      <c r="PS41" s="29"/>
      <c r="PT41" s="29"/>
      <c r="PU41" s="29"/>
      <c r="PV41" s="29"/>
      <c r="PW41" s="29"/>
      <c r="PX41" s="29"/>
      <c r="PY41" s="29"/>
      <c r="PZ41" s="29"/>
      <c r="QA41" s="29"/>
      <c r="QB41" s="29"/>
      <c r="QC41" s="29"/>
      <c r="QD41" s="29"/>
      <c r="QE41" s="29"/>
      <c r="QF41" s="29"/>
      <c r="QG41" s="29"/>
      <c r="QH41" s="29"/>
      <c r="QI41" s="29"/>
      <c r="QJ41" s="29"/>
      <c r="QK41" s="29"/>
      <c r="QL41" s="29"/>
      <c r="QM41" s="29"/>
      <c r="QN41" s="29"/>
      <c r="QO41" s="29"/>
      <c r="QP41" s="29"/>
      <c r="QQ41" s="29"/>
      <c r="QR41" s="29"/>
      <c r="QS41" s="29"/>
      <c r="QT41" s="29"/>
      <c r="QU41" s="29"/>
      <c r="QV41" s="29"/>
      <c r="QW41" s="29"/>
      <c r="QX41" s="29"/>
      <c r="QY41" s="29"/>
      <c r="QZ41" s="29"/>
      <c r="RA41" s="29"/>
      <c r="RB41" s="29"/>
      <c r="RC41" s="29"/>
      <c r="RD41" s="29"/>
      <c r="RE41" s="29"/>
      <c r="RF41" s="29"/>
      <c r="RG41" s="29"/>
      <c r="RH41" s="29"/>
      <c r="RI41" s="29"/>
      <c r="RJ41" s="29"/>
      <c r="RK41" s="29"/>
      <c r="RL41" s="29"/>
      <c r="RM41" s="29"/>
      <c r="RN41" s="29"/>
      <c r="RO41" s="29"/>
      <c r="RP41" s="29"/>
      <c r="RQ41" s="29"/>
      <c r="RR41" s="29"/>
      <c r="RS41" s="29"/>
      <c r="RT41" s="29"/>
      <c r="RU41" s="29"/>
      <c r="RV41" s="29"/>
      <c r="RW41" s="29"/>
      <c r="RX41" s="29"/>
      <c r="RY41" s="29"/>
      <c r="RZ41" s="29"/>
      <c r="SA41" s="29"/>
      <c r="SB41" s="29"/>
      <c r="SC41" s="29"/>
      <c r="SD41" s="29"/>
      <c r="SE41" s="29"/>
      <c r="SF41" s="29"/>
      <c r="SG41" s="29"/>
      <c r="SH41" s="29"/>
      <c r="SI41" s="29"/>
      <c r="SJ41" s="29"/>
      <c r="SK41" s="29"/>
      <c r="SL41" s="29"/>
      <c r="SM41" s="29"/>
      <c r="SN41" s="29"/>
      <c r="SO41" s="29"/>
      <c r="SP41" s="29"/>
      <c r="SQ41" s="29"/>
      <c r="SR41" s="29"/>
      <c r="SS41" s="29"/>
      <c r="ST41" s="29"/>
      <c r="SU41" s="29"/>
      <c r="SV41" s="29"/>
      <c r="SW41" s="29"/>
      <c r="SX41" s="29"/>
      <c r="SY41" s="29"/>
      <c r="SZ41" s="29"/>
      <c r="TA41" s="29"/>
      <c r="TB41" s="29"/>
      <c r="TC41" s="29"/>
      <c r="TD41" s="29"/>
      <c r="TE41" s="29"/>
      <c r="TF41" s="29"/>
      <c r="TG41" s="29"/>
      <c r="TH41" s="29"/>
      <c r="TI41" s="29"/>
      <c r="TJ41" s="29"/>
      <c r="TK41" s="29"/>
      <c r="TL41" s="29"/>
      <c r="TM41" s="29"/>
      <c r="TN41" s="29"/>
      <c r="TO41" s="29"/>
      <c r="TP41" s="29"/>
      <c r="TQ41" s="29"/>
      <c r="TR41" s="29"/>
      <c r="TS41" s="29"/>
      <c r="TT41" s="29"/>
      <c r="TU41" s="29"/>
      <c r="TV41" s="29"/>
      <c r="TW41" s="29"/>
      <c r="TX41" s="29"/>
      <c r="TY41" s="29"/>
      <c r="TZ41" s="29"/>
      <c r="UA41" s="29"/>
      <c r="UB41" s="29"/>
      <c r="UC41" s="29"/>
      <c r="UD41" s="29"/>
      <c r="UE41" s="29"/>
      <c r="UF41" s="29"/>
      <c r="UG41" s="29"/>
      <c r="UH41" s="29"/>
      <c r="UI41" s="29"/>
      <c r="UJ41" s="29"/>
      <c r="UK41" s="29"/>
      <c r="UL41" s="29"/>
      <c r="UM41" s="29"/>
      <c r="UN41" s="29"/>
      <c r="UO41" s="29"/>
      <c r="UP41" s="29"/>
      <c r="UQ41" s="29"/>
      <c r="UR41" s="29"/>
      <c r="US41" s="29"/>
      <c r="UT41" s="29"/>
      <c r="UU41" s="29"/>
      <c r="UV41" s="29"/>
      <c r="UW41" s="29"/>
      <c r="UX41" s="29"/>
      <c r="UY41" s="29"/>
      <c r="UZ41" s="29"/>
      <c r="VA41" s="29"/>
      <c r="VB41" s="29"/>
      <c r="VC41" s="29"/>
      <c r="VD41" s="29"/>
      <c r="VE41" s="29"/>
      <c r="VF41" s="29"/>
      <c r="VG41" s="29"/>
      <c r="VH41" s="29"/>
      <c r="VI41" s="29"/>
      <c r="VJ41" s="29"/>
      <c r="VK41" s="29"/>
      <c r="VL41" s="29"/>
      <c r="VM41" s="29"/>
      <c r="VN41" s="29"/>
      <c r="VO41" s="29"/>
      <c r="VP41" s="29"/>
      <c r="VQ41" s="29"/>
      <c r="VR41" s="29"/>
      <c r="VS41" s="29"/>
      <c r="VT41" s="29"/>
      <c r="VU41" s="29"/>
      <c r="VV41" s="29"/>
      <c r="VW41" s="29"/>
      <c r="VX41" s="29"/>
      <c r="VY41" s="29"/>
      <c r="VZ41" s="29"/>
      <c r="WA41" s="29"/>
      <c r="WB41" s="29"/>
      <c r="WC41" s="29"/>
      <c r="WD41" s="29"/>
      <c r="WE41" s="29"/>
      <c r="WF41" s="29"/>
      <c r="WG41" s="29"/>
      <c r="WH41" s="29"/>
      <c r="WI41" s="29"/>
      <c r="WJ41" s="29"/>
      <c r="WK41" s="29"/>
      <c r="WL41" s="29"/>
      <c r="WM41" s="29"/>
      <c r="WN41" s="29"/>
      <c r="WO41" s="29"/>
      <c r="WP41" s="29"/>
      <c r="WQ41" s="29"/>
      <c r="WR41" s="29"/>
      <c r="WS41" s="29"/>
    </row>
    <row r="42" spans="1:617" s="3" customFormat="1" ht="15" outlineLevel="1" thickBot="1">
      <c r="A42" s="33"/>
      <c r="B42" s="178"/>
      <c r="C42" s="178" t="s">
        <v>62</v>
      </c>
      <c r="D42" s="179">
        <v>45915</v>
      </c>
      <c r="E42" s="179">
        <f t="shared" si="589"/>
        <v>45933</v>
      </c>
      <c r="F42" s="14"/>
      <c r="G42" s="14">
        <v>19</v>
      </c>
      <c r="H42" s="29"/>
      <c r="I42" s="29"/>
      <c r="J42" s="29"/>
      <c r="K42" s="29"/>
      <c r="L42" s="29"/>
      <c r="M42" s="29"/>
      <c r="N42" s="29"/>
      <c r="O42" s="29"/>
      <c r="P42" s="29"/>
      <c r="Q42" s="29"/>
      <c r="R42" s="29"/>
      <c r="S42" s="29"/>
      <c r="T42" s="29"/>
      <c r="U42" s="29"/>
      <c r="V42" s="29"/>
      <c r="W42" s="29"/>
      <c r="X42" s="29"/>
      <c r="Y42" s="30"/>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c r="MM42" s="29"/>
      <c r="MN42" s="29"/>
      <c r="MO42" s="29"/>
      <c r="MP42" s="29"/>
      <c r="MQ42" s="29"/>
      <c r="MR42" s="29"/>
      <c r="MS42" s="29"/>
      <c r="MT42" s="29"/>
      <c r="MU42" s="29"/>
      <c r="MV42" s="29"/>
      <c r="MW42" s="29"/>
      <c r="MX42" s="29"/>
      <c r="MY42" s="29"/>
      <c r="MZ42" s="29"/>
      <c r="NA42" s="29"/>
      <c r="NB42" s="29"/>
      <c r="NC42" s="29"/>
      <c r="ND42" s="29"/>
      <c r="NE42" s="29"/>
      <c r="NF42" s="29"/>
      <c r="NG42" s="29"/>
      <c r="NH42" s="29"/>
      <c r="NI42" s="29"/>
      <c r="NJ42" s="29"/>
      <c r="NK42" s="29"/>
      <c r="NL42" s="29"/>
      <c r="NM42" s="29"/>
      <c r="NN42" s="29"/>
      <c r="NO42" s="29"/>
      <c r="NP42" s="29"/>
      <c r="NQ42" s="29"/>
      <c r="NR42" s="29"/>
      <c r="NS42" s="29"/>
      <c r="NT42" s="29"/>
      <c r="NU42" s="29"/>
      <c r="NV42" s="29"/>
      <c r="NW42" s="29"/>
      <c r="NX42" s="29"/>
      <c r="NY42" s="29"/>
      <c r="NZ42" s="29"/>
      <c r="OA42" s="29"/>
      <c r="OB42" s="29"/>
      <c r="OC42" s="29"/>
      <c r="OD42" s="29"/>
      <c r="OE42" s="29"/>
      <c r="OF42" s="29"/>
      <c r="OG42" s="29"/>
      <c r="OH42" s="29"/>
      <c r="OI42" s="29"/>
      <c r="OJ42" s="29"/>
      <c r="OK42" s="29"/>
      <c r="OL42" s="29"/>
      <c r="OM42" s="29"/>
      <c r="ON42" s="29"/>
      <c r="OO42" s="29"/>
      <c r="OP42" s="29"/>
      <c r="OQ42" s="29"/>
      <c r="OR42" s="29"/>
      <c r="OS42" s="29"/>
      <c r="OT42" s="29"/>
      <c r="OU42" s="29"/>
      <c r="OV42" s="29"/>
      <c r="OW42" s="29"/>
      <c r="OX42" s="29"/>
      <c r="OY42" s="29"/>
      <c r="OZ42" s="29"/>
      <c r="PA42" s="29"/>
      <c r="PB42" s="29"/>
      <c r="PC42" s="29"/>
      <c r="PD42" s="29"/>
      <c r="PE42" s="29"/>
      <c r="PF42" s="29"/>
      <c r="PG42" s="29"/>
      <c r="PH42" s="29"/>
      <c r="PI42" s="29"/>
      <c r="PJ42" s="29"/>
      <c r="PK42" s="29"/>
      <c r="PL42" s="29"/>
      <c r="PM42" s="29"/>
      <c r="PN42" s="29"/>
      <c r="PO42" s="29"/>
      <c r="PP42" s="29"/>
      <c r="PQ42" s="29"/>
      <c r="PR42" s="29"/>
      <c r="PS42" s="29"/>
      <c r="PT42" s="29"/>
      <c r="PU42" s="29"/>
      <c r="PV42" s="29"/>
      <c r="PW42" s="29"/>
      <c r="PX42" s="29"/>
      <c r="PY42" s="29"/>
      <c r="PZ42" s="29"/>
      <c r="QA42" s="29"/>
      <c r="QB42" s="29"/>
      <c r="QC42" s="29"/>
      <c r="QD42" s="29"/>
      <c r="QE42" s="29"/>
      <c r="QF42" s="29"/>
      <c r="QG42" s="29"/>
      <c r="QH42" s="29"/>
      <c r="QI42" s="29"/>
      <c r="QJ42" s="29"/>
      <c r="QK42" s="29"/>
      <c r="QL42" s="29"/>
      <c r="QM42" s="29"/>
      <c r="QN42" s="29"/>
      <c r="QO42" s="29"/>
      <c r="QP42" s="29"/>
      <c r="QQ42" s="29"/>
      <c r="QR42" s="29"/>
      <c r="QS42" s="29"/>
      <c r="QT42" s="29"/>
      <c r="QU42" s="29"/>
      <c r="QV42" s="29"/>
      <c r="QW42" s="29"/>
      <c r="QX42" s="29"/>
      <c r="QY42" s="29"/>
      <c r="QZ42" s="29"/>
      <c r="RA42" s="29"/>
      <c r="RB42" s="29"/>
      <c r="RC42" s="29"/>
      <c r="RD42" s="29"/>
      <c r="RE42" s="29"/>
      <c r="RF42" s="29"/>
      <c r="RG42" s="29"/>
      <c r="RH42" s="29"/>
      <c r="RI42" s="29"/>
      <c r="RJ42" s="29"/>
      <c r="RK42" s="29"/>
      <c r="RL42" s="29"/>
      <c r="RM42" s="29"/>
      <c r="RN42" s="29"/>
      <c r="RO42" s="29"/>
      <c r="RP42" s="29"/>
      <c r="RQ42" s="29"/>
      <c r="RR42" s="29"/>
      <c r="RS42" s="29"/>
      <c r="RT42" s="29"/>
      <c r="RU42" s="29"/>
      <c r="RV42" s="29"/>
      <c r="RW42" s="29"/>
      <c r="RX42" s="29"/>
      <c r="RY42" s="29"/>
      <c r="RZ42" s="29"/>
      <c r="SA42" s="29"/>
      <c r="SB42" s="29"/>
      <c r="SC42" s="29"/>
      <c r="SD42" s="29"/>
      <c r="SE42" s="29"/>
      <c r="SF42" s="29"/>
      <c r="SG42" s="29"/>
      <c r="SH42" s="29"/>
      <c r="SI42" s="29"/>
      <c r="SJ42" s="29"/>
      <c r="SK42" s="29"/>
      <c r="SL42" s="29"/>
      <c r="SM42" s="29"/>
      <c r="SN42" s="29"/>
      <c r="SO42" s="29"/>
      <c r="SP42" s="29"/>
      <c r="SQ42" s="29"/>
      <c r="SR42" s="29"/>
      <c r="SS42" s="29"/>
      <c r="ST42" s="29"/>
      <c r="SU42" s="29"/>
      <c r="SV42" s="29"/>
      <c r="SW42" s="29"/>
      <c r="SX42" s="29"/>
      <c r="SY42" s="29"/>
      <c r="SZ42" s="29"/>
      <c r="TA42" s="29"/>
      <c r="TB42" s="29"/>
      <c r="TC42" s="29"/>
      <c r="TD42" s="29"/>
      <c r="TE42" s="29"/>
      <c r="TF42" s="29"/>
      <c r="TG42" s="29"/>
      <c r="TH42" s="29"/>
      <c r="TI42" s="29"/>
      <c r="TJ42" s="29"/>
      <c r="TK42" s="29"/>
      <c r="TL42" s="29"/>
      <c r="TM42" s="29"/>
      <c r="TN42" s="29"/>
      <c r="TO42" s="29"/>
      <c r="TP42" s="29"/>
      <c r="TQ42" s="29"/>
      <c r="TR42" s="29"/>
      <c r="TS42" s="29"/>
      <c r="TT42" s="29"/>
      <c r="TU42" s="29"/>
      <c r="TV42" s="29"/>
      <c r="TW42" s="29"/>
      <c r="TX42" s="29"/>
      <c r="TY42" s="29"/>
      <c r="TZ42" s="29"/>
      <c r="UA42" s="29"/>
      <c r="UB42" s="29"/>
      <c r="UC42" s="29"/>
      <c r="UD42" s="29"/>
      <c r="UE42" s="29"/>
      <c r="UF42" s="29"/>
      <c r="UG42" s="29"/>
      <c r="UH42" s="29"/>
      <c r="UI42" s="29"/>
      <c r="UJ42" s="29"/>
      <c r="UK42" s="29"/>
      <c r="UL42" s="29"/>
      <c r="UM42" s="29"/>
      <c r="UN42" s="29"/>
      <c r="UO42" s="29"/>
      <c r="UP42" s="29"/>
      <c r="UQ42" s="29"/>
      <c r="UR42" s="29"/>
      <c r="US42" s="29"/>
      <c r="UT42" s="29"/>
      <c r="UU42" s="29"/>
      <c r="UV42" s="29"/>
      <c r="UW42" s="29"/>
      <c r="UX42" s="29"/>
      <c r="UY42" s="29"/>
      <c r="UZ42" s="29"/>
      <c r="VA42" s="29"/>
      <c r="VB42" s="29"/>
      <c r="VC42" s="29"/>
      <c r="VD42" s="29"/>
      <c r="VE42" s="29"/>
      <c r="VF42" s="29"/>
      <c r="VG42" s="29"/>
      <c r="VH42" s="29"/>
      <c r="VI42" s="29"/>
      <c r="VJ42" s="29"/>
      <c r="VK42" s="29"/>
      <c r="VL42" s="29"/>
      <c r="VM42" s="29"/>
      <c r="VN42" s="29"/>
      <c r="VO42" s="29"/>
      <c r="VP42" s="29"/>
      <c r="VQ42" s="29"/>
      <c r="VR42" s="29"/>
      <c r="VS42" s="29"/>
      <c r="VT42" s="29"/>
      <c r="VU42" s="29"/>
      <c r="VV42" s="29"/>
      <c r="VW42" s="29"/>
      <c r="VX42" s="29"/>
      <c r="VY42" s="29"/>
      <c r="VZ42" s="29"/>
      <c r="WA42" s="29"/>
      <c r="WB42" s="29"/>
      <c r="WC42" s="29"/>
      <c r="WD42" s="29"/>
      <c r="WE42" s="29"/>
      <c r="WF42" s="29"/>
      <c r="WG42" s="29"/>
      <c r="WH42" s="29"/>
      <c r="WI42" s="29"/>
      <c r="WJ42" s="29"/>
      <c r="WK42" s="29"/>
      <c r="WL42" s="29"/>
      <c r="WM42" s="29"/>
      <c r="WN42" s="29"/>
      <c r="WO42" s="29"/>
      <c r="WP42" s="29"/>
      <c r="WQ42" s="29"/>
      <c r="WR42" s="29"/>
      <c r="WS42" s="29"/>
    </row>
    <row r="43" spans="1:617" s="3" customFormat="1" ht="15" outlineLevel="1" thickBot="1">
      <c r="A43" s="33"/>
      <c r="B43" s="178"/>
      <c r="C43" s="178" t="s">
        <v>159</v>
      </c>
      <c r="D43" s="179">
        <v>45922</v>
      </c>
      <c r="E43" s="179">
        <f t="shared" si="589"/>
        <v>45933</v>
      </c>
      <c r="F43" s="14"/>
      <c r="G43" s="14">
        <v>12</v>
      </c>
      <c r="H43" s="29"/>
      <c r="I43" s="29"/>
      <c r="J43" s="29"/>
      <c r="K43" s="29"/>
      <c r="L43" s="29"/>
      <c r="M43" s="29"/>
      <c r="N43" s="29"/>
      <c r="O43" s="29"/>
      <c r="P43" s="29"/>
      <c r="Q43" s="29"/>
      <c r="R43" s="29"/>
      <c r="S43" s="29"/>
      <c r="T43" s="29"/>
      <c r="U43" s="29"/>
      <c r="V43" s="29"/>
      <c r="W43" s="29"/>
      <c r="X43" s="29"/>
      <c r="Y43" s="30"/>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c r="MM43" s="29"/>
      <c r="MN43" s="29"/>
      <c r="MO43" s="29"/>
      <c r="MP43" s="29"/>
      <c r="MQ43" s="29"/>
      <c r="MR43" s="29"/>
      <c r="MS43" s="29"/>
      <c r="MT43" s="29"/>
      <c r="MU43" s="29"/>
      <c r="MV43" s="29"/>
      <c r="MW43" s="29"/>
      <c r="MX43" s="29"/>
      <c r="MY43" s="29"/>
      <c r="MZ43" s="29"/>
      <c r="NA43" s="29"/>
      <c r="NB43" s="29"/>
      <c r="NC43" s="29"/>
      <c r="ND43" s="29"/>
      <c r="NE43" s="29"/>
      <c r="NF43" s="29"/>
      <c r="NG43" s="29"/>
      <c r="NH43" s="29"/>
      <c r="NI43" s="29"/>
      <c r="NJ43" s="29"/>
      <c r="NK43" s="29"/>
      <c r="NL43" s="29"/>
      <c r="NM43" s="29"/>
      <c r="NN43" s="29"/>
      <c r="NO43" s="29"/>
      <c r="NP43" s="29"/>
      <c r="NQ43" s="29"/>
      <c r="NR43" s="29"/>
      <c r="NS43" s="29"/>
      <c r="NT43" s="29"/>
      <c r="NU43" s="29"/>
      <c r="NV43" s="29"/>
      <c r="NW43" s="29"/>
      <c r="NX43" s="29"/>
      <c r="NY43" s="29"/>
      <c r="NZ43" s="29"/>
      <c r="OA43" s="29"/>
      <c r="OB43" s="29"/>
      <c r="OC43" s="29"/>
      <c r="OD43" s="29"/>
      <c r="OE43" s="29"/>
      <c r="OF43" s="29"/>
      <c r="OG43" s="29"/>
      <c r="OH43" s="29"/>
      <c r="OI43" s="29"/>
      <c r="OJ43" s="29"/>
      <c r="OK43" s="29"/>
      <c r="OL43" s="29"/>
      <c r="OM43" s="29"/>
      <c r="ON43" s="29"/>
      <c r="OO43" s="29"/>
      <c r="OP43" s="29"/>
      <c r="OQ43" s="29"/>
      <c r="OR43" s="29"/>
      <c r="OS43" s="29"/>
      <c r="OT43" s="29"/>
      <c r="OU43" s="29"/>
      <c r="OV43" s="29"/>
      <c r="OW43" s="29"/>
      <c r="OX43" s="29"/>
      <c r="OY43" s="29"/>
      <c r="OZ43" s="29"/>
      <c r="PA43" s="29"/>
      <c r="PB43" s="29"/>
      <c r="PC43" s="29"/>
      <c r="PD43" s="29"/>
      <c r="PE43" s="29"/>
      <c r="PF43" s="29"/>
      <c r="PG43" s="29"/>
      <c r="PH43" s="29"/>
      <c r="PI43" s="29"/>
      <c r="PJ43" s="29"/>
      <c r="PK43" s="29"/>
      <c r="PL43" s="29"/>
      <c r="PM43" s="29"/>
      <c r="PN43" s="29"/>
      <c r="PO43" s="29"/>
      <c r="PP43" s="29"/>
      <c r="PQ43" s="29"/>
      <c r="PR43" s="29"/>
      <c r="PS43" s="29"/>
      <c r="PT43" s="29"/>
      <c r="PU43" s="29"/>
      <c r="PV43" s="29"/>
      <c r="PW43" s="29"/>
      <c r="PX43" s="29"/>
      <c r="PY43" s="29"/>
      <c r="PZ43" s="29"/>
      <c r="QA43" s="29"/>
      <c r="QB43" s="29"/>
      <c r="QC43" s="29"/>
      <c r="QD43" s="29"/>
      <c r="QE43" s="29"/>
      <c r="QF43" s="29"/>
      <c r="QG43" s="29"/>
      <c r="QH43" s="29"/>
      <c r="QI43" s="29"/>
      <c r="QJ43" s="29"/>
      <c r="QK43" s="29"/>
      <c r="QL43" s="29"/>
      <c r="QM43" s="29"/>
      <c r="QN43" s="29"/>
      <c r="QO43" s="29"/>
      <c r="QP43" s="29"/>
      <c r="QQ43" s="29"/>
      <c r="QR43" s="29"/>
      <c r="QS43" s="29"/>
      <c r="QT43" s="29"/>
      <c r="QU43" s="29"/>
      <c r="QV43" s="29"/>
      <c r="QW43" s="29"/>
      <c r="QX43" s="29"/>
      <c r="QY43" s="29"/>
      <c r="QZ43" s="29"/>
      <c r="RA43" s="29"/>
      <c r="RB43" s="29"/>
      <c r="RC43" s="29"/>
      <c r="RD43" s="29"/>
      <c r="RE43" s="29"/>
      <c r="RF43" s="29"/>
      <c r="RG43" s="29"/>
      <c r="RH43" s="29"/>
      <c r="RI43" s="29"/>
      <c r="RJ43" s="29"/>
      <c r="RK43" s="29"/>
      <c r="RL43" s="29"/>
      <c r="RM43" s="29"/>
      <c r="RN43" s="29"/>
      <c r="RO43" s="29"/>
      <c r="RP43" s="29"/>
      <c r="RQ43" s="29"/>
      <c r="RR43" s="29"/>
      <c r="RS43" s="29"/>
      <c r="RT43" s="29"/>
      <c r="RU43" s="29"/>
      <c r="RV43" s="29"/>
      <c r="RW43" s="29"/>
      <c r="RX43" s="29"/>
      <c r="RY43" s="29"/>
      <c r="RZ43" s="29"/>
      <c r="SA43" s="29"/>
      <c r="SB43" s="29"/>
      <c r="SC43" s="29"/>
      <c r="SD43" s="29"/>
      <c r="SE43" s="29"/>
      <c r="SF43" s="29"/>
      <c r="SG43" s="29"/>
      <c r="SH43" s="29"/>
      <c r="SI43" s="29"/>
      <c r="SJ43" s="29"/>
      <c r="SK43" s="29"/>
      <c r="SL43" s="29"/>
      <c r="SM43" s="29"/>
      <c r="SN43" s="29"/>
      <c r="SO43" s="29"/>
      <c r="SP43" s="29"/>
      <c r="SQ43" s="29"/>
      <c r="SR43" s="29"/>
      <c r="SS43" s="29"/>
      <c r="ST43" s="29"/>
      <c r="SU43" s="29"/>
      <c r="SV43" s="29"/>
      <c r="SW43" s="29"/>
      <c r="SX43" s="29"/>
      <c r="SY43" s="29"/>
      <c r="SZ43" s="29"/>
      <c r="TA43" s="29"/>
      <c r="TB43" s="29"/>
      <c r="TC43" s="29"/>
      <c r="TD43" s="29"/>
      <c r="TE43" s="29"/>
      <c r="TF43" s="29"/>
      <c r="TG43" s="29"/>
      <c r="TH43" s="29"/>
      <c r="TI43" s="29"/>
      <c r="TJ43" s="29"/>
      <c r="TK43" s="29"/>
      <c r="TL43" s="29"/>
      <c r="TM43" s="29"/>
      <c r="TN43" s="29"/>
      <c r="TO43" s="29"/>
      <c r="TP43" s="29"/>
      <c r="TQ43" s="29"/>
      <c r="TR43" s="29"/>
      <c r="TS43" s="29"/>
      <c r="TT43" s="29"/>
      <c r="TU43" s="29"/>
      <c r="TV43" s="29"/>
      <c r="TW43" s="29"/>
      <c r="TX43" s="29"/>
      <c r="TY43" s="29"/>
      <c r="TZ43" s="29"/>
      <c r="UA43" s="29"/>
      <c r="UB43" s="29"/>
      <c r="UC43" s="29"/>
      <c r="UD43" s="29"/>
      <c r="UE43" s="29"/>
      <c r="UF43" s="29"/>
      <c r="UG43" s="29"/>
      <c r="UH43" s="29"/>
      <c r="UI43" s="29"/>
      <c r="UJ43" s="29"/>
      <c r="UK43" s="29"/>
      <c r="UL43" s="29"/>
      <c r="UM43" s="29"/>
      <c r="UN43" s="29"/>
      <c r="UO43" s="29"/>
      <c r="UP43" s="29"/>
      <c r="UQ43" s="29"/>
      <c r="UR43" s="29"/>
      <c r="US43" s="29"/>
      <c r="UT43" s="29"/>
      <c r="UU43" s="29"/>
      <c r="UV43" s="29"/>
      <c r="UW43" s="29"/>
      <c r="UX43" s="29"/>
      <c r="UY43" s="29"/>
      <c r="UZ43" s="29"/>
      <c r="VA43" s="29"/>
      <c r="VB43" s="29"/>
      <c r="VC43" s="29"/>
      <c r="VD43" s="29"/>
      <c r="VE43" s="29"/>
      <c r="VF43" s="29"/>
      <c r="VG43" s="29"/>
      <c r="VH43" s="29"/>
      <c r="VI43" s="29"/>
      <c r="VJ43" s="29"/>
      <c r="VK43" s="29"/>
      <c r="VL43" s="29"/>
      <c r="VM43" s="29"/>
      <c r="VN43" s="29"/>
      <c r="VO43" s="29"/>
      <c r="VP43" s="29"/>
      <c r="VQ43" s="29"/>
      <c r="VR43" s="29"/>
      <c r="VS43" s="29"/>
      <c r="VT43" s="29"/>
      <c r="VU43" s="29"/>
      <c r="VV43" s="29"/>
      <c r="VW43" s="29"/>
      <c r="VX43" s="29"/>
      <c r="VY43" s="29"/>
      <c r="VZ43" s="29"/>
      <c r="WA43" s="29"/>
      <c r="WB43" s="29"/>
      <c r="WC43" s="29"/>
      <c r="WD43" s="29"/>
      <c r="WE43" s="29"/>
      <c r="WF43" s="29"/>
      <c r="WG43" s="29"/>
      <c r="WH43" s="29"/>
      <c r="WI43" s="29"/>
      <c r="WJ43" s="29"/>
      <c r="WK43" s="29"/>
      <c r="WL43" s="29"/>
      <c r="WM43" s="29"/>
      <c r="WN43" s="29"/>
      <c r="WO43" s="29"/>
      <c r="WP43" s="29"/>
      <c r="WQ43" s="29"/>
      <c r="WR43" s="29"/>
      <c r="WS43" s="29"/>
    </row>
    <row r="44" spans="1:617" s="3" customFormat="1" ht="15" outlineLevel="1" thickBot="1">
      <c r="A44" s="33"/>
      <c r="B44" s="178"/>
      <c r="C44" s="178" t="s">
        <v>83</v>
      </c>
      <c r="D44" s="179">
        <v>45936</v>
      </c>
      <c r="E44" s="179">
        <f t="shared" ref="E44:E45" si="590">D44+G44-1</f>
        <v>45954</v>
      </c>
      <c r="F44" s="14"/>
      <c r="G44" s="14">
        <v>19</v>
      </c>
      <c r="H44" s="29"/>
      <c r="I44" s="29"/>
      <c r="J44" s="29"/>
      <c r="K44" s="29"/>
      <c r="L44" s="29"/>
      <c r="M44" s="29"/>
      <c r="N44" s="29"/>
      <c r="O44" s="29"/>
      <c r="P44" s="29"/>
      <c r="Q44" s="29"/>
      <c r="R44" s="29"/>
      <c r="S44" s="29"/>
      <c r="T44" s="29"/>
      <c r="U44" s="29"/>
      <c r="V44" s="29"/>
      <c r="W44" s="29"/>
      <c r="X44" s="29"/>
      <c r="Y44" s="30"/>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c r="MM44" s="29"/>
      <c r="MN44" s="29"/>
      <c r="MO44" s="29"/>
      <c r="MP44" s="29"/>
      <c r="MQ44" s="29"/>
      <c r="MR44" s="29"/>
      <c r="MS44" s="29"/>
      <c r="MT44" s="29"/>
      <c r="MU44" s="29"/>
      <c r="MV44" s="29"/>
      <c r="MW44" s="29"/>
      <c r="MX44" s="29"/>
      <c r="MY44" s="29"/>
      <c r="MZ44" s="29"/>
      <c r="NA44" s="29"/>
      <c r="NB44" s="29"/>
      <c r="NC44" s="29"/>
      <c r="ND44" s="29"/>
      <c r="NE44" s="29"/>
      <c r="NF44" s="29"/>
      <c r="NG44" s="29"/>
      <c r="NH44" s="29"/>
      <c r="NI44" s="29"/>
      <c r="NJ44" s="29"/>
      <c r="NK44" s="29"/>
      <c r="NL44" s="29"/>
      <c r="NM44" s="29"/>
      <c r="NN44" s="29"/>
      <c r="NO44" s="29"/>
      <c r="NP44" s="29"/>
      <c r="NQ44" s="29"/>
      <c r="NR44" s="29"/>
      <c r="NS44" s="29"/>
      <c r="NT44" s="29"/>
      <c r="NU44" s="29"/>
      <c r="NV44" s="29"/>
      <c r="NW44" s="29"/>
      <c r="NX44" s="29"/>
      <c r="NY44" s="29"/>
      <c r="NZ44" s="29"/>
      <c r="OA44" s="29"/>
      <c r="OB44" s="29"/>
      <c r="OC44" s="29"/>
      <c r="OD44" s="29"/>
      <c r="OE44" s="29"/>
      <c r="OF44" s="29"/>
      <c r="OG44" s="29"/>
      <c r="OH44" s="29"/>
      <c r="OI44" s="29"/>
      <c r="OJ44" s="29"/>
      <c r="OK44" s="29"/>
      <c r="OL44" s="29"/>
      <c r="OM44" s="29"/>
      <c r="ON44" s="29"/>
      <c r="OO44" s="29"/>
      <c r="OP44" s="29"/>
      <c r="OQ44" s="29"/>
      <c r="OR44" s="29"/>
      <c r="OS44" s="29"/>
      <c r="OT44" s="29"/>
      <c r="OU44" s="29"/>
      <c r="OV44" s="29"/>
      <c r="OW44" s="29"/>
      <c r="OX44" s="29"/>
      <c r="OY44" s="29"/>
      <c r="OZ44" s="29"/>
      <c r="PA44" s="29"/>
      <c r="PB44" s="29"/>
      <c r="PC44" s="29"/>
      <c r="PD44" s="29"/>
      <c r="PE44" s="29"/>
      <c r="PF44" s="29"/>
      <c r="PG44" s="29"/>
      <c r="PH44" s="29"/>
      <c r="PI44" s="29"/>
      <c r="PJ44" s="29"/>
      <c r="PK44" s="29"/>
      <c r="PL44" s="29"/>
      <c r="PM44" s="29"/>
      <c r="PN44" s="29"/>
      <c r="PO44" s="29"/>
      <c r="PP44" s="29"/>
      <c r="PQ44" s="29"/>
      <c r="PR44" s="29"/>
      <c r="PS44" s="29"/>
      <c r="PT44" s="29"/>
      <c r="PU44" s="29"/>
      <c r="PV44" s="29"/>
      <c r="PW44" s="29"/>
      <c r="PX44" s="29"/>
      <c r="PY44" s="29"/>
      <c r="PZ44" s="29"/>
      <c r="QA44" s="29"/>
      <c r="QB44" s="29"/>
      <c r="QC44" s="29"/>
      <c r="QD44" s="29"/>
      <c r="QE44" s="29"/>
      <c r="QF44" s="29"/>
      <c r="QG44" s="29"/>
      <c r="QH44" s="29"/>
      <c r="QI44" s="29"/>
      <c r="QJ44" s="29"/>
      <c r="QK44" s="29"/>
      <c r="QL44" s="29"/>
      <c r="QM44" s="29"/>
      <c r="QN44" s="29"/>
      <c r="QO44" s="29"/>
      <c r="QP44" s="29"/>
      <c r="QQ44" s="29"/>
      <c r="QR44" s="29"/>
      <c r="QS44" s="29"/>
      <c r="QT44" s="29"/>
      <c r="QU44" s="29"/>
      <c r="QV44" s="29"/>
      <c r="QW44" s="29"/>
      <c r="QX44" s="29"/>
      <c r="QY44" s="29"/>
      <c r="QZ44" s="29"/>
      <c r="RA44" s="29"/>
      <c r="RB44" s="29"/>
      <c r="RC44" s="29"/>
      <c r="RD44" s="29"/>
      <c r="RE44" s="29"/>
      <c r="RF44" s="29"/>
      <c r="RG44" s="29"/>
      <c r="RH44" s="29"/>
      <c r="RI44" s="29"/>
      <c r="RJ44" s="29"/>
      <c r="RK44" s="29"/>
      <c r="RL44" s="29"/>
      <c r="RM44" s="29"/>
      <c r="RN44" s="29"/>
      <c r="RO44" s="29"/>
      <c r="RP44" s="29"/>
      <c r="RQ44" s="29"/>
      <c r="RR44" s="29"/>
      <c r="RS44" s="29"/>
      <c r="RT44" s="29"/>
      <c r="RU44" s="29"/>
      <c r="RV44" s="29"/>
      <c r="RW44" s="29"/>
      <c r="RX44" s="29"/>
      <c r="RY44" s="29"/>
      <c r="RZ44" s="29"/>
      <c r="SA44" s="29"/>
      <c r="SB44" s="29"/>
      <c r="SC44" s="29"/>
      <c r="SD44" s="29"/>
      <c r="SE44" s="29"/>
      <c r="SF44" s="29"/>
      <c r="SG44" s="29"/>
      <c r="SH44" s="29"/>
      <c r="SI44" s="29"/>
      <c r="SJ44" s="29"/>
      <c r="SK44" s="29"/>
      <c r="SL44" s="29"/>
      <c r="SM44" s="29"/>
      <c r="SN44" s="29"/>
      <c r="SO44" s="29"/>
      <c r="SP44" s="29"/>
      <c r="SQ44" s="29"/>
      <c r="SR44" s="29"/>
      <c r="SS44" s="29"/>
      <c r="ST44" s="29"/>
      <c r="SU44" s="29"/>
      <c r="SV44" s="29"/>
      <c r="SW44" s="29"/>
      <c r="SX44" s="29"/>
      <c r="SY44" s="29"/>
      <c r="SZ44" s="29"/>
      <c r="TA44" s="29"/>
      <c r="TB44" s="29"/>
      <c r="TC44" s="29"/>
      <c r="TD44" s="29"/>
      <c r="TE44" s="29"/>
      <c r="TF44" s="29"/>
      <c r="TG44" s="29"/>
      <c r="TH44" s="29"/>
      <c r="TI44" s="29"/>
      <c r="TJ44" s="29"/>
      <c r="TK44" s="29"/>
      <c r="TL44" s="29"/>
      <c r="TM44" s="29"/>
      <c r="TN44" s="29"/>
      <c r="TO44" s="29"/>
      <c r="TP44" s="29"/>
      <c r="TQ44" s="29"/>
      <c r="TR44" s="29"/>
      <c r="TS44" s="29"/>
      <c r="TT44" s="29"/>
      <c r="TU44" s="29"/>
      <c r="TV44" s="29"/>
      <c r="TW44" s="29"/>
      <c r="TX44" s="29"/>
      <c r="TY44" s="29"/>
      <c r="TZ44" s="29"/>
      <c r="UA44" s="29"/>
      <c r="UB44" s="29"/>
      <c r="UC44" s="29"/>
      <c r="UD44" s="29"/>
      <c r="UE44" s="29"/>
      <c r="UF44" s="29"/>
      <c r="UG44" s="29"/>
      <c r="UH44" s="29"/>
      <c r="UI44" s="29"/>
      <c r="UJ44" s="29"/>
      <c r="UK44" s="29"/>
      <c r="UL44" s="29"/>
      <c r="UM44" s="29"/>
      <c r="UN44" s="29"/>
      <c r="UO44" s="29"/>
      <c r="UP44" s="29"/>
      <c r="UQ44" s="29"/>
      <c r="UR44" s="29"/>
      <c r="US44" s="29"/>
      <c r="UT44" s="29"/>
      <c r="UU44" s="29"/>
      <c r="UV44" s="29"/>
      <c r="UW44" s="29"/>
      <c r="UX44" s="29"/>
      <c r="UY44" s="29"/>
      <c r="UZ44" s="29"/>
      <c r="VA44" s="29"/>
      <c r="VB44" s="29"/>
      <c r="VC44" s="29"/>
      <c r="VD44" s="29"/>
      <c r="VE44" s="29"/>
      <c r="VF44" s="29"/>
      <c r="VG44" s="29"/>
      <c r="VH44" s="29"/>
      <c r="VI44" s="29"/>
      <c r="VJ44" s="29"/>
      <c r="VK44" s="29"/>
      <c r="VL44" s="29"/>
      <c r="VM44" s="29"/>
      <c r="VN44" s="29"/>
      <c r="VO44" s="29"/>
      <c r="VP44" s="29"/>
      <c r="VQ44" s="29"/>
      <c r="VR44" s="29"/>
      <c r="VS44" s="29"/>
      <c r="VT44" s="29"/>
      <c r="VU44" s="29"/>
      <c r="VV44" s="29"/>
      <c r="VW44" s="29"/>
      <c r="VX44" s="29"/>
      <c r="VY44" s="29"/>
      <c r="VZ44" s="29"/>
      <c r="WA44" s="29"/>
      <c r="WB44" s="29"/>
      <c r="WC44" s="29"/>
      <c r="WD44" s="29"/>
      <c r="WE44" s="29"/>
      <c r="WF44" s="29"/>
      <c r="WG44" s="29"/>
      <c r="WH44" s="29"/>
      <c r="WI44" s="29"/>
      <c r="WJ44" s="29"/>
      <c r="WK44" s="29"/>
      <c r="WL44" s="29"/>
      <c r="WM44" s="29"/>
      <c r="WN44" s="29"/>
      <c r="WO44" s="29"/>
      <c r="WP44" s="29"/>
      <c r="WQ44" s="29"/>
      <c r="WR44" s="29"/>
      <c r="WS44" s="29"/>
    </row>
    <row r="45" spans="1:617" s="3" customFormat="1" ht="15" outlineLevel="1" thickBot="1">
      <c r="A45" s="33"/>
      <c r="B45" s="178"/>
      <c r="C45" s="178" t="s">
        <v>171</v>
      </c>
      <c r="D45" s="179">
        <v>45936</v>
      </c>
      <c r="E45" s="179">
        <f t="shared" si="590"/>
        <v>45947</v>
      </c>
      <c r="F45" s="14"/>
      <c r="G45" s="14">
        <v>12</v>
      </c>
      <c r="H45" s="29"/>
      <c r="I45" s="29"/>
      <c r="J45" s="29"/>
      <c r="K45" s="29"/>
      <c r="L45" s="29"/>
      <c r="M45" s="29"/>
      <c r="N45" s="29"/>
      <c r="O45" s="29"/>
      <c r="P45" s="29"/>
      <c r="Q45" s="29"/>
      <c r="R45" s="29"/>
      <c r="S45" s="29"/>
      <c r="T45" s="29"/>
      <c r="U45" s="29"/>
      <c r="V45" s="29"/>
      <c r="W45" s="29"/>
      <c r="X45" s="29"/>
      <c r="Y45" s="30"/>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c r="MM45" s="29"/>
      <c r="MN45" s="29"/>
      <c r="MO45" s="29"/>
      <c r="MP45" s="29"/>
      <c r="MQ45" s="29"/>
      <c r="MR45" s="29"/>
      <c r="MS45" s="29"/>
      <c r="MT45" s="29"/>
      <c r="MU45" s="29"/>
      <c r="MV45" s="29"/>
      <c r="MW45" s="29"/>
      <c r="MX45" s="29"/>
      <c r="MY45" s="29"/>
      <c r="MZ45" s="29"/>
      <c r="NA45" s="29"/>
      <c r="NB45" s="29"/>
      <c r="NC45" s="29"/>
      <c r="ND45" s="29"/>
      <c r="NE45" s="29"/>
      <c r="NF45" s="29"/>
      <c r="NG45" s="29"/>
      <c r="NH45" s="29"/>
      <c r="NI45" s="29"/>
      <c r="NJ45" s="29"/>
      <c r="NK45" s="29"/>
      <c r="NL45" s="29"/>
      <c r="NM45" s="29"/>
      <c r="NN45" s="29"/>
      <c r="NO45" s="29"/>
      <c r="NP45" s="29"/>
      <c r="NQ45" s="29"/>
      <c r="NR45" s="29"/>
      <c r="NS45" s="29"/>
      <c r="NT45" s="29"/>
      <c r="NU45" s="29"/>
      <c r="NV45" s="29"/>
      <c r="NW45" s="29"/>
      <c r="NX45" s="29"/>
      <c r="NY45" s="29"/>
      <c r="NZ45" s="29"/>
      <c r="OA45" s="29"/>
      <c r="OB45" s="29"/>
      <c r="OC45" s="29"/>
      <c r="OD45" s="29"/>
      <c r="OE45" s="29"/>
      <c r="OF45" s="29"/>
      <c r="OG45" s="29"/>
      <c r="OH45" s="29"/>
      <c r="OI45" s="29"/>
      <c r="OJ45" s="29"/>
      <c r="OK45" s="29"/>
      <c r="OL45" s="29"/>
      <c r="OM45" s="29"/>
      <c r="ON45" s="29"/>
      <c r="OO45" s="29"/>
      <c r="OP45" s="29"/>
      <c r="OQ45" s="29"/>
      <c r="OR45" s="29"/>
      <c r="OS45" s="29"/>
      <c r="OT45" s="29"/>
      <c r="OU45" s="29"/>
      <c r="OV45" s="29"/>
      <c r="OW45" s="29"/>
      <c r="OX45" s="29"/>
      <c r="OY45" s="29"/>
      <c r="OZ45" s="29"/>
      <c r="PA45" s="29"/>
      <c r="PB45" s="29"/>
      <c r="PC45" s="29"/>
      <c r="PD45" s="29"/>
      <c r="PE45" s="29"/>
      <c r="PF45" s="29"/>
      <c r="PG45" s="29"/>
      <c r="PH45" s="29"/>
      <c r="PI45" s="29"/>
      <c r="PJ45" s="29"/>
      <c r="PK45" s="29"/>
      <c r="PL45" s="29"/>
      <c r="PM45" s="29"/>
      <c r="PN45" s="29"/>
      <c r="PO45" s="29"/>
      <c r="PP45" s="29"/>
      <c r="PQ45" s="29"/>
      <c r="PR45" s="29"/>
      <c r="PS45" s="29"/>
      <c r="PT45" s="29"/>
      <c r="PU45" s="29"/>
      <c r="PV45" s="29"/>
      <c r="PW45" s="29"/>
      <c r="PX45" s="29"/>
      <c r="PY45" s="29"/>
      <c r="PZ45" s="29"/>
      <c r="QA45" s="29"/>
      <c r="QB45" s="29"/>
      <c r="QC45" s="29"/>
      <c r="QD45" s="29"/>
      <c r="QE45" s="29"/>
      <c r="QF45" s="29"/>
      <c r="QG45" s="29"/>
      <c r="QH45" s="29"/>
      <c r="QI45" s="29"/>
      <c r="QJ45" s="29"/>
      <c r="QK45" s="29"/>
      <c r="QL45" s="29"/>
      <c r="QM45" s="29"/>
      <c r="QN45" s="29"/>
      <c r="QO45" s="29"/>
      <c r="QP45" s="29"/>
      <c r="QQ45" s="29"/>
      <c r="QR45" s="29"/>
      <c r="QS45" s="29"/>
      <c r="QT45" s="29"/>
      <c r="QU45" s="29"/>
      <c r="QV45" s="29"/>
      <c r="QW45" s="29"/>
      <c r="QX45" s="29"/>
      <c r="QY45" s="29"/>
      <c r="QZ45" s="29"/>
      <c r="RA45" s="29"/>
      <c r="RB45" s="29"/>
      <c r="RC45" s="29"/>
      <c r="RD45" s="29"/>
      <c r="RE45" s="29"/>
      <c r="RF45" s="29"/>
      <c r="RG45" s="29"/>
      <c r="RH45" s="29"/>
      <c r="RI45" s="29"/>
      <c r="RJ45" s="29"/>
      <c r="RK45" s="29"/>
      <c r="RL45" s="29"/>
      <c r="RM45" s="29"/>
      <c r="RN45" s="29"/>
      <c r="RO45" s="29"/>
      <c r="RP45" s="29"/>
      <c r="RQ45" s="29"/>
      <c r="RR45" s="29"/>
      <c r="RS45" s="29"/>
      <c r="RT45" s="29"/>
      <c r="RU45" s="29"/>
      <c r="RV45" s="29"/>
      <c r="RW45" s="29"/>
      <c r="RX45" s="29"/>
      <c r="RY45" s="29"/>
      <c r="RZ45" s="29"/>
      <c r="SA45" s="29"/>
      <c r="SB45" s="29"/>
      <c r="SC45" s="29"/>
      <c r="SD45" s="29"/>
      <c r="SE45" s="29"/>
      <c r="SF45" s="29"/>
      <c r="SG45" s="29"/>
      <c r="SH45" s="29"/>
      <c r="SI45" s="29"/>
      <c r="SJ45" s="29"/>
      <c r="SK45" s="29"/>
      <c r="SL45" s="29"/>
      <c r="SM45" s="29"/>
      <c r="SN45" s="29"/>
      <c r="SO45" s="29"/>
      <c r="SP45" s="29"/>
      <c r="SQ45" s="29"/>
      <c r="SR45" s="29"/>
      <c r="SS45" s="29"/>
      <c r="ST45" s="29"/>
      <c r="SU45" s="29"/>
      <c r="SV45" s="29"/>
      <c r="SW45" s="29"/>
      <c r="SX45" s="29"/>
      <c r="SY45" s="29"/>
      <c r="SZ45" s="29"/>
      <c r="TA45" s="29"/>
      <c r="TB45" s="29"/>
      <c r="TC45" s="29"/>
      <c r="TD45" s="29"/>
      <c r="TE45" s="29"/>
      <c r="TF45" s="29"/>
      <c r="TG45" s="29"/>
      <c r="TH45" s="29"/>
      <c r="TI45" s="29"/>
      <c r="TJ45" s="29"/>
      <c r="TK45" s="29"/>
      <c r="TL45" s="29"/>
      <c r="TM45" s="29"/>
      <c r="TN45" s="29"/>
      <c r="TO45" s="29"/>
      <c r="TP45" s="29"/>
      <c r="TQ45" s="29"/>
      <c r="TR45" s="29"/>
      <c r="TS45" s="29"/>
      <c r="TT45" s="29"/>
      <c r="TU45" s="29"/>
      <c r="TV45" s="29"/>
      <c r="TW45" s="29"/>
      <c r="TX45" s="29"/>
      <c r="TY45" s="29"/>
      <c r="TZ45" s="29"/>
      <c r="UA45" s="29"/>
      <c r="UB45" s="29"/>
      <c r="UC45" s="29"/>
      <c r="UD45" s="29"/>
      <c r="UE45" s="29"/>
      <c r="UF45" s="29"/>
      <c r="UG45" s="29"/>
      <c r="UH45" s="29"/>
      <c r="UI45" s="29"/>
      <c r="UJ45" s="29"/>
      <c r="UK45" s="29"/>
      <c r="UL45" s="29"/>
      <c r="UM45" s="29"/>
      <c r="UN45" s="29"/>
      <c r="UO45" s="29"/>
      <c r="UP45" s="29"/>
      <c r="UQ45" s="29"/>
      <c r="UR45" s="29"/>
      <c r="US45" s="29"/>
      <c r="UT45" s="29"/>
      <c r="UU45" s="29"/>
      <c r="UV45" s="29"/>
      <c r="UW45" s="29"/>
      <c r="UX45" s="29"/>
      <c r="UY45" s="29"/>
      <c r="UZ45" s="29"/>
      <c r="VA45" s="29"/>
      <c r="VB45" s="29"/>
      <c r="VC45" s="29"/>
      <c r="VD45" s="29"/>
      <c r="VE45" s="29"/>
      <c r="VF45" s="29"/>
      <c r="VG45" s="29"/>
      <c r="VH45" s="29"/>
      <c r="VI45" s="29"/>
      <c r="VJ45" s="29"/>
      <c r="VK45" s="29"/>
      <c r="VL45" s="29"/>
      <c r="VM45" s="29"/>
      <c r="VN45" s="29"/>
      <c r="VO45" s="29"/>
      <c r="VP45" s="29"/>
      <c r="VQ45" s="29"/>
      <c r="VR45" s="29"/>
      <c r="VS45" s="29"/>
      <c r="VT45" s="29"/>
      <c r="VU45" s="29"/>
      <c r="VV45" s="29"/>
      <c r="VW45" s="29"/>
      <c r="VX45" s="29"/>
      <c r="VY45" s="29"/>
      <c r="VZ45" s="29"/>
      <c r="WA45" s="29"/>
      <c r="WB45" s="29"/>
      <c r="WC45" s="29"/>
      <c r="WD45" s="29"/>
      <c r="WE45" s="29"/>
      <c r="WF45" s="29"/>
      <c r="WG45" s="29"/>
      <c r="WH45" s="29"/>
      <c r="WI45" s="29"/>
      <c r="WJ45" s="29"/>
      <c r="WK45" s="29"/>
      <c r="WL45" s="29"/>
      <c r="WM45" s="29"/>
      <c r="WN45" s="29"/>
      <c r="WO45" s="29"/>
      <c r="WP45" s="29"/>
      <c r="WQ45" s="29"/>
      <c r="WR45" s="29"/>
      <c r="WS45" s="29"/>
    </row>
    <row r="46" spans="1:617" s="3" customFormat="1" ht="15" outlineLevel="1" thickBot="1">
      <c r="A46" s="33"/>
      <c r="B46" s="178"/>
      <c r="C46" s="178" t="s">
        <v>156</v>
      </c>
      <c r="D46" s="179">
        <v>45950</v>
      </c>
      <c r="E46" s="179">
        <f t="shared" ref="E46" si="591">D46+G46-1</f>
        <v>45961</v>
      </c>
      <c r="F46" s="14"/>
      <c r="G46" s="14">
        <v>12</v>
      </c>
      <c r="H46" s="29"/>
      <c r="I46" s="29"/>
      <c r="J46" s="29"/>
      <c r="K46" s="29"/>
      <c r="L46" s="29"/>
      <c r="M46" s="29"/>
      <c r="N46" s="29"/>
      <c r="O46" s="29"/>
      <c r="P46" s="29"/>
      <c r="Q46" s="29"/>
      <c r="R46" s="29"/>
      <c r="S46" s="29"/>
      <c r="T46" s="29"/>
      <c r="U46" s="29"/>
      <c r="V46" s="29"/>
      <c r="W46" s="29"/>
      <c r="X46" s="29"/>
      <c r="Y46" s="30"/>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c r="MM46" s="29"/>
      <c r="MN46" s="29"/>
      <c r="MO46" s="29"/>
      <c r="MP46" s="29"/>
      <c r="MQ46" s="29"/>
      <c r="MR46" s="29"/>
      <c r="MS46" s="29"/>
      <c r="MT46" s="29"/>
      <c r="MU46" s="29"/>
      <c r="MV46" s="29"/>
      <c r="MW46" s="29"/>
      <c r="MX46" s="29"/>
      <c r="MY46" s="29"/>
      <c r="MZ46" s="29"/>
      <c r="NA46" s="29"/>
      <c r="NB46" s="29"/>
      <c r="NC46" s="29"/>
      <c r="ND46" s="29"/>
      <c r="NE46" s="29"/>
      <c r="NF46" s="29"/>
      <c r="NG46" s="29"/>
      <c r="NH46" s="29"/>
      <c r="NI46" s="29"/>
      <c r="NJ46" s="29"/>
      <c r="NK46" s="29"/>
      <c r="NL46" s="29"/>
      <c r="NM46" s="29"/>
      <c r="NN46" s="29"/>
      <c r="NO46" s="29"/>
      <c r="NP46" s="29"/>
      <c r="NQ46" s="29"/>
      <c r="NR46" s="29"/>
      <c r="NS46" s="29"/>
      <c r="NT46" s="29"/>
      <c r="NU46" s="29"/>
      <c r="NV46" s="29"/>
      <c r="NW46" s="29"/>
      <c r="NX46" s="29"/>
      <c r="NY46" s="29"/>
      <c r="NZ46" s="29"/>
      <c r="OA46" s="29"/>
      <c r="OB46" s="29"/>
      <c r="OC46" s="29"/>
      <c r="OD46" s="29"/>
      <c r="OE46" s="29"/>
      <c r="OF46" s="29"/>
      <c r="OG46" s="29"/>
      <c r="OH46" s="29"/>
      <c r="OI46" s="29"/>
      <c r="OJ46" s="29"/>
      <c r="OK46" s="29"/>
      <c r="OL46" s="29"/>
      <c r="OM46" s="29"/>
      <c r="ON46" s="29"/>
      <c r="OO46" s="29"/>
      <c r="OP46" s="29"/>
      <c r="OQ46" s="29"/>
      <c r="OR46" s="29"/>
      <c r="OS46" s="29"/>
      <c r="OT46" s="29"/>
      <c r="OU46" s="29"/>
      <c r="OV46" s="29"/>
      <c r="OW46" s="29"/>
      <c r="OX46" s="29"/>
      <c r="OY46" s="29"/>
      <c r="OZ46" s="29"/>
      <c r="PA46" s="29"/>
      <c r="PB46" s="29"/>
      <c r="PC46" s="29"/>
      <c r="PD46" s="29"/>
      <c r="PE46" s="29"/>
      <c r="PF46" s="29"/>
      <c r="PG46" s="29"/>
      <c r="PH46" s="29"/>
      <c r="PI46" s="29"/>
      <c r="PJ46" s="29"/>
      <c r="PK46" s="29"/>
      <c r="PL46" s="29"/>
      <c r="PM46" s="29"/>
      <c r="PN46" s="29"/>
      <c r="PO46" s="29"/>
      <c r="PP46" s="29"/>
      <c r="PQ46" s="29"/>
      <c r="PR46" s="29"/>
      <c r="PS46" s="29"/>
      <c r="PT46" s="29"/>
      <c r="PU46" s="29"/>
      <c r="PV46" s="29"/>
      <c r="PW46" s="29"/>
      <c r="PX46" s="29"/>
      <c r="PY46" s="29"/>
      <c r="PZ46" s="29"/>
      <c r="QA46" s="29"/>
      <c r="QB46" s="29"/>
      <c r="QC46" s="29"/>
      <c r="QD46" s="29"/>
      <c r="QE46" s="29"/>
      <c r="QF46" s="29"/>
      <c r="QG46" s="29"/>
      <c r="QH46" s="29"/>
      <c r="QI46" s="29"/>
      <c r="QJ46" s="29"/>
      <c r="QK46" s="29"/>
      <c r="QL46" s="29"/>
      <c r="QM46" s="29"/>
      <c r="QN46" s="29"/>
      <c r="QO46" s="29"/>
      <c r="QP46" s="29"/>
      <c r="QQ46" s="29"/>
      <c r="QR46" s="29"/>
      <c r="QS46" s="29"/>
      <c r="QT46" s="29"/>
      <c r="QU46" s="29"/>
      <c r="QV46" s="29"/>
      <c r="QW46" s="29"/>
      <c r="QX46" s="29"/>
      <c r="QY46" s="29"/>
      <c r="QZ46" s="29"/>
      <c r="RA46" s="29"/>
      <c r="RB46" s="29"/>
      <c r="RC46" s="29"/>
      <c r="RD46" s="29"/>
      <c r="RE46" s="29"/>
      <c r="RF46" s="29"/>
      <c r="RG46" s="29"/>
      <c r="RH46" s="29"/>
      <c r="RI46" s="29"/>
      <c r="RJ46" s="29"/>
      <c r="RK46" s="29"/>
      <c r="RL46" s="29"/>
      <c r="RM46" s="29"/>
      <c r="RN46" s="29"/>
      <c r="RO46" s="29"/>
      <c r="RP46" s="29"/>
      <c r="RQ46" s="29"/>
      <c r="RR46" s="29"/>
      <c r="RS46" s="29"/>
      <c r="RT46" s="29"/>
      <c r="RU46" s="29"/>
      <c r="RV46" s="29"/>
      <c r="RW46" s="29"/>
      <c r="RX46" s="29"/>
      <c r="RY46" s="29"/>
      <c r="RZ46" s="29"/>
      <c r="SA46" s="29"/>
      <c r="SB46" s="29"/>
      <c r="SC46" s="29"/>
      <c r="SD46" s="29"/>
      <c r="SE46" s="29"/>
      <c r="SF46" s="29"/>
      <c r="SG46" s="29"/>
      <c r="SH46" s="29"/>
      <c r="SI46" s="29"/>
      <c r="SJ46" s="29"/>
      <c r="SK46" s="29"/>
      <c r="SL46" s="29"/>
      <c r="SM46" s="29"/>
      <c r="SN46" s="29"/>
      <c r="SO46" s="29"/>
      <c r="SP46" s="29"/>
      <c r="SQ46" s="29"/>
      <c r="SR46" s="29"/>
      <c r="SS46" s="29"/>
      <c r="ST46" s="29"/>
      <c r="SU46" s="29"/>
      <c r="SV46" s="29"/>
      <c r="SW46" s="29"/>
      <c r="SX46" s="29"/>
      <c r="SY46" s="29"/>
      <c r="SZ46" s="29"/>
      <c r="TA46" s="29"/>
      <c r="TB46" s="29"/>
      <c r="TC46" s="29"/>
      <c r="TD46" s="29"/>
      <c r="TE46" s="29"/>
      <c r="TF46" s="29"/>
      <c r="TG46" s="29"/>
      <c r="TH46" s="29"/>
      <c r="TI46" s="29"/>
      <c r="TJ46" s="29"/>
      <c r="TK46" s="29"/>
      <c r="TL46" s="29"/>
      <c r="TM46" s="29"/>
      <c r="TN46" s="29"/>
      <c r="TO46" s="29"/>
      <c r="TP46" s="29"/>
      <c r="TQ46" s="29"/>
      <c r="TR46" s="29"/>
      <c r="TS46" s="29"/>
      <c r="TT46" s="29"/>
      <c r="TU46" s="29"/>
      <c r="TV46" s="29"/>
      <c r="TW46" s="29"/>
      <c r="TX46" s="29"/>
      <c r="TY46" s="29"/>
      <c r="TZ46" s="29"/>
      <c r="UA46" s="29"/>
      <c r="UB46" s="29"/>
      <c r="UC46" s="29"/>
      <c r="UD46" s="29"/>
      <c r="UE46" s="29"/>
      <c r="UF46" s="29"/>
      <c r="UG46" s="29"/>
      <c r="UH46" s="29"/>
      <c r="UI46" s="29"/>
      <c r="UJ46" s="29"/>
      <c r="UK46" s="29"/>
      <c r="UL46" s="29"/>
      <c r="UM46" s="29"/>
      <c r="UN46" s="29"/>
      <c r="UO46" s="29"/>
      <c r="UP46" s="29"/>
      <c r="UQ46" s="29"/>
      <c r="UR46" s="29"/>
      <c r="US46" s="29"/>
      <c r="UT46" s="29"/>
      <c r="UU46" s="29"/>
      <c r="UV46" s="29"/>
      <c r="UW46" s="29"/>
      <c r="UX46" s="29"/>
      <c r="UY46" s="29"/>
      <c r="UZ46" s="29"/>
      <c r="VA46" s="29"/>
      <c r="VB46" s="29"/>
      <c r="VC46" s="29"/>
      <c r="VD46" s="29"/>
      <c r="VE46" s="29"/>
      <c r="VF46" s="29"/>
      <c r="VG46" s="29"/>
      <c r="VH46" s="29"/>
      <c r="VI46" s="29"/>
      <c r="VJ46" s="29"/>
      <c r="VK46" s="29"/>
      <c r="VL46" s="29"/>
      <c r="VM46" s="29"/>
      <c r="VN46" s="29"/>
      <c r="VO46" s="29"/>
      <c r="VP46" s="29"/>
      <c r="VQ46" s="29"/>
      <c r="VR46" s="29"/>
      <c r="VS46" s="29"/>
      <c r="VT46" s="29"/>
      <c r="VU46" s="29"/>
      <c r="VV46" s="29"/>
      <c r="VW46" s="29"/>
      <c r="VX46" s="29"/>
      <c r="VY46" s="29"/>
      <c r="VZ46" s="29"/>
      <c r="WA46" s="29"/>
      <c r="WB46" s="29"/>
      <c r="WC46" s="29"/>
      <c r="WD46" s="29"/>
      <c r="WE46" s="29"/>
      <c r="WF46" s="29"/>
      <c r="WG46" s="29"/>
      <c r="WH46" s="29"/>
      <c r="WI46" s="29"/>
      <c r="WJ46" s="29"/>
      <c r="WK46" s="29"/>
      <c r="WL46" s="29"/>
      <c r="WM46" s="29"/>
      <c r="WN46" s="29"/>
      <c r="WO46" s="29"/>
      <c r="WP46" s="29"/>
      <c r="WQ46" s="29"/>
      <c r="WR46" s="29"/>
      <c r="WS46" s="29"/>
    </row>
    <row r="47" spans="1:617" s="3" customFormat="1" ht="15" outlineLevel="1" thickBot="1">
      <c r="A47" s="33"/>
      <c r="B47" s="178"/>
      <c r="C47" s="178" t="s">
        <v>108</v>
      </c>
      <c r="D47" s="179">
        <v>45957</v>
      </c>
      <c r="E47" s="179">
        <f t="shared" si="589"/>
        <v>45968</v>
      </c>
      <c r="F47" s="14"/>
      <c r="G47" s="14">
        <v>12</v>
      </c>
      <c r="H47" s="29"/>
      <c r="I47" s="29"/>
      <c r="J47" s="29"/>
      <c r="K47" s="29"/>
      <c r="L47" s="29"/>
      <c r="M47" s="29"/>
      <c r="N47" s="29"/>
      <c r="O47" s="29"/>
      <c r="P47" s="29"/>
      <c r="Q47" s="29"/>
      <c r="R47" s="29"/>
      <c r="S47" s="29"/>
      <c r="T47" s="29"/>
      <c r="U47" s="29"/>
      <c r="V47" s="29"/>
      <c r="W47" s="29"/>
      <c r="X47" s="29"/>
      <c r="Y47" s="30"/>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c r="MM47" s="29"/>
      <c r="MN47" s="29"/>
      <c r="MO47" s="29"/>
      <c r="MP47" s="29"/>
      <c r="MQ47" s="29"/>
      <c r="MR47" s="29"/>
      <c r="MS47" s="29"/>
      <c r="MT47" s="29"/>
      <c r="MU47" s="29"/>
      <c r="MV47" s="29"/>
      <c r="MW47" s="29"/>
      <c r="MX47" s="29"/>
      <c r="MY47" s="29"/>
      <c r="MZ47" s="29"/>
      <c r="NA47" s="29"/>
      <c r="NB47" s="29"/>
      <c r="NC47" s="29"/>
      <c r="ND47" s="29"/>
      <c r="NE47" s="29"/>
      <c r="NF47" s="29"/>
      <c r="NG47" s="29"/>
      <c r="NH47" s="29"/>
      <c r="NI47" s="29"/>
      <c r="NJ47" s="29"/>
      <c r="NK47" s="29"/>
      <c r="NL47" s="29"/>
      <c r="NM47" s="29"/>
      <c r="NN47" s="29"/>
      <c r="NO47" s="29"/>
      <c r="NP47" s="29"/>
      <c r="NQ47" s="29"/>
      <c r="NR47" s="29"/>
      <c r="NS47" s="29"/>
      <c r="NT47" s="29"/>
      <c r="NU47" s="29"/>
      <c r="NV47" s="29"/>
      <c r="NW47" s="29"/>
      <c r="NX47" s="29"/>
      <c r="NY47" s="29"/>
      <c r="NZ47" s="29"/>
      <c r="OA47" s="29"/>
      <c r="OB47" s="29"/>
      <c r="OC47" s="29"/>
      <c r="OD47" s="29"/>
      <c r="OE47" s="29"/>
      <c r="OF47" s="29"/>
      <c r="OG47" s="29"/>
      <c r="OH47" s="29"/>
      <c r="OI47" s="29"/>
      <c r="OJ47" s="29"/>
      <c r="OK47" s="29"/>
      <c r="OL47" s="29"/>
      <c r="OM47" s="29"/>
      <c r="ON47" s="29"/>
      <c r="OO47" s="29"/>
      <c r="OP47" s="29"/>
      <c r="OQ47" s="29"/>
      <c r="OR47" s="29"/>
      <c r="OS47" s="29"/>
      <c r="OT47" s="29"/>
      <c r="OU47" s="29"/>
      <c r="OV47" s="29"/>
      <c r="OW47" s="29"/>
      <c r="OX47" s="29"/>
      <c r="OY47" s="29"/>
      <c r="OZ47" s="29"/>
      <c r="PA47" s="29"/>
      <c r="PB47" s="29"/>
      <c r="PC47" s="29"/>
      <c r="PD47" s="29"/>
      <c r="PE47" s="29"/>
      <c r="PF47" s="29"/>
      <c r="PG47" s="29"/>
      <c r="PH47" s="29"/>
      <c r="PI47" s="29"/>
      <c r="PJ47" s="29"/>
      <c r="PK47" s="29"/>
      <c r="PL47" s="29"/>
      <c r="PM47" s="29"/>
      <c r="PN47" s="29"/>
      <c r="PO47" s="29"/>
      <c r="PP47" s="29"/>
      <c r="PQ47" s="29"/>
      <c r="PR47" s="29"/>
      <c r="PS47" s="29"/>
      <c r="PT47" s="29"/>
      <c r="PU47" s="29"/>
      <c r="PV47" s="29"/>
      <c r="PW47" s="29"/>
      <c r="PX47" s="29"/>
      <c r="PY47" s="29"/>
      <c r="PZ47" s="29"/>
      <c r="QA47" s="29"/>
      <c r="QB47" s="29"/>
      <c r="QC47" s="29"/>
      <c r="QD47" s="29"/>
      <c r="QE47" s="29"/>
      <c r="QF47" s="29"/>
      <c r="QG47" s="29"/>
      <c r="QH47" s="29"/>
      <c r="QI47" s="29"/>
      <c r="QJ47" s="29"/>
      <c r="QK47" s="29"/>
      <c r="QL47" s="29"/>
      <c r="QM47" s="29"/>
      <c r="QN47" s="29"/>
      <c r="QO47" s="29"/>
      <c r="QP47" s="29"/>
      <c r="QQ47" s="29"/>
      <c r="QR47" s="29"/>
      <c r="QS47" s="29"/>
      <c r="QT47" s="29"/>
      <c r="QU47" s="29"/>
      <c r="QV47" s="29"/>
      <c r="QW47" s="29"/>
      <c r="QX47" s="29"/>
      <c r="QY47" s="29"/>
      <c r="QZ47" s="29"/>
      <c r="RA47" s="29"/>
      <c r="RB47" s="29"/>
      <c r="RC47" s="29"/>
      <c r="RD47" s="29"/>
      <c r="RE47" s="29"/>
      <c r="RF47" s="29"/>
      <c r="RG47" s="29"/>
      <c r="RH47" s="29"/>
      <c r="RI47" s="29"/>
      <c r="RJ47" s="29"/>
      <c r="RK47" s="29"/>
      <c r="RL47" s="29"/>
      <c r="RM47" s="29"/>
      <c r="RN47" s="29"/>
      <c r="RO47" s="29"/>
      <c r="RP47" s="29"/>
      <c r="RQ47" s="29"/>
      <c r="RR47" s="29"/>
      <c r="RS47" s="29"/>
      <c r="RT47" s="29"/>
      <c r="RU47" s="29"/>
      <c r="RV47" s="29"/>
      <c r="RW47" s="29"/>
      <c r="RX47" s="29"/>
      <c r="RY47" s="29"/>
      <c r="RZ47" s="29"/>
      <c r="SA47" s="29"/>
      <c r="SB47" s="29"/>
      <c r="SC47" s="29"/>
      <c r="SD47" s="29"/>
      <c r="SE47" s="29"/>
      <c r="SF47" s="29"/>
      <c r="SG47" s="29"/>
      <c r="SH47" s="29"/>
      <c r="SI47" s="29"/>
      <c r="SJ47" s="29"/>
      <c r="SK47" s="29"/>
      <c r="SL47" s="29"/>
      <c r="SM47" s="29"/>
      <c r="SN47" s="29"/>
      <c r="SO47" s="29"/>
      <c r="SP47" s="29"/>
      <c r="SQ47" s="29"/>
      <c r="SR47" s="29"/>
      <c r="SS47" s="29"/>
      <c r="ST47" s="29"/>
      <c r="SU47" s="29"/>
      <c r="SV47" s="29"/>
      <c r="SW47" s="29"/>
      <c r="SX47" s="29"/>
      <c r="SY47" s="29"/>
      <c r="SZ47" s="29"/>
      <c r="TA47" s="29"/>
      <c r="TB47" s="29"/>
      <c r="TC47" s="29"/>
      <c r="TD47" s="29"/>
      <c r="TE47" s="29"/>
      <c r="TF47" s="29"/>
      <c r="TG47" s="29"/>
      <c r="TH47" s="29"/>
      <c r="TI47" s="29"/>
      <c r="TJ47" s="29"/>
      <c r="TK47" s="29"/>
      <c r="TL47" s="29"/>
      <c r="TM47" s="29"/>
      <c r="TN47" s="29"/>
      <c r="TO47" s="29"/>
      <c r="TP47" s="29"/>
      <c r="TQ47" s="29"/>
      <c r="TR47" s="29"/>
      <c r="TS47" s="29"/>
      <c r="TT47" s="29"/>
      <c r="TU47" s="29"/>
      <c r="TV47" s="29"/>
      <c r="TW47" s="29"/>
      <c r="TX47" s="29"/>
      <c r="TY47" s="29"/>
      <c r="TZ47" s="29"/>
      <c r="UA47" s="29"/>
      <c r="UB47" s="29"/>
      <c r="UC47" s="29"/>
      <c r="UD47" s="29"/>
      <c r="UE47" s="29"/>
      <c r="UF47" s="29"/>
      <c r="UG47" s="29"/>
      <c r="UH47" s="29"/>
      <c r="UI47" s="29"/>
      <c r="UJ47" s="29"/>
      <c r="UK47" s="29"/>
      <c r="UL47" s="29"/>
      <c r="UM47" s="29"/>
      <c r="UN47" s="29"/>
      <c r="UO47" s="29"/>
      <c r="UP47" s="29"/>
      <c r="UQ47" s="29"/>
      <c r="UR47" s="29"/>
      <c r="US47" s="29"/>
      <c r="UT47" s="29"/>
      <c r="UU47" s="29"/>
      <c r="UV47" s="29"/>
      <c r="UW47" s="29"/>
      <c r="UX47" s="29"/>
      <c r="UY47" s="29"/>
      <c r="UZ47" s="29"/>
      <c r="VA47" s="29"/>
      <c r="VB47" s="29"/>
      <c r="VC47" s="29"/>
      <c r="VD47" s="29"/>
      <c r="VE47" s="29"/>
      <c r="VF47" s="29"/>
      <c r="VG47" s="29"/>
      <c r="VH47" s="29"/>
      <c r="VI47" s="29"/>
      <c r="VJ47" s="29"/>
      <c r="VK47" s="29"/>
      <c r="VL47" s="29"/>
      <c r="VM47" s="29"/>
      <c r="VN47" s="29"/>
      <c r="VO47" s="29"/>
      <c r="VP47" s="29"/>
      <c r="VQ47" s="29"/>
      <c r="VR47" s="29"/>
      <c r="VS47" s="29"/>
      <c r="VT47" s="29"/>
      <c r="VU47" s="29"/>
      <c r="VV47" s="29"/>
      <c r="VW47" s="29"/>
      <c r="VX47" s="29"/>
      <c r="VY47" s="29"/>
      <c r="VZ47" s="29"/>
      <c r="WA47" s="29"/>
      <c r="WB47" s="29"/>
      <c r="WC47" s="29"/>
      <c r="WD47" s="29"/>
      <c r="WE47" s="29"/>
      <c r="WF47" s="29"/>
      <c r="WG47" s="29"/>
      <c r="WH47" s="29"/>
      <c r="WI47" s="29"/>
      <c r="WJ47" s="29"/>
      <c r="WK47" s="29"/>
      <c r="WL47" s="29"/>
      <c r="WM47" s="29"/>
      <c r="WN47" s="29"/>
      <c r="WO47" s="29"/>
      <c r="WP47" s="29"/>
      <c r="WQ47" s="29"/>
      <c r="WR47" s="29"/>
      <c r="WS47" s="29"/>
    </row>
    <row r="48" spans="1:617" s="3" customFormat="1" ht="15" outlineLevel="1" thickBot="1">
      <c r="A48" s="33"/>
      <c r="B48" s="178"/>
      <c r="C48" s="178" t="s">
        <v>16</v>
      </c>
      <c r="D48" s="179">
        <v>45964</v>
      </c>
      <c r="E48" s="179">
        <f t="shared" si="589"/>
        <v>45975</v>
      </c>
      <c r="F48" s="14"/>
      <c r="G48" s="14">
        <v>12</v>
      </c>
      <c r="H48" s="29"/>
      <c r="I48" s="29"/>
      <c r="J48" s="29"/>
      <c r="K48" s="29"/>
      <c r="L48" s="29"/>
      <c r="M48" s="29"/>
      <c r="N48" s="29"/>
      <c r="O48" s="29"/>
      <c r="P48" s="29"/>
      <c r="Q48" s="29"/>
      <c r="R48" s="29"/>
      <c r="S48" s="29"/>
      <c r="T48" s="29"/>
      <c r="U48" s="29"/>
      <c r="V48" s="29"/>
      <c r="W48" s="29"/>
      <c r="X48" s="29"/>
      <c r="Y48" s="30"/>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c r="MM48" s="29"/>
      <c r="MN48" s="29"/>
      <c r="MO48" s="29"/>
      <c r="MP48" s="29"/>
      <c r="MQ48" s="29"/>
      <c r="MR48" s="29"/>
      <c r="MS48" s="29"/>
      <c r="MT48" s="29"/>
      <c r="MU48" s="29"/>
      <c r="MV48" s="29"/>
      <c r="MW48" s="29"/>
      <c r="MX48" s="29"/>
      <c r="MY48" s="29"/>
      <c r="MZ48" s="29"/>
      <c r="NA48" s="29"/>
      <c r="NB48" s="29"/>
      <c r="NC48" s="29"/>
      <c r="ND48" s="29"/>
      <c r="NE48" s="29"/>
      <c r="NF48" s="29"/>
      <c r="NG48" s="29"/>
      <c r="NH48" s="29"/>
      <c r="NI48" s="29"/>
      <c r="NJ48" s="29"/>
      <c r="NK48" s="29"/>
      <c r="NL48" s="29"/>
      <c r="NM48" s="29"/>
      <c r="NN48" s="29"/>
      <c r="NO48" s="29"/>
      <c r="NP48" s="29"/>
      <c r="NQ48" s="29"/>
      <c r="NR48" s="29"/>
      <c r="NS48" s="29"/>
      <c r="NT48" s="29"/>
      <c r="NU48" s="29"/>
      <c r="NV48" s="29"/>
      <c r="NW48" s="29"/>
      <c r="NX48" s="29"/>
      <c r="NY48" s="29"/>
      <c r="NZ48" s="29"/>
      <c r="OA48" s="29"/>
      <c r="OB48" s="29"/>
      <c r="OC48" s="29"/>
      <c r="OD48" s="29"/>
      <c r="OE48" s="29"/>
      <c r="OF48" s="29"/>
      <c r="OG48" s="29"/>
      <c r="OH48" s="29"/>
      <c r="OI48" s="29"/>
      <c r="OJ48" s="29"/>
      <c r="OK48" s="29"/>
      <c r="OL48" s="29"/>
      <c r="OM48" s="29"/>
      <c r="ON48" s="29"/>
      <c r="OO48" s="29"/>
      <c r="OP48" s="29"/>
      <c r="OQ48" s="29"/>
      <c r="OR48" s="29"/>
      <c r="OS48" s="29"/>
      <c r="OT48" s="29"/>
      <c r="OU48" s="29"/>
      <c r="OV48" s="29"/>
      <c r="OW48" s="29"/>
      <c r="OX48" s="29"/>
      <c r="OY48" s="29"/>
      <c r="OZ48" s="29"/>
      <c r="PA48" s="29"/>
      <c r="PB48" s="29"/>
      <c r="PC48" s="29"/>
      <c r="PD48" s="29"/>
      <c r="PE48" s="29"/>
      <c r="PF48" s="29"/>
      <c r="PG48" s="29"/>
      <c r="PH48" s="29"/>
      <c r="PI48" s="29"/>
      <c r="PJ48" s="29"/>
      <c r="PK48" s="29"/>
      <c r="PL48" s="29"/>
      <c r="PM48" s="29"/>
      <c r="PN48" s="29"/>
      <c r="PO48" s="29"/>
      <c r="PP48" s="29"/>
      <c r="PQ48" s="29"/>
      <c r="PR48" s="29"/>
      <c r="PS48" s="29"/>
      <c r="PT48" s="29"/>
      <c r="PU48" s="29"/>
      <c r="PV48" s="29"/>
      <c r="PW48" s="29"/>
      <c r="PX48" s="29"/>
      <c r="PY48" s="29"/>
      <c r="PZ48" s="29"/>
      <c r="QA48" s="29"/>
      <c r="QB48" s="29"/>
      <c r="QC48" s="29"/>
      <c r="QD48" s="29"/>
      <c r="QE48" s="29"/>
      <c r="QF48" s="29"/>
      <c r="QG48" s="29"/>
      <c r="QH48" s="29"/>
      <c r="QI48" s="29"/>
      <c r="QJ48" s="29"/>
      <c r="QK48" s="29"/>
      <c r="QL48" s="29"/>
      <c r="QM48" s="29"/>
      <c r="QN48" s="29"/>
      <c r="QO48" s="29"/>
      <c r="QP48" s="29"/>
      <c r="QQ48" s="29"/>
      <c r="QR48" s="29"/>
      <c r="QS48" s="29"/>
      <c r="QT48" s="29"/>
      <c r="QU48" s="29"/>
      <c r="QV48" s="29"/>
      <c r="QW48" s="29"/>
      <c r="QX48" s="29"/>
      <c r="QY48" s="29"/>
      <c r="QZ48" s="29"/>
      <c r="RA48" s="29"/>
      <c r="RB48" s="29"/>
      <c r="RC48" s="29"/>
      <c r="RD48" s="29"/>
      <c r="RE48" s="29"/>
      <c r="RF48" s="29"/>
      <c r="RG48" s="29"/>
      <c r="RH48" s="29"/>
      <c r="RI48" s="29"/>
      <c r="RJ48" s="29"/>
      <c r="RK48" s="29"/>
      <c r="RL48" s="29"/>
      <c r="RM48" s="29"/>
      <c r="RN48" s="29"/>
      <c r="RO48" s="29"/>
      <c r="RP48" s="29"/>
      <c r="RQ48" s="29"/>
      <c r="RR48" s="29"/>
      <c r="RS48" s="29"/>
      <c r="RT48" s="29"/>
      <c r="RU48" s="29"/>
      <c r="RV48" s="29"/>
      <c r="RW48" s="29"/>
      <c r="RX48" s="29"/>
      <c r="RY48" s="29"/>
      <c r="RZ48" s="29"/>
      <c r="SA48" s="29"/>
      <c r="SB48" s="29"/>
      <c r="SC48" s="29"/>
      <c r="SD48" s="29"/>
      <c r="SE48" s="29"/>
      <c r="SF48" s="29"/>
      <c r="SG48" s="29"/>
      <c r="SH48" s="29"/>
      <c r="SI48" s="29"/>
      <c r="SJ48" s="29"/>
      <c r="SK48" s="29"/>
      <c r="SL48" s="29"/>
      <c r="SM48" s="29"/>
      <c r="SN48" s="29"/>
      <c r="SO48" s="29"/>
      <c r="SP48" s="29"/>
      <c r="SQ48" s="29"/>
      <c r="SR48" s="29"/>
      <c r="SS48" s="29"/>
      <c r="ST48" s="29"/>
      <c r="SU48" s="29"/>
      <c r="SV48" s="29"/>
      <c r="SW48" s="29"/>
      <c r="SX48" s="29"/>
      <c r="SY48" s="29"/>
      <c r="SZ48" s="29"/>
      <c r="TA48" s="29"/>
      <c r="TB48" s="29"/>
      <c r="TC48" s="29"/>
      <c r="TD48" s="29"/>
      <c r="TE48" s="29"/>
      <c r="TF48" s="29"/>
      <c r="TG48" s="29"/>
      <c r="TH48" s="29"/>
      <c r="TI48" s="29"/>
      <c r="TJ48" s="29"/>
      <c r="TK48" s="29"/>
      <c r="TL48" s="29"/>
      <c r="TM48" s="29"/>
      <c r="TN48" s="29"/>
      <c r="TO48" s="29"/>
      <c r="TP48" s="29"/>
      <c r="TQ48" s="29"/>
      <c r="TR48" s="29"/>
      <c r="TS48" s="29"/>
      <c r="TT48" s="29"/>
      <c r="TU48" s="29"/>
      <c r="TV48" s="29"/>
      <c r="TW48" s="29"/>
      <c r="TX48" s="29"/>
      <c r="TY48" s="29"/>
      <c r="TZ48" s="29"/>
      <c r="UA48" s="29"/>
      <c r="UB48" s="29"/>
      <c r="UC48" s="29"/>
      <c r="UD48" s="29"/>
      <c r="UE48" s="29"/>
      <c r="UF48" s="29"/>
      <c r="UG48" s="29"/>
      <c r="UH48" s="29"/>
      <c r="UI48" s="29"/>
      <c r="UJ48" s="29"/>
      <c r="UK48" s="29"/>
      <c r="UL48" s="29"/>
      <c r="UM48" s="29"/>
      <c r="UN48" s="29"/>
      <c r="UO48" s="29"/>
      <c r="UP48" s="29"/>
      <c r="UQ48" s="29"/>
      <c r="UR48" s="29"/>
      <c r="US48" s="29"/>
      <c r="UT48" s="29"/>
      <c r="UU48" s="29"/>
      <c r="UV48" s="29"/>
      <c r="UW48" s="29"/>
      <c r="UX48" s="29"/>
      <c r="UY48" s="29"/>
      <c r="UZ48" s="29"/>
      <c r="VA48" s="29"/>
      <c r="VB48" s="29"/>
      <c r="VC48" s="29"/>
      <c r="VD48" s="29"/>
      <c r="VE48" s="29"/>
      <c r="VF48" s="29"/>
      <c r="VG48" s="29"/>
      <c r="VH48" s="29"/>
      <c r="VI48" s="29"/>
      <c r="VJ48" s="29"/>
      <c r="VK48" s="29"/>
      <c r="VL48" s="29"/>
      <c r="VM48" s="29"/>
      <c r="VN48" s="29"/>
      <c r="VO48" s="29"/>
      <c r="VP48" s="29"/>
      <c r="VQ48" s="29"/>
      <c r="VR48" s="29"/>
      <c r="VS48" s="29"/>
      <c r="VT48" s="29"/>
      <c r="VU48" s="29"/>
      <c r="VV48" s="29"/>
      <c r="VW48" s="29"/>
      <c r="VX48" s="29"/>
      <c r="VY48" s="29"/>
      <c r="VZ48" s="29"/>
      <c r="WA48" s="29"/>
      <c r="WB48" s="29"/>
      <c r="WC48" s="29"/>
      <c r="WD48" s="29"/>
      <c r="WE48" s="29"/>
      <c r="WF48" s="29"/>
      <c r="WG48" s="29"/>
      <c r="WH48" s="29"/>
      <c r="WI48" s="29"/>
      <c r="WJ48" s="29"/>
      <c r="WK48" s="29"/>
      <c r="WL48" s="29"/>
      <c r="WM48" s="29"/>
      <c r="WN48" s="29"/>
      <c r="WO48" s="29"/>
      <c r="WP48" s="29"/>
      <c r="WQ48" s="29"/>
      <c r="WR48" s="29"/>
      <c r="WS48" s="29"/>
    </row>
    <row r="49" spans="1:617" s="3" customFormat="1" ht="15" outlineLevel="1" thickBot="1">
      <c r="A49" s="33"/>
      <c r="B49" s="178"/>
      <c r="C49" s="178" t="s">
        <v>83</v>
      </c>
      <c r="D49" s="179">
        <v>45971</v>
      </c>
      <c r="E49" s="179">
        <f t="shared" si="589"/>
        <v>45982</v>
      </c>
      <c r="F49" s="14"/>
      <c r="G49" s="14">
        <v>12</v>
      </c>
      <c r="H49" s="29"/>
      <c r="I49" s="29"/>
      <c r="J49" s="29"/>
      <c r="K49" s="29"/>
      <c r="L49" s="29"/>
      <c r="M49" s="29"/>
      <c r="N49" s="29"/>
      <c r="O49" s="29"/>
      <c r="P49" s="29"/>
      <c r="Q49" s="29"/>
      <c r="R49" s="29"/>
      <c r="S49" s="29"/>
      <c r="T49" s="29"/>
      <c r="U49" s="29"/>
      <c r="V49" s="29"/>
      <c r="W49" s="29"/>
      <c r="X49" s="29"/>
      <c r="Y49" s="30"/>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c r="MM49" s="29"/>
      <c r="MN49" s="29"/>
      <c r="MO49" s="29"/>
      <c r="MP49" s="29"/>
      <c r="MQ49" s="29"/>
      <c r="MR49" s="29"/>
      <c r="MS49" s="29"/>
      <c r="MT49" s="29"/>
      <c r="MU49" s="29"/>
      <c r="MV49" s="29"/>
      <c r="MW49" s="29"/>
      <c r="MX49" s="29"/>
      <c r="MY49" s="29"/>
      <c r="MZ49" s="29"/>
      <c r="NA49" s="29"/>
      <c r="NB49" s="29"/>
      <c r="NC49" s="29"/>
      <c r="ND49" s="29"/>
      <c r="NE49" s="29"/>
      <c r="NF49" s="29"/>
      <c r="NG49" s="29"/>
      <c r="NH49" s="29"/>
      <c r="NI49" s="29"/>
      <c r="NJ49" s="29"/>
      <c r="NK49" s="29"/>
      <c r="NL49" s="29"/>
      <c r="NM49" s="29"/>
      <c r="NN49" s="29"/>
      <c r="NO49" s="29"/>
      <c r="NP49" s="29"/>
      <c r="NQ49" s="29"/>
      <c r="NR49" s="29"/>
      <c r="NS49" s="29"/>
      <c r="NT49" s="29"/>
      <c r="NU49" s="29"/>
      <c r="NV49" s="29"/>
      <c r="NW49" s="29"/>
      <c r="NX49" s="29"/>
      <c r="NY49" s="29"/>
      <c r="NZ49" s="29"/>
      <c r="OA49" s="29"/>
      <c r="OB49" s="29"/>
      <c r="OC49" s="29"/>
      <c r="OD49" s="29"/>
      <c r="OE49" s="29"/>
      <c r="OF49" s="29"/>
      <c r="OG49" s="29"/>
      <c r="OH49" s="29"/>
      <c r="OI49" s="29"/>
      <c r="OJ49" s="29"/>
      <c r="OK49" s="29"/>
      <c r="OL49" s="29"/>
      <c r="OM49" s="29"/>
      <c r="ON49" s="29"/>
      <c r="OO49" s="29"/>
      <c r="OP49" s="29"/>
      <c r="OQ49" s="29"/>
      <c r="OR49" s="29"/>
      <c r="OS49" s="29"/>
      <c r="OT49" s="29"/>
      <c r="OU49" s="29"/>
      <c r="OV49" s="29"/>
      <c r="OW49" s="29"/>
      <c r="OX49" s="29"/>
      <c r="OY49" s="29"/>
      <c r="OZ49" s="29"/>
      <c r="PA49" s="29"/>
      <c r="PB49" s="29"/>
      <c r="PC49" s="29"/>
      <c r="PD49" s="29"/>
      <c r="PE49" s="29"/>
      <c r="PF49" s="29"/>
      <c r="PG49" s="29"/>
      <c r="PH49" s="29"/>
      <c r="PI49" s="29"/>
      <c r="PJ49" s="29"/>
      <c r="PK49" s="29"/>
      <c r="PL49" s="29"/>
      <c r="PM49" s="29"/>
      <c r="PN49" s="29"/>
      <c r="PO49" s="29"/>
      <c r="PP49" s="29"/>
      <c r="PQ49" s="29"/>
      <c r="PR49" s="29"/>
      <c r="PS49" s="29"/>
      <c r="PT49" s="29"/>
      <c r="PU49" s="29"/>
      <c r="PV49" s="29"/>
      <c r="PW49" s="29"/>
      <c r="PX49" s="29"/>
      <c r="PY49" s="29"/>
      <c r="PZ49" s="29"/>
      <c r="QA49" s="29"/>
      <c r="QB49" s="29"/>
      <c r="QC49" s="29"/>
      <c r="QD49" s="29"/>
      <c r="QE49" s="29"/>
      <c r="QF49" s="29"/>
      <c r="QG49" s="29"/>
      <c r="QH49" s="29"/>
      <c r="QI49" s="29"/>
      <c r="QJ49" s="29"/>
      <c r="QK49" s="29"/>
      <c r="QL49" s="29"/>
      <c r="QM49" s="29"/>
      <c r="QN49" s="29"/>
      <c r="QO49" s="29"/>
      <c r="QP49" s="29"/>
      <c r="QQ49" s="29"/>
      <c r="QR49" s="29"/>
      <c r="QS49" s="29"/>
      <c r="QT49" s="29"/>
      <c r="QU49" s="29"/>
      <c r="QV49" s="29"/>
      <c r="QW49" s="29"/>
      <c r="QX49" s="29"/>
      <c r="QY49" s="29"/>
      <c r="QZ49" s="29"/>
      <c r="RA49" s="29"/>
      <c r="RB49" s="29"/>
      <c r="RC49" s="29"/>
      <c r="RD49" s="29"/>
      <c r="RE49" s="29"/>
      <c r="RF49" s="29"/>
      <c r="RG49" s="29"/>
      <c r="RH49" s="29"/>
      <c r="RI49" s="29"/>
      <c r="RJ49" s="29"/>
      <c r="RK49" s="29"/>
      <c r="RL49" s="29"/>
      <c r="RM49" s="29"/>
      <c r="RN49" s="29"/>
      <c r="RO49" s="29"/>
      <c r="RP49" s="29"/>
      <c r="RQ49" s="29"/>
      <c r="RR49" s="29"/>
      <c r="RS49" s="29"/>
      <c r="RT49" s="29"/>
      <c r="RU49" s="29"/>
      <c r="RV49" s="29"/>
      <c r="RW49" s="29"/>
      <c r="RX49" s="29"/>
      <c r="RY49" s="29"/>
      <c r="RZ49" s="29"/>
      <c r="SA49" s="29"/>
      <c r="SB49" s="29"/>
      <c r="SC49" s="29"/>
      <c r="SD49" s="29"/>
      <c r="SE49" s="29"/>
      <c r="SF49" s="29"/>
      <c r="SG49" s="29"/>
      <c r="SH49" s="29"/>
      <c r="SI49" s="29"/>
      <c r="SJ49" s="29"/>
      <c r="SK49" s="29"/>
      <c r="SL49" s="29"/>
      <c r="SM49" s="29"/>
      <c r="SN49" s="29"/>
      <c r="SO49" s="29"/>
      <c r="SP49" s="29"/>
      <c r="SQ49" s="29"/>
      <c r="SR49" s="29"/>
      <c r="SS49" s="29"/>
      <c r="ST49" s="29"/>
      <c r="SU49" s="29"/>
      <c r="SV49" s="29"/>
      <c r="SW49" s="29"/>
      <c r="SX49" s="29"/>
      <c r="SY49" s="29"/>
      <c r="SZ49" s="29"/>
      <c r="TA49" s="29"/>
      <c r="TB49" s="29"/>
      <c r="TC49" s="29"/>
      <c r="TD49" s="29"/>
      <c r="TE49" s="29"/>
      <c r="TF49" s="29"/>
      <c r="TG49" s="29"/>
      <c r="TH49" s="29"/>
      <c r="TI49" s="29"/>
      <c r="TJ49" s="29"/>
      <c r="TK49" s="29"/>
      <c r="TL49" s="29"/>
      <c r="TM49" s="29"/>
      <c r="TN49" s="29"/>
      <c r="TO49" s="29"/>
      <c r="TP49" s="29"/>
      <c r="TQ49" s="29"/>
      <c r="TR49" s="29"/>
      <c r="TS49" s="29"/>
      <c r="TT49" s="29"/>
      <c r="TU49" s="29"/>
      <c r="TV49" s="29"/>
      <c r="TW49" s="29"/>
      <c r="TX49" s="29"/>
      <c r="TY49" s="29"/>
      <c r="TZ49" s="29"/>
      <c r="UA49" s="29"/>
      <c r="UB49" s="29"/>
      <c r="UC49" s="29"/>
      <c r="UD49" s="29"/>
      <c r="UE49" s="29"/>
      <c r="UF49" s="29"/>
      <c r="UG49" s="29"/>
      <c r="UH49" s="29"/>
      <c r="UI49" s="29"/>
      <c r="UJ49" s="29"/>
      <c r="UK49" s="29"/>
      <c r="UL49" s="29"/>
      <c r="UM49" s="29"/>
      <c r="UN49" s="29"/>
      <c r="UO49" s="29"/>
      <c r="UP49" s="29"/>
      <c r="UQ49" s="29"/>
      <c r="UR49" s="29"/>
      <c r="US49" s="29"/>
      <c r="UT49" s="29"/>
      <c r="UU49" s="29"/>
      <c r="UV49" s="29"/>
      <c r="UW49" s="29"/>
      <c r="UX49" s="29"/>
      <c r="UY49" s="29"/>
      <c r="UZ49" s="29"/>
      <c r="VA49" s="29"/>
      <c r="VB49" s="29"/>
      <c r="VC49" s="29"/>
      <c r="VD49" s="29"/>
      <c r="VE49" s="29"/>
      <c r="VF49" s="29"/>
      <c r="VG49" s="29"/>
      <c r="VH49" s="29"/>
      <c r="VI49" s="29"/>
      <c r="VJ49" s="29"/>
      <c r="VK49" s="29"/>
      <c r="VL49" s="29"/>
      <c r="VM49" s="29"/>
      <c r="VN49" s="29"/>
      <c r="VO49" s="29"/>
      <c r="VP49" s="29"/>
      <c r="VQ49" s="29"/>
      <c r="VR49" s="29"/>
      <c r="VS49" s="29"/>
      <c r="VT49" s="29"/>
      <c r="VU49" s="29"/>
      <c r="VV49" s="29"/>
      <c r="VW49" s="29"/>
      <c r="VX49" s="29"/>
      <c r="VY49" s="29"/>
      <c r="VZ49" s="29"/>
      <c r="WA49" s="29"/>
      <c r="WB49" s="29"/>
      <c r="WC49" s="29"/>
      <c r="WD49" s="29"/>
      <c r="WE49" s="29"/>
      <c r="WF49" s="29"/>
      <c r="WG49" s="29"/>
      <c r="WH49" s="29"/>
      <c r="WI49" s="29"/>
      <c r="WJ49" s="29"/>
      <c r="WK49" s="29"/>
      <c r="WL49" s="29"/>
      <c r="WM49" s="29"/>
      <c r="WN49" s="29"/>
      <c r="WO49" s="29"/>
      <c r="WP49" s="29"/>
      <c r="WQ49" s="29"/>
      <c r="WR49" s="29"/>
      <c r="WS49" s="29"/>
    </row>
    <row r="50" spans="1:617" s="3" customFormat="1" ht="15" outlineLevel="1" thickBot="1">
      <c r="A50" s="33"/>
      <c r="B50" s="178"/>
      <c r="C50" s="178" t="s">
        <v>162</v>
      </c>
      <c r="D50" s="179">
        <v>45978</v>
      </c>
      <c r="E50" s="179">
        <f t="shared" si="589"/>
        <v>45989</v>
      </c>
      <c r="F50" s="14"/>
      <c r="G50" s="14">
        <v>12</v>
      </c>
      <c r="H50" s="29"/>
      <c r="I50" s="29"/>
      <c r="J50" s="29"/>
      <c r="K50" s="29"/>
      <c r="L50" s="29"/>
      <c r="M50" s="29"/>
      <c r="N50" s="29"/>
      <c r="O50" s="29"/>
      <c r="P50" s="29"/>
      <c r="Q50" s="29"/>
      <c r="R50" s="29"/>
      <c r="S50" s="29"/>
      <c r="T50" s="29"/>
      <c r="U50" s="29"/>
      <c r="V50" s="29"/>
      <c r="W50" s="29"/>
      <c r="X50" s="29"/>
      <c r="Y50" s="30"/>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c r="MM50" s="29"/>
      <c r="MN50" s="29"/>
      <c r="MO50" s="29"/>
      <c r="MP50" s="29"/>
      <c r="MQ50" s="29"/>
      <c r="MR50" s="29"/>
      <c r="MS50" s="29"/>
      <c r="MT50" s="29"/>
      <c r="MU50" s="29"/>
      <c r="MV50" s="29"/>
      <c r="MW50" s="29"/>
      <c r="MX50" s="29"/>
      <c r="MY50" s="29"/>
      <c r="MZ50" s="29"/>
      <c r="NA50" s="29"/>
      <c r="NB50" s="29"/>
      <c r="NC50" s="29"/>
      <c r="ND50" s="29"/>
      <c r="NE50" s="29"/>
      <c r="NF50" s="29"/>
      <c r="NG50" s="29"/>
      <c r="NH50" s="29"/>
      <c r="NI50" s="29"/>
      <c r="NJ50" s="29"/>
      <c r="NK50" s="29"/>
      <c r="NL50" s="29"/>
      <c r="NM50" s="29"/>
      <c r="NN50" s="29"/>
      <c r="NO50" s="29"/>
      <c r="NP50" s="29"/>
      <c r="NQ50" s="29"/>
      <c r="NR50" s="29"/>
      <c r="NS50" s="29"/>
      <c r="NT50" s="29"/>
      <c r="NU50" s="29"/>
      <c r="NV50" s="29"/>
      <c r="NW50" s="29"/>
      <c r="NX50" s="29"/>
      <c r="NY50" s="29"/>
      <c r="NZ50" s="29"/>
      <c r="OA50" s="29"/>
      <c r="OB50" s="29"/>
      <c r="OC50" s="29"/>
      <c r="OD50" s="29"/>
      <c r="OE50" s="29"/>
      <c r="OF50" s="29"/>
      <c r="OG50" s="29"/>
      <c r="OH50" s="29"/>
      <c r="OI50" s="29"/>
      <c r="OJ50" s="29"/>
      <c r="OK50" s="29"/>
      <c r="OL50" s="29"/>
      <c r="OM50" s="29"/>
      <c r="ON50" s="29"/>
      <c r="OO50" s="29"/>
      <c r="OP50" s="29"/>
      <c r="OQ50" s="29"/>
      <c r="OR50" s="29"/>
      <c r="OS50" s="29"/>
      <c r="OT50" s="29"/>
      <c r="OU50" s="29"/>
      <c r="OV50" s="29"/>
      <c r="OW50" s="29"/>
      <c r="OX50" s="29"/>
      <c r="OY50" s="29"/>
      <c r="OZ50" s="29"/>
      <c r="PA50" s="29"/>
      <c r="PB50" s="29"/>
      <c r="PC50" s="29"/>
      <c r="PD50" s="29"/>
      <c r="PE50" s="29"/>
      <c r="PF50" s="29"/>
      <c r="PG50" s="29"/>
      <c r="PH50" s="29"/>
      <c r="PI50" s="29"/>
      <c r="PJ50" s="29"/>
      <c r="PK50" s="29"/>
      <c r="PL50" s="29"/>
      <c r="PM50" s="29"/>
      <c r="PN50" s="29"/>
      <c r="PO50" s="29"/>
      <c r="PP50" s="29"/>
      <c r="PQ50" s="29"/>
      <c r="PR50" s="29"/>
      <c r="PS50" s="29"/>
      <c r="PT50" s="29"/>
      <c r="PU50" s="29"/>
      <c r="PV50" s="29"/>
      <c r="PW50" s="29"/>
      <c r="PX50" s="29"/>
      <c r="PY50" s="29"/>
      <c r="PZ50" s="29"/>
      <c r="QA50" s="29"/>
      <c r="QB50" s="29"/>
      <c r="QC50" s="29"/>
      <c r="QD50" s="29"/>
      <c r="QE50" s="29"/>
      <c r="QF50" s="29"/>
      <c r="QG50" s="29"/>
      <c r="QH50" s="29"/>
      <c r="QI50" s="29"/>
      <c r="QJ50" s="29"/>
      <c r="QK50" s="29"/>
      <c r="QL50" s="29"/>
      <c r="QM50" s="29"/>
      <c r="QN50" s="29"/>
      <c r="QO50" s="29"/>
      <c r="QP50" s="29"/>
      <c r="QQ50" s="29"/>
      <c r="QR50" s="29"/>
      <c r="QS50" s="29"/>
      <c r="QT50" s="29"/>
      <c r="QU50" s="29"/>
      <c r="QV50" s="29"/>
      <c r="QW50" s="29"/>
      <c r="QX50" s="29"/>
      <c r="QY50" s="29"/>
      <c r="QZ50" s="29"/>
      <c r="RA50" s="29"/>
      <c r="RB50" s="29"/>
      <c r="RC50" s="29"/>
      <c r="RD50" s="29"/>
      <c r="RE50" s="29"/>
      <c r="RF50" s="29"/>
      <c r="RG50" s="29"/>
      <c r="RH50" s="29"/>
      <c r="RI50" s="29"/>
      <c r="RJ50" s="29"/>
      <c r="RK50" s="29"/>
      <c r="RL50" s="29"/>
      <c r="RM50" s="29"/>
      <c r="RN50" s="29"/>
      <c r="RO50" s="29"/>
      <c r="RP50" s="29"/>
      <c r="RQ50" s="29"/>
      <c r="RR50" s="29"/>
      <c r="RS50" s="29"/>
      <c r="RT50" s="29"/>
      <c r="RU50" s="29"/>
      <c r="RV50" s="29"/>
      <c r="RW50" s="29"/>
      <c r="RX50" s="29"/>
      <c r="RY50" s="29"/>
      <c r="RZ50" s="29"/>
      <c r="SA50" s="29"/>
      <c r="SB50" s="29"/>
      <c r="SC50" s="29"/>
      <c r="SD50" s="29"/>
      <c r="SE50" s="29"/>
      <c r="SF50" s="29"/>
      <c r="SG50" s="29"/>
      <c r="SH50" s="29"/>
      <c r="SI50" s="29"/>
      <c r="SJ50" s="29"/>
      <c r="SK50" s="29"/>
      <c r="SL50" s="29"/>
      <c r="SM50" s="29"/>
      <c r="SN50" s="29"/>
      <c r="SO50" s="29"/>
      <c r="SP50" s="29"/>
      <c r="SQ50" s="29"/>
      <c r="SR50" s="29"/>
      <c r="SS50" s="29"/>
      <c r="ST50" s="29"/>
      <c r="SU50" s="29"/>
      <c r="SV50" s="29"/>
      <c r="SW50" s="29"/>
      <c r="SX50" s="29"/>
      <c r="SY50" s="29"/>
      <c r="SZ50" s="29"/>
      <c r="TA50" s="29"/>
      <c r="TB50" s="29"/>
      <c r="TC50" s="29"/>
      <c r="TD50" s="29"/>
      <c r="TE50" s="29"/>
      <c r="TF50" s="29"/>
      <c r="TG50" s="29"/>
      <c r="TH50" s="29"/>
      <c r="TI50" s="29"/>
      <c r="TJ50" s="29"/>
      <c r="TK50" s="29"/>
      <c r="TL50" s="29"/>
      <c r="TM50" s="29"/>
      <c r="TN50" s="29"/>
      <c r="TO50" s="29"/>
      <c r="TP50" s="29"/>
      <c r="TQ50" s="29"/>
      <c r="TR50" s="29"/>
      <c r="TS50" s="29"/>
      <c r="TT50" s="29"/>
      <c r="TU50" s="29"/>
      <c r="TV50" s="29"/>
      <c r="TW50" s="29"/>
      <c r="TX50" s="29"/>
      <c r="TY50" s="29"/>
      <c r="TZ50" s="29"/>
      <c r="UA50" s="29"/>
      <c r="UB50" s="29"/>
      <c r="UC50" s="29"/>
      <c r="UD50" s="29"/>
      <c r="UE50" s="29"/>
      <c r="UF50" s="29"/>
      <c r="UG50" s="29"/>
      <c r="UH50" s="29"/>
      <c r="UI50" s="29"/>
      <c r="UJ50" s="29"/>
      <c r="UK50" s="29"/>
      <c r="UL50" s="29"/>
      <c r="UM50" s="29"/>
      <c r="UN50" s="29"/>
      <c r="UO50" s="29"/>
      <c r="UP50" s="29"/>
      <c r="UQ50" s="29"/>
      <c r="UR50" s="29"/>
      <c r="US50" s="29"/>
      <c r="UT50" s="29"/>
      <c r="UU50" s="29"/>
      <c r="UV50" s="29"/>
      <c r="UW50" s="29"/>
      <c r="UX50" s="29"/>
      <c r="UY50" s="29"/>
      <c r="UZ50" s="29"/>
      <c r="VA50" s="29"/>
      <c r="VB50" s="29"/>
      <c r="VC50" s="29"/>
      <c r="VD50" s="29"/>
      <c r="VE50" s="29"/>
      <c r="VF50" s="29"/>
      <c r="VG50" s="29"/>
      <c r="VH50" s="29"/>
      <c r="VI50" s="29"/>
      <c r="VJ50" s="29"/>
      <c r="VK50" s="29"/>
      <c r="VL50" s="29"/>
      <c r="VM50" s="29"/>
      <c r="VN50" s="29"/>
      <c r="VO50" s="29"/>
      <c r="VP50" s="29"/>
      <c r="VQ50" s="29"/>
      <c r="VR50" s="29"/>
      <c r="VS50" s="29"/>
      <c r="VT50" s="29"/>
      <c r="VU50" s="29"/>
      <c r="VV50" s="29"/>
      <c r="VW50" s="29"/>
      <c r="VX50" s="29"/>
      <c r="VY50" s="29"/>
      <c r="VZ50" s="29"/>
      <c r="WA50" s="29"/>
      <c r="WB50" s="29"/>
      <c r="WC50" s="29"/>
      <c r="WD50" s="29"/>
      <c r="WE50" s="29"/>
      <c r="WF50" s="29"/>
      <c r="WG50" s="29"/>
      <c r="WH50" s="29"/>
      <c r="WI50" s="29"/>
      <c r="WJ50" s="29"/>
      <c r="WK50" s="29"/>
      <c r="WL50" s="29"/>
      <c r="WM50" s="29"/>
      <c r="WN50" s="29"/>
      <c r="WO50" s="29"/>
      <c r="WP50" s="29"/>
      <c r="WQ50" s="29"/>
      <c r="WR50" s="29"/>
      <c r="WS50" s="29"/>
    </row>
    <row r="51" spans="1:617" s="3" customFormat="1" ht="15" outlineLevel="1" thickBot="1">
      <c r="A51" s="33"/>
      <c r="B51" s="178"/>
      <c r="C51" s="178" t="s">
        <v>165</v>
      </c>
      <c r="D51" s="179">
        <v>45985</v>
      </c>
      <c r="E51" s="179">
        <f t="shared" ref="E51:E58" si="592">D51+G51-1</f>
        <v>45996</v>
      </c>
      <c r="F51" s="14"/>
      <c r="G51" s="14">
        <v>12</v>
      </c>
      <c r="H51" s="29"/>
      <c r="I51" s="29"/>
      <c r="J51" s="29"/>
      <c r="K51" s="29"/>
      <c r="L51" s="29"/>
      <c r="M51" s="29"/>
      <c r="N51" s="29"/>
      <c r="O51" s="29"/>
      <c r="P51" s="29"/>
      <c r="Q51" s="29"/>
      <c r="R51" s="29"/>
      <c r="S51" s="29"/>
      <c r="T51" s="29"/>
      <c r="U51" s="29"/>
      <c r="V51" s="29"/>
      <c r="W51" s="29"/>
      <c r="X51" s="29"/>
      <c r="Y51" s="30"/>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c r="MM51" s="29"/>
      <c r="MN51" s="29"/>
      <c r="MO51" s="29"/>
      <c r="MP51" s="29"/>
      <c r="MQ51" s="29"/>
      <c r="MR51" s="29"/>
      <c r="MS51" s="29"/>
      <c r="MT51" s="29"/>
      <c r="MU51" s="29"/>
      <c r="MV51" s="29"/>
      <c r="MW51" s="29"/>
      <c r="MX51" s="29"/>
      <c r="MY51" s="29"/>
      <c r="MZ51" s="29"/>
      <c r="NA51" s="29"/>
      <c r="NB51" s="29"/>
      <c r="NC51" s="29"/>
      <c r="ND51" s="29"/>
      <c r="NE51" s="29"/>
      <c r="NF51" s="29"/>
      <c r="NG51" s="29"/>
      <c r="NH51" s="29"/>
      <c r="NI51" s="29"/>
      <c r="NJ51" s="29"/>
      <c r="NK51" s="29"/>
      <c r="NL51" s="29"/>
      <c r="NM51" s="29"/>
      <c r="NN51" s="29"/>
      <c r="NO51" s="29"/>
      <c r="NP51" s="29"/>
      <c r="NQ51" s="29"/>
      <c r="NR51" s="29"/>
      <c r="NS51" s="29"/>
      <c r="NT51" s="29"/>
      <c r="NU51" s="29"/>
      <c r="NV51" s="29"/>
      <c r="NW51" s="29"/>
      <c r="NX51" s="29"/>
      <c r="NY51" s="29"/>
      <c r="NZ51" s="29"/>
      <c r="OA51" s="29"/>
      <c r="OB51" s="29"/>
      <c r="OC51" s="29"/>
      <c r="OD51" s="29"/>
      <c r="OE51" s="29"/>
      <c r="OF51" s="29"/>
      <c r="OG51" s="29"/>
      <c r="OH51" s="29"/>
      <c r="OI51" s="29"/>
      <c r="OJ51" s="29"/>
      <c r="OK51" s="29"/>
      <c r="OL51" s="29"/>
      <c r="OM51" s="29"/>
      <c r="ON51" s="29"/>
      <c r="OO51" s="29"/>
      <c r="OP51" s="29"/>
      <c r="OQ51" s="29"/>
      <c r="OR51" s="29"/>
      <c r="OS51" s="29"/>
      <c r="OT51" s="29"/>
      <c r="OU51" s="29"/>
      <c r="OV51" s="29"/>
      <c r="OW51" s="29"/>
      <c r="OX51" s="29"/>
      <c r="OY51" s="29"/>
      <c r="OZ51" s="29"/>
      <c r="PA51" s="29"/>
      <c r="PB51" s="29"/>
      <c r="PC51" s="29"/>
      <c r="PD51" s="29"/>
      <c r="PE51" s="29"/>
      <c r="PF51" s="29"/>
      <c r="PG51" s="29"/>
      <c r="PH51" s="29"/>
      <c r="PI51" s="29"/>
      <c r="PJ51" s="29"/>
      <c r="PK51" s="29"/>
      <c r="PL51" s="29"/>
      <c r="PM51" s="29"/>
      <c r="PN51" s="29"/>
      <c r="PO51" s="29"/>
      <c r="PP51" s="29"/>
      <c r="PQ51" s="29"/>
      <c r="PR51" s="29"/>
      <c r="PS51" s="29"/>
      <c r="PT51" s="29"/>
      <c r="PU51" s="29"/>
      <c r="PV51" s="29"/>
      <c r="PW51" s="29"/>
      <c r="PX51" s="29"/>
      <c r="PY51" s="29"/>
      <c r="PZ51" s="29"/>
      <c r="QA51" s="29"/>
      <c r="QB51" s="29"/>
      <c r="QC51" s="29"/>
      <c r="QD51" s="29"/>
      <c r="QE51" s="29"/>
      <c r="QF51" s="29"/>
      <c r="QG51" s="29"/>
      <c r="QH51" s="29"/>
      <c r="QI51" s="29"/>
      <c r="QJ51" s="29"/>
      <c r="QK51" s="29"/>
      <c r="QL51" s="29"/>
      <c r="QM51" s="29"/>
      <c r="QN51" s="29"/>
      <c r="QO51" s="29"/>
      <c r="QP51" s="29"/>
      <c r="QQ51" s="29"/>
      <c r="QR51" s="29"/>
      <c r="QS51" s="29"/>
      <c r="QT51" s="29"/>
      <c r="QU51" s="29"/>
      <c r="QV51" s="29"/>
      <c r="QW51" s="29"/>
      <c r="QX51" s="29"/>
      <c r="QY51" s="29"/>
      <c r="QZ51" s="29"/>
      <c r="RA51" s="29"/>
      <c r="RB51" s="29"/>
      <c r="RC51" s="29"/>
      <c r="RD51" s="29"/>
      <c r="RE51" s="29"/>
      <c r="RF51" s="29"/>
      <c r="RG51" s="29"/>
      <c r="RH51" s="29"/>
      <c r="RI51" s="29"/>
      <c r="RJ51" s="29"/>
      <c r="RK51" s="29"/>
      <c r="RL51" s="29"/>
      <c r="RM51" s="29"/>
      <c r="RN51" s="29"/>
      <c r="RO51" s="29"/>
      <c r="RP51" s="29"/>
      <c r="RQ51" s="29"/>
      <c r="RR51" s="29"/>
      <c r="RS51" s="29"/>
      <c r="RT51" s="29"/>
      <c r="RU51" s="29"/>
      <c r="RV51" s="29"/>
      <c r="RW51" s="29"/>
      <c r="RX51" s="29"/>
      <c r="RY51" s="29"/>
      <c r="RZ51" s="29"/>
      <c r="SA51" s="29"/>
      <c r="SB51" s="29"/>
      <c r="SC51" s="29"/>
      <c r="SD51" s="29"/>
      <c r="SE51" s="29"/>
      <c r="SF51" s="29"/>
      <c r="SG51" s="29"/>
      <c r="SH51" s="29"/>
      <c r="SI51" s="29"/>
      <c r="SJ51" s="29"/>
      <c r="SK51" s="29"/>
      <c r="SL51" s="29"/>
      <c r="SM51" s="29"/>
      <c r="SN51" s="29"/>
      <c r="SO51" s="29"/>
      <c r="SP51" s="29"/>
      <c r="SQ51" s="29"/>
      <c r="SR51" s="29"/>
      <c r="SS51" s="29"/>
      <c r="ST51" s="29"/>
      <c r="SU51" s="29"/>
      <c r="SV51" s="29"/>
      <c r="SW51" s="29"/>
      <c r="SX51" s="29"/>
      <c r="SY51" s="29"/>
      <c r="SZ51" s="29"/>
      <c r="TA51" s="29"/>
      <c r="TB51" s="29"/>
      <c r="TC51" s="29"/>
      <c r="TD51" s="29"/>
      <c r="TE51" s="29"/>
      <c r="TF51" s="29"/>
      <c r="TG51" s="29"/>
      <c r="TH51" s="29"/>
      <c r="TI51" s="29"/>
      <c r="TJ51" s="29"/>
      <c r="TK51" s="29"/>
      <c r="TL51" s="29"/>
      <c r="TM51" s="29"/>
      <c r="TN51" s="29"/>
      <c r="TO51" s="29"/>
      <c r="TP51" s="29"/>
      <c r="TQ51" s="29"/>
      <c r="TR51" s="29"/>
      <c r="TS51" s="29"/>
      <c r="TT51" s="29"/>
      <c r="TU51" s="29"/>
      <c r="TV51" s="29"/>
      <c r="TW51" s="29"/>
      <c r="TX51" s="29"/>
      <c r="TY51" s="29"/>
      <c r="TZ51" s="29"/>
      <c r="UA51" s="29"/>
      <c r="UB51" s="29"/>
      <c r="UC51" s="29"/>
      <c r="UD51" s="29"/>
      <c r="UE51" s="29"/>
      <c r="UF51" s="29"/>
      <c r="UG51" s="29"/>
      <c r="UH51" s="29"/>
      <c r="UI51" s="29"/>
      <c r="UJ51" s="29"/>
      <c r="UK51" s="29"/>
      <c r="UL51" s="29"/>
      <c r="UM51" s="29"/>
      <c r="UN51" s="29"/>
      <c r="UO51" s="29"/>
      <c r="UP51" s="29"/>
      <c r="UQ51" s="29"/>
      <c r="UR51" s="29"/>
      <c r="US51" s="29"/>
      <c r="UT51" s="29"/>
      <c r="UU51" s="29"/>
      <c r="UV51" s="29"/>
      <c r="UW51" s="29"/>
      <c r="UX51" s="29"/>
      <c r="UY51" s="29"/>
      <c r="UZ51" s="29"/>
      <c r="VA51" s="29"/>
      <c r="VB51" s="29"/>
      <c r="VC51" s="29"/>
      <c r="VD51" s="29"/>
      <c r="VE51" s="29"/>
      <c r="VF51" s="29"/>
      <c r="VG51" s="29"/>
      <c r="VH51" s="29"/>
      <c r="VI51" s="29"/>
      <c r="VJ51" s="29"/>
      <c r="VK51" s="29"/>
      <c r="VL51" s="29"/>
      <c r="VM51" s="29"/>
      <c r="VN51" s="29"/>
      <c r="VO51" s="29"/>
      <c r="VP51" s="29"/>
      <c r="VQ51" s="29"/>
      <c r="VR51" s="29"/>
      <c r="VS51" s="29"/>
      <c r="VT51" s="29"/>
      <c r="VU51" s="29"/>
      <c r="VV51" s="29"/>
      <c r="VW51" s="29"/>
      <c r="VX51" s="29"/>
      <c r="VY51" s="29"/>
      <c r="VZ51" s="29"/>
      <c r="WA51" s="29"/>
      <c r="WB51" s="29"/>
      <c r="WC51" s="29"/>
      <c r="WD51" s="29"/>
      <c r="WE51" s="29"/>
      <c r="WF51" s="29"/>
      <c r="WG51" s="29"/>
      <c r="WH51" s="29"/>
      <c r="WI51" s="29"/>
      <c r="WJ51" s="29"/>
      <c r="WK51" s="29"/>
      <c r="WL51" s="29"/>
      <c r="WM51" s="29"/>
      <c r="WN51" s="29"/>
      <c r="WO51" s="29"/>
      <c r="WP51" s="29"/>
      <c r="WQ51" s="29"/>
      <c r="WR51" s="29"/>
      <c r="WS51" s="29"/>
    </row>
    <row r="52" spans="1:617" s="3" customFormat="1" ht="15" outlineLevel="1" thickBot="1">
      <c r="A52" s="33"/>
      <c r="B52" s="178"/>
      <c r="C52" s="178" t="s">
        <v>108</v>
      </c>
      <c r="D52" s="179">
        <v>45985</v>
      </c>
      <c r="E52" s="179">
        <v>45996</v>
      </c>
      <c r="F52" s="14"/>
      <c r="G52" s="14"/>
      <c r="H52" s="29"/>
      <c r="I52" s="29"/>
      <c r="J52" s="29"/>
      <c r="K52" s="29"/>
      <c r="L52" s="29"/>
      <c r="M52" s="29"/>
      <c r="N52" s="29"/>
      <c r="O52" s="29"/>
      <c r="P52" s="29"/>
      <c r="Q52" s="29"/>
      <c r="R52" s="29"/>
      <c r="S52" s="29"/>
      <c r="T52" s="29"/>
      <c r="U52" s="29"/>
      <c r="V52" s="29"/>
      <c r="W52" s="29"/>
      <c r="X52" s="29"/>
      <c r="Y52" s="30"/>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c r="MM52" s="29"/>
      <c r="MN52" s="29"/>
      <c r="MO52" s="29"/>
      <c r="MP52" s="29"/>
      <c r="MQ52" s="29"/>
      <c r="MR52" s="29"/>
      <c r="MS52" s="29"/>
      <c r="MT52" s="29"/>
      <c r="MU52" s="29"/>
      <c r="MV52" s="29"/>
      <c r="MW52" s="29"/>
      <c r="MX52" s="29"/>
      <c r="MY52" s="29"/>
      <c r="MZ52" s="29"/>
      <c r="NA52" s="29"/>
      <c r="NB52" s="29"/>
      <c r="NC52" s="29"/>
      <c r="ND52" s="29"/>
      <c r="NE52" s="29"/>
      <c r="NF52" s="29"/>
      <c r="NG52" s="29"/>
      <c r="NH52" s="29"/>
      <c r="NI52" s="29"/>
      <c r="NJ52" s="29"/>
      <c r="NK52" s="29"/>
      <c r="NL52" s="29"/>
      <c r="NM52" s="29"/>
      <c r="NN52" s="29"/>
      <c r="NO52" s="29"/>
      <c r="NP52" s="29"/>
      <c r="NQ52" s="29"/>
      <c r="NR52" s="29"/>
      <c r="NS52" s="29"/>
      <c r="NT52" s="29"/>
      <c r="NU52" s="29"/>
      <c r="NV52" s="29"/>
      <c r="NW52" s="29"/>
      <c r="NX52" s="29"/>
      <c r="NY52" s="29"/>
      <c r="NZ52" s="29"/>
      <c r="OA52" s="29"/>
      <c r="OB52" s="29"/>
      <c r="OC52" s="29"/>
      <c r="OD52" s="29"/>
      <c r="OE52" s="29"/>
      <c r="OF52" s="29"/>
      <c r="OG52" s="29"/>
      <c r="OH52" s="29"/>
      <c r="OI52" s="29"/>
      <c r="OJ52" s="29"/>
      <c r="OK52" s="29"/>
      <c r="OL52" s="29"/>
      <c r="OM52" s="29"/>
      <c r="ON52" s="29"/>
      <c r="OO52" s="29"/>
      <c r="OP52" s="29"/>
      <c r="OQ52" s="29"/>
      <c r="OR52" s="29"/>
      <c r="OS52" s="29"/>
      <c r="OT52" s="29"/>
      <c r="OU52" s="29"/>
      <c r="OV52" s="29"/>
      <c r="OW52" s="29"/>
      <c r="OX52" s="29"/>
      <c r="OY52" s="29"/>
      <c r="OZ52" s="29"/>
      <c r="PA52" s="29"/>
      <c r="PB52" s="29"/>
      <c r="PC52" s="29"/>
      <c r="PD52" s="29"/>
      <c r="PE52" s="29"/>
      <c r="PF52" s="29"/>
      <c r="PG52" s="29"/>
      <c r="PH52" s="29"/>
      <c r="PI52" s="29"/>
      <c r="PJ52" s="29"/>
      <c r="PK52" s="29"/>
      <c r="PL52" s="29"/>
      <c r="PM52" s="29"/>
      <c r="PN52" s="29"/>
      <c r="PO52" s="29"/>
      <c r="PP52" s="29"/>
      <c r="PQ52" s="29"/>
      <c r="PR52" s="29"/>
      <c r="PS52" s="29"/>
      <c r="PT52" s="29"/>
      <c r="PU52" s="29"/>
      <c r="PV52" s="29"/>
      <c r="PW52" s="29"/>
      <c r="PX52" s="29"/>
      <c r="PY52" s="29"/>
      <c r="PZ52" s="29"/>
      <c r="QA52" s="29"/>
      <c r="QB52" s="29"/>
      <c r="QC52" s="29"/>
      <c r="QD52" s="29"/>
      <c r="QE52" s="29"/>
      <c r="QF52" s="29"/>
      <c r="QG52" s="29"/>
      <c r="QH52" s="29"/>
      <c r="QI52" s="29"/>
      <c r="QJ52" s="29"/>
      <c r="QK52" s="29"/>
      <c r="QL52" s="29"/>
      <c r="QM52" s="29"/>
      <c r="QN52" s="29"/>
      <c r="QO52" s="29"/>
      <c r="QP52" s="29"/>
      <c r="QQ52" s="29"/>
      <c r="QR52" s="29"/>
      <c r="QS52" s="29"/>
      <c r="QT52" s="29"/>
      <c r="QU52" s="29"/>
      <c r="QV52" s="29"/>
      <c r="QW52" s="29"/>
      <c r="QX52" s="29"/>
      <c r="QY52" s="29"/>
      <c r="QZ52" s="29"/>
      <c r="RA52" s="29"/>
      <c r="RB52" s="29"/>
      <c r="RC52" s="29"/>
      <c r="RD52" s="29"/>
      <c r="RE52" s="29"/>
      <c r="RF52" s="29"/>
      <c r="RG52" s="29"/>
      <c r="RH52" s="29"/>
      <c r="RI52" s="29"/>
      <c r="RJ52" s="29"/>
      <c r="RK52" s="29"/>
      <c r="RL52" s="29"/>
      <c r="RM52" s="29"/>
      <c r="RN52" s="29"/>
      <c r="RO52" s="29"/>
      <c r="RP52" s="29"/>
      <c r="RQ52" s="29"/>
      <c r="RR52" s="29"/>
      <c r="RS52" s="29"/>
      <c r="RT52" s="29"/>
      <c r="RU52" s="29"/>
      <c r="RV52" s="29"/>
      <c r="RW52" s="29"/>
      <c r="RX52" s="29"/>
      <c r="RY52" s="29"/>
      <c r="RZ52" s="29"/>
      <c r="SA52" s="29"/>
      <c r="SB52" s="29"/>
      <c r="SC52" s="29"/>
      <c r="SD52" s="29"/>
      <c r="SE52" s="29"/>
      <c r="SF52" s="29"/>
      <c r="SG52" s="29"/>
      <c r="SH52" s="29"/>
      <c r="SI52" s="29"/>
      <c r="SJ52" s="29"/>
      <c r="SK52" s="29"/>
      <c r="SL52" s="29"/>
      <c r="SM52" s="29"/>
      <c r="SN52" s="29"/>
      <c r="SO52" s="29"/>
      <c r="SP52" s="29"/>
      <c r="SQ52" s="29"/>
      <c r="SR52" s="29"/>
      <c r="SS52" s="29"/>
      <c r="ST52" s="29"/>
      <c r="SU52" s="29"/>
      <c r="SV52" s="29"/>
      <c r="SW52" s="29"/>
      <c r="SX52" s="29"/>
      <c r="SY52" s="29"/>
      <c r="SZ52" s="29"/>
      <c r="TA52" s="29"/>
      <c r="TB52" s="29"/>
      <c r="TC52" s="29"/>
      <c r="TD52" s="29"/>
      <c r="TE52" s="29"/>
      <c r="TF52" s="29"/>
      <c r="TG52" s="29"/>
      <c r="TH52" s="29"/>
      <c r="TI52" s="29"/>
      <c r="TJ52" s="29"/>
      <c r="TK52" s="29"/>
      <c r="TL52" s="29"/>
      <c r="TM52" s="29"/>
      <c r="TN52" s="29"/>
      <c r="TO52" s="29"/>
      <c r="TP52" s="29"/>
      <c r="TQ52" s="29"/>
      <c r="TR52" s="29"/>
      <c r="TS52" s="29"/>
      <c r="TT52" s="29"/>
      <c r="TU52" s="29"/>
      <c r="TV52" s="29"/>
      <c r="TW52" s="29"/>
      <c r="TX52" s="29"/>
      <c r="TY52" s="29"/>
      <c r="TZ52" s="29"/>
      <c r="UA52" s="29"/>
      <c r="UB52" s="29"/>
      <c r="UC52" s="29"/>
      <c r="UD52" s="29"/>
      <c r="UE52" s="29"/>
      <c r="UF52" s="29"/>
      <c r="UG52" s="29"/>
      <c r="UH52" s="29"/>
      <c r="UI52" s="29"/>
      <c r="UJ52" s="29"/>
      <c r="UK52" s="29"/>
      <c r="UL52" s="29"/>
      <c r="UM52" s="29"/>
      <c r="UN52" s="29"/>
      <c r="UO52" s="29"/>
      <c r="UP52" s="29"/>
      <c r="UQ52" s="29"/>
      <c r="UR52" s="29"/>
      <c r="US52" s="29"/>
      <c r="UT52" s="29"/>
      <c r="UU52" s="29"/>
      <c r="UV52" s="29"/>
      <c r="UW52" s="29"/>
      <c r="UX52" s="29"/>
      <c r="UY52" s="29"/>
      <c r="UZ52" s="29"/>
      <c r="VA52" s="29"/>
      <c r="VB52" s="29"/>
      <c r="VC52" s="29"/>
      <c r="VD52" s="29"/>
      <c r="VE52" s="29"/>
      <c r="VF52" s="29"/>
      <c r="VG52" s="29"/>
      <c r="VH52" s="29"/>
      <c r="VI52" s="29"/>
      <c r="VJ52" s="29"/>
      <c r="VK52" s="29"/>
      <c r="VL52" s="29"/>
      <c r="VM52" s="29"/>
      <c r="VN52" s="29"/>
      <c r="VO52" s="29"/>
      <c r="VP52" s="29"/>
      <c r="VQ52" s="29"/>
      <c r="VR52" s="29"/>
      <c r="VS52" s="29"/>
      <c r="VT52" s="29"/>
      <c r="VU52" s="29"/>
      <c r="VV52" s="29"/>
      <c r="VW52" s="29"/>
      <c r="VX52" s="29"/>
      <c r="VY52" s="29"/>
      <c r="VZ52" s="29"/>
      <c r="WA52" s="29"/>
      <c r="WB52" s="29"/>
      <c r="WC52" s="29"/>
      <c r="WD52" s="29"/>
      <c r="WE52" s="29"/>
      <c r="WF52" s="29"/>
      <c r="WG52" s="29"/>
      <c r="WH52" s="29"/>
      <c r="WI52" s="29"/>
      <c r="WJ52" s="29"/>
      <c r="WK52" s="29"/>
      <c r="WL52" s="29"/>
      <c r="WM52" s="29"/>
      <c r="WN52" s="29"/>
      <c r="WO52" s="29"/>
      <c r="WP52" s="29"/>
      <c r="WQ52" s="29"/>
      <c r="WR52" s="29"/>
      <c r="WS52" s="29"/>
    </row>
    <row r="53" spans="1:617" s="3" customFormat="1" ht="15" outlineLevel="1" thickBot="1">
      <c r="A53" s="33"/>
      <c r="B53" s="178"/>
      <c r="C53" s="178" t="s">
        <v>26</v>
      </c>
      <c r="D53" s="179">
        <v>45992</v>
      </c>
      <c r="E53" s="179">
        <f t="shared" si="592"/>
        <v>46010</v>
      </c>
      <c r="F53" s="14"/>
      <c r="G53" s="14">
        <v>19</v>
      </c>
      <c r="H53" s="29"/>
      <c r="I53" s="29"/>
      <c r="J53" s="29"/>
      <c r="K53" s="29"/>
      <c r="L53" s="29"/>
      <c r="M53" s="29"/>
      <c r="N53" s="29"/>
      <c r="O53" s="29"/>
      <c r="P53" s="29"/>
      <c r="Q53" s="29"/>
      <c r="R53" s="29"/>
      <c r="S53" s="29"/>
      <c r="T53" s="29"/>
      <c r="U53" s="29"/>
      <c r="V53" s="29"/>
      <c r="W53" s="29"/>
      <c r="X53" s="29"/>
      <c r="Y53" s="30"/>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c r="MM53" s="29"/>
      <c r="MN53" s="29"/>
      <c r="MO53" s="29"/>
      <c r="MP53" s="29"/>
      <c r="MQ53" s="29"/>
      <c r="MR53" s="29"/>
      <c r="MS53" s="29"/>
      <c r="MT53" s="29"/>
      <c r="MU53" s="29"/>
      <c r="MV53" s="29"/>
      <c r="MW53" s="29"/>
      <c r="MX53" s="29"/>
      <c r="MY53" s="29"/>
      <c r="MZ53" s="29"/>
      <c r="NA53" s="29"/>
      <c r="NB53" s="29"/>
      <c r="NC53" s="29"/>
      <c r="ND53" s="29"/>
      <c r="NE53" s="29"/>
      <c r="NF53" s="29"/>
      <c r="NG53" s="29"/>
      <c r="NH53" s="29"/>
      <c r="NI53" s="29"/>
      <c r="NJ53" s="29"/>
      <c r="NK53" s="29"/>
      <c r="NL53" s="29"/>
      <c r="NM53" s="29"/>
      <c r="NN53" s="29"/>
      <c r="NO53" s="29"/>
      <c r="NP53" s="29"/>
      <c r="NQ53" s="29"/>
      <c r="NR53" s="29"/>
      <c r="NS53" s="29"/>
      <c r="NT53" s="29"/>
      <c r="NU53" s="29"/>
      <c r="NV53" s="29"/>
      <c r="NW53" s="29"/>
      <c r="NX53" s="29"/>
      <c r="NY53" s="29"/>
      <c r="NZ53" s="29"/>
      <c r="OA53" s="29"/>
      <c r="OB53" s="29"/>
      <c r="OC53" s="29"/>
      <c r="OD53" s="29"/>
      <c r="OE53" s="29"/>
      <c r="OF53" s="29"/>
      <c r="OG53" s="29"/>
      <c r="OH53" s="29"/>
      <c r="OI53" s="29"/>
      <c r="OJ53" s="29"/>
      <c r="OK53" s="29"/>
      <c r="OL53" s="29"/>
      <c r="OM53" s="29"/>
      <c r="ON53" s="29"/>
      <c r="OO53" s="29"/>
      <c r="OP53" s="29"/>
      <c r="OQ53" s="29"/>
      <c r="OR53" s="29"/>
      <c r="OS53" s="29"/>
      <c r="OT53" s="29"/>
      <c r="OU53" s="29"/>
      <c r="OV53" s="29"/>
      <c r="OW53" s="29"/>
      <c r="OX53" s="29"/>
      <c r="OY53" s="29"/>
      <c r="OZ53" s="29"/>
      <c r="PA53" s="29"/>
      <c r="PB53" s="29"/>
      <c r="PC53" s="29"/>
      <c r="PD53" s="29"/>
      <c r="PE53" s="29"/>
      <c r="PF53" s="29"/>
      <c r="PG53" s="29"/>
      <c r="PH53" s="29"/>
      <c r="PI53" s="29"/>
      <c r="PJ53" s="29"/>
      <c r="PK53" s="29"/>
      <c r="PL53" s="29"/>
      <c r="PM53" s="29"/>
      <c r="PN53" s="29"/>
      <c r="PO53" s="29"/>
      <c r="PP53" s="29"/>
      <c r="PQ53" s="29"/>
      <c r="PR53" s="29"/>
      <c r="PS53" s="29"/>
      <c r="PT53" s="29"/>
      <c r="PU53" s="29"/>
      <c r="PV53" s="29"/>
      <c r="PW53" s="29"/>
      <c r="PX53" s="29"/>
      <c r="PY53" s="29"/>
      <c r="PZ53" s="29"/>
      <c r="QA53" s="29"/>
      <c r="QB53" s="29"/>
      <c r="QC53" s="29"/>
      <c r="QD53" s="29"/>
      <c r="QE53" s="29"/>
      <c r="QF53" s="29"/>
      <c r="QG53" s="29"/>
      <c r="QH53" s="29"/>
      <c r="QI53" s="29"/>
      <c r="QJ53" s="29"/>
      <c r="QK53" s="29"/>
      <c r="QL53" s="29"/>
      <c r="QM53" s="29"/>
      <c r="QN53" s="29"/>
      <c r="QO53" s="29"/>
      <c r="QP53" s="29"/>
      <c r="QQ53" s="29"/>
      <c r="QR53" s="29"/>
      <c r="QS53" s="29"/>
      <c r="QT53" s="29"/>
      <c r="QU53" s="29"/>
      <c r="QV53" s="29"/>
      <c r="QW53" s="29"/>
      <c r="QX53" s="29"/>
      <c r="QY53" s="29"/>
      <c r="QZ53" s="29"/>
      <c r="RA53" s="29"/>
      <c r="RB53" s="29"/>
      <c r="RC53" s="29"/>
      <c r="RD53" s="29"/>
      <c r="RE53" s="29"/>
      <c r="RF53" s="29"/>
      <c r="RG53" s="29"/>
      <c r="RH53" s="29"/>
      <c r="RI53" s="29"/>
      <c r="RJ53" s="29"/>
      <c r="RK53" s="29"/>
      <c r="RL53" s="29"/>
      <c r="RM53" s="29"/>
      <c r="RN53" s="29"/>
      <c r="RO53" s="29"/>
      <c r="RP53" s="29"/>
      <c r="RQ53" s="29"/>
      <c r="RR53" s="29"/>
      <c r="RS53" s="29"/>
      <c r="RT53" s="29"/>
      <c r="RU53" s="29"/>
      <c r="RV53" s="29"/>
      <c r="RW53" s="29"/>
      <c r="RX53" s="29"/>
      <c r="RY53" s="29"/>
      <c r="RZ53" s="29"/>
      <c r="SA53" s="29"/>
      <c r="SB53" s="29"/>
      <c r="SC53" s="29"/>
      <c r="SD53" s="29"/>
      <c r="SE53" s="29"/>
      <c r="SF53" s="29"/>
      <c r="SG53" s="29"/>
      <c r="SH53" s="29"/>
      <c r="SI53" s="29"/>
      <c r="SJ53" s="29"/>
      <c r="SK53" s="29"/>
      <c r="SL53" s="29"/>
      <c r="SM53" s="29"/>
      <c r="SN53" s="29"/>
      <c r="SO53" s="29"/>
      <c r="SP53" s="29"/>
      <c r="SQ53" s="29"/>
      <c r="SR53" s="29"/>
      <c r="SS53" s="29"/>
      <c r="ST53" s="29"/>
      <c r="SU53" s="29"/>
      <c r="SV53" s="29"/>
      <c r="SW53" s="29"/>
      <c r="SX53" s="29"/>
      <c r="SY53" s="29"/>
      <c r="SZ53" s="29"/>
      <c r="TA53" s="29"/>
      <c r="TB53" s="29"/>
      <c r="TC53" s="29"/>
      <c r="TD53" s="29"/>
      <c r="TE53" s="29"/>
      <c r="TF53" s="29"/>
      <c r="TG53" s="29"/>
      <c r="TH53" s="29"/>
      <c r="TI53" s="29"/>
      <c r="TJ53" s="29"/>
      <c r="TK53" s="29"/>
      <c r="TL53" s="29"/>
      <c r="TM53" s="29"/>
      <c r="TN53" s="29"/>
      <c r="TO53" s="29"/>
      <c r="TP53" s="29"/>
      <c r="TQ53" s="29"/>
      <c r="TR53" s="29"/>
      <c r="TS53" s="29"/>
      <c r="TT53" s="29"/>
      <c r="TU53" s="29"/>
      <c r="TV53" s="29"/>
      <c r="TW53" s="29"/>
      <c r="TX53" s="29"/>
      <c r="TY53" s="29"/>
      <c r="TZ53" s="29"/>
      <c r="UA53" s="29"/>
      <c r="UB53" s="29"/>
      <c r="UC53" s="29"/>
      <c r="UD53" s="29"/>
      <c r="UE53" s="29"/>
      <c r="UF53" s="29"/>
      <c r="UG53" s="29"/>
      <c r="UH53" s="29"/>
      <c r="UI53" s="29"/>
      <c r="UJ53" s="29"/>
      <c r="UK53" s="29"/>
      <c r="UL53" s="29"/>
      <c r="UM53" s="29"/>
      <c r="UN53" s="29"/>
      <c r="UO53" s="29"/>
      <c r="UP53" s="29"/>
      <c r="UQ53" s="29"/>
      <c r="UR53" s="29"/>
      <c r="US53" s="29"/>
      <c r="UT53" s="29"/>
      <c r="UU53" s="29"/>
      <c r="UV53" s="29"/>
      <c r="UW53" s="29"/>
      <c r="UX53" s="29"/>
      <c r="UY53" s="29"/>
      <c r="UZ53" s="29"/>
      <c r="VA53" s="29"/>
      <c r="VB53" s="29"/>
      <c r="VC53" s="29"/>
      <c r="VD53" s="29"/>
      <c r="VE53" s="29"/>
      <c r="VF53" s="29"/>
      <c r="VG53" s="29"/>
      <c r="VH53" s="29"/>
      <c r="VI53" s="29"/>
      <c r="VJ53" s="29"/>
      <c r="VK53" s="29"/>
      <c r="VL53" s="29"/>
      <c r="VM53" s="29"/>
      <c r="VN53" s="29"/>
      <c r="VO53" s="29"/>
      <c r="VP53" s="29"/>
      <c r="VQ53" s="29"/>
      <c r="VR53" s="29"/>
      <c r="VS53" s="29"/>
      <c r="VT53" s="29"/>
      <c r="VU53" s="29"/>
      <c r="VV53" s="29"/>
      <c r="VW53" s="29"/>
      <c r="VX53" s="29"/>
      <c r="VY53" s="29"/>
      <c r="VZ53" s="29"/>
      <c r="WA53" s="29"/>
      <c r="WB53" s="29"/>
      <c r="WC53" s="29"/>
      <c r="WD53" s="29"/>
      <c r="WE53" s="29"/>
      <c r="WF53" s="29"/>
      <c r="WG53" s="29"/>
      <c r="WH53" s="29"/>
      <c r="WI53" s="29"/>
      <c r="WJ53" s="29"/>
      <c r="WK53" s="29"/>
      <c r="WL53" s="29"/>
      <c r="WM53" s="29"/>
      <c r="WN53" s="29"/>
      <c r="WO53" s="29"/>
      <c r="WP53" s="29"/>
      <c r="WQ53" s="29"/>
      <c r="WR53" s="29"/>
      <c r="WS53" s="29"/>
    </row>
    <row r="54" spans="1:617" s="3" customFormat="1" ht="15" outlineLevel="1" thickBot="1">
      <c r="A54" s="33"/>
      <c r="B54" s="178"/>
      <c r="C54" s="178" t="s">
        <v>168</v>
      </c>
      <c r="D54" s="179">
        <v>45999</v>
      </c>
      <c r="E54" s="179">
        <f t="shared" si="592"/>
        <v>46014</v>
      </c>
      <c r="F54" s="14"/>
      <c r="G54" s="14">
        <v>16</v>
      </c>
      <c r="H54" s="29"/>
      <c r="I54" s="29"/>
      <c r="J54" s="29"/>
      <c r="K54" s="29"/>
      <c r="L54" s="29"/>
      <c r="M54" s="29"/>
      <c r="N54" s="29"/>
      <c r="O54" s="29"/>
      <c r="P54" s="29"/>
      <c r="Q54" s="29"/>
      <c r="R54" s="29"/>
      <c r="S54" s="29"/>
      <c r="T54" s="29"/>
      <c r="U54" s="29"/>
      <c r="V54" s="29"/>
      <c r="W54" s="29"/>
      <c r="X54" s="29"/>
      <c r="Y54" s="30"/>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c r="MM54" s="29"/>
      <c r="MN54" s="29"/>
      <c r="MO54" s="29"/>
      <c r="MP54" s="29"/>
      <c r="MQ54" s="29"/>
      <c r="MR54" s="29"/>
      <c r="MS54" s="29"/>
      <c r="MT54" s="29"/>
      <c r="MU54" s="29"/>
      <c r="MV54" s="29"/>
      <c r="MW54" s="29"/>
      <c r="MX54" s="29"/>
      <c r="MY54" s="29"/>
      <c r="MZ54" s="29"/>
      <c r="NA54" s="29"/>
      <c r="NB54" s="29"/>
      <c r="NC54" s="29"/>
      <c r="ND54" s="29"/>
      <c r="NE54" s="29"/>
      <c r="NF54" s="29"/>
      <c r="NG54" s="29"/>
      <c r="NH54" s="29"/>
      <c r="NI54" s="29"/>
      <c r="NJ54" s="29"/>
      <c r="NK54" s="29"/>
      <c r="NL54" s="29"/>
      <c r="NM54" s="29"/>
      <c r="NN54" s="29"/>
      <c r="NO54" s="29"/>
      <c r="NP54" s="29"/>
      <c r="NQ54" s="29"/>
      <c r="NR54" s="29"/>
      <c r="NS54" s="29"/>
      <c r="NT54" s="29"/>
      <c r="NU54" s="29"/>
      <c r="NV54" s="29"/>
      <c r="NW54" s="29"/>
      <c r="NX54" s="29"/>
      <c r="NY54" s="29"/>
      <c r="NZ54" s="29"/>
      <c r="OA54" s="29"/>
      <c r="OB54" s="29"/>
      <c r="OC54" s="29"/>
      <c r="OD54" s="29"/>
      <c r="OE54" s="29"/>
      <c r="OF54" s="29"/>
      <c r="OG54" s="29"/>
      <c r="OH54" s="29"/>
      <c r="OI54" s="29"/>
      <c r="OJ54" s="29"/>
      <c r="OK54" s="29"/>
      <c r="OL54" s="29"/>
      <c r="OM54" s="29"/>
      <c r="ON54" s="29"/>
      <c r="OO54" s="29"/>
      <c r="OP54" s="29"/>
      <c r="OQ54" s="29"/>
      <c r="OR54" s="29"/>
      <c r="OS54" s="29"/>
      <c r="OT54" s="29"/>
      <c r="OU54" s="29"/>
      <c r="OV54" s="29"/>
      <c r="OW54" s="29"/>
      <c r="OX54" s="29"/>
      <c r="OY54" s="29"/>
      <c r="OZ54" s="29"/>
      <c r="PA54" s="29"/>
      <c r="PB54" s="29"/>
      <c r="PC54" s="29"/>
      <c r="PD54" s="29"/>
      <c r="PE54" s="29"/>
      <c r="PF54" s="29"/>
      <c r="PG54" s="29"/>
      <c r="PH54" s="29"/>
      <c r="PI54" s="29"/>
      <c r="PJ54" s="29"/>
      <c r="PK54" s="29"/>
      <c r="PL54" s="29"/>
      <c r="PM54" s="29"/>
      <c r="PN54" s="29"/>
      <c r="PO54" s="29"/>
      <c r="PP54" s="29"/>
      <c r="PQ54" s="29"/>
      <c r="PR54" s="29"/>
      <c r="PS54" s="29"/>
      <c r="PT54" s="29"/>
      <c r="PU54" s="29"/>
      <c r="PV54" s="29"/>
      <c r="PW54" s="29"/>
      <c r="PX54" s="29"/>
      <c r="PY54" s="29"/>
      <c r="PZ54" s="29"/>
      <c r="QA54" s="29"/>
      <c r="QB54" s="29"/>
      <c r="QC54" s="29"/>
      <c r="QD54" s="29"/>
      <c r="QE54" s="29"/>
      <c r="QF54" s="29"/>
      <c r="QG54" s="29"/>
      <c r="QH54" s="29"/>
      <c r="QI54" s="29"/>
      <c r="QJ54" s="29"/>
      <c r="QK54" s="29"/>
      <c r="QL54" s="29"/>
      <c r="QM54" s="29"/>
      <c r="QN54" s="29"/>
      <c r="QO54" s="29"/>
      <c r="QP54" s="29"/>
      <c r="QQ54" s="29"/>
      <c r="QR54" s="29"/>
      <c r="QS54" s="29"/>
      <c r="QT54" s="29"/>
      <c r="QU54" s="29"/>
      <c r="QV54" s="29"/>
      <c r="QW54" s="29"/>
      <c r="QX54" s="29"/>
      <c r="QY54" s="29"/>
      <c r="QZ54" s="29"/>
      <c r="RA54" s="29"/>
      <c r="RB54" s="29"/>
      <c r="RC54" s="29"/>
      <c r="RD54" s="29"/>
      <c r="RE54" s="29"/>
      <c r="RF54" s="29"/>
      <c r="RG54" s="29"/>
      <c r="RH54" s="29"/>
      <c r="RI54" s="29"/>
      <c r="RJ54" s="29"/>
      <c r="RK54" s="29"/>
      <c r="RL54" s="29"/>
      <c r="RM54" s="29"/>
      <c r="RN54" s="29"/>
      <c r="RO54" s="29"/>
      <c r="RP54" s="29"/>
      <c r="RQ54" s="29"/>
      <c r="RR54" s="29"/>
      <c r="RS54" s="29"/>
      <c r="RT54" s="29"/>
      <c r="RU54" s="29"/>
      <c r="RV54" s="29"/>
      <c r="RW54" s="29"/>
      <c r="RX54" s="29"/>
      <c r="RY54" s="29"/>
      <c r="RZ54" s="29"/>
      <c r="SA54" s="29"/>
      <c r="SB54" s="29"/>
      <c r="SC54" s="29"/>
      <c r="SD54" s="29"/>
      <c r="SE54" s="29"/>
      <c r="SF54" s="29"/>
      <c r="SG54" s="29"/>
      <c r="SH54" s="29"/>
      <c r="SI54" s="29"/>
      <c r="SJ54" s="29"/>
      <c r="SK54" s="29"/>
      <c r="SL54" s="29"/>
      <c r="SM54" s="29"/>
      <c r="SN54" s="29"/>
      <c r="SO54" s="29"/>
      <c r="SP54" s="29"/>
      <c r="SQ54" s="29"/>
      <c r="SR54" s="29"/>
      <c r="SS54" s="29"/>
      <c r="ST54" s="29"/>
      <c r="SU54" s="29"/>
      <c r="SV54" s="29"/>
      <c r="SW54" s="29"/>
      <c r="SX54" s="29"/>
      <c r="SY54" s="29"/>
      <c r="SZ54" s="29"/>
      <c r="TA54" s="29"/>
      <c r="TB54" s="29"/>
      <c r="TC54" s="29"/>
      <c r="TD54" s="29"/>
      <c r="TE54" s="29"/>
      <c r="TF54" s="29"/>
      <c r="TG54" s="29"/>
      <c r="TH54" s="29"/>
      <c r="TI54" s="29"/>
      <c r="TJ54" s="29"/>
      <c r="TK54" s="29"/>
      <c r="TL54" s="29"/>
      <c r="TM54" s="29"/>
      <c r="TN54" s="29"/>
      <c r="TO54" s="29"/>
      <c r="TP54" s="29"/>
      <c r="TQ54" s="29"/>
      <c r="TR54" s="29"/>
      <c r="TS54" s="29"/>
      <c r="TT54" s="29"/>
      <c r="TU54" s="29"/>
      <c r="TV54" s="29"/>
      <c r="TW54" s="29"/>
      <c r="TX54" s="29"/>
      <c r="TY54" s="29"/>
      <c r="TZ54" s="29"/>
      <c r="UA54" s="29"/>
      <c r="UB54" s="29"/>
      <c r="UC54" s="29"/>
      <c r="UD54" s="29"/>
      <c r="UE54" s="29"/>
      <c r="UF54" s="29"/>
      <c r="UG54" s="29"/>
      <c r="UH54" s="29"/>
      <c r="UI54" s="29"/>
      <c r="UJ54" s="29"/>
      <c r="UK54" s="29"/>
      <c r="UL54" s="29"/>
      <c r="UM54" s="29"/>
      <c r="UN54" s="29"/>
      <c r="UO54" s="29"/>
      <c r="UP54" s="29"/>
      <c r="UQ54" s="29"/>
      <c r="UR54" s="29"/>
      <c r="US54" s="29"/>
      <c r="UT54" s="29"/>
      <c r="UU54" s="29"/>
      <c r="UV54" s="29"/>
      <c r="UW54" s="29"/>
      <c r="UX54" s="29"/>
      <c r="UY54" s="29"/>
      <c r="UZ54" s="29"/>
      <c r="VA54" s="29"/>
      <c r="VB54" s="29"/>
      <c r="VC54" s="29"/>
      <c r="VD54" s="29"/>
      <c r="VE54" s="29"/>
      <c r="VF54" s="29"/>
      <c r="VG54" s="29"/>
      <c r="VH54" s="29"/>
      <c r="VI54" s="29"/>
      <c r="VJ54" s="29"/>
      <c r="VK54" s="29"/>
      <c r="VL54" s="29"/>
      <c r="VM54" s="29"/>
      <c r="VN54" s="29"/>
      <c r="VO54" s="29"/>
      <c r="VP54" s="29"/>
      <c r="VQ54" s="29"/>
      <c r="VR54" s="29"/>
      <c r="VS54" s="29"/>
      <c r="VT54" s="29"/>
      <c r="VU54" s="29"/>
      <c r="VV54" s="29"/>
      <c r="VW54" s="29"/>
      <c r="VX54" s="29"/>
      <c r="VY54" s="29"/>
      <c r="VZ54" s="29"/>
      <c r="WA54" s="29"/>
      <c r="WB54" s="29"/>
      <c r="WC54" s="29"/>
      <c r="WD54" s="29"/>
      <c r="WE54" s="29"/>
      <c r="WF54" s="29"/>
      <c r="WG54" s="29"/>
      <c r="WH54" s="29"/>
      <c r="WI54" s="29"/>
      <c r="WJ54" s="29"/>
      <c r="WK54" s="29"/>
      <c r="WL54" s="29"/>
      <c r="WM54" s="29"/>
      <c r="WN54" s="29"/>
      <c r="WO54" s="29"/>
      <c r="WP54" s="29"/>
      <c r="WQ54" s="29"/>
      <c r="WR54" s="29"/>
      <c r="WS54" s="29"/>
    </row>
    <row r="55" spans="1:617" s="3" customFormat="1" ht="15" outlineLevel="1" thickBot="1">
      <c r="A55" s="33"/>
      <c r="B55" s="178"/>
      <c r="C55" s="178" t="s">
        <v>134</v>
      </c>
      <c r="D55" s="179">
        <v>46034</v>
      </c>
      <c r="E55" s="179">
        <f t="shared" si="592"/>
        <v>46045</v>
      </c>
      <c r="F55" s="14"/>
      <c r="G55" s="14">
        <v>12</v>
      </c>
      <c r="H55" s="29"/>
      <c r="I55" s="29"/>
      <c r="J55" s="29"/>
      <c r="K55" s="29"/>
      <c r="L55" s="29"/>
      <c r="M55" s="29"/>
      <c r="N55" s="29"/>
      <c r="O55" s="29"/>
      <c r="P55" s="29"/>
      <c r="Q55" s="29"/>
      <c r="R55" s="29"/>
      <c r="S55" s="29"/>
      <c r="T55" s="29"/>
      <c r="U55" s="29"/>
      <c r="V55" s="29"/>
      <c r="W55" s="29"/>
      <c r="X55" s="29"/>
      <c r="Y55" s="30"/>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c r="MM55" s="29"/>
      <c r="MN55" s="29"/>
      <c r="MO55" s="29"/>
      <c r="MP55" s="29"/>
      <c r="MQ55" s="29"/>
      <c r="MR55" s="29"/>
      <c r="MS55" s="29"/>
      <c r="MT55" s="29"/>
      <c r="MU55" s="29"/>
      <c r="MV55" s="29"/>
      <c r="MW55" s="29"/>
      <c r="MX55" s="29"/>
      <c r="MY55" s="29"/>
      <c r="MZ55" s="29"/>
      <c r="NA55" s="29"/>
      <c r="NB55" s="29"/>
      <c r="NC55" s="29"/>
      <c r="ND55" s="29"/>
      <c r="NE55" s="29"/>
      <c r="NF55" s="29"/>
      <c r="NG55" s="29"/>
      <c r="NH55" s="29"/>
      <c r="NI55" s="29"/>
      <c r="NJ55" s="29"/>
      <c r="NK55" s="29"/>
      <c r="NL55" s="29"/>
      <c r="NM55" s="29"/>
      <c r="NN55" s="29"/>
      <c r="NO55" s="29"/>
      <c r="NP55" s="29"/>
      <c r="NQ55" s="29"/>
      <c r="NR55" s="29"/>
      <c r="NS55" s="29"/>
      <c r="NT55" s="29"/>
      <c r="NU55" s="29"/>
      <c r="NV55" s="29"/>
      <c r="NW55" s="29"/>
      <c r="NX55" s="29"/>
      <c r="NY55" s="29"/>
      <c r="NZ55" s="29"/>
      <c r="OA55" s="29"/>
      <c r="OB55" s="29"/>
      <c r="OC55" s="29"/>
      <c r="OD55" s="29"/>
      <c r="OE55" s="29"/>
      <c r="OF55" s="29"/>
      <c r="OG55" s="29"/>
      <c r="OH55" s="29"/>
      <c r="OI55" s="29"/>
      <c r="OJ55" s="29"/>
      <c r="OK55" s="29"/>
      <c r="OL55" s="29"/>
      <c r="OM55" s="29"/>
      <c r="ON55" s="29"/>
      <c r="OO55" s="29"/>
      <c r="OP55" s="29"/>
      <c r="OQ55" s="29"/>
      <c r="OR55" s="29"/>
      <c r="OS55" s="29"/>
      <c r="OT55" s="29"/>
      <c r="OU55" s="29"/>
      <c r="OV55" s="29"/>
      <c r="OW55" s="29"/>
      <c r="OX55" s="29"/>
      <c r="OY55" s="29"/>
      <c r="OZ55" s="29"/>
      <c r="PA55" s="29"/>
      <c r="PB55" s="29"/>
      <c r="PC55" s="29"/>
      <c r="PD55" s="29"/>
      <c r="PE55" s="29"/>
      <c r="PF55" s="29"/>
      <c r="PG55" s="29"/>
      <c r="PH55" s="29"/>
      <c r="PI55" s="29"/>
      <c r="PJ55" s="29"/>
      <c r="PK55" s="29"/>
      <c r="PL55" s="29"/>
      <c r="PM55" s="29"/>
      <c r="PN55" s="29"/>
      <c r="PO55" s="29"/>
      <c r="PP55" s="29"/>
      <c r="PQ55" s="29"/>
      <c r="PR55" s="29"/>
      <c r="PS55" s="29"/>
      <c r="PT55" s="29"/>
      <c r="PU55" s="29"/>
      <c r="PV55" s="29"/>
      <c r="PW55" s="29"/>
      <c r="PX55" s="29"/>
      <c r="PY55" s="29"/>
      <c r="PZ55" s="29"/>
      <c r="QA55" s="29"/>
      <c r="QB55" s="29"/>
      <c r="QC55" s="29"/>
      <c r="QD55" s="29"/>
      <c r="QE55" s="29"/>
      <c r="QF55" s="29"/>
      <c r="QG55" s="29"/>
      <c r="QH55" s="29"/>
      <c r="QI55" s="29"/>
      <c r="QJ55" s="29"/>
      <c r="QK55" s="29"/>
      <c r="QL55" s="29"/>
      <c r="QM55" s="29"/>
      <c r="QN55" s="29"/>
      <c r="QO55" s="29"/>
      <c r="QP55" s="29"/>
      <c r="QQ55" s="29"/>
      <c r="QR55" s="29"/>
      <c r="QS55" s="29"/>
      <c r="QT55" s="29"/>
      <c r="QU55" s="29"/>
      <c r="QV55" s="29"/>
      <c r="QW55" s="29"/>
      <c r="QX55" s="29"/>
      <c r="QY55" s="29"/>
      <c r="QZ55" s="29"/>
      <c r="RA55" s="29"/>
      <c r="RB55" s="29"/>
      <c r="RC55" s="29"/>
      <c r="RD55" s="29"/>
      <c r="RE55" s="29"/>
      <c r="RF55" s="29"/>
      <c r="RG55" s="29"/>
      <c r="RH55" s="29"/>
      <c r="RI55" s="29"/>
      <c r="RJ55" s="29"/>
      <c r="RK55" s="29"/>
      <c r="RL55" s="29"/>
      <c r="RM55" s="29"/>
      <c r="RN55" s="29"/>
      <c r="RO55" s="29"/>
      <c r="RP55" s="29"/>
      <c r="RQ55" s="29"/>
      <c r="RR55" s="29"/>
      <c r="RS55" s="29"/>
      <c r="RT55" s="29"/>
      <c r="RU55" s="29"/>
      <c r="RV55" s="29"/>
      <c r="RW55" s="29"/>
      <c r="RX55" s="29"/>
      <c r="RY55" s="29"/>
      <c r="RZ55" s="29"/>
      <c r="SA55" s="29"/>
      <c r="SB55" s="29"/>
      <c r="SC55" s="29"/>
      <c r="SD55" s="29"/>
      <c r="SE55" s="29"/>
      <c r="SF55" s="29"/>
      <c r="SG55" s="29"/>
      <c r="SH55" s="29"/>
      <c r="SI55" s="29"/>
      <c r="SJ55" s="29"/>
      <c r="SK55" s="29"/>
      <c r="SL55" s="29"/>
      <c r="SM55" s="29"/>
      <c r="SN55" s="29"/>
      <c r="SO55" s="29"/>
      <c r="SP55" s="29"/>
      <c r="SQ55" s="29"/>
      <c r="SR55" s="29"/>
      <c r="SS55" s="29"/>
      <c r="ST55" s="29"/>
      <c r="SU55" s="29"/>
      <c r="SV55" s="29"/>
      <c r="SW55" s="29"/>
      <c r="SX55" s="29"/>
      <c r="SY55" s="29"/>
      <c r="SZ55" s="29"/>
      <c r="TA55" s="29"/>
      <c r="TB55" s="29"/>
      <c r="TC55" s="29"/>
      <c r="TD55" s="29"/>
      <c r="TE55" s="29"/>
      <c r="TF55" s="29"/>
      <c r="TG55" s="29"/>
      <c r="TH55" s="29"/>
      <c r="TI55" s="29"/>
      <c r="TJ55" s="29"/>
      <c r="TK55" s="29"/>
      <c r="TL55" s="29"/>
      <c r="TM55" s="29"/>
      <c r="TN55" s="29"/>
      <c r="TO55" s="29"/>
      <c r="TP55" s="29"/>
      <c r="TQ55" s="29"/>
      <c r="TR55" s="29"/>
      <c r="TS55" s="29"/>
      <c r="TT55" s="29"/>
      <c r="TU55" s="29"/>
      <c r="TV55" s="29"/>
      <c r="TW55" s="29"/>
      <c r="TX55" s="29"/>
      <c r="TY55" s="29"/>
      <c r="TZ55" s="29"/>
      <c r="UA55" s="29"/>
      <c r="UB55" s="29"/>
      <c r="UC55" s="29"/>
      <c r="UD55" s="29"/>
      <c r="UE55" s="29"/>
      <c r="UF55" s="29"/>
      <c r="UG55" s="29"/>
      <c r="UH55" s="29"/>
      <c r="UI55" s="29"/>
      <c r="UJ55" s="29"/>
      <c r="UK55" s="29"/>
      <c r="UL55" s="29"/>
      <c r="UM55" s="29"/>
      <c r="UN55" s="29"/>
      <c r="UO55" s="29"/>
      <c r="UP55" s="29"/>
      <c r="UQ55" s="29"/>
      <c r="UR55" s="29"/>
      <c r="US55" s="29"/>
      <c r="UT55" s="29"/>
      <c r="UU55" s="29"/>
      <c r="UV55" s="29"/>
      <c r="UW55" s="29"/>
      <c r="UX55" s="29"/>
      <c r="UY55" s="29"/>
      <c r="UZ55" s="29"/>
      <c r="VA55" s="29"/>
      <c r="VB55" s="29"/>
      <c r="VC55" s="29"/>
      <c r="VD55" s="29"/>
      <c r="VE55" s="29"/>
      <c r="VF55" s="29"/>
      <c r="VG55" s="29"/>
      <c r="VH55" s="29"/>
      <c r="VI55" s="29"/>
      <c r="VJ55" s="29"/>
      <c r="VK55" s="29"/>
      <c r="VL55" s="29"/>
      <c r="VM55" s="29"/>
      <c r="VN55" s="29"/>
      <c r="VO55" s="29"/>
      <c r="VP55" s="29"/>
      <c r="VQ55" s="29"/>
      <c r="VR55" s="29"/>
      <c r="VS55" s="29"/>
      <c r="VT55" s="29"/>
      <c r="VU55" s="29"/>
      <c r="VV55" s="29"/>
      <c r="VW55" s="29"/>
      <c r="VX55" s="29"/>
      <c r="VY55" s="29"/>
      <c r="VZ55" s="29"/>
      <c r="WA55" s="29"/>
      <c r="WB55" s="29"/>
      <c r="WC55" s="29"/>
      <c r="WD55" s="29"/>
      <c r="WE55" s="29"/>
      <c r="WF55" s="29"/>
      <c r="WG55" s="29"/>
      <c r="WH55" s="29"/>
      <c r="WI55" s="29"/>
      <c r="WJ55" s="29"/>
      <c r="WK55" s="29"/>
      <c r="WL55" s="29"/>
      <c r="WM55" s="29"/>
      <c r="WN55" s="29"/>
      <c r="WO55" s="29"/>
      <c r="WP55" s="29"/>
      <c r="WQ55" s="29"/>
      <c r="WR55" s="29"/>
      <c r="WS55" s="29"/>
    </row>
    <row r="56" spans="1:617" s="3" customFormat="1" ht="15" outlineLevel="1" thickBot="1">
      <c r="A56" s="33"/>
      <c r="B56" s="178" t="s">
        <v>222</v>
      </c>
      <c r="C56" s="178" t="s">
        <v>174</v>
      </c>
      <c r="D56" s="179">
        <v>46034</v>
      </c>
      <c r="E56" s="179">
        <f t="shared" si="592"/>
        <v>46052</v>
      </c>
      <c r="F56" s="14"/>
      <c r="G56" s="14">
        <v>19</v>
      </c>
      <c r="H56" s="29"/>
      <c r="I56" s="29"/>
      <c r="J56" s="29"/>
      <c r="K56" s="29"/>
      <c r="L56" s="29"/>
      <c r="M56" s="29"/>
      <c r="N56" s="29"/>
      <c r="O56" s="29"/>
      <c r="P56" s="29"/>
      <c r="Q56" s="29"/>
      <c r="R56" s="29"/>
      <c r="S56" s="29"/>
      <c r="T56" s="29"/>
      <c r="U56" s="29"/>
      <c r="V56" s="29"/>
      <c r="W56" s="29"/>
      <c r="X56" s="29"/>
      <c r="Y56" s="30"/>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c r="MM56" s="29"/>
      <c r="MN56" s="29"/>
      <c r="MO56" s="29"/>
      <c r="MP56" s="29"/>
      <c r="MQ56" s="29"/>
      <c r="MR56" s="29"/>
      <c r="MS56" s="29"/>
      <c r="MT56" s="29"/>
      <c r="MU56" s="29"/>
      <c r="MV56" s="29"/>
      <c r="MW56" s="29"/>
      <c r="MX56" s="29"/>
      <c r="MY56" s="29"/>
      <c r="MZ56" s="29"/>
      <c r="NA56" s="29"/>
      <c r="NB56" s="29"/>
      <c r="NC56" s="29"/>
      <c r="ND56" s="29"/>
      <c r="NE56" s="29"/>
      <c r="NF56" s="29"/>
      <c r="NG56" s="29"/>
      <c r="NH56" s="29"/>
      <c r="NI56" s="29"/>
      <c r="NJ56" s="29"/>
      <c r="NK56" s="29"/>
      <c r="NL56" s="29"/>
      <c r="NM56" s="29"/>
      <c r="NN56" s="29"/>
      <c r="NO56" s="29"/>
      <c r="NP56" s="29"/>
      <c r="NQ56" s="29"/>
      <c r="NR56" s="29"/>
      <c r="NS56" s="29"/>
      <c r="NT56" s="29"/>
      <c r="NU56" s="29"/>
      <c r="NV56" s="29"/>
      <c r="NW56" s="29"/>
      <c r="NX56" s="29"/>
      <c r="NY56" s="29"/>
      <c r="NZ56" s="29"/>
      <c r="OA56" s="29"/>
      <c r="OB56" s="29"/>
      <c r="OC56" s="29"/>
      <c r="OD56" s="29"/>
      <c r="OE56" s="29"/>
      <c r="OF56" s="29"/>
      <c r="OG56" s="29"/>
      <c r="OH56" s="29"/>
      <c r="OI56" s="29"/>
      <c r="OJ56" s="29"/>
      <c r="OK56" s="29"/>
      <c r="OL56" s="29"/>
      <c r="OM56" s="29"/>
      <c r="ON56" s="29"/>
      <c r="OO56" s="29"/>
      <c r="OP56" s="29"/>
      <c r="OQ56" s="29"/>
      <c r="OR56" s="29"/>
      <c r="OS56" s="29"/>
      <c r="OT56" s="29"/>
      <c r="OU56" s="29"/>
      <c r="OV56" s="29"/>
      <c r="OW56" s="29"/>
      <c r="OX56" s="29"/>
      <c r="OY56" s="29"/>
      <c r="OZ56" s="29"/>
      <c r="PA56" s="29"/>
      <c r="PB56" s="29"/>
      <c r="PC56" s="29"/>
      <c r="PD56" s="29"/>
      <c r="PE56" s="29"/>
      <c r="PF56" s="29"/>
      <c r="PG56" s="29"/>
      <c r="PH56" s="29"/>
      <c r="PI56" s="29"/>
      <c r="PJ56" s="29"/>
      <c r="PK56" s="29"/>
      <c r="PL56" s="29"/>
      <c r="PM56" s="29"/>
      <c r="PN56" s="29"/>
      <c r="PO56" s="29"/>
      <c r="PP56" s="29"/>
      <c r="PQ56" s="29"/>
      <c r="PR56" s="29"/>
      <c r="PS56" s="29"/>
      <c r="PT56" s="29"/>
      <c r="PU56" s="29"/>
      <c r="PV56" s="29"/>
      <c r="PW56" s="29"/>
      <c r="PX56" s="29"/>
      <c r="PY56" s="29"/>
      <c r="PZ56" s="29"/>
      <c r="QA56" s="29"/>
      <c r="QB56" s="29"/>
      <c r="QC56" s="29"/>
      <c r="QD56" s="29"/>
      <c r="QE56" s="29"/>
      <c r="QF56" s="29"/>
      <c r="QG56" s="29"/>
      <c r="QH56" s="29"/>
      <c r="QI56" s="29"/>
      <c r="QJ56" s="29"/>
      <c r="QK56" s="29"/>
      <c r="QL56" s="29"/>
      <c r="QM56" s="29"/>
      <c r="QN56" s="29"/>
      <c r="QO56" s="29"/>
      <c r="QP56" s="29"/>
      <c r="QQ56" s="29"/>
      <c r="QR56" s="29"/>
      <c r="QS56" s="29"/>
      <c r="QT56" s="29"/>
      <c r="QU56" s="29"/>
      <c r="QV56" s="29"/>
      <c r="QW56" s="29"/>
      <c r="QX56" s="29"/>
      <c r="QY56" s="29"/>
      <c r="QZ56" s="29"/>
      <c r="RA56" s="29"/>
      <c r="RB56" s="29"/>
      <c r="RC56" s="29"/>
      <c r="RD56" s="29"/>
      <c r="RE56" s="29"/>
      <c r="RF56" s="29"/>
      <c r="RG56" s="29"/>
      <c r="RH56" s="29"/>
      <c r="RI56" s="29"/>
      <c r="RJ56" s="29"/>
      <c r="RK56" s="29"/>
      <c r="RL56" s="29"/>
      <c r="RM56" s="29"/>
      <c r="RN56" s="29"/>
      <c r="RO56" s="29"/>
      <c r="RP56" s="29"/>
      <c r="RQ56" s="29"/>
      <c r="RR56" s="29"/>
      <c r="RS56" s="29"/>
      <c r="RT56" s="29"/>
      <c r="RU56" s="29"/>
      <c r="RV56" s="29"/>
      <c r="RW56" s="29"/>
      <c r="RX56" s="29"/>
      <c r="RY56" s="29"/>
      <c r="RZ56" s="29"/>
      <c r="SA56" s="29"/>
      <c r="SB56" s="29"/>
      <c r="SC56" s="29"/>
      <c r="SD56" s="29"/>
      <c r="SE56" s="29"/>
      <c r="SF56" s="29"/>
      <c r="SG56" s="29"/>
      <c r="SH56" s="29"/>
      <c r="SI56" s="29"/>
      <c r="SJ56" s="29"/>
      <c r="SK56" s="29"/>
      <c r="SL56" s="29"/>
      <c r="SM56" s="29"/>
      <c r="SN56" s="29"/>
      <c r="SO56" s="29"/>
      <c r="SP56" s="29"/>
      <c r="SQ56" s="29"/>
      <c r="SR56" s="29"/>
      <c r="SS56" s="29"/>
      <c r="ST56" s="29"/>
      <c r="SU56" s="29"/>
      <c r="SV56" s="29"/>
      <c r="SW56" s="29"/>
      <c r="SX56" s="29"/>
      <c r="SY56" s="29"/>
      <c r="SZ56" s="29"/>
      <c r="TA56" s="29"/>
      <c r="TB56" s="29"/>
      <c r="TC56" s="29"/>
      <c r="TD56" s="29"/>
      <c r="TE56" s="29"/>
      <c r="TF56" s="29"/>
      <c r="TG56" s="29"/>
      <c r="TH56" s="29"/>
      <c r="TI56" s="29"/>
      <c r="TJ56" s="29"/>
      <c r="TK56" s="29"/>
      <c r="TL56" s="29"/>
      <c r="TM56" s="29"/>
      <c r="TN56" s="29"/>
      <c r="TO56" s="29"/>
      <c r="TP56" s="29"/>
      <c r="TQ56" s="29"/>
      <c r="TR56" s="29"/>
      <c r="TS56" s="29"/>
      <c r="TT56" s="29"/>
      <c r="TU56" s="29"/>
      <c r="TV56" s="29"/>
      <c r="TW56" s="29"/>
      <c r="TX56" s="29"/>
      <c r="TY56" s="29"/>
      <c r="TZ56" s="29"/>
      <c r="UA56" s="29"/>
      <c r="UB56" s="29"/>
      <c r="UC56" s="29"/>
      <c r="UD56" s="29"/>
      <c r="UE56" s="29"/>
      <c r="UF56" s="29"/>
      <c r="UG56" s="29"/>
      <c r="UH56" s="29"/>
      <c r="UI56" s="29"/>
      <c r="UJ56" s="29"/>
      <c r="UK56" s="29"/>
      <c r="UL56" s="29"/>
      <c r="UM56" s="29"/>
      <c r="UN56" s="29"/>
      <c r="UO56" s="29"/>
      <c r="UP56" s="29"/>
      <c r="UQ56" s="29"/>
      <c r="UR56" s="29"/>
      <c r="US56" s="29"/>
      <c r="UT56" s="29"/>
      <c r="UU56" s="29"/>
      <c r="UV56" s="29"/>
      <c r="UW56" s="29"/>
      <c r="UX56" s="29"/>
      <c r="UY56" s="29"/>
      <c r="UZ56" s="29"/>
      <c r="VA56" s="29"/>
      <c r="VB56" s="29"/>
      <c r="VC56" s="29"/>
      <c r="VD56" s="29"/>
      <c r="VE56" s="29"/>
      <c r="VF56" s="29"/>
      <c r="VG56" s="29"/>
      <c r="VH56" s="29"/>
      <c r="VI56" s="29"/>
      <c r="VJ56" s="29"/>
      <c r="VK56" s="29"/>
      <c r="VL56" s="29"/>
      <c r="VM56" s="29"/>
      <c r="VN56" s="29"/>
      <c r="VO56" s="29"/>
      <c r="VP56" s="29"/>
      <c r="VQ56" s="29"/>
      <c r="VR56" s="29"/>
      <c r="VS56" s="29"/>
      <c r="VT56" s="29"/>
      <c r="VU56" s="29"/>
      <c r="VV56" s="29"/>
      <c r="VW56" s="29"/>
      <c r="VX56" s="29"/>
      <c r="VY56" s="29"/>
      <c r="VZ56" s="29"/>
      <c r="WA56" s="29"/>
      <c r="WB56" s="29"/>
      <c r="WC56" s="29"/>
      <c r="WD56" s="29"/>
      <c r="WE56" s="29"/>
      <c r="WF56" s="29"/>
      <c r="WG56" s="29"/>
      <c r="WH56" s="29"/>
      <c r="WI56" s="29"/>
      <c r="WJ56" s="29"/>
      <c r="WK56" s="29"/>
      <c r="WL56" s="29"/>
      <c r="WM56" s="29"/>
      <c r="WN56" s="29"/>
      <c r="WO56" s="29"/>
      <c r="WP56" s="29"/>
      <c r="WQ56" s="29"/>
      <c r="WR56" s="29"/>
      <c r="WS56" s="29"/>
    </row>
    <row r="57" spans="1:617" s="3" customFormat="1" ht="15" outlineLevel="1" thickBot="1">
      <c r="A57" s="33"/>
      <c r="B57" s="178" t="s">
        <v>222</v>
      </c>
      <c r="C57" s="178" t="s">
        <v>180</v>
      </c>
      <c r="D57" s="179">
        <v>46048</v>
      </c>
      <c r="E57" s="179">
        <f t="shared" si="592"/>
        <v>46059</v>
      </c>
      <c r="F57" s="14"/>
      <c r="G57" s="14">
        <v>12</v>
      </c>
      <c r="H57" s="29"/>
      <c r="I57" s="29"/>
      <c r="J57" s="29"/>
      <c r="K57" s="29"/>
      <c r="L57" s="29"/>
      <c r="M57" s="29"/>
      <c r="N57" s="29"/>
      <c r="O57" s="29"/>
      <c r="P57" s="29"/>
      <c r="Q57" s="29"/>
      <c r="R57" s="29"/>
      <c r="S57" s="29"/>
      <c r="T57" s="29"/>
      <c r="U57" s="29"/>
      <c r="V57" s="29"/>
      <c r="W57" s="29"/>
      <c r="X57" s="29"/>
      <c r="Y57" s="30"/>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s="29"/>
      <c r="LE57" s="29"/>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c r="MM57" s="29"/>
      <c r="MN57" s="29"/>
      <c r="MO57" s="29"/>
      <c r="MP57" s="29"/>
      <c r="MQ57" s="29"/>
      <c r="MR57" s="29"/>
      <c r="MS57" s="29"/>
      <c r="MT57" s="29"/>
      <c r="MU57" s="29"/>
      <c r="MV57" s="29"/>
      <c r="MW57" s="29"/>
      <c r="MX57" s="29"/>
      <c r="MY57" s="29"/>
      <c r="MZ57" s="29"/>
      <c r="NA57" s="29"/>
      <c r="NB57" s="29"/>
      <c r="NC57" s="29"/>
      <c r="ND57" s="29"/>
      <c r="NE57" s="29"/>
      <c r="NF57" s="29"/>
      <c r="NG57" s="29"/>
      <c r="NH57" s="29"/>
      <c r="NI57" s="29"/>
      <c r="NJ57" s="29"/>
      <c r="NK57" s="29"/>
      <c r="NL57" s="29"/>
      <c r="NM57" s="29"/>
      <c r="NN57" s="29"/>
      <c r="NO57" s="29"/>
      <c r="NP57" s="29"/>
      <c r="NQ57" s="29"/>
      <c r="NR57" s="29"/>
      <c r="NS57" s="29"/>
      <c r="NT57" s="29"/>
      <c r="NU57" s="29"/>
      <c r="NV57" s="29"/>
      <c r="NW57" s="29"/>
      <c r="NX57" s="29"/>
      <c r="NY57" s="29"/>
      <c r="NZ57" s="29"/>
      <c r="OA57" s="29"/>
      <c r="OB57" s="29"/>
      <c r="OC57" s="29"/>
      <c r="OD57" s="29"/>
      <c r="OE57" s="29"/>
      <c r="OF57" s="29"/>
      <c r="OG57" s="29"/>
      <c r="OH57" s="29"/>
      <c r="OI57" s="29"/>
      <c r="OJ57" s="29"/>
      <c r="OK57" s="29"/>
      <c r="OL57" s="29"/>
      <c r="OM57" s="29"/>
      <c r="ON57" s="29"/>
      <c r="OO57" s="29"/>
      <c r="OP57" s="29"/>
      <c r="OQ57" s="29"/>
      <c r="OR57" s="29"/>
      <c r="OS57" s="29"/>
      <c r="OT57" s="29"/>
      <c r="OU57" s="29"/>
      <c r="OV57" s="29"/>
      <c r="OW57" s="29"/>
      <c r="OX57" s="29"/>
      <c r="OY57" s="29"/>
      <c r="OZ57" s="29"/>
      <c r="PA57" s="29"/>
      <c r="PB57" s="29"/>
      <c r="PC57" s="29"/>
      <c r="PD57" s="29"/>
      <c r="PE57" s="29"/>
      <c r="PF57" s="29"/>
      <c r="PG57" s="29"/>
      <c r="PH57" s="29"/>
      <c r="PI57" s="29"/>
      <c r="PJ57" s="29"/>
      <c r="PK57" s="29"/>
      <c r="PL57" s="29"/>
      <c r="PM57" s="29"/>
      <c r="PN57" s="29"/>
      <c r="PO57" s="29"/>
      <c r="PP57" s="29"/>
      <c r="PQ57" s="29"/>
      <c r="PR57" s="29"/>
      <c r="PS57" s="29"/>
      <c r="PT57" s="29"/>
      <c r="PU57" s="29"/>
      <c r="PV57" s="29"/>
      <c r="PW57" s="29"/>
      <c r="PX57" s="29"/>
      <c r="PY57" s="29"/>
      <c r="PZ57" s="29"/>
      <c r="QA57" s="29"/>
      <c r="QB57" s="29"/>
      <c r="QC57" s="29"/>
      <c r="QD57" s="29"/>
      <c r="QE57" s="29"/>
      <c r="QF57" s="29"/>
      <c r="QG57" s="29"/>
      <c r="QH57" s="29"/>
      <c r="QI57" s="29"/>
      <c r="QJ57" s="29"/>
      <c r="QK57" s="29"/>
      <c r="QL57" s="29"/>
      <c r="QM57" s="29"/>
      <c r="QN57" s="29"/>
      <c r="QO57" s="29"/>
      <c r="QP57" s="29"/>
      <c r="QQ57" s="29"/>
      <c r="QR57" s="29"/>
      <c r="QS57" s="29"/>
      <c r="QT57" s="29"/>
      <c r="QU57" s="29"/>
      <c r="QV57" s="29"/>
      <c r="QW57" s="29"/>
      <c r="QX57" s="29"/>
      <c r="QY57" s="29"/>
      <c r="QZ57" s="29"/>
      <c r="RA57" s="29"/>
      <c r="RB57" s="29"/>
      <c r="RC57" s="29"/>
      <c r="RD57" s="29"/>
      <c r="RE57" s="29"/>
      <c r="RF57" s="29"/>
      <c r="RG57" s="29"/>
      <c r="RH57" s="29"/>
      <c r="RI57" s="29"/>
      <c r="RJ57" s="29"/>
      <c r="RK57" s="29"/>
      <c r="RL57" s="29"/>
      <c r="RM57" s="29"/>
      <c r="RN57" s="29"/>
      <c r="RO57" s="29"/>
      <c r="RP57" s="29"/>
      <c r="RQ57" s="29"/>
      <c r="RR57" s="29"/>
      <c r="RS57" s="29"/>
      <c r="RT57" s="29"/>
      <c r="RU57" s="29"/>
      <c r="RV57" s="29"/>
      <c r="RW57" s="29"/>
      <c r="RX57" s="29"/>
      <c r="RY57" s="29"/>
      <c r="RZ57" s="29"/>
      <c r="SA57" s="29"/>
      <c r="SB57" s="29"/>
      <c r="SC57" s="29"/>
      <c r="SD57" s="29"/>
      <c r="SE57" s="29"/>
      <c r="SF57" s="29"/>
      <c r="SG57" s="29"/>
      <c r="SH57" s="29"/>
      <c r="SI57" s="29"/>
      <c r="SJ57" s="29"/>
      <c r="SK57" s="29"/>
      <c r="SL57" s="29"/>
      <c r="SM57" s="29"/>
      <c r="SN57" s="29"/>
      <c r="SO57" s="29"/>
      <c r="SP57" s="29"/>
      <c r="SQ57" s="29"/>
      <c r="SR57" s="29"/>
      <c r="SS57" s="29"/>
      <c r="ST57" s="29"/>
      <c r="SU57" s="29"/>
      <c r="SV57" s="29"/>
      <c r="SW57" s="29"/>
      <c r="SX57" s="29"/>
      <c r="SY57" s="29"/>
      <c r="SZ57" s="29"/>
      <c r="TA57" s="29"/>
      <c r="TB57" s="29"/>
      <c r="TC57" s="29"/>
      <c r="TD57" s="29"/>
      <c r="TE57" s="29"/>
      <c r="TF57" s="29"/>
      <c r="TG57" s="29"/>
      <c r="TH57" s="29"/>
      <c r="TI57" s="29"/>
      <c r="TJ57" s="29"/>
      <c r="TK57" s="29"/>
      <c r="TL57" s="29"/>
      <c r="TM57" s="29"/>
      <c r="TN57" s="29"/>
      <c r="TO57" s="29"/>
      <c r="TP57" s="29"/>
      <c r="TQ57" s="29"/>
      <c r="TR57" s="29"/>
      <c r="TS57" s="29"/>
      <c r="TT57" s="29"/>
      <c r="TU57" s="29"/>
      <c r="TV57" s="29"/>
      <c r="TW57" s="29"/>
      <c r="TX57" s="29"/>
      <c r="TY57" s="29"/>
      <c r="TZ57" s="29"/>
      <c r="UA57" s="29"/>
      <c r="UB57" s="29"/>
      <c r="UC57" s="29"/>
      <c r="UD57" s="29"/>
      <c r="UE57" s="29"/>
      <c r="UF57" s="29"/>
      <c r="UG57" s="29"/>
      <c r="UH57" s="29"/>
      <c r="UI57" s="29"/>
      <c r="UJ57" s="29"/>
      <c r="UK57" s="29"/>
      <c r="UL57" s="29"/>
      <c r="UM57" s="29"/>
      <c r="UN57" s="29"/>
      <c r="UO57" s="29"/>
      <c r="UP57" s="29"/>
      <c r="UQ57" s="29"/>
      <c r="UR57" s="29"/>
      <c r="US57" s="29"/>
      <c r="UT57" s="29"/>
      <c r="UU57" s="29"/>
      <c r="UV57" s="29"/>
      <c r="UW57" s="29"/>
      <c r="UX57" s="29"/>
      <c r="UY57" s="29"/>
      <c r="UZ57" s="29"/>
      <c r="VA57" s="29"/>
      <c r="VB57" s="29"/>
      <c r="VC57" s="29"/>
      <c r="VD57" s="29"/>
      <c r="VE57" s="29"/>
      <c r="VF57" s="29"/>
      <c r="VG57" s="29"/>
      <c r="VH57" s="29"/>
      <c r="VI57" s="29"/>
      <c r="VJ57" s="29"/>
      <c r="VK57" s="29"/>
      <c r="VL57" s="29"/>
      <c r="VM57" s="29"/>
      <c r="VN57" s="29"/>
      <c r="VO57" s="29"/>
      <c r="VP57" s="29"/>
      <c r="VQ57" s="29"/>
      <c r="VR57" s="29"/>
      <c r="VS57" s="29"/>
      <c r="VT57" s="29"/>
      <c r="VU57" s="29"/>
      <c r="VV57" s="29"/>
      <c r="VW57" s="29"/>
      <c r="VX57" s="29"/>
      <c r="VY57" s="29"/>
      <c r="VZ57" s="29"/>
      <c r="WA57" s="29"/>
      <c r="WB57" s="29"/>
      <c r="WC57" s="29"/>
      <c r="WD57" s="29"/>
      <c r="WE57" s="29"/>
      <c r="WF57" s="29"/>
      <c r="WG57" s="29"/>
      <c r="WH57" s="29"/>
      <c r="WI57" s="29"/>
      <c r="WJ57" s="29"/>
      <c r="WK57" s="29"/>
      <c r="WL57" s="29"/>
      <c r="WM57" s="29"/>
      <c r="WN57" s="29"/>
      <c r="WO57" s="29"/>
      <c r="WP57" s="29"/>
      <c r="WQ57" s="29"/>
      <c r="WR57" s="29"/>
      <c r="WS57" s="29"/>
    </row>
    <row r="58" spans="1:617" s="3" customFormat="1" ht="15" outlineLevel="1" thickBot="1">
      <c r="A58" s="33"/>
      <c r="B58" s="178" t="s">
        <v>222</v>
      </c>
      <c r="C58" s="178" t="s">
        <v>168</v>
      </c>
      <c r="D58" s="179">
        <v>46055</v>
      </c>
      <c r="E58" s="179">
        <f t="shared" si="592"/>
        <v>46066</v>
      </c>
      <c r="F58" s="14"/>
      <c r="G58" s="14">
        <v>12</v>
      </c>
      <c r="H58" s="29"/>
      <c r="I58" s="29"/>
      <c r="J58" s="29"/>
      <c r="K58" s="29"/>
      <c r="L58" s="29"/>
      <c r="M58" s="29"/>
      <c r="N58" s="29"/>
      <c r="O58" s="29"/>
      <c r="P58" s="29"/>
      <c r="Q58" s="29"/>
      <c r="R58" s="29"/>
      <c r="S58" s="29"/>
      <c r="T58" s="29"/>
      <c r="U58" s="29"/>
      <c r="V58" s="29"/>
      <c r="W58" s="29"/>
      <c r="X58" s="29"/>
      <c r="Y58" s="30"/>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c r="MM58" s="29"/>
      <c r="MN58" s="29"/>
      <c r="MO58" s="29"/>
      <c r="MP58" s="29"/>
      <c r="MQ58" s="29"/>
      <c r="MR58" s="29"/>
      <c r="MS58" s="29"/>
      <c r="MT58" s="29"/>
      <c r="MU58" s="29"/>
      <c r="MV58" s="29"/>
      <c r="MW58" s="29"/>
      <c r="MX58" s="29"/>
      <c r="MY58" s="29"/>
      <c r="MZ58" s="29"/>
      <c r="NA58" s="29"/>
      <c r="NB58" s="29"/>
      <c r="NC58" s="29"/>
      <c r="ND58" s="29"/>
      <c r="NE58" s="29"/>
      <c r="NF58" s="29"/>
      <c r="NG58" s="29"/>
      <c r="NH58" s="29"/>
      <c r="NI58" s="29"/>
      <c r="NJ58" s="29"/>
      <c r="NK58" s="29"/>
      <c r="NL58" s="29"/>
      <c r="NM58" s="29"/>
      <c r="NN58" s="29"/>
      <c r="NO58" s="29"/>
      <c r="NP58" s="29"/>
      <c r="NQ58" s="29"/>
      <c r="NR58" s="29"/>
      <c r="NS58" s="29"/>
      <c r="NT58" s="29"/>
      <c r="NU58" s="29"/>
      <c r="NV58" s="29"/>
      <c r="NW58" s="29"/>
      <c r="NX58" s="29"/>
      <c r="NY58" s="29"/>
      <c r="NZ58" s="29"/>
      <c r="OA58" s="29"/>
      <c r="OB58" s="29"/>
      <c r="OC58" s="29"/>
      <c r="OD58" s="29"/>
      <c r="OE58" s="29"/>
      <c r="OF58" s="29"/>
      <c r="OG58" s="29"/>
      <c r="OH58" s="29"/>
      <c r="OI58" s="29"/>
      <c r="OJ58" s="29"/>
      <c r="OK58" s="29"/>
      <c r="OL58" s="29"/>
      <c r="OM58" s="29"/>
      <c r="ON58" s="29"/>
      <c r="OO58" s="29"/>
      <c r="OP58" s="29"/>
      <c r="OQ58" s="29"/>
      <c r="OR58" s="29"/>
      <c r="OS58" s="29"/>
      <c r="OT58" s="29"/>
      <c r="OU58" s="29"/>
      <c r="OV58" s="29"/>
      <c r="OW58" s="29"/>
      <c r="OX58" s="29"/>
      <c r="OY58" s="29"/>
      <c r="OZ58" s="29"/>
      <c r="PA58" s="29"/>
      <c r="PB58" s="29"/>
      <c r="PC58" s="29"/>
      <c r="PD58" s="29"/>
      <c r="PE58" s="29"/>
      <c r="PF58" s="29"/>
      <c r="PG58" s="29"/>
      <c r="PH58" s="29"/>
      <c r="PI58" s="29"/>
      <c r="PJ58" s="29"/>
      <c r="PK58" s="29"/>
      <c r="PL58" s="29"/>
      <c r="PM58" s="29"/>
      <c r="PN58" s="29"/>
      <c r="PO58" s="29"/>
      <c r="PP58" s="29"/>
      <c r="PQ58" s="29"/>
      <c r="PR58" s="29"/>
      <c r="PS58" s="29"/>
      <c r="PT58" s="29"/>
      <c r="PU58" s="29"/>
      <c r="PV58" s="29"/>
      <c r="PW58" s="29"/>
      <c r="PX58" s="29"/>
      <c r="PY58" s="29"/>
      <c r="PZ58" s="29"/>
      <c r="QA58" s="29"/>
      <c r="QB58" s="29"/>
      <c r="QC58" s="29"/>
      <c r="QD58" s="29"/>
      <c r="QE58" s="29"/>
      <c r="QF58" s="29"/>
      <c r="QG58" s="29"/>
      <c r="QH58" s="29"/>
      <c r="QI58" s="29"/>
      <c r="QJ58" s="29"/>
      <c r="QK58" s="29"/>
      <c r="QL58" s="29"/>
      <c r="QM58" s="29"/>
      <c r="QN58" s="29"/>
      <c r="QO58" s="29"/>
      <c r="QP58" s="29"/>
      <c r="QQ58" s="29"/>
      <c r="QR58" s="29"/>
      <c r="QS58" s="29"/>
      <c r="QT58" s="29"/>
      <c r="QU58" s="29"/>
      <c r="QV58" s="29"/>
      <c r="QW58" s="29"/>
      <c r="QX58" s="29"/>
      <c r="QY58" s="29"/>
      <c r="QZ58" s="29"/>
      <c r="RA58" s="29"/>
      <c r="RB58" s="29"/>
      <c r="RC58" s="29"/>
      <c r="RD58" s="29"/>
      <c r="RE58" s="29"/>
      <c r="RF58" s="29"/>
      <c r="RG58" s="29"/>
      <c r="RH58" s="29"/>
      <c r="RI58" s="29"/>
      <c r="RJ58" s="29"/>
      <c r="RK58" s="29"/>
      <c r="RL58" s="29"/>
      <c r="RM58" s="29"/>
      <c r="RN58" s="29"/>
      <c r="RO58" s="29"/>
      <c r="RP58" s="29"/>
      <c r="RQ58" s="29"/>
      <c r="RR58" s="29"/>
      <c r="RS58" s="29"/>
      <c r="RT58" s="29"/>
      <c r="RU58" s="29"/>
      <c r="RV58" s="29"/>
      <c r="RW58" s="29"/>
      <c r="RX58" s="29"/>
      <c r="RY58" s="29"/>
      <c r="RZ58" s="29"/>
      <c r="SA58" s="29"/>
      <c r="SB58" s="29"/>
      <c r="SC58" s="29"/>
      <c r="SD58" s="29"/>
      <c r="SE58" s="29"/>
      <c r="SF58" s="29"/>
      <c r="SG58" s="29"/>
      <c r="SH58" s="29"/>
      <c r="SI58" s="29"/>
      <c r="SJ58" s="29"/>
      <c r="SK58" s="29"/>
      <c r="SL58" s="29"/>
      <c r="SM58" s="29"/>
      <c r="SN58" s="29"/>
      <c r="SO58" s="29"/>
      <c r="SP58" s="29"/>
      <c r="SQ58" s="29"/>
      <c r="SR58" s="29"/>
      <c r="SS58" s="29"/>
      <c r="ST58" s="29"/>
      <c r="SU58" s="29"/>
      <c r="SV58" s="29"/>
      <c r="SW58" s="29"/>
      <c r="SX58" s="29"/>
      <c r="SY58" s="29"/>
      <c r="SZ58" s="29"/>
      <c r="TA58" s="29"/>
      <c r="TB58" s="29"/>
      <c r="TC58" s="29"/>
      <c r="TD58" s="29"/>
      <c r="TE58" s="29"/>
      <c r="TF58" s="29"/>
      <c r="TG58" s="29"/>
      <c r="TH58" s="29"/>
      <c r="TI58" s="29"/>
      <c r="TJ58" s="29"/>
      <c r="TK58" s="29"/>
      <c r="TL58" s="29"/>
      <c r="TM58" s="29"/>
      <c r="TN58" s="29"/>
      <c r="TO58" s="29"/>
      <c r="TP58" s="29"/>
      <c r="TQ58" s="29"/>
      <c r="TR58" s="29"/>
      <c r="TS58" s="29"/>
      <c r="TT58" s="29"/>
      <c r="TU58" s="29"/>
      <c r="TV58" s="29"/>
      <c r="TW58" s="29"/>
      <c r="TX58" s="29"/>
      <c r="TY58" s="29"/>
      <c r="TZ58" s="29"/>
      <c r="UA58" s="29"/>
      <c r="UB58" s="29"/>
      <c r="UC58" s="29"/>
      <c r="UD58" s="29"/>
      <c r="UE58" s="29"/>
      <c r="UF58" s="29"/>
      <c r="UG58" s="29"/>
      <c r="UH58" s="29"/>
      <c r="UI58" s="29"/>
      <c r="UJ58" s="29"/>
      <c r="UK58" s="29"/>
      <c r="UL58" s="29"/>
      <c r="UM58" s="29"/>
      <c r="UN58" s="29"/>
      <c r="UO58" s="29"/>
      <c r="UP58" s="29"/>
      <c r="UQ58" s="29"/>
      <c r="UR58" s="29"/>
      <c r="US58" s="29"/>
      <c r="UT58" s="29"/>
      <c r="UU58" s="29"/>
      <c r="UV58" s="29"/>
      <c r="UW58" s="29"/>
      <c r="UX58" s="29"/>
      <c r="UY58" s="29"/>
      <c r="UZ58" s="29"/>
      <c r="VA58" s="29"/>
      <c r="VB58" s="29"/>
      <c r="VC58" s="29"/>
      <c r="VD58" s="29"/>
      <c r="VE58" s="29"/>
      <c r="VF58" s="29"/>
      <c r="VG58" s="29"/>
      <c r="VH58" s="29"/>
      <c r="VI58" s="29"/>
      <c r="VJ58" s="29"/>
      <c r="VK58" s="29"/>
      <c r="VL58" s="29"/>
      <c r="VM58" s="29"/>
      <c r="VN58" s="29"/>
      <c r="VO58" s="29"/>
      <c r="VP58" s="29"/>
      <c r="VQ58" s="29"/>
      <c r="VR58" s="29"/>
      <c r="VS58" s="29"/>
      <c r="VT58" s="29"/>
      <c r="VU58" s="29"/>
      <c r="VV58" s="29"/>
      <c r="VW58" s="29"/>
      <c r="VX58" s="29"/>
      <c r="VY58" s="29"/>
      <c r="VZ58" s="29"/>
      <c r="WA58" s="29"/>
      <c r="WB58" s="29"/>
      <c r="WC58" s="29"/>
      <c r="WD58" s="29"/>
      <c r="WE58" s="29"/>
      <c r="WF58" s="29"/>
      <c r="WG58" s="29"/>
      <c r="WH58" s="29"/>
      <c r="WI58" s="29"/>
      <c r="WJ58" s="29"/>
      <c r="WK58" s="29"/>
      <c r="WL58" s="29"/>
      <c r="WM58" s="29"/>
      <c r="WN58" s="29"/>
      <c r="WO58" s="29"/>
      <c r="WP58" s="29"/>
      <c r="WQ58" s="29"/>
      <c r="WR58" s="29"/>
      <c r="WS58" s="29"/>
    </row>
    <row r="59" spans="1:617" s="3" customFormat="1" ht="15" outlineLevel="1" thickBot="1">
      <c r="A59" s="33"/>
      <c r="B59" s="178" t="s">
        <v>223</v>
      </c>
      <c r="C59" s="178"/>
      <c r="D59" s="179">
        <v>46069</v>
      </c>
      <c r="E59" s="179">
        <f>D59+G59-1</f>
        <v>46073</v>
      </c>
      <c r="F59" s="14"/>
      <c r="G59" s="14">
        <v>5</v>
      </c>
      <c r="H59" s="29"/>
      <c r="I59" s="29"/>
      <c r="J59" s="29"/>
      <c r="K59" s="29"/>
      <c r="L59" s="29"/>
      <c r="M59" s="29"/>
      <c r="N59" s="29"/>
      <c r="O59" s="29"/>
      <c r="P59" s="29"/>
      <c r="Q59" s="29"/>
      <c r="R59" s="29"/>
      <c r="S59" s="29"/>
      <c r="T59" s="29"/>
      <c r="U59" s="29"/>
      <c r="V59" s="29"/>
      <c r="W59" s="29"/>
      <c r="X59" s="29"/>
      <c r="Y59" s="30"/>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c r="MM59" s="29"/>
      <c r="MN59" s="29"/>
      <c r="MO59" s="29"/>
      <c r="MP59" s="29"/>
      <c r="MQ59" s="29"/>
      <c r="MR59" s="29"/>
      <c r="MS59" s="29"/>
      <c r="MT59" s="29"/>
      <c r="MU59" s="29"/>
      <c r="MV59" s="29"/>
      <c r="MW59" s="29"/>
      <c r="MX59" s="29"/>
      <c r="MY59" s="29"/>
      <c r="MZ59" s="29"/>
      <c r="NA59" s="29"/>
      <c r="NB59" s="29"/>
      <c r="NC59" s="29"/>
      <c r="ND59" s="29"/>
      <c r="NE59" s="29"/>
      <c r="NF59" s="29"/>
      <c r="NG59" s="29"/>
      <c r="NH59" s="29"/>
      <c r="NI59" s="29"/>
      <c r="NJ59" s="29"/>
      <c r="NK59" s="29"/>
      <c r="NL59" s="29"/>
      <c r="NM59" s="29"/>
      <c r="NN59" s="29"/>
      <c r="NO59" s="29"/>
      <c r="NP59" s="29"/>
      <c r="NQ59" s="29"/>
      <c r="NR59" s="29"/>
      <c r="NS59" s="29"/>
      <c r="NT59" s="29"/>
      <c r="NU59" s="29"/>
      <c r="NV59" s="29"/>
      <c r="NW59" s="29"/>
      <c r="NX59" s="29"/>
      <c r="NY59" s="29"/>
      <c r="NZ59" s="29"/>
      <c r="OA59" s="29"/>
      <c r="OB59" s="29"/>
      <c r="OC59" s="29"/>
      <c r="OD59" s="29"/>
      <c r="OE59" s="29"/>
      <c r="OF59" s="29"/>
      <c r="OG59" s="29"/>
      <c r="OH59" s="29"/>
      <c r="OI59" s="29"/>
      <c r="OJ59" s="29"/>
      <c r="OK59" s="29"/>
      <c r="OL59" s="29"/>
      <c r="OM59" s="29"/>
      <c r="ON59" s="29"/>
      <c r="OO59" s="29"/>
      <c r="OP59" s="29"/>
      <c r="OQ59" s="29"/>
      <c r="OR59" s="29"/>
      <c r="OS59" s="29"/>
      <c r="OT59" s="29"/>
      <c r="OU59" s="29"/>
      <c r="OV59" s="29"/>
      <c r="OW59" s="29"/>
      <c r="OX59" s="29"/>
      <c r="OY59" s="29"/>
      <c r="OZ59" s="29"/>
      <c r="PA59" s="29"/>
      <c r="PB59" s="29"/>
      <c r="PC59" s="29"/>
      <c r="PD59" s="29"/>
      <c r="PE59" s="29"/>
      <c r="PF59" s="29"/>
      <c r="PG59" s="29"/>
      <c r="PH59" s="29"/>
      <c r="PI59" s="29"/>
      <c r="PJ59" s="29"/>
      <c r="PK59" s="29"/>
      <c r="PL59" s="29"/>
      <c r="PM59" s="29"/>
      <c r="PN59" s="29"/>
      <c r="PO59" s="29"/>
      <c r="PP59" s="29"/>
      <c r="PQ59" s="29"/>
      <c r="PR59" s="29"/>
      <c r="PS59" s="29"/>
      <c r="PT59" s="29"/>
      <c r="PU59" s="29"/>
      <c r="PV59" s="29"/>
      <c r="PW59" s="29"/>
      <c r="PX59" s="29"/>
      <c r="PY59" s="29"/>
      <c r="PZ59" s="29"/>
      <c r="QA59" s="29"/>
      <c r="QB59" s="29"/>
      <c r="QC59" s="29"/>
      <c r="QD59" s="29"/>
      <c r="QE59" s="29"/>
      <c r="QF59" s="29"/>
      <c r="QG59" s="29"/>
      <c r="QH59" s="29"/>
      <c r="QI59" s="29"/>
      <c r="QJ59" s="29"/>
      <c r="QK59" s="29"/>
      <c r="QL59" s="29"/>
      <c r="QM59" s="29"/>
      <c r="QN59" s="29"/>
      <c r="QO59" s="29"/>
      <c r="QP59" s="29"/>
      <c r="QQ59" s="29"/>
      <c r="QR59" s="29"/>
      <c r="QS59" s="29"/>
      <c r="QT59" s="29"/>
      <c r="QU59" s="29"/>
      <c r="QV59" s="29"/>
      <c r="QW59" s="29"/>
      <c r="QX59" s="29"/>
      <c r="QY59" s="29"/>
      <c r="QZ59" s="29"/>
      <c r="RA59" s="29"/>
      <c r="RB59" s="29"/>
      <c r="RC59" s="29"/>
      <c r="RD59" s="29"/>
      <c r="RE59" s="29"/>
      <c r="RF59" s="29"/>
      <c r="RG59" s="29"/>
      <c r="RH59" s="29"/>
      <c r="RI59" s="29"/>
      <c r="RJ59" s="29"/>
      <c r="RK59" s="29"/>
      <c r="RL59" s="29"/>
      <c r="RM59" s="29"/>
      <c r="RN59" s="29"/>
      <c r="RO59" s="29"/>
      <c r="RP59" s="29"/>
      <c r="RQ59" s="29"/>
      <c r="RR59" s="29"/>
      <c r="RS59" s="29"/>
      <c r="RT59" s="29"/>
      <c r="RU59" s="29"/>
      <c r="RV59" s="29"/>
      <c r="RW59" s="29"/>
      <c r="RX59" s="29"/>
      <c r="RY59" s="29"/>
      <c r="RZ59" s="29"/>
      <c r="SA59" s="29"/>
      <c r="SB59" s="29"/>
      <c r="SC59" s="29"/>
      <c r="SD59" s="29"/>
      <c r="SE59" s="29"/>
      <c r="SF59" s="29"/>
      <c r="SG59" s="29"/>
      <c r="SH59" s="29"/>
      <c r="SI59" s="29"/>
      <c r="SJ59" s="29"/>
      <c r="SK59" s="29"/>
      <c r="SL59" s="29"/>
      <c r="SM59" s="29"/>
      <c r="SN59" s="29"/>
      <c r="SO59" s="29"/>
      <c r="SP59" s="29"/>
      <c r="SQ59" s="29"/>
      <c r="SR59" s="29"/>
      <c r="SS59" s="29"/>
      <c r="ST59" s="29"/>
      <c r="SU59" s="29"/>
      <c r="SV59" s="29"/>
      <c r="SW59" s="29"/>
      <c r="SX59" s="29"/>
      <c r="SY59" s="29"/>
      <c r="SZ59" s="29"/>
      <c r="TA59" s="29"/>
      <c r="TB59" s="29"/>
      <c r="TC59" s="29"/>
      <c r="TD59" s="29"/>
      <c r="TE59" s="29"/>
      <c r="TF59" s="29"/>
      <c r="TG59" s="29"/>
      <c r="TH59" s="29"/>
      <c r="TI59" s="29"/>
      <c r="TJ59" s="29"/>
      <c r="TK59" s="29"/>
      <c r="TL59" s="29"/>
      <c r="TM59" s="29"/>
      <c r="TN59" s="29"/>
      <c r="TO59" s="29"/>
      <c r="TP59" s="29"/>
      <c r="TQ59" s="29"/>
      <c r="TR59" s="29"/>
      <c r="TS59" s="29"/>
      <c r="TT59" s="29"/>
      <c r="TU59" s="29"/>
      <c r="TV59" s="29"/>
      <c r="TW59" s="29"/>
      <c r="TX59" s="29"/>
      <c r="TY59" s="29"/>
      <c r="TZ59" s="29"/>
      <c r="UA59" s="29"/>
      <c r="UB59" s="29"/>
      <c r="UC59" s="29"/>
      <c r="UD59" s="29"/>
      <c r="UE59" s="29"/>
      <c r="UF59" s="29"/>
      <c r="UG59" s="29"/>
      <c r="UH59" s="29"/>
      <c r="UI59" s="29"/>
      <c r="UJ59" s="29"/>
      <c r="UK59" s="29"/>
      <c r="UL59" s="29"/>
      <c r="UM59" s="29"/>
      <c r="UN59" s="29"/>
      <c r="UO59" s="29"/>
      <c r="UP59" s="29"/>
      <c r="UQ59" s="29"/>
      <c r="UR59" s="29"/>
      <c r="US59" s="29"/>
      <c r="UT59" s="29"/>
      <c r="UU59" s="29"/>
      <c r="UV59" s="29"/>
      <c r="UW59" s="29"/>
      <c r="UX59" s="29"/>
      <c r="UY59" s="29"/>
      <c r="UZ59" s="29"/>
      <c r="VA59" s="29"/>
      <c r="VB59" s="29"/>
      <c r="VC59" s="29"/>
      <c r="VD59" s="29"/>
      <c r="VE59" s="29"/>
      <c r="VF59" s="29"/>
      <c r="VG59" s="29"/>
      <c r="VH59" s="29"/>
      <c r="VI59" s="29"/>
      <c r="VJ59" s="29"/>
      <c r="VK59" s="29"/>
      <c r="VL59" s="29"/>
      <c r="VM59" s="29"/>
      <c r="VN59" s="29"/>
      <c r="VO59" s="29"/>
      <c r="VP59" s="29"/>
      <c r="VQ59" s="29"/>
      <c r="VR59" s="29"/>
      <c r="VS59" s="29"/>
      <c r="VT59" s="29"/>
      <c r="VU59" s="29"/>
      <c r="VV59" s="29"/>
      <c r="VW59" s="29"/>
      <c r="VX59" s="29"/>
      <c r="VY59" s="29"/>
      <c r="VZ59" s="29"/>
      <c r="WA59" s="29"/>
      <c r="WB59" s="29"/>
      <c r="WC59" s="29"/>
      <c r="WD59" s="29"/>
      <c r="WE59" s="29"/>
      <c r="WF59" s="29"/>
      <c r="WG59" s="29"/>
      <c r="WH59" s="29"/>
      <c r="WI59" s="29"/>
      <c r="WJ59" s="29"/>
      <c r="WK59" s="29"/>
      <c r="WL59" s="29"/>
      <c r="WM59" s="29"/>
      <c r="WN59" s="29"/>
      <c r="WO59" s="29"/>
      <c r="WP59" s="29"/>
      <c r="WQ59" s="29"/>
      <c r="WR59" s="29"/>
      <c r="WS59" s="29"/>
    </row>
    <row r="60" spans="1:617" s="3" customFormat="1" ht="15" outlineLevel="1" thickBot="1">
      <c r="A60" s="33"/>
      <c r="B60" s="178" t="s">
        <v>222</v>
      </c>
      <c r="C60" s="178" t="s">
        <v>183</v>
      </c>
      <c r="D60" s="179">
        <v>46078</v>
      </c>
      <c r="E60" s="179">
        <f>D60+G60-1</f>
        <v>46092</v>
      </c>
      <c r="F60" s="14"/>
      <c r="G60" s="14">
        <v>15</v>
      </c>
      <c r="H60" s="29"/>
      <c r="I60" s="29"/>
      <c r="J60" s="29"/>
      <c r="K60" s="29"/>
      <c r="L60" s="29"/>
      <c r="M60" s="29"/>
      <c r="N60" s="29"/>
      <c r="O60" s="29"/>
      <c r="P60" s="29"/>
      <c r="Q60" s="29"/>
      <c r="R60" s="29"/>
      <c r="S60" s="29"/>
      <c r="T60" s="29"/>
      <c r="U60" s="29"/>
      <c r="V60" s="29"/>
      <c r="W60" s="29"/>
      <c r="X60" s="29"/>
      <c r="Y60" s="30"/>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c r="MM60" s="29"/>
      <c r="MN60" s="29"/>
      <c r="MO60" s="29"/>
      <c r="MP60" s="29"/>
      <c r="MQ60" s="29"/>
      <c r="MR60" s="29"/>
      <c r="MS60" s="29"/>
      <c r="MT60" s="29"/>
      <c r="MU60" s="29"/>
      <c r="MV60" s="29"/>
      <c r="MW60" s="29"/>
      <c r="MX60" s="29"/>
      <c r="MY60" s="29"/>
      <c r="MZ60" s="29"/>
      <c r="NA60" s="29"/>
      <c r="NB60" s="29"/>
      <c r="NC60" s="29"/>
      <c r="ND60" s="29"/>
      <c r="NE60" s="29"/>
      <c r="NF60" s="29"/>
      <c r="NG60" s="29"/>
      <c r="NH60" s="29"/>
      <c r="NI60" s="29"/>
      <c r="NJ60" s="29"/>
      <c r="NK60" s="29"/>
      <c r="NL60" s="29"/>
      <c r="NM60" s="29"/>
      <c r="NN60" s="29"/>
      <c r="NO60" s="29"/>
      <c r="NP60" s="29"/>
      <c r="NQ60" s="29"/>
      <c r="NR60" s="29"/>
      <c r="NS60" s="29"/>
      <c r="NT60" s="29"/>
      <c r="NU60" s="29"/>
      <c r="NV60" s="29"/>
      <c r="NW60" s="29"/>
      <c r="NX60" s="29"/>
      <c r="NY60" s="29"/>
      <c r="NZ60" s="29"/>
      <c r="OA60" s="29"/>
      <c r="OB60" s="29"/>
      <c r="OC60" s="29"/>
      <c r="OD60" s="29"/>
      <c r="OE60" s="29"/>
      <c r="OF60" s="29"/>
      <c r="OG60" s="29"/>
      <c r="OH60" s="29"/>
      <c r="OI60" s="29"/>
      <c r="OJ60" s="29"/>
      <c r="OK60" s="29"/>
      <c r="OL60" s="29"/>
      <c r="OM60" s="29"/>
      <c r="ON60" s="29"/>
      <c r="OO60" s="29"/>
      <c r="OP60" s="29"/>
      <c r="OQ60" s="29"/>
      <c r="OR60" s="29"/>
      <c r="OS60" s="29"/>
      <c r="OT60" s="29"/>
      <c r="OU60" s="29"/>
      <c r="OV60" s="29"/>
      <c r="OW60" s="29"/>
      <c r="OX60" s="29"/>
      <c r="OY60" s="29"/>
      <c r="OZ60" s="29"/>
      <c r="PA60" s="29"/>
      <c r="PB60" s="29"/>
      <c r="PC60" s="29"/>
      <c r="PD60" s="29"/>
      <c r="PE60" s="29"/>
      <c r="PF60" s="29"/>
      <c r="PG60" s="29"/>
      <c r="PH60" s="29"/>
      <c r="PI60" s="29"/>
      <c r="PJ60" s="29"/>
      <c r="PK60" s="29"/>
      <c r="PL60" s="29"/>
      <c r="PM60" s="29"/>
      <c r="PN60" s="29"/>
      <c r="PO60" s="29"/>
      <c r="PP60" s="29"/>
      <c r="PQ60" s="29"/>
      <c r="PR60" s="29"/>
      <c r="PS60" s="29"/>
      <c r="PT60" s="29"/>
      <c r="PU60" s="29"/>
      <c r="PV60" s="29"/>
      <c r="PW60" s="29"/>
      <c r="PX60" s="29"/>
      <c r="PY60" s="29"/>
      <c r="PZ60" s="29"/>
      <c r="QA60" s="29"/>
      <c r="QB60" s="29"/>
      <c r="QC60" s="29"/>
      <c r="QD60" s="29"/>
      <c r="QE60" s="29"/>
      <c r="QF60" s="29"/>
      <c r="QG60" s="29"/>
      <c r="QH60" s="29"/>
      <c r="QI60" s="29"/>
      <c r="QJ60" s="29"/>
      <c r="QK60" s="29"/>
      <c r="QL60" s="29"/>
      <c r="QM60" s="29"/>
      <c r="QN60" s="29"/>
      <c r="QO60" s="29"/>
      <c r="QP60" s="29"/>
      <c r="QQ60" s="29"/>
      <c r="QR60" s="29"/>
      <c r="QS60" s="29"/>
      <c r="QT60" s="29"/>
      <c r="QU60" s="29"/>
      <c r="QV60" s="29"/>
      <c r="QW60" s="29"/>
      <c r="QX60" s="29"/>
      <c r="QY60" s="29"/>
      <c r="QZ60" s="29"/>
      <c r="RA60" s="29"/>
      <c r="RB60" s="29"/>
      <c r="RC60" s="29"/>
      <c r="RD60" s="29"/>
      <c r="RE60" s="29"/>
      <c r="RF60" s="29"/>
      <c r="RG60" s="29"/>
      <c r="RH60" s="29"/>
      <c r="RI60" s="29"/>
      <c r="RJ60" s="29"/>
      <c r="RK60" s="29"/>
      <c r="RL60" s="29"/>
      <c r="RM60" s="29"/>
      <c r="RN60" s="29"/>
      <c r="RO60" s="29"/>
      <c r="RP60" s="29"/>
      <c r="RQ60" s="29"/>
      <c r="RR60" s="29"/>
      <c r="RS60" s="29"/>
      <c r="RT60" s="29"/>
      <c r="RU60" s="29"/>
      <c r="RV60" s="29"/>
      <c r="RW60" s="29"/>
      <c r="RX60" s="29"/>
      <c r="RY60" s="29"/>
      <c r="RZ60" s="29"/>
      <c r="SA60" s="29"/>
      <c r="SB60" s="29"/>
      <c r="SC60" s="29"/>
      <c r="SD60" s="29"/>
      <c r="SE60" s="29"/>
      <c r="SF60" s="29"/>
      <c r="SG60" s="29"/>
      <c r="SH60" s="29"/>
      <c r="SI60" s="29"/>
      <c r="SJ60" s="29"/>
      <c r="SK60" s="29"/>
      <c r="SL60" s="29"/>
      <c r="SM60" s="29"/>
      <c r="SN60" s="29"/>
      <c r="SO60" s="29"/>
      <c r="SP60" s="29"/>
      <c r="SQ60" s="29"/>
      <c r="SR60" s="29"/>
      <c r="SS60" s="29"/>
      <c r="ST60" s="29"/>
      <c r="SU60" s="29"/>
      <c r="SV60" s="29"/>
      <c r="SW60" s="29"/>
      <c r="SX60" s="29"/>
      <c r="SY60" s="29"/>
      <c r="SZ60" s="29"/>
      <c r="TA60" s="29"/>
      <c r="TB60" s="29"/>
      <c r="TC60" s="29"/>
      <c r="TD60" s="29"/>
      <c r="TE60" s="29"/>
      <c r="TF60" s="29"/>
      <c r="TG60" s="29"/>
      <c r="TH60" s="29"/>
      <c r="TI60" s="29"/>
      <c r="TJ60" s="29"/>
      <c r="TK60" s="29"/>
      <c r="TL60" s="29"/>
      <c r="TM60" s="29"/>
      <c r="TN60" s="29"/>
      <c r="TO60" s="29"/>
      <c r="TP60" s="29"/>
      <c r="TQ60" s="29"/>
      <c r="TR60" s="29"/>
      <c r="TS60" s="29"/>
      <c r="TT60" s="29"/>
      <c r="TU60" s="29"/>
      <c r="TV60" s="29"/>
      <c r="TW60" s="29"/>
      <c r="TX60" s="29"/>
      <c r="TY60" s="29"/>
      <c r="TZ60" s="29"/>
      <c r="UA60" s="29"/>
      <c r="UB60" s="29"/>
      <c r="UC60" s="29"/>
      <c r="UD60" s="29"/>
      <c r="UE60" s="29"/>
      <c r="UF60" s="29"/>
      <c r="UG60" s="29"/>
      <c r="UH60" s="29"/>
      <c r="UI60" s="29"/>
      <c r="UJ60" s="29"/>
      <c r="UK60" s="29"/>
      <c r="UL60" s="29"/>
      <c r="UM60" s="29"/>
      <c r="UN60" s="29"/>
      <c r="UO60" s="29"/>
      <c r="UP60" s="29"/>
      <c r="UQ60" s="29"/>
      <c r="UR60" s="29"/>
      <c r="US60" s="29"/>
      <c r="UT60" s="29"/>
      <c r="UU60" s="29"/>
      <c r="UV60" s="29"/>
      <c r="UW60" s="29"/>
      <c r="UX60" s="29"/>
      <c r="UY60" s="29"/>
      <c r="UZ60" s="29"/>
      <c r="VA60" s="29"/>
      <c r="VB60" s="29"/>
      <c r="VC60" s="29"/>
      <c r="VD60" s="29"/>
      <c r="VE60" s="29"/>
      <c r="VF60" s="29"/>
      <c r="VG60" s="29"/>
      <c r="VH60" s="29"/>
      <c r="VI60" s="29"/>
      <c r="VJ60" s="29"/>
      <c r="VK60" s="29"/>
      <c r="VL60" s="29"/>
      <c r="VM60" s="29"/>
      <c r="VN60" s="29"/>
      <c r="VO60" s="29"/>
      <c r="VP60" s="29"/>
      <c r="VQ60" s="29"/>
      <c r="VR60" s="29"/>
      <c r="VS60" s="29"/>
      <c r="VT60" s="29"/>
      <c r="VU60" s="29"/>
      <c r="VV60" s="29"/>
      <c r="VW60" s="29"/>
      <c r="VX60" s="29"/>
      <c r="VY60" s="29"/>
      <c r="VZ60" s="29"/>
      <c r="WA60" s="29"/>
      <c r="WB60" s="29"/>
      <c r="WC60" s="29"/>
      <c r="WD60" s="29"/>
      <c r="WE60" s="29"/>
      <c r="WF60" s="29"/>
      <c r="WG60" s="29"/>
      <c r="WH60" s="29"/>
      <c r="WI60" s="29"/>
      <c r="WJ60" s="29"/>
      <c r="WK60" s="29"/>
      <c r="WL60" s="29"/>
      <c r="WM60" s="29"/>
      <c r="WN60" s="29"/>
      <c r="WO60" s="29"/>
      <c r="WP60" s="29"/>
      <c r="WQ60" s="29"/>
      <c r="WR60" s="29"/>
      <c r="WS60" s="29"/>
    </row>
    <row r="61" spans="1:617" s="3" customFormat="1" ht="15" outlineLevel="1" thickBot="1">
      <c r="A61" s="33"/>
      <c r="B61" s="178" t="s">
        <v>224</v>
      </c>
      <c r="C61" s="178" t="s">
        <v>26</v>
      </c>
      <c r="D61" s="179">
        <v>46078</v>
      </c>
      <c r="E61" s="179">
        <f>D61+G61-1</f>
        <v>46094</v>
      </c>
      <c r="F61" s="14"/>
      <c r="G61" s="14">
        <v>17</v>
      </c>
      <c r="H61" s="29"/>
      <c r="I61" s="29"/>
      <c r="J61" s="29"/>
      <c r="K61" s="29"/>
      <c r="L61" s="29"/>
      <c r="M61" s="29"/>
      <c r="N61" s="29"/>
      <c r="O61" s="29"/>
      <c r="P61" s="29"/>
      <c r="Q61" s="29"/>
      <c r="R61" s="29"/>
      <c r="S61" s="29"/>
      <c r="T61" s="29"/>
      <c r="U61" s="29"/>
      <c r="V61" s="29"/>
      <c r="W61" s="29"/>
      <c r="X61" s="29"/>
      <c r="Y61" s="30"/>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c r="MM61" s="29"/>
      <c r="MN61" s="29"/>
      <c r="MO61" s="29"/>
      <c r="MP61" s="29"/>
      <c r="MQ61" s="29"/>
      <c r="MR61" s="29"/>
      <c r="MS61" s="29"/>
      <c r="MT61" s="29"/>
      <c r="MU61" s="29"/>
      <c r="MV61" s="29"/>
      <c r="MW61" s="29"/>
      <c r="MX61" s="29"/>
      <c r="MY61" s="29"/>
      <c r="MZ61" s="29"/>
      <c r="NA61" s="29"/>
      <c r="NB61" s="29"/>
      <c r="NC61" s="29"/>
      <c r="ND61" s="29"/>
      <c r="NE61" s="29"/>
      <c r="NF61" s="29"/>
      <c r="NG61" s="29"/>
      <c r="NH61" s="29"/>
      <c r="NI61" s="29"/>
      <c r="NJ61" s="29"/>
      <c r="NK61" s="29"/>
      <c r="NL61" s="29"/>
      <c r="NM61" s="29"/>
      <c r="NN61" s="29"/>
      <c r="NO61" s="29"/>
      <c r="NP61" s="29"/>
      <c r="NQ61" s="29"/>
      <c r="NR61" s="29"/>
      <c r="NS61" s="29"/>
      <c r="NT61" s="29"/>
      <c r="NU61" s="29"/>
      <c r="NV61" s="29"/>
      <c r="NW61" s="29"/>
      <c r="NX61" s="29"/>
      <c r="NY61" s="29"/>
      <c r="NZ61" s="29"/>
      <c r="OA61" s="29"/>
      <c r="OB61" s="29"/>
      <c r="OC61" s="29"/>
      <c r="OD61" s="29"/>
      <c r="OE61" s="29"/>
      <c r="OF61" s="29"/>
      <c r="OG61" s="29"/>
      <c r="OH61" s="29"/>
      <c r="OI61" s="29"/>
      <c r="OJ61" s="29"/>
      <c r="OK61" s="29"/>
      <c r="OL61" s="29"/>
      <c r="OM61" s="29"/>
      <c r="ON61" s="29"/>
      <c r="OO61" s="29"/>
      <c r="OP61" s="29"/>
      <c r="OQ61" s="29"/>
      <c r="OR61" s="29"/>
      <c r="OS61" s="29"/>
      <c r="OT61" s="29"/>
      <c r="OU61" s="29"/>
      <c r="OV61" s="29"/>
      <c r="OW61" s="29"/>
      <c r="OX61" s="29"/>
      <c r="OY61" s="29"/>
      <c r="OZ61" s="29"/>
      <c r="PA61" s="29"/>
      <c r="PB61" s="29"/>
      <c r="PC61" s="29"/>
      <c r="PD61" s="29"/>
      <c r="PE61" s="29"/>
      <c r="PF61" s="29"/>
      <c r="PG61" s="29"/>
      <c r="PH61" s="29"/>
      <c r="PI61" s="29"/>
      <c r="PJ61" s="29"/>
      <c r="PK61" s="29"/>
      <c r="PL61" s="29"/>
      <c r="PM61" s="29"/>
      <c r="PN61" s="29"/>
      <c r="PO61" s="29"/>
      <c r="PP61" s="29"/>
      <c r="PQ61" s="29"/>
      <c r="PR61" s="29"/>
      <c r="PS61" s="29"/>
      <c r="PT61" s="29"/>
      <c r="PU61" s="29"/>
      <c r="PV61" s="29"/>
      <c r="PW61" s="29"/>
      <c r="PX61" s="29"/>
      <c r="PY61" s="29"/>
      <c r="PZ61" s="29"/>
      <c r="QA61" s="29"/>
      <c r="QB61" s="29"/>
      <c r="QC61" s="29"/>
      <c r="QD61" s="29"/>
      <c r="QE61" s="29"/>
      <c r="QF61" s="29"/>
      <c r="QG61" s="29"/>
      <c r="QH61" s="29"/>
      <c r="QI61" s="29"/>
      <c r="QJ61" s="29"/>
      <c r="QK61" s="29"/>
      <c r="QL61" s="29"/>
      <c r="QM61" s="29"/>
      <c r="QN61" s="29"/>
      <c r="QO61" s="29"/>
      <c r="QP61" s="29"/>
      <c r="QQ61" s="29"/>
      <c r="QR61" s="29"/>
      <c r="QS61" s="29"/>
      <c r="QT61" s="29"/>
      <c r="QU61" s="29"/>
      <c r="QV61" s="29"/>
      <c r="QW61" s="29"/>
      <c r="QX61" s="29"/>
      <c r="QY61" s="29"/>
      <c r="QZ61" s="29"/>
      <c r="RA61" s="29"/>
      <c r="RB61" s="29"/>
      <c r="RC61" s="29"/>
      <c r="RD61" s="29"/>
      <c r="RE61" s="29"/>
      <c r="RF61" s="29"/>
      <c r="RG61" s="29"/>
      <c r="RH61" s="29"/>
      <c r="RI61" s="29"/>
      <c r="RJ61" s="29"/>
      <c r="RK61" s="29"/>
      <c r="RL61" s="29"/>
      <c r="RM61" s="29"/>
      <c r="RN61" s="29"/>
      <c r="RO61" s="29"/>
      <c r="RP61" s="29"/>
      <c r="RQ61" s="29"/>
      <c r="RR61" s="29"/>
      <c r="RS61" s="29"/>
      <c r="RT61" s="29"/>
      <c r="RU61" s="29"/>
      <c r="RV61" s="29"/>
      <c r="RW61" s="29"/>
      <c r="RX61" s="29"/>
      <c r="RY61" s="29"/>
      <c r="RZ61" s="29"/>
      <c r="SA61" s="29"/>
      <c r="SB61" s="29"/>
      <c r="SC61" s="29"/>
      <c r="SD61" s="29"/>
      <c r="SE61" s="29"/>
      <c r="SF61" s="29"/>
      <c r="SG61" s="29"/>
      <c r="SH61" s="29"/>
      <c r="SI61" s="29"/>
      <c r="SJ61" s="29"/>
      <c r="SK61" s="29"/>
      <c r="SL61" s="29"/>
      <c r="SM61" s="29"/>
      <c r="SN61" s="29"/>
      <c r="SO61" s="29"/>
      <c r="SP61" s="29"/>
      <c r="SQ61" s="29"/>
      <c r="SR61" s="29"/>
      <c r="SS61" s="29"/>
      <c r="ST61" s="29"/>
      <c r="SU61" s="29"/>
      <c r="SV61" s="29"/>
      <c r="SW61" s="29"/>
      <c r="SX61" s="29"/>
      <c r="SY61" s="29"/>
      <c r="SZ61" s="29"/>
      <c r="TA61" s="29"/>
      <c r="TB61" s="29"/>
      <c r="TC61" s="29"/>
      <c r="TD61" s="29"/>
      <c r="TE61" s="29"/>
      <c r="TF61" s="29"/>
      <c r="TG61" s="29"/>
      <c r="TH61" s="29"/>
      <c r="TI61" s="29"/>
      <c r="TJ61" s="29"/>
      <c r="TK61" s="29"/>
      <c r="TL61" s="29"/>
      <c r="TM61" s="29"/>
      <c r="TN61" s="29"/>
      <c r="TO61" s="29"/>
      <c r="TP61" s="29"/>
      <c r="TQ61" s="29"/>
      <c r="TR61" s="29"/>
      <c r="TS61" s="29"/>
      <c r="TT61" s="29"/>
      <c r="TU61" s="29"/>
      <c r="TV61" s="29"/>
      <c r="TW61" s="29"/>
      <c r="TX61" s="29"/>
      <c r="TY61" s="29"/>
      <c r="TZ61" s="29"/>
      <c r="UA61" s="29"/>
      <c r="UB61" s="29"/>
      <c r="UC61" s="29"/>
      <c r="UD61" s="29"/>
      <c r="UE61" s="29"/>
      <c r="UF61" s="29"/>
      <c r="UG61" s="29"/>
      <c r="UH61" s="29"/>
      <c r="UI61" s="29"/>
      <c r="UJ61" s="29"/>
      <c r="UK61" s="29"/>
      <c r="UL61" s="29"/>
      <c r="UM61" s="29"/>
      <c r="UN61" s="29"/>
      <c r="UO61" s="29"/>
      <c r="UP61" s="29"/>
      <c r="UQ61" s="29"/>
      <c r="UR61" s="29"/>
      <c r="US61" s="29"/>
      <c r="UT61" s="29"/>
      <c r="UU61" s="29"/>
      <c r="UV61" s="29"/>
      <c r="UW61" s="29"/>
      <c r="UX61" s="29"/>
      <c r="UY61" s="29"/>
      <c r="UZ61" s="29"/>
      <c r="VA61" s="29"/>
      <c r="VB61" s="29"/>
      <c r="VC61" s="29"/>
      <c r="VD61" s="29"/>
      <c r="VE61" s="29"/>
      <c r="VF61" s="29"/>
      <c r="VG61" s="29"/>
      <c r="VH61" s="29"/>
      <c r="VI61" s="29"/>
      <c r="VJ61" s="29"/>
      <c r="VK61" s="29"/>
      <c r="VL61" s="29"/>
      <c r="VM61" s="29"/>
      <c r="VN61" s="29"/>
      <c r="VO61" s="29"/>
      <c r="VP61" s="29"/>
      <c r="VQ61" s="29"/>
      <c r="VR61" s="29"/>
      <c r="VS61" s="29"/>
      <c r="VT61" s="29"/>
      <c r="VU61" s="29"/>
      <c r="VV61" s="29"/>
      <c r="VW61" s="29"/>
      <c r="VX61" s="29"/>
      <c r="VY61" s="29"/>
      <c r="VZ61" s="29"/>
      <c r="WA61" s="29"/>
      <c r="WB61" s="29"/>
      <c r="WC61" s="29"/>
      <c r="WD61" s="29"/>
      <c r="WE61" s="29"/>
      <c r="WF61" s="29"/>
      <c r="WG61" s="29"/>
      <c r="WH61" s="29"/>
      <c r="WI61" s="29"/>
      <c r="WJ61" s="29"/>
      <c r="WK61" s="29"/>
      <c r="WL61" s="29"/>
      <c r="WM61" s="29"/>
      <c r="WN61" s="29"/>
      <c r="WO61" s="29"/>
      <c r="WP61" s="29"/>
      <c r="WQ61" s="29"/>
      <c r="WR61" s="29"/>
      <c r="WS61" s="29"/>
    </row>
    <row r="62" spans="1:617" s="3" customFormat="1" ht="15" outlineLevel="1" thickBot="1">
      <c r="A62" s="33"/>
      <c r="B62" s="178" t="s">
        <v>222</v>
      </c>
      <c r="C62" s="178" t="s">
        <v>171</v>
      </c>
      <c r="D62" s="179">
        <v>46092</v>
      </c>
      <c r="E62" s="179">
        <f>D62+G62-1</f>
        <v>46108</v>
      </c>
      <c r="F62" s="14"/>
      <c r="G62" s="14">
        <v>17</v>
      </c>
      <c r="H62" s="29"/>
      <c r="I62" s="29"/>
      <c r="J62" s="29"/>
      <c r="K62" s="29"/>
      <c r="L62" s="29"/>
      <c r="M62" s="29"/>
      <c r="N62" s="29"/>
      <c r="O62" s="29"/>
      <c r="P62" s="29"/>
      <c r="Q62" s="29"/>
      <c r="R62" s="29"/>
      <c r="S62" s="29"/>
      <c r="T62" s="29"/>
      <c r="U62" s="29"/>
      <c r="V62" s="29"/>
      <c r="W62" s="29"/>
      <c r="X62" s="29"/>
      <c r="Y62" s="30"/>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c r="MM62" s="29"/>
      <c r="MN62" s="29"/>
      <c r="MO62" s="29"/>
      <c r="MP62" s="29"/>
      <c r="MQ62" s="29"/>
      <c r="MR62" s="29"/>
      <c r="MS62" s="29"/>
      <c r="MT62" s="29"/>
      <c r="MU62" s="29"/>
      <c r="MV62" s="29"/>
      <c r="MW62" s="29"/>
      <c r="MX62" s="29"/>
      <c r="MY62" s="29"/>
      <c r="MZ62" s="29"/>
      <c r="NA62" s="29"/>
      <c r="NB62" s="29"/>
      <c r="NC62" s="29"/>
      <c r="ND62" s="29"/>
      <c r="NE62" s="29"/>
      <c r="NF62" s="29"/>
      <c r="NG62" s="29"/>
      <c r="NH62" s="29"/>
      <c r="NI62" s="29"/>
      <c r="NJ62" s="29"/>
      <c r="NK62" s="29"/>
      <c r="NL62" s="29"/>
      <c r="NM62" s="29"/>
      <c r="NN62" s="29"/>
      <c r="NO62" s="29"/>
      <c r="NP62" s="29"/>
      <c r="NQ62" s="29"/>
      <c r="NR62" s="29"/>
      <c r="NS62" s="29"/>
      <c r="NT62" s="29"/>
      <c r="NU62" s="29"/>
      <c r="NV62" s="29"/>
      <c r="NW62" s="29"/>
      <c r="NX62" s="29"/>
      <c r="NY62" s="29"/>
      <c r="NZ62" s="29"/>
      <c r="OA62" s="29"/>
      <c r="OB62" s="29"/>
      <c r="OC62" s="29"/>
      <c r="OD62" s="29"/>
      <c r="OE62" s="29"/>
      <c r="OF62" s="29"/>
      <c r="OG62" s="29"/>
      <c r="OH62" s="29"/>
      <c r="OI62" s="29"/>
      <c r="OJ62" s="29"/>
      <c r="OK62" s="29"/>
      <c r="OL62" s="29"/>
      <c r="OM62" s="29"/>
      <c r="ON62" s="29"/>
      <c r="OO62" s="29"/>
      <c r="OP62" s="29"/>
      <c r="OQ62" s="29"/>
      <c r="OR62" s="29"/>
      <c r="OS62" s="29"/>
      <c r="OT62" s="29"/>
      <c r="OU62" s="29"/>
      <c r="OV62" s="29"/>
      <c r="OW62" s="29"/>
      <c r="OX62" s="29"/>
      <c r="OY62" s="29"/>
      <c r="OZ62" s="29"/>
      <c r="PA62" s="29"/>
      <c r="PB62" s="29"/>
      <c r="PC62" s="29"/>
      <c r="PD62" s="29"/>
      <c r="PE62" s="29"/>
      <c r="PF62" s="29"/>
      <c r="PG62" s="29"/>
      <c r="PH62" s="29"/>
      <c r="PI62" s="29"/>
      <c r="PJ62" s="29"/>
      <c r="PK62" s="29"/>
      <c r="PL62" s="29"/>
      <c r="PM62" s="29"/>
      <c r="PN62" s="29"/>
      <c r="PO62" s="29"/>
      <c r="PP62" s="29"/>
      <c r="PQ62" s="29"/>
      <c r="PR62" s="29"/>
      <c r="PS62" s="29"/>
      <c r="PT62" s="29"/>
      <c r="PU62" s="29"/>
      <c r="PV62" s="29"/>
      <c r="PW62" s="29"/>
      <c r="PX62" s="29"/>
      <c r="PY62" s="29"/>
      <c r="PZ62" s="29"/>
      <c r="QA62" s="29"/>
      <c r="QB62" s="29"/>
      <c r="QC62" s="29"/>
      <c r="QD62" s="29"/>
      <c r="QE62" s="29"/>
      <c r="QF62" s="29"/>
      <c r="QG62" s="29"/>
      <c r="QH62" s="29"/>
      <c r="QI62" s="29"/>
      <c r="QJ62" s="29"/>
      <c r="QK62" s="29"/>
      <c r="QL62" s="29"/>
      <c r="QM62" s="29"/>
      <c r="QN62" s="29"/>
      <c r="QO62" s="29"/>
      <c r="QP62" s="29"/>
      <c r="QQ62" s="29"/>
      <c r="QR62" s="29"/>
      <c r="QS62" s="29"/>
      <c r="QT62" s="29"/>
      <c r="QU62" s="29"/>
      <c r="QV62" s="29"/>
      <c r="QW62" s="29"/>
      <c r="QX62" s="29"/>
      <c r="QY62" s="29"/>
      <c r="QZ62" s="29"/>
      <c r="RA62" s="29"/>
      <c r="RB62" s="29"/>
      <c r="RC62" s="29"/>
      <c r="RD62" s="29"/>
      <c r="RE62" s="29"/>
      <c r="RF62" s="29"/>
      <c r="RG62" s="29"/>
      <c r="RH62" s="29"/>
      <c r="RI62" s="29"/>
      <c r="RJ62" s="29"/>
      <c r="RK62" s="29"/>
      <c r="RL62" s="29"/>
      <c r="RM62" s="29"/>
      <c r="RN62" s="29"/>
      <c r="RO62" s="29"/>
      <c r="RP62" s="29"/>
      <c r="RQ62" s="29"/>
      <c r="RR62" s="29"/>
      <c r="RS62" s="29"/>
      <c r="RT62" s="29"/>
      <c r="RU62" s="29"/>
      <c r="RV62" s="29"/>
      <c r="RW62" s="29"/>
      <c r="RX62" s="29"/>
      <c r="RY62" s="29"/>
      <c r="RZ62" s="29"/>
      <c r="SA62" s="29"/>
      <c r="SB62" s="29"/>
      <c r="SC62" s="29"/>
      <c r="SD62" s="29"/>
      <c r="SE62" s="29"/>
      <c r="SF62" s="29"/>
      <c r="SG62" s="29"/>
      <c r="SH62" s="29"/>
      <c r="SI62" s="29"/>
      <c r="SJ62" s="29"/>
      <c r="SK62" s="29"/>
      <c r="SL62" s="29"/>
      <c r="SM62" s="29"/>
      <c r="SN62" s="29"/>
      <c r="SO62" s="29"/>
      <c r="SP62" s="29"/>
      <c r="SQ62" s="29"/>
      <c r="SR62" s="29"/>
      <c r="SS62" s="29"/>
      <c r="ST62" s="29"/>
      <c r="SU62" s="29"/>
      <c r="SV62" s="29"/>
      <c r="SW62" s="29"/>
      <c r="SX62" s="29"/>
      <c r="SY62" s="29"/>
      <c r="SZ62" s="29"/>
      <c r="TA62" s="29"/>
      <c r="TB62" s="29"/>
      <c r="TC62" s="29"/>
      <c r="TD62" s="29"/>
      <c r="TE62" s="29"/>
      <c r="TF62" s="29"/>
      <c r="TG62" s="29"/>
      <c r="TH62" s="29"/>
      <c r="TI62" s="29"/>
      <c r="TJ62" s="29"/>
      <c r="TK62" s="29"/>
      <c r="TL62" s="29"/>
      <c r="TM62" s="29"/>
      <c r="TN62" s="29"/>
      <c r="TO62" s="29"/>
      <c r="TP62" s="29"/>
      <c r="TQ62" s="29"/>
      <c r="TR62" s="29"/>
      <c r="TS62" s="29"/>
      <c r="TT62" s="29"/>
      <c r="TU62" s="29"/>
      <c r="TV62" s="29"/>
      <c r="TW62" s="29"/>
      <c r="TX62" s="29"/>
      <c r="TY62" s="29"/>
      <c r="TZ62" s="29"/>
      <c r="UA62" s="29"/>
      <c r="UB62" s="29"/>
      <c r="UC62" s="29"/>
      <c r="UD62" s="29"/>
      <c r="UE62" s="29"/>
      <c r="UF62" s="29"/>
      <c r="UG62" s="29"/>
      <c r="UH62" s="29"/>
      <c r="UI62" s="29"/>
      <c r="UJ62" s="29"/>
      <c r="UK62" s="29"/>
      <c r="UL62" s="29"/>
      <c r="UM62" s="29"/>
      <c r="UN62" s="29"/>
      <c r="UO62" s="29"/>
      <c r="UP62" s="29"/>
      <c r="UQ62" s="29"/>
      <c r="UR62" s="29"/>
      <c r="US62" s="29"/>
      <c r="UT62" s="29"/>
      <c r="UU62" s="29"/>
      <c r="UV62" s="29"/>
      <c r="UW62" s="29"/>
      <c r="UX62" s="29"/>
      <c r="UY62" s="29"/>
      <c r="UZ62" s="29"/>
      <c r="VA62" s="29"/>
      <c r="VB62" s="29"/>
      <c r="VC62" s="29"/>
      <c r="VD62" s="29"/>
      <c r="VE62" s="29"/>
      <c r="VF62" s="29"/>
      <c r="VG62" s="29"/>
      <c r="VH62" s="29"/>
      <c r="VI62" s="29"/>
      <c r="VJ62" s="29"/>
      <c r="VK62" s="29"/>
      <c r="VL62" s="29"/>
      <c r="VM62" s="29"/>
      <c r="VN62" s="29"/>
      <c r="VO62" s="29"/>
      <c r="VP62" s="29"/>
      <c r="VQ62" s="29"/>
      <c r="VR62" s="29"/>
      <c r="VS62" s="29"/>
      <c r="VT62" s="29"/>
      <c r="VU62" s="29"/>
      <c r="VV62" s="29"/>
      <c r="VW62" s="29"/>
      <c r="VX62" s="29"/>
      <c r="VY62" s="29"/>
      <c r="VZ62" s="29"/>
      <c r="WA62" s="29"/>
      <c r="WB62" s="29"/>
      <c r="WC62" s="29"/>
      <c r="WD62" s="29"/>
      <c r="WE62" s="29"/>
      <c r="WF62" s="29"/>
      <c r="WG62" s="29"/>
      <c r="WH62" s="29"/>
      <c r="WI62" s="29"/>
      <c r="WJ62" s="29"/>
      <c r="WK62" s="29"/>
      <c r="WL62" s="29"/>
      <c r="WM62" s="29"/>
      <c r="WN62" s="29"/>
      <c r="WO62" s="29"/>
      <c r="WP62" s="29"/>
      <c r="WQ62" s="29"/>
      <c r="WR62" s="29"/>
      <c r="WS62" s="29"/>
    </row>
    <row r="63" spans="1:617" s="3" customFormat="1" ht="15" outlineLevel="1" thickBot="1">
      <c r="A63" s="33"/>
      <c r="B63" s="178" t="s">
        <v>224</v>
      </c>
      <c r="C63" s="178" t="s">
        <v>92</v>
      </c>
      <c r="D63" s="179">
        <v>46097</v>
      </c>
      <c r="E63" s="179">
        <f>D63+G63-1</f>
        <v>46108</v>
      </c>
      <c r="F63" s="14"/>
      <c r="G63" s="14">
        <v>12</v>
      </c>
      <c r="H63" s="29"/>
      <c r="I63" s="29"/>
      <c r="J63" s="29"/>
      <c r="K63" s="29"/>
      <c r="L63" s="29"/>
      <c r="M63" s="29"/>
      <c r="N63" s="29"/>
      <c r="O63" s="29"/>
      <c r="P63" s="29"/>
      <c r="Q63" s="29"/>
      <c r="R63" s="29"/>
      <c r="S63" s="29"/>
      <c r="T63" s="29"/>
      <c r="U63" s="29"/>
      <c r="V63" s="29"/>
      <c r="W63" s="29"/>
      <c r="X63" s="29"/>
      <c r="Y63" s="30"/>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s="29"/>
      <c r="LF63" s="29"/>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c r="MM63" s="29"/>
      <c r="MN63" s="29"/>
      <c r="MO63" s="29"/>
      <c r="MP63" s="29"/>
      <c r="MQ63" s="29"/>
      <c r="MR63" s="29"/>
      <c r="MS63" s="29"/>
      <c r="MT63" s="29"/>
      <c r="MU63" s="29"/>
      <c r="MV63" s="29"/>
      <c r="MW63" s="29"/>
      <c r="MX63" s="29"/>
      <c r="MY63" s="29"/>
      <c r="MZ63" s="29"/>
      <c r="NA63" s="29"/>
      <c r="NB63" s="29"/>
      <c r="NC63" s="29"/>
      <c r="ND63" s="29"/>
      <c r="NE63" s="29"/>
      <c r="NF63" s="29"/>
      <c r="NG63" s="29"/>
      <c r="NH63" s="29"/>
      <c r="NI63" s="29"/>
      <c r="NJ63" s="29"/>
      <c r="NK63" s="29"/>
      <c r="NL63" s="29"/>
      <c r="NM63" s="29"/>
      <c r="NN63" s="29"/>
      <c r="NO63" s="29"/>
      <c r="NP63" s="29"/>
      <c r="NQ63" s="29"/>
      <c r="NR63" s="29"/>
      <c r="NS63" s="29"/>
      <c r="NT63" s="29"/>
      <c r="NU63" s="29"/>
      <c r="NV63" s="29"/>
      <c r="NW63" s="29"/>
      <c r="NX63" s="29"/>
      <c r="NY63" s="29"/>
      <c r="NZ63" s="29"/>
      <c r="OA63" s="29"/>
      <c r="OB63" s="29"/>
      <c r="OC63" s="29"/>
      <c r="OD63" s="29"/>
      <c r="OE63" s="29"/>
      <c r="OF63" s="29"/>
      <c r="OG63" s="29"/>
      <c r="OH63" s="29"/>
      <c r="OI63" s="29"/>
      <c r="OJ63" s="29"/>
      <c r="OK63" s="29"/>
      <c r="OL63" s="29"/>
      <c r="OM63" s="29"/>
      <c r="ON63" s="29"/>
      <c r="OO63" s="29"/>
      <c r="OP63" s="29"/>
      <c r="OQ63" s="29"/>
      <c r="OR63" s="29"/>
      <c r="OS63" s="29"/>
      <c r="OT63" s="29"/>
      <c r="OU63" s="29"/>
      <c r="OV63" s="29"/>
      <c r="OW63" s="29"/>
      <c r="OX63" s="29"/>
      <c r="OY63" s="29"/>
      <c r="OZ63" s="29"/>
      <c r="PA63" s="29"/>
      <c r="PB63" s="29"/>
      <c r="PC63" s="29"/>
      <c r="PD63" s="29"/>
      <c r="PE63" s="29"/>
      <c r="PF63" s="29"/>
      <c r="PG63" s="29"/>
      <c r="PH63" s="29"/>
      <c r="PI63" s="29"/>
      <c r="PJ63" s="29"/>
      <c r="PK63" s="29"/>
      <c r="PL63" s="29"/>
      <c r="PM63" s="29"/>
      <c r="PN63" s="29"/>
      <c r="PO63" s="29"/>
      <c r="PP63" s="29"/>
      <c r="PQ63" s="29"/>
      <c r="PR63" s="29"/>
      <c r="PS63" s="29"/>
      <c r="PT63" s="29"/>
      <c r="PU63" s="29"/>
      <c r="PV63" s="29"/>
      <c r="PW63" s="29"/>
      <c r="PX63" s="29"/>
      <c r="PY63" s="29"/>
      <c r="PZ63" s="29"/>
      <c r="QA63" s="29"/>
      <c r="QB63" s="29"/>
      <c r="QC63" s="29"/>
      <c r="QD63" s="29"/>
      <c r="QE63" s="29"/>
      <c r="QF63" s="29"/>
      <c r="QG63" s="29"/>
      <c r="QH63" s="29"/>
      <c r="QI63" s="29"/>
      <c r="QJ63" s="29"/>
      <c r="QK63" s="29"/>
      <c r="QL63" s="29"/>
      <c r="QM63" s="29"/>
      <c r="QN63" s="29"/>
      <c r="QO63" s="29"/>
      <c r="QP63" s="29"/>
      <c r="QQ63" s="29"/>
      <c r="QR63" s="29"/>
      <c r="QS63" s="29"/>
      <c r="QT63" s="29"/>
      <c r="QU63" s="29"/>
      <c r="QV63" s="29"/>
      <c r="QW63" s="29"/>
      <c r="QX63" s="29"/>
      <c r="QY63" s="29"/>
      <c r="QZ63" s="29"/>
      <c r="RA63" s="29"/>
      <c r="RB63" s="29"/>
      <c r="RC63" s="29"/>
      <c r="RD63" s="29"/>
      <c r="RE63" s="29"/>
      <c r="RF63" s="29"/>
      <c r="RG63" s="29"/>
      <c r="RH63" s="29"/>
      <c r="RI63" s="29"/>
      <c r="RJ63" s="29"/>
      <c r="RK63" s="29"/>
      <c r="RL63" s="29"/>
      <c r="RM63" s="29"/>
      <c r="RN63" s="29"/>
      <c r="RO63" s="29"/>
      <c r="RP63" s="29"/>
      <c r="RQ63" s="29"/>
      <c r="RR63" s="29"/>
      <c r="RS63" s="29"/>
      <c r="RT63" s="29"/>
      <c r="RU63" s="29"/>
      <c r="RV63" s="29"/>
      <c r="RW63" s="29"/>
      <c r="RX63" s="29"/>
      <c r="RY63" s="29"/>
      <c r="RZ63" s="29"/>
      <c r="SA63" s="29"/>
      <c r="SB63" s="29"/>
      <c r="SC63" s="29"/>
      <c r="SD63" s="29"/>
      <c r="SE63" s="29"/>
      <c r="SF63" s="29"/>
      <c r="SG63" s="29"/>
      <c r="SH63" s="29"/>
      <c r="SI63" s="29"/>
      <c r="SJ63" s="29"/>
      <c r="SK63" s="29"/>
      <c r="SL63" s="29"/>
      <c r="SM63" s="29"/>
      <c r="SN63" s="29"/>
      <c r="SO63" s="29"/>
      <c r="SP63" s="29"/>
      <c r="SQ63" s="29"/>
      <c r="SR63" s="29"/>
      <c r="SS63" s="29"/>
      <c r="ST63" s="29"/>
      <c r="SU63" s="29"/>
      <c r="SV63" s="29"/>
      <c r="SW63" s="29"/>
      <c r="SX63" s="29"/>
      <c r="SY63" s="29"/>
      <c r="SZ63" s="29"/>
      <c r="TA63" s="29"/>
      <c r="TB63" s="29"/>
      <c r="TC63" s="29"/>
      <c r="TD63" s="29"/>
      <c r="TE63" s="29"/>
      <c r="TF63" s="29"/>
      <c r="TG63" s="29"/>
      <c r="TH63" s="29"/>
      <c r="TI63" s="29"/>
      <c r="TJ63" s="29"/>
      <c r="TK63" s="29"/>
      <c r="TL63" s="29"/>
      <c r="TM63" s="29"/>
      <c r="TN63" s="29"/>
      <c r="TO63" s="29"/>
      <c r="TP63" s="29"/>
      <c r="TQ63" s="29"/>
      <c r="TR63" s="29"/>
      <c r="TS63" s="29"/>
      <c r="TT63" s="29"/>
      <c r="TU63" s="29"/>
      <c r="TV63" s="29"/>
      <c r="TW63" s="29"/>
      <c r="TX63" s="29"/>
      <c r="TY63" s="29"/>
      <c r="TZ63" s="29"/>
      <c r="UA63" s="29"/>
      <c r="UB63" s="29"/>
      <c r="UC63" s="29"/>
      <c r="UD63" s="29"/>
      <c r="UE63" s="29"/>
      <c r="UF63" s="29"/>
      <c r="UG63" s="29"/>
      <c r="UH63" s="29"/>
      <c r="UI63" s="29"/>
      <c r="UJ63" s="29"/>
      <c r="UK63" s="29"/>
      <c r="UL63" s="29"/>
      <c r="UM63" s="29"/>
      <c r="UN63" s="29"/>
      <c r="UO63" s="29"/>
      <c r="UP63" s="29"/>
      <c r="UQ63" s="29"/>
      <c r="UR63" s="29"/>
      <c r="US63" s="29"/>
      <c r="UT63" s="29"/>
      <c r="UU63" s="29"/>
      <c r="UV63" s="29"/>
      <c r="UW63" s="29"/>
      <c r="UX63" s="29"/>
      <c r="UY63" s="29"/>
      <c r="UZ63" s="29"/>
      <c r="VA63" s="29"/>
      <c r="VB63" s="29"/>
      <c r="VC63" s="29"/>
      <c r="VD63" s="29"/>
      <c r="VE63" s="29"/>
      <c r="VF63" s="29"/>
      <c r="VG63" s="29"/>
      <c r="VH63" s="29"/>
      <c r="VI63" s="29"/>
      <c r="VJ63" s="29"/>
      <c r="VK63" s="29"/>
      <c r="VL63" s="29"/>
      <c r="VM63" s="29"/>
      <c r="VN63" s="29"/>
      <c r="VO63" s="29"/>
      <c r="VP63" s="29"/>
      <c r="VQ63" s="29"/>
      <c r="VR63" s="29"/>
      <c r="VS63" s="29"/>
      <c r="VT63" s="29"/>
      <c r="VU63" s="29"/>
      <c r="VV63" s="29"/>
      <c r="VW63" s="29"/>
      <c r="VX63" s="29"/>
      <c r="VY63" s="29"/>
      <c r="VZ63" s="29"/>
      <c r="WA63" s="29"/>
      <c r="WB63" s="29"/>
      <c r="WC63" s="29"/>
      <c r="WD63" s="29"/>
      <c r="WE63" s="29"/>
      <c r="WF63" s="29"/>
      <c r="WG63" s="29"/>
      <c r="WH63" s="29"/>
      <c r="WI63" s="29"/>
      <c r="WJ63" s="29"/>
      <c r="WK63" s="29"/>
      <c r="WL63" s="29"/>
      <c r="WM63" s="29"/>
      <c r="WN63" s="29"/>
      <c r="WO63" s="29"/>
      <c r="WP63" s="29"/>
      <c r="WQ63" s="29"/>
      <c r="WR63" s="29"/>
      <c r="WS63" s="29"/>
    </row>
    <row r="64" spans="1:617" s="3" customFormat="1" ht="15" outlineLevel="1" thickBot="1">
      <c r="A64" s="33"/>
      <c r="B64" s="166"/>
      <c r="C64" s="166"/>
      <c r="D64" s="167"/>
      <c r="E64" s="167"/>
      <c r="F64" s="14"/>
      <c r="G64" s="14"/>
      <c r="H64" s="29"/>
      <c r="I64" s="29"/>
      <c r="J64" s="29"/>
      <c r="K64" s="29"/>
      <c r="L64" s="29"/>
      <c r="M64" s="29"/>
      <c r="N64" s="29"/>
      <c r="O64" s="29"/>
      <c r="P64" s="29"/>
      <c r="Q64" s="29"/>
      <c r="R64" s="29"/>
      <c r="S64" s="29"/>
      <c r="T64" s="29"/>
      <c r="U64" s="29"/>
      <c r="V64" s="29"/>
      <c r="W64" s="29"/>
      <c r="X64" s="29"/>
      <c r="Y64" s="30"/>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c r="MM64" s="29"/>
      <c r="MN64" s="29"/>
      <c r="MO64" s="29"/>
      <c r="MP64" s="29"/>
      <c r="MQ64" s="29"/>
      <c r="MR64" s="29"/>
      <c r="MS64" s="29"/>
      <c r="MT64" s="29"/>
      <c r="MU64" s="29"/>
      <c r="MV64" s="29"/>
      <c r="MW64" s="29"/>
      <c r="MX64" s="29"/>
      <c r="MY64" s="29"/>
      <c r="MZ64" s="29"/>
      <c r="NA64" s="29"/>
      <c r="NB64" s="29"/>
      <c r="NC64" s="29"/>
      <c r="ND64" s="29"/>
      <c r="NE64" s="29"/>
      <c r="NF64" s="29"/>
      <c r="NG64" s="29"/>
      <c r="NH64" s="29"/>
      <c r="NI64" s="29"/>
      <c r="NJ64" s="29"/>
      <c r="NK64" s="29"/>
      <c r="NL64" s="29"/>
      <c r="NM64" s="29"/>
      <c r="NN64" s="29"/>
      <c r="NO64" s="29"/>
      <c r="NP64" s="29"/>
      <c r="NQ64" s="29"/>
      <c r="NR64" s="29"/>
      <c r="NS64" s="29"/>
      <c r="NT64" s="29"/>
      <c r="NU64" s="29"/>
      <c r="NV64" s="29"/>
      <c r="NW64" s="29"/>
      <c r="NX64" s="29"/>
      <c r="NY64" s="29"/>
      <c r="NZ64" s="29"/>
      <c r="OA64" s="29"/>
      <c r="OB64" s="29"/>
      <c r="OC64" s="29"/>
      <c r="OD64" s="29"/>
      <c r="OE64" s="29"/>
      <c r="OF64" s="29"/>
      <c r="OG64" s="29"/>
      <c r="OH64" s="29"/>
      <c r="OI64" s="29"/>
      <c r="OJ64" s="29"/>
      <c r="OK64" s="29"/>
      <c r="OL64" s="29"/>
      <c r="OM64" s="29"/>
      <c r="ON64" s="29"/>
      <c r="OO64" s="29"/>
      <c r="OP64" s="29"/>
      <c r="OQ64" s="29"/>
      <c r="OR64" s="29"/>
      <c r="OS64" s="29"/>
      <c r="OT64" s="29"/>
      <c r="OU64" s="29"/>
      <c r="OV64" s="29"/>
      <c r="OW64" s="29"/>
      <c r="OX64" s="29"/>
      <c r="OY64" s="29"/>
      <c r="OZ64" s="29"/>
      <c r="PA64" s="29"/>
      <c r="PB64" s="29"/>
      <c r="PC64" s="29"/>
      <c r="PD64" s="29"/>
      <c r="PE64" s="29"/>
      <c r="PF64" s="29"/>
      <c r="PG64" s="29"/>
      <c r="PH64" s="29"/>
      <c r="PI64" s="29"/>
      <c r="PJ64" s="29"/>
      <c r="PK64" s="29"/>
      <c r="PL64" s="29"/>
      <c r="PM64" s="29"/>
      <c r="PN64" s="29"/>
      <c r="PO64" s="29"/>
      <c r="PP64" s="29"/>
      <c r="PQ64" s="29"/>
      <c r="PR64" s="29"/>
      <c r="PS64" s="29"/>
      <c r="PT64" s="29"/>
      <c r="PU64" s="29"/>
      <c r="PV64" s="29"/>
      <c r="PW64" s="29"/>
      <c r="PX64" s="29"/>
      <c r="PY64" s="29"/>
      <c r="PZ64" s="29"/>
      <c r="QA64" s="29"/>
      <c r="QB64" s="29"/>
      <c r="QC64" s="29"/>
      <c r="QD64" s="29"/>
      <c r="QE64" s="29"/>
      <c r="QF64" s="29"/>
      <c r="QG64" s="29"/>
      <c r="QH64" s="29"/>
      <c r="QI64" s="29"/>
      <c r="QJ64" s="29"/>
      <c r="QK64" s="29"/>
      <c r="QL64" s="29"/>
      <c r="QM64" s="29"/>
      <c r="QN64" s="29"/>
      <c r="QO64" s="29"/>
      <c r="QP64" s="29"/>
      <c r="QQ64" s="29"/>
      <c r="QR64" s="29"/>
      <c r="QS64" s="29"/>
      <c r="QT64" s="29"/>
      <c r="QU64" s="29"/>
      <c r="QV64" s="29"/>
      <c r="QW64" s="29"/>
      <c r="QX64" s="29"/>
      <c r="QY64" s="29"/>
      <c r="QZ64" s="29"/>
      <c r="RA64" s="29"/>
      <c r="RB64" s="29"/>
      <c r="RC64" s="29"/>
      <c r="RD64" s="29"/>
      <c r="RE64" s="29"/>
      <c r="RF64" s="29"/>
      <c r="RG64" s="29"/>
      <c r="RH64" s="29"/>
      <c r="RI64" s="29"/>
      <c r="RJ64" s="29"/>
      <c r="RK64" s="29"/>
      <c r="RL64" s="29"/>
      <c r="RM64" s="29"/>
      <c r="RN64" s="29"/>
      <c r="RO64" s="29"/>
      <c r="RP64" s="29"/>
      <c r="RQ64" s="29"/>
      <c r="RR64" s="29"/>
      <c r="RS64" s="29"/>
      <c r="RT64" s="29"/>
      <c r="RU64" s="29"/>
      <c r="RV64" s="29"/>
      <c r="RW64" s="29"/>
      <c r="RX64" s="29"/>
      <c r="RY64" s="29"/>
      <c r="RZ64" s="29"/>
      <c r="SA64" s="29"/>
      <c r="SB64" s="29"/>
      <c r="SC64" s="29"/>
      <c r="SD64" s="29"/>
      <c r="SE64" s="29"/>
      <c r="SF64" s="29"/>
      <c r="SG64" s="29"/>
      <c r="SH64" s="29"/>
      <c r="SI64" s="29"/>
      <c r="SJ64" s="29"/>
      <c r="SK64" s="29"/>
      <c r="SL64" s="29"/>
      <c r="SM64" s="29"/>
      <c r="SN64" s="29"/>
      <c r="SO64" s="29"/>
      <c r="SP64" s="29"/>
      <c r="SQ64" s="29"/>
      <c r="SR64" s="29"/>
      <c r="SS64" s="29"/>
      <c r="ST64" s="29"/>
      <c r="SU64" s="29"/>
      <c r="SV64" s="29"/>
      <c r="SW64" s="29"/>
      <c r="SX64" s="29"/>
      <c r="SY64" s="29"/>
      <c r="SZ64" s="29"/>
      <c r="TA64" s="29"/>
      <c r="TB64" s="29"/>
      <c r="TC64" s="29"/>
      <c r="TD64" s="29"/>
      <c r="TE64" s="29"/>
      <c r="TF64" s="29"/>
      <c r="TG64" s="29"/>
      <c r="TH64" s="29"/>
      <c r="TI64" s="29"/>
      <c r="TJ64" s="29"/>
      <c r="TK64" s="29"/>
      <c r="TL64" s="29"/>
      <c r="TM64" s="29"/>
      <c r="TN64" s="29"/>
      <c r="TO64" s="29"/>
      <c r="TP64" s="29"/>
      <c r="TQ64" s="29"/>
      <c r="TR64" s="29"/>
      <c r="TS64" s="29"/>
      <c r="TT64" s="29"/>
      <c r="TU64" s="29"/>
      <c r="TV64" s="29"/>
      <c r="TW64" s="29"/>
      <c r="TX64" s="29"/>
      <c r="TY64" s="29"/>
      <c r="TZ64" s="29"/>
      <c r="UA64" s="29"/>
      <c r="UB64" s="29"/>
      <c r="UC64" s="29"/>
      <c r="UD64" s="29"/>
      <c r="UE64" s="29"/>
      <c r="UF64" s="29"/>
      <c r="UG64" s="29"/>
      <c r="UH64" s="29"/>
      <c r="UI64" s="29"/>
      <c r="UJ64" s="29"/>
      <c r="UK64" s="29"/>
      <c r="UL64" s="29"/>
      <c r="UM64" s="29"/>
      <c r="UN64" s="29"/>
      <c r="UO64" s="29"/>
      <c r="UP64" s="29"/>
      <c r="UQ64" s="29"/>
      <c r="UR64" s="29"/>
      <c r="US64" s="29"/>
      <c r="UT64" s="29"/>
      <c r="UU64" s="29"/>
      <c r="UV64" s="29"/>
      <c r="UW64" s="29"/>
      <c r="UX64" s="29"/>
      <c r="UY64" s="29"/>
      <c r="UZ64" s="29"/>
      <c r="VA64" s="29"/>
      <c r="VB64" s="29"/>
      <c r="VC64" s="29"/>
      <c r="VD64" s="29"/>
      <c r="VE64" s="29"/>
      <c r="VF64" s="29"/>
      <c r="VG64" s="29"/>
      <c r="VH64" s="29"/>
      <c r="VI64" s="29"/>
      <c r="VJ64" s="29"/>
      <c r="VK64" s="29"/>
      <c r="VL64" s="29"/>
      <c r="VM64" s="29"/>
      <c r="VN64" s="29"/>
      <c r="VO64" s="29"/>
      <c r="VP64" s="29"/>
      <c r="VQ64" s="29"/>
      <c r="VR64" s="29"/>
      <c r="VS64" s="29"/>
      <c r="VT64" s="29"/>
      <c r="VU64" s="29"/>
      <c r="VV64" s="29"/>
      <c r="VW64" s="29"/>
      <c r="VX64" s="29"/>
      <c r="VY64" s="29"/>
      <c r="VZ64" s="29"/>
      <c r="WA64" s="29"/>
      <c r="WB64" s="29"/>
      <c r="WC64" s="29"/>
      <c r="WD64" s="29"/>
      <c r="WE64" s="29"/>
      <c r="WF64" s="29"/>
      <c r="WG64" s="29"/>
      <c r="WH64" s="29"/>
      <c r="WI64" s="29"/>
      <c r="WJ64" s="29"/>
      <c r="WK64" s="29"/>
      <c r="WL64" s="29"/>
      <c r="WM64" s="29"/>
      <c r="WN64" s="29"/>
      <c r="WO64" s="29"/>
      <c r="WP64" s="29"/>
      <c r="WQ64" s="29"/>
      <c r="WR64" s="29"/>
      <c r="WS64" s="29"/>
    </row>
    <row r="65" spans="1:617" s="3" customFormat="1" ht="16.5" customHeight="1" outlineLevel="1" thickBot="1">
      <c r="A65" s="34" t="s">
        <v>225</v>
      </c>
      <c r="B65" s="239" t="s">
        <v>226</v>
      </c>
      <c r="C65" s="239"/>
      <c r="D65" s="239"/>
      <c r="E65" s="239"/>
      <c r="F65" s="14"/>
      <c r="G65" s="14" t="str">
        <f t="shared" ca="1" si="586"/>
        <v/>
      </c>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c r="MM65" s="29"/>
      <c r="MN65" s="29"/>
      <c r="MO65" s="29"/>
      <c r="MP65" s="29"/>
      <c r="MQ65" s="29"/>
      <c r="MR65" s="29"/>
      <c r="MS65" s="29"/>
      <c r="MT65" s="29"/>
      <c r="MU65" s="29"/>
      <c r="MV65" s="29"/>
      <c r="MW65" s="29"/>
      <c r="MX65" s="29"/>
      <c r="MY65" s="29"/>
      <c r="MZ65" s="29"/>
      <c r="NA65" s="29"/>
      <c r="NB65" s="29"/>
      <c r="NC65" s="29"/>
      <c r="ND65" s="29"/>
      <c r="NE65" s="29"/>
      <c r="NF65" s="29"/>
      <c r="NG65" s="29"/>
      <c r="NH65" s="29"/>
      <c r="NI65" s="29"/>
      <c r="NJ65" s="29"/>
      <c r="NK65" s="29"/>
      <c r="NL65" s="29"/>
      <c r="NM65" s="29"/>
      <c r="NN65" s="29"/>
      <c r="NO65" s="29"/>
      <c r="NP65" s="29"/>
      <c r="NQ65" s="29"/>
      <c r="NR65" s="29"/>
      <c r="NS65" s="29"/>
      <c r="NT65" s="29"/>
      <c r="NU65" s="29"/>
      <c r="NV65" s="29"/>
      <c r="NW65" s="29"/>
      <c r="NX65" s="29"/>
      <c r="NY65" s="29"/>
      <c r="NZ65" s="29"/>
      <c r="OA65" s="29"/>
      <c r="OB65" s="29"/>
      <c r="OC65" s="29"/>
      <c r="OD65" s="29"/>
      <c r="OE65" s="29"/>
      <c r="OF65" s="29"/>
      <c r="OG65" s="29"/>
      <c r="OH65" s="29"/>
      <c r="OI65" s="29"/>
      <c r="OJ65" s="29"/>
      <c r="OK65" s="29"/>
      <c r="OL65" s="29"/>
      <c r="OM65" s="29"/>
      <c r="ON65" s="29"/>
      <c r="OO65" s="29"/>
      <c r="OP65" s="29"/>
      <c r="OQ65" s="29"/>
      <c r="OR65" s="29"/>
      <c r="OS65" s="29"/>
      <c r="OT65" s="29"/>
      <c r="OU65" s="29"/>
      <c r="OV65" s="29"/>
      <c r="OW65" s="29"/>
      <c r="OX65" s="29"/>
      <c r="OY65" s="29"/>
      <c r="OZ65" s="29"/>
      <c r="PA65" s="29"/>
      <c r="PB65" s="29"/>
      <c r="PC65" s="29"/>
      <c r="PD65" s="29"/>
      <c r="PE65" s="29"/>
      <c r="PF65" s="29"/>
      <c r="PG65" s="29"/>
      <c r="PH65" s="29"/>
      <c r="PI65" s="29"/>
      <c r="PJ65" s="29"/>
      <c r="PK65" s="29"/>
      <c r="PL65" s="29"/>
      <c r="PM65" s="29"/>
      <c r="PN65" s="29"/>
      <c r="PO65" s="29"/>
      <c r="PP65" s="29"/>
      <c r="PQ65" s="29"/>
      <c r="PR65" s="29"/>
      <c r="PS65" s="29"/>
      <c r="PT65" s="29"/>
      <c r="PU65" s="29"/>
      <c r="PV65" s="29"/>
      <c r="PW65" s="29"/>
      <c r="PX65" s="29"/>
      <c r="PY65" s="29"/>
      <c r="PZ65" s="29"/>
      <c r="QA65" s="29"/>
      <c r="QB65" s="29"/>
      <c r="QC65" s="29"/>
      <c r="QD65" s="29"/>
      <c r="QE65" s="29"/>
      <c r="QF65" s="29"/>
      <c r="QG65" s="29"/>
      <c r="QH65" s="29"/>
      <c r="QI65" s="29"/>
      <c r="QJ65" s="29"/>
      <c r="QK65" s="29"/>
      <c r="QL65" s="29"/>
      <c r="QM65" s="29"/>
      <c r="QN65" s="29"/>
      <c r="QO65" s="29"/>
      <c r="QP65" s="29"/>
      <c r="QQ65" s="29"/>
      <c r="QR65" s="29"/>
      <c r="QS65" s="29"/>
      <c r="QT65" s="29"/>
      <c r="QU65" s="29"/>
      <c r="QV65" s="29"/>
      <c r="QW65" s="29"/>
      <c r="QX65" s="29"/>
      <c r="QY65" s="29"/>
      <c r="QZ65" s="29"/>
      <c r="RA65" s="29"/>
      <c r="RB65" s="29"/>
      <c r="RC65" s="29"/>
      <c r="RD65" s="29"/>
      <c r="RE65" s="29"/>
      <c r="RF65" s="29"/>
      <c r="RG65" s="29"/>
      <c r="RH65" s="29"/>
      <c r="RI65" s="29"/>
      <c r="RJ65" s="29"/>
      <c r="RK65" s="29"/>
      <c r="RL65" s="29"/>
      <c r="RM65" s="29"/>
      <c r="RN65" s="29"/>
      <c r="RO65" s="29"/>
      <c r="RP65" s="29"/>
      <c r="RQ65" s="29"/>
      <c r="RR65" s="29"/>
      <c r="RS65" s="29"/>
      <c r="RT65" s="29"/>
      <c r="RU65" s="29"/>
      <c r="RV65" s="29"/>
      <c r="RW65" s="29"/>
      <c r="RX65" s="29"/>
      <c r="RY65" s="29"/>
      <c r="RZ65" s="29"/>
      <c r="SA65" s="29"/>
      <c r="SB65" s="29"/>
      <c r="SC65" s="29"/>
      <c r="SD65" s="29"/>
      <c r="SE65" s="29"/>
      <c r="SF65" s="29"/>
      <c r="SG65" s="29"/>
      <c r="SH65" s="29"/>
      <c r="SI65" s="29"/>
      <c r="SJ65" s="29"/>
      <c r="SK65" s="29"/>
      <c r="SL65" s="29"/>
      <c r="SM65" s="29"/>
      <c r="SN65" s="29"/>
      <c r="SO65" s="29"/>
      <c r="SP65" s="29"/>
      <c r="SQ65" s="29"/>
      <c r="SR65" s="29"/>
      <c r="SS65" s="29"/>
      <c r="ST65" s="29"/>
      <c r="SU65" s="29"/>
      <c r="SV65" s="29"/>
      <c r="SW65" s="29"/>
      <c r="SX65" s="29"/>
      <c r="SY65" s="29"/>
      <c r="SZ65" s="29"/>
      <c r="TA65" s="29"/>
      <c r="TB65" s="29"/>
      <c r="TC65" s="29"/>
      <c r="TD65" s="29"/>
      <c r="TE65" s="29"/>
      <c r="TF65" s="29"/>
      <c r="TG65" s="29"/>
      <c r="TH65" s="29"/>
      <c r="TI65" s="29"/>
      <c r="TJ65" s="29"/>
      <c r="TK65" s="29"/>
      <c r="TL65" s="29"/>
      <c r="TM65" s="29"/>
      <c r="TN65" s="29"/>
      <c r="TO65" s="29"/>
      <c r="TP65" s="29"/>
      <c r="TQ65" s="29"/>
      <c r="TR65" s="29"/>
      <c r="TS65" s="29"/>
      <c r="TT65" s="29"/>
      <c r="TU65" s="29"/>
      <c r="TV65" s="29"/>
      <c r="TW65" s="29"/>
      <c r="TX65" s="29"/>
      <c r="TY65" s="29"/>
      <c r="TZ65" s="29"/>
      <c r="UA65" s="29"/>
      <c r="UB65" s="29"/>
      <c r="UC65" s="29"/>
      <c r="UD65" s="29"/>
      <c r="UE65" s="29"/>
      <c r="UF65" s="29"/>
      <c r="UG65" s="29"/>
      <c r="UH65" s="29"/>
      <c r="UI65" s="29"/>
      <c r="UJ65" s="29"/>
      <c r="UK65" s="29"/>
      <c r="UL65" s="29"/>
      <c r="UM65" s="29"/>
      <c r="UN65" s="29"/>
      <c r="UO65" s="29"/>
      <c r="UP65" s="29"/>
      <c r="UQ65" s="29"/>
      <c r="UR65" s="29"/>
      <c r="US65" s="29"/>
      <c r="UT65" s="29"/>
      <c r="UU65" s="29"/>
      <c r="UV65" s="29"/>
      <c r="UW65" s="29"/>
      <c r="UX65" s="29"/>
      <c r="UY65" s="29"/>
      <c r="UZ65" s="29"/>
      <c r="VA65" s="29"/>
      <c r="VB65" s="29"/>
      <c r="VC65" s="29"/>
      <c r="VD65" s="29"/>
      <c r="VE65" s="29"/>
      <c r="VF65" s="29"/>
      <c r="VG65" s="29"/>
      <c r="VH65" s="29"/>
      <c r="VI65" s="29"/>
      <c r="VJ65" s="29"/>
      <c r="VK65" s="29"/>
      <c r="VL65" s="29"/>
      <c r="VM65" s="29"/>
      <c r="VN65" s="29"/>
      <c r="VO65" s="29"/>
      <c r="VP65" s="29"/>
      <c r="VQ65" s="29"/>
      <c r="VR65" s="29"/>
      <c r="VS65" s="29"/>
      <c r="VT65" s="29"/>
      <c r="VU65" s="29"/>
      <c r="VV65" s="29"/>
      <c r="VW65" s="29"/>
      <c r="VX65" s="29"/>
      <c r="VY65" s="29"/>
      <c r="VZ65" s="29"/>
      <c r="WA65" s="29"/>
      <c r="WB65" s="29"/>
      <c r="WC65" s="29"/>
      <c r="WD65" s="29"/>
      <c r="WE65" s="29"/>
      <c r="WF65" s="29"/>
      <c r="WG65" s="29"/>
      <c r="WH65" s="29"/>
      <c r="WI65" s="29"/>
      <c r="WJ65" s="29"/>
      <c r="WK65" s="29"/>
      <c r="WL65" s="29"/>
      <c r="WM65" s="29"/>
      <c r="WN65" s="29"/>
      <c r="WO65" s="29"/>
      <c r="WP65" s="29"/>
      <c r="WQ65" s="29"/>
      <c r="WR65" s="29"/>
      <c r="WS65" s="29"/>
    </row>
    <row r="66" spans="1:617" s="3" customFormat="1" ht="15" outlineLevel="1" thickBot="1">
      <c r="A66" s="33"/>
      <c r="B66" s="47" t="s">
        <v>227</v>
      </c>
      <c r="C66" s="42" t="s">
        <v>228</v>
      </c>
      <c r="D66" s="116">
        <v>45768</v>
      </c>
      <c r="E66" s="204">
        <f t="shared" ref="E66:E70" si="593">D66+G66</f>
        <v>45828</v>
      </c>
      <c r="F66" s="14"/>
      <c r="G66" s="14">
        <v>60</v>
      </c>
      <c r="H66" s="29"/>
      <c r="I66" s="29"/>
      <c r="J66" s="29"/>
      <c r="K66" s="29"/>
      <c r="L66" s="29"/>
      <c r="M66" s="29"/>
      <c r="N66" s="29"/>
      <c r="O66" s="29"/>
      <c r="P66" s="29"/>
      <c r="Q66" s="29"/>
      <c r="R66" s="29"/>
      <c r="S66" s="29"/>
      <c r="T66" s="29"/>
      <c r="U66" s="30"/>
      <c r="V66" s="30"/>
      <c r="W66" s="29"/>
      <c r="X66" s="29"/>
      <c r="Y66" s="29"/>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s="29"/>
      <c r="LF66" s="29"/>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c r="MM66" s="29"/>
      <c r="MN66" s="29"/>
      <c r="MO66" s="29"/>
      <c r="MP66" s="29"/>
      <c r="MQ66" s="29"/>
      <c r="MR66" s="29"/>
      <c r="MS66" s="29"/>
      <c r="MT66" s="29"/>
      <c r="MU66" s="29"/>
      <c r="MV66" s="29"/>
      <c r="MW66" s="29"/>
      <c r="MX66" s="29"/>
      <c r="MY66" s="29"/>
      <c r="MZ66" s="29"/>
      <c r="NA66" s="29"/>
      <c r="NB66" s="29"/>
      <c r="NC66" s="29"/>
      <c r="ND66" s="29"/>
      <c r="NE66" s="29"/>
      <c r="NF66" s="29"/>
      <c r="NG66" s="29"/>
      <c r="NH66" s="29"/>
      <c r="NI66" s="29"/>
      <c r="NJ66" s="29"/>
      <c r="NK66" s="29"/>
      <c r="NL66" s="29"/>
      <c r="NM66" s="29"/>
      <c r="NN66" s="29"/>
      <c r="NO66" s="29"/>
      <c r="NP66" s="29"/>
      <c r="NQ66" s="29"/>
      <c r="NR66" s="29"/>
      <c r="NS66" s="29"/>
      <c r="NT66" s="29"/>
      <c r="NU66" s="29"/>
      <c r="NV66" s="29"/>
      <c r="NW66" s="29"/>
      <c r="NX66" s="29"/>
      <c r="NY66" s="29"/>
      <c r="NZ66" s="29"/>
      <c r="OA66" s="29"/>
      <c r="OB66" s="29"/>
      <c r="OC66" s="29"/>
      <c r="OD66" s="29"/>
      <c r="OE66" s="29"/>
      <c r="OF66" s="29"/>
      <c r="OG66" s="29"/>
      <c r="OH66" s="29"/>
      <c r="OI66" s="29"/>
      <c r="OJ66" s="29"/>
      <c r="OK66" s="29"/>
      <c r="OL66" s="29"/>
      <c r="OM66" s="29"/>
      <c r="ON66" s="29"/>
      <c r="OO66" s="29"/>
      <c r="OP66" s="29"/>
      <c r="OQ66" s="29"/>
      <c r="OR66" s="29"/>
      <c r="OS66" s="29"/>
      <c r="OT66" s="29"/>
      <c r="OU66" s="29"/>
      <c r="OV66" s="29"/>
      <c r="OW66" s="29"/>
      <c r="OX66" s="29"/>
      <c r="OY66" s="29"/>
      <c r="OZ66" s="29"/>
      <c r="PA66" s="29"/>
      <c r="PB66" s="29"/>
      <c r="PC66" s="29"/>
      <c r="PD66" s="29"/>
      <c r="PE66" s="29"/>
      <c r="PF66" s="29"/>
      <c r="PG66" s="29"/>
      <c r="PH66" s="29"/>
      <c r="PI66" s="29"/>
      <c r="PJ66" s="29"/>
      <c r="PK66" s="29"/>
      <c r="PL66" s="29"/>
      <c r="PM66" s="29"/>
      <c r="PN66" s="29"/>
      <c r="PO66" s="29"/>
      <c r="PP66" s="29"/>
      <c r="PQ66" s="29"/>
      <c r="PR66" s="29"/>
      <c r="PS66" s="29"/>
      <c r="PT66" s="29"/>
      <c r="PU66" s="29"/>
      <c r="PV66" s="29"/>
      <c r="PW66" s="29"/>
      <c r="PX66" s="29"/>
      <c r="PY66" s="29"/>
      <c r="PZ66" s="29"/>
      <c r="QA66" s="29"/>
      <c r="QB66" s="29"/>
      <c r="QC66" s="29"/>
      <c r="QD66" s="29"/>
      <c r="QE66" s="29"/>
      <c r="QF66" s="29"/>
      <c r="QG66" s="29"/>
      <c r="QH66" s="29"/>
      <c r="QI66" s="29"/>
      <c r="QJ66" s="29"/>
      <c r="QK66" s="29"/>
      <c r="QL66" s="29"/>
      <c r="QM66" s="29"/>
      <c r="QN66" s="29"/>
      <c r="QO66" s="29"/>
      <c r="QP66" s="29"/>
      <c r="QQ66" s="29"/>
      <c r="QR66" s="29"/>
      <c r="QS66" s="29"/>
      <c r="QT66" s="29"/>
      <c r="QU66" s="29"/>
      <c r="QV66" s="29"/>
      <c r="QW66" s="29"/>
      <c r="QX66" s="29"/>
      <c r="QY66" s="29"/>
      <c r="QZ66" s="29"/>
      <c r="RA66" s="29"/>
      <c r="RB66" s="29"/>
      <c r="RC66" s="29"/>
      <c r="RD66" s="29"/>
      <c r="RE66" s="29"/>
      <c r="RF66" s="29"/>
      <c r="RG66" s="29"/>
      <c r="RH66" s="29"/>
      <c r="RI66" s="29"/>
      <c r="RJ66" s="29"/>
      <c r="RK66" s="29"/>
      <c r="RL66" s="29"/>
      <c r="RM66" s="29"/>
      <c r="RN66" s="29"/>
      <c r="RO66" s="29"/>
      <c r="RP66" s="29"/>
      <c r="RQ66" s="29"/>
      <c r="RR66" s="29"/>
      <c r="RS66" s="29"/>
      <c r="RT66" s="29"/>
      <c r="RU66" s="29"/>
      <c r="RV66" s="29"/>
      <c r="RW66" s="29"/>
      <c r="RX66" s="29"/>
      <c r="RY66" s="29"/>
      <c r="RZ66" s="29"/>
      <c r="SA66" s="29"/>
      <c r="SB66" s="29"/>
      <c r="SC66" s="29"/>
      <c r="SD66" s="29"/>
      <c r="SE66" s="29"/>
      <c r="SF66" s="29"/>
      <c r="SG66" s="29"/>
      <c r="SH66" s="29"/>
      <c r="SI66" s="29"/>
      <c r="SJ66" s="29"/>
      <c r="SK66" s="29"/>
      <c r="SL66" s="29"/>
      <c r="SM66" s="29"/>
      <c r="SN66" s="29"/>
      <c r="SO66" s="29"/>
      <c r="SP66" s="29"/>
      <c r="SQ66" s="29"/>
      <c r="SR66" s="29"/>
      <c r="SS66" s="29"/>
      <c r="ST66" s="29"/>
      <c r="SU66" s="29"/>
      <c r="SV66" s="29"/>
      <c r="SW66" s="29"/>
      <c r="SX66" s="29"/>
      <c r="SY66" s="29"/>
      <c r="SZ66" s="29"/>
      <c r="TA66" s="29"/>
      <c r="TB66" s="29"/>
      <c r="TC66" s="29"/>
      <c r="TD66" s="29"/>
      <c r="TE66" s="29"/>
      <c r="TF66" s="29"/>
      <c r="TG66" s="29"/>
      <c r="TH66" s="29"/>
      <c r="TI66" s="29"/>
      <c r="TJ66" s="29"/>
      <c r="TK66" s="29"/>
      <c r="TL66" s="29"/>
      <c r="TM66" s="29"/>
      <c r="TN66" s="29"/>
      <c r="TO66" s="29"/>
      <c r="TP66" s="29"/>
      <c r="TQ66" s="29"/>
      <c r="TR66" s="29"/>
      <c r="TS66" s="29"/>
      <c r="TT66" s="29"/>
      <c r="TU66" s="29"/>
      <c r="TV66" s="29"/>
      <c r="TW66" s="29"/>
      <c r="TX66" s="29"/>
      <c r="TY66" s="29"/>
      <c r="TZ66" s="29"/>
      <c r="UA66" s="29"/>
      <c r="UB66" s="29"/>
      <c r="UC66" s="29"/>
      <c r="UD66" s="29"/>
      <c r="UE66" s="29"/>
      <c r="UF66" s="29"/>
      <c r="UG66" s="29"/>
      <c r="UH66" s="29"/>
      <c r="UI66" s="29"/>
      <c r="UJ66" s="29"/>
      <c r="UK66" s="29"/>
      <c r="UL66" s="29"/>
      <c r="UM66" s="29"/>
      <c r="UN66" s="29"/>
      <c r="UO66" s="29"/>
      <c r="UP66" s="29"/>
      <c r="UQ66" s="29"/>
      <c r="UR66" s="29"/>
      <c r="US66" s="29"/>
      <c r="UT66" s="29"/>
      <c r="UU66" s="29"/>
      <c r="UV66" s="29"/>
      <c r="UW66" s="29"/>
      <c r="UX66" s="29"/>
      <c r="UY66" s="29"/>
      <c r="UZ66" s="29"/>
      <c r="VA66" s="29"/>
      <c r="VB66" s="29"/>
      <c r="VC66" s="29"/>
      <c r="VD66" s="29"/>
      <c r="VE66" s="29"/>
      <c r="VF66" s="29"/>
      <c r="VG66" s="29"/>
      <c r="VH66" s="29"/>
      <c r="VI66" s="29"/>
      <c r="VJ66" s="29"/>
      <c r="VK66" s="29"/>
      <c r="VL66" s="29"/>
      <c r="VM66" s="29"/>
      <c r="VN66" s="29"/>
      <c r="VO66" s="29"/>
      <c r="VP66" s="29"/>
      <c r="VQ66" s="29"/>
      <c r="VR66" s="29"/>
      <c r="VS66" s="29"/>
      <c r="VT66" s="29"/>
      <c r="VU66" s="29"/>
      <c r="VV66" s="29"/>
      <c r="VW66" s="29"/>
      <c r="VX66" s="29"/>
      <c r="VY66" s="29"/>
      <c r="VZ66" s="29"/>
      <c r="WA66" s="29"/>
      <c r="WB66" s="29"/>
      <c r="WC66" s="29"/>
      <c r="WD66" s="29"/>
      <c r="WE66" s="29"/>
      <c r="WF66" s="29"/>
      <c r="WG66" s="29"/>
      <c r="WH66" s="29"/>
      <c r="WI66" s="29"/>
      <c r="WJ66" s="29"/>
      <c r="WK66" s="29"/>
      <c r="WL66" s="29"/>
      <c r="WM66" s="29"/>
      <c r="WN66" s="29"/>
      <c r="WO66" s="29"/>
      <c r="WP66" s="29"/>
      <c r="WQ66" s="29"/>
      <c r="WR66" s="29"/>
      <c r="WS66" s="29"/>
    </row>
    <row r="67" spans="1:617" s="3" customFormat="1" ht="15" outlineLevel="1" thickBot="1">
      <c r="A67" s="33"/>
      <c r="B67" s="47" t="s">
        <v>229</v>
      </c>
      <c r="C67" s="42" t="s">
        <v>230</v>
      </c>
      <c r="D67" s="204">
        <v>45852</v>
      </c>
      <c r="E67" s="116">
        <v>45909</v>
      </c>
      <c r="F67" s="14"/>
      <c r="G67" s="14">
        <v>59</v>
      </c>
      <c r="H67" s="29"/>
      <c r="I67" s="29"/>
      <c r="J67" s="29"/>
      <c r="K67" s="29"/>
      <c r="L67" s="29"/>
      <c r="M67" s="29"/>
      <c r="N67" s="29"/>
      <c r="O67" s="29"/>
      <c r="P67" s="29"/>
      <c r="Q67" s="29"/>
      <c r="R67" s="29"/>
      <c r="S67" s="29"/>
      <c r="T67" s="29"/>
      <c r="U67" s="29"/>
      <c r="V67" s="29"/>
      <c r="W67" s="29"/>
      <c r="X67" s="29"/>
      <c r="Y67" s="30"/>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c r="LF67"/>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c r="MM67" s="29"/>
      <c r="MN67" s="29"/>
      <c r="MO67" s="29"/>
      <c r="MP67" s="29"/>
      <c r="MQ67" s="29"/>
      <c r="MR67" s="29"/>
      <c r="MS67" s="29"/>
      <c r="MT67" s="29"/>
      <c r="MU67" s="29"/>
      <c r="MV67" s="29"/>
      <c r="MW67" s="29"/>
      <c r="MX67" s="29"/>
      <c r="MY67" s="29"/>
      <c r="MZ67" s="29"/>
      <c r="NA67" s="29"/>
      <c r="NB67" s="29"/>
      <c r="NC67" s="29"/>
      <c r="ND67" s="29"/>
      <c r="NE67" s="29"/>
      <c r="NF67" s="29"/>
      <c r="NG67" s="29"/>
      <c r="NH67" s="29"/>
      <c r="NI67" s="29"/>
      <c r="NJ67" s="29"/>
      <c r="NK67" s="29"/>
      <c r="NL67" s="29"/>
      <c r="NM67" s="29"/>
      <c r="NN67" s="29"/>
      <c r="NO67" s="29"/>
      <c r="NP67" s="29"/>
      <c r="NQ67" s="29"/>
      <c r="NR67" s="29"/>
      <c r="NS67" s="29"/>
      <c r="NT67" s="29"/>
      <c r="NU67" s="29"/>
      <c r="NV67" s="29"/>
      <c r="NW67" s="29"/>
      <c r="NX67" s="29"/>
      <c r="NY67" s="29"/>
      <c r="NZ67" s="29"/>
      <c r="OA67" s="29"/>
      <c r="OB67" s="29"/>
      <c r="OC67" s="29"/>
      <c r="OD67" s="29"/>
      <c r="OE67" s="29"/>
      <c r="OF67" s="29"/>
      <c r="OG67" s="29"/>
      <c r="OH67" s="29"/>
      <c r="OI67" s="29"/>
      <c r="OJ67" s="29"/>
      <c r="OK67" s="29"/>
      <c r="OL67" s="29"/>
      <c r="OM67" s="29"/>
      <c r="ON67" s="29"/>
      <c r="OO67" s="29"/>
      <c r="OP67" s="29"/>
      <c r="OQ67" s="29"/>
      <c r="OR67" s="29"/>
      <c r="OS67" s="29"/>
      <c r="OT67" s="29"/>
      <c r="OU67" s="29"/>
      <c r="OV67" s="29"/>
      <c r="OW67" s="29"/>
      <c r="OX67" s="29"/>
      <c r="OY67" s="29"/>
      <c r="OZ67" s="29"/>
      <c r="PA67" s="29"/>
      <c r="PB67" s="29"/>
      <c r="PC67" s="29"/>
      <c r="PD67" s="29"/>
      <c r="PE67" s="29"/>
      <c r="PF67" s="29"/>
      <c r="PG67" s="29"/>
      <c r="PH67" s="29"/>
      <c r="PI67" s="29"/>
      <c r="PJ67" s="29"/>
      <c r="PK67" s="29"/>
      <c r="PL67" s="29"/>
      <c r="PM67" s="29"/>
      <c r="PN67" s="29"/>
      <c r="PO67" s="29"/>
      <c r="PP67" s="29"/>
      <c r="PQ67" s="29"/>
      <c r="PR67" s="29"/>
      <c r="PS67" s="29"/>
      <c r="PT67" s="29"/>
      <c r="PU67" s="29"/>
      <c r="PV67" s="29"/>
      <c r="PW67" s="29"/>
      <c r="PX67" s="29"/>
      <c r="PY67" s="29"/>
      <c r="PZ67" s="29"/>
      <c r="QA67" s="29"/>
      <c r="QB67" s="29"/>
      <c r="QC67" s="29"/>
      <c r="QD67" s="29"/>
      <c r="QE67" s="29"/>
      <c r="QF67" s="29"/>
      <c r="QG67" s="29"/>
      <c r="QH67" s="29"/>
      <c r="QI67" s="29"/>
      <c r="QJ67" s="29"/>
      <c r="QK67" s="29"/>
      <c r="QL67" s="29"/>
      <c r="QM67" s="29"/>
      <c r="QN67" s="29"/>
      <c r="QO67" s="29"/>
      <c r="QP67" s="29"/>
      <c r="QQ67" s="29"/>
      <c r="QR67" s="29"/>
      <c r="QS67" s="29"/>
      <c r="QT67" s="29"/>
      <c r="QU67" s="29"/>
      <c r="QV67" s="29"/>
      <c r="QW67" s="29"/>
      <c r="QX67" s="29"/>
      <c r="QY67" s="29"/>
      <c r="QZ67" s="29"/>
      <c r="RA67" s="29"/>
      <c r="RB67" s="29"/>
      <c r="RC67" s="29"/>
      <c r="RD67" s="29"/>
      <c r="RE67" s="29"/>
      <c r="RF67" s="29"/>
      <c r="RG67" s="29"/>
      <c r="RH67" s="29"/>
      <c r="RI67" s="29"/>
      <c r="RJ67" s="29"/>
      <c r="RK67" s="29"/>
      <c r="RL67" s="29"/>
      <c r="RM67" s="29"/>
      <c r="RN67" s="29"/>
      <c r="RO67" s="29"/>
      <c r="RP67" s="29"/>
      <c r="RQ67" s="29"/>
      <c r="RR67" s="29"/>
      <c r="RS67" s="29"/>
      <c r="RT67" s="29"/>
      <c r="RU67" s="29"/>
      <c r="RV67" s="29"/>
      <c r="RW67" s="29"/>
      <c r="RX67" s="29"/>
      <c r="RY67" s="29"/>
      <c r="RZ67" s="29"/>
      <c r="SA67" s="29"/>
      <c r="SB67" s="29"/>
      <c r="SC67" s="29"/>
      <c r="SD67" s="29"/>
      <c r="SE67" s="29"/>
      <c r="SF67" s="29"/>
      <c r="SG67" s="29"/>
      <c r="SH67" s="29"/>
      <c r="SI67" s="29"/>
      <c r="SJ67" s="29"/>
      <c r="SK67" s="29"/>
      <c r="SL67" s="29"/>
      <c r="SM67" s="29"/>
      <c r="SN67" s="29"/>
      <c r="SO67" s="29"/>
      <c r="SP67" s="29"/>
      <c r="SQ67" s="29"/>
      <c r="SR67" s="29"/>
      <c r="SS67" s="29"/>
      <c r="ST67" s="29"/>
      <c r="SU67" s="29"/>
      <c r="SV67" s="29"/>
      <c r="SW67" s="29"/>
      <c r="SX67" s="29"/>
      <c r="SY67" s="29"/>
      <c r="SZ67" s="29"/>
      <c r="TA67" s="29"/>
      <c r="TB67" s="29"/>
      <c r="TC67" s="29"/>
      <c r="TD67" s="29"/>
      <c r="TE67" s="29"/>
      <c r="TF67" s="29"/>
      <c r="TG67" s="29"/>
      <c r="TH67" s="29"/>
      <c r="TI67" s="29"/>
      <c r="TJ67" s="29"/>
      <c r="TK67" s="29"/>
      <c r="TL67" s="29"/>
      <c r="TM67" s="29"/>
      <c r="TN67" s="29"/>
      <c r="TO67" s="29"/>
      <c r="TP67" s="29"/>
      <c r="TQ67" s="29"/>
      <c r="TR67" s="29"/>
      <c r="TS67" s="29"/>
      <c r="TT67" s="29"/>
      <c r="TU67" s="29"/>
      <c r="TV67" s="29"/>
      <c r="TW67" s="29"/>
      <c r="TX67" s="29"/>
      <c r="TY67" s="29"/>
      <c r="TZ67" s="29"/>
      <c r="UA67" s="29"/>
      <c r="UB67" s="29"/>
      <c r="UC67" s="29"/>
      <c r="UD67" s="29"/>
      <c r="UE67" s="29"/>
      <c r="UF67" s="29"/>
      <c r="UG67" s="29"/>
      <c r="UH67" s="29"/>
      <c r="UI67" s="29"/>
      <c r="UJ67" s="29"/>
      <c r="UK67" s="29"/>
      <c r="UL67" s="29"/>
      <c r="UM67" s="29"/>
      <c r="UN67" s="29"/>
      <c r="UO67" s="29"/>
      <c r="UP67" s="29"/>
      <c r="UQ67" s="29"/>
      <c r="UR67" s="29"/>
      <c r="US67" s="29"/>
      <c r="UT67" s="29"/>
      <c r="UU67" s="29"/>
      <c r="UV67" s="29"/>
      <c r="UW67" s="29"/>
      <c r="UX67" s="29"/>
      <c r="UY67" s="29"/>
      <c r="UZ67" s="29"/>
      <c r="VA67" s="29"/>
      <c r="VB67" s="29"/>
      <c r="VC67" s="29"/>
      <c r="VD67" s="29"/>
      <c r="VE67" s="29"/>
      <c r="VF67" s="29"/>
      <c r="VG67" s="29"/>
      <c r="VH67" s="29"/>
      <c r="VI67" s="29"/>
      <c r="VJ67" s="29"/>
      <c r="VK67" s="29"/>
      <c r="VL67" s="29"/>
      <c r="VM67" s="29"/>
      <c r="VN67" s="29"/>
      <c r="VO67" s="29"/>
      <c r="VP67" s="29"/>
      <c r="VQ67" s="29"/>
      <c r="VR67" s="29"/>
      <c r="VS67" s="29"/>
      <c r="VT67" s="29"/>
      <c r="VU67" s="29"/>
      <c r="VV67" s="29"/>
      <c r="VW67" s="29"/>
      <c r="VX67" s="29"/>
      <c r="VY67" s="29"/>
      <c r="VZ67" s="29"/>
      <c r="WA67" s="29"/>
      <c r="WB67" s="29"/>
      <c r="WC67" s="29"/>
      <c r="WD67" s="29"/>
      <c r="WE67" s="29"/>
      <c r="WF67" s="29"/>
      <c r="WG67" s="29"/>
      <c r="WH67" s="29"/>
      <c r="WI67" s="29"/>
      <c r="WJ67" s="29"/>
      <c r="WK67" s="29"/>
      <c r="WL67" s="29"/>
      <c r="WM67" s="29"/>
      <c r="WN67" s="29"/>
      <c r="WO67" s="29"/>
      <c r="WP67" s="29"/>
      <c r="WQ67" s="29"/>
      <c r="WR67" s="29"/>
      <c r="WS67" s="29"/>
    </row>
    <row r="68" spans="1:617" s="3" customFormat="1" ht="15" outlineLevel="1" thickBot="1">
      <c r="A68" s="33"/>
      <c r="B68" s="47" t="s">
        <v>227</v>
      </c>
      <c r="C68" s="42" t="s">
        <v>86</v>
      </c>
      <c r="D68" s="204">
        <v>45852</v>
      </c>
      <c r="E68" s="116">
        <v>45907</v>
      </c>
      <c r="F68" s="14"/>
      <c r="G68" s="14">
        <v>59</v>
      </c>
      <c r="H68" s="29"/>
      <c r="I68" s="29"/>
      <c r="J68" s="29"/>
      <c r="K68" s="29"/>
      <c r="L68" s="29"/>
      <c r="M68" s="29"/>
      <c r="N68" s="29"/>
      <c r="O68" s="29"/>
      <c r="P68" s="29"/>
      <c r="Q68" s="29"/>
      <c r="R68" s="29"/>
      <c r="S68" s="29"/>
      <c r="T68" s="29"/>
      <c r="U68" s="29"/>
      <c r="V68" s="29"/>
      <c r="W68" s="29"/>
      <c r="X68" s="29"/>
      <c r="Y68" s="30"/>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c r="MM68" s="29"/>
      <c r="MN68" s="29"/>
      <c r="MO68" s="29"/>
      <c r="MP68" s="29"/>
      <c r="MQ68" s="29"/>
      <c r="MR68" s="29"/>
      <c r="MS68" s="29"/>
      <c r="MT68" s="29"/>
      <c r="MU68" s="29"/>
      <c r="MV68" s="29"/>
      <c r="MW68" s="29"/>
      <c r="MX68" s="29"/>
      <c r="MY68" s="29"/>
      <c r="MZ68" s="29"/>
      <c r="NA68" s="29"/>
      <c r="NB68" s="29"/>
      <c r="NC68" s="29"/>
      <c r="ND68" s="29"/>
      <c r="NE68" s="29"/>
      <c r="NF68" s="29"/>
      <c r="NG68" s="29"/>
      <c r="NH68" s="29"/>
      <c r="NI68" s="29"/>
      <c r="NJ68" s="29"/>
      <c r="NK68" s="29"/>
      <c r="NL68" s="29"/>
      <c r="NM68" s="29"/>
      <c r="NN68" s="29"/>
      <c r="NO68" s="29"/>
      <c r="NP68" s="29"/>
      <c r="NQ68" s="29"/>
      <c r="NR68" s="29"/>
      <c r="NS68" s="29"/>
      <c r="NT68" s="29"/>
      <c r="NU68" s="29"/>
      <c r="NV68" s="29"/>
      <c r="NW68" s="29"/>
      <c r="NX68" s="29"/>
      <c r="NY68" s="29"/>
      <c r="NZ68" s="29"/>
      <c r="OA68" s="29"/>
      <c r="OB68" s="29"/>
      <c r="OC68" s="29"/>
      <c r="OD68" s="29"/>
      <c r="OE68" s="29"/>
      <c r="OF68" s="29"/>
      <c r="OG68" s="29"/>
      <c r="OH68" s="29"/>
      <c r="OI68" s="29"/>
      <c r="OJ68" s="29"/>
      <c r="OK68" s="29"/>
      <c r="OL68" s="29"/>
      <c r="OM68" s="29"/>
      <c r="ON68" s="29"/>
      <c r="OO68" s="29"/>
      <c r="OP68" s="29"/>
      <c r="OQ68" s="29"/>
      <c r="OR68" s="29"/>
      <c r="OS68" s="29"/>
      <c r="OT68" s="29"/>
      <c r="OU68" s="29"/>
      <c r="OV68" s="29"/>
      <c r="OW68" s="29"/>
      <c r="OX68" s="29"/>
      <c r="OY68" s="29"/>
      <c r="OZ68" s="29"/>
      <c r="PA68" s="29"/>
      <c r="PB68" s="29"/>
      <c r="PC68" s="29"/>
      <c r="PD68" s="29"/>
      <c r="PE68" s="29"/>
      <c r="PF68" s="29"/>
      <c r="PG68" s="29"/>
      <c r="PH68" s="29"/>
      <c r="PI68" s="29"/>
      <c r="PJ68" s="29"/>
      <c r="PK68" s="29"/>
      <c r="PL68" s="29"/>
      <c r="PM68" s="29"/>
      <c r="PN68" s="29"/>
      <c r="PO68" s="29"/>
      <c r="PP68" s="29"/>
      <c r="PQ68" s="29"/>
      <c r="PR68" s="29"/>
      <c r="PS68" s="29"/>
      <c r="PT68" s="29"/>
      <c r="PU68" s="29"/>
      <c r="PV68" s="29"/>
      <c r="PW68" s="29"/>
      <c r="PX68" s="29"/>
      <c r="PY68" s="29"/>
      <c r="PZ68" s="29"/>
      <c r="QA68" s="29"/>
      <c r="QB68" s="29"/>
      <c r="QC68" s="29"/>
      <c r="QD68" s="29"/>
      <c r="QE68" s="29"/>
      <c r="QF68" s="29"/>
      <c r="QG68" s="29"/>
      <c r="QH68" s="29"/>
      <c r="QI68" s="29"/>
      <c r="QJ68" s="29"/>
      <c r="QK68" s="29"/>
      <c r="QL68" s="29"/>
      <c r="QM68" s="29"/>
      <c r="QN68" s="29"/>
      <c r="QO68" s="29"/>
      <c r="QP68" s="29"/>
      <c r="QQ68" s="29"/>
      <c r="QR68" s="29"/>
      <c r="QS68" s="29"/>
      <c r="QT68" s="29"/>
      <c r="QU68" s="29"/>
      <c r="QV68" s="29"/>
      <c r="QW68" s="29"/>
      <c r="QX68" s="29"/>
      <c r="QY68" s="29"/>
      <c r="QZ68" s="29"/>
      <c r="RA68" s="29"/>
      <c r="RB68" s="29"/>
      <c r="RC68" s="29"/>
      <c r="RD68" s="29"/>
      <c r="RE68" s="29"/>
      <c r="RF68" s="29"/>
      <c r="RG68" s="29"/>
      <c r="RH68" s="29"/>
      <c r="RI68" s="29"/>
      <c r="RJ68" s="29"/>
      <c r="RK68" s="29"/>
      <c r="RL68" s="29"/>
      <c r="RM68" s="29"/>
      <c r="RN68" s="29"/>
      <c r="RO68" s="29"/>
      <c r="RP68" s="29"/>
      <c r="RQ68" s="29"/>
      <c r="RR68" s="29"/>
      <c r="RS68" s="29"/>
      <c r="RT68" s="29"/>
      <c r="RU68" s="29"/>
      <c r="RV68" s="29"/>
      <c r="RW68" s="29"/>
      <c r="RX68" s="29"/>
      <c r="RY68" s="29"/>
      <c r="RZ68" s="29"/>
      <c r="SA68" s="29"/>
      <c r="SB68" s="29"/>
      <c r="SC68" s="29"/>
      <c r="SD68" s="29"/>
      <c r="SE68" s="29"/>
      <c r="SF68" s="29"/>
      <c r="SG68" s="29"/>
      <c r="SH68" s="29"/>
      <c r="SI68" s="29"/>
      <c r="SJ68" s="29"/>
      <c r="SK68" s="29"/>
      <c r="SL68" s="29"/>
      <c r="SM68" s="29"/>
      <c r="SN68" s="29"/>
      <c r="SO68" s="29"/>
      <c r="SP68" s="29"/>
      <c r="SQ68" s="29"/>
      <c r="SR68" s="29"/>
      <c r="SS68" s="29"/>
      <c r="ST68" s="29"/>
      <c r="SU68" s="29"/>
      <c r="SV68" s="29"/>
      <c r="SW68" s="29"/>
      <c r="SX68" s="29"/>
      <c r="SY68" s="29"/>
      <c r="SZ68" s="29"/>
      <c r="TA68" s="29"/>
      <c r="TB68" s="29"/>
      <c r="TC68" s="29"/>
      <c r="TD68" s="29"/>
      <c r="TE68" s="29"/>
      <c r="TF68" s="29"/>
      <c r="TG68" s="29"/>
      <c r="TH68" s="29"/>
      <c r="TI68" s="29"/>
      <c r="TJ68" s="29"/>
      <c r="TK68" s="29"/>
      <c r="TL68" s="29"/>
      <c r="TM68" s="29"/>
      <c r="TN68" s="29"/>
      <c r="TO68" s="29"/>
      <c r="TP68" s="29"/>
      <c r="TQ68" s="29"/>
      <c r="TR68" s="29"/>
      <c r="TS68" s="29"/>
      <c r="TT68" s="29"/>
      <c r="TU68" s="29"/>
      <c r="TV68" s="29"/>
      <c r="TW68" s="29"/>
      <c r="TX68" s="29"/>
      <c r="TY68" s="29"/>
      <c r="TZ68" s="29"/>
      <c r="UA68" s="29"/>
      <c r="UB68" s="29"/>
      <c r="UC68" s="29"/>
      <c r="UD68" s="29"/>
      <c r="UE68" s="29"/>
      <c r="UF68" s="29"/>
      <c r="UG68" s="29"/>
      <c r="UH68" s="29"/>
      <c r="UI68" s="29"/>
      <c r="UJ68" s="29"/>
      <c r="UK68" s="29"/>
      <c r="UL68" s="29"/>
      <c r="UM68" s="29"/>
      <c r="UN68" s="29"/>
      <c r="UO68" s="29"/>
      <c r="UP68" s="29"/>
      <c r="UQ68" s="29"/>
      <c r="UR68" s="29"/>
      <c r="US68" s="29"/>
      <c r="UT68" s="29"/>
      <c r="UU68" s="29"/>
      <c r="UV68" s="29"/>
      <c r="UW68" s="29"/>
      <c r="UX68" s="29"/>
      <c r="UY68" s="29"/>
      <c r="UZ68" s="29"/>
      <c r="VA68" s="29"/>
      <c r="VB68" s="29"/>
      <c r="VC68" s="29"/>
      <c r="VD68" s="29"/>
      <c r="VE68" s="29"/>
      <c r="VF68" s="29"/>
      <c r="VG68" s="29"/>
      <c r="VH68" s="29"/>
      <c r="VI68" s="29"/>
      <c r="VJ68" s="29"/>
      <c r="VK68" s="29"/>
      <c r="VL68" s="29"/>
      <c r="VM68" s="29"/>
      <c r="VN68" s="29"/>
      <c r="VO68" s="29"/>
      <c r="VP68" s="29"/>
      <c r="VQ68" s="29"/>
      <c r="VR68" s="29"/>
      <c r="VS68" s="29"/>
      <c r="VT68" s="29"/>
      <c r="VU68" s="29"/>
      <c r="VV68" s="29"/>
      <c r="VW68" s="29"/>
      <c r="VX68" s="29"/>
      <c r="VY68" s="29"/>
      <c r="VZ68" s="29"/>
      <c r="WA68" s="29"/>
      <c r="WB68" s="29"/>
      <c r="WC68" s="29"/>
      <c r="WD68" s="29"/>
      <c r="WE68" s="29"/>
      <c r="WF68" s="29"/>
      <c r="WG68" s="29"/>
      <c r="WH68" s="29"/>
      <c r="WI68" s="29"/>
      <c r="WJ68" s="29"/>
      <c r="WK68" s="29"/>
      <c r="WL68" s="29"/>
      <c r="WM68" s="29"/>
      <c r="WN68" s="29"/>
      <c r="WO68" s="29"/>
      <c r="WP68" s="29"/>
      <c r="WQ68" s="29"/>
      <c r="WR68" s="29"/>
      <c r="WS68" s="29"/>
    </row>
    <row r="69" spans="1:617" s="3" customFormat="1" ht="15" outlineLevel="1" thickBot="1">
      <c r="A69" s="33"/>
      <c r="B69" s="47" t="s">
        <v>227</v>
      </c>
      <c r="C69" s="42" t="s">
        <v>231</v>
      </c>
      <c r="D69" s="116">
        <v>45904</v>
      </c>
      <c r="E69" s="116">
        <f t="shared" si="593"/>
        <v>45988</v>
      </c>
      <c r="F69" s="14"/>
      <c r="G69" s="14">
        <v>84</v>
      </c>
      <c r="H69" s="29"/>
      <c r="I69" s="29"/>
      <c r="J69" s="29"/>
      <c r="K69" s="29"/>
      <c r="L69" s="29"/>
      <c r="M69" s="29"/>
      <c r="N69" s="29"/>
      <c r="O69" s="29"/>
      <c r="P69" s="29"/>
      <c r="Q69" s="29"/>
      <c r="R69" s="29"/>
      <c r="S69" s="29"/>
      <c r="T69" s="29"/>
      <c r="U69" s="29"/>
      <c r="V69" s="29"/>
      <c r="W69" s="29"/>
      <c r="X69" s="29"/>
      <c r="Y69" s="30"/>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c r="MM69" s="29"/>
      <c r="MN69" s="29"/>
      <c r="MO69" s="29"/>
      <c r="MP69" s="29"/>
      <c r="MQ69" s="29"/>
      <c r="MR69" s="29"/>
      <c r="MS69" s="29"/>
      <c r="MT69" s="29"/>
      <c r="MU69" s="29"/>
      <c r="MV69" s="29"/>
      <c r="MW69" s="29"/>
      <c r="MX69" s="29"/>
      <c r="MY69" s="29"/>
      <c r="MZ69" s="29"/>
      <c r="NA69" s="29"/>
      <c r="NB69" s="29"/>
      <c r="NC69" s="29"/>
      <c r="ND69" s="29"/>
      <c r="NE69" s="29"/>
      <c r="NF69" s="29"/>
      <c r="NG69" s="29"/>
      <c r="NH69" s="29"/>
      <c r="NI69" s="29"/>
      <c r="NJ69" s="29"/>
      <c r="NK69" s="29"/>
      <c r="NL69" s="29"/>
      <c r="NM69" s="29"/>
      <c r="NN69" s="29"/>
      <c r="NO69" s="29"/>
      <c r="NP69" s="29"/>
      <c r="NQ69" s="29"/>
      <c r="NR69" s="29"/>
      <c r="NS69" s="29"/>
      <c r="NT69" s="29"/>
      <c r="NU69" s="29"/>
      <c r="NV69" s="29"/>
      <c r="NW69" s="29"/>
      <c r="NX69" s="29"/>
      <c r="NY69" s="29"/>
      <c r="NZ69" s="29"/>
      <c r="OA69" s="29"/>
      <c r="OB69" s="29"/>
      <c r="OC69" s="29"/>
      <c r="OD69" s="29"/>
      <c r="OE69" s="29"/>
      <c r="OF69" s="29"/>
      <c r="OG69" s="29"/>
      <c r="OH69" s="29"/>
      <c r="OI69" s="29"/>
      <c r="OJ69" s="29"/>
      <c r="OK69" s="29"/>
      <c r="OL69" s="29"/>
      <c r="OM69" s="29"/>
      <c r="ON69" s="29"/>
      <c r="OO69" s="29"/>
      <c r="OP69" s="29"/>
      <c r="OQ69" s="29"/>
      <c r="OR69" s="29"/>
      <c r="OS69" s="29"/>
      <c r="OT69" s="29"/>
      <c r="OU69" s="29"/>
      <c r="OV69" s="29"/>
      <c r="OW69" s="29"/>
      <c r="OX69" s="29"/>
      <c r="OY69" s="29"/>
      <c r="OZ69" s="29"/>
      <c r="PA69" s="29"/>
      <c r="PB69" s="29"/>
      <c r="PC69" s="29"/>
      <c r="PD69" s="29"/>
      <c r="PE69" s="29"/>
      <c r="PF69" s="29"/>
      <c r="PG69" s="29"/>
      <c r="PH69" s="29"/>
      <c r="PI69" s="29"/>
      <c r="PJ69" s="29"/>
      <c r="PK69" s="29"/>
      <c r="PL69" s="29"/>
      <c r="PM69" s="29"/>
      <c r="PN69" s="29"/>
      <c r="PO69" s="29"/>
      <c r="PP69" s="29"/>
      <c r="PQ69" s="29"/>
      <c r="PR69" s="29"/>
      <c r="PS69" s="29"/>
      <c r="PT69" s="29"/>
      <c r="PU69" s="29"/>
      <c r="PV69" s="29"/>
      <c r="PW69" s="29"/>
      <c r="PX69" s="29"/>
      <c r="PY69" s="29"/>
      <c r="PZ69" s="29"/>
      <c r="QA69" s="29"/>
      <c r="QB69" s="29"/>
      <c r="QC69" s="29"/>
      <c r="QD69" s="29"/>
      <c r="QE69" s="29"/>
      <c r="QF69" s="29"/>
      <c r="QG69" s="29"/>
      <c r="QH69" s="29"/>
      <c r="QI69" s="29"/>
      <c r="QJ69" s="29"/>
      <c r="QK69" s="29"/>
      <c r="QL69" s="29"/>
      <c r="QM69" s="29"/>
      <c r="QN69" s="29"/>
      <c r="QO69" s="29"/>
      <c r="QP69" s="29"/>
      <c r="QQ69" s="29"/>
      <c r="QR69" s="29"/>
      <c r="QS69" s="29"/>
      <c r="QT69" s="29"/>
      <c r="QU69" s="29"/>
      <c r="QV69" s="29"/>
      <c r="QW69" s="29"/>
      <c r="QX69" s="29"/>
      <c r="QY69" s="29"/>
      <c r="QZ69" s="29"/>
      <c r="RA69" s="29"/>
      <c r="RB69" s="29"/>
      <c r="RC69" s="29"/>
      <c r="RD69" s="29"/>
      <c r="RE69" s="29"/>
      <c r="RF69" s="29"/>
      <c r="RG69" s="29"/>
      <c r="RH69" s="29"/>
      <c r="RI69" s="29"/>
      <c r="RJ69" s="29"/>
      <c r="RK69" s="29"/>
      <c r="RL69" s="29"/>
      <c r="RM69" s="29"/>
      <c r="RN69" s="29"/>
      <c r="RO69" s="29"/>
      <c r="RP69" s="29"/>
      <c r="RQ69" s="29"/>
      <c r="RR69" s="29"/>
      <c r="RS69" s="29"/>
      <c r="RT69" s="29"/>
      <c r="RU69" s="29"/>
      <c r="RV69" s="29"/>
      <c r="RW69" s="29"/>
      <c r="RX69" s="29"/>
      <c r="RY69" s="29"/>
      <c r="RZ69" s="29"/>
      <c r="SA69" s="29"/>
      <c r="SB69" s="29"/>
      <c r="SC69" s="29"/>
      <c r="SD69" s="29"/>
      <c r="SE69" s="29"/>
      <c r="SF69" s="29"/>
      <c r="SG69" s="29"/>
      <c r="SH69" s="29"/>
      <c r="SI69" s="29"/>
      <c r="SJ69" s="29"/>
      <c r="SK69" s="29"/>
      <c r="SL69" s="29"/>
      <c r="SM69" s="29"/>
      <c r="SN69" s="29"/>
      <c r="SO69" s="29"/>
      <c r="SP69" s="29"/>
      <c r="SQ69" s="29"/>
      <c r="SR69" s="29"/>
      <c r="SS69" s="29"/>
      <c r="ST69" s="29"/>
      <c r="SU69" s="29"/>
      <c r="SV69" s="29"/>
      <c r="SW69" s="29"/>
      <c r="SX69" s="29"/>
      <c r="SY69" s="29"/>
      <c r="SZ69" s="29"/>
      <c r="TA69" s="29"/>
      <c r="TB69" s="29"/>
      <c r="TC69" s="29"/>
      <c r="TD69" s="29"/>
      <c r="TE69" s="29"/>
      <c r="TF69" s="29"/>
      <c r="TG69" s="29"/>
      <c r="TH69" s="29"/>
      <c r="TI69" s="29"/>
      <c r="TJ69" s="29"/>
      <c r="TK69" s="29"/>
      <c r="TL69" s="29"/>
      <c r="TM69" s="29"/>
      <c r="TN69" s="29"/>
      <c r="TO69" s="29"/>
      <c r="TP69" s="29"/>
      <c r="TQ69" s="29"/>
      <c r="TR69" s="29"/>
      <c r="TS69" s="29"/>
      <c r="TT69" s="29"/>
      <c r="TU69" s="29"/>
      <c r="TV69" s="29"/>
      <c r="TW69" s="29"/>
      <c r="TX69" s="29"/>
      <c r="TY69" s="29"/>
      <c r="TZ69" s="29"/>
      <c r="UA69" s="29"/>
      <c r="UB69" s="29"/>
      <c r="UC69" s="29"/>
      <c r="UD69" s="29"/>
      <c r="UE69" s="29"/>
      <c r="UF69" s="29"/>
      <c r="UG69" s="29"/>
      <c r="UH69" s="29"/>
      <c r="UI69" s="29"/>
      <c r="UJ69" s="29"/>
      <c r="UK69" s="29"/>
      <c r="UL69" s="29"/>
      <c r="UM69" s="29"/>
      <c r="UN69" s="29"/>
      <c r="UO69" s="29"/>
      <c r="UP69" s="29"/>
      <c r="UQ69" s="29"/>
      <c r="UR69" s="29"/>
      <c r="US69" s="29"/>
      <c r="UT69" s="29"/>
      <c r="UU69" s="29"/>
      <c r="UV69" s="29"/>
      <c r="UW69" s="29"/>
      <c r="UX69" s="29"/>
      <c r="UY69" s="29"/>
      <c r="UZ69" s="29"/>
      <c r="VA69" s="29"/>
      <c r="VB69" s="29"/>
      <c r="VC69" s="29"/>
      <c r="VD69" s="29"/>
      <c r="VE69" s="29"/>
      <c r="VF69" s="29"/>
      <c r="VG69" s="29"/>
      <c r="VH69" s="29"/>
      <c r="VI69" s="29"/>
      <c r="VJ69" s="29"/>
      <c r="VK69" s="29"/>
      <c r="VL69" s="29"/>
      <c r="VM69" s="29"/>
      <c r="VN69" s="29"/>
      <c r="VO69" s="29"/>
      <c r="VP69" s="29"/>
      <c r="VQ69" s="29"/>
      <c r="VR69" s="29"/>
      <c r="VS69" s="29"/>
      <c r="VT69" s="29"/>
      <c r="VU69" s="29"/>
      <c r="VV69" s="29"/>
      <c r="VW69" s="29"/>
      <c r="VX69" s="29"/>
      <c r="VY69" s="29"/>
      <c r="VZ69" s="29"/>
      <c r="WA69" s="29"/>
      <c r="WB69" s="29"/>
      <c r="WC69" s="29"/>
      <c r="WD69" s="29"/>
      <c r="WE69" s="29"/>
      <c r="WF69" s="29"/>
      <c r="WG69" s="29"/>
      <c r="WH69" s="29"/>
      <c r="WI69" s="29"/>
      <c r="WJ69" s="29"/>
      <c r="WK69" s="29"/>
      <c r="WL69" s="29"/>
      <c r="WM69" s="29"/>
      <c r="WN69" s="29"/>
      <c r="WO69" s="29"/>
      <c r="WP69" s="29"/>
      <c r="WQ69" s="29"/>
      <c r="WR69" s="29"/>
      <c r="WS69" s="29"/>
    </row>
    <row r="70" spans="1:617" s="3" customFormat="1" ht="15" outlineLevel="1" thickBot="1">
      <c r="A70" s="33"/>
      <c r="B70" s="47" t="s">
        <v>229</v>
      </c>
      <c r="C70" s="42" t="s">
        <v>35</v>
      </c>
      <c r="D70" s="116">
        <v>45970</v>
      </c>
      <c r="E70" s="116">
        <f t="shared" si="593"/>
        <v>46050</v>
      </c>
      <c r="F70" s="14"/>
      <c r="G70" s="14">
        <v>80</v>
      </c>
      <c r="H70" s="29"/>
      <c r="I70" s="29"/>
      <c r="J70" s="29"/>
      <c r="K70" s="29"/>
      <c r="L70" s="29"/>
      <c r="M70" s="29"/>
      <c r="N70" s="29"/>
      <c r="O70" s="29"/>
      <c r="P70" s="29"/>
      <c r="Q70" s="29"/>
      <c r="R70" s="29"/>
      <c r="S70" s="29"/>
      <c r="T70" s="29"/>
      <c r="U70" s="29"/>
      <c r="V70" s="29"/>
      <c r="W70" s="29"/>
      <c r="X70" s="29"/>
      <c r="Y70" s="30"/>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c r="MM70" s="29"/>
      <c r="MN70" s="29"/>
      <c r="MO70" s="29"/>
      <c r="MP70" s="29"/>
      <c r="MQ70" s="29"/>
      <c r="MR70" s="29"/>
      <c r="MS70" s="29"/>
      <c r="MT70" s="29"/>
      <c r="MU70" s="29"/>
      <c r="MV70" s="29"/>
      <c r="MW70" s="29"/>
      <c r="MX70" s="29"/>
      <c r="MY70" s="29"/>
      <c r="MZ70" s="29"/>
      <c r="NA70" s="29"/>
      <c r="NB70" s="29"/>
      <c r="NC70" s="29"/>
      <c r="ND70" s="29"/>
      <c r="NE70" s="29"/>
      <c r="NF70" s="29"/>
      <c r="NG70" s="29"/>
      <c r="NH70" s="29"/>
      <c r="NI70" s="29"/>
      <c r="NJ70" s="29"/>
      <c r="NK70" s="29"/>
      <c r="NL70" s="29"/>
      <c r="NM70" s="29"/>
      <c r="NN70" s="29"/>
      <c r="NO70" s="29"/>
      <c r="NP70" s="29"/>
      <c r="NQ70" s="29"/>
      <c r="NR70" s="29"/>
      <c r="NS70" s="29"/>
      <c r="NT70" s="29"/>
      <c r="NU70" s="29"/>
      <c r="NV70" s="29"/>
      <c r="NW70" s="29"/>
      <c r="NX70" s="29"/>
      <c r="NY70" s="29"/>
      <c r="NZ70" s="29"/>
      <c r="OA70" s="29"/>
      <c r="OB70" s="29"/>
      <c r="OC70" s="29"/>
      <c r="OD70" s="29"/>
      <c r="OE70" s="29"/>
      <c r="OF70" s="29"/>
      <c r="OG70" s="29"/>
      <c r="OH70" s="29"/>
      <c r="OI70" s="29"/>
      <c r="OJ70" s="29"/>
      <c r="OK70" s="29"/>
      <c r="OL70" s="29"/>
      <c r="OM70" s="29"/>
      <c r="ON70" s="29"/>
      <c r="OO70" s="29"/>
      <c r="OP70" s="29"/>
      <c r="OQ70" s="29"/>
      <c r="OR70" s="29"/>
      <c r="OS70" s="29"/>
      <c r="OT70" s="29"/>
      <c r="OU70" s="29"/>
      <c r="OV70" s="29"/>
      <c r="OW70" s="29"/>
      <c r="OX70" s="29"/>
      <c r="OY70" s="29"/>
      <c r="OZ70" s="29"/>
      <c r="PA70" s="29"/>
      <c r="PB70" s="29"/>
      <c r="PC70" s="29"/>
      <c r="PD70" s="29"/>
      <c r="PE70" s="29"/>
      <c r="PF70" s="29"/>
      <c r="PG70" s="29"/>
      <c r="PH70" s="29"/>
      <c r="PI70" s="29"/>
      <c r="PJ70" s="29"/>
      <c r="PK70" s="29"/>
      <c r="PL70" s="29"/>
      <c r="PM70" s="29"/>
      <c r="PN70" s="29"/>
      <c r="PO70" s="29"/>
      <c r="PP70" s="29"/>
      <c r="PQ70" s="29"/>
      <c r="PR70" s="29"/>
      <c r="PS70" s="29"/>
      <c r="PT70" s="29"/>
      <c r="PU70" s="29"/>
      <c r="PV70" s="29"/>
      <c r="PW70" s="29"/>
      <c r="PX70" s="29"/>
      <c r="PY70" s="29"/>
      <c r="PZ70" s="29"/>
      <c r="QA70" s="29"/>
      <c r="QB70" s="29"/>
      <c r="QC70" s="29"/>
      <c r="QD70" s="29"/>
      <c r="QE70" s="29"/>
      <c r="QF70" s="29"/>
      <c r="QG70" s="29"/>
      <c r="QH70" s="29"/>
      <c r="QI70" s="29"/>
      <c r="QJ70" s="29"/>
      <c r="QK70" s="29"/>
      <c r="QL70" s="29"/>
      <c r="QM70" s="29"/>
      <c r="QN70" s="29"/>
      <c r="QO70" s="29"/>
      <c r="QP70" s="29"/>
      <c r="QQ70" s="29"/>
      <c r="QR70" s="29"/>
      <c r="QS70" s="29"/>
      <c r="QT70" s="29"/>
      <c r="QU70" s="29"/>
      <c r="QV70" s="29"/>
      <c r="QW70" s="29"/>
      <c r="QX70" s="29"/>
      <c r="QY70" s="29"/>
      <c r="QZ70" s="29"/>
      <c r="RA70" s="29"/>
      <c r="RB70" s="29"/>
      <c r="RC70" s="29"/>
      <c r="RD70" s="29"/>
      <c r="RE70" s="29"/>
      <c r="RF70" s="29"/>
      <c r="RG70" s="29"/>
      <c r="RH70" s="29"/>
      <c r="RI70" s="29"/>
      <c r="RJ70" s="29"/>
      <c r="RK70" s="29"/>
      <c r="RL70" s="29"/>
      <c r="RM70" s="29"/>
      <c r="RN70" s="29"/>
      <c r="RO70" s="29"/>
      <c r="RP70" s="29"/>
      <c r="RQ70" s="29"/>
      <c r="RR70" s="29"/>
      <c r="RS70" s="29"/>
      <c r="RT70" s="29"/>
      <c r="RU70" s="29"/>
      <c r="RV70" s="29"/>
      <c r="RW70" s="29"/>
      <c r="RX70" s="29"/>
      <c r="RY70" s="29"/>
      <c r="RZ70" s="29"/>
      <c r="SA70" s="29"/>
      <c r="SB70" s="29"/>
      <c r="SC70" s="29"/>
      <c r="SD70" s="29"/>
      <c r="SE70" s="29"/>
      <c r="SF70" s="29"/>
      <c r="SG70" s="29"/>
      <c r="SH70" s="29"/>
      <c r="SI70" s="29"/>
      <c r="SJ70" s="29"/>
      <c r="SK70" s="29"/>
      <c r="SL70" s="29"/>
      <c r="SM70" s="29"/>
      <c r="SN70" s="29"/>
      <c r="SO70" s="29"/>
      <c r="SP70" s="29"/>
      <c r="SQ70" s="29"/>
      <c r="SR70" s="29"/>
      <c r="SS70" s="29"/>
      <c r="ST70" s="29"/>
      <c r="SU70" s="29"/>
      <c r="SV70" s="29"/>
      <c r="SW70" s="29"/>
      <c r="SX70" s="29"/>
      <c r="SY70" s="29"/>
      <c r="SZ70" s="29"/>
      <c r="TA70" s="29"/>
      <c r="TB70" s="29"/>
      <c r="TC70" s="29"/>
      <c r="TD70" s="29"/>
      <c r="TE70" s="29"/>
      <c r="TF70" s="29"/>
      <c r="TG70" s="29"/>
      <c r="TH70" s="29"/>
      <c r="TI70" s="29"/>
      <c r="TJ70" s="29"/>
      <c r="TK70" s="29"/>
      <c r="TL70" s="29"/>
      <c r="TM70" s="29"/>
      <c r="TN70" s="29"/>
      <c r="TO70" s="29"/>
      <c r="TP70" s="29"/>
      <c r="TQ70" s="29"/>
      <c r="TR70" s="29"/>
      <c r="TS70" s="29"/>
      <c r="TT70" s="29"/>
      <c r="TU70" s="29"/>
      <c r="TV70" s="29"/>
      <c r="TW70" s="29"/>
      <c r="TX70" s="29"/>
      <c r="TY70" s="29"/>
      <c r="TZ70" s="29"/>
      <c r="UA70" s="29"/>
      <c r="UB70" s="29"/>
      <c r="UC70" s="29"/>
      <c r="UD70" s="29"/>
      <c r="UE70" s="29"/>
      <c r="UF70" s="29"/>
      <c r="UG70" s="29"/>
      <c r="UH70" s="29"/>
      <c r="UI70" s="29"/>
      <c r="UJ70" s="29"/>
      <c r="UK70" s="29"/>
      <c r="UL70" s="29"/>
      <c r="UM70" s="29"/>
      <c r="UN70" s="29"/>
      <c r="UO70" s="29"/>
      <c r="UP70" s="29"/>
      <c r="UQ70" s="29"/>
      <c r="UR70" s="29"/>
      <c r="US70" s="29"/>
      <c r="UT70" s="29"/>
      <c r="UU70" s="29"/>
      <c r="UV70" s="29"/>
      <c r="UW70" s="29"/>
      <c r="UX70" s="29"/>
      <c r="UY70" s="29"/>
      <c r="UZ70" s="29"/>
      <c r="VA70" s="29"/>
      <c r="VB70" s="29"/>
      <c r="VC70" s="29"/>
      <c r="VD70" s="29"/>
      <c r="VE70" s="29"/>
      <c r="VF70" s="29"/>
      <c r="VG70" s="29"/>
      <c r="VH70" s="29"/>
      <c r="VI70" s="29"/>
      <c r="VJ70" s="29"/>
      <c r="VK70" s="29"/>
      <c r="VL70" s="29"/>
      <c r="VM70" s="29"/>
      <c r="VN70" s="29"/>
      <c r="VO70" s="29"/>
      <c r="VP70" s="29"/>
      <c r="VQ70" s="29"/>
      <c r="VR70" s="29"/>
      <c r="VS70" s="29"/>
      <c r="VT70" s="29"/>
      <c r="VU70" s="29"/>
      <c r="VV70" s="29"/>
      <c r="VW70" s="29"/>
      <c r="VX70" s="29"/>
      <c r="VY70" s="29"/>
      <c r="VZ70" s="29"/>
      <c r="WA70" s="29"/>
      <c r="WB70" s="29"/>
      <c r="WC70" s="29"/>
      <c r="WD70" s="29"/>
      <c r="WE70" s="29"/>
      <c r="WF70" s="29"/>
      <c r="WG70" s="29"/>
      <c r="WH70" s="29"/>
      <c r="WI70" s="29"/>
      <c r="WJ70" s="29"/>
      <c r="WK70" s="29"/>
      <c r="WL70" s="29"/>
      <c r="WM70" s="29"/>
      <c r="WN70" s="29"/>
      <c r="WO70" s="29"/>
      <c r="WP70" s="29"/>
      <c r="WQ70" s="29"/>
      <c r="WR70" s="29"/>
      <c r="WS70" s="29"/>
    </row>
    <row r="71" spans="1:617" s="3" customFormat="1" ht="15" outlineLevel="1" thickBot="1">
      <c r="A71" s="33"/>
      <c r="B71" s="47" t="s">
        <v>227</v>
      </c>
      <c r="C71" s="42" t="s">
        <v>228</v>
      </c>
      <c r="D71" s="116">
        <v>46030</v>
      </c>
      <c r="E71" s="116">
        <f t="shared" ref="E71:E80" si="594">D71+G71</f>
        <v>46091</v>
      </c>
      <c r="F71" s="14"/>
      <c r="G71" s="14">
        <v>61</v>
      </c>
      <c r="H71" s="29"/>
      <c r="I71" s="29"/>
      <c r="J71" s="29"/>
      <c r="K71" s="29"/>
      <c r="L71" s="29"/>
      <c r="M71" s="29"/>
      <c r="N71" s="29"/>
      <c r="O71" s="29"/>
      <c r="P71" s="29"/>
      <c r="Q71" s="29"/>
      <c r="R71" s="29"/>
      <c r="S71" s="29"/>
      <c r="T71" s="29"/>
      <c r="U71" s="29"/>
      <c r="V71" s="29"/>
      <c r="W71" s="29"/>
      <c r="X71" s="29"/>
      <c r="Y71" s="30"/>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c r="MM71" s="29"/>
      <c r="MN71" s="29"/>
      <c r="MO71" s="29"/>
      <c r="MP71" s="29"/>
      <c r="MQ71" s="29"/>
      <c r="MR71" s="29"/>
      <c r="MS71" s="29"/>
      <c r="MT71" s="29"/>
      <c r="MU71" s="29"/>
      <c r="MV71" s="29"/>
      <c r="MW71" s="29"/>
      <c r="MX71" s="29"/>
      <c r="MY71" s="29"/>
      <c r="MZ71" s="29"/>
      <c r="NA71" s="29"/>
      <c r="NB71" s="29"/>
      <c r="NC71" s="29"/>
      <c r="ND71" s="29"/>
      <c r="NE71" s="29"/>
      <c r="NF71" s="29"/>
      <c r="NG71" s="29"/>
      <c r="NH71" s="29"/>
      <c r="NI71" s="29"/>
      <c r="NJ71" s="29"/>
      <c r="NK71" s="29"/>
      <c r="NL71" s="29"/>
      <c r="NM71" s="29"/>
      <c r="NN71" s="29"/>
      <c r="NO71" s="29"/>
      <c r="NP71" s="29"/>
      <c r="NQ71" s="29"/>
      <c r="NR71" s="29"/>
      <c r="NS71" s="29"/>
      <c r="NT71" s="29"/>
      <c r="NU71" s="29"/>
      <c r="NV71" s="29"/>
      <c r="NW71" s="29"/>
      <c r="NX71" s="29"/>
      <c r="NY71" s="29"/>
      <c r="NZ71" s="29"/>
      <c r="OA71" s="29"/>
      <c r="OB71" s="29"/>
      <c r="OC71" s="29"/>
      <c r="OD71" s="29"/>
      <c r="OE71" s="29"/>
      <c r="OF71" s="29"/>
      <c r="OG71" s="29"/>
      <c r="OH71" s="29"/>
      <c r="OI71" s="29"/>
      <c r="OJ71" s="29"/>
      <c r="OK71" s="29"/>
      <c r="OL71" s="29"/>
      <c r="OM71" s="29"/>
      <c r="ON71" s="29"/>
      <c r="OO71" s="29"/>
      <c r="OP71" s="29"/>
      <c r="OQ71" s="29"/>
      <c r="OR71" s="29"/>
      <c r="OS71" s="29"/>
      <c r="OT71" s="29"/>
      <c r="OU71" s="29"/>
      <c r="OV71" s="29"/>
      <c r="OW71" s="29"/>
      <c r="OX71" s="29"/>
      <c r="OY71" s="29"/>
      <c r="OZ71" s="29"/>
      <c r="PA71" s="29"/>
      <c r="PB71" s="29"/>
      <c r="PC71" s="29"/>
      <c r="PD71" s="29"/>
      <c r="PE71" s="29"/>
      <c r="PF71" s="29"/>
      <c r="PG71" s="29"/>
      <c r="PH71" s="29"/>
      <c r="PI71" s="29"/>
      <c r="PJ71" s="29"/>
      <c r="PK71" s="29"/>
      <c r="PL71" s="29"/>
      <c r="PM71" s="29"/>
      <c r="PN71" s="29"/>
      <c r="PO71" s="29"/>
      <c r="PP71" s="29"/>
      <c r="PQ71" s="29"/>
      <c r="PR71" s="29"/>
      <c r="PS71" s="29"/>
      <c r="PT71" s="29"/>
      <c r="PU71" s="29"/>
      <c r="PV71" s="29"/>
      <c r="PW71" s="29"/>
      <c r="PX71" s="29"/>
      <c r="PY71" s="29"/>
      <c r="PZ71" s="29"/>
      <c r="QA71" s="29"/>
      <c r="QB71" s="29"/>
      <c r="QC71" s="29"/>
      <c r="QD71" s="29"/>
      <c r="QE71" s="29"/>
      <c r="QF71" s="29"/>
      <c r="QG71" s="29"/>
      <c r="QH71" s="29"/>
      <c r="QI71" s="29"/>
      <c r="QJ71" s="29"/>
      <c r="QK71" s="29"/>
      <c r="QL71" s="29"/>
      <c r="QM71" s="29"/>
      <c r="QN71" s="29"/>
      <c r="QO71" s="29"/>
      <c r="QP71" s="29"/>
      <c r="QQ71" s="29"/>
      <c r="QR71" s="29"/>
      <c r="QS71" s="29"/>
      <c r="QT71" s="29"/>
      <c r="QU71" s="29"/>
      <c r="QV71" s="29"/>
      <c r="QW71" s="29"/>
      <c r="QX71" s="29"/>
      <c r="QY71" s="29"/>
      <c r="QZ71" s="29"/>
      <c r="RA71" s="29"/>
      <c r="RB71" s="29"/>
      <c r="RC71" s="29"/>
      <c r="RD71" s="29"/>
      <c r="RE71" s="29"/>
      <c r="RF71" s="29"/>
      <c r="RG71" s="29"/>
      <c r="RH71" s="29"/>
      <c r="RI71" s="29"/>
      <c r="RJ71" s="29"/>
      <c r="RK71" s="29"/>
      <c r="RL71" s="29"/>
      <c r="RM71" s="29"/>
      <c r="RN71" s="29"/>
      <c r="RO71" s="29"/>
      <c r="RP71" s="29"/>
      <c r="RQ71" s="29"/>
      <c r="RR71" s="29"/>
      <c r="RS71" s="29"/>
      <c r="RT71" s="29"/>
      <c r="RU71" s="29"/>
      <c r="RV71" s="29"/>
      <c r="RW71" s="29"/>
      <c r="RX71" s="29"/>
      <c r="RY71" s="29"/>
      <c r="RZ71" s="29"/>
      <c r="SA71" s="29"/>
      <c r="SB71" s="29"/>
      <c r="SC71" s="29"/>
      <c r="SD71" s="29"/>
      <c r="SE71" s="29"/>
      <c r="SF71" s="29"/>
      <c r="SG71" s="29"/>
      <c r="SH71" s="29"/>
      <c r="SI71" s="29"/>
      <c r="SJ71" s="29"/>
      <c r="SK71" s="29"/>
      <c r="SL71" s="29"/>
      <c r="SM71" s="29"/>
      <c r="SN71" s="29"/>
      <c r="SO71" s="29"/>
      <c r="SP71" s="29"/>
      <c r="SQ71" s="29"/>
      <c r="SR71" s="29"/>
      <c r="SS71" s="29"/>
      <c r="ST71" s="29"/>
      <c r="SU71" s="29"/>
      <c r="SV71" s="29"/>
      <c r="SW71" s="29"/>
      <c r="SX71" s="29"/>
      <c r="SY71" s="29"/>
      <c r="SZ71" s="29"/>
      <c r="TA71" s="29"/>
      <c r="TB71" s="29"/>
      <c r="TC71" s="29"/>
      <c r="TD71" s="29"/>
      <c r="TE71" s="29"/>
      <c r="TF71" s="29"/>
      <c r="TG71" s="29"/>
      <c r="TH71" s="29"/>
      <c r="TI71" s="29"/>
      <c r="TJ71" s="29"/>
      <c r="TK71" s="29"/>
      <c r="TL71" s="29"/>
      <c r="TM71" s="29"/>
      <c r="TN71" s="29"/>
      <c r="TO71" s="29"/>
      <c r="TP71" s="29"/>
      <c r="TQ71" s="29"/>
      <c r="TR71" s="29"/>
      <c r="TS71" s="29"/>
      <c r="TT71" s="29"/>
      <c r="TU71" s="29"/>
      <c r="TV71" s="29"/>
      <c r="TW71" s="29"/>
      <c r="TX71" s="29"/>
      <c r="TY71" s="29"/>
      <c r="TZ71" s="29"/>
      <c r="UA71" s="29"/>
      <c r="UB71" s="29"/>
      <c r="UC71" s="29"/>
      <c r="UD71" s="29"/>
      <c r="UE71" s="29"/>
      <c r="UF71" s="29"/>
      <c r="UG71" s="29"/>
      <c r="UH71" s="29"/>
      <c r="UI71" s="29"/>
      <c r="UJ71" s="29"/>
      <c r="UK71" s="29"/>
      <c r="UL71" s="29"/>
      <c r="UM71" s="29"/>
      <c r="UN71" s="29"/>
      <c r="UO71" s="29"/>
      <c r="UP71" s="29"/>
      <c r="UQ71" s="29"/>
      <c r="UR71" s="29"/>
      <c r="US71" s="29"/>
      <c r="UT71" s="29"/>
      <c r="UU71" s="29"/>
      <c r="UV71" s="29"/>
      <c r="UW71" s="29"/>
      <c r="UX71" s="29"/>
      <c r="UY71" s="29"/>
      <c r="UZ71" s="29"/>
      <c r="VA71" s="29"/>
      <c r="VB71" s="29"/>
      <c r="VC71" s="29"/>
      <c r="VD71" s="29"/>
      <c r="VE71" s="29"/>
      <c r="VF71" s="29"/>
      <c r="VG71" s="29"/>
      <c r="VH71" s="29"/>
      <c r="VI71" s="29"/>
      <c r="VJ71" s="29"/>
      <c r="VK71" s="29"/>
      <c r="VL71" s="29"/>
      <c r="VM71" s="29"/>
      <c r="VN71" s="29"/>
      <c r="VO71" s="29"/>
      <c r="VP71" s="29"/>
      <c r="VQ71" s="29"/>
      <c r="VR71" s="29"/>
      <c r="VS71" s="29"/>
      <c r="VT71" s="29"/>
      <c r="VU71" s="29"/>
      <c r="VV71" s="29"/>
      <c r="VW71" s="29"/>
      <c r="VX71" s="29"/>
      <c r="VY71" s="29"/>
      <c r="VZ71" s="29"/>
      <c r="WA71" s="29"/>
      <c r="WB71" s="29"/>
      <c r="WC71" s="29"/>
      <c r="WD71" s="29"/>
      <c r="WE71" s="29"/>
      <c r="WF71" s="29"/>
      <c r="WG71" s="29"/>
      <c r="WH71" s="29"/>
      <c r="WI71" s="29"/>
      <c r="WJ71" s="29"/>
      <c r="WK71" s="29"/>
      <c r="WL71" s="29"/>
      <c r="WM71" s="29"/>
      <c r="WN71" s="29"/>
      <c r="WO71" s="29"/>
      <c r="WP71" s="29"/>
      <c r="WQ71" s="29"/>
      <c r="WR71" s="29"/>
      <c r="WS71" s="29"/>
    </row>
    <row r="72" spans="1:617" s="3" customFormat="1" ht="15" outlineLevel="1" thickBot="1">
      <c r="A72" s="33"/>
      <c r="B72" s="47" t="s">
        <v>229</v>
      </c>
      <c r="C72" s="42" t="s">
        <v>42</v>
      </c>
      <c r="D72" s="116">
        <v>46045</v>
      </c>
      <c r="E72" s="116">
        <f t="shared" si="594"/>
        <v>46103</v>
      </c>
      <c r="F72" s="14"/>
      <c r="G72" s="14">
        <v>58</v>
      </c>
      <c r="H72" s="29"/>
      <c r="I72" s="29"/>
      <c r="J72" s="29"/>
      <c r="K72" s="29"/>
      <c r="L72" s="29"/>
      <c r="M72" s="29"/>
      <c r="N72" s="29"/>
      <c r="O72" s="29"/>
      <c r="P72" s="29"/>
      <c r="Q72" s="29"/>
      <c r="R72" s="29"/>
      <c r="S72" s="29"/>
      <c r="T72" s="29"/>
      <c r="U72" s="29"/>
      <c r="V72" s="29"/>
      <c r="W72" s="29"/>
      <c r="X72" s="29"/>
      <c r="Y72" s="30"/>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c r="MM72" s="29"/>
      <c r="MN72" s="29"/>
      <c r="MO72" s="29"/>
      <c r="MP72" s="29"/>
      <c r="MQ72" s="29"/>
      <c r="MR72" s="29"/>
      <c r="MS72" s="29"/>
      <c r="MT72" s="29"/>
      <c r="MU72" s="29"/>
      <c r="MV72" s="29"/>
      <c r="MW72" s="29"/>
      <c r="MX72" s="29"/>
      <c r="MY72" s="29"/>
      <c r="MZ72" s="29"/>
      <c r="NA72" s="29"/>
      <c r="NB72" s="29"/>
      <c r="NC72" s="29"/>
      <c r="ND72" s="29"/>
      <c r="NE72" s="29"/>
      <c r="NF72" s="29"/>
      <c r="NG72" s="29"/>
      <c r="NH72" s="29"/>
      <c r="NI72" s="29"/>
      <c r="NJ72" s="29"/>
      <c r="NK72" s="29"/>
      <c r="NL72" s="29"/>
      <c r="NM72" s="29"/>
      <c r="NN72" s="29"/>
      <c r="NO72" s="29"/>
      <c r="NP72" s="29"/>
      <c r="NQ72" s="29"/>
      <c r="NR72" s="29"/>
      <c r="NS72" s="29"/>
      <c r="NT72" s="29"/>
      <c r="NU72" s="29"/>
      <c r="NV72" s="29"/>
      <c r="NW72" s="29"/>
      <c r="NX72" s="29"/>
      <c r="NY72" s="29"/>
      <c r="NZ72" s="29"/>
      <c r="OA72" s="29"/>
      <c r="OB72" s="29"/>
      <c r="OC72" s="29"/>
      <c r="OD72" s="29"/>
      <c r="OE72" s="29"/>
      <c r="OF72" s="29"/>
      <c r="OG72" s="29"/>
      <c r="OH72" s="29"/>
      <c r="OI72" s="29"/>
      <c r="OJ72" s="29"/>
      <c r="OK72" s="29"/>
      <c r="OL72" s="29"/>
      <c r="OM72" s="29"/>
      <c r="ON72" s="29"/>
      <c r="OO72" s="29"/>
      <c r="OP72" s="29"/>
      <c r="OQ72" s="29"/>
      <c r="OR72" s="29"/>
      <c r="OS72" s="29"/>
      <c r="OT72" s="29"/>
      <c r="OU72" s="29"/>
      <c r="OV72" s="29"/>
      <c r="OW72" s="29"/>
      <c r="OX72" s="29"/>
      <c r="OY72" s="29"/>
      <c r="OZ72" s="29"/>
      <c r="PA72" s="29"/>
      <c r="PB72" s="29"/>
      <c r="PC72" s="29"/>
      <c r="PD72" s="29"/>
      <c r="PE72" s="29"/>
      <c r="PF72" s="29"/>
      <c r="PG72" s="29"/>
      <c r="PH72" s="29"/>
      <c r="PI72" s="29"/>
      <c r="PJ72" s="29"/>
      <c r="PK72" s="29"/>
      <c r="PL72" s="29"/>
      <c r="PM72" s="29"/>
      <c r="PN72" s="29"/>
      <c r="PO72" s="29"/>
      <c r="PP72" s="29"/>
      <c r="PQ72" s="29"/>
      <c r="PR72" s="29"/>
      <c r="PS72" s="29"/>
      <c r="PT72" s="29"/>
      <c r="PU72" s="29"/>
      <c r="PV72" s="29"/>
      <c r="PW72" s="29"/>
      <c r="PX72" s="29"/>
      <c r="PY72" s="29"/>
      <c r="PZ72" s="29"/>
      <c r="QA72" s="29"/>
      <c r="QB72" s="29"/>
      <c r="QC72" s="29"/>
      <c r="QD72" s="29"/>
      <c r="QE72" s="29"/>
      <c r="QF72" s="29"/>
      <c r="QG72" s="29"/>
      <c r="QH72" s="29"/>
      <c r="QI72" s="29"/>
      <c r="QJ72" s="29"/>
      <c r="QK72" s="29"/>
      <c r="QL72" s="29"/>
      <c r="QM72" s="29"/>
      <c r="QN72" s="29"/>
      <c r="QO72" s="29"/>
      <c r="QP72" s="29"/>
      <c r="QQ72" s="29"/>
      <c r="QR72" s="29"/>
      <c r="QS72" s="29"/>
      <c r="QT72" s="29"/>
      <c r="QU72" s="29"/>
      <c r="QV72" s="29"/>
      <c r="QW72" s="29"/>
      <c r="QX72" s="29"/>
      <c r="QY72" s="29"/>
      <c r="QZ72" s="29"/>
      <c r="RA72" s="29"/>
      <c r="RB72" s="29"/>
      <c r="RC72" s="29"/>
      <c r="RD72" s="29"/>
      <c r="RE72" s="29"/>
      <c r="RF72" s="29"/>
      <c r="RG72" s="29"/>
      <c r="RH72" s="29"/>
      <c r="RI72" s="29"/>
      <c r="RJ72" s="29"/>
      <c r="RK72" s="29"/>
      <c r="RL72" s="29"/>
      <c r="RM72" s="29"/>
      <c r="RN72" s="29"/>
      <c r="RO72" s="29"/>
      <c r="RP72" s="29"/>
      <c r="RQ72" s="29"/>
      <c r="RR72" s="29"/>
      <c r="RS72" s="29"/>
      <c r="RT72" s="29"/>
      <c r="RU72" s="29"/>
      <c r="RV72" s="29"/>
      <c r="RW72" s="29"/>
      <c r="RX72" s="29"/>
      <c r="RY72" s="29"/>
      <c r="RZ72" s="29"/>
      <c r="SA72" s="29"/>
      <c r="SB72" s="29"/>
      <c r="SC72" s="29"/>
      <c r="SD72" s="29"/>
      <c r="SE72" s="29"/>
      <c r="SF72" s="29"/>
      <c r="SG72" s="29"/>
      <c r="SH72" s="29"/>
      <c r="SI72" s="29"/>
      <c r="SJ72" s="29"/>
      <c r="SK72" s="29"/>
      <c r="SL72" s="29"/>
      <c r="SM72" s="29"/>
      <c r="SN72" s="29"/>
      <c r="SO72" s="29"/>
      <c r="SP72" s="29"/>
      <c r="SQ72" s="29"/>
      <c r="SR72" s="29"/>
      <c r="SS72" s="29"/>
      <c r="ST72" s="29"/>
      <c r="SU72" s="29"/>
      <c r="SV72" s="29"/>
      <c r="SW72" s="29"/>
      <c r="SX72" s="29"/>
      <c r="SY72" s="29"/>
      <c r="SZ72" s="29"/>
      <c r="TA72" s="29"/>
      <c r="TB72" s="29"/>
      <c r="TC72" s="29"/>
      <c r="TD72" s="29"/>
      <c r="TE72" s="29"/>
      <c r="TF72" s="29"/>
      <c r="TG72" s="29"/>
      <c r="TH72" s="29"/>
      <c r="TI72" s="29"/>
      <c r="TJ72" s="29"/>
      <c r="TK72" s="29"/>
      <c r="TL72" s="29"/>
      <c r="TM72" s="29"/>
      <c r="TN72" s="29"/>
      <c r="TO72" s="29"/>
      <c r="TP72" s="29"/>
      <c r="TQ72" s="29"/>
      <c r="TR72" s="29"/>
      <c r="TS72" s="29"/>
      <c r="TT72" s="29"/>
      <c r="TU72" s="29"/>
      <c r="TV72" s="29"/>
      <c r="TW72" s="29"/>
      <c r="TX72" s="29"/>
      <c r="TY72" s="29"/>
      <c r="TZ72" s="29"/>
      <c r="UA72" s="29"/>
      <c r="UB72" s="29"/>
      <c r="UC72" s="29"/>
      <c r="UD72" s="29"/>
      <c r="UE72" s="29"/>
      <c r="UF72" s="29"/>
      <c r="UG72" s="29"/>
      <c r="UH72" s="29"/>
      <c r="UI72" s="29"/>
      <c r="UJ72" s="29"/>
      <c r="UK72" s="29"/>
      <c r="UL72" s="29"/>
      <c r="UM72" s="29"/>
      <c r="UN72" s="29"/>
      <c r="UO72" s="29"/>
      <c r="UP72" s="29"/>
      <c r="UQ72" s="29"/>
      <c r="UR72" s="29"/>
      <c r="US72" s="29"/>
      <c r="UT72" s="29"/>
      <c r="UU72" s="29"/>
      <c r="UV72" s="29"/>
      <c r="UW72" s="29"/>
      <c r="UX72" s="29"/>
      <c r="UY72" s="29"/>
      <c r="UZ72" s="29"/>
      <c r="VA72" s="29"/>
      <c r="VB72" s="29"/>
      <c r="VC72" s="29"/>
      <c r="VD72" s="29"/>
      <c r="VE72" s="29"/>
      <c r="VF72" s="29"/>
      <c r="VG72" s="29"/>
      <c r="VH72" s="29"/>
      <c r="VI72" s="29"/>
      <c r="VJ72" s="29"/>
      <c r="VK72" s="29"/>
      <c r="VL72" s="29"/>
      <c r="VM72" s="29"/>
      <c r="VN72" s="29"/>
      <c r="VO72" s="29"/>
      <c r="VP72" s="29"/>
      <c r="VQ72" s="29"/>
      <c r="VR72" s="29"/>
      <c r="VS72" s="29"/>
      <c r="VT72" s="29"/>
      <c r="VU72" s="29"/>
      <c r="VV72" s="29"/>
      <c r="VW72" s="29"/>
      <c r="VX72" s="29"/>
      <c r="VY72" s="29"/>
      <c r="VZ72" s="29"/>
      <c r="WA72" s="29"/>
      <c r="WB72" s="29"/>
      <c r="WC72" s="29"/>
      <c r="WD72" s="29"/>
      <c r="WE72" s="29"/>
      <c r="WF72" s="29"/>
      <c r="WG72" s="29"/>
      <c r="WH72" s="29"/>
      <c r="WI72" s="29"/>
      <c r="WJ72" s="29"/>
      <c r="WK72" s="29"/>
      <c r="WL72" s="29"/>
      <c r="WM72" s="29"/>
      <c r="WN72" s="29"/>
      <c r="WO72" s="29"/>
      <c r="WP72" s="29"/>
      <c r="WQ72" s="29"/>
      <c r="WR72" s="29"/>
      <c r="WS72" s="29"/>
    </row>
    <row r="73" spans="1:617" s="3" customFormat="1" ht="15" outlineLevel="1" thickBot="1">
      <c r="A73" s="33"/>
      <c r="B73" s="47" t="s">
        <v>227</v>
      </c>
      <c r="C73" s="42" t="s">
        <v>231</v>
      </c>
      <c r="D73" s="116">
        <v>46089</v>
      </c>
      <c r="E73" s="210">
        <f t="shared" si="594"/>
        <v>46150</v>
      </c>
      <c r="F73" s="14"/>
      <c r="G73" s="14">
        <v>61</v>
      </c>
      <c r="H73" s="29"/>
      <c r="I73" s="29"/>
      <c r="J73" s="29"/>
      <c r="K73" s="29"/>
      <c r="L73" s="29"/>
      <c r="M73" s="29"/>
      <c r="N73" s="29"/>
      <c r="O73" s="29"/>
      <c r="P73" s="29"/>
      <c r="Q73" s="29"/>
      <c r="R73" s="29"/>
      <c r="S73" s="29"/>
      <c r="T73" s="29"/>
      <c r="U73" s="29"/>
      <c r="V73" s="29"/>
      <c r="W73" s="29"/>
      <c r="X73" s="29"/>
      <c r="Y73" s="30"/>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c r="MM73" s="29"/>
      <c r="MN73" s="29"/>
      <c r="MO73" s="29"/>
      <c r="MP73" s="29"/>
      <c r="MQ73" s="29"/>
      <c r="MR73" s="29"/>
      <c r="MS73" s="29"/>
      <c r="MT73" s="29"/>
      <c r="MU73" s="29"/>
      <c r="MV73" s="29"/>
      <c r="MW73" s="29"/>
      <c r="MX73" s="29"/>
      <c r="MY73" s="29"/>
      <c r="MZ73" s="29"/>
      <c r="NA73" s="29"/>
      <c r="NB73" s="29"/>
      <c r="NC73" s="29"/>
      <c r="ND73" s="29"/>
      <c r="NE73" s="29"/>
      <c r="NF73" s="29"/>
      <c r="NG73" s="29"/>
      <c r="NH73" s="29"/>
      <c r="NI73" s="29"/>
      <c r="NJ73" s="29"/>
      <c r="NK73" s="29"/>
      <c r="NL73" s="29"/>
      <c r="NM73" s="29"/>
      <c r="NN73" s="29"/>
      <c r="NO73" s="29"/>
      <c r="NP73" s="29"/>
      <c r="NQ73" s="29"/>
      <c r="NR73" s="29"/>
      <c r="NS73" s="29"/>
      <c r="NT73" s="29"/>
      <c r="NU73" s="29"/>
      <c r="NV73" s="29"/>
      <c r="NW73" s="29"/>
      <c r="NX73" s="29"/>
      <c r="NY73" s="29"/>
      <c r="NZ73" s="29"/>
      <c r="OA73" s="29"/>
      <c r="OB73" s="29"/>
      <c r="OC73" s="29"/>
      <c r="OD73" s="29"/>
      <c r="OE73" s="29"/>
      <c r="OF73" s="29"/>
      <c r="OG73" s="29"/>
      <c r="OH73" s="29"/>
      <c r="OI73" s="29"/>
      <c r="OJ73" s="29"/>
      <c r="OK73" s="29"/>
      <c r="OL73" s="29"/>
      <c r="OM73" s="29"/>
      <c r="ON73" s="29"/>
      <c r="OO73" s="29"/>
      <c r="OP73" s="29"/>
      <c r="OQ73" s="29"/>
      <c r="OR73" s="29"/>
      <c r="OS73" s="29"/>
      <c r="OT73" s="29"/>
      <c r="OU73" s="29"/>
      <c r="OV73" s="29"/>
      <c r="OW73" s="29"/>
      <c r="OX73" s="29"/>
      <c r="OY73" s="29"/>
      <c r="OZ73" s="29"/>
      <c r="PA73" s="29"/>
      <c r="PB73" s="29"/>
      <c r="PC73" s="29"/>
      <c r="PD73" s="29"/>
      <c r="PE73" s="29"/>
      <c r="PF73" s="29"/>
      <c r="PG73" s="29"/>
      <c r="PH73" s="29"/>
      <c r="PI73" s="29"/>
      <c r="PJ73" s="29"/>
      <c r="PK73" s="29"/>
      <c r="PL73" s="29"/>
      <c r="PM73" s="29"/>
      <c r="PN73" s="29"/>
      <c r="PO73" s="29"/>
      <c r="PP73" s="29"/>
      <c r="PQ73" s="29"/>
      <c r="PR73" s="29"/>
      <c r="PS73" s="29"/>
      <c r="PT73" s="29"/>
      <c r="PU73" s="29"/>
      <c r="PV73" s="29"/>
      <c r="PW73" s="29"/>
      <c r="PX73" s="29"/>
      <c r="PY73" s="29"/>
      <c r="PZ73" s="29"/>
      <c r="QA73" s="29"/>
      <c r="QB73" s="29"/>
      <c r="QC73" s="29"/>
      <c r="QD73" s="29"/>
      <c r="QE73" s="29"/>
      <c r="QF73" s="29"/>
      <c r="QG73" s="29"/>
      <c r="QH73" s="29"/>
      <c r="QI73" s="29"/>
      <c r="QJ73" s="29"/>
      <c r="QK73" s="29"/>
      <c r="QL73" s="29"/>
      <c r="QM73" s="29"/>
      <c r="QN73" s="29"/>
      <c r="QO73" s="29"/>
      <c r="QP73" s="29"/>
      <c r="QQ73" s="29"/>
      <c r="QR73" s="29"/>
      <c r="QS73" s="29"/>
      <c r="QT73" s="29"/>
      <c r="QU73" s="29"/>
      <c r="QV73" s="29"/>
      <c r="QW73" s="29"/>
      <c r="QX73" s="29"/>
      <c r="QY73" s="29"/>
      <c r="QZ73" s="29"/>
      <c r="RA73" s="29"/>
      <c r="RB73" s="29"/>
      <c r="RC73" s="29"/>
      <c r="RD73" s="29"/>
      <c r="RE73" s="29"/>
      <c r="RF73" s="29"/>
      <c r="RG73" s="29"/>
      <c r="RH73" s="29"/>
      <c r="RI73" s="29"/>
      <c r="RJ73" s="29"/>
      <c r="RK73" s="29"/>
      <c r="RL73" s="29"/>
      <c r="RM73" s="29"/>
      <c r="RN73" s="29"/>
      <c r="RO73" s="29"/>
      <c r="RP73" s="29"/>
      <c r="RQ73" s="29"/>
      <c r="RR73" s="29"/>
      <c r="RS73" s="29"/>
      <c r="RT73" s="29"/>
      <c r="RU73" s="29"/>
      <c r="RV73" s="29"/>
      <c r="RW73" s="29"/>
      <c r="RX73" s="29"/>
      <c r="RY73" s="29"/>
      <c r="RZ73" s="29"/>
      <c r="SA73" s="29"/>
      <c r="SB73" s="29"/>
      <c r="SC73" s="29"/>
      <c r="SD73" s="29"/>
      <c r="SE73" s="29"/>
      <c r="SF73" s="29"/>
      <c r="SG73" s="29"/>
      <c r="SH73" s="29"/>
      <c r="SI73" s="29"/>
      <c r="SJ73" s="29"/>
      <c r="SK73" s="29"/>
      <c r="SL73" s="29"/>
      <c r="SM73" s="29"/>
      <c r="SN73" s="29"/>
      <c r="SO73" s="29"/>
      <c r="SP73" s="29"/>
      <c r="SQ73" s="29"/>
      <c r="SR73" s="29"/>
      <c r="SS73" s="29"/>
      <c r="ST73" s="29"/>
      <c r="SU73" s="29"/>
      <c r="SV73" s="29"/>
      <c r="SW73" s="29"/>
      <c r="SX73" s="29"/>
      <c r="SY73" s="29"/>
      <c r="SZ73" s="29"/>
      <c r="TA73" s="29"/>
      <c r="TB73" s="29"/>
      <c r="TC73" s="29"/>
      <c r="TD73" s="29"/>
      <c r="TE73" s="29"/>
      <c r="TF73" s="29"/>
      <c r="TG73" s="29"/>
      <c r="TH73" s="29"/>
      <c r="TI73" s="29"/>
      <c r="TJ73" s="29"/>
      <c r="TK73" s="29"/>
      <c r="TL73" s="29"/>
      <c r="TM73" s="29"/>
      <c r="TN73" s="29"/>
      <c r="TO73" s="29"/>
      <c r="TP73" s="29"/>
      <c r="TQ73" s="29"/>
      <c r="TR73" s="29"/>
      <c r="TS73" s="29"/>
      <c r="TT73" s="29"/>
      <c r="TU73" s="29"/>
      <c r="TV73" s="29"/>
      <c r="TW73" s="29"/>
      <c r="TX73" s="29"/>
      <c r="TY73" s="29"/>
      <c r="TZ73" s="29"/>
      <c r="UA73" s="29"/>
      <c r="UB73" s="29"/>
      <c r="UC73" s="29"/>
      <c r="UD73" s="29"/>
      <c r="UE73" s="29"/>
      <c r="UF73" s="29"/>
      <c r="UG73" s="29"/>
      <c r="UH73" s="29"/>
      <c r="UI73" s="29"/>
      <c r="UJ73" s="29"/>
      <c r="UK73" s="29"/>
      <c r="UL73" s="29"/>
      <c r="UM73" s="29"/>
      <c r="UN73" s="29"/>
      <c r="UO73" s="29"/>
      <c r="UP73" s="29"/>
      <c r="UQ73" s="29"/>
      <c r="UR73" s="29"/>
      <c r="US73" s="29"/>
      <c r="UT73" s="29"/>
      <c r="UU73" s="29"/>
      <c r="UV73" s="29"/>
      <c r="UW73" s="29"/>
      <c r="UX73" s="29"/>
      <c r="UY73" s="29"/>
      <c r="UZ73" s="29"/>
      <c r="VA73" s="29"/>
      <c r="VB73" s="29"/>
      <c r="VC73" s="29"/>
      <c r="VD73" s="29"/>
      <c r="VE73" s="29"/>
      <c r="VF73" s="29"/>
      <c r="VG73" s="29"/>
      <c r="VH73" s="29"/>
      <c r="VI73" s="29"/>
      <c r="VJ73" s="29"/>
      <c r="VK73" s="29"/>
      <c r="VL73" s="29"/>
      <c r="VM73" s="29"/>
      <c r="VN73" s="29"/>
      <c r="VO73" s="29"/>
      <c r="VP73" s="29"/>
      <c r="VQ73" s="29"/>
      <c r="VR73" s="29"/>
      <c r="VS73" s="29"/>
      <c r="VT73" s="29"/>
      <c r="VU73" s="29"/>
      <c r="VV73" s="29"/>
      <c r="VW73" s="29"/>
      <c r="VX73" s="29"/>
      <c r="VY73" s="29"/>
      <c r="VZ73" s="29"/>
      <c r="WA73" s="29"/>
      <c r="WB73" s="29"/>
      <c r="WC73" s="29"/>
      <c r="WD73" s="29"/>
      <c r="WE73" s="29"/>
      <c r="WF73" s="29"/>
      <c r="WG73" s="29"/>
      <c r="WH73" s="29"/>
      <c r="WI73" s="29"/>
      <c r="WJ73" s="29"/>
      <c r="WK73" s="29"/>
      <c r="WL73" s="29"/>
      <c r="WM73" s="29"/>
      <c r="WN73" s="29"/>
      <c r="WO73" s="29"/>
      <c r="WP73" s="29"/>
      <c r="WQ73" s="29"/>
      <c r="WR73" s="29"/>
      <c r="WS73" s="29"/>
    </row>
    <row r="74" spans="1:617" s="3" customFormat="1" ht="15" outlineLevel="1" thickBot="1">
      <c r="A74" s="33"/>
      <c r="B74" s="47" t="s">
        <v>229</v>
      </c>
      <c r="C74" s="42" t="s">
        <v>35</v>
      </c>
      <c r="D74" s="116">
        <v>46097</v>
      </c>
      <c r="E74" s="210">
        <f t="shared" si="594"/>
        <v>46157</v>
      </c>
      <c r="F74" s="14"/>
      <c r="G74" s="14">
        <v>60</v>
      </c>
      <c r="H74" s="29"/>
      <c r="I74" s="29"/>
      <c r="J74" s="29"/>
      <c r="K74" s="29"/>
      <c r="L74" s="29"/>
      <c r="M74" s="29"/>
      <c r="N74" s="29"/>
      <c r="O74" s="29"/>
      <c r="P74" s="29"/>
      <c r="Q74" s="29"/>
      <c r="R74" s="29"/>
      <c r="S74" s="29"/>
      <c r="T74" s="29"/>
      <c r="U74" s="29"/>
      <c r="V74" s="29"/>
      <c r="W74" s="29"/>
      <c r="X74" s="29"/>
      <c r="Y74" s="30"/>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c r="MM74" s="29"/>
      <c r="MN74" s="29"/>
      <c r="MO74" s="29"/>
      <c r="MP74" s="29"/>
      <c r="MQ74" s="29"/>
      <c r="MR74" s="29"/>
      <c r="MS74" s="29"/>
      <c r="MT74" s="29"/>
      <c r="MU74" s="29"/>
      <c r="MV74" s="29"/>
      <c r="MW74" s="29"/>
      <c r="MX74" s="29"/>
      <c r="MY74" s="29"/>
      <c r="MZ74" s="29"/>
      <c r="NA74" s="29"/>
      <c r="NB74" s="29"/>
      <c r="NC74" s="29"/>
      <c r="ND74" s="29"/>
      <c r="NE74" s="29"/>
      <c r="NF74" s="29"/>
      <c r="NG74" s="29"/>
      <c r="NH74" s="29"/>
      <c r="NI74" s="29"/>
      <c r="NJ74" s="29"/>
      <c r="NK74" s="29"/>
      <c r="NL74" s="29"/>
      <c r="NM74" s="29"/>
      <c r="NN74" s="29"/>
      <c r="NO74" s="29"/>
      <c r="NP74" s="29"/>
      <c r="NQ74" s="29"/>
      <c r="NR74" s="29"/>
      <c r="NS74" s="29"/>
      <c r="NT74" s="29"/>
      <c r="NU74" s="29"/>
      <c r="NV74" s="29"/>
      <c r="NW74" s="29"/>
      <c r="NX74" s="29"/>
      <c r="NY74" s="29"/>
      <c r="NZ74" s="29"/>
      <c r="OA74" s="29"/>
      <c r="OB74" s="29"/>
      <c r="OC74" s="29"/>
      <c r="OD74" s="29"/>
      <c r="OE74" s="29"/>
      <c r="OF74" s="29"/>
      <c r="OG74" s="29"/>
      <c r="OH74" s="29"/>
      <c r="OI74" s="29"/>
      <c r="OJ74" s="29"/>
      <c r="OK74" s="29"/>
      <c r="OL74" s="29"/>
      <c r="OM74" s="29"/>
      <c r="ON74" s="29"/>
      <c r="OO74" s="29"/>
      <c r="OP74" s="29"/>
      <c r="OQ74" s="29"/>
      <c r="OR74" s="29"/>
      <c r="OS74" s="29"/>
      <c r="OT74" s="29"/>
      <c r="OU74" s="29"/>
      <c r="OV74" s="29"/>
      <c r="OW74" s="29"/>
      <c r="OX74" s="29"/>
      <c r="OY74" s="29"/>
      <c r="OZ74" s="29"/>
      <c r="PA74" s="29"/>
      <c r="PB74" s="29"/>
      <c r="PC74" s="29"/>
      <c r="PD74" s="29"/>
      <c r="PE74" s="29"/>
      <c r="PF74" s="29"/>
      <c r="PG74" s="29"/>
      <c r="PH74" s="29"/>
      <c r="PI74" s="29"/>
      <c r="PJ74" s="29"/>
      <c r="PK74" s="29"/>
      <c r="PL74" s="29"/>
      <c r="PM74" s="29"/>
      <c r="PN74" s="29"/>
      <c r="PO74" s="29"/>
      <c r="PP74" s="29"/>
      <c r="PQ74" s="29"/>
      <c r="PR74" s="29"/>
      <c r="PS74" s="29"/>
      <c r="PT74" s="29"/>
      <c r="PU74" s="29"/>
      <c r="PV74" s="29"/>
      <c r="PW74" s="29"/>
      <c r="PX74" s="29"/>
      <c r="PY74" s="29"/>
      <c r="PZ74" s="29"/>
      <c r="QA74" s="29"/>
      <c r="QB74" s="29"/>
      <c r="QC74" s="29"/>
      <c r="QD74" s="29"/>
      <c r="QE74" s="29"/>
      <c r="QF74" s="29"/>
      <c r="QG74" s="29"/>
      <c r="QH74" s="29"/>
      <c r="QI74" s="29"/>
      <c r="QJ74" s="29"/>
      <c r="QK74" s="29"/>
      <c r="QL74" s="29"/>
      <c r="QM74" s="29"/>
      <c r="QN74" s="29"/>
      <c r="QO74" s="29"/>
      <c r="QP74" s="29"/>
      <c r="QQ74" s="29"/>
      <c r="QR74" s="29"/>
      <c r="QS74" s="29"/>
      <c r="QT74" s="29"/>
      <c r="QU74" s="29"/>
      <c r="QV74" s="29"/>
      <c r="QW74" s="29"/>
      <c r="QX74" s="29"/>
      <c r="QY74" s="29"/>
      <c r="QZ74" s="29"/>
      <c r="RA74" s="29"/>
      <c r="RB74" s="29"/>
      <c r="RC74" s="29"/>
      <c r="RD74" s="29"/>
      <c r="RE74" s="29"/>
      <c r="RF74" s="29"/>
      <c r="RG74" s="29"/>
      <c r="RH74" s="29"/>
      <c r="RI74" s="29"/>
      <c r="RJ74" s="29"/>
      <c r="RK74" s="29"/>
      <c r="RL74" s="29"/>
      <c r="RM74" s="29"/>
      <c r="RN74" s="29"/>
      <c r="RO74" s="29"/>
      <c r="RP74" s="29"/>
      <c r="RQ74" s="29"/>
      <c r="RR74" s="29"/>
      <c r="RS74" s="29"/>
      <c r="RT74" s="29"/>
      <c r="RU74" s="29"/>
      <c r="RV74" s="29"/>
      <c r="RW74" s="29"/>
      <c r="RX74" s="29"/>
      <c r="RY74" s="29"/>
      <c r="RZ74" s="29"/>
      <c r="SA74" s="29"/>
      <c r="SB74" s="29"/>
      <c r="SC74" s="29"/>
      <c r="SD74" s="29"/>
      <c r="SE74" s="29"/>
      <c r="SF74" s="29"/>
      <c r="SG74" s="29"/>
      <c r="SH74" s="29"/>
      <c r="SI74" s="29"/>
      <c r="SJ74" s="29"/>
      <c r="SK74" s="29"/>
      <c r="SL74" s="29"/>
      <c r="SM74" s="29"/>
      <c r="SN74" s="29"/>
      <c r="SO74" s="29"/>
      <c r="SP74" s="29"/>
      <c r="SQ74" s="29"/>
      <c r="SR74" s="29"/>
      <c r="SS74" s="29"/>
      <c r="ST74" s="29"/>
      <c r="SU74" s="29"/>
      <c r="SV74" s="29"/>
      <c r="SW74" s="29"/>
      <c r="SX74" s="29"/>
      <c r="SY74" s="29"/>
      <c r="SZ74" s="29"/>
      <c r="TA74" s="29"/>
      <c r="TB74" s="29"/>
      <c r="TC74" s="29"/>
      <c r="TD74" s="29"/>
      <c r="TE74" s="29"/>
      <c r="TF74" s="29"/>
      <c r="TG74" s="29"/>
      <c r="TH74" s="29"/>
      <c r="TI74" s="29"/>
      <c r="TJ74" s="29"/>
      <c r="TK74" s="29"/>
      <c r="TL74" s="29"/>
      <c r="TM74" s="29"/>
      <c r="TN74" s="29"/>
      <c r="TO74" s="29"/>
      <c r="TP74" s="29"/>
      <c r="TQ74" s="29"/>
      <c r="TR74" s="29"/>
      <c r="TS74" s="29"/>
      <c r="TT74" s="29"/>
      <c r="TU74" s="29"/>
      <c r="TV74" s="29"/>
      <c r="TW74" s="29"/>
      <c r="TX74" s="29"/>
      <c r="TY74" s="29"/>
      <c r="TZ74" s="29"/>
      <c r="UA74" s="29"/>
      <c r="UB74" s="29"/>
      <c r="UC74" s="29"/>
      <c r="UD74" s="29"/>
      <c r="UE74" s="29"/>
      <c r="UF74" s="29"/>
      <c r="UG74" s="29"/>
      <c r="UH74" s="29"/>
      <c r="UI74" s="29"/>
      <c r="UJ74" s="29"/>
      <c r="UK74" s="29"/>
      <c r="UL74" s="29"/>
      <c r="UM74" s="29"/>
      <c r="UN74" s="29"/>
      <c r="UO74" s="29"/>
      <c r="UP74" s="29"/>
      <c r="UQ74" s="29"/>
      <c r="UR74" s="29"/>
      <c r="US74" s="29"/>
      <c r="UT74" s="29"/>
      <c r="UU74" s="29"/>
      <c r="UV74" s="29"/>
      <c r="UW74" s="29"/>
      <c r="UX74" s="29"/>
      <c r="UY74" s="29"/>
      <c r="UZ74" s="29"/>
      <c r="VA74" s="29"/>
      <c r="VB74" s="29"/>
      <c r="VC74" s="29"/>
      <c r="VD74" s="29"/>
      <c r="VE74" s="29"/>
      <c r="VF74" s="29"/>
      <c r="VG74" s="29"/>
      <c r="VH74" s="29"/>
      <c r="VI74" s="29"/>
      <c r="VJ74" s="29"/>
      <c r="VK74" s="29"/>
      <c r="VL74" s="29"/>
      <c r="VM74" s="29"/>
      <c r="VN74" s="29"/>
      <c r="VO74" s="29"/>
      <c r="VP74" s="29"/>
      <c r="VQ74" s="29"/>
      <c r="VR74" s="29"/>
      <c r="VS74" s="29"/>
      <c r="VT74" s="29"/>
      <c r="VU74" s="29"/>
      <c r="VV74" s="29"/>
      <c r="VW74" s="29"/>
      <c r="VX74" s="29"/>
      <c r="VY74" s="29"/>
      <c r="VZ74" s="29"/>
      <c r="WA74" s="29"/>
      <c r="WB74" s="29"/>
      <c r="WC74" s="29"/>
      <c r="WD74" s="29"/>
      <c r="WE74" s="29"/>
      <c r="WF74" s="29"/>
      <c r="WG74" s="29"/>
      <c r="WH74" s="29"/>
      <c r="WI74" s="29"/>
      <c r="WJ74" s="29"/>
      <c r="WK74" s="29"/>
      <c r="WL74" s="29"/>
      <c r="WM74" s="29"/>
      <c r="WN74" s="29"/>
      <c r="WO74" s="29"/>
      <c r="WP74" s="29"/>
      <c r="WQ74" s="29"/>
      <c r="WR74" s="29"/>
      <c r="WS74" s="29"/>
    </row>
    <row r="75" spans="1:617" s="3" customFormat="1" ht="15" outlineLevel="1" thickBot="1">
      <c r="A75" s="33"/>
      <c r="B75" s="47" t="s">
        <v>227</v>
      </c>
      <c r="C75" s="42" t="s">
        <v>228</v>
      </c>
      <c r="D75" s="210">
        <v>46149</v>
      </c>
      <c r="E75" s="204">
        <f>D75+G75</f>
        <v>46266</v>
      </c>
      <c r="F75" s="14"/>
      <c r="G75" s="14">
        <v>117</v>
      </c>
      <c r="H75" s="29"/>
      <c r="I75" s="29"/>
      <c r="J75" s="29"/>
      <c r="K75" s="29"/>
      <c r="L75" s="29"/>
      <c r="M75" s="29"/>
      <c r="N75" s="29"/>
      <c r="O75" s="29"/>
      <c r="P75" s="29"/>
      <c r="Q75" s="29"/>
      <c r="R75" s="29"/>
      <c r="S75" s="29"/>
      <c r="T75" s="29"/>
      <c r="U75" s="29"/>
      <c r="V75" s="29"/>
      <c r="W75" s="29"/>
      <c r="X75" s="29"/>
      <c r="Y75" s="30"/>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c r="MM75" s="29"/>
      <c r="MN75" s="29"/>
      <c r="MO75" s="29"/>
      <c r="MP75" s="29"/>
      <c r="MQ75" s="29"/>
      <c r="MR75" s="29"/>
      <c r="MS75" s="29"/>
      <c r="MT75" s="29"/>
      <c r="MU75" s="29"/>
      <c r="MV75" s="29"/>
      <c r="MW75" s="29"/>
      <c r="MX75" s="29"/>
      <c r="MY75" s="29"/>
      <c r="MZ75" s="29"/>
      <c r="NA75" s="29"/>
      <c r="NB75" s="29"/>
      <c r="NC75" s="29"/>
      <c r="ND75" s="29"/>
      <c r="NE75" s="29"/>
      <c r="NF75" s="29"/>
      <c r="NG75" s="29"/>
      <c r="NH75" s="29"/>
      <c r="NI75" s="29"/>
      <c r="NJ75" s="29"/>
      <c r="NK75" s="29"/>
      <c r="NL75" s="29"/>
      <c r="NM75" s="29"/>
      <c r="NN75" s="29"/>
      <c r="NO75" s="29"/>
      <c r="NP75" s="29"/>
      <c r="NQ75" s="29"/>
      <c r="NR75" s="29"/>
      <c r="NS75" s="29"/>
      <c r="NT75" s="29"/>
      <c r="NU75" s="29"/>
      <c r="NV75" s="29"/>
      <c r="NW75" s="29"/>
      <c r="NX75" s="29"/>
      <c r="NY75" s="29"/>
      <c r="NZ75" s="29"/>
      <c r="OA75" s="29"/>
      <c r="OB75" s="29"/>
      <c r="OC75" s="29"/>
      <c r="OD75" s="29"/>
      <c r="OE75" s="29"/>
      <c r="OF75" s="29"/>
      <c r="OG75" s="29"/>
      <c r="OH75" s="29"/>
      <c r="OI75" s="29"/>
      <c r="OJ75" s="29"/>
      <c r="OK75" s="29"/>
      <c r="OL75" s="29"/>
      <c r="OM75" s="29"/>
      <c r="ON75" s="29"/>
      <c r="OO75" s="29"/>
      <c r="OP75" s="29"/>
      <c r="OQ75" s="29"/>
      <c r="OR75" s="29"/>
      <c r="OS75" s="29"/>
      <c r="OT75" s="29"/>
      <c r="OU75" s="29"/>
      <c r="OV75" s="29"/>
      <c r="OW75" s="29"/>
      <c r="OX75" s="29"/>
      <c r="OY75" s="29"/>
      <c r="OZ75" s="29"/>
      <c r="PA75" s="29"/>
      <c r="PB75" s="29"/>
      <c r="PC75" s="29"/>
      <c r="PD75" s="29"/>
      <c r="PE75" s="29"/>
      <c r="PF75" s="29"/>
      <c r="PG75" s="29"/>
      <c r="PH75" s="29"/>
      <c r="PI75" s="29"/>
      <c r="PJ75" s="29"/>
      <c r="PK75" s="29"/>
      <c r="PL75" s="29"/>
      <c r="PM75" s="29"/>
      <c r="PN75" s="29"/>
      <c r="PO75" s="29"/>
      <c r="PP75" s="29"/>
      <c r="PQ75" s="29"/>
      <c r="PR75" s="29"/>
      <c r="PS75" s="29"/>
      <c r="PT75" s="29"/>
      <c r="PU75" s="29"/>
      <c r="PV75" s="29"/>
      <c r="PW75" s="29"/>
      <c r="PX75" s="29"/>
      <c r="PY75" s="29"/>
      <c r="PZ75" s="29"/>
      <c r="QA75" s="29"/>
      <c r="QB75" s="29"/>
      <c r="QC75" s="29"/>
      <c r="QD75" s="29"/>
      <c r="QE75" s="29"/>
      <c r="QF75" s="29"/>
      <c r="QG75" s="29"/>
      <c r="QH75" s="29"/>
      <c r="QI75" s="29"/>
      <c r="QJ75" s="29"/>
      <c r="QK75" s="29"/>
      <c r="QL75" s="29"/>
      <c r="QM75" s="29"/>
      <c r="QN75" s="29"/>
      <c r="QO75" s="29"/>
      <c r="QP75" s="29"/>
      <c r="QQ75" s="29"/>
      <c r="QR75" s="29"/>
      <c r="QS75" s="29"/>
      <c r="QT75" s="29"/>
      <c r="QU75" s="29"/>
      <c r="QV75" s="29"/>
      <c r="QW75" s="29"/>
      <c r="QX75" s="29"/>
      <c r="QY75" s="29"/>
      <c r="QZ75" s="29"/>
      <c r="RA75" s="29"/>
      <c r="RB75" s="29"/>
      <c r="RC75" s="29"/>
      <c r="RD75" s="29"/>
      <c r="RE75" s="29"/>
      <c r="RF75" s="29"/>
      <c r="RG75" s="29"/>
      <c r="RH75" s="29"/>
      <c r="RI75" s="29"/>
      <c r="RJ75" s="29"/>
      <c r="RK75" s="29"/>
      <c r="RL75" s="29"/>
      <c r="RM75" s="29"/>
      <c r="RN75" s="29"/>
      <c r="RO75" s="29"/>
      <c r="RP75" s="29"/>
      <c r="RQ75" s="29"/>
      <c r="RR75" s="29"/>
      <c r="RS75" s="29"/>
      <c r="RT75" s="29"/>
      <c r="RU75" s="29"/>
      <c r="RV75" s="29"/>
      <c r="RW75" s="29"/>
      <c r="RX75" s="29"/>
      <c r="RY75" s="29"/>
      <c r="RZ75" s="29"/>
      <c r="SA75" s="29"/>
      <c r="SB75" s="29"/>
      <c r="SC75" s="29"/>
      <c r="SD75" s="29"/>
      <c r="SE75" s="29"/>
      <c r="SF75" s="29"/>
      <c r="SG75" s="29"/>
      <c r="SH75" s="29"/>
      <c r="SI75" s="29"/>
      <c r="SJ75" s="29"/>
      <c r="SK75" s="29"/>
      <c r="SL75" s="29"/>
      <c r="SM75" s="29"/>
      <c r="SN75" s="29"/>
      <c r="SO75" s="29"/>
      <c r="SP75" s="29"/>
      <c r="SQ75" s="29"/>
      <c r="SR75" s="29"/>
      <c r="SS75" s="29"/>
      <c r="ST75" s="29"/>
      <c r="SU75" s="29"/>
      <c r="SV75" s="29"/>
      <c r="SW75" s="29"/>
      <c r="SX75" s="29"/>
      <c r="SY75" s="29"/>
      <c r="SZ75" s="29"/>
      <c r="TA75" s="29"/>
      <c r="TB75" s="29"/>
      <c r="TC75" s="29"/>
      <c r="TD75" s="29"/>
      <c r="TE75" s="29"/>
      <c r="TF75" s="29"/>
      <c r="TG75" s="29"/>
      <c r="TH75" s="29"/>
      <c r="TI75" s="29"/>
      <c r="TJ75" s="29"/>
      <c r="TK75" s="29"/>
      <c r="TL75" s="29"/>
      <c r="TM75" s="29"/>
      <c r="TN75" s="29"/>
      <c r="TO75" s="29"/>
      <c r="TP75" s="29"/>
      <c r="TQ75" s="29"/>
      <c r="TR75" s="29"/>
      <c r="TS75" s="29"/>
      <c r="TT75" s="29"/>
      <c r="TU75" s="29"/>
      <c r="TV75" s="29"/>
      <c r="TW75" s="29"/>
      <c r="TX75" s="29"/>
      <c r="TY75" s="29"/>
      <c r="TZ75" s="29"/>
      <c r="UA75" s="29"/>
      <c r="UB75" s="29"/>
      <c r="UC75" s="29"/>
      <c r="UD75" s="29"/>
      <c r="UE75" s="29"/>
      <c r="UF75" s="29"/>
      <c r="UG75" s="29"/>
      <c r="UH75" s="29"/>
      <c r="UI75" s="29"/>
      <c r="UJ75" s="29"/>
      <c r="UK75" s="29"/>
      <c r="UL75" s="29"/>
      <c r="UM75" s="29"/>
      <c r="UN75" s="29"/>
      <c r="UO75" s="29"/>
      <c r="UP75" s="29"/>
      <c r="UQ75" s="29"/>
      <c r="UR75" s="29"/>
      <c r="US75" s="29"/>
      <c r="UT75" s="29"/>
      <c r="UU75" s="29"/>
      <c r="UV75" s="29"/>
      <c r="UW75" s="29"/>
      <c r="UX75" s="29"/>
      <c r="UY75" s="29"/>
      <c r="UZ75" s="29"/>
      <c r="VA75" s="29"/>
      <c r="VB75" s="29"/>
      <c r="VC75" s="29"/>
      <c r="VD75" s="29"/>
      <c r="VE75" s="29"/>
      <c r="VF75" s="29"/>
      <c r="VG75" s="29"/>
      <c r="VH75" s="29"/>
      <c r="VI75" s="29"/>
      <c r="VJ75" s="29"/>
      <c r="VK75" s="29"/>
      <c r="VL75" s="29"/>
      <c r="VM75" s="29"/>
      <c r="VN75" s="29"/>
      <c r="VO75" s="29"/>
      <c r="VP75" s="29"/>
      <c r="VQ75" s="29"/>
      <c r="VR75" s="29"/>
      <c r="VS75" s="29"/>
      <c r="VT75" s="29"/>
      <c r="VU75" s="29"/>
      <c r="VV75" s="29"/>
      <c r="VW75" s="29"/>
      <c r="VX75" s="29"/>
      <c r="VY75" s="29"/>
      <c r="VZ75" s="29"/>
      <c r="WA75" s="29"/>
      <c r="WB75" s="29"/>
      <c r="WC75" s="29"/>
      <c r="WD75" s="29"/>
      <c r="WE75" s="29"/>
      <c r="WF75" s="29"/>
      <c r="WG75" s="29"/>
      <c r="WH75" s="29"/>
      <c r="WI75" s="29"/>
      <c r="WJ75" s="29"/>
      <c r="WK75" s="29"/>
      <c r="WL75" s="29"/>
      <c r="WM75" s="29"/>
      <c r="WN75" s="29"/>
      <c r="WO75" s="29"/>
      <c r="WP75" s="29"/>
      <c r="WQ75" s="29"/>
      <c r="WR75" s="29"/>
      <c r="WS75" s="29"/>
    </row>
    <row r="76" spans="1:617" s="3" customFormat="1" ht="15" outlineLevel="1" thickBot="1">
      <c r="A76" s="33"/>
      <c r="B76" s="47" t="s">
        <v>229</v>
      </c>
      <c r="C76" s="42" t="s">
        <v>42</v>
      </c>
      <c r="D76" s="210">
        <v>46155</v>
      </c>
      <c r="E76" s="204">
        <f>D76+G76</f>
        <v>46266</v>
      </c>
      <c r="F76" s="14"/>
      <c r="G76" s="14">
        <v>111</v>
      </c>
      <c r="H76" s="29"/>
      <c r="I76" s="29"/>
      <c r="J76" s="29"/>
      <c r="K76" s="29"/>
      <c r="L76" s="29"/>
      <c r="M76" s="29"/>
      <c r="N76" s="29"/>
      <c r="O76" s="29"/>
      <c r="P76" s="29"/>
      <c r="Q76" s="29"/>
      <c r="R76" s="29"/>
      <c r="S76" s="29"/>
      <c r="T76" s="29"/>
      <c r="U76" s="29"/>
      <c r="V76" s="29"/>
      <c r="W76" s="29"/>
      <c r="X76" s="29"/>
      <c r="Y76" s="30"/>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c r="MM76" s="29"/>
      <c r="MN76" s="29"/>
      <c r="MO76" s="29"/>
      <c r="MP76" s="29"/>
      <c r="MQ76" s="29"/>
      <c r="MR76" s="29"/>
      <c r="MS76" s="29"/>
      <c r="MT76" s="29"/>
      <c r="MU76" s="29"/>
      <c r="MV76" s="29"/>
      <c r="MW76" s="29"/>
      <c r="MX76" s="29"/>
      <c r="MY76" s="29"/>
      <c r="MZ76" s="29"/>
      <c r="NA76" s="29"/>
      <c r="NB76" s="29"/>
      <c r="NC76" s="29"/>
      <c r="ND76" s="29"/>
      <c r="NE76" s="29"/>
      <c r="NF76" s="29"/>
      <c r="NG76" s="29"/>
      <c r="NH76" s="29"/>
      <c r="NI76" s="29"/>
      <c r="NJ76" s="29"/>
      <c r="NK76" s="29"/>
      <c r="NL76" s="29"/>
      <c r="NM76" s="29"/>
      <c r="NN76" s="29"/>
      <c r="NO76" s="29"/>
      <c r="NP76" s="29"/>
      <c r="NQ76" s="29"/>
      <c r="NR76" s="29"/>
      <c r="NS76" s="29"/>
      <c r="NT76" s="29"/>
      <c r="NU76" s="29"/>
      <c r="NV76" s="29"/>
      <c r="NW76" s="29"/>
      <c r="NX76" s="29"/>
      <c r="NY76" s="29"/>
      <c r="NZ76" s="29"/>
      <c r="OA76" s="29"/>
      <c r="OB76" s="29"/>
      <c r="OC76" s="29"/>
      <c r="OD76" s="29"/>
      <c r="OE76" s="29"/>
      <c r="OF76" s="29"/>
      <c r="OG76" s="29"/>
      <c r="OH76" s="29"/>
      <c r="OI76" s="29"/>
      <c r="OJ76" s="29"/>
      <c r="OK76" s="29"/>
      <c r="OL76" s="29"/>
      <c r="OM76" s="29"/>
      <c r="ON76" s="29"/>
      <c r="OO76" s="29"/>
      <c r="OP76" s="29"/>
      <c r="OQ76" s="29"/>
      <c r="OR76" s="29"/>
      <c r="OS76" s="29"/>
      <c r="OT76" s="29"/>
      <c r="OU76" s="29"/>
      <c r="OV76" s="29"/>
      <c r="OW76" s="29"/>
      <c r="OX76" s="29"/>
      <c r="OY76" s="29"/>
      <c r="OZ76" s="29"/>
      <c r="PA76" s="29"/>
      <c r="PB76" s="29"/>
      <c r="PC76" s="29"/>
      <c r="PD76" s="29"/>
      <c r="PE76" s="29"/>
      <c r="PF76" s="29"/>
      <c r="PG76" s="29"/>
      <c r="PH76" s="29"/>
      <c r="PI76" s="29"/>
      <c r="PJ76" s="29"/>
      <c r="PK76" s="29"/>
      <c r="PL76" s="29"/>
      <c r="PM76" s="29"/>
      <c r="PN76" s="29"/>
      <c r="PO76" s="29"/>
      <c r="PP76" s="29"/>
      <c r="PQ76" s="29"/>
      <c r="PR76" s="29"/>
      <c r="PS76" s="29"/>
      <c r="PT76" s="29"/>
      <c r="PU76" s="29"/>
      <c r="PV76" s="29"/>
      <c r="PW76" s="29"/>
      <c r="PX76" s="29"/>
      <c r="PY76" s="29"/>
      <c r="PZ76" s="29"/>
      <c r="QA76" s="29"/>
      <c r="QB76" s="29"/>
      <c r="QC76" s="29"/>
      <c r="QD76" s="29"/>
      <c r="QE76" s="29"/>
      <c r="QF76" s="29"/>
      <c r="QG76" s="29"/>
      <c r="QH76" s="29"/>
      <c r="QI76" s="29"/>
      <c r="QJ76" s="29"/>
      <c r="QK76" s="29"/>
      <c r="QL76" s="29"/>
      <c r="QM76" s="29"/>
      <c r="QN76" s="29"/>
      <c r="QO76" s="29"/>
      <c r="QP76" s="29"/>
      <c r="QQ76" s="29"/>
      <c r="QR76" s="29"/>
      <c r="QS76" s="29"/>
      <c r="QT76" s="29"/>
      <c r="QU76" s="29"/>
      <c r="QV76" s="29"/>
      <c r="QW76" s="29"/>
      <c r="QX76" s="29"/>
      <c r="QY76" s="29"/>
      <c r="QZ76" s="29"/>
      <c r="RA76" s="29"/>
      <c r="RB76" s="29"/>
      <c r="RC76" s="29"/>
      <c r="RD76" s="29"/>
      <c r="RE76" s="29"/>
      <c r="RF76" s="29"/>
      <c r="RG76" s="29"/>
      <c r="RH76" s="29"/>
      <c r="RI76" s="29"/>
      <c r="RJ76" s="29"/>
      <c r="RK76" s="29"/>
      <c r="RL76" s="29"/>
      <c r="RM76" s="29"/>
      <c r="RN76" s="29"/>
      <c r="RO76" s="29"/>
      <c r="RP76" s="29"/>
      <c r="RQ76" s="29"/>
      <c r="RR76" s="29"/>
      <c r="RS76" s="29"/>
      <c r="RT76" s="29"/>
      <c r="RU76" s="29"/>
      <c r="RV76" s="29"/>
      <c r="RW76" s="29"/>
      <c r="RX76" s="29"/>
      <c r="RY76" s="29"/>
      <c r="RZ76" s="29"/>
      <c r="SA76" s="29"/>
      <c r="SB76" s="29"/>
      <c r="SC76" s="29"/>
      <c r="SD76" s="29"/>
      <c r="SE76" s="29"/>
      <c r="SF76" s="29"/>
      <c r="SG76" s="29"/>
      <c r="SH76" s="29"/>
      <c r="SI76" s="29"/>
      <c r="SJ76" s="29"/>
      <c r="SK76" s="29"/>
      <c r="SL76" s="29"/>
      <c r="SM76" s="29"/>
      <c r="SN76" s="29"/>
      <c r="SO76" s="29"/>
      <c r="SP76" s="29"/>
      <c r="SQ76" s="29"/>
      <c r="SR76" s="29"/>
      <c r="SS76" s="29"/>
      <c r="ST76" s="29"/>
      <c r="SU76" s="29"/>
      <c r="SV76" s="29"/>
      <c r="SW76" s="29"/>
      <c r="SX76" s="29"/>
      <c r="SY76" s="29"/>
      <c r="SZ76" s="29"/>
      <c r="TA76" s="29"/>
      <c r="TB76" s="29"/>
      <c r="TC76" s="29"/>
      <c r="TD76" s="29"/>
      <c r="TE76" s="29"/>
      <c r="TF76" s="29"/>
      <c r="TG76" s="29"/>
      <c r="TH76" s="29"/>
      <c r="TI76" s="29"/>
      <c r="TJ76" s="29"/>
      <c r="TK76" s="29"/>
      <c r="TL76" s="29"/>
      <c r="TM76" s="29"/>
      <c r="TN76" s="29"/>
      <c r="TO76" s="29"/>
      <c r="TP76" s="29"/>
      <c r="TQ76" s="29"/>
      <c r="TR76" s="29"/>
      <c r="TS76" s="29"/>
      <c r="TT76" s="29"/>
      <c r="TU76" s="29"/>
      <c r="TV76" s="29"/>
      <c r="TW76" s="29"/>
      <c r="TX76" s="29"/>
      <c r="TY76" s="29"/>
      <c r="TZ76" s="29"/>
      <c r="UA76" s="29"/>
      <c r="UB76" s="29"/>
      <c r="UC76" s="29"/>
      <c r="UD76" s="29"/>
      <c r="UE76" s="29"/>
      <c r="UF76" s="29"/>
      <c r="UG76" s="29"/>
      <c r="UH76" s="29"/>
      <c r="UI76" s="29"/>
      <c r="UJ76" s="29"/>
      <c r="UK76" s="29"/>
      <c r="UL76" s="29"/>
      <c r="UM76" s="29"/>
      <c r="UN76" s="29"/>
      <c r="UO76" s="29"/>
      <c r="UP76" s="29"/>
      <c r="UQ76" s="29"/>
      <c r="UR76" s="29"/>
      <c r="US76" s="29"/>
      <c r="UT76" s="29"/>
      <c r="UU76" s="29"/>
      <c r="UV76" s="29"/>
      <c r="UW76" s="29"/>
      <c r="UX76" s="29"/>
      <c r="UY76" s="29"/>
      <c r="UZ76" s="29"/>
      <c r="VA76" s="29"/>
      <c r="VB76" s="29"/>
      <c r="VC76" s="29"/>
      <c r="VD76" s="29"/>
      <c r="VE76" s="29"/>
      <c r="VF76" s="29"/>
      <c r="VG76" s="29"/>
      <c r="VH76" s="29"/>
      <c r="VI76" s="29"/>
      <c r="VJ76" s="29"/>
      <c r="VK76" s="29"/>
      <c r="VL76" s="29"/>
      <c r="VM76" s="29"/>
      <c r="VN76" s="29"/>
      <c r="VO76" s="29"/>
      <c r="VP76" s="29"/>
      <c r="VQ76" s="29"/>
      <c r="VR76" s="29"/>
      <c r="VS76" s="29"/>
      <c r="VT76" s="29"/>
      <c r="VU76" s="29"/>
      <c r="VV76" s="29"/>
      <c r="VW76" s="29"/>
      <c r="VX76" s="29"/>
      <c r="VY76" s="29"/>
      <c r="VZ76" s="29"/>
      <c r="WA76" s="29"/>
      <c r="WB76" s="29"/>
      <c r="WC76" s="29"/>
      <c r="WD76" s="29"/>
      <c r="WE76" s="29"/>
      <c r="WF76" s="29"/>
      <c r="WG76" s="29"/>
      <c r="WH76" s="29"/>
      <c r="WI76" s="29"/>
      <c r="WJ76" s="29"/>
      <c r="WK76" s="29"/>
      <c r="WL76" s="29"/>
      <c r="WM76" s="29"/>
      <c r="WN76" s="29"/>
      <c r="WO76" s="29"/>
      <c r="WP76" s="29"/>
      <c r="WQ76" s="29"/>
      <c r="WR76" s="29"/>
      <c r="WS76" s="29"/>
    </row>
    <row r="77" spans="1:617" s="3" customFormat="1" ht="15" outlineLevel="1" thickBot="1">
      <c r="A77" s="33"/>
      <c r="B77" s="47" t="s">
        <v>227</v>
      </c>
      <c r="C77" s="42" t="s">
        <v>231</v>
      </c>
      <c r="D77" s="204">
        <v>46209</v>
      </c>
      <c r="E77" s="116">
        <f t="shared" si="594"/>
        <v>46266</v>
      </c>
      <c r="F77" s="14"/>
      <c r="G77" s="14">
        <v>57</v>
      </c>
      <c r="H77" s="29"/>
      <c r="I77" s="29"/>
      <c r="J77" s="29"/>
      <c r="K77" s="29"/>
      <c r="L77" s="29"/>
      <c r="M77" s="29"/>
      <c r="N77" s="29"/>
      <c r="O77" s="29"/>
      <c r="P77" s="29"/>
      <c r="Q77" s="29"/>
      <c r="R77" s="29"/>
      <c r="S77" s="29"/>
      <c r="T77" s="29"/>
      <c r="U77" s="29"/>
      <c r="V77" s="29"/>
      <c r="W77" s="29"/>
      <c r="X77" s="29"/>
      <c r="Y77" s="30"/>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c r="MM77" s="29"/>
      <c r="MN77" s="29"/>
      <c r="MO77" s="29"/>
      <c r="MP77" s="29"/>
      <c r="MQ77" s="29"/>
      <c r="MR77" s="29"/>
      <c r="MS77" s="29"/>
      <c r="MT77" s="29"/>
      <c r="MU77" s="29"/>
      <c r="MV77" s="29"/>
      <c r="MW77" s="29"/>
      <c r="MX77" s="29"/>
      <c r="MY77" s="29"/>
      <c r="MZ77" s="29"/>
      <c r="NA77" s="29"/>
      <c r="NB77" s="29"/>
      <c r="NC77" s="29"/>
      <c r="ND77" s="29"/>
      <c r="NE77" s="29"/>
      <c r="NF77" s="29"/>
      <c r="NG77" s="29"/>
      <c r="NH77" s="29"/>
      <c r="NI77" s="29"/>
      <c r="NJ77" s="29"/>
      <c r="NK77" s="29"/>
      <c r="NL77" s="29"/>
      <c r="NM77" s="29"/>
      <c r="NN77" s="29"/>
      <c r="NO77" s="29"/>
      <c r="NP77" s="29"/>
      <c r="NQ77" s="29"/>
      <c r="NR77" s="29"/>
      <c r="NS77" s="29"/>
      <c r="NT77" s="29"/>
      <c r="NU77" s="29"/>
      <c r="NV77" s="29"/>
      <c r="NW77" s="29"/>
      <c r="NX77" s="29"/>
      <c r="NY77" s="29"/>
      <c r="NZ77" s="29"/>
      <c r="OA77" s="29"/>
      <c r="OB77" s="29"/>
      <c r="OC77" s="29"/>
      <c r="OD77" s="29"/>
      <c r="OE77" s="29"/>
      <c r="OF77" s="29"/>
      <c r="OG77" s="29"/>
      <c r="OH77" s="29"/>
      <c r="OI77" s="29"/>
      <c r="OJ77" s="29"/>
      <c r="OK77" s="29"/>
      <c r="OL77" s="29"/>
      <c r="OM77" s="29"/>
      <c r="ON77" s="29"/>
      <c r="OO77" s="29"/>
      <c r="OP77" s="29"/>
      <c r="OQ77" s="29"/>
      <c r="OR77" s="29"/>
      <c r="OS77" s="29"/>
      <c r="OT77" s="29"/>
      <c r="OU77" s="29"/>
      <c r="OV77" s="29"/>
      <c r="OW77" s="29"/>
      <c r="OX77" s="29"/>
      <c r="OY77" s="29"/>
      <c r="OZ77" s="29"/>
      <c r="PA77" s="29"/>
      <c r="PB77" s="29"/>
      <c r="PC77" s="29"/>
      <c r="PD77" s="29"/>
      <c r="PE77" s="29"/>
      <c r="PF77" s="29"/>
      <c r="PG77" s="29"/>
      <c r="PH77" s="29"/>
      <c r="PI77" s="29"/>
      <c r="PJ77" s="29"/>
      <c r="PK77" s="29"/>
      <c r="PL77" s="29"/>
      <c r="PM77" s="29"/>
      <c r="PN77" s="29"/>
      <c r="PO77" s="29"/>
      <c r="PP77" s="29"/>
      <c r="PQ77" s="29"/>
      <c r="PR77" s="29"/>
      <c r="PS77" s="29"/>
      <c r="PT77" s="29"/>
      <c r="PU77" s="29"/>
      <c r="PV77" s="29"/>
      <c r="PW77" s="29"/>
      <c r="PX77" s="29"/>
      <c r="PY77" s="29"/>
      <c r="PZ77" s="29"/>
      <c r="QA77" s="29"/>
      <c r="QB77" s="29"/>
      <c r="QC77" s="29"/>
      <c r="QD77" s="29"/>
      <c r="QE77" s="29"/>
      <c r="QF77" s="29"/>
      <c r="QG77" s="29"/>
      <c r="QH77" s="29"/>
      <c r="QI77" s="29"/>
      <c r="QJ77" s="29"/>
      <c r="QK77" s="29"/>
      <c r="QL77" s="29"/>
      <c r="QM77" s="29"/>
      <c r="QN77" s="29"/>
      <c r="QO77" s="29"/>
      <c r="QP77" s="29"/>
      <c r="QQ77" s="29"/>
      <c r="QR77" s="29"/>
      <c r="QS77" s="29"/>
      <c r="QT77" s="29"/>
      <c r="QU77" s="29"/>
      <c r="QV77" s="29"/>
      <c r="QW77" s="29"/>
      <c r="QX77" s="29"/>
      <c r="QY77" s="29"/>
      <c r="QZ77" s="29"/>
      <c r="RA77" s="29"/>
      <c r="RB77" s="29"/>
      <c r="RC77" s="29"/>
      <c r="RD77" s="29"/>
      <c r="RE77" s="29"/>
      <c r="RF77" s="29"/>
      <c r="RG77" s="29"/>
      <c r="RH77" s="29"/>
      <c r="RI77" s="29"/>
      <c r="RJ77" s="29"/>
      <c r="RK77" s="29"/>
      <c r="RL77" s="29"/>
      <c r="RM77" s="29"/>
      <c r="RN77" s="29"/>
      <c r="RO77" s="29"/>
      <c r="RP77" s="29"/>
      <c r="RQ77" s="29"/>
      <c r="RR77" s="29"/>
      <c r="RS77" s="29"/>
      <c r="RT77" s="29"/>
      <c r="RU77" s="29"/>
      <c r="RV77" s="29"/>
      <c r="RW77" s="29"/>
      <c r="RX77" s="29"/>
      <c r="RY77" s="29"/>
      <c r="RZ77" s="29"/>
      <c r="SA77" s="29"/>
      <c r="SB77" s="29"/>
      <c r="SC77" s="29"/>
      <c r="SD77" s="29"/>
      <c r="SE77" s="29"/>
      <c r="SF77" s="29"/>
      <c r="SG77" s="29"/>
      <c r="SH77" s="29"/>
      <c r="SI77" s="29"/>
      <c r="SJ77" s="29"/>
      <c r="SK77" s="29"/>
      <c r="SL77" s="29"/>
      <c r="SM77" s="29"/>
      <c r="SN77" s="29"/>
      <c r="SO77" s="29"/>
      <c r="SP77" s="29"/>
      <c r="SQ77" s="29"/>
      <c r="SR77" s="29"/>
      <c r="SS77" s="29"/>
      <c r="ST77" s="29"/>
      <c r="SU77" s="29"/>
      <c r="SV77" s="29"/>
      <c r="SW77" s="29"/>
      <c r="SX77" s="29"/>
      <c r="SY77" s="29"/>
      <c r="SZ77" s="29"/>
      <c r="TA77" s="29"/>
      <c r="TB77" s="29"/>
      <c r="TC77" s="29"/>
      <c r="TD77" s="29"/>
      <c r="TE77" s="29"/>
      <c r="TF77" s="29"/>
      <c r="TG77" s="29"/>
      <c r="TH77" s="29"/>
      <c r="TI77" s="29"/>
      <c r="TJ77" s="29"/>
      <c r="TK77" s="29"/>
      <c r="TL77" s="29"/>
      <c r="TM77" s="29"/>
      <c r="TN77" s="29"/>
      <c r="TO77" s="29"/>
      <c r="TP77" s="29"/>
      <c r="TQ77" s="29"/>
      <c r="TR77" s="29"/>
      <c r="TS77" s="29"/>
      <c r="TT77" s="29"/>
      <c r="TU77" s="29"/>
      <c r="TV77" s="29"/>
      <c r="TW77" s="29"/>
      <c r="TX77" s="29"/>
      <c r="TY77" s="29"/>
      <c r="TZ77" s="29"/>
      <c r="UA77" s="29"/>
      <c r="UB77" s="29"/>
      <c r="UC77" s="29"/>
      <c r="UD77" s="29"/>
      <c r="UE77" s="29"/>
      <c r="UF77" s="29"/>
      <c r="UG77" s="29"/>
      <c r="UH77" s="29"/>
      <c r="UI77" s="29"/>
      <c r="UJ77" s="29"/>
      <c r="UK77" s="29"/>
      <c r="UL77" s="29"/>
      <c r="UM77" s="29"/>
      <c r="UN77" s="29"/>
      <c r="UO77" s="29"/>
      <c r="UP77" s="29"/>
      <c r="UQ77" s="29"/>
      <c r="UR77" s="29"/>
      <c r="US77" s="29"/>
      <c r="UT77" s="29"/>
      <c r="UU77" s="29"/>
      <c r="UV77" s="29"/>
      <c r="UW77" s="29"/>
      <c r="UX77" s="29"/>
      <c r="UY77" s="29"/>
      <c r="UZ77" s="29"/>
      <c r="VA77" s="29"/>
      <c r="VB77" s="29"/>
      <c r="VC77" s="29"/>
      <c r="VD77" s="29"/>
      <c r="VE77" s="29"/>
      <c r="VF77" s="29"/>
      <c r="VG77" s="29"/>
      <c r="VH77" s="29"/>
      <c r="VI77" s="29"/>
      <c r="VJ77" s="29"/>
      <c r="VK77" s="29"/>
      <c r="VL77" s="29"/>
      <c r="VM77" s="29"/>
      <c r="VN77" s="29"/>
      <c r="VO77" s="29"/>
      <c r="VP77" s="29"/>
      <c r="VQ77" s="29"/>
      <c r="VR77" s="29"/>
      <c r="VS77" s="29"/>
      <c r="VT77" s="29"/>
      <c r="VU77" s="29"/>
      <c r="VV77" s="29"/>
      <c r="VW77" s="29"/>
      <c r="VX77" s="29"/>
      <c r="VY77" s="29"/>
      <c r="VZ77" s="29"/>
      <c r="WA77" s="29"/>
      <c r="WB77" s="29"/>
      <c r="WC77" s="29"/>
      <c r="WD77" s="29"/>
      <c r="WE77" s="29"/>
      <c r="WF77" s="29"/>
      <c r="WG77" s="29"/>
      <c r="WH77" s="29"/>
      <c r="WI77" s="29"/>
      <c r="WJ77" s="29"/>
      <c r="WK77" s="29"/>
      <c r="WL77" s="29"/>
      <c r="WM77" s="29"/>
      <c r="WN77" s="29"/>
      <c r="WO77" s="29"/>
      <c r="WP77" s="29"/>
      <c r="WQ77" s="29"/>
      <c r="WR77" s="29"/>
      <c r="WS77" s="29"/>
    </row>
    <row r="78" spans="1:617" s="3" customFormat="1" ht="15" outlineLevel="1" thickBot="1">
      <c r="A78" s="33"/>
      <c r="B78" s="47" t="s">
        <v>229</v>
      </c>
      <c r="C78" s="42" t="s">
        <v>35</v>
      </c>
      <c r="D78" s="204">
        <v>46226</v>
      </c>
      <c r="E78" s="116">
        <f t="shared" si="594"/>
        <v>46266</v>
      </c>
      <c r="F78" s="14"/>
      <c r="G78" s="14">
        <v>40</v>
      </c>
      <c r="H78" s="29"/>
      <c r="I78" s="29"/>
      <c r="J78" s="29"/>
      <c r="K78" s="29"/>
      <c r="L78" s="29"/>
      <c r="M78" s="29"/>
      <c r="N78" s="29"/>
      <c r="O78" s="29"/>
      <c r="P78" s="29"/>
      <c r="Q78" s="29"/>
      <c r="R78" s="29"/>
      <c r="S78" s="29"/>
      <c r="T78" s="29"/>
      <c r="U78" s="29"/>
      <c r="V78" s="29"/>
      <c r="W78" s="29"/>
      <c r="X78" s="29"/>
      <c r="Y78" s="30"/>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c r="MM78" s="29"/>
      <c r="MN78" s="29"/>
      <c r="MO78" s="29"/>
      <c r="MP78" s="29"/>
      <c r="MQ78" s="29"/>
      <c r="MR78" s="29"/>
      <c r="MS78" s="29"/>
      <c r="MT78" s="29"/>
      <c r="MU78" s="29"/>
      <c r="MV78" s="29"/>
      <c r="MW78" s="29"/>
      <c r="MX78" s="29"/>
      <c r="MY78" s="29"/>
      <c r="MZ78" s="29"/>
      <c r="NA78" s="29"/>
      <c r="NB78" s="29"/>
      <c r="NC78" s="29"/>
      <c r="ND78" s="29"/>
      <c r="NE78" s="29"/>
      <c r="NF78" s="29"/>
      <c r="NG78" s="29"/>
      <c r="NH78" s="29"/>
      <c r="NI78" s="29"/>
      <c r="NJ78" s="29"/>
      <c r="NK78" s="29"/>
      <c r="NL78" s="29"/>
      <c r="NM78" s="29"/>
      <c r="NN78" s="29"/>
      <c r="NO78" s="29"/>
      <c r="NP78" s="29"/>
      <c r="NQ78" s="29"/>
      <c r="NR78" s="29"/>
      <c r="NS78" s="29"/>
      <c r="NT78" s="29"/>
      <c r="NU78" s="29"/>
      <c r="NV78" s="29"/>
      <c r="NW78" s="29"/>
      <c r="NX78" s="29"/>
      <c r="NY78" s="29"/>
      <c r="NZ78" s="29"/>
      <c r="OA78" s="29"/>
      <c r="OB78" s="29"/>
      <c r="OC78" s="29"/>
      <c r="OD78" s="29"/>
      <c r="OE78" s="29"/>
      <c r="OF78" s="29"/>
      <c r="OG78" s="29"/>
      <c r="OH78" s="29"/>
      <c r="OI78" s="29"/>
      <c r="OJ78" s="29"/>
      <c r="OK78" s="29"/>
      <c r="OL78" s="29"/>
      <c r="OM78" s="29"/>
      <c r="ON78" s="29"/>
      <c r="OO78" s="29"/>
      <c r="OP78" s="29"/>
      <c r="OQ78" s="29"/>
      <c r="OR78" s="29"/>
      <c r="OS78" s="29"/>
      <c r="OT78" s="29"/>
      <c r="OU78" s="29"/>
      <c r="OV78" s="29"/>
      <c r="OW78" s="29"/>
      <c r="OX78" s="29"/>
      <c r="OY78" s="29"/>
      <c r="OZ78" s="29"/>
      <c r="PA78" s="29"/>
      <c r="PB78" s="29"/>
      <c r="PC78" s="29"/>
      <c r="PD78" s="29"/>
      <c r="PE78" s="29"/>
      <c r="PF78" s="29"/>
      <c r="PG78" s="29"/>
      <c r="PH78" s="29"/>
      <c r="PI78" s="29"/>
      <c r="PJ78" s="29"/>
      <c r="PK78" s="29"/>
      <c r="PL78" s="29"/>
      <c r="PM78" s="29"/>
      <c r="PN78" s="29"/>
      <c r="PO78" s="29"/>
      <c r="PP78" s="29"/>
      <c r="PQ78" s="29"/>
      <c r="PR78" s="29"/>
      <c r="PS78" s="29"/>
      <c r="PT78" s="29"/>
      <c r="PU78" s="29"/>
      <c r="PV78" s="29"/>
      <c r="PW78" s="29"/>
      <c r="PX78" s="29"/>
      <c r="PY78" s="29"/>
      <c r="PZ78" s="29"/>
      <c r="QA78" s="29"/>
      <c r="QB78" s="29"/>
      <c r="QC78" s="29"/>
      <c r="QD78" s="29"/>
      <c r="QE78" s="29"/>
      <c r="QF78" s="29"/>
      <c r="QG78" s="29"/>
      <c r="QH78" s="29"/>
      <c r="QI78" s="29"/>
      <c r="QJ78" s="29"/>
      <c r="QK78" s="29"/>
      <c r="QL78" s="29"/>
      <c r="QM78" s="29"/>
      <c r="QN78" s="29"/>
      <c r="QO78" s="29"/>
      <c r="QP78" s="29"/>
      <c r="QQ78" s="29"/>
      <c r="QR78" s="29"/>
      <c r="QS78" s="29"/>
      <c r="QT78" s="29"/>
      <c r="QU78" s="29"/>
      <c r="QV78" s="29"/>
      <c r="QW78" s="29"/>
      <c r="QX78" s="29"/>
      <c r="QY78" s="29"/>
      <c r="QZ78" s="29"/>
      <c r="RA78" s="29"/>
      <c r="RB78" s="29"/>
      <c r="RC78" s="29"/>
      <c r="RD78" s="29"/>
      <c r="RE78" s="29"/>
      <c r="RF78" s="29"/>
      <c r="RG78" s="29"/>
      <c r="RH78" s="29"/>
      <c r="RI78" s="29"/>
      <c r="RJ78" s="29"/>
      <c r="RK78" s="29"/>
      <c r="RL78" s="29"/>
      <c r="RM78" s="29"/>
      <c r="RN78" s="29"/>
      <c r="RO78" s="29"/>
      <c r="RP78" s="29"/>
      <c r="RQ78" s="29"/>
      <c r="RR78" s="29"/>
      <c r="RS78" s="29"/>
      <c r="RT78" s="29"/>
      <c r="RU78" s="29"/>
      <c r="RV78" s="29"/>
      <c r="RW78" s="29"/>
      <c r="RX78" s="29"/>
      <c r="RY78" s="29"/>
      <c r="RZ78" s="29"/>
      <c r="SA78" s="29"/>
      <c r="SB78" s="29"/>
      <c r="SC78" s="29"/>
      <c r="SD78" s="29"/>
      <c r="SE78" s="29"/>
      <c r="SF78" s="29"/>
      <c r="SG78" s="29"/>
      <c r="SH78" s="29"/>
      <c r="SI78" s="29"/>
      <c r="SJ78" s="29"/>
      <c r="SK78" s="29"/>
      <c r="SL78" s="29"/>
      <c r="SM78" s="29"/>
      <c r="SN78" s="29"/>
      <c r="SO78" s="29"/>
      <c r="SP78" s="29"/>
      <c r="SQ78" s="29"/>
      <c r="SR78" s="29"/>
      <c r="SS78" s="29"/>
      <c r="ST78" s="29"/>
      <c r="SU78" s="29"/>
      <c r="SV78" s="29"/>
      <c r="SW78" s="29"/>
      <c r="SX78" s="29"/>
      <c r="SY78" s="29"/>
      <c r="SZ78" s="29"/>
      <c r="TA78" s="29"/>
      <c r="TB78" s="29"/>
      <c r="TC78" s="29"/>
      <c r="TD78" s="29"/>
      <c r="TE78" s="29"/>
      <c r="TF78" s="29"/>
      <c r="TG78" s="29"/>
      <c r="TH78" s="29"/>
      <c r="TI78" s="29"/>
      <c r="TJ78" s="29"/>
      <c r="TK78" s="29"/>
      <c r="TL78" s="29"/>
      <c r="TM78" s="29"/>
      <c r="TN78" s="29"/>
      <c r="TO78" s="29"/>
      <c r="TP78" s="29"/>
      <c r="TQ78" s="29"/>
      <c r="TR78" s="29"/>
      <c r="TS78" s="29"/>
      <c r="TT78" s="29"/>
      <c r="TU78" s="29"/>
      <c r="TV78" s="29"/>
      <c r="TW78" s="29"/>
      <c r="TX78" s="29"/>
      <c r="TY78" s="29"/>
      <c r="TZ78" s="29"/>
      <c r="UA78" s="29"/>
      <c r="UB78" s="29"/>
      <c r="UC78" s="29"/>
      <c r="UD78" s="29"/>
      <c r="UE78" s="29"/>
      <c r="UF78" s="29"/>
      <c r="UG78" s="29"/>
      <c r="UH78" s="29"/>
      <c r="UI78" s="29"/>
      <c r="UJ78" s="29"/>
      <c r="UK78" s="29"/>
      <c r="UL78" s="29"/>
      <c r="UM78" s="29"/>
      <c r="UN78" s="29"/>
      <c r="UO78" s="29"/>
      <c r="UP78" s="29"/>
      <c r="UQ78" s="29"/>
      <c r="UR78" s="29"/>
      <c r="US78" s="29"/>
      <c r="UT78" s="29"/>
      <c r="UU78" s="29"/>
      <c r="UV78" s="29"/>
      <c r="UW78" s="29"/>
      <c r="UX78" s="29"/>
      <c r="UY78" s="29"/>
      <c r="UZ78" s="29"/>
      <c r="VA78" s="29"/>
      <c r="VB78" s="29"/>
      <c r="VC78" s="29"/>
      <c r="VD78" s="29"/>
      <c r="VE78" s="29"/>
      <c r="VF78" s="29"/>
      <c r="VG78" s="29"/>
      <c r="VH78" s="29"/>
      <c r="VI78" s="29"/>
      <c r="VJ78" s="29"/>
      <c r="VK78" s="29"/>
      <c r="VL78" s="29"/>
      <c r="VM78" s="29"/>
      <c r="VN78" s="29"/>
      <c r="VO78" s="29"/>
      <c r="VP78" s="29"/>
      <c r="VQ78" s="29"/>
      <c r="VR78" s="29"/>
      <c r="VS78" s="29"/>
      <c r="VT78" s="29"/>
      <c r="VU78" s="29"/>
      <c r="VV78" s="29"/>
      <c r="VW78" s="29"/>
      <c r="VX78" s="29"/>
      <c r="VY78" s="29"/>
      <c r="VZ78" s="29"/>
      <c r="WA78" s="29"/>
      <c r="WB78" s="29"/>
      <c r="WC78" s="29"/>
      <c r="WD78" s="29"/>
      <c r="WE78" s="29"/>
      <c r="WF78" s="29"/>
      <c r="WG78" s="29"/>
      <c r="WH78" s="29"/>
      <c r="WI78" s="29"/>
      <c r="WJ78" s="29"/>
      <c r="WK78" s="29"/>
      <c r="WL78" s="29"/>
      <c r="WM78" s="29"/>
      <c r="WN78" s="29"/>
      <c r="WO78" s="29"/>
      <c r="WP78" s="29"/>
      <c r="WQ78" s="29"/>
      <c r="WR78" s="29"/>
      <c r="WS78" s="29"/>
    </row>
    <row r="79" spans="1:617" s="3" customFormat="1" ht="15" outlineLevel="1" thickBot="1">
      <c r="A79" s="33"/>
      <c r="B79" s="47" t="s">
        <v>227</v>
      </c>
      <c r="C79" s="42" t="s">
        <v>228</v>
      </c>
      <c r="D79" s="116">
        <v>46272</v>
      </c>
      <c r="E79" s="116">
        <f t="shared" si="594"/>
        <v>46334</v>
      </c>
      <c r="F79" s="14"/>
      <c r="G79" s="14">
        <v>62</v>
      </c>
      <c r="H79" s="29"/>
      <c r="I79" s="29"/>
      <c r="J79" s="29"/>
      <c r="K79" s="29"/>
      <c r="L79" s="29"/>
      <c r="M79" s="29"/>
      <c r="N79" s="29"/>
      <c r="O79" s="29"/>
      <c r="P79" s="29"/>
      <c r="Q79" s="29"/>
      <c r="R79" s="29"/>
      <c r="S79" s="29"/>
      <c r="T79" s="29"/>
      <c r="U79" s="29"/>
      <c r="V79" s="29"/>
      <c r="W79" s="29"/>
      <c r="X79" s="29"/>
      <c r="Y79" s="30"/>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c r="MM79" s="29"/>
      <c r="MN79" s="29"/>
      <c r="MO79" s="29"/>
      <c r="MP79" s="29"/>
      <c r="MQ79" s="29"/>
      <c r="MR79" s="29"/>
      <c r="MS79" s="29"/>
      <c r="MT79" s="29"/>
      <c r="MU79" s="29"/>
      <c r="MV79" s="29"/>
      <c r="MW79" s="29"/>
      <c r="MX79" s="29"/>
      <c r="MY79" s="29"/>
      <c r="MZ79" s="29"/>
      <c r="NA79" s="29"/>
      <c r="NB79" s="29"/>
      <c r="NC79" s="29"/>
      <c r="ND79" s="29"/>
      <c r="NE79" s="29"/>
      <c r="NF79" s="29"/>
      <c r="NG79" s="29"/>
      <c r="NH79" s="29"/>
      <c r="NI79" s="29"/>
      <c r="NJ79" s="29"/>
      <c r="NK79" s="29"/>
      <c r="NL79" s="29"/>
      <c r="NM79" s="29"/>
      <c r="NN79" s="29"/>
      <c r="NO79" s="29"/>
      <c r="NP79" s="29"/>
      <c r="NQ79" s="29"/>
      <c r="NR79" s="29"/>
      <c r="NS79" s="29"/>
      <c r="NT79" s="29"/>
      <c r="NU79" s="29"/>
      <c r="NV79" s="29"/>
      <c r="NW79" s="29"/>
      <c r="NX79" s="29"/>
      <c r="NY79" s="29"/>
      <c r="NZ79" s="29"/>
      <c r="OA79" s="29"/>
      <c r="OB79" s="29"/>
      <c r="OC79" s="29"/>
      <c r="OD79" s="29"/>
      <c r="OE79" s="29"/>
      <c r="OF79" s="29"/>
      <c r="OG79" s="29"/>
      <c r="OH79" s="29"/>
      <c r="OI79" s="29"/>
      <c r="OJ79" s="29"/>
      <c r="OK79" s="29"/>
      <c r="OL79" s="29"/>
      <c r="OM79" s="29"/>
      <c r="ON79" s="29"/>
      <c r="OO79" s="29"/>
      <c r="OP79" s="29"/>
      <c r="OQ79" s="29"/>
      <c r="OR79" s="29"/>
      <c r="OS79" s="29"/>
      <c r="OT79" s="29"/>
      <c r="OU79" s="29"/>
      <c r="OV79" s="29"/>
      <c r="OW79" s="29"/>
      <c r="OX79" s="29"/>
      <c r="OY79" s="29"/>
      <c r="OZ79" s="29"/>
      <c r="PA79" s="29"/>
      <c r="PB79" s="29"/>
      <c r="PC79" s="29"/>
      <c r="PD79" s="29"/>
      <c r="PE79" s="29"/>
      <c r="PF79" s="29"/>
      <c r="PG79" s="29"/>
      <c r="PH79" s="29"/>
      <c r="PI79" s="29"/>
      <c r="PJ79" s="29"/>
      <c r="PK79" s="29"/>
      <c r="PL79" s="29"/>
      <c r="PM79" s="29"/>
      <c r="PN79" s="29"/>
      <c r="PO79" s="29"/>
      <c r="PP79" s="29"/>
      <c r="PQ79" s="29"/>
      <c r="PR79" s="29"/>
      <c r="PS79" s="29"/>
      <c r="PT79" s="29"/>
      <c r="PU79" s="29"/>
      <c r="PV79" s="29"/>
      <c r="PW79" s="29"/>
      <c r="PX79" s="29"/>
      <c r="PY79" s="29"/>
      <c r="PZ79" s="29"/>
      <c r="QA79" s="29"/>
      <c r="QB79" s="29"/>
      <c r="QC79" s="29"/>
      <c r="QD79" s="29"/>
      <c r="QE79" s="29"/>
      <c r="QF79" s="29"/>
      <c r="QG79" s="29"/>
      <c r="QH79" s="29"/>
      <c r="QI79" s="29"/>
      <c r="QJ79" s="29"/>
      <c r="QK79" s="29"/>
      <c r="QL79" s="29"/>
      <c r="QM79" s="29"/>
      <c r="QN79" s="29"/>
      <c r="QO79" s="29"/>
      <c r="QP79" s="29"/>
      <c r="QQ79" s="29"/>
      <c r="QR79" s="29"/>
      <c r="QS79" s="29"/>
      <c r="QT79" s="29"/>
      <c r="QU79" s="29"/>
      <c r="QV79" s="29"/>
      <c r="QW79" s="29"/>
      <c r="QX79" s="29"/>
      <c r="QY79" s="29"/>
      <c r="QZ79" s="29"/>
      <c r="RA79" s="29"/>
      <c r="RB79" s="29"/>
      <c r="RC79" s="29"/>
      <c r="RD79" s="29"/>
      <c r="RE79" s="29"/>
      <c r="RF79" s="29"/>
      <c r="RG79" s="29"/>
      <c r="RH79" s="29"/>
      <c r="RI79" s="29"/>
      <c r="RJ79" s="29"/>
      <c r="RK79" s="29"/>
      <c r="RL79" s="29"/>
      <c r="RM79" s="29"/>
      <c r="RN79" s="29"/>
      <c r="RO79" s="29"/>
      <c r="RP79" s="29"/>
      <c r="RQ79" s="29"/>
      <c r="RR79" s="29"/>
      <c r="RS79" s="29"/>
      <c r="RT79" s="29"/>
      <c r="RU79" s="29"/>
      <c r="RV79" s="29"/>
      <c r="RW79" s="29"/>
      <c r="RX79" s="29"/>
      <c r="RY79" s="29"/>
      <c r="RZ79" s="29"/>
      <c r="SA79" s="29"/>
      <c r="SB79" s="29"/>
      <c r="SC79" s="29"/>
      <c r="SD79" s="29"/>
      <c r="SE79" s="29"/>
      <c r="SF79" s="29"/>
      <c r="SG79" s="29"/>
      <c r="SH79" s="29"/>
      <c r="SI79" s="29"/>
      <c r="SJ79" s="29"/>
      <c r="SK79" s="29"/>
      <c r="SL79" s="29"/>
      <c r="SM79" s="29"/>
      <c r="SN79" s="29"/>
      <c r="SO79" s="29"/>
      <c r="SP79" s="29"/>
      <c r="SQ79" s="29"/>
      <c r="SR79" s="29"/>
      <c r="SS79" s="29"/>
      <c r="ST79" s="29"/>
      <c r="SU79" s="29"/>
      <c r="SV79" s="29"/>
      <c r="SW79" s="29"/>
      <c r="SX79" s="29"/>
      <c r="SY79" s="29"/>
      <c r="SZ79" s="29"/>
      <c r="TA79" s="29"/>
      <c r="TB79" s="29"/>
      <c r="TC79" s="29"/>
      <c r="TD79" s="29"/>
      <c r="TE79" s="29"/>
      <c r="TF79" s="29"/>
      <c r="TG79" s="29"/>
      <c r="TH79" s="29"/>
      <c r="TI79" s="29"/>
      <c r="TJ79" s="29"/>
      <c r="TK79" s="29"/>
      <c r="TL79" s="29"/>
      <c r="TM79" s="29"/>
      <c r="TN79" s="29"/>
      <c r="TO79" s="29"/>
      <c r="TP79" s="29"/>
      <c r="TQ79" s="29"/>
      <c r="TR79" s="29"/>
      <c r="TS79" s="29"/>
      <c r="TT79" s="29"/>
      <c r="TU79" s="29"/>
      <c r="TV79" s="29"/>
      <c r="TW79" s="29"/>
      <c r="TX79" s="29"/>
      <c r="TY79" s="29"/>
      <c r="TZ79" s="29"/>
      <c r="UA79" s="29"/>
      <c r="UB79" s="29"/>
      <c r="UC79" s="29"/>
      <c r="UD79" s="29"/>
      <c r="UE79" s="29"/>
      <c r="UF79" s="29"/>
      <c r="UG79" s="29"/>
      <c r="UH79" s="29"/>
      <c r="UI79" s="29"/>
      <c r="UJ79" s="29"/>
      <c r="UK79" s="29"/>
      <c r="UL79" s="29"/>
      <c r="UM79" s="29"/>
      <c r="UN79" s="29"/>
      <c r="UO79" s="29"/>
      <c r="UP79" s="29"/>
      <c r="UQ79" s="29"/>
      <c r="UR79" s="29"/>
      <c r="US79" s="29"/>
      <c r="UT79" s="29"/>
      <c r="UU79" s="29"/>
      <c r="UV79" s="29"/>
      <c r="UW79" s="29"/>
      <c r="UX79" s="29"/>
      <c r="UY79" s="29"/>
      <c r="UZ79" s="29"/>
      <c r="VA79" s="29"/>
      <c r="VB79" s="29"/>
      <c r="VC79" s="29"/>
      <c r="VD79" s="29"/>
      <c r="VE79" s="29"/>
      <c r="VF79" s="29"/>
      <c r="VG79" s="29"/>
      <c r="VH79" s="29"/>
      <c r="VI79" s="29"/>
      <c r="VJ79" s="29"/>
      <c r="VK79" s="29"/>
      <c r="VL79" s="29"/>
      <c r="VM79" s="29"/>
      <c r="VN79" s="29"/>
      <c r="VO79" s="29"/>
      <c r="VP79" s="29"/>
      <c r="VQ79" s="29"/>
      <c r="VR79" s="29"/>
      <c r="VS79" s="29"/>
      <c r="VT79" s="29"/>
      <c r="VU79" s="29"/>
      <c r="VV79" s="29"/>
      <c r="VW79" s="29"/>
      <c r="VX79" s="29"/>
      <c r="VY79" s="29"/>
      <c r="VZ79" s="29"/>
      <c r="WA79" s="29"/>
      <c r="WB79" s="29"/>
      <c r="WC79" s="29"/>
      <c r="WD79" s="29"/>
      <c r="WE79" s="29"/>
      <c r="WF79" s="29"/>
      <c r="WG79" s="29"/>
      <c r="WH79" s="29"/>
      <c r="WI79" s="29"/>
      <c r="WJ79" s="29"/>
      <c r="WK79" s="29"/>
      <c r="WL79" s="29"/>
      <c r="WM79" s="29"/>
      <c r="WN79" s="29"/>
      <c r="WO79" s="29"/>
      <c r="WP79" s="29"/>
      <c r="WQ79" s="29"/>
      <c r="WR79" s="29"/>
      <c r="WS79" s="29"/>
    </row>
    <row r="80" spans="1:617" s="3" customFormat="1" ht="15" outlineLevel="1" thickBot="1">
      <c r="A80" s="33"/>
      <c r="B80" s="47" t="s">
        <v>229</v>
      </c>
      <c r="C80" s="42" t="s">
        <v>42</v>
      </c>
      <c r="D80" s="116">
        <v>46282</v>
      </c>
      <c r="E80" s="116">
        <f t="shared" si="594"/>
        <v>46338</v>
      </c>
      <c r="F80" s="14"/>
      <c r="G80" s="14">
        <v>56</v>
      </c>
      <c r="H80" s="29"/>
      <c r="I80" s="29"/>
      <c r="J80" s="29"/>
      <c r="K80" s="29"/>
      <c r="L80" s="29"/>
      <c r="M80" s="29"/>
      <c r="N80" s="29"/>
      <c r="O80" s="29"/>
      <c r="P80" s="29"/>
      <c r="Q80" s="29"/>
      <c r="R80" s="29"/>
      <c r="S80" s="29"/>
      <c r="T80" s="29"/>
      <c r="U80" s="29"/>
      <c r="V80" s="29"/>
      <c r="W80" s="29"/>
      <c r="X80" s="29"/>
      <c r="Y80" s="30"/>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c r="MM80" s="29"/>
      <c r="MN80" s="29"/>
      <c r="MO80" s="29"/>
      <c r="MP80" s="29"/>
      <c r="MQ80" s="29"/>
      <c r="MR80" s="29"/>
      <c r="MS80" s="29"/>
      <c r="MT80" s="29"/>
      <c r="MU80" s="29"/>
      <c r="MV80" s="29"/>
      <c r="MW80" s="29"/>
      <c r="MX80" s="29"/>
      <c r="MY80" s="29"/>
      <c r="MZ80" s="29"/>
      <c r="NA80" s="29"/>
      <c r="NB80" s="29"/>
      <c r="NC80" s="29"/>
      <c r="ND80" s="29"/>
      <c r="NE80" s="29"/>
      <c r="NF80" s="29"/>
      <c r="NG80" s="29"/>
      <c r="NH80" s="29"/>
      <c r="NI80" s="29"/>
      <c r="NJ80" s="29"/>
      <c r="NK80" s="29"/>
      <c r="NL80" s="29"/>
      <c r="NM80" s="29"/>
      <c r="NN80" s="29"/>
      <c r="NO80" s="29"/>
      <c r="NP80" s="29"/>
      <c r="NQ80" s="29"/>
      <c r="NR80" s="29"/>
      <c r="NS80" s="29"/>
      <c r="NT80" s="29"/>
      <c r="NU80" s="29"/>
      <c r="NV80" s="29"/>
      <c r="NW80" s="29"/>
      <c r="NX80" s="29"/>
      <c r="NY80" s="29"/>
      <c r="NZ80" s="29"/>
      <c r="OA80" s="29"/>
      <c r="OB80" s="29"/>
      <c r="OC80" s="29"/>
      <c r="OD80" s="29"/>
      <c r="OE80" s="29"/>
      <c r="OF80" s="29"/>
      <c r="OG80" s="29"/>
      <c r="OH80" s="29"/>
      <c r="OI80" s="29"/>
      <c r="OJ80" s="29"/>
      <c r="OK80" s="29"/>
      <c r="OL80" s="29"/>
      <c r="OM80" s="29"/>
      <c r="ON80" s="29"/>
      <c r="OO80" s="29"/>
      <c r="OP80" s="29"/>
      <c r="OQ80" s="29"/>
      <c r="OR80" s="29"/>
      <c r="OS80" s="29"/>
      <c r="OT80" s="29"/>
      <c r="OU80" s="29"/>
      <c r="OV80" s="29"/>
      <c r="OW80" s="29"/>
      <c r="OX80" s="29"/>
      <c r="OY80" s="29"/>
      <c r="OZ80" s="29"/>
      <c r="PA80" s="29"/>
      <c r="PB80" s="29"/>
      <c r="PC80" s="29"/>
      <c r="PD80" s="29"/>
      <c r="PE80" s="29"/>
      <c r="PF80" s="29"/>
      <c r="PG80" s="29"/>
      <c r="PH80" s="29"/>
      <c r="PI80" s="29"/>
      <c r="PJ80" s="29"/>
      <c r="PK80" s="29"/>
      <c r="PL80" s="29"/>
      <c r="PM80" s="29"/>
      <c r="PN80" s="29"/>
      <c r="PO80" s="29"/>
      <c r="PP80" s="29"/>
      <c r="PQ80" s="29"/>
      <c r="PR80" s="29"/>
      <c r="PS80" s="29"/>
      <c r="PT80" s="29"/>
      <c r="PU80" s="29"/>
      <c r="PV80" s="29"/>
      <c r="PW80" s="29"/>
      <c r="PX80" s="29"/>
      <c r="PY80" s="29"/>
      <c r="PZ80" s="29"/>
      <c r="QA80" s="29"/>
      <c r="QB80" s="29"/>
      <c r="QC80" s="29"/>
      <c r="QD80" s="29"/>
      <c r="QE80" s="29"/>
      <c r="QF80" s="29"/>
      <c r="QG80" s="29"/>
      <c r="QH80" s="29"/>
      <c r="QI80" s="29"/>
      <c r="QJ80" s="29"/>
      <c r="QK80" s="29"/>
      <c r="QL80" s="29"/>
      <c r="QM80" s="29"/>
      <c r="QN80" s="29"/>
      <c r="QO80" s="29"/>
      <c r="QP80" s="29"/>
      <c r="QQ80" s="29"/>
      <c r="QR80" s="29"/>
      <c r="QS80" s="29"/>
      <c r="QT80" s="29"/>
      <c r="QU80" s="29"/>
      <c r="QV80" s="29"/>
      <c r="QW80" s="29"/>
      <c r="QX80" s="29"/>
      <c r="QY80" s="29"/>
      <c r="QZ80" s="29"/>
      <c r="RA80" s="29"/>
      <c r="RB80" s="29"/>
      <c r="RC80" s="29"/>
      <c r="RD80" s="29"/>
      <c r="RE80" s="29"/>
      <c r="RF80" s="29"/>
      <c r="RG80" s="29"/>
      <c r="RH80" s="29"/>
      <c r="RI80" s="29"/>
      <c r="RJ80" s="29"/>
      <c r="RK80" s="29"/>
      <c r="RL80" s="29"/>
      <c r="RM80" s="29"/>
      <c r="RN80" s="29"/>
      <c r="RO80" s="29"/>
      <c r="RP80" s="29"/>
      <c r="RQ80" s="29"/>
      <c r="RR80" s="29"/>
      <c r="RS80" s="29"/>
      <c r="RT80" s="29"/>
      <c r="RU80" s="29"/>
      <c r="RV80" s="29"/>
      <c r="RW80" s="29"/>
      <c r="RX80" s="29"/>
      <c r="RY80" s="29"/>
      <c r="RZ80" s="29"/>
      <c r="SA80" s="29"/>
      <c r="SB80" s="29"/>
      <c r="SC80" s="29"/>
      <c r="SD80" s="29"/>
      <c r="SE80" s="29"/>
      <c r="SF80" s="29"/>
      <c r="SG80" s="29"/>
      <c r="SH80" s="29"/>
      <c r="SI80" s="29"/>
      <c r="SJ80" s="29"/>
      <c r="SK80" s="29"/>
      <c r="SL80" s="29"/>
      <c r="SM80" s="29"/>
      <c r="SN80" s="29"/>
      <c r="SO80" s="29"/>
      <c r="SP80" s="29"/>
      <c r="SQ80" s="29"/>
      <c r="SR80" s="29"/>
      <c r="SS80" s="29"/>
      <c r="ST80" s="29"/>
      <c r="SU80" s="29"/>
      <c r="SV80" s="29"/>
      <c r="SW80" s="29"/>
      <c r="SX80" s="29"/>
      <c r="SY80" s="29"/>
      <c r="SZ80" s="29"/>
      <c r="TA80" s="29"/>
      <c r="TB80" s="29"/>
      <c r="TC80" s="29"/>
      <c r="TD80" s="29"/>
      <c r="TE80" s="29"/>
      <c r="TF80" s="29"/>
      <c r="TG80" s="29"/>
      <c r="TH80" s="29"/>
      <c r="TI80" s="29"/>
      <c r="TJ80" s="29"/>
      <c r="TK80" s="29"/>
      <c r="TL80" s="29"/>
      <c r="TM80" s="29"/>
      <c r="TN80" s="29"/>
      <c r="TO80" s="29"/>
      <c r="TP80" s="29"/>
      <c r="TQ80" s="29"/>
      <c r="TR80" s="29"/>
      <c r="TS80" s="29"/>
      <c r="TT80" s="29"/>
      <c r="TU80" s="29"/>
      <c r="TV80" s="29"/>
      <c r="TW80" s="29"/>
      <c r="TX80" s="29"/>
      <c r="TY80" s="29"/>
      <c r="TZ80" s="29"/>
      <c r="UA80" s="29"/>
      <c r="UB80" s="29"/>
      <c r="UC80" s="29"/>
      <c r="UD80" s="29"/>
      <c r="UE80" s="29"/>
      <c r="UF80" s="29"/>
      <c r="UG80" s="29"/>
      <c r="UH80" s="29"/>
      <c r="UI80" s="29"/>
      <c r="UJ80" s="29"/>
      <c r="UK80" s="29"/>
      <c r="UL80" s="29"/>
      <c r="UM80" s="29"/>
      <c r="UN80" s="29"/>
      <c r="UO80" s="29"/>
      <c r="UP80" s="29"/>
      <c r="UQ80" s="29"/>
      <c r="UR80" s="29"/>
      <c r="US80" s="29"/>
      <c r="UT80" s="29"/>
      <c r="UU80" s="29"/>
      <c r="UV80" s="29"/>
      <c r="UW80" s="29"/>
      <c r="UX80" s="29"/>
      <c r="UY80" s="29"/>
      <c r="UZ80" s="29"/>
      <c r="VA80" s="29"/>
      <c r="VB80" s="29"/>
      <c r="VC80" s="29"/>
      <c r="VD80" s="29"/>
      <c r="VE80" s="29"/>
      <c r="VF80" s="29"/>
      <c r="VG80" s="29"/>
      <c r="VH80" s="29"/>
      <c r="VI80" s="29"/>
      <c r="VJ80" s="29"/>
      <c r="VK80" s="29"/>
      <c r="VL80" s="29"/>
      <c r="VM80" s="29"/>
      <c r="VN80" s="29"/>
      <c r="VO80" s="29"/>
      <c r="VP80" s="29"/>
      <c r="VQ80" s="29"/>
      <c r="VR80" s="29"/>
      <c r="VS80" s="29"/>
      <c r="VT80" s="29"/>
      <c r="VU80" s="29"/>
      <c r="VV80" s="29"/>
      <c r="VW80" s="29"/>
      <c r="VX80" s="29"/>
      <c r="VY80" s="29"/>
      <c r="VZ80" s="29"/>
      <c r="WA80" s="29"/>
      <c r="WB80" s="29"/>
      <c r="WC80" s="29"/>
      <c r="WD80" s="29"/>
      <c r="WE80" s="29"/>
      <c r="WF80" s="29"/>
      <c r="WG80" s="29"/>
      <c r="WH80" s="29"/>
      <c r="WI80" s="29"/>
      <c r="WJ80" s="29"/>
      <c r="WK80" s="29"/>
      <c r="WL80" s="29"/>
      <c r="WM80" s="29"/>
      <c r="WN80" s="29"/>
      <c r="WO80" s="29"/>
      <c r="WP80" s="29"/>
      <c r="WQ80" s="29"/>
      <c r="WR80" s="29"/>
      <c r="WS80" s="29"/>
    </row>
    <row r="81" spans="1:617" s="3" customFormat="1" ht="15" outlineLevel="1" thickBot="1">
      <c r="A81" s="33"/>
      <c r="B81" s="240" t="s">
        <v>232</v>
      </c>
      <c r="C81" s="240"/>
      <c r="D81" s="240"/>
      <c r="E81" s="240"/>
      <c r="F81" s="14"/>
      <c r="G81" s="14"/>
      <c r="H81" s="29"/>
      <c r="I81" s="29"/>
      <c r="J81" s="29"/>
      <c r="K81" s="29"/>
      <c r="L81" s="29"/>
      <c r="M81" s="29"/>
      <c r="N81" s="29"/>
      <c r="O81" s="29"/>
      <c r="P81" s="29"/>
      <c r="Q81" s="29"/>
      <c r="R81" s="29"/>
      <c r="S81" s="29"/>
      <c r="T81" s="29"/>
      <c r="U81" s="29"/>
      <c r="V81" s="29"/>
      <c r="W81" s="29"/>
      <c r="X81" s="29"/>
      <c r="Y81" s="30"/>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c r="MM81" s="29"/>
      <c r="MN81" s="29"/>
      <c r="MO81" s="29"/>
      <c r="MP81" s="29"/>
      <c r="MQ81" s="29"/>
      <c r="MR81" s="29"/>
      <c r="MS81" s="29"/>
      <c r="MT81" s="29"/>
      <c r="MU81" s="29"/>
      <c r="MV81" s="29"/>
      <c r="MW81" s="29"/>
      <c r="MX81" s="29"/>
      <c r="MY81" s="29"/>
      <c r="MZ81" s="29"/>
      <c r="NA81" s="29"/>
      <c r="NB81" s="29"/>
      <c r="NC81" s="29"/>
      <c r="ND81" s="29"/>
      <c r="NE81" s="29"/>
      <c r="NF81" s="29"/>
      <c r="NG81" s="29"/>
      <c r="NH81" s="29"/>
      <c r="NI81" s="29"/>
      <c r="NJ81" s="29"/>
      <c r="NK81" s="29"/>
      <c r="NL81" s="29"/>
      <c r="NM81" s="29"/>
      <c r="NN81" s="29"/>
      <c r="NO81" s="29"/>
      <c r="NP81" s="29"/>
      <c r="NQ81" s="29"/>
      <c r="NR81" s="29"/>
      <c r="NS81" s="29"/>
      <c r="NT81" s="29"/>
      <c r="NU81" s="29"/>
      <c r="NV81" s="29"/>
      <c r="NW81" s="29"/>
      <c r="NX81" s="29"/>
      <c r="NY81" s="29"/>
      <c r="NZ81" s="29"/>
      <c r="OA81" s="29"/>
      <c r="OB81" s="29"/>
      <c r="OC81" s="29"/>
      <c r="OD81" s="29"/>
      <c r="OE81" s="29"/>
      <c r="OF81" s="29"/>
      <c r="OG81" s="29"/>
      <c r="OH81" s="29"/>
      <c r="OI81" s="29"/>
      <c r="OJ81" s="29"/>
      <c r="OK81" s="29"/>
      <c r="OL81" s="29"/>
      <c r="OM81" s="29"/>
      <c r="ON81" s="29"/>
      <c r="OO81" s="29"/>
      <c r="OP81" s="29"/>
      <c r="OQ81" s="29"/>
      <c r="OR81" s="29"/>
      <c r="OS81" s="29"/>
      <c r="OT81" s="29"/>
      <c r="OU81" s="29"/>
      <c r="OV81" s="29"/>
      <c r="OW81" s="29"/>
      <c r="OX81" s="29"/>
      <c r="OY81" s="29"/>
      <c r="OZ81" s="29"/>
      <c r="PA81" s="29"/>
      <c r="PB81" s="29"/>
      <c r="PC81" s="29"/>
      <c r="PD81" s="29"/>
      <c r="PE81" s="29"/>
      <c r="PF81" s="29"/>
      <c r="PG81" s="29"/>
      <c r="PH81" s="29"/>
      <c r="PI81" s="29"/>
      <c r="PJ81" s="29"/>
      <c r="PK81" s="29"/>
      <c r="PL81" s="29"/>
      <c r="PM81" s="29"/>
      <c r="PN81" s="29"/>
      <c r="PO81" s="29"/>
      <c r="PP81" s="29"/>
      <c r="PQ81" s="29"/>
      <c r="PR81" s="29"/>
      <c r="PS81" s="29"/>
      <c r="PT81" s="29"/>
      <c r="PU81" s="29"/>
      <c r="PV81" s="29"/>
      <c r="PW81" s="29"/>
      <c r="PX81" s="29"/>
      <c r="PY81" s="29"/>
      <c r="PZ81" s="29"/>
      <c r="QA81" s="29"/>
      <c r="QB81" s="29"/>
      <c r="QC81" s="29"/>
      <c r="QD81" s="29"/>
      <c r="QE81" s="29"/>
      <c r="QF81" s="29"/>
      <c r="QG81" s="29"/>
      <c r="QH81" s="29"/>
      <c r="QI81" s="29"/>
      <c r="QJ81" s="29"/>
      <c r="QK81" s="29"/>
      <c r="QL81" s="29"/>
      <c r="QM81" s="29"/>
      <c r="QN81" s="29"/>
      <c r="QO81" s="29"/>
      <c r="QP81" s="29"/>
      <c r="QQ81" s="29"/>
      <c r="QR81" s="29"/>
      <c r="QS81" s="29"/>
      <c r="QT81" s="29"/>
      <c r="QU81" s="29"/>
      <c r="QV81" s="29"/>
      <c r="QW81" s="29"/>
      <c r="QX81" s="29"/>
      <c r="QY81" s="29"/>
      <c r="QZ81" s="29"/>
      <c r="RA81" s="29"/>
      <c r="RB81" s="29"/>
      <c r="RC81" s="29"/>
      <c r="RD81" s="29"/>
      <c r="RE81" s="29"/>
      <c r="RF81" s="29"/>
      <c r="RG81" s="29"/>
      <c r="RH81" s="29"/>
      <c r="RI81" s="29"/>
      <c r="RJ81" s="29"/>
      <c r="RK81" s="29"/>
      <c r="RL81" s="29"/>
      <c r="RM81" s="29"/>
      <c r="RN81" s="29"/>
      <c r="RO81" s="29"/>
      <c r="RP81" s="29"/>
      <c r="RQ81" s="29"/>
      <c r="RR81" s="29"/>
      <c r="RS81" s="29"/>
      <c r="RT81" s="29"/>
      <c r="RU81" s="29"/>
      <c r="RV81" s="29"/>
      <c r="RW81" s="29"/>
      <c r="RX81" s="29"/>
      <c r="RY81" s="29"/>
      <c r="RZ81" s="29"/>
      <c r="SA81" s="29"/>
      <c r="SB81" s="29"/>
      <c r="SC81" s="29"/>
      <c r="SD81" s="29"/>
      <c r="SE81" s="29"/>
      <c r="SF81" s="29"/>
      <c r="SG81" s="29"/>
      <c r="SH81" s="29"/>
      <c r="SI81" s="29"/>
      <c r="SJ81" s="29"/>
      <c r="SK81" s="29"/>
      <c r="SL81" s="29"/>
      <c r="SM81" s="29"/>
      <c r="SN81" s="29"/>
      <c r="SO81" s="29"/>
      <c r="SP81" s="29"/>
      <c r="SQ81" s="29"/>
      <c r="SR81" s="29"/>
      <c r="SS81" s="29"/>
      <c r="ST81" s="29"/>
      <c r="SU81" s="29"/>
      <c r="SV81" s="29"/>
      <c r="SW81" s="29"/>
      <c r="SX81" s="29"/>
      <c r="SY81" s="29"/>
      <c r="SZ81" s="29"/>
      <c r="TA81" s="29"/>
      <c r="TB81" s="29"/>
      <c r="TC81" s="29"/>
      <c r="TD81" s="29"/>
      <c r="TE81" s="29"/>
      <c r="TF81" s="29"/>
      <c r="TG81" s="29"/>
      <c r="TH81" s="29"/>
      <c r="TI81" s="29"/>
      <c r="TJ81" s="29"/>
      <c r="TK81" s="29"/>
      <c r="TL81" s="29"/>
      <c r="TM81" s="29"/>
      <c r="TN81" s="29"/>
      <c r="TO81" s="29"/>
      <c r="TP81" s="29"/>
      <c r="TQ81" s="29"/>
      <c r="TR81" s="29"/>
      <c r="TS81" s="29"/>
      <c r="TT81" s="29"/>
      <c r="TU81" s="29"/>
      <c r="TV81" s="29"/>
      <c r="TW81" s="29"/>
      <c r="TX81" s="29"/>
      <c r="TY81" s="29"/>
      <c r="TZ81" s="29"/>
      <c r="UA81" s="29"/>
      <c r="UB81" s="29"/>
      <c r="UC81" s="29"/>
      <c r="UD81" s="29"/>
      <c r="UE81" s="29"/>
      <c r="UF81" s="29"/>
      <c r="UG81" s="29"/>
      <c r="UH81" s="29"/>
      <c r="UI81" s="29"/>
      <c r="UJ81" s="29"/>
      <c r="UK81" s="29"/>
      <c r="UL81" s="29"/>
      <c r="UM81" s="29"/>
      <c r="UN81" s="29"/>
      <c r="UO81" s="29"/>
      <c r="UP81" s="29"/>
      <c r="UQ81" s="29"/>
      <c r="UR81" s="29"/>
      <c r="US81" s="29"/>
      <c r="UT81" s="29"/>
      <c r="UU81" s="29"/>
      <c r="UV81" s="29"/>
      <c r="UW81" s="29"/>
      <c r="UX81" s="29"/>
      <c r="UY81" s="29"/>
      <c r="UZ81" s="29"/>
      <c r="VA81" s="29"/>
      <c r="VB81" s="29"/>
      <c r="VC81" s="29"/>
      <c r="VD81" s="29"/>
      <c r="VE81" s="29"/>
      <c r="VF81" s="29"/>
      <c r="VG81" s="29"/>
      <c r="VH81" s="29"/>
      <c r="VI81" s="29"/>
      <c r="VJ81" s="29"/>
      <c r="VK81" s="29"/>
      <c r="VL81" s="29"/>
      <c r="VM81" s="29"/>
      <c r="VN81" s="29"/>
      <c r="VO81" s="29"/>
      <c r="VP81" s="29"/>
      <c r="VQ81" s="29"/>
      <c r="VR81" s="29"/>
      <c r="VS81" s="29"/>
      <c r="VT81" s="29"/>
      <c r="VU81" s="29"/>
      <c r="VV81" s="29"/>
      <c r="VW81" s="29"/>
      <c r="VX81" s="29"/>
      <c r="VY81" s="29"/>
      <c r="VZ81" s="29"/>
      <c r="WA81" s="29"/>
      <c r="WB81" s="29"/>
      <c r="WC81" s="29"/>
      <c r="WD81" s="29"/>
      <c r="WE81" s="29"/>
      <c r="WF81" s="29"/>
      <c r="WG81" s="29"/>
      <c r="WH81" s="29"/>
      <c r="WI81" s="29"/>
      <c r="WJ81" s="29"/>
      <c r="WK81" s="29"/>
      <c r="WL81" s="29"/>
      <c r="WM81" s="29"/>
      <c r="WN81" s="29"/>
      <c r="WO81" s="29"/>
      <c r="WP81" s="29"/>
      <c r="WQ81" s="29"/>
      <c r="WR81" s="29"/>
      <c r="WS81" s="29"/>
    </row>
    <row r="82" spans="1:617" s="3" customFormat="1" ht="15" outlineLevel="1" thickBot="1">
      <c r="A82" s="33"/>
      <c r="B82" s="47" t="s">
        <v>233</v>
      </c>
      <c r="C82" s="42" t="s">
        <v>125</v>
      </c>
      <c r="D82" s="116">
        <v>45719</v>
      </c>
      <c r="E82" s="116">
        <f>D82+G82-1</f>
        <v>45732</v>
      </c>
      <c r="F82" s="14"/>
      <c r="G82" s="14">
        <v>14</v>
      </c>
      <c r="H82" s="29"/>
      <c r="I82" s="29"/>
      <c r="J82" s="29"/>
      <c r="K82" s="29"/>
      <c r="L82" s="29"/>
      <c r="M82" s="29"/>
      <c r="N82" s="29"/>
      <c r="O82" s="29"/>
      <c r="P82" s="29"/>
      <c r="Q82" s="29"/>
      <c r="R82" s="29"/>
      <c r="S82" s="29"/>
      <c r="T82" s="29"/>
      <c r="U82" s="29"/>
      <c r="V82" s="29"/>
      <c r="W82" s="29"/>
      <c r="X82" s="29"/>
      <c r="Y82" s="30"/>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c r="MM82" s="29"/>
      <c r="MN82" s="29"/>
      <c r="MO82" s="29"/>
      <c r="MP82" s="29"/>
      <c r="MQ82" s="29"/>
      <c r="MR82" s="29"/>
      <c r="MS82" s="29"/>
      <c r="MT82" s="29"/>
      <c r="MU82" s="29"/>
      <c r="MV82" s="29"/>
      <c r="MW82" s="29"/>
      <c r="MX82" s="29"/>
      <c r="MY82" s="29"/>
      <c r="MZ82" s="29"/>
      <c r="NA82" s="29"/>
      <c r="NB82" s="29"/>
      <c r="NC82" s="29"/>
      <c r="ND82" s="29"/>
      <c r="NE82" s="29"/>
      <c r="NF82" s="29"/>
      <c r="NG82" s="29"/>
      <c r="NH82" s="29"/>
      <c r="NI82" s="29"/>
      <c r="NJ82" s="29"/>
      <c r="NK82" s="29"/>
      <c r="NL82" s="29"/>
      <c r="NM82" s="29"/>
      <c r="NN82" s="29"/>
      <c r="NO82" s="29"/>
      <c r="NP82" s="29"/>
      <c r="NQ82" s="29"/>
      <c r="NR82" s="29"/>
      <c r="NS82" s="29"/>
      <c r="NT82" s="29"/>
      <c r="NU82" s="29"/>
      <c r="NV82" s="29"/>
      <c r="NW82" s="29"/>
      <c r="NX82" s="29"/>
      <c r="NY82" s="29"/>
      <c r="NZ82" s="29"/>
      <c r="OA82" s="29"/>
      <c r="OB82" s="29"/>
      <c r="OC82" s="29"/>
      <c r="OD82" s="29"/>
      <c r="OE82" s="29"/>
      <c r="OF82" s="29"/>
      <c r="OG82" s="29"/>
      <c r="OH82" s="29"/>
      <c r="OI82" s="29"/>
      <c r="OJ82" s="29"/>
      <c r="OK82" s="29"/>
      <c r="OL82" s="29"/>
      <c r="OM82" s="29"/>
      <c r="ON82" s="29"/>
      <c r="OO82" s="29"/>
      <c r="OP82" s="29"/>
      <c r="OQ82" s="29"/>
      <c r="OR82" s="29"/>
      <c r="OS82" s="29"/>
      <c r="OT82" s="29"/>
      <c r="OU82" s="29"/>
      <c r="OV82" s="29"/>
      <c r="OW82" s="29"/>
      <c r="OX82" s="29"/>
      <c r="OY82" s="29"/>
      <c r="OZ82" s="29"/>
      <c r="PA82" s="29"/>
      <c r="PB82" s="29"/>
      <c r="PC82" s="29"/>
      <c r="PD82" s="29"/>
      <c r="PE82" s="29"/>
      <c r="PF82" s="29"/>
      <c r="PG82" s="29"/>
      <c r="PH82" s="29"/>
      <c r="PI82" s="29"/>
      <c r="PJ82" s="29"/>
      <c r="PK82" s="29"/>
      <c r="PL82" s="29"/>
      <c r="PM82" s="29"/>
      <c r="PN82" s="29"/>
      <c r="PO82" s="29"/>
      <c r="PP82" s="29"/>
      <c r="PQ82" s="29"/>
      <c r="PR82" s="29"/>
      <c r="PS82" s="29"/>
      <c r="PT82" s="29"/>
      <c r="PU82" s="29"/>
      <c r="PV82" s="29"/>
      <c r="PW82" s="29"/>
      <c r="PX82" s="29"/>
      <c r="PY82" s="29"/>
      <c r="PZ82" s="29"/>
      <c r="QA82" s="29"/>
      <c r="QB82" s="29"/>
      <c r="QC82" s="29"/>
      <c r="QD82" s="29"/>
      <c r="QE82" s="29"/>
      <c r="QF82" s="29"/>
      <c r="QG82" s="29"/>
      <c r="QH82" s="29"/>
      <c r="QI82" s="29"/>
      <c r="QJ82" s="29"/>
      <c r="QK82" s="29"/>
      <c r="QL82" s="29"/>
      <c r="QM82" s="29"/>
      <c r="QN82" s="29"/>
      <c r="QO82" s="29"/>
      <c r="QP82" s="29"/>
      <c r="QQ82" s="29"/>
      <c r="QR82" s="29"/>
      <c r="QS82" s="29"/>
      <c r="QT82" s="29"/>
      <c r="QU82" s="29"/>
      <c r="QV82" s="29"/>
      <c r="QW82" s="29"/>
      <c r="QX82" s="29"/>
      <c r="QY82" s="29"/>
      <c r="QZ82" s="29"/>
      <c r="RA82" s="29"/>
      <c r="RB82" s="29"/>
      <c r="RC82" s="29"/>
      <c r="RD82" s="29"/>
      <c r="RE82" s="29"/>
      <c r="RF82" s="29"/>
      <c r="RG82" s="29"/>
      <c r="RH82" s="29"/>
      <c r="RI82" s="29"/>
      <c r="RJ82" s="29"/>
      <c r="RK82" s="29"/>
      <c r="RL82" s="29"/>
      <c r="RM82" s="29"/>
      <c r="RN82" s="29"/>
      <c r="RO82" s="29"/>
      <c r="RP82" s="29"/>
      <c r="RQ82" s="29"/>
      <c r="RR82" s="29"/>
      <c r="RS82" s="29"/>
      <c r="RT82" s="29"/>
      <c r="RU82" s="29"/>
      <c r="RV82" s="29"/>
      <c r="RW82" s="29"/>
      <c r="RX82" s="29"/>
      <c r="RY82" s="29"/>
      <c r="RZ82" s="29"/>
      <c r="SA82" s="29"/>
      <c r="SB82" s="29"/>
      <c r="SC82" s="29"/>
      <c r="SD82" s="29"/>
      <c r="SE82" s="29"/>
      <c r="SF82" s="29"/>
      <c r="SG82" s="29"/>
      <c r="SH82" s="29"/>
      <c r="SI82" s="29"/>
      <c r="SJ82" s="29"/>
      <c r="SK82" s="29"/>
      <c r="SL82" s="29"/>
      <c r="SM82" s="29"/>
      <c r="SN82" s="29"/>
      <c r="SO82" s="29"/>
      <c r="SP82" s="29"/>
      <c r="SQ82" s="29"/>
      <c r="SR82" s="29"/>
      <c r="SS82" s="29"/>
      <c r="ST82" s="29"/>
      <c r="SU82" s="29"/>
      <c r="SV82" s="29"/>
      <c r="SW82" s="29"/>
      <c r="SX82" s="29"/>
      <c r="SY82" s="29"/>
      <c r="SZ82" s="29"/>
      <c r="TA82" s="29"/>
      <c r="TB82" s="29"/>
      <c r="TC82" s="29"/>
      <c r="TD82" s="29"/>
      <c r="TE82" s="29"/>
      <c r="TF82" s="29"/>
      <c r="TG82" s="29"/>
      <c r="TH82" s="29"/>
      <c r="TI82" s="29"/>
      <c r="TJ82" s="29"/>
      <c r="TK82" s="29"/>
      <c r="TL82" s="29"/>
      <c r="TM82" s="29"/>
      <c r="TN82" s="29"/>
      <c r="TO82" s="29"/>
      <c r="TP82" s="29"/>
      <c r="TQ82" s="29"/>
      <c r="TR82" s="29"/>
      <c r="TS82" s="29"/>
      <c r="TT82" s="29"/>
      <c r="TU82" s="29"/>
      <c r="TV82" s="29"/>
      <c r="TW82" s="29"/>
      <c r="TX82" s="29"/>
      <c r="TY82" s="29"/>
      <c r="TZ82" s="29"/>
      <c r="UA82" s="29"/>
      <c r="UB82" s="29"/>
      <c r="UC82" s="29"/>
      <c r="UD82" s="29"/>
      <c r="UE82" s="29"/>
      <c r="UF82" s="29"/>
      <c r="UG82" s="29"/>
      <c r="UH82" s="29"/>
      <c r="UI82" s="29"/>
      <c r="UJ82" s="29"/>
      <c r="UK82" s="29"/>
      <c r="UL82" s="29"/>
      <c r="UM82" s="29"/>
      <c r="UN82" s="29"/>
      <c r="UO82" s="29"/>
      <c r="UP82" s="29"/>
      <c r="UQ82" s="29"/>
      <c r="UR82" s="29"/>
      <c r="US82" s="29"/>
      <c r="UT82" s="29"/>
      <c r="UU82" s="29"/>
      <c r="UV82" s="29"/>
      <c r="UW82" s="29"/>
      <c r="UX82" s="29"/>
      <c r="UY82" s="29"/>
      <c r="UZ82" s="29"/>
      <c r="VA82" s="29"/>
      <c r="VB82" s="29"/>
      <c r="VC82" s="29"/>
      <c r="VD82" s="29"/>
      <c r="VE82" s="29"/>
      <c r="VF82" s="29"/>
      <c r="VG82" s="29"/>
      <c r="VH82" s="29"/>
      <c r="VI82" s="29"/>
      <c r="VJ82" s="29"/>
      <c r="VK82" s="29"/>
      <c r="VL82" s="29"/>
      <c r="VM82" s="29"/>
      <c r="VN82" s="29"/>
      <c r="VO82" s="29"/>
      <c r="VP82" s="29"/>
      <c r="VQ82" s="29"/>
      <c r="VR82" s="29"/>
      <c r="VS82" s="29"/>
      <c r="VT82" s="29"/>
      <c r="VU82" s="29"/>
      <c r="VV82" s="29"/>
      <c r="VW82" s="29"/>
      <c r="VX82" s="29"/>
      <c r="VY82" s="29"/>
      <c r="VZ82" s="29"/>
      <c r="WA82" s="29"/>
      <c r="WB82" s="29"/>
      <c r="WC82" s="29"/>
      <c r="WD82" s="29"/>
      <c r="WE82" s="29"/>
      <c r="WF82" s="29"/>
      <c r="WG82" s="29"/>
      <c r="WH82" s="29"/>
      <c r="WI82" s="29"/>
      <c r="WJ82" s="29"/>
      <c r="WK82" s="29"/>
      <c r="WL82" s="29"/>
      <c r="WM82" s="29"/>
      <c r="WN82" s="29"/>
      <c r="WO82" s="29"/>
      <c r="WP82" s="29"/>
      <c r="WQ82" s="29"/>
      <c r="WR82" s="29"/>
      <c r="WS82" s="29"/>
    </row>
    <row r="83" spans="1:617" s="3" customFormat="1" ht="15" outlineLevel="1" thickBot="1">
      <c r="A83" s="33"/>
      <c r="B83" s="47" t="s">
        <v>234</v>
      </c>
      <c r="C83" s="42" t="s">
        <v>125</v>
      </c>
      <c r="D83" s="116">
        <v>45987</v>
      </c>
      <c r="E83" s="116">
        <f t="shared" ref="E83:E85" si="595">D83+G83</f>
        <v>46045</v>
      </c>
      <c r="F83" s="14"/>
      <c r="G83" s="14">
        <v>58</v>
      </c>
      <c r="H83" s="29"/>
      <c r="I83" s="29"/>
      <c r="J83" s="29"/>
      <c r="K83" s="29"/>
      <c r="L83" s="29"/>
      <c r="M83" s="29"/>
      <c r="N83" s="29"/>
      <c r="O83" s="29"/>
      <c r="P83" s="29"/>
      <c r="Q83" s="29"/>
      <c r="R83" s="29"/>
      <c r="S83" s="29"/>
      <c r="T83" s="29"/>
      <c r="U83" s="29"/>
      <c r="V83" s="29"/>
      <c r="W83" s="29"/>
      <c r="X83" s="29"/>
      <c r="Y83" s="30"/>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c r="MM83" s="29"/>
      <c r="MN83" s="29"/>
      <c r="MO83" s="29"/>
      <c r="MP83" s="29"/>
      <c r="MQ83" s="29"/>
      <c r="MR83" s="29"/>
      <c r="MS83" s="29"/>
      <c r="MT83" s="29"/>
      <c r="MU83" s="29"/>
      <c r="MV83" s="29"/>
      <c r="MW83" s="29"/>
      <c r="MX83" s="29"/>
      <c r="MY83" s="29"/>
      <c r="MZ83" s="29"/>
      <c r="NA83" s="29"/>
      <c r="NB83" s="29"/>
      <c r="NC83" s="29"/>
      <c r="ND83" s="29"/>
      <c r="NE83" s="29"/>
      <c r="NF83" s="29"/>
      <c r="NG83" s="29"/>
      <c r="NH83" s="29"/>
      <c r="NI83" s="29"/>
      <c r="NJ83" s="29"/>
      <c r="NK83" s="29"/>
      <c r="NL83" s="29"/>
      <c r="NM83" s="29"/>
      <c r="NN83" s="29"/>
      <c r="NO83" s="29"/>
      <c r="NP83" s="29"/>
      <c r="NQ83" s="29"/>
      <c r="NR83" s="29"/>
      <c r="NS83" s="29"/>
      <c r="NT83" s="29"/>
      <c r="NU83" s="29"/>
      <c r="NV83" s="29"/>
      <c r="NW83" s="29"/>
      <c r="NX83" s="29"/>
      <c r="NY83" s="29"/>
      <c r="NZ83" s="29"/>
      <c r="OA83" s="29"/>
      <c r="OB83" s="29"/>
      <c r="OC83" s="29"/>
      <c r="OD83" s="29"/>
      <c r="OE83" s="29"/>
      <c r="OF83" s="29"/>
      <c r="OG83" s="29"/>
      <c r="OH83" s="29"/>
      <c r="OI83" s="29"/>
      <c r="OJ83" s="29"/>
      <c r="OK83" s="29"/>
      <c r="OL83" s="29"/>
      <c r="OM83" s="29"/>
      <c r="ON83" s="29"/>
      <c r="OO83" s="29"/>
      <c r="OP83" s="29"/>
      <c r="OQ83" s="29"/>
      <c r="OR83" s="29"/>
      <c r="OS83" s="29"/>
      <c r="OT83" s="29"/>
      <c r="OU83" s="29"/>
      <c r="OV83" s="29"/>
      <c r="OW83" s="29"/>
      <c r="OX83" s="29"/>
      <c r="OY83" s="29"/>
      <c r="OZ83" s="29"/>
      <c r="PA83" s="29"/>
      <c r="PB83" s="29"/>
      <c r="PC83" s="29"/>
      <c r="PD83" s="29"/>
      <c r="PE83" s="29"/>
      <c r="PF83" s="29"/>
      <c r="PG83" s="29"/>
      <c r="PH83" s="29"/>
      <c r="PI83" s="29"/>
      <c r="PJ83" s="29"/>
      <c r="PK83" s="29"/>
      <c r="PL83" s="29"/>
      <c r="PM83" s="29"/>
      <c r="PN83" s="29"/>
      <c r="PO83" s="29"/>
      <c r="PP83" s="29"/>
      <c r="PQ83" s="29"/>
      <c r="PR83" s="29"/>
      <c r="PS83" s="29"/>
      <c r="PT83" s="29"/>
      <c r="PU83" s="29"/>
      <c r="PV83" s="29"/>
      <c r="PW83" s="29"/>
      <c r="PX83" s="29"/>
      <c r="PY83" s="29"/>
      <c r="PZ83" s="29"/>
      <c r="QA83" s="29"/>
      <c r="QB83" s="29"/>
      <c r="QC83" s="29"/>
      <c r="QD83" s="29"/>
      <c r="QE83" s="29"/>
      <c r="QF83" s="29"/>
      <c r="QG83" s="29"/>
      <c r="QH83" s="29"/>
      <c r="QI83" s="29"/>
      <c r="QJ83" s="29"/>
      <c r="QK83" s="29"/>
      <c r="QL83" s="29"/>
      <c r="QM83" s="29"/>
      <c r="QN83" s="29"/>
      <c r="QO83" s="29"/>
      <c r="QP83" s="29"/>
      <c r="QQ83" s="29"/>
      <c r="QR83" s="29"/>
      <c r="QS83" s="29"/>
      <c r="QT83" s="29"/>
      <c r="QU83" s="29"/>
      <c r="QV83" s="29"/>
      <c r="QW83" s="29"/>
      <c r="QX83" s="29"/>
      <c r="QY83" s="29"/>
      <c r="QZ83" s="29"/>
      <c r="RA83" s="29"/>
      <c r="RB83" s="29"/>
      <c r="RC83" s="29"/>
      <c r="RD83" s="29"/>
      <c r="RE83" s="29"/>
      <c r="RF83" s="29"/>
      <c r="RG83" s="29"/>
      <c r="RH83" s="29"/>
      <c r="RI83" s="29"/>
      <c r="RJ83" s="29"/>
      <c r="RK83" s="29"/>
      <c r="RL83" s="29"/>
      <c r="RM83" s="29"/>
      <c r="RN83" s="29"/>
      <c r="RO83" s="29"/>
      <c r="RP83" s="29"/>
      <c r="RQ83" s="29"/>
      <c r="RR83" s="29"/>
      <c r="RS83" s="29"/>
      <c r="RT83" s="29"/>
      <c r="RU83" s="29"/>
      <c r="RV83" s="29"/>
      <c r="RW83" s="29"/>
      <c r="RX83" s="29"/>
      <c r="RY83" s="29"/>
      <c r="RZ83" s="29"/>
      <c r="SA83" s="29"/>
      <c r="SB83" s="29"/>
      <c r="SC83" s="29"/>
      <c r="SD83" s="29"/>
      <c r="SE83" s="29"/>
      <c r="SF83" s="29"/>
      <c r="SG83" s="29"/>
      <c r="SH83" s="29"/>
      <c r="SI83" s="29"/>
      <c r="SJ83" s="29"/>
      <c r="SK83" s="29"/>
      <c r="SL83" s="29"/>
      <c r="SM83" s="29"/>
      <c r="SN83" s="29"/>
      <c r="SO83" s="29"/>
      <c r="SP83" s="29"/>
      <c r="SQ83" s="29"/>
      <c r="SR83" s="29"/>
      <c r="SS83" s="29"/>
      <c r="ST83" s="29"/>
      <c r="SU83" s="29"/>
      <c r="SV83" s="29"/>
      <c r="SW83" s="29"/>
      <c r="SX83" s="29"/>
      <c r="SY83" s="29"/>
      <c r="SZ83" s="29"/>
      <c r="TA83" s="29"/>
      <c r="TB83" s="29"/>
      <c r="TC83" s="29"/>
      <c r="TD83" s="29"/>
      <c r="TE83" s="29"/>
      <c r="TF83" s="29"/>
      <c r="TG83" s="29"/>
      <c r="TH83" s="29"/>
      <c r="TI83" s="29"/>
      <c r="TJ83" s="29"/>
      <c r="TK83" s="29"/>
      <c r="TL83" s="29"/>
      <c r="TM83" s="29"/>
      <c r="TN83" s="29"/>
      <c r="TO83" s="29"/>
      <c r="TP83" s="29"/>
      <c r="TQ83" s="29"/>
      <c r="TR83" s="29"/>
      <c r="TS83" s="29"/>
      <c r="TT83" s="29"/>
      <c r="TU83" s="29"/>
      <c r="TV83" s="29"/>
      <c r="TW83" s="29"/>
      <c r="TX83" s="29"/>
      <c r="TY83" s="29"/>
      <c r="TZ83" s="29"/>
      <c r="UA83" s="29"/>
      <c r="UB83" s="29"/>
      <c r="UC83" s="29"/>
      <c r="UD83" s="29"/>
      <c r="UE83" s="29"/>
      <c r="UF83" s="29"/>
      <c r="UG83" s="29"/>
      <c r="UH83" s="29"/>
      <c r="UI83" s="29"/>
      <c r="UJ83" s="29"/>
      <c r="UK83" s="29"/>
      <c r="UL83" s="29"/>
      <c r="UM83" s="29"/>
      <c r="UN83" s="29"/>
      <c r="UO83" s="29"/>
      <c r="UP83" s="29"/>
      <c r="UQ83" s="29"/>
      <c r="UR83" s="29"/>
      <c r="US83" s="29"/>
      <c r="UT83" s="29"/>
      <c r="UU83" s="29"/>
      <c r="UV83" s="29"/>
      <c r="UW83" s="29"/>
      <c r="UX83" s="29"/>
      <c r="UY83" s="29"/>
      <c r="UZ83" s="29"/>
      <c r="VA83" s="29"/>
      <c r="VB83" s="29"/>
      <c r="VC83" s="29"/>
      <c r="VD83" s="29"/>
      <c r="VE83" s="29"/>
      <c r="VF83" s="29"/>
      <c r="VG83" s="29"/>
      <c r="VH83" s="29"/>
      <c r="VI83" s="29"/>
      <c r="VJ83" s="29"/>
      <c r="VK83" s="29"/>
      <c r="VL83" s="29"/>
      <c r="VM83" s="29"/>
      <c r="VN83" s="29"/>
      <c r="VO83" s="29"/>
      <c r="VP83" s="29"/>
      <c r="VQ83" s="29"/>
      <c r="VR83" s="29"/>
      <c r="VS83" s="29"/>
      <c r="VT83" s="29"/>
      <c r="VU83" s="29"/>
      <c r="VV83" s="29"/>
      <c r="VW83" s="29"/>
      <c r="VX83" s="29"/>
      <c r="VY83" s="29"/>
      <c r="VZ83" s="29"/>
      <c r="WA83" s="29"/>
      <c r="WB83" s="29"/>
      <c r="WC83" s="29"/>
      <c r="WD83" s="29"/>
      <c r="WE83" s="29"/>
      <c r="WF83" s="29"/>
      <c r="WG83" s="29"/>
      <c r="WH83" s="29"/>
      <c r="WI83" s="29"/>
      <c r="WJ83" s="29"/>
      <c r="WK83" s="29"/>
      <c r="WL83" s="29"/>
      <c r="WM83" s="29"/>
      <c r="WN83" s="29"/>
      <c r="WO83" s="29"/>
      <c r="WP83" s="29"/>
      <c r="WQ83" s="29"/>
      <c r="WR83" s="29"/>
      <c r="WS83" s="29"/>
    </row>
    <row r="84" spans="1:617" s="3" customFormat="1" ht="15" outlineLevel="1" thickBot="1">
      <c r="A84" s="33"/>
      <c r="B84" s="47" t="s">
        <v>234</v>
      </c>
      <c r="C84" s="42" t="s">
        <v>128</v>
      </c>
      <c r="D84" s="116">
        <v>46044</v>
      </c>
      <c r="E84" s="116">
        <f t="shared" si="595"/>
        <v>46100</v>
      </c>
      <c r="F84" s="14"/>
      <c r="G84" s="14">
        <v>56</v>
      </c>
      <c r="H84" s="29"/>
      <c r="I84" s="29"/>
      <c r="J84" s="29"/>
      <c r="K84" s="29"/>
      <c r="L84" s="29"/>
      <c r="M84" s="29"/>
      <c r="N84" s="29"/>
      <c r="O84" s="29"/>
      <c r="P84" s="29"/>
      <c r="Q84" s="29"/>
      <c r="R84" s="29"/>
      <c r="S84" s="29"/>
      <c r="T84" s="29"/>
      <c r="U84" s="29"/>
      <c r="V84" s="29"/>
      <c r="W84" s="29"/>
      <c r="X84" s="29"/>
      <c r="Y84" s="30"/>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c r="MM84" s="29"/>
      <c r="MN84" s="29"/>
      <c r="MO84" s="29"/>
      <c r="MP84" s="29"/>
      <c r="MQ84" s="29"/>
      <c r="MR84" s="29"/>
      <c r="MS84" s="29"/>
      <c r="MT84" s="29"/>
      <c r="MU84" s="29"/>
      <c r="MV84" s="29"/>
      <c r="MW84" s="29"/>
      <c r="MX84" s="29"/>
      <c r="MY84" s="29"/>
      <c r="MZ84" s="29"/>
      <c r="NA84" s="29"/>
      <c r="NB84" s="29"/>
      <c r="NC84" s="29"/>
      <c r="ND84" s="29"/>
      <c r="NE84" s="29"/>
      <c r="NF84" s="29"/>
      <c r="NG84" s="29"/>
      <c r="NH84" s="29"/>
      <c r="NI84" s="29"/>
      <c r="NJ84" s="29"/>
      <c r="NK84" s="29"/>
      <c r="NL84" s="29"/>
      <c r="NM84" s="29"/>
      <c r="NN84" s="29"/>
      <c r="NO84" s="29"/>
      <c r="NP84" s="29"/>
      <c r="NQ84" s="29"/>
      <c r="NR84" s="29"/>
      <c r="NS84" s="29"/>
      <c r="NT84" s="29"/>
      <c r="NU84" s="29"/>
      <c r="NV84" s="29"/>
      <c r="NW84" s="29"/>
      <c r="NX84" s="29"/>
      <c r="NY84" s="29"/>
      <c r="NZ84" s="29"/>
      <c r="OA84" s="29"/>
      <c r="OB84" s="29"/>
      <c r="OC84" s="29"/>
      <c r="OD84" s="29"/>
      <c r="OE84" s="29"/>
      <c r="OF84" s="29"/>
      <c r="OG84" s="29"/>
      <c r="OH84" s="29"/>
      <c r="OI84" s="29"/>
      <c r="OJ84" s="29"/>
      <c r="OK84" s="29"/>
      <c r="OL84" s="29"/>
      <c r="OM84" s="29"/>
      <c r="ON84" s="29"/>
      <c r="OO84" s="29"/>
      <c r="OP84" s="29"/>
      <c r="OQ84" s="29"/>
      <c r="OR84" s="29"/>
      <c r="OS84" s="29"/>
      <c r="OT84" s="29"/>
      <c r="OU84" s="29"/>
      <c r="OV84" s="29"/>
      <c r="OW84" s="29"/>
      <c r="OX84" s="29"/>
      <c r="OY84" s="29"/>
      <c r="OZ84" s="29"/>
      <c r="PA84" s="29"/>
      <c r="PB84" s="29"/>
      <c r="PC84" s="29"/>
      <c r="PD84" s="29"/>
      <c r="PE84" s="29"/>
      <c r="PF84" s="29"/>
      <c r="PG84" s="29"/>
      <c r="PH84" s="29"/>
      <c r="PI84" s="29"/>
      <c r="PJ84" s="29"/>
      <c r="PK84" s="29"/>
      <c r="PL84" s="29"/>
      <c r="PM84" s="29"/>
      <c r="PN84" s="29"/>
      <c r="PO84" s="29"/>
      <c r="PP84" s="29"/>
      <c r="PQ84" s="29"/>
      <c r="PR84" s="29"/>
      <c r="PS84" s="29"/>
      <c r="PT84" s="29"/>
      <c r="PU84" s="29"/>
      <c r="PV84" s="29"/>
      <c r="PW84" s="29"/>
      <c r="PX84" s="29"/>
      <c r="PY84" s="29"/>
      <c r="PZ84" s="29"/>
      <c r="QA84" s="29"/>
      <c r="QB84" s="29"/>
      <c r="QC84" s="29"/>
      <c r="QD84" s="29"/>
      <c r="QE84" s="29"/>
      <c r="QF84" s="29"/>
      <c r="QG84" s="29"/>
      <c r="QH84" s="29"/>
      <c r="QI84" s="29"/>
      <c r="QJ84" s="29"/>
      <c r="QK84" s="29"/>
      <c r="QL84" s="29"/>
      <c r="QM84" s="29"/>
      <c r="QN84" s="29"/>
      <c r="QO84" s="29"/>
      <c r="QP84" s="29"/>
      <c r="QQ84" s="29"/>
      <c r="QR84" s="29"/>
      <c r="QS84" s="29"/>
      <c r="QT84" s="29"/>
      <c r="QU84" s="29"/>
      <c r="QV84" s="29"/>
      <c r="QW84" s="29"/>
      <c r="QX84" s="29"/>
      <c r="QY84" s="29"/>
      <c r="QZ84" s="29"/>
      <c r="RA84" s="29"/>
      <c r="RB84" s="29"/>
      <c r="RC84" s="29"/>
      <c r="RD84" s="29"/>
      <c r="RE84" s="29"/>
      <c r="RF84" s="29"/>
      <c r="RG84" s="29"/>
      <c r="RH84" s="29"/>
      <c r="RI84" s="29"/>
      <c r="RJ84" s="29"/>
      <c r="RK84" s="29"/>
      <c r="RL84" s="29"/>
      <c r="RM84" s="29"/>
      <c r="RN84" s="29"/>
      <c r="RO84" s="29"/>
      <c r="RP84" s="29"/>
      <c r="RQ84" s="29"/>
      <c r="RR84" s="29"/>
      <c r="RS84" s="29"/>
      <c r="RT84" s="29"/>
      <c r="RU84" s="29"/>
      <c r="RV84" s="29"/>
      <c r="RW84" s="29"/>
      <c r="RX84" s="29"/>
      <c r="RY84" s="29"/>
      <c r="RZ84" s="29"/>
      <c r="SA84" s="29"/>
      <c r="SB84" s="29"/>
      <c r="SC84" s="29"/>
      <c r="SD84" s="29"/>
      <c r="SE84" s="29"/>
      <c r="SF84" s="29"/>
      <c r="SG84" s="29"/>
      <c r="SH84" s="29"/>
      <c r="SI84" s="29"/>
      <c r="SJ84" s="29"/>
      <c r="SK84" s="29"/>
      <c r="SL84" s="29"/>
      <c r="SM84" s="29"/>
      <c r="SN84" s="29"/>
      <c r="SO84" s="29"/>
      <c r="SP84" s="29"/>
      <c r="SQ84" s="29"/>
      <c r="SR84" s="29"/>
      <c r="SS84" s="29"/>
      <c r="ST84" s="29"/>
      <c r="SU84" s="29"/>
      <c r="SV84" s="29"/>
      <c r="SW84" s="29"/>
      <c r="SX84" s="29"/>
      <c r="SY84" s="29"/>
      <c r="SZ84" s="29"/>
      <c r="TA84" s="29"/>
      <c r="TB84" s="29"/>
      <c r="TC84" s="29"/>
      <c r="TD84" s="29"/>
      <c r="TE84" s="29"/>
      <c r="TF84" s="29"/>
      <c r="TG84" s="29"/>
      <c r="TH84" s="29"/>
      <c r="TI84" s="29"/>
      <c r="TJ84" s="29"/>
      <c r="TK84" s="29"/>
      <c r="TL84" s="29"/>
      <c r="TM84" s="29"/>
      <c r="TN84" s="29"/>
      <c r="TO84" s="29"/>
      <c r="TP84" s="29"/>
      <c r="TQ84" s="29"/>
      <c r="TR84" s="29"/>
      <c r="TS84" s="29"/>
      <c r="TT84" s="29"/>
      <c r="TU84" s="29"/>
      <c r="TV84" s="29"/>
      <c r="TW84" s="29"/>
      <c r="TX84" s="29"/>
      <c r="TY84" s="29"/>
      <c r="TZ84" s="29"/>
      <c r="UA84" s="29"/>
      <c r="UB84" s="29"/>
      <c r="UC84" s="29"/>
      <c r="UD84" s="29"/>
      <c r="UE84" s="29"/>
      <c r="UF84" s="29"/>
      <c r="UG84" s="29"/>
      <c r="UH84" s="29"/>
      <c r="UI84" s="29"/>
      <c r="UJ84" s="29"/>
      <c r="UK84" s="29"/>
      <c r="UL84" s="29"/>
      <c r="UM84" s="29"/>
      <c r="UN84" s="29"/>
      <c r="UO84" s="29"/>
      <c r="UP84" s="29"/>
      <c r="UQ84" s="29"/>
      <c r="UR84" s="29"/>
      <c r="US84" s="29"/>
      <c r="UT84" s="29"/>
      <c r="UU84" s="29"/>
      <c r="UV84" s="29"/>
      <c r="UW84" s="29"/>
      <c r="UX84" s="29"/>
      <c r="UY84" s="29"/>
      <c r="UZ84" s="29"/>
      <c r="VA84" s="29"/>
      <c r="VB84" s="29"/>
      <c r="VC84" s="29"/>
      <c r="VD84" s="29"/>
      <c r="VE84" s="29"/>
      <c r="VF84" s="29"/>
      <c r="VG84" s="29"/>
      <c r="VH84" s="29"/>
      <c r="VI84" s="29"/>
      <c r="VJ84" s="29"/>
      <c r="VK84" s="29"/>
      <c r="VL84" s="29"/>
      <c r="VM84" s="29"/>
      <c r="VN84" s="29"/>
      <c r="VO84" s="29"/>
      <c r="VP84" s="29"/>
      <c r="VQ84" s="29"/>
      <c r="VR84" s="29"/>
      <c r="VS84" s="29"/>
      <c r="VT84" s="29"/>
      <c r="VU84" s="29"/>
      <c r="VV84" s="29"/>
      <c r="VW84" s="29"/>
      <c r="VX84" s="29"/>
      <c r="VY84" s="29"/>
      <c r="VZ84" s="29"/>
      <c r="WA84" s="29"/>
      <c r="WB84" s="29"/>
      <c r="WC84" s="29"/>
      <c r="WD84" s="29"/>
      <c r="WE84" s="29"/>
      <c r="WF84" s="29"/>
      <c r="WG84" s="29"/>
      <c r="WH84" s="29"/>
      <c r="WI84" s="29"/>
      <c r="WJ84" s="29"/>
      <c r="WK84" s="29"/>
      <c r="WL84" s="29"/>
      <c r="WM84" s="29"/>
      <c r="WN84" s="29"/>
      <c r="WO84" s="29"/>
      <c r="WP84" s="29"/>
      <c r="WQ84" s="29"/>
      <c r="WR84" s="29"/>
      <c r="WS84" s="29"/>
    </row>
    <row r="85" spans="1:617" s="3" customFormat="1" ht="15" outlineLevel="1" thickBot="1">
      <c r="A85" s="33"/>
      <c r="B85" s="47" t="s">
        <v>235</v>
      </c>
      <c r="C85" s="42" t="s">
        <v>134</v>
      </c>
      <c r="D85" s="116">
        <v>46107</v>
      </c>
      <c r="E85" s="204">
        <f t="shared" si="595"/>
        <v>46163</v>
      </c>
      <c r="F85" s="14"/>
      <c r="G85" s="14">
        <v>56</v>
      </c>
      <c r="H85" s="29"/>
      <c r="I85" s="29"/>
      <c r="J85" s="29"/>
      <c r="K85" s="29"/>
      <c r="L85" s="29"/>
      <c r="M85" s="29"/>
      <c r="N85" s="29"/>
      <c r="O85" s="29"/>
      <c r="P85" s="29"/>
      <c r="Q85" s="29"/>
      <c r="R85" s="29"/>
      <c r="S85" s="29"/>
      <c r="T85" s="29"/>
      <c r="U85" s="29"/>
      <c r="V85" s="29"/>
      <c r="W85" s="29"/>
      <c r="X85" s="29"/>
      <c r="Y85" s="30"/>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c r="MM85" s="29"/>
      <c r="MN85" s="29"/>
      <c r="MO85" s="29"/>
      <c r="MP85" s="29"/>
      <c r="MQ85" s="29"/>
      <c r="MR85" s="29"/>
      <c r="MS85" s="29"/>
      <c r="MT85" s="29"/>
      <c r="MU85" s="29"/>
      <c r="MV85" s="29"/>
      <c r="MW85" s="29"/>
      <c r="MX85" s="29"/>
      <c r="MY85" s="29"/>
      <c r="MZ85" s="29"/>
      <c r="NA85" s="29"/>
      <c r="NB85" s="29"/>
      <c r="NC85" s="29"/>
      <c r="ND85" s="29"/>
      <c r="NE85" s="29"/>
      <c r="NF85" s="29"/>
      <c r="NG85" s="29"/>
      <c r="NH85" s="29"/>
      <c r="NI85" s="29"/>
      <c r="NJ85" s="29"/>
      <c r="NK85" s="29"/>
      <c r="NL85" s="29"/>
      <c r="NM85" s="29"/>
      <c r="NN85" s="29"/>
      <c r="NO85" s="29"/>
      <c r="NP85" s="29"/>
      <c r="NQ85" s="29"/>
      <c r="NR85" s="29"/>
      <c r="NS85" s="29"/>
      <c r="NT85" s="29"/>
      <c r="NU85" s="29"/>
      <c r="NV85" s="29"/>
      <c r="NW85" s="29"/>
      <c r="NX85" s="29"/>
      <c r="NY85" s="29"/>
      <c r="NZ85" s="29"/>
      <c r="OA85" s="29"/>
      <c r="OB85" s="29"/>
      <c r="OC85" s="29"/>
      <c r="OD85" s="29"/>
      <c r="OE85" s="29"/>
      <c r="OF85" s="29"/>
      <c r="OG85" s="29"/>
      <c r="OH85" s="29"/>
      <c r="OI85" s="29"/>
      <c r="OJ85" s="29"/>
      <c r="OK85" s="29"/>
      <c r="OL85" s="29"/>
      <c r="OM85" s="29"/>
      <c r="ON85" s="29"/>
      <c r="OO85" s="29"/>
      <c r="OP85" s="29"/>
      <c r="OQ85" s="29"/>
      <c r="OR85" s="29"/>
      <c r="OS85" s="29"/>
      <c r="OT85" s="29"/>
      <c r="OU85" s="29"/>
      <c r="OV85" s="29"/>
      <c r="OW85" s="29"/>
      <c r="OX85" s="29"/>
      <c r="OY85" s="29"/>
      <c r="OZ85" s="29"/>
      <c r="PA85" s="29"/>
      <c r="PB85" s="29"/>
      <c r="PC85" s="29"/>
      <c r="PD85" s="29"/>
      <c r="PE85" s="29"/>
      <c r="PF85" s="29"/>
      <c r="PG85" s="29"/>
      <c r="PH85" s="29"/>
      <c r="PI85" s="29"/>
      <c r="PJ85" s="29"/>
      <c r="PK85" s="29"/>
      <c r="PL85" s="29"/>
      <c r="PM85" s="29"/>
      <c r="PN85" s="29"/>
      <c r="PO85" s="29"/>
      <c r="PP85" s="29"/>
      <c r="PQ85" s="29"/>
      <c r="PR85" s="29"/>
      <c r="PS85" s="29"/>
      <c r="PT85" s="29"/>
      <c r="PU85" s="29"/>
      <c r="PV85" s="29"/>
      <c r="PW85" s="29"/>
      <c r="PX85" s="29"/>
      <c r="PY85" s="29"/>
      <c r="PZ85" s="29"/>
      <c r="QA85" s="29"/>
      <c r="QB85" s="29"/>
      <c r="QC85" s="29"/>
      <c r="QD85" s="29"/>
      <c r="QE85" s="29"/>
      <c r="QF85" s="29"/>
      <c r="QG85" s="29"/>
      <c r="QH85" s="29"/>
      <c r="QI85" s="29"/>
      <c r="QJ85" s="29"/>
      <c r="QK85" s="29"/>
      <c r="QL85" s="29"/>
      <c r="QM85" s="29"/>
      <c r="QN85" s="29"/>
      <c r="QO85" s="29"/>
      <c r="QP85" s="29"/>
      <c r="QQ85" s="29"/>
      <c r="QR85" s="29"/>
      <c r="QS85" s="29"/>
      <c r="QT85" s="29"/>
      <c r="QU85" s="29"/>
      <c r="QV85" s="29"/>
      <c r="QW85" s="29"/>
      <c r="QX85" s="29"/>
      <c r="QY85" s="29"/>
      <c r="QZ85" s="29"/>
      <c r="RA85" s="29"/>
      <c r="RB85" s="29"/>
      <c r="RC85" s="29"/>
      <c r="RD85" s="29"/>
      <c r="RE85" s="29"/>
      <c r="RF85" s="29"/>
      <c r="RG85" s="29"/>
      <c r="RH85" s="29"/>
      <c r="RI85" s="29"/>
      <c r="RJ85" s="29"/>
      <c r="RK85" s="29"/>
      <c r="RL85" s="29"/>
      <c r="RM85" s="29"/>
      <c r="RN85" s="29"/>
      <c r="RO85" s="29"/>
      <c r="RP85" s="29"/>
      <c r="RQ85" s="29"/>
      <c r="RR85" s="29"/>
      <c r="RS85" s="29"/>
      <c r="RT85" s="29"/>
      <c r="RU85" s="29"/>
      <c r="RV85" s="29"/>
      <c r="RW85" s="29"/>
      <c r="RX85" s="29"/>
      <c r="RY85" s="29"/>
      <c r="RZ85" s="29"/>
      <c r="SA85" s="29"/>
      <c r="SB85" s="29"/>
      <c r="SC85" s="29"/>
      <c r="SD85" s="29"/>
      <c r="SE85" s="29"/>
      <c r="SF85" s="29"/>
      <c r="SG85" s="29"/>
      <c r="SH85" s="29"/>
      <c r="SI85" s="29"/>
      <c r="SJ85" s="29"/>
      <c r="SK85" s="29"/>
      <c r="SL85" s="29"/>
      <c r="SM85" s="29"/>
      <c r="SN85" s="29"/>
      <c r="SO85" s="29"/>
      <c r="SP85" s="29"/>
      <c r="SQ85" s="29"/>
      <c r="SR85" s="29"/>
      <c r="SS85" s="29"/>
      <c r="ST85" s="29"/>
      <c r="SU85" s="29"/>
      <c r="SV85" s="29"/>
      <c r="SW85" s="29"/>
      <c r="SX85" s="29"/>
      <c r="SY85" s="29"/>
      <c r="SZ85" s="29"/>
      <c r="TA85" s="29"/>
      <c r="TB85" s="29"/>
      <c r="TC85" s="29"/>
      <c r="TD85" s="29"/>
      <c r="TE85" s="29"/>
      <c r="TF85" s="29"/>
      <c r="TG85" s="29"/>
      <c r="TH85" s="29"/>
      <c r="TI85" s="29"/>
      <c r="TJ85" s="29"/>
      <c r="TK85" s="29"/>
      <c r="TL85" s="29"/>
      <c r="TM85" s="29"/>
      <c r="TN85" s="29"/>
      <c r="TO85" s="29"/>
      <c r="TP85" s="29"/>
      <c r="TQ85" s="29"/>
      <c r="TR85" s="29"/>
      <c r="TS85" s="29"/>
      <c r="TT85" s="29"/>
      <c r="TU85" s="29"/>
      <c r="TV85" s="29"/>
      <c r="TW85" s="29"/>
      <c r="TX85" s="29"/>
      <c r="TY85" s="29"/>
      <c r="TZ85" s="29"/>
      <c r="UA85" s="29"/>
      <c r="UB85" s="29"/>
      <c r="UC85" s="29"/>
      <c r="UD85" s="29"/>
      <c r="UE85" s="29"/>
      <c r="UF85" s="29"/>
      <c r="UG85" s="29"/>
      <c r="UH85" s="29"/>
      <c r="UI85" s="29"/>
      <c r="UJ85" s="29"/>
      <c r="UK85" s="29"/>
      <c r="UL85" s="29"/>
      <c r="UM85" s="29"/>
      <c r="UN85" s="29"/>
      <c r="UO85" s="29"/>
      <c r="UP85" s="29"/>
      <c r="UQ85" s="29"/>
      <c r="UR85" s="29"/>
      <c r="US85" s="29"/>
      <c r="UT85" s="29"/>
      <c r="UU85" s="29"/>
      <c r="UV85" s="29"/>
      <c r="UW85" s="29"/>
      <c r="UX85" s="29"/>
      <c r="UY85" s="29"/>
      <c r="UZ85" s="29"/>
      <c r="VA85" s="29"/>
      <c r="VB85" s="29"/>
      <c r="VC85" s="29"/>
      <c r="VD85" s="29"/>
      <c r="VE85" s="29"/>
      <c r="VF85" s="29"/>
      <c r="VG85" s="29"/>
      <c r="VH85" s="29"/>
      <c r="VI85" s="29"/>
      <c r="VJ85" s="29"/>
      <c r="VK85" s="29"/>
      <c r="VL85" s="29"/>
      <c r="VM85" s="29"/>
      <c r="VN85" s="29"/>
      <c r="VO85" s="29"/>
      <c r="VP85" s="29"/>
      <c r="VQ85" s="29"/>
      <c r="VR85" s="29"/>
      <c r="VS85" s="29"/>
      <c r="VT85" s="29"/>
      <c r="VU85" s="29"/>
      <c r="VV85" s="29"/>
      <c r="VW85" s="29"/>
      <c r="VX85" s="29"/>
      <c r="VY85" s="29"/>
      <c r="VZ85" s="29"/>
      <c r="WA85" s="29"/>
      <c r="WB85" s="29"/>
      <c r="WC85" s="29"/>
      <c r="WD85" s="29"/>
      <c r="WE85" s="29"/>
      <c r="WF85" s="29"/>
      <c r="WG85" s="29"/>
      <c r="WH85" s="29"/>
      <c r="WI85" s="29"/>
      <c r="WJ85" s="29"/>
      <c r="WK85" s="29"/>
      <c r="WL85" s="29"/>
      <c r="WM85" s="29"/>
      <c r="WN85" s="29"/>
      <c r="WO85" s="29"/>
      <c r="WP85" s="29"/>
      <c r="WQ85" s="29"/>
      <c r="WR85" s="29"/>
      <c r="WS85" s="29"/>
    </row>
    <row r="86" spans="1:617" s="3" customFormat="1" ht="15" outlineLevel="1" thickBot="1">
      <c r="A86" s="33"/>
      <c r="B86" s="47" t="s">
        <v>235</v>
      </c>
      <c r="C86" s="42" t="s">
        <v>131</v>
      </c>
      <c r="D86" s="210">
        <v>46161</v>
      </c>
      <c r="E86" s="204">
        <f>D86+G86</f>
        <v>46217</v>
      </c>
      <c r="F86" s="14"/>
      <c r="G86" s="14">
        <v>56</v>
      </c>
      <c r="H86" s="29"/>
      <c r="I86" s="29"/>
      <c r="J86" s="29"/>
      <c r="K86" s="29"/>
      <c r="L86" s="29"/>
      <c r="M86" s="29"/>
      <c r="N86" s="29"/>
      <c r="O86" s="29"/>
      <c r="P86" s="29"/>
      <c r="Q86" s="29"/>
      <c r="R86" s="29"/>
      <c r="S86" s="29"/>
      <c r="T86" s="29"/>
      <c r="U86" s="29"/>
      <c r="V86" s="29"/>
      <c r="W86" s="29"/>
      <c r="X86" s="29"/>
      <c r="Y86" s="30"/>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c r="MM86" s="29"/>
      <c r="MN86" s="29"/>
      <c r="MO86" s="29"/>
      <c r="MP86" s="29"/>
      <c r="MQ86" s="29"/>
      <c r="MR86" s="29"/>
      <c r="MS86" s="29"/>
      <c r="MT86" s="29"/>
      <c r="MU86" s="29"/>
      <c r="MV86" s="29"/>
      <c r="MW86" s="29"/>
      <c r="MX86" s="29"/>
      <c r="MY86" s="29"/>
      <c r="MZ86" s="29"/>
      <c r="NA86" s="29"/>
      <c r="NB86" s="29"/>
      <c r="NC86" s="29"/>
      <c r="ND86" s="29"/>
      <c r="NE86" s="29"/>
      <c r="NF86" s="29"/>
      <c r="NG86" s="29"/>
      <c r="NH86" s="29"/>
      <c r="NI86" s="29"/>
      <c r="NJ86" s="29"/>
      <c r="NK86" s="29"/>
      <c r="NL86" s="29"/>
      <c r="NM86" s="29"/>
      <c r="NN86" s="29"/>
      <c r="NO86" s="29"/>
      <c r="NP86" s="29"/>
      <c r="NQ86" s="29"/>
      <c r="NR86" s="29"/>
      <c r="NS86" s="29"/>
      <c r="NT86" s="29"/>
      <c r="NU86" s="29"/>
      <c r="NV86" s="29"/>
      <c r="NW86" s="29"/>
      <c r="NX86" s="29"/>
      <c r="NY86" s="29"/>
      <c r="NZ86" s="29"/>
      <c r="OA86" s="29"/>
      <c r="OB86" s="29"/>
      <c r="OC86" s="29"/>
      <c r="OD86" s="29"/>
      <c r="OE86" s="29"/>
      <c r="OF86" s="29"/>
      <c r="OG86" s="29"/>
      <c r="OH86" s="29"/>
      <c r="OI86" s="29"/>
      <c r="OJ86" s="29"/>
      <c r="OK86" s="29"/>
      <c r="OL86" s="29"/>
      <c r="OM86" s="29"/>
      <c r="ON86" s="29"/>
      <c r="OO86" s="29"/>
      <c r="OP86" s="29"/>
      <c r="OQ86" s="29"/>
      <c r="OR86" s="29"/>
      <c r="OS86" s="29"/>
      <c r="OT86" s="29"/>
      <c r="OU86" s="29"/>
      <c r="OV86" s="29"/>
      <c r="OW86" s="29"/>
      <c r="OX86" s="29"/>
      <c r="OY86" s="29"/>
      <c r="OZ86" s="29"/>
      <c r="PA86" s="29"/>
      <c r="PB86" s="29"/>
      <c r="PC86" s="29"/>
      <c r="PD86" s="29"/>
      <c r="PE86" s="29"/>
      <c r="PF86" s="29"/>
      <c r="PG86" s="29"/>
      <c r="PH86" s="29"/>
      <c r="PI86" s="29"/>
      <c r="PJ86" s="29"/>
      <c r="PK86" s="29"/>
      <c r="PL86" s="29"/>
      <c r="PM86" s="29"/>
      <c r="PN86" s="29"/>
      <c r="PO86" s="29"/>
      <c r="PP86" s="29"/>
      <c r="PQ86" s="29"/>
      <c r="PR86" s="29"/>
      <c r="PS86" s="29"/>
      <c r="PT86" s="29"/>
      <c r="PU86" s="29"/>
      <c r="PV86" s="29"/>
      <c r="PW86" s="29"/>
      <c r="PX86" s="29"/>
      <c r="PY86" s="29"/>
      <c r="PZ86" s="29"/>
      <c r="QA86" s="29"/>
      <c r="QB86" s="29"/>
      <c r="QC86" s="29"/>
      <c r="QD86" s="29"/>
      <c r="QE86" s="29"/>
      <c r="QF86" s="29"/>
      <c r="QG86" s="29"/>
      <c r="QH86" s="29"/>
      <c r="QI86" s="29"/>
      <c r="QJ86" s="29"/>
      <c r="QK86" s="29"/>
      <c r="QL86" s="29"/>
      <c r="QM86" s="29"/>
      <c r="QN86" s="29"/>
      <c r="QO86" s="29"/>
      <c r="QP86" s="29"/>
      <c r="QQ86" s="29"/>
      <c r="QR86" s="29"/>
      <c r="QS86" s="29"/>
      <c r="QT86" s="29"/>
      <c r="QU86" s="29"/>
      <c r="QV86" s="29"/>
      <c r="QW86" s="29"/>
      <c r="QX86" s="29"/>
      <c r="QY86" s="29"/>
      <c r="QZ86" s="29"/>
      <c r="RA86" s="29"/>
      <c r="RB86" s="29"/>
      <c r="RC86" s="29"/>
      <c r="RD86" s="29"/>
      <c r="RE86" s="29"/>
      <c r="RF86" s="29"/>
      <c r="RG86" s="29"/>
      <c r="RH86" s="29"/>
      <c r="RI86" s="29"/>
      <c r="RJ86" s="29"/>
      <c r="RK86" s="29"/>
      <c r="RL86" s="29"/>
      <c r="RM86" s="29"/>
      <c r="RN86" s="29"/>
      <c r="RO86" s="29"/>
      <c r="RP86" s="29"/>
      <c r="RQ86" s="29"/>
      <c r="RR86" s="29"/>
      <c r="RS86" s="29"/>
      <c r="RT86" s="29"/>
      <c r="RU86" s="29"/>
      <c r="RV86" s="29"/>
      <c r="RW86" s="29"/>
      <c r="RX86" s="29"/>
      <c r="RY86" s="29"/>
      <c r="RZ86" s="29"/>
      <c r="SA86" s="29"/>
      <c r="SB86" s="29"/>
      <c r="SC86" s="29"/>
      <c r="SD86" s="29"/>
      <c r="SE86" s="29"/>
      <c r="SF86" s="29"/>
      <c r="SG86" s="29"/>
      <c r="SH86" s="29"/>
      <c r="SI86" s="29"/>
      <c r="SJ86" s="29"/>
      <c r="SK86" s="29"/>
      <c r="SL86" s="29"/>
      <c r="SM86" s="29"/>
      <c r="SN86" s="29"/>
      <c r="SO86" s="29"/>
      <c r="SP86" s="29"/>
      <c r="SQ86" s="29"/>
      <c r="SR86" s="29"/>
      <c r="SS86" s="29"/>
      <c r="ST86" s="29"/>
      <c r="SU86" s="29"/>
      <c r="SV86" s="29"/>
      <c r="SW86" s="29"/>
      <c r="SX86" s="29"/>
      <c r="SY86" s="29"/>
      <c r="SZ86" s="29"/>
      <c r="TA86" s="29"/>
      <c r="TB86" s="29"/>
      <c r="TC86" s="29"/>
      <c r="TD86" s="29"/>
      <c r="TE86" s="29"/>
      <c r="TF86" s="29"/>
      <c r="TG86" s="29"/>
      <c r="TH86" s="29"/>
      <c r="TI86" s="29"/>
      <c r="TJ86" s="29"/>
      <c r="TK86" s="29"/>
      <c r="TL86" s="29"/>
      <c r="TM86" s="29"/>
      <c r="TN86" s="29"/>
      <c r="TO86" s="29"/>
      <c r="TP86" s="29"/>
      <c r="TQ86" s="29"/>
      <c r="TR86" s="29"/>
      <c r="TS86" s="29"/>
      <c r="TT86" s="29"/>
      <c r="TU86" s="29"/>
      <c r="TV86" s="29"/>
      <c r="TW86" s="29"/>
      <c r="TX86" s="29"/>
      <c r="TY86" s="29"/>
      <c r="TZ86" s="29"/>
      <c r="UA86" s="29"/>
      <c r="UB86" s="29"/>
      <c r="UC86" s="29"/>
      <c r="UD86" s="29"/>
      <c r="UE86" s="29"/>
      <c r="UF86" s="29"/>
      <c r="UG86" s="29"/>
      <c r="UH86" s="29"/>
      <c r="UI86" s="29"/>
      <c r="UJ86" s="29"/>
      <c r="UK86" s="29"/>
      <c r="UL86" s="29"/>
      <c r="UM86" s="29"/>
      <c r="UN86" s="29"/>
      <c r="UO86" s="29"/>
      <c r="UP86" s="29"/>
      <c r="UQ86" s="29"/>
      <c r="UR86" s="29"/>
      <c r="US86" s="29"/>
      <c r="UT86" s="29"/>
      <c r="UU86" s="29"/>
      <c r="UV86" s="29"/>
      <c r="UW86" s="29"/>
      <c r="UX86" s="29"/>
      <c r="UY86" s="29"/>
      <c r="UZ86" s="29"/>
      <c r="VA86" s="29"/>
      <c r="VB86" s="29"/>
      <c r="VC86" s="29"/>
      <c r="VD86" s="29"/>
      <c r="VE86" s="29"/>
      <c r="VF86" s="29"/>
      <c r="VG86" s="29"/>
      <c r="VH86" s="29"/>
      <c r="VI86" s="29"/>
      <c r="VJ86" s="29"/>
      <c r="VK86" s="29"/>
      <c r="VL86" s="29"/>
      <c r="VM86" s="29"/>
      <c r="VN86" s="29"/>
      <c r="VO86" s="29"/>
      <c r="VP86" s="29"/>
      <c r="VQ86" s="29"/>
      <c r="VR86" s="29"/>
      <c r="VS86" s="29"/>
      <c r="VT86" s="29"/>
      <c r="VU86" s="29"/>
      <c r="VV86" s="29"/>
      <c r="VW86" s="29"/>
      <c r="VX86" s="29"/>
      <c r="VY86" s="29"/>
      <c r="VZ86" s="29"/>
      <c r="WA86" s="29"/>
      <c r="WB86" s="29"/>
      <c r="WC86" s="29"/>
      <c r="WD86" s="29"/>
      <c r="WE86" s="29"/>
      <c r="WF86" s="29"/>
      <c r="WG86" s="29"/>
      <c r="WH86" s="29"/>
      <c r="WI86" s="29"/>
      <c r="WJ86" s="29"/>
      <c r="WK86" s="29"/>
      <c r="WL86" s="29"/>
      <c r="WM86" s="29"/>
      <c r="WN86" s="29"/>
      <c r="WO86" s="29"/>
      <c r="WP86" s="29"/>
      <c r="WQ86" s="29"/>
      <c r="WR86" s="29"/>
      <c r="WS86" s="29"/>
    </row>
    <row r="87" spans="1:617" s="3" customFormat="1" ht="15" outlineLevel="1" thickBot="1">
      <c r="A87" s="33"/>
      <c r="B87" s="47" t="s">
        <v>235</v>
      </c>
      <c r="C87" s="42" t="s">
        <v>125</v>
      </c>
      <c r="D87" s="204">
        <v>46217</v>
      </c>
      <c r="E87" s="116">
        <f>D87+G87</f>
        <v>46263</v>
      </c>
      <c r="F87" s="14"/>
      <c r="G87" s="14">
        <v>46</v>
      </c>
      <c r="H87" s="29"/>
      <c r="I87" s="29"/>
      <c r="J87" s="29"/>
      <c r="K87" s="29"/>
      <c r="L87" s="29"/>
      <c r="M87" s="29"/>
      <c r="N87" s="29"/>
      <c r="O87" s="29"/>
      <c r="P87" s="29"/>
      <c r="Q87" s="29"/>
      <c r="R87" s="29"/>
      <c r="S87" s="29"/>
      <c r="T87" s="29"/>
      <c r="U87" s="29"/>
      <c r="V87" s="29"/>
      <c r="W87" s="29"/>
      <c r="X87" s="29"/>
      <c r="Y87" s="30"/>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c r="MM87" s="29"/>
      <c r="MN87" s="29"/>
      <c r="MO87" s="29"/>
      <c r="MP87" s="29"/>
      <c r="MQ87" s="29"/>
      <c r="MR87" s="29"/>
      <c r="MS87" s="29"/>
      <c r="MT87" s="29"/>
      <c r="MU87" s="29"/>
      <c r="MV87" s="29"/>
      <c r="MW87" s="29"/>
      <c r="MX87" s="29"/>
      <c r="MY87" s="29"/>
      <c r="MZ87" s="29"/>
      <c r="NA87" s="29"/>
      <c r="NB87" s="29"/>
      <c r="NC87" s="29"/>
      <c r="ND87" s="29"/>
      <c r="NE87" s="29"/>
      <c r="NF87" s="29"/>
      <c r="NG87" s="29"/>
      <c r="NH87" s="29"/>
      <c r="NI87" s="29"/>
      <c r="NJ87" s="29"/>
      <c r="NK87" s="29"/>
      <c r="NL87" s="29"/>
      <c r="NM87" s="29"/>
      <c r="NN87" s="29"/>
      <c r="NO87" s="29"/>
      <c r="NP87" s="29"/>
      <c r="NQ87" s="29"/>
      <c r="NR87" s="29"/>
      <c r="NS87" s="29"/>
      <c r="NT87" s="29"/>
      <c r="NU87" s="29"/>
      <c r="NV87" s="29"/>
      <c r="NW87" s="29"/>
      <c r="NX87" s="29"/>
      <c r="NY87" s="29"/>
      <c r="NZ87" s="29"/>
      <c r="OA87" s="29"/>
      <c r="OB87" s="29"/>
      <c r="OC87" s="29"/>
      <c r="OD87" s="29"/>
      <c r="OE87" s="29"/>
      <c r="OF87" s="29"/>
      <c r="OG87" s="29"/>
      <c r="OH87" s="29"/>
      <c r="OI87" s="29"/>
      <c r="OJ87" s="29"/>
      <c r="OK87" s="29"/>
      <c r="OL87" s="29"/>
      <c r="OM87" s="29"/>
      <c r="ON87" s="29"/>
      <c r="OO87" s="29"/>
      <c r="OP87" s="29"/>
      <c r="OQ87" s="29"/>
      <c r="OR87" s="29"/>
      <c r="OS87" s="29"/>
      <c r="OT87" s="29"/>
      <c r="OU87" s="29"/>
      <c r="OV87" s="29"/>
      <c r="OW87" s="29"/>
      <c r="OX87" s="29"/>
      <c r="OY87" s="29"/>
      <c r="OZ87" s="29"/>
      <c r="PA87" s="29"/>
      <c r="PB87" s="29"/>
      <c r="PC87" s="29"/>
      <c r="PD87" s="29"/>
      <c r="PE87" s="29"/>
      <c r="PF87" s="29"/>
      <c r="PG87" s="29"/>
      <c r="PH87" s="29"/>
      <c r="PI87" s="29"/>
      <c r="PJ87" s="29"/>
      <c r="PK87" s="29"/>
      <c r="PL87" s="29"/>
      <c r="PM87" s="29"/>
      <c r="PN87" s="29"/>
      <c r="PO87" s="29"/>
      <c r="PP87" s="29"/>
      <c r="PQ87" s="29"/>
      <c r="PR87" s="29"/>
      <c r="PS87" s="29"/>
      <c r="PT87" s="29"/>
      <c r="PU87" s="29"/>
      <c r="PV87" s="29"/>
      <c r="PW87" s="29"/>
      <c r="PX87" s="29"/>
      <c r="PY87" s="29"/>
      <c r="PZ87" s="29"/>
      <c r="QA87" s="29"/>
      <c r="QB87" s="29"/>
      <c r="QC87" s="29"/>
      <c r="QD87" s="29"/>
      <c r="QE87" s="29"/>
      <c r="QF87" s="29"/>
      <c r="QG87" s="29"/>
      <c r="QH87" s="29"/>
      <c r="QI87" s="29"/>
      <c r="QJ87" s="29"/>
      <c r="QK87" s="29"/>
      <c r="QL87" s="29"/>
      <c r="QM87" s="29"/>
      <c r="QN87" s="29"/>
      <c r="QO87" s="29"/>
      <c r="QP87" s="29"/>
      <c r="QQ87" s="29"/>
      <c r="QR87" s="29"/>
      <c r="QS87" s="29"/>
      <c r="QT87" s="29"/>
      <c r="QU87" s="29"/>
      <c r="QV87" s="29"/>
      <c r="QW87" s="29"/>
      <c r="QX87" s="29"/>
      <c r="QY87" s="29"/>
      <c r="QZ87" s="29"/>
      <c r="RA87" s="29"/>
      <c r="RB87" s="29"/>
      <c r="RC87" s="29"/>
      <c r="RD87" s="29"/>
      <c r="RE87" s="29"/>
      <c r="RF87" s="29"/>
      <c r="RG87" s="29"/>
      <c r="RH87" s="29"/>
      <c r="RI87" s="29"/>
      <c r="RJ87" s="29"/>
      <c r="RK87" s="29"/>
      <c r="RL87" s="29"/>
      <c r="RM87" s="29"/>
      <c r="RN87" s="29"/>
      <c r="RO87" s="29"/>
      <c r="RP87" s="29"/>
      <c r="RQ87" s="29"/>
      <c r="RR87" s="29"/>
      <c r="RS87" s="29"/>
      <c r="RT87" s="29"/>
      <c r="RU87" s="29"/>
      <c r="RV87" s="29"/>
      <c r="RW87" s="29"/>
      <c r="RX87" s="29"/>
      <c r="RY87" s="29"/>
      <c r="RZ87" s="29"/>
      <c r="SA87" s="29"/>
      <c r="SB87" s="29"/>
      <c r="SC87" s="29"/>
      <c r="SD87" s="29"/>
      <c r="SE87" s="29"/>
      <c r="SF87" s="29"/>
      <c r="SG87" s="29"/>
      <c r="SH87" s="29"/>
      <c r="SI87" s="29"/>
      <c r="SJ87" s="29"/>
      <c r="SK87" s="29"/>
      <c r="SL87" s="29"/>
      <c r="SM87" s="29"/>
      <c r="SN87" s="29"/>
      <c r="SO87" s="29"/>
      <c r="SP87" s="29"/>
      <c r="SQ87" s="29"/>
      <c r="SR87" s="29"/>
      <c r="SS87" s="29"/>
      <c r="ST87" s="29"/>
      <c r="SU87" s="29"/>
      <c r="SV87" s="29"/>
      <c r="SW87" s="29"/>
      <c r="SX87" s="29"/>
      <c r="SY87" s="29"/>
      <c r="SZ87" s="29"/>
      <c r="TA87" s="29"/>
      <c r="TB87" s="29"/>
      <c r="TC87" s="29"/>
      <c r="TD87" s="29"/>
      <c r="TE87" s="29"/>
      <c r="TF87" s="29"/>
      <c r="TG87" s="29"/>
      <c r="TH87" s="29"/>
      <c r="TI87" s="29"/>
      <c r="TJ87" s="29"/>
      <c r="TK87" s="29"/>
      <c r="TL87" s="29"/>
      <c r="TM87" s="29"/>
      <c r="TN87" s="29"/>
      <c r="TO87" s="29"/>
      <c r="TP87" s="29"/>
      <c r="TQ87" s="29"/>
      <c r="TR87" s="29"/>
      <c r="TS87" s="29"/>
      <c r="TT87" s="29"/>
      <c r="TU87" s="29"/>
      <c r="TV87" s="29"/>
      <c r="TW87" s="29"/>
      <c r="TX87" s="29"/>
      <c r="TY87" s="29"/>
      <c r="TZ87" s="29"/>
      <c r="UA87" s="29"/>
      <c r="UB87" s="29"/>
      <c r="UC87" s="29"/>
      <c r="UD87" s="29"/>
      <c r="UE87" s="29"/>
      <c r="UF87" s="29"/>
      <c r="UG87" s="29"/>
      <c r="UH87" s="29"/>
      <c r="UI87" s="29"/>
      <c r="UJ87" s="29"/>
      <c r="UK87" s="29"/>
      <c r="UL87" s="29"/>
      <c r="UM87" s="29"/>
      <c r="UN87" s="29"/>
      <c r="UO87" s="29"/>
      <c r="UP87" s="29"/>
      <c r="UQ87" s="29"/>
      <c r="UR87" s="29"/>
      <c r="US87" s="29"/>
      <c r="UT87" s="29"/>
      <c r="UU87" s="29"/>
      <c r="UV87" s="29"/>
      <c r="UW87" s="29"/>
      <c r="UX87" s="29"/>
      <c r="UY87" s="29"/>
      <c r="UZ87" s="29"/>
      <c r="VA87" s="29"/>
      <c r="VB87" s="29"/>
      <c r="VC87" s="29"/>
      <c r="VD87" s="29"/>
      <c r="VE87" s="29"/>
      <c r="VF87" s="29"/>
      <c r="VG87" s="29"/>
      <c r="VH87" s="29"/>
      <c r="VI87" s="29"/>
      <c r="VJ87" s="29"/>
      <c r="VK87" s="29"/>
      <c r="VL87" s="29"/>
      <c r="VM87" s="29"/>
      <c r="VN87" s="29"/>
      <c r="VO87" s="29"/>
      <c r="VP87" s="29"/>
      <c r="VQ87" s="29"/>
      <c r="VR87" s="29"/>
      <c r="VS87" s="29"/>
      <c r="VT87" s="29"/>
      <c r="VU87" s="29"/>
      <c r="VV87" s="29"/>
      <c r="VW87" s="29"/>
      <c r="VX87" s="29"/>
      <c r="VY87" s="29"/>
      <c r="VZ87" s="29"/>
      <c r="WA87" s="29"/>
      <c r="WB87" s="29"/>
      <c r="WC87" s="29"/>
      <c r="WD87" s="29"/>
      <c r="WE87" s="29"/>
      <c r="WF87" s="29"/>
      <c r="WG87" s="29"/>
      <c r="WH87" s="29"/>
      <c r="WI87" s="29"/>
      <c r="WJ87" s="29"/>
      <c r="WK87" s="29"/>
      <c r="WL87" s="29"/>
      <c r="WM87" s="29"/>
      <c r="WN87" s="29"/>
      <c r="WO87" s="29"/>
      <c r="WP87" s="29"/>
      <c r="WQ87" s="29"/>
      <c r="WR87" s="29"/>
      <c r="WS87" s="29"/>
    </row>
    <row r="88" spans="1:617" s="3" customFormat="1" ht="15" outlineLevel="1" thickBot="1">
      <c r="A88" s="33"/>
      <c r="B88" s="47"/>
      <c r="C88" s="42"/>
      <c r="D88" s="204"/>
      <c r="E88" s="116"/>
      <c r="F88" s="14"/>
      <c r="G88" s="14"/>
      <c r="H88" s="29"/>
      <c r="I88" s="29"/>
      <c r="J88" s="29"/>
      <c r="K88" s="29"/>
      <c r="L88" s="29"/>
      <c r="M88" s="29"/>
      <c r="N88" s="29"/>
      <c r="O88" s="29"/>
      <c r="P88" s="29"/>
      <c r="Q88" s="29"/>
      <c r="R88" s="29"/>
      <c r="S88" s="29"/>
      <c r="T88" s="29"/>
      <c r="U88" s="29"/>
      <c r="V88" s="29"/>
      <c r="W88" s="29"/>
      <c r="X88" s="29"/>
      <c r="Y88" s="30"/>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c r="MM88" s="29"/>
      <c r="MN88" s="29"/>
      <c r="MO88" s="29"/>
      <c r="MP88" s="29"/>
      <c r="MQ88" s="29"/>
      <c r="MR88" s="29"/>
      <c r="MS88" s="29"/>
      <c r="MT88" s="29"/>
      <c r="MU88" s="29"/>
      <c r="MV88" s="29"/>
      <c r="MW88" s="29"/>
      <c r="MX88" s="29"/>
      <c r="MY88" s="29"/>
      <c r="MZ88" s="29"/>
      <c r="NA88" s="29"/>
      <c r="NB88" s="29"/>
      <c r="NC88" s="29"/>
      <c r="ND88" s="29"/>
      <c r="NE88" s="29"/>
      <c r="NF88" s="29"/>
      <c r="NG88" s="29"/>
      <c r="NH88" s="29"/>
      <c r="NI88" s="29"/>
      <c r="NJ88" s="29"/>
      <c r="NK88" s="29"/>
      <c r="NL88" s="29"/>
      <c r="NM88" s="29"/>
      <c r="NN88" s="29"/>
      <c r="NO88" s="29"/>
      <c r="NP88" s="29"/>
      <c r="NQ88" s="29"/>
      <c r="NR88" s="29"/>
      <c r="NS88" s="29"/>
      <c r="NT88" s="29"/>
      <c r="NU88" s="29"/>
      <c r="NV88" s="29"/>
      <c r="NW88" s="29"/>
      <c r="NX88" s="29"/>
      <c r="NY88" s="29"/>
      <c r="NZ88" s="29"/>
      <c r="OA88" s="29"/>
      <c r="OB88" s="29"/>
      <c r="OC88" s="29"/>
      <c r="OD88" s="29"/>
      <c r="OE88" s="29"/>
      <c r="OF88" s="29"/>
      <c r="OG88" s="29"/>
      <c r="OH88" s="29"/>
      <c r="OI88" s="29"/>
      <c r="OJ88" s="29"/>
      <c r="OK88" s="29"/>
      <c r="OL88" s="29"/>
      <c r="OM88" s="29"/>
      <c r="ON88" s="29"/>
      <c r="OO88" s="29"/>
      <c r="OP88" s="29"/>
      <c r="OQ88" s="29"/>
      <c r="OR88" s="29"/>
      <c r="OS88" s="29"/>
      <c r="OT88" s="29"/>
      <c r="OU88" s="29"/>
      <c r="OV88" s="29"/>
      <c r="OW88" s="29"/>
      <c r="OX88" s="29"/>
      <c r="OY88" s="29"/>
      <c r="OZ88" s="29"/>
      <c r="PA88" s="29"/>
      <c r="PB88" s="29"/>
      <c r="PC88" s="29"/>
      <c r="PD88" s="29"/>
      <c r="PE88" s="29"/>
      <c r="PF88" s="29"/>
      <c r="PG88" s="29"/>
      <c r="PH88" s="29"/>
      <c r="PI88" s="29"/>
      <c r="PJ88" s="29"/>
      <c r="PK88" s="29"/>
      <c r="PL88" s="29"/>
      <c r="PM88" s="29"/>
      <c r="PN88" s="29"/>
      <c r="PO88" s="29"/>
      <c r="PP88" s="29"/>
      <c r="PQ88" s="29"/>
      <c r="PR88" s="29"/>
      <c r="PS88" s="29"/>
      <c r="PT88" s="29"/>
      <c r="PU88" s="29"/>
      <c r="PV88" s="29"/>
      <c r="PW88" s="29"/>
      <c r="PX88" s="29"/>
      <c r="PY88" s="29"/>
      <c r="PZ88" s="29"/>
      <c r="QA88" s="29"/>
      <c r="QB88" s="29"/>
      <c r="QC88" s="29"/>
      <c r="QD88" s="29"/>
      <c r="QE88" s="29"/>
      <c r="QF88" s="29"/>
      <c r="QG88" s="29"/>
      <c r="QH88" s="29"/>
      <c r="QI88" s="29"/>
      <c r="QJ88" s="29"/>
      <c r="QK88" s="29"/>
      <c r="QL88" s="29"/>
      <c r="QM88" s="29"/>
      <c r="QN88" s="29"/>
      <c r="QO88" s="29"/>
      <c r="QP88" s="29"/>
      <c r="QQ88" s="29"/>
      <c r="QR88" s="29"/>
      <c r="QS88" s="29"/>
      <c r="QT88" s="29"/>
      <c r="QU88" s="29"/>
      <c r="QV88" s="29"/>
      <c r="QW88" s="29"/>
      <c r="QX88" s="29"/>
      <c r="QY88" s="29"/>
      <c r="QZ88" s="29"/>
      <c r="RA88" s="29"/>
      <c r="RB88" s="29"/>
      <c r="RC88" s="29"/>
      <c r="RD88" s="29"/>
      <c r="RE88" s="29"/>
      <c r="RF88" s="29"/>
      <c r="RG88" s="29"/>
      <c r="RH88" s="29"/>
      <c r="RI88" s="29"/>
      <c r="RJ88" s="29"/>
      <c r="RK88" s="29"/>
      <c r="RL88" s="29"/>
      <c r="RM88" s="29"/>
      <c r="RN88" s="29"/>
      <c r="RO88" s="29"/>
      <c r="RP88" s="29"/>
      <c r="RQ88" s="29"/>
      <c r="RR88" s="29"/>
      <c r="RS88" s="29"/>
      <c r="RT88" s="29"/>
      <c r="RU88" s="29"/>
      <c r="RV88" s="29"/>
      <c r="RW88" s="29"/>
      <c r="RX88" s="29"/>
      <c r="RY88" s="29"/>
      <c r="RZ88" s="29"/>
      <c r="SA88" s="29"/>
      <c r="SB88" s="29"/>
      <c r="SC88" s="29"/>
      <c r="SD88" s="29"/>
      <c r="SE88" s="29"/>
      <c r="SF88" s="29"/>
      <c r="SG88" s="29"/>
      <c r="SH88" s="29"/>
      <c r="SI88" s="29"/>
      <c r="SJ88" s="29"/>
      <c r="SK88" s="29"/>
      <c r="SL88" s="29"/>
      <c r="SM88" s="29"/>
      <c r="SN88" s="29"/>
      <c r="SO88" s="29"/>
      <c r="SP88" s="29"/>
      <c r="SQ88" s="29"/>
      <c r="SR88" s="29"/>
      <c r="SS88" s="29"/>
      <c r="ST88" s="29"/>
      <c r="SU88" s="29"/>
      <c r="SV88" s="29"/>
      <c r="SW88" s="29"/>
      <c r="SX88" s="29"/>
      <c r="SY88" s="29"/>
      <c r="SZ88" s="29"/>
      <c r="TA88" s="29"/>
      <c r="TB88" s="29"/>
      <c r="TC88" s="29"/>
      <c r="TD88" s="29"/>
      <c r="TE88" s="29"/>
      <c r="TF88" s="29"/>
      <c r="TG88" s="29"/>
      <c r="TH88" s="29"/>
      <c r="TI88" s="29"/>
      <c r="TJ88" s="29"/>
      <c r="TK88" s="29"/>
      <c r="TL88" s="29"/>
      <c r="TM88" s="29"/>
      <c r="TN88" s="29"/>
      <c r="TO88" s="29"/>
      <c r="TP88" s="29"/>
      <c r="TQ88" s="29"/>
      <c r="TR88" s="29"/>
      <c r="TS88" s="29"/>
      <c r="TT88" s="29"/>
      <c r="TU88" s="29"/>
      <c r="TV88" s="29"/>
      <c r="TW88" s="29"/>
      <c r="TX88" s="29"/>
      <c r="TY88" s="29"/>
      <c r="TZ88" s="29"/>
      <c r="UA88" s="29"/>
      <c r="UB88" s="29"/>
      <c r="UC88" s="29"/>
      <c r="UD88" s="29"/>
      <c r="UE88" s="29"/>
      <c r="UF88" s="29"/>
      <c r="UG88" s="29"/>
      <c r="UH88" s="29"/>
      <c r="UI88" s="29"/>
      <c r="UJ88" s="29"/>
      <c r="UK88" s="29"/>
      <c r="UL88" s="29"/>
      <c r="UM88" s="29"/>
      <c r="UN88" s="29"/>
      <c r="UO88" s="29"/>
      <c r="UP88" s="29"/>
      <c r="UQ88" s="29"/>
      <c r="UR88" s="29"/>
      <c r="US88" s="29"/>
      <c r="UT88" s="29"/>
      <c r="UU88" s="29"/>
      <c r="UV88" s="29"/>
      <c r="UW88" s="29"/>
      <c r="UX88" s="29"/>
      <c r="UY88" s="29"/>
      <c r="UZ88" s="29"/>
      <c r="VA88" s="29"/>
      <c r="VB88" s="29"/>
      <c r="VC88" s="29"/>
      <c r="VD88" s="29"/>
      <c r="VE88" s="29"/>
      <c r="VF88" s="29"/>
      <c r="VG88" s="29"/>
      <c r="VH88" s="29"/>
      <c r="VI88" s="29"/>
      <c r="VJ88" s="29"/>
      <c r="VK88" s="29"/>
      <c r="VL88" s="29"/>
      <c r="VM88" s="29"/>
      <c r="VN88" s="29"/>
      <c r="VO88" s="29"/>
      <c r="VP88" s="29"/>
      <c r="VQ88" s="29"/>
      <c r="VR88" s="29"/>
      <c r="VS88" s="29"/>
      <c r="VT88" s="29"/>
      <c r="VU88" s="29"/>
      <c r="VV88" s="29"/>
      <c r="VW88" s="29"/>
      <c r="VX88" s="29"/>
      <c r="VY88" s="29"/>
      <c r="VZ88" s="29"/>
      <c r="WA88" s="29"/>
      <c r="WB88" s="29"/>
      <c r="WC88" s="29"/>
      <c r="WD88" s="29"/>
      <c r="WE88" s="29"/>
      <c r="WF88" s="29"/>
      <c r="WG88" s="29"/>
      <c r="WH88" s="29"/>
      <c r="WI88" s="29"/>
      <c r="WJ88" s="29"/>
      <c r="WK88" s="29"/>
      <c r="WL88" s="29"/>
      <c r="WM88" s="29"/>
      <c r="WN88" s="29"/>
      <c r="WO88" s="29"/>
      <c r="WP88" s="29"/>
      <c r="WQ88" s="29"/>
      <c r="WR88" s="29"/>
      <c r="WS88" s="29"/>
    </row>
    <row r="89" spans="1:617" s="3" customFormat="1" ht="15" outlineLevel="1" thickBot="1">
      <c r="A89" s="33"/>
      <c r="B89" s="47"/>
      <c r="C89" s="42"/>
      <c r="D89" s="116"/>
      <c r="E89" s="116"/>
      <c r="F89" s="14"/>
      <c r="G89" s="14"/>
      <c r="H89" s="29"/>
      <c r="I89" s="29"/>
      <c r="J89" s="29"/>
      <c r="K89" s="29"/>
      <c r="L89" s="29"/>
      <c r="M89" s="29"/>
      <c r="N89" s="29"/>
      <c r="O89" s="29"/>
      <c r="P89" s="29"/>
      <c r="Q89" s="29"/>
      <c r="R89" s="29"/>
      <c r="S89" s="29"/>
      <c r="T89" s="29"/>
      <c r="U89" s="29"/>
      <c r="V89" s="29"/>
      <c r="W89" s="29"/>
      <c r="X89" s="29"/>
      <c r="Y89" s="30"/>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c r="MM89" s="29"/>
      <c r="MN89" s="29"/>
      <c r="MO89" s="29"/>
      <c r="MP89" s="29"/>
      <c r="MQ89" s="29"/>
      <c r="MR89" s="29"/>
      <c r="MS89" s="29"/>
      <c r="MT89" s="29"/>
      <c r="MU89" s="29"/>
      <c r="MV89" s="29"/>
      <c r="MW89" s="29"/>
      <c r="MX89" s="29"/>
      <c r="MY89" s="29"/>
      <c r="MZ89" s="29"/>
      <c r="NA89" s="29"/>
      <c r="NB89" s="29"/>
      <c r="NC89" s="29"/>
      <c r="ND89" s="29"/>
      <c r="NE89" s="29"/>
      <c r="NF89" s="29"/>
      <c r="NG89" s="29"/>
      <c r="NH89" s="29"/>
      <c r="NI89" s="29"/>
      <c r="NJ89" s="29"/>
      <c r="NK89" s="29"/>
      <c r="NL89" s="29"/>
      <c r="NM89" s="29"/>
      <c r="NN89" s="29"/>
      <c r="NO89" s="29"/>
      <c r="NP89" s="29"/>
      <c r="NQ89" s="29"/>
      <c r="NR89" s="29"/>
      <c r="NS89" s="29"/>
      <c r="NT89" s="29"/>
      <c r="NU89" s="29"/>
      <c r="NV89" s="29"/>
      <c r="NW89" s="29"/>
      <c r="NX89" s="29"/>
      <c r="NY89" s="29"/>
      <c r="NZ89" s="29"/>
      <c r="OA89" s="29"/>
      <c r="OB89" s="29"/>
      <c r="OC89" s="29"/>
      <c r="OD89" s="29"/>
      <c r="OE89" s="29"/>
      <c r="OF89" s="29"/>
      <c r="OG89" s="29"/>
      <c r="OH89" s="29"/>
      <c r="OI89" s="29"/>
      <c r="OJ89" s="29"/>
      <c r="OK89" s="29"/>
      <c r="OL89" s="29"/>
      <c r="OM89" s="29"/>
      <c r="ON89" s="29"/>
      <c r="OO89" s="29"/>
      <c r="OP89" s="29"/>
      <c r="OQ89" s="29"/>
      <c r="OR89" s="29"/>
      <c r="OS89" s="29"/>
      <c r="OT89" s="29"/>
      <c r="OU89" s="29"/>
      <c r="OV89" s="29"/>
      <c r="OW89" s="29"/>
      <c r="OX89" s="29"/>
      <c r="OY89" s="29"/>
      <c r="OZ89" s="29"/>
      <c r="PA89" s="29"/>
      <c r="PB89" s="29"/>
      <c r="PC89" s="29"/>
      <c r="PD89" s="29"/>
      <c r="PE89" s="29"/>
      <c r="PF89" s="29"/>
      <c r="PG89" s="29"/>
      <c r="PH89" s="29"/>
      <c r="PI89" s="29"/>
      <c r="PJ89" s="29"/>
      <c r="PK89" s="29"/>
      <c r="PL89" s="29"/>
      <c r="PM89" s="29"/>
      <c r="PN89" s="29"/>
      <c r="PO89" s="29"/>
      <c r="PP89" s="29"/>
      <c r="PQ89" s="29"/>
      <c r="PR89" s="29"/>
      <c r="PS89" s="29"/>
      <c r="PT89" s="29"/>
      <c r="PU89" s="29"/>
      <c r="PV89" s="29"/>
      <c r="PW89" s="29"/>
      <c r="PX89" s="29"/>
      <c r="PY89" s="29"/>
      <c r="PZ89" s="29"/>
      <c r="QA89" s="29"/>
      <c r="QB89" s="29"/>
      <c r="QC89" s="29"/>
      <c r="QD89" s="29"/>
      <c r="QE89" s="29"/>
      <c r="QF89" s="29"/>
      <c r="QG89" s="29"/>
      <c r="QH89" s="29"/>
      <c r="QI89" s="29"/>
      <c r="QJ89" s="29"/>
      <c r="QK89" s="29"/>
      <c r="QL89" s="29"/>
      <c r="QM89" s="29"/>
      <c r="QN89" s="29"/>
      <c r="QO89" s="29"/>
      <c r="QP89" s="29"/>
      <c r="QQ89" s="29"/>
      <c r="QR89" s="29"/>
      <c r="QS89" s="29"/>
      <c r="QT89" s="29"/>
      <c r="QU89" s="29"/>
      <c r="QV89" s="29"/>
      <c r="QW89" s="29"/>
      <c r="QX89" s="29"/>
      <c r="QY89" s="29"/>
      <c r="QZ89" s="29"/>
      <c r="RA89" s="29"/>
      <c r="RB89" s="29"/>
      <c r="RC89" s="29"/>
      <c r="RD89" s="29"/>
      <c r="RE89" s="29"/>
      <c r="RF89" s="29"/>
      <c r="RG89" s="29"/>
      <c r="RH89" s="29"/>
      <c r="RI89" s="29"/>
      <c r="RJ89" s="29"/>
      <c r="RK89" s="29"/>
      <c r="RL89" s="29"/>
      <c r="RM89" s="29"/>
      <c r="RN89" s="29"/>
      <c r="RO89" s="29"/>
      <c r="RP89" s="29"/>
      <c r="RQ89" s="29"/>
      <c r="RR89" s="29"/>
      <c r="RS89" s="29"/>
      <c r="RT89" s="29"/>
      <c r="RU89" s="29"/>
      <c r="RV89" s="29"/>
      <c r="RW89" s="29"/>
      <c r="RX89" s="29"/>
      <c r="RY89" s="29"/>
      <c r="RZ89" s="29"/>
      <c r="SA89" s="29"/>
      <c r="SB89" s="29"/>
      <c r="SC89" s="29"/>
      <c r="SD89" s="29"/>
      <c r="SE89" s="29"/>
      <c r="SF89" s="29"/>
      <c r="SG89" s="29"/>
      <c r="SH89" s="29"/>
      <c r="SI89" s="29"/>
      <c r="SJ89" s="29"/>
      <c r="SK89" s="29"/>
      <c r="SL89" s="29"/>
      <c r="SM89" s="29"/>
      <c r="SN89" s="29"/>
      <c r="SO89" s="29"/>
      <c r="SP89" s="29"/>
      <c r="SQ89" s="29"/>
      <c r="SR89" s="29"/>
      <c r="SS89" s="29"/>
      <c r="ST89" s="29"/>
      <c r="SU89" s="29"/>
      <c r="SV89" s="29"/>
      <c r="SW89" s="29"/>
      <c r="SX89" s="29"/>
      <c r="SY89" s="29"/>
      <c r="SZ89" s="29"/>
      <c r="TA89" s="29"/>
      <c r="TB89" s="29"/>
      <c r="TC89" s="29"/>
      <c r="TD89" s="29"/>
      <c r="TE89" s="29"/>
      <c r="TF89" s="29"/>
      <c r="TG89" s="29"/>
      <c r="TH89" s="29"/>
      <c r="TI89" s="29"/>
      <c r="TJ89" s="29"/>
      <c r="TK89" s="29"/>
      <c r="TL89" s="29"/>
      <c r="TM89" s="29"/>
      <c r="TN89" s="29"/>
      <c r="TO89" s="29"/>
      <c r="TP89" s="29"/>
      <c r="TQ89" s="29"/>
      <c r="TR89" s="29"/>
      <c r="TS89" s="29"/>
      <c r="TT89" s="29"/>
      <c r="TU89" s="29"/>
      <c r="TV89" s="29"/>
      <c r="TW89" s="29"/>
      <c r="TX89" s="29"/>
      <c r="TY89" s="29"/>
      <c r="TZ89" s="29"/>
      <c r="UA89" s="29"/>
      <c r="UB89" s="29"/>
      <c r="UC89" s="29"/>
      <c r="UD89" s="29"/>
      <c r="UE89" s="29"/>
      <c r="UF89" s="29"/>
      <c r="UG89" s="29"/>
      <c r="UH89" s="29"/>
      <c r="UI89" s="29"/>
      <c r="UJ89" s="29"/>
      <c r="UK89" s="29"/>
      <c r="UL89" s="29"/>
      <c r="UM89" s="29"/>
      <c r="UN89" s="29"/>
      <c r="UO89" s="29"/>
      <c r="UP89" s="29"/>
      <c r="UQ89" s="29"/>
      <c r="UR89" s="29"/>
      <c r="US89" s="29"/>
      <c r="UT89" s="29"/>
      <c r="UU89" s="29"/>
      <c r="UV89" s="29"/>
      <c r="UW89" s="29"/>
      <c r="UX89" s="29"/>
      <c r="UY89" s="29"/>
      <c r="UZ89" s="29"/>
      <c r="VA89" s="29"/>
      <c r="VB89" s="29"/>
      <c r="VC89" s="29"/>
      <c r="VD89" s="29"/>
      <c r="VE89" s="29"/>
      <c r="VF89" s="29"/>
      <c r="VG89" s="29"/>
      <c r="VH89" s="29"/>
      <c r="VI89" s="29"/>
      <c r="VJ89" s="29"/>
      <c r="VK89" s="29"/>
      <c r="VL89" s="29"/>
      <c r="VM89" s="29"/>
      <c r="VN89" s="29"/>
      <c r="VO89" s="29"/>
      <c r="VP89" s="29"/>
      <c r="VQ89" s="29"/>
      <c r="VR89" s="29"/>
      <c r="VS89" s="29"/>
      <c r="VT89" s="29"/>
      <c r="VU89" s="29"/>
      <c r="VV89" s="29"/>
      <c r="VW89" s="29"/>
      <c r="VX89" s="29"/>
      <c r="VY89" s="29"/>
      <c r="VZ89" s="29"/>
      <c r="WA89" s="29"/>
      <c r="WB89" s="29"/>
      <c r="WC89" s="29"/>
      <c r="WD89" s="29"/>
      <c r="WE89" s="29"/>
      <c r="WF89" s="29"/>
      <c r="WG89" s="29"/>
      <c r="WH89" s="29"/>
      <c r="WI89" s="29"/>
      <c r="WJ89" s="29"/>
      <c r="WK89" s="29"/>
      <c r="WL89" s="29"/>
      <c r="WM89" s="29"/>
      <c r="WN89" s="29"/>
      <c r="WO89" s="29"/>
      <c r="WP89" s="29"/>
      <c r="WQ89" s="29"/>
      <c r="WR89" s="29"/>
      <c r="WS89" s="29"/>
    </row>
    <row r="90" spans="1:617" s="3" customFormat="1" ht="15" outlineLevel="1" thickBot="1">
      <c r="A90" s="33"/>
      <c r="B90" s="240" t="s">
        <v>236</v>
      </c>
      <c r="C90" s="240"/>
      <c r="D90" s="240"/>
      <c r="E90" s="240"/>
      <c r="F90" s="14"/>
      <c r="G90" s="14" t="str">
        <f t="shared" ca="1" si="586"/>
        <v/>
      </c>
      <c r="H90" s="29"/>
      <c r="I90" s="29"/>
      <c r="J90" s="29"/>
      <c r="K90" s="29"/>
      <c r="L90" s="29"/>
      <c r="M90" s="29"/>
      <c r="N90" s="29"/>
      <c r="O90" s="29"/>
      <c r="P90" s="29"/>
      <c r="Q90" s="29"/>
      <c r="R90" s="29"/>
      <c r="S90" s="29"/>
      <c r="T90" s="29"/>
      <c r="U90" s="29"/>
      <c r="V90" s="29"/>
      <c r="W90" s="29"/>
      <c r="X90" s="29"/>
      <c r="Y90" s="30"/>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c r="MM90" s="29"/>
      <c r="MN90" s="29"/>
      <c r="MO90" s="29"/>
      <c r="MP90" s="29"/>
      <c r="MQ90" s="29"/>
      <c r="MR90" s="29"/>
      <c r="MS90" s="29"/>
      <c r="MT90" s="29"/>
      <c r="MU90" s="29"/>
      <c r="MV90" s="29"/>
      <c r="MW90" s="29"/>
      <c r="MX90" s="29"/>
      <c r="MY90" s="29"/>
      <c r="MZ90" s="29"/>
      <c r="NA90" s="29"/>
      <c r="NB90" s="29"/>
      <c r="NC90" s="29"/>
      <c r="ND90" s="29"/>
      <c r="NE90" s="29"/>
      <c r="NF90" s="29"/>
      <c r="NG90" s="29"/>
      <c r="NH90" s="29"/>
      <c r="NI90" s="29"/>
      <c r="NJ90" s="29"/>
      <c r="NK90" s="29"/>
      <c r="NL90" s="29"/>
      <c r="NM90" s="29"/>
      <c r="NN90" s="29"/>
      <c r="NO90" s="29"/>
      <c r="NP90" s="29"/>
      <c r="NQ90" s="29"/>
      <c r="NR90" s="29"/>
      <c r="NS90" s="29"/>
      <c r="NT90" s="29"/>
      <c r="NU90" s="29"/>
      <c r="NV90" s="29"/>
      <c r="NW90" s="29"/>
      <c r="NX90" s="29"/>
      <c r="NY90" s="29"/>
      <c r="NZ90" s="29"/>
      <c r="OA90" s="29"/>
      <c r="OB90" s="29"/>
      <c r="OC90" s="29"/>
      <c r="OD90" s="29"/>
      <c r="OE90" s="29"/>
      <c r="OF90" s="29"/>
      <c r="OG90" s="29"/>
      <c r="OH90" s="29"/>
      <c r="OI90" s="29"/>
      <c r="OJ90" s="29"/>
      <c r="OK90" s="29"/>
      <c r="OL90" s="29"/>
      <c r="OM90" s="29"/>
      <c r="ON90" s="29"/>
      <c r="OO90" s="29"/>
      <c r="OP90" s="29"/>
      <c r="OQ90" s="29"/>
      <c r="OR90" s="29"/>
      <c r="OS90" s="29"/>
      <c r="OT90" s="29"/>
      <c r="OU90" s="29"/>
      <c r="OV90" s="29"/>
      <c r="OW90" s="29"/>
      <c r="OX90" s="29"/>
      <c r="OY90" s="29"/>
      <c r="OZ90" s="29"/>
      <c r="PA90" s="29"/>
      <c r="PB90" s="29"/>
      <c r="PC90" s="29"/>
      <c r="PD90" s="29"/>
      <c r="PE90" s="29"/>
      <c r="PF90" s="29"/>
      <c r="PG90" s="29"/>
      <c r="PH90" s="29"/>
      <c r="PI90" s="29"/>
      <c r="PJ90" s="29"/>
      <c r="PK90" s="29"/>
      <c r="PL90" s="29"/>
      <c r="PM90" s="29"/>
      <c r="PN90" s="29"/>
      <c r="PO90" s="29"/>
      <c r="PP90" s="29"/>
      <c r="PQ90" s="29"/>
      <c r="PR90" s="29"/>
      <c r="PS90" s="29"/>
      <c r="PT90" s="29"/>
      <c r="PU90" s="29"/>
      <c r="PV90" s="29"/>
      <c r="PW90" s="29"/>
      <c r="PX90" s="29"/>
      <c r="PY90" s="29"/>
      <c r="PZ90" s="29"/>
      <c r="QA90" s="29"/>
      <c r="QB90" s="29"/>
      <c r="QC90" s="29"/>
      <c r="QD90" s="29"/>
      <c r="QE90" s="29"/>
      <c r="QF90" s="29"/>
      <c r="QG90" s="29"/>
      <c r="QH90" s="29"/>
      <c r="QI90" s="29"/>
      <c r="QJ90" s="29"/>
      <c r="QK90" s="29"/>
      <c r="QL90" s="29"/>
      <c r="QM90" s="29"/>
      <c r="QN90" s="29"/>
      <c r="QO90" s="29"/>
      <c r="QP90" s="29"/>
      <c r="QQ90" s="29"/>
      <c r="QR90" s="29"/>
      <c r="QS90" s="29"/>
      <c r="QT90" s="29"/>
      <c r="QU90" s="29"/>
      <c r="QV90" s="29"/>
      <c r="QW90" s="29"/>
      <c r="QX90" s="29"/>
      <c r="QY90" s="29"/>
      <c r="QZ90" s="29"/>
      <c r="RA90" s="29"/>
      <c r="RB90" s="29"/>
      <c r="RC90" s="29"/>
      <c r="RD90" s="29"/>
      <c r="RE90" s="29"/>
      <c r="RF90" s="29"/>
      <c r="RG90" s="29"/>
      <c r="RH90" s="29"/>
      <c r="RI90" s="29"/>
      <c r="RJ90" s="29"/>
      <c r="RK90" s="29"/>
      <c r="RL90" s="29"/>
      <c r="RM90" s="29"/>
      <c r="RN90" s="29"/>
      <c r="RO90" s="29"/>
      <c r="RP90" s="29"/>
      <c r="RQ90" s="29"/>
      <c r="RR90" s="29"/>
      <c r="RS90" s="29"/>
      <c r="RT90" s="29"/>
      <c r="RU90" s="29"/>
      <c r="RV90" s="29"/>
      <c r="RW90" s="29"/>
      <c r="RX90" s="29"/>
      <c r="RY90" s="29"/>
      <c r="RZ90" s="29"/>
      <c r="SA90" s="29"/>
      <c r="SB90" s="29"/>
      <c r="SC90" s="29"/>
      <c r="SD90" s="29"/>
      <c r="SE90" s="29"/>
      <c r="SF90" s="29"/>
      <c r="SG90" s="29"/>
      <c r="SH90" s="29"/>
      <c r="SI90" s="29"/>
      <c r="SJ90" s="29"/>
      <c r="SK90" s="29"/>
      <c r="SL90" s="29"/>
      <c r="SM90" s="29"/>
      <c r="SN90" s="29"/>
      <c r="SO90" s="29"/>
      <c r="SP90" s="29"/>
      <c r="SQ90" s="29"/>
      <c r="SR90" s="29"/>
      <c r="SS90" s="29"/>
      <c r="ST90" s="29"/>
      <c r="SU90" s="29"/>
      <c r="SV90" s="29"/>
      <c r="SW90" s="29"/>
      <c r="SX90" s="29"/>
      <c r="SY90" s="29"/>
      <c r="SZ90" s="29"/>
      <c r="TA90" s="29"/>
      <c r="TB90" s="29"/>
      <c r="TC90" s="29"/>
      <c r="TD90" s="29"/>
      <c r="TE90" s="29"/>
      <c r="TF90" s="29"/>
      <c r="TG90" s="29"/>
      <c r="TH90" s="29"/>
      <c r="TI90" s="29"/>
      <c r="TJ90" s="29"/>
      <c r="TK90" s="29"/>
      <c r="TL90" s="29"/>
      <c r="TM90" s="29"/>
      <c r="TN90" s="29"/>
      <c r="TO90" s="29"/>
      <c r="TP90" s="29"/>
      <c r="TQ90" s="29"/>
      <c r="TR90" s="29"/>
      <c r="TS90" s="29"/>
      <c r="TT90" s="29"/>
      <c r="TU90" s="29"/>
      <c r="TV90" s="29"/>
      <c r="TW90" s="29"/>
      <c r="TX90" s="29"/>
      <c r="TY90" s="29"/>
      <c r="TZ90" s="29"/>
      <c r="UA90" s="29"/>
      <c r="UB90" s="29"/>
      <c r="UC90" s="29"/>
      <c r="UD90" s="29"/>
      <c r="UE90" s="29"/>
      <c r="UF90" s="29"/>
      <c r="UG90" s="29"/>
      <c r="UH90" s="29"/>
      <c r="UI90" s="29"/>
      <c r="UJ90" s="29"/>
      <c r="UK90" s="29"/>
      <c r="UL90" s="29"/>
      <c r="UM90" s="29"/>
      <c r="UN90" s="29"/>
      <c r="UO90" s="29"/>
      <c r="UP90" s="29"/>
      <c r="UQ90" s="29"/>
      <c r="UR90" s="29"/>
      <c r="US90" s="29"/>
      <c r="UT90" s="29"/>
      <c r="UU90" s="29"/>
      <c r="UV90" s="29"/>
      <c r="UW90" s="29"/>
      <c r="UX90" s="29"/>
      <c r="UY90" s="29"/>
      <c r="UZ90" s="29"/>
      <c r="VA90" s="29"/>
      <c r="VB90" s="29"/>
      <c r="VC90" s="29"/>
      <c r="VD90" s="29"/>
      <c r="VE90" s="29"/>
      <c r="VF90" s="29"/>
      <c r="VG90" s="29"/>
      <c r="VH90" s="29"/>
      <c r="VI90" s="29"/>
      <c r="VJ90" s="29"/>
      <c r="VK90" s="29"/>
      <c r="VL90" s="29"/>
      <c r="VM90" s="29"/>
      <c r="VN90" s="29"/>
      <c r="VO90" s="29"/>
      <c r="VP90" s="29"/>
      <c r="VQ90" s="29"/>
      <c r="VR90" s="29"/>
      <c r="VS90" s="29"/>
      <c r="VT90" s="29"/>
      <c r="VU90" s="29"/>
      <c r="VV90" s="29"/>
      <c r="VW90" s="29"/>
      <c r="VX90" s="29"/>
      <c r="VY90" s="29"/>
      <c r="VZ90" s="29"/>
      <c r="WA90" s="29"/>
      <c r="WB90" s="29"/>
      <c r="WC90" s="29"/>
      <c r="WD90" s="29"/>
      <c r="WE90" s="29"/>
      <c r="WF90" s="29"/>
      <c r="WG90" s="29"/>
      <c r="WH90" s="29"/>
      <c r="WI90" s="29"/>
      <c r="WJ90" s="29"/>
      <c r="WK90" s="29"/>
      <c r="WL90" s="29"/>
      <c r="WM90" s="29"/>
      <c r="WN90" s="29"/>
      <c r="WO90" s="29"/>
      <c r="WP90" s="29"/>
      <c r="WQ90" s="29"/>
      <c r="WR90" s="29"/>
      <c r="WS90" s="29"/>
    </row>
    <row r="91" spans="1:617" s="3" customFormat="1" ht="15" outlineLevel="1" thickBot="1">
      <c r="A91" s="33" t="s">
        <v>237</v>
      </c>
      <c r="B91" s="84" t="s">
        <v>227</v>
      </c>
      <c r="C91" s="137" t="s">
        <v>231</v>
      </c>
      <c r="D91" s="117">
        <v>45774</v>
      </c>
      <c r="E91" s="208">
        <f>D91+G91</f>
        <v>45819</v>
      </c>
      <c r="F91" s="14"/>
      <c r="G91" s="14">
        <v>45</v>
      </c>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c r="MM91" s="29"/>
      <c r="MN91" s="29"/>
      <c r="MO91" s="29"/>
      <c r="MP91" s="29"/>
      <c r="MQ91" s="29"/>
      <c r="MR91" s="29"/>
      <c r="MS91" s="29"/>
      <c r="MT91" s="29"/>
      <c r="MU91" s="29"/>
      <c r="MV91" s="29"/>
      <c r="MW91" s="29"/>
      <c r="MX91" s="29"/>
      <c r="MY91" s="29"/>
      <c r="MZ91" s="29"/>
      <c r="NA91" s="29"/>
      <c r="NB91" s="29"/>
      <c r="NC91" s="29"/>
      <c r="ND91" s="29"/>
      <c r="NE91" s="29"/>
      <c r="NF91" s="29"/>
      <c r="NG91" s="29"/>
      <c r="NH91" s="29"/>
      <c r="NI91" s="29"/>
      <c r="NJ91" s="29"/>
      <c r="NK91" s="29"/>
      <c r="NL91" s="29"/>
      <c r="NM91" s="29"/>
      <c r="NN91" s="29"/>
      <c r="NO91" s="29"/>
      <c r="NP91" s="29"/>
      <c r="NQ91" s="29"/>
      <c r="NR91" s="29"/>
      <c r="NS91" s="29"/>
      <c r="NT91" s="29"/>
      <c r="NU91" s="29"/>
      <c r="NV91" s="29"/>
      <c r="NW91" s="29"/>
      <c r="NX91" s="29"/>
      <c r="NY91" s="29"/>
      <c r="NZ91" s="29"/>
      <c r="OA91" s="29"/>
      <c r="OB91" s="29"/>
      <c r="OC91" s="29"/>
      <c r="OD91" s="29"/>
      <c r="OE91" s="29"/>
      <c r="OF91" s="29"/>
      <c r="OG91" s="29"/>
      <c r="OH91" s="29"/>
      <c r="OI91" s="29"/>
      <c r="OJ91" s="29"/>
      <c r="OK91" s="29"/>
      <c r="OL91" s="29"/>
      <c r="OM91" s="29"/>
      <c r="ON91" s="29"/>
      <c r="OO91" s="29"/>
      <c r="OP91" s="29"/>
      <c r="OQ91" s="29"/>
      <c r="OR91" s="29"/>
      <c r="OS91" s="29"/>
      <c r="OT91" s="29"/>
      <c r="OU91" s="29"/>
      <c r="OV91" s="29"/>
      <c r="OW91" s="29"/>
      <c r="OX91" s="29"/>
      <c r="OY91" s="29"/>
      <c r="OZ91" s="29"/>
      <c r="PA91" s="29"/>
      <c r="PB91" s="29"/>
      <c r="PC91" s="29"/>
      <c r="PD91" s="29"/>
      <c r="PE91" s="29"/>
      <c r="PF91" s="29"/>
      <c r="PG91" s="29"/>
      <c r="PH91" s="29"/>
      <c r="PI91" s="29"/>
      <c r="PJ91" s="29"/>
      <c r="PK91" s="29"/>
      <c r="PL91" s="29"/>
      <c r="PM91" s="29"/>
      <c r="PN91" s="29"/>
      <c r="PO91" s="29"/>
      <c r="PP91" s="29"/>
      <c r="PQ91" s="29"/>
      <c r="PR91" s="29"/>
      <c r="PS91" s="29"/>
      <c r="PT91" s="29"/>
      <c r="PU91" s="29"/>
      <c r="PV91" s="29"/>
      <c r="PW91" s="29"/>
      <c r="PX91" s="29"/>
      <c r="PY91" s="29"/>
      <c r="PZ91" s="29"/>
      <c r="QA91" s="29"/>
      <c r="QB91" s="29"/>
      <c r="QC91" s="29"/>
      <c r="QD91" s="29"/>
      <c r="QE91" s="29"/>
      <c r="QF91" s="29"/>
      <c r="QG91" s="29"/>
      <c r="QH91" s="29"/>
      <c r="QI91" s="29"/>
      <c r="QJ91" s="29"/>
      <c r="QK91" s="29"/>
      <c r="QL91" s="29"/>
      <c r="QM91" s="29"/>
      <c r="QN91" s="29"/>
      <c r="QO91" s="29"/>
      <c r="QP91" s="29"/>
      <c r="QQ91" s="29"/>
      <c r="QR91" s="29"/>
      <c r="QS91" s="29"/>
      <c r="QT91" s="29"/>
      <c r="QU91" s="29"/>
      <c r="QV91" s="29"/>
      <c r="QW91" s="29"/>
      <c r="QX91" s="29"/>
      <c r="QY91" s="29"/>
      <c r="QZ91" s="29"/>
      <c r="RA91" s="29"/>
      <c r="RB91" s="29"/>
      <c r="RC91" s="29"/>
      <c r="RD91" s="29"/>
      <c r="RE91" s="29"/>
      <c r="RF91" s="29"/>
      <c r="RG91" s="29"/>
      <c r="RH91" s="29"/>
      <c r="RI91" s="29"/>
      <c r="RJ91" s="29"/>
      <c r="RK91" s="29"/>
      <c r="RL91" s="29"/>
      <c r="RM91" s="29"/>
      <c r="RN91" s="29"/>
      <c r="RO91" s="29"/>
      <c r="RP91" s="29"/>
      <c r="RQ91" s="29"/>
      <c r="RR91" s="29"/>
      <c r="RS91" s="29"/>
      <c r="RT91" s="29"/>
      <c r="RU91" s="29"/>
      <c r="RV91" s="29"/>
      <c r="RW91" s="29"/>
      <c r="RX91" s="29"/>
      <c r="RY91" s="29"/>
      <c r="RZ91" s="29"/>
      <c r="SA91" s="29"/>
      <c r="SB91" s="29"/>
      <c r="SC91" s="29"/>
      <c r="SD91" s="29"/>
      <c r="SE91" s="29"/>
      <c r="SF91" s="29"/>
      <c r="SG91" s="29"/>
      <c r="SH91" s="29"/>
      <c r="SI91" s="29"/>
      <c r="SJ91" s="29"/>
      <c r="SK91" s="29"/>
      <c r="SL91" s="29"/>
      <c r="SM91" s="29"/>
      <c r="SN91" s="29"/>
      <c r="SO91" s="29"/>
      <c r="SP91" s="29"/>
      <c r="SQ91" s="29"/>
      <c r="SR91" s="29"/>
      <c r="SS91" s="29"/>
      <c r="ST91" s="29"/>
      <c r="SU91" s="29"/>
      <c r="SV91" s="29"/>
      <c r="SW91" s="29"/>
      <c r="SX91" s="29"/>
      <c r="SY91" s="29"/>
      <c r="SZ91" s="29"/>
      <c r="TA91" s="29"/>
      <c r="TB91" s="29"/>
      <c r="TC91" s="29"/>
      <c r="TD91" s="29"/>
      <c r="TE91" s="29"/>
      <c r="TF91" s="29"/>
      <c r="TG91" s="29"/>
      <c r="TH91" s="29"/>
      <c r="TI91" s="29"/>
      <c r="TJ91" s="29"/>
      <c r="TK91" s="29"/>
      <c r="TL91" s="29"/>
      <c r="TM91" s="29"/>
      <c r="TN91" s="29"/>
      <c r="TO91" s="29"/>
      <c r="TP91" s="29"/>
      <c r="TQ91" s="29"/>
      <c r="TR91" s="29"/>
      <c r="TS91" s="29"/>
      <c r="TT91" s="29"/>
      <c r="TU91" s="29"/>
      <c r="TV91" s="29"/>
      <c r="TW91" s="29"/>
      <c r="TX91" s="29"/>
      <c r="TY91" s="29"/>
      <c r="TZ91" s="29"/>
      <c r="UA91" s="29"/>
      <c r="UB91" s="29"/>
      <c r="UC91" s="29"/>
      <c r="UD91" s="29"/>
      <c r="UE91" s="29"/>
      <c r="UF91" s="29"/>
      <c r="UG91" s="29"/>
      <c r="UH91" s="29"/>
      <c r="UI91" s="29"/>
      <c r="UJ91" s="29"/>
      <c r="UK91" s="29"/>
      <c r="UL91" s="29"/>
      <c r="UM91" s="29"/>
      <c r="UN91" s="29"/>
      <c r="UO91" s="29"/>
      <c r="UP91" s="29"/>
      <c r="UQ91" s="29"/>
      <c r="UR91" s="29"/>
      <c r="US91" s="29"/>
      <c r="UT91" s="29"/>
      <c r="UU91" s="29"/>
      <c r="UV91" s="29"/>
      <c r="UW91" s="29"/>
      <c r="UX91" s="29"/>
      <c r="UY91" s="29"/>
      <c r="UZ91" s="29"/>
      <c r="VA91" s="29"/>
      <c r="VB91" s="29"/>
      <c r="VC91" s="29"/>
      <c r="VD91" s="29"/>
      <c r="VE91" s="29"/>
      <c r="VF91" s="29"/>
      <c r="VG91" s="29"/>
      <c r="VH91" s="29"/>
      <c r="VI91" s="29"/>
      <c r="VJ91" s="29"/>
      <c r="VK91" s="29"/>
      <c r="VL91" s="29"/>
      <c r="VM91" s="29"/>
      <c r="VN91" s="29"/>
      <c r="VO91" s="29"/>
      <c r="VP91" s="29"/>
      <c r="VQ91" s="29"/>
      <c r="VR91" s="29"/>
      <c r="VS91" s="29"/>
      <c r="VT91" s="29"/>
      <c r="VU91" s="29"/>
      <c r="VV91" s="29"/>
      <c r="VW91" s="29"/>
      <c r="VX91" s="29"/>
      <c r="VY91" s="29"/>
      <c r="VZ91" s="29"/>
      <c r="WA91" s="29"/>
      <c r="WB91" s="29"/>
      <c r="WC91" s="29"/>
      <c r="WD91" s="29"/>
      <c r="WE91" s="29"/>
      <c r="WF91" s="29"/>
      <c r="WG91" s="29"/>
      <c r="WH91" s="29"/>
      <c r="WI91" s="29"/>
      <c r="WJ91" s="29"/>
      <c r="WK91" s="29"/>
      <c r="WL91" s="29"/>
      <c r="WM91" s="29"/>
      <c r="WN91" s="29"/>
      <c r="WO91" s="29"/>
      <c r="WP91" s="29"/>
      <c r="WQ91" s="29"/>
      <c r="WR91" s="29"/>
      <c r="WS91" s="29"/>
    </row>
    <row r="92" spans="1:617" s="3" customFormat="1" ht="15" outlineLevel="1" thickBot="1">
      <c r="A92" s="33"/>
      <c r="B92" s="241" t="s">
        <v>238</v>
      </c>
      <c r="C92" s="241"/>
      <c r="D92" s="241"/>
      <c r="E92" s="241"/>
      <c r="F92" s="14"/>
      <c r="G92" s="14" t="str">
        <f t="shared" ca="1" si="586"/>
        <v/>
      </c>
      <c r="H92" s="29"/>
      <c r="I92" s="29"/>
      <c r="J92" s="29"/>
      <c r="K92" s="29"/>
      <c r="L92" s="29"/>
      <c r="M92" s="29"/>
      <c r="N92" s="29"/>
      <c r="O92" s="29"/>
      <c r="P92" s="29"/>
      <c r="Q92" s="29"/>
      <c r="R92" s="29"/>
      <c r="S92" s="29"/>
      <c r="T92" s="29"/>
      <c r="U92" s="29"/>
      <c r="V92" s="29"/>
      <c r="W92" s="29"/>
      <c r="X92" s="29"/>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c r="MM92" s="29"/>
      <c r="MN92" s="29"/>
      <c r="MO92" s="29"/>
      <c r="MP92" s="29"/>
      <c r="MQ92" s="29"/>
      <c r="MR92" s="29"/>
      <c r="MS92" s="29"/>
      <c r="MT92" s="29"/>
      <c r="MU92" s="29"/>
      <c r="MV92" s="29"/>
      <c r="MW92" s="29"/>
      <c r="MX92" s="29"/>
      <c r="MY92" s="29"/>
      <c r="MZ92" s="29"/>
      <c r="NA92" s="29"/>
      <c r="NB92" s="29"/>
      <c r="NC92" s="29"/>
      <c r="ND92" s="29"/>
      <c r="NE92" s="29"/>
      <c r="NF92" s="29"/>
      <c r="NG92" s="29"/>
      <c r="NH92" s="29"/>
      <c r="NI92" s="29"/>
      <c r="NJ92" s="29"/>
      <c r="NK92" s="29"/>
      <c r="NL92" s="29"/>
      <c r="NM92" s="29"/>
      <c r="NN92" s="29"/>
      <c r="NO92" s="29"/>
      <c r="NP92" s="29"/>
      <c r="NQ92" s="29"/>
      <c r="NR92" s="29"/>
      <c r="NS92" s="29"/>
      <c r="NT92" s="29"/>
      <c r="NU92" s="29"/>
      <c r="NV92" s="29"/>
      <c r="NW92" s="29"/>
      <c r="NX92" s="29"/>
      <c r="NY92" s="29"/>
      <c r="NZ92" s="29"/>
      <c r="OA92" s="29"/>
      <c r="OB92" s="29"/>
      <c r="OC92" s="29"/>
      <c r="OD92" s="29"/>
      <c r="OE92" s="29"/>
      <c r="OF92" s="29"/>
      <c r="OG92" s="29"/>
      <c r="OH92" s="29"/>
      <c r="OI92" s="29"/>
      <c r="OJ92" s="29"/>
      <c r="OK92" s="29"/>
      <c r="OL92" s="29"/>
      <c r="OM92" s="29"/>
      <c r="ON92" s="29"/>
      <c r="OO92" s="29"/>
      <c r="OP92" s="29"/>
      <c r="OQ92" s="29"/>
      <c r="OR92" s="29"/>
      <c r="OS92" s="29"/>
      <c r="OT92" s="29"/>
      <c r="OU92" s="29"/>
      <c r="OV92" s="29"/>
      <c r="OW92" s="29"/>
      <c r="OX92" s="29"/>
      <c r="OY92" s="29"/>
      <c r="OZ92" s="29"/>
      <c r="PA92" s="29"/>
      <c r="PB92" s="29"/>
      <c r="PC92" s="29"/>
      <c r="PD92" s="29"/>
      <c r="PE92" s="29"/>
      <c r="PF92" s="29"/>
      <c r="PG92" s="29"/>
      <c r="PH92" s="29"/>
      <c r="PI92" s="29"/>
      <c r="PJ92" s="29"/>
      <c r="PK92" s="29"/>
      <c r="PL92" s="29"/>
      <c r="PM92" s="29"/>
      <c r="PN92" s="29"/>
      <c r="PO92" s="29"/>
      <c r="PP92" s="29"/>
      <c r="PQ92" s="29"/>
      <c r="PR92" s="29"/>
      <c r="PS92" s="29"/>
      <c r="PT92" s="29"/>
      <c r="PU92" s="29"/>
      <c r="PV92" s="29"/>
      <c r="PW92" s="29"/>
      <c r="PX92" s="29"/>
      <c r="PY92" s="29"/>
      <c r="PZ92" s="29"/>
      <c r="QA92" s="29"/>
      <c r="QB92" s="29"/>
      <c r="QC92" s="29"/>
      <c r="QD92" s="29"/>
      <c r="QE92" s="29"/>
      <c r="QF92" s="29"/>
      <c r="QG92" s="29"/>
      <c r="QH92" s="29"/>
      <c r="QI92" s="29"/>
      <c r="QJ92" s="29"/>
      <c r="QK92" s="29"/>
      <c r="QL92" s="29"/>
      <c r="QM92" s="29"/>
      <c r="QN92" s="29"/>
      <c r="QO92" s="29"/>
      <c r="QP92" s="29"/>
      <c r="QQ92" s="29"/>
      <c r="QR92" s="29"/>
      <c r="QS92" s="29"/>
      <c r="QT92" s="29"/>
      <c r="QU92" s="29"/>
      <c r="QV92" s="29"/>
      <c r="QW92" s="29"/>
      <c r="QX92" s="29"/>
      <c r="QY92" s="29"/>
      <c r="QZ92" s="29"/>
      <c r="RA92" s="29"/>
      <c r="RB92" s="29"/>
      <c r="RC92" s="29"/>
      <c r="RD92" s="29"/>
      <c r="RE92" s="29"/>
      <c r="RF92" s="29"/>
      <c r="RG92" s="29"/>
      <c r="RH92" s="29"/>
      <c r="RI92" s="29"/>
      <c r="RJ92" s="29"/>
      <c r="RK92" s="29"/>
      <c r="RL92" s="29"/>
      <c r="RM92" s="29"/>
      <c r="RN92" s="29"/>
      <c r="RO92" s="29"/>
      <c r="RP92" s="29"/>
      <c r="RQ92" s="29"/>
      <c r="RR92" s="29"/>
      <c r="RS92" s="29"/>
      <c r="RT92" s="29"/>
      <c r="RU92" s="29"/>
      <c r="RV92" s="29"/>
      <c r="RW92" s="29"/>
      <c r="RX92" s="29"/>
      <c r="RY92" s="29"/>
      <c r="RZ92" s="29"/>
      <c r="SA92" s="29"/>
      <c r="SB92" s="29"/>
      <c r="SC92" s="29"/>
      <c r="SD92" s="29"/>
      <c r="SE92" s="29"/>
      <c r="SF92" s="29"/>
      <c r="SG92" s="29"/>
      <c r="SH92" s="29"/>
      <c r="SI92" s="29"/>
      <c r="SJ92" s="29"/>
      <c r="SK92" s="29"/>
      <c r="SL92" s="29"/>
      <c r="SM92" s="29"/>
      <c r="SN92" s="29"/>
      <c r="SO92" s="29"/>
      <c r="SP92" s="29"/>
      <c r="SQ92" s="29"/>
      <c r="SR92" s="29"/>
      <c r="SS92" s="29"/>
      <c r="ST92" s="29"/>
      <c r="SU92" s="29"/>
      <c r="SV92" s="29"/>
      <c r="SW92" s="29"/>
      <c r="SX92" s="29"/>
      <c r="SY92" s="29"/>
      <c r="SZ92" s="29"/>
      <c r="TA92" s="29"/>
      <c r="TB92" s="29"/>
      <c r="TC92" s="29"/>
      <c r="TD92" s="29"/>
      <c r="TE92" s="29"/>
      <c r="TF92" s="29"/>
      <c r="TG92" s="29"/>
      <c r="TH92" s="29"/>
      <c r="TI92" s="29"/>
      <c r="TJ92" s="29"/>
      <c r="TK92" s="29"/>
      <c r="TL92" s="29"/>
      <c r="TM92" s="29"/>
      <c r="TN92" s="29"/>
      <c r="TO92" s="29"/>
      <c r="TP92" s="29"/>
      <c r="TQ92" s="29"/>
      <c r="TR92" s="29"/>
      <c r="TS92" s="29"/>
      <c r="TT92" s="29"/>
      <c r="TU92" s="29"/>
      <c r="TV92" s="29"/>
      <c r="TW92" s="29"/>
      <c r="TX92" s="29"/>
      <c r="TY92" s="29"/>
      <c r="TZ92" s="29"/>
      <c r="UA92" s="29"/>
      <c r="UB92" s="29"/>
      <c r="UC92" s="29"/>
      <c r="UD92" s="29"/>
      <c r="UE92" s="29"/>
      <c r="UF92" s="29"/>
      <c r="UG92" s="29"/>
      <c r="UH92" s="29"/>
      <c r="UI92" s="29"/>
      <c r="UJ92" s="29"/>
      <c r="UK92" s="29"/>
      <c r="UL92" s="29"/>
      <c r="UM92" s="29"/>
      <c r="UN92" s="29"/>
      <c r="UO92" s="29"/>
      <c r="UP92" s="29"/>
      <c r="UQ92" s="29"/>
      <c r="UR92" s="29"/>
      <c r="US92" s="29"/>
      <c r="UT92" s="29"/>
      <c r="UU92" s="29"/>
      <c r="UV92" s="29"/>
      <c r="UW92" s="29"/>
      <c r="UX92" s="29"/>
      <c r="UY92" s="29"/>
      <c r="UZ92" s="29"/>
      <c r="VA92" s="29"/>
      <c r="VB92" s="29"/>
      <c r="VC92" s="29"/>
      <c r="VD92" s="29"/>
      <c r="VE92" s="29"/>
      <c r="VF92" s="29"/>
      <c r="VG92" s="29"/>
      <c r="VH92" s="29"/>
      <c r="VI92" s="29"/>
      <c r="VJ92" s="29"/>
      <c r="VK92" s="29"/>
      <c r="VL92" s="29"/>
      <c r="VM92" s="29"/>
      <c r="VN92" s="29"/>
      <c r="VO92" s="29"/>
      <c r="VP92" s="29"/>
      <c r="VQ92" s="29"/>
      <c r="VR92" s="29"/>
      <c r="VS92" s="29"/>
      <c r="VT92" s="29"/>
      <c r="VU92" s="29"/>
      <c r="VV92" s="29"/>
      <c r="VW92" s="29"/>
      <c r="VX92" s="29"/>
      <c r="VY92" s="29"/>
      <c r="VZ92" s="29"/>
      <c r="WA92" s="29"/>
      <c r="WB92" s="29"/>
      <c r="WC92" s="29"/>
      <c r="WD92" s="29"/>
      <c r="WE92" s="29"/>
      <c r="WF92" s="29"/>
      <c r="WG92" s="29"/>
      <c r="WH92" s="29"/>
      <c r="WI92" s="29"/>
      <c r="WJ92" s="29"/>
      <c r="WK92" s="29"/>
      <c r="WL92" s="29"/>
      <c r="WM92" s="29"/>
      <c r="WN92" s="29"/>
      <c r="WO92" s="29"/>
      <c r="WP92" s="29"/>
      <c r="WQ92" s="29"/>
      <c r="WR92" s="29"/>
      <c r="WS92" s="29"/>
    </row>
    <row r="93" spans="1:617" s="3" customFormat="1" ht="15" outlineLevel="1" thickBot="1">
      <c r="A93" s="33" t="s">
        <v>237</v>
      </c>
      <c r="B93" s="48" t="s">
        <v>239</v>
      </c>
      <c r="C93" s="44" t="s">
        <v>240</v>
      </c>
      <c r="D93" s="118">
        <v>45635</v>
      </c>
      <c r="E93" s="118">
        <v>45681</v>
      </c>
      <c r="F93" s="14"/>
      <c r="G93" s="14">
        <v>7</v>
      </c>
      <c r="H93" s="29"/>
      <c r="I93" s="29"/>
      <c r="J93" s="29"/>
      <c r="K93" s="29"/>
      <c r="L93" s="29"/>
      <c r="M93" s="29"/>
      <c r="N93" s="29"/>
      <c r="O93" s="29"/>
      <c r="P93" s="29"/>
      <c r="Q93" s="29"/>
      <c r="R93" s="29"/>
      <c r="S93" s="29"/>
      <c r="T93" s="29"/>
      <c r="U93" s="29"/>
      <c r="V93" s="29"/>
      <c r="W93" s="29"/>
      <c r="X93" s="29"/>
      <c r="Y93" s="29"/>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c r="MM93" s="29"/>
      <c r="MN93" s="29"/>
      <c r="MO93" s="29"/>
      <c r="MP93" s="29"/>
      <c r="MQ93" s="29"/>
      <c r="MR93" s="29"/>
      <c r="MS93" s="29"/>
      <c r="MT93" s="29"/>
      <c r="MU93" s="29"/>
      <c r="MV93" s="29"/>
      <c r="MW93" s="29"/>
      <c r="MX93" s="29"/>
      <c r="MY93" s="29"/>
      <c r="MZ93" s="29"/>
      <c r="NA93" s="29"/>
      <c r="NB93" s="29"/>
      <c r="NC93" s="29"/>
      <c r="ND93" s="29"/>
      <c r="NE93" s="29"/>
      <c r="NF93" s="29"/>
      <c r="NG93" s="29"/>
      <c r="NH93" s="29"/>
      <c r="NI93" s="29"/>
      <c r="NJ93" s="29"/>
      <c r="NK93" s="29"/>
      <c r="NL93" s="29"/>
      <c r="NM93" s="29"/>
      <c r="NN93" s="29"/>
      <c r="NO93" s="29"/>
      <c r="NP93" s="29"/>
      <c r="NQ93" s="29"/>
      <c r="NR93" s="29"/>
      <c r="NS93" s="29"/>
      <c r="NT93" s="29"/>
      <c r="NU93" s="29"/>
      <c r="NV93" s="29"/>
      <c r="NW93" s="29"/>
      <c r="NX93" s="29"/>
      <c r="NY93" s="29"/>
      <c r="NZ93" s="29"/>
      <c r="OA93" s="29"/>
      <c r="OB93" s="29"/>
      <c r="OC93" s="29"/>
      <c r="OD93" s="29"/>
      <c r="OE93" s="29"/>
      <c r="OF93" s="29"/>
      <c r="OG93" s="29"/>
      <c r="OH93" s="29"/>
      <c r="OI93" s="29"/>
      <c r="OJ93" s="29"/>
      <c r="OK93" s="29"/>
      <c r="OL93" s="29"/>
      <c r="OM93" s="29"/>
      <c r="ON93" s="29"/>
      <c r="OO93" s="29"/>
      <c r="OP93" s="29"/>
      <c r="OQ93" s="29"/>
      <c r="OR93" s="29"/>
      <c r="OS93" s="29"/>
      <c r="OT93" s="29"/>
      <c r="OU93" s="29"/>
      <c r="OV93" s="29"/>
      <c r="OW93" s="29"/>
      <c r="OX93" s="29"/>
      <c r="OY93" s="29"/>
      <c r="OZ93" s="29"/>
      <c r="PA93" s="29"/>
      <c r="PB93" s="29"/>
      <c r="PC93" s="29"/>
      <c r="PD93" s="29"/>
      <c r="PE93" s="29"/>
      <c r="PF93" s="29"/>
      <c r="PG93" s="29"/>
      <c r="PH93" s="29"/>
      <c r="PI93" s="29"/>
      <c r="PJ93" s="29"/>
      <c r="PK93" s="29"/>
      <c r="PL93" s="29"/>
      <c r="PM93" s="29"/>
      <c r="PN93" s="29"/>
      <c r="PO93" s="29"/>
      <c r="PP93" s="29"/>
      <c r="PQ93" s="29"/>
      <c r="PR93" s="29"/>
      <c r="PS93" s="29"/>
      <c r="PT93" s="29"/>
      <c r="PU93" s="29"/>
      <c r="PV93" s="29"/>
      <c r="PW93" s="29"/>
      <c r="PX93" s="29"/>
      <c r="PY93" s="29"/>
      <c r="PZ93" s="29"/>
      <c r="QA93" s="29"/>
      <c r="QB93" s="29"/>
      <c r="QC93" s="29"/>
      <c r="QD93" s="29"/>
      <c r="QE93" s="29"/>
      <c r="QF93" s="29"/>
      <c r="QG93" s="29"/>
      <c r="QH93" s="29"/>
      <c r="QI93" s="29"/>
      <c r="QJ93" s="29"/>
      <c r="QK93" s="29"/>
      <c r="QL93" s="29"/>
      <c r="QM93" s="29"/>
      <c r="QN93" s="29"/>
      <c r="QO93" s="29"/>
      <c r="QP93" s="29"/>
      <c r="QQ93" s="29"/>
      <c r="QR93" s="29"/>
      <c r="QS93" s="29"/>
      <c r="QT93" s="29"/>
      <c r="QU93" s="29"/>
      <c r="QV93" s="29"/>
      <c r="QW93" s="29"/>
      <c r="QX93" s="29"/>
      <c r="QY93" s="29"/>
      <c r="QZ93" s="29"/>
      <c r="RA93" s="29"/>
      <c r="RB93" s="29"/>
      <c r="RC93" s="29"/>
      <c r="RD93" s="29"/>
      <c r="RE93" s="29"/>
      <c r="RF93" s="29"/>
      <c r="RG93" s="29"/>
      <c r="RH93" s="29"/>
      <c r="RI93" s="29"/>
      <c r="RJ93" s="29"/>
      <c r="RK93" s="29"/>
      <c r="RL93" s="29"/>
      <c r="RM93" s="29"/>
      <c r="RN93" s="29"/>
      <c r="RO93" s="29"/>
      <c r="RP93" s="29"/>
      <c r="RQ93" s="29"/>
      <c r="RR93" s="29"/>
      <c r="RS93" s="29"/>
      <c r="RT93" s="29"/>
      <c r="RU93" s="29"/>
      <c r="RV93" s="29"/>
      <c r="RW93" s="29"/>
      <c r="RX93" s="29"/>
      <c r="RY93" s="29"/>
      <c r="RZ93" s="29"/>
      <c r="SA93" s="29"/>
      <c r="SB93" s="29"/>
      <c r="SC93" s="29"/>
      <c r="SD93" s="29"/>
      <c r="SE93" s="29"/>
      <c r="SF93" s="29"/>
      <c r="SG93" s="29"/>
      <c r="SH93" s="29"/>
      <c r="SI93" s="29"/>
      <c r="SJ93" s="29"/>
      <c r="SK93" s="29"/>
      <c r="SL93" s="29"/>
      <c r="SM93" s="29"/>
      <c r="SN93" s="29"/>
      <c r="SO93" s="29"/>
      <c r="SP93" s="29"/>
      <c r="SQ93" s="29"/>
      <c r="SR93" s="29"/>
      <c r="SS93" s="29"/>
      <c r="ST93" s="29"/>
      <c r="SU93" s="29"/>
      <c r="SV93" s="29"/>
      <c r="SW93" s="29"/>
      <c r="SX93" s="29"/>
      <c r="SY93" s="29"/>
      <c r="SZ93" s="29"/>
      <c r="TA93" s="29"/>
      <c r="TB93" s="29"/>
      <c r="TC93" s="29"/>
      <c r="TD93" s="29"/>
      <c r="TE93" s="29"/>
      <c r="TF93" s="29"/>
      <c r="TG93" s="29"/>
      <c r="TH93" s="29"/>
      <c r="TI93" s="29"/>
      <c r="TJ93" s="29"/>
      <c r="TK93" s="29"/>
      <c r="TL93" s="29"/>
      <c r="TM93" s="29"/>
      <c r="TN93" s="29"/>
      <c r="TO93" s="29"/>
      <c r="TP93" s="29"/>
      <c r="TQ93" s="29"/>
      <c r="TR93" s="29"/>
      <c r="TS93" s="29"/>
      <c r="TT93" s="29"/>
      <c r="TU93" s="29"/>
      <c r="TV93" s="29"/>
      <c r="TW93" s="29"/>
      <c r="TX93" s="29"/>
      <c r="TY93" s="29"/>
      <c r="TZ93" s="29"/>
      <c r="UA93" s="29"/>
      <c r="UB93" s="29"/>
      <c r="UC93" s="29"/>
      <c r="UD93" s="29"/>
      <c r="UE93" s="29"/>
      <c r="UF93" s="29"/>
      <c r="UG93" s="29"/>
      <c r="UH93" s="29"/>
      <c r="UI93" s="29"/>
      <c r="UJ93" s="29"/>
      <c r="UK93" s="29"/>
      <c r="UL93" s="29"/>
      <c r="UM93" s="29"/>
      <c r="UN93" s="29"/>
      <c r="UO93" s="29"/>
      <c r="UP93" s="29"/>
      <c r="UQ93" s="29"/>
      <c r="UR93" s="29"/>
      <c r="US93" s="29"/>
      <c r="UT93" s="29"/>
      <c r="UU93" s="29"/>
      <c r="UV93" s="29"/>
      <c r="UW93" s="29"/>
      <c r="UX93" s="29"/>
      <c r="UY93" s="29"/>
      <c r="UZ93" s="29"/>
      <c r="VA93" s="29"/>
      <c r="VB93" s="29"/>
      <c r="VC93" s="29"/>
      <c r="VD93" s="29"/>
      <c r="VE93" s="29"/>
      <c r="VF93" s="29"/>
      <c r="VG93" s="29"/>
      <c r="VH93" s="29"/>
      <c r="VI93" s="29"/>
      <c r="VJ93" s="29"/>
      <c r="VK93" s="29"/>
      <c r="VL93" s="29"/>
      <c r="VM93" s="29"/>
      <c r="VN93" s="29"/>
      <c r="VO93" s="29"/>
      <c r="VP93" s="29"/>
      <c r="VQ93" s="29"/>
      <c r="VR93" s="29"/>
      <c r="VS93" s="29"/>
      <c r="VT93" s="29"/>
      <c r="VU93" s="29"/>
      <c r="VV93" s="29"/>
      <c r="VW93" s="29"/>
      <c r="VX93" s="29"/>
      <c r="VY93" s="29"/>
      <c r="VZ93" s="29"/>
      <c r="WA93" s="29"/>
      <c r="WB93" s="29"/>
      <c r="WC93" s="29"/>
      <c r="WD93" s="29"/>
      <c r="WE93" s="29"/>
      <c r="WF93" s="29"/>
      <c r="WG93" s="29"/>
      <c r="WH93" s="29"/>
      <c r="WI93" s="29"/>
      <c r="WJ93" s="29"/>
      <c r="WK93" s="29"/>
      <c r="WL93" s="29"/>
      <c r="WM93" s="29"/>
      <c r="WN93" s="29"/>
      <c r="WO93" s="29"/>
      <c r="WP93" s="29"/>
      <c r="WQ93" s="29"/>
      <c r="WR93" s="29"/>
      <c r="WS93" s="29"/>
    </row>
    <row r="94" spans="1:617" s="3" customFormat="1" ht="15" outlineLevel="1" thickBot="1">
      <c r="A94" s="33"/>
      <c r="B94" s="82" t="s">
        <v>239</v>
      </c>
      <c r="C94" s="138" t="s">
        <v>241</v>
      </c>
      <c r="D94" s="119">
        <v>45698</v>
      </c>
      <c r="E94" s="119">
        <v>45757</v>
      </c>
      <c r="F94" s="14"/>
      <c r="G94" s="14">
        <v>7</v>
      </c>
      <c r="H94" s="29"/>
      <c r="I94" s="29"/>
      <c r="J94" s="29"/>
      <c r="K94" s="29"/>
      <c r="L94" s="29"/>
      <c r="M94" s="29"/>
      <c r="N94" s="29"/>
      <c r="O94" s="29"/>
      <c r="P94" s="29"/>
      <c r="Q94" s="29"/>
      <c r="R94" s="29"/>
      <c r="S94" s="29"/>
      <c r="T94" s="29"/>
      <c r="U94" s="29"/>
      <c r="V94" s="29"/>
      <c r="W94" s="29"/>
      <c r="X94" s="29"/>
      <c r="Y94" s="29"/>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c r="MM94" s="29"/>
      <c r="MN94" s="29"/>
      <c r="MO94" s="29"/>
      <c r="MP94" s="29"/>
      <c r="MQ94" s="29"/>
      <c r="MR94" s="29"/>
      <c r="MS94" s="29"/>
      <c r="MT94" s="29"/>
      <c r="MU94" s="29"/>
      <c r="MV94" s="29"/>
      <c r="MW94" s="29"/>
      <c r="MX94" s="29"/>
      <c r="MY94" s="29"/>
      <c r="MZ94" s="29"/>
      <c r="NA94" s="29"/>
      <c r="NB94" s="29"/>
      <c r="NC94" s="29"/>
      <c r="ND94" s="29"/>
      <c r="NE94" s="29"/>
      <c r="NF94" s="29"/>
      <c r="NG94" s="29"/>
      <c r="NH94" s="29"/>
      <c r="NI94" s="29"/>
      <c r="NJ94" s="29"/>
      <c r="NK94" s="29"/>
      <c r="NL94" s="29"/>
      <c r="NM94" s="29"/>
      <c r="NN94" s="29"/>
      <c r="NO94" s="29"/>
      <c r="NP94" s="29"/>
      <c r="NQ94" s="29"/>
      <c r="NR94" s="29"/>
      <c r="NS94" s="29"/>
      <c r="NT94" s="29"/>
      <c r="NU94" s="29"/>
      <c r="NV94" s="29"/>
      <c r="NW94" s="29"/>
      <c r="NX94" s="29"/>
      <c r="NY94" s="29"/>
      <c r="NZ94" s="29"/>
      <c r="OA94" s="29"/>
      <c r="OB94" s="29"/>
      <c r="OC94" s="29"/>
      <c r="OD94" s="29"/>
      <c r="OE94" s="29"/>
      <c r="OF94" s="29"/>
      <c r="OG94" s="29"/>
      <c r="OH94" s="29"/>
      <c r="OI94" s="29"/>
      <c r="OJ94" s="29"/>
      <c r="OK94" s="29"/>
      <c r="OL94" s="29"/>
      <c r="OM94" s="29"/>
      <c r="ON94" s="29"/>
      <c r="OO94" s="29"/>
      <c r="OP94" s="29"/>
      <c r="OQ94" s="29"/>
      <c r="OR94" s="29"/>
      <c r="OS94" s="29"/>
      <c r="OT94" s="29"/>
      <c r="OU94" s="29"/>
      <c r="OV94" s="29"/>
      <c r="OW94" s="29"/>
      <c r="OX94" s="29"/>
      <c r="OY94" s="29"/>
      <c r="OZ94" s="29"/>
      <c r="PA94" s="29"/>
      <c r="PB94" s="29"/>
      <c r="PC94" s="29"/>
      <c r="PD94" s="29"/>
      <c r="PE94" s="29"/>
      <c r="PF94" s="29"/>
      <c r="PG94" s="29"/>
      <c r="PH94" s="29"/>
      <c r="PI94" s="29"/>
      <c r="PJ94" s="29"/>
      <c r="PK94" s="29"/>
      <c r="PL94" s="29"/>
      <c r="PM94" s="29"/>
      <c r="PN94" s="29"/>
      <c r="PO94" s="29"/>
      <c r="PP94" s="29"/>
      <c r="PQ94" s="29"/>
      <c r="PR94" s="29"/>
      <c r="PS94" s="29"/>
      <c r="PT94" s="29"/>
      <c r="PU94" s="29"/>
      <c r="PV94" s="29"/>
      <c r="PW94" s="29"/>
      <c r="PX94" s="29"/>
      <c r="PY94" s="29"/>
      <c r="PZ94" s="29"/>
      <c r="QA94" s="29"/>
      <c r="QB94" s="29"/>
      <c r="QC94" s="29"/>
      <c r="QD94" s="29"/>
      <c r="QE94" s="29"/>
      <c r="QF94" s="29"/>
      <c r="QG94" s="29"/>
      <c r="QH94" s="29"/>
      <c r="QI94" s="29"/>
      <c r="QJ94" s="29"/>
      <c r="QK94" s="29"/>
      <c r="QL94" s="29"/>
      <c r="QM94" s="29"/>
      <c r="QN94" s="29"/>
      <c r="QO94" s="29"/>
      <c r="QP94" s="29"/>
      <c r="QQ94" s="29"/>
      <c r="QR94" s="29"/>
      <c r="QS94" s="29"/>
      <c r="QT94" s="29"/>
      <c r="QU94" s="29"/>
      <c r="QV94" s="29"/>
      <c r="QW94" s="29"/>
      <c r="QX94" s="29"/>
      <c r="QY94" s="29"/>
      <c r="QZ94" s="29"/>
      <c r="RA94" s="29"/>
      <c r="RB94" s="29"/>
      <c r="RC94" s="29"/>
      <c r="RD94" s="29"/>
      <c r="RE94" s="29"/>
      <c r="RF94" s="29"/>
      <c r="RG94" s="29"/>
      <c r="RH94" s="29"/>
      <c r="RI94" s="29"/>
      <c r="RJ94" s="29"/>
      <c r="RK94" s="29"/>
      <c r="RL94" s="29"/>
      <c r="RM94" s="29"/>
      <c r="RN94" s="29"/>
      <c r="RO94" s="29"/>
      <c r="RP94" s="29"/>
      <c r="RQ94" s="29"/>
      <c r="RR94" s="29"/>
      <c r="RS94" s="29"/>
      <c r="RT94" s="29"/>
      <c r="RU94" s="29"/>
      <c r="RV94" s="29"/>
      <c r="RW94" s="29"/>
      <c r="RX94" s="29"/>
      <c r="RY94" s="29"/>
      <c r="RZ94" s="29"/>
      <c r="SA94" s="29"/>
      <c r="SB94" s="29"/>
      <c r="SC94" s="29"/>
      <c r="SD94" s="29"/>
      <c r="SE94" s="29"/>
      <c r="SF94" s="29"/>
      <c r="SG94" s="29"/>
      <c r="SH94" s="29"/>
      <c r="SI94" s="29"/>
      <c r="SJ94" s="29"/>
      <c r="SK94" s="29"/>
      <c r="SL94" s="29"/>
      <c r="SM94" s="29"/>
      <c r="SN94" s="29"/>
      <c r="SO94" s="29"/>
      <c r="SP94" s="29"/>
      <c r="SQ94" s="29"/>
      <c r="SR94" s="29"/>
      <c r="SS94" s="29"/>
      <c r="ST94" s="29"/>
      <c r="SU94" s="29"/>
      <c r="SV94" s="29"/>
      <c r="SW94" s="29"/>
      <c r="SX94" s="29"/>
      <c r="SY94" s="29"/>
      <c r="SZ94" s="29"/>
      <c r="TA94" s="29"/>
      <c r="TB94" s="29"/>
      <c r="TC94" s="29"/>
      <c r="TD94" s="29"/>
      <c r="TE94" s="29"/>
      <c r="TF94" s="29"/>
      <c r="TG94" s="29"/>
      <c r="TH94" s="29"/>
      <c r="TI94" s="29"/>
      <c r="TJ94" s="29"/>
      <c r="TK94" s="29"/>
      <c r="TL94" s="29"/>
      <c r="TM94" s="29"/>
      <c r="TN94" s="29"/>
      <c r="TO94" s="29"/>
      <c r="TP94" s="29"/>
      <c r="TQ94" s="29"/>
      <c r="TR94" s="29"/>
      <c r="TS94" s="29"/>
      <c r="TT94" s="29"/>
      <c r="TU94" s="29"/>
      <c r="TV94" s="29"/>
      <c r="TW94" s="29"/>
      <c r="TX94" s="29"/>
      <c r="TY94" s="29"/>
      <c r="TZ94" s="29"/>
      <c r="UA94" s="29"/>
      <c r="UB94" s="29"/>
      <c r="UC94" s="29"/>
      <c r="UD94" s="29"/>
      <c r="UE94" s="29"/>
      <c r="UF94" s="29"/>
      <c r="UG94" s="29"/>
      <c r="UH94" s="29"/>
      <c r="UI94" s="29"/>
      <c r="UJ94" s="29"/>
      <c r="UK94" s="29"/>
      <c r="UL94" s="29"/>
      <c r="UM94" s="29"/>
      <c r="UN94" s="29"/>
      <c r="UO94" s="29"/>
      <c r="UP94" s="29"/>
      <c r="UQ94" s="29"/>
      <c r="UR94" s="29"/>
      <c r="US94" s="29"/>
      <c r="UT94" s="29"/>
      <c r="UU94" s="29"/>
      <c r="UV94" s="29"/>
      <c r="UW94" s="29"/>
      <c r="UX94" s="29"/>
      <c r="UY94" s="29"/>
      <c r="UZ94" s="29"/>
      <c r="VA94" s="29"/>
      <c r="VB94" s="29"/>
      <c r="VC94" s="29"/>
      <c r="VD94" s="29"/>
      <c r="VE94" s="29"/>
      <c r="VF94" s="29"/>
      <c r="VG94" s="29"/>
      <c r="VH94" s="29"/>
      <c r="VI94" s="29"/>
      <c r="VJ94" s="29"/>
      <c r="VK94" s="29"/>
      <c r="VL94" s="29"/>
      <c r="VM94" s="29"/>
      <c r="VN94" s="29"/>
      <c r="VO94" s="29"/>
      <c r="VP94" s="29"/>
      <c r="VQ94" s="29"/>
      <c r="VR94" s="29"/>
      <c r="VS94" s="29"/>
      <c r="VT94" s="29"/>
      <c r="VU94" s="29"/>
      <c r="VV94" s="29"/>
      <c r="VW94" s="29"/>
      <c r="VX94" s="29"/>
      <c r="VY94" s="29"/>
      <c r="VZ94" s="29"/>
      <c r="WA94" s="29"/>
      <c r="WB94" s="29"/>
      <c r="WC94" s="29"/>
      <c r="WD94" s="29"/>
      <c r="WE94" s="29"/>
      <c r="WF94" s="29"/>
      <c r="WG94" s="29"/>
      <c r="WH94" s="29"/>
      <c r="WI94" s="29"/>
      <c r="WJ94" s="29"/>
      <c r="WK94" s="29"/>
      <c r="WL94" s="29"/>
      <c r="WM94" s="29"/>
      <c r="WN94" s="29"/>
      <c r="WO94" s="29"/>
      <c r="WP94" s="29"/>
      <c r="WQ94" s="29"/>
      <c r="WR94" s="29"/>
      <c r="WS94" s="29"/>
    </row>
    <row r="95" spans="1:617" s="3" customFormat="1" ht="15" outlineLevel="1" thickBot="1">
      <c r="A95" s="33"/>
      <c r="B95" s="242" t="s">
        <v>242</v>
      </c>
      <c r="C95" s="242"/>
      <c r="D95" s="242"/>
      <c r="E95" s="242"/>
      <c r="F95" s="14"/>
      <c r="G95" s="14" t="str">
        <f t="shared" ca="1" si="586"/>
        <v/>
      </c>
      <c r="H95" s="29"/>
      <c r="I95" s="29"/>
      <c r="J95" s="29"/>
      <c r="K95" s="29"/>
      <c r="L95" s="29"/>
      <c r="M95" s="29"/>
      <c r="N95" s="29"/>
      <c r="O95" s="29"/>
      <c r="P95" s="29"/>
      <c r="Q95" s="29"/>
      <c r="R95" s="29"/>
      <c r="S95" s="29"/>
      <c r="T95" s="29"/>
      <c r="U95" s="29"/>
      <c r="V95" s="29"/>
      <c r="W95" s="29"/>
      <c r="X95" s="29"/>
      <c r="Y95" s="29"/>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c r="MM95" s="29"/>
      <c r="MN95" s="29"/>
      <c r="MO95" s="29"/>
      <c r="MP95" s="29"/>
      <c r="MQ95" s="29"/>
      <c r="MR95" s="29"/>
      <c r="MS95" s="29"/>
      <c r="MT95" s="29"/>
      <c r="MU95" s="29"/>
      <c r="MV95" s="29"/>
      <c r="MW95" s="29"/>
      <c r="MX95" s="29"/>
      <c r="MY95" s="29"/>
      <c r="MZ95" s="29"/>
      <c r="NA95" s="29"/>
      <c r="NB95" s="29"/>
      <c r="NC95" s="29"/>
      <c r="ND95" s="29"/>
      <c r="NE95" s="29"/>
      <c r="NF95" s="29"/>
      <c r="NG95" s="29"/>
      <c r="NH95" s="29"/>
      <c r="NI95" s="29"/>
      <c r="NJ95" s="29"/>
      <c r="NK95" s="29"/>
      <c r="NL95" s="29"/>
      <c r="NM95" s="29"/>
      <c r="NN95" s="29"/>
      <c r="NO95" s="29"/>
      <c r="NP95" s="29"/>
      <c r="NQ95" s="29"/>
      <c r="NR95" s="29"/>
      <c r="NS95" s="29"/>
      <c r="NT95" s="29"/>
      <c r="NU95" s="29"/>
      <c r="NV95" s="29"/>
      <c r="NW95" s="29"/>
      <c r="NX95" s="29"/>
      <c r="NY95" s="29"/>
      <c r="NZ95" s="29"/>
      <c r="OA95" s="29"/>
      <c r="OB95" s="29"/>
      <c r="OC95" s="29"/>
      <c r="OD95" s="29"/>
      <c r="OE95" s="29"/>
      <c r="OF95" s="29"/>
      <c r="OG95" s="29"/>
      <c r="OH95" s="29"/>
      <c r="OI95" s="29"/>
      <c r="OJ95" s="29"/>
      <c r="OK95" s="29"/>
      <c r="OL95" s="29"/>
      <c r="OM95" s="29"/>
      <c r="ON95" s="29"/>
      <c r="OO95" s="29"/>
      <c r="OP95" s="29"/>
      <c r="OQ95" s="29"/>
      <c r="OR95" s="29"/>
      <c r="OS95" s="29"/>
      <c r="OT95" s="29"/>
      <c r="OU95" s="29"/>
      <c r="OV95" s="29"/>
      <c r="OW95" s="29"/>
      <c r="OX95" s="29"/>
      <c r="OY95" s="29"/>
      <c r="OZ95" s="29"/>
      <c r="PA95" s="29"/>
      <c r="PB95" s="29"/>
      <c r="PC95" s="29"/>
      <c r="PD95" s="29"/>
      <c r="PE95" s="29"/>
      <c r="PF95" s="29"/>
      <c r="PG95" s="29"/>
      <c r="PH95" s="29"/>
      <c r="PI95" s="29"/>
      <c r="PJ95" s="29"/>
      <c r="PK95" s="29"/>
      <c r="PL95" s="29"/>
      <c r="PM95" s="29"/>
      <c r="PN95" s="29"/>
      <c r="PO95" s="29"/>
      <c r="PP95" s="29"/>
      <c r="PQ95" s="29"/>
      <c r="PR95" s="29"/>
      <c r="PS95" s="29"/>
      <c r="PT95" s="29"/>
      <c r="PU95" s="29"/>
      <c r="PV95" s="29"/>
      <c r="PW95" s="29"/>
      <c r="PX95" s="29"/>
      <c r="PY95" s="29"/>
      <c r="PZ95" s="29"/>
      <c r="QA95" s="29"/>
      <c r="QB95" s="29"/>
      <c r="QC95" s="29"/>
      <c r="QD95" s="29"/>
      <c r="QE95" s="29"/>
      <c r="QF95" s="29"/>
      <c r="QG95" s="29"/>
      <c r="QH95" s="29"/>
      <c r="QI95" s="29"/>
      <c r="QJ95" s="29"/>
      <c r="QK95" s="29"/>
      <c r="QL95" s="29"/>
      <c r="QM95" s="29"/>
      <c r="QN95" s="29"/>
      <c r="QO95" s="29"/>
      <c r="QP95" s="29"/>
      <c r="QQ95" s="29"/>
      <c r="QR95" s="29"/>
      <c r="QS95" s="29"/>
      <c r="QT95" s="29"/>
      <c r="QU95" s="29"/>
      <c r="QV95" s="29"/>
      <c r="QW95" s="29"/>
      <c r="QX95" s="29"/>
      <c r="QY95" s="29"/>
      <c r="QZ95" s="29"/>
      <c r="RA95" s="29"/>
      <c r="RB95" s="29"/>
      <c r="RC95" s="29"/>
      <c r="RD95" s="29"/>
      <c r="RE95" s="29"/>
      <c r="RF95" s="29"/>
      <c r="RG95" s="29"/>
      <c r="RH95" s="29"/>
      <c r="RI95" s="29"/>
      <c r="RJ95" s="29"/>
      <c r="RK95" s="29"/>
      <c r="RL95" s="29"/>
      <c r="RM95" s="29"/>
      <c r="RN95" s="29"/>
      <c r="RO95" s="29"/>
      <c r="RP95" s="29"/>
      <c r="RQ95" s="29"/>
      <c r="RR95" s="29"/>
      <c r="RS95" s="29"/>
      <c r="RT95" s="29"/>
      <c r="RU95" s="29"/>
      <c r="RV95" s="29"/>
      <c r="RW95" s="29"/>
      <c r="RX95" s="29"/>
      <c r="RY95" s="29"/>
      <c r="RZ95" s="29"/>
      <c r="SA95" s="29"/>
      <c r="SB95" s="29"/>
      <c r="SC95" s="29"/>
      <c r="SD95" s="29"/>
      <c r="SE95" s="29"/>
      <c r="SF95" s="29"/>
      <c r="SG95" s="29"/>
      <c r="SH95" s="29"/>
      <c r="SI95" s="29"/>
      <c r="SJ95" s="29"/>
      <c r="SK95" s="29"/>
      <c r="SL95" s="29"/>
      <c r="SM95" s="29"/>
      <c r="SN95" s="29"/>
      <c r="SO95" s="29"/>
      <c r="SP95" s="29"/>
      <c r="SQ95" s="29"/>
      <c r="SR95" s="29"/>
      <c r="SS95" s="29"/>
      <c r="ST95" s="29"/>
      <c r="SU95" s="29"/>
      <c r="SV95" s="29"/>
      <c r="SW95" s="29"/>
      <c r="SX95" s="29"/>
      <c r="SY95" s="29"/>
      <c r="SZ95" s="29"/>
      <c r="TA95" s="29"/>
      <c r="TB95" s="29"/>
      <c r="TC95" s="29"/>
      <c r="TD95" s="29"/>
      <c r="TE95" s="29"/>
      <c r="TF95" s="29"/>
      <c r="TG95" s="29"/>
      <c r="TH95" s="29"/>
      <c r="TI95" s="29"/>
      <c r="TJ95" s="29"/>
      <c r="TK95" s="29"/>
      <c r="TL95" s="29"/>
      <c r="TM95" s="29"/>
      <c r="TN95" s="29"/>
      <c r="TO95" s="29"/>
      <c r="TP95" s="29"/>
      <c r="TQ95" s="29"/>
      <c r="TR95" s="29"/>
      <c r="TS95" s="29"/>
      <c r="TT95" s="29"/>
      <c r="TU95" s="29"/>
      <c r="TV95" s="29"/>
      <c r="TW95" s="29"/>
      <c r="TX95" s="29"/>
      <c r="TY95" s="29"/>
      <c r="TZ95" s="29"/>
      <c r="UA95" s="29"/>
      <c r="UB95" s="29"/>
      <c r="UC95" s="29"/>
      <c r="UD95" s="29"/>
      <c r="UE95" s="29"/>
      <c r="UF95" s="29"/>
      <c r="UG95" s="29"/>
      <c r="UH95" s="29"/>
      <c r="UI95" s="29"/>
      <c r="UJ95" s="29"/>
      <c r="UK95" s="29"/>
      <c r="UL95" s="29"/>
      <c r="UM95" s="29"/>
      <c r="UN95" s="29"/>
      <c r="UO95" s="29"/>
      <c r="UP95" s="29"/>
      <c r="UQ95" s="29"/>
      <c r="UR95" s="29"/>
      <c r="US95" s="29"/>
      <c r="UT95" s="29"/>
      <c r="UU95" s="29"/>
      <c r="UV95" s="29"/>
      <c r="UW95" s="29"/>
      <c r="UX95" s="29"/>
      <c r="UY95" s="29"/>
      <c r="UZ95" s="29"/>
      <c r="VA95" s="29"/>
      <c r="VB95" s="29"/>
      <c r="VC95" s="29"/>
      <c r="VD95" s="29"/>
      <c r="VE95" s="29"/>
      <c r="VF95" s="29"/>
      <c r="VG95" s="29"/>
      <c r="VH95" s="29"/>
      <c r="VI95" s="29"/>
      <c r="VJ95" s="29"/>
      <c r="VK95" s="29"/>
      <c r="VL95" s="29"/>
      <c r="VM95" s="29"/>
      <c r="VN95" s="29"/>
      <c r="VO95" s="29"/>
      <c r="VP95" s="29"/>
      <c r="VQ95" s="29"/>
      <c r="VR95" s="29"/>
      <c r="VS95" s="29"/>
      <c r="VT95" s="29"/>
      <c r="VU95" s="29"/>
      <c r="VV95" s="29"/>
      <c r="VW95" s="29"/>
      <c r="VX95" s="29"/>
      <c r="VY95" s="29"/>
      <c r="VZ95" s="29"/>
      <c r="WA95" s="29"/>
      <c r="WB95" s="29"/>
      <c r="WC95" s="29"/>
      <c r="WD95" s="29"/>
      <c r="WE95" s="29"/>
      <c r="WF95" s="29"/>
      <c r="WG95" s="29"/>
      <c r="WH95" s="29"/>
      <c r="WI95" s="29"/>
      <c r="WJ95" s="29"/>
      <c r="WK95" s="29"/>
      <c r="WL95" s="29"/>
      <c r="WM95" s="29"/>
      <c r="WN95" s="29"/>
      <c r="WO95" s="29"/>
      <c r="WP95" s="29"/>
      <c r="WQ95" s="29"/>
      <c r="WR95" s="29"/>
      <c r="WS95" s="29"/>
    </row>
    <row r="96" spans="1:617" s="3" customFormat="1" ht="15" outlineLevel="1" thickBot="1">
      <c r="A96" s="33" t="s">
        <v>237</v>
      </c>
      <c r="B96" s="85" t="s">
        <v>243</v>
      </c>
      <c r="C96" s="139" t="s">
        <v>244</v>
      </c>
      <c r="D96" s="120">
        <v>45866</v>
      </c>
      <c r="E96" s="120">
        <v>45891</v>
      </c>
      <c r="F96" s="14"/>
      <c r="G96" s="14">
        <f>E96-D96</f>
        <v>25</v>
      </c>
      <c r="H96" s="29"/>
      <c r="I96" s="29"/>
      <c r="J96" s="29"/>
      <c r="K96" s="29"/>
      <c r="L96" s="29"/>
      <c r="M96" s="29"/>
      <c r="N96" s="29"/>
      <c r="O96" s="29"/>
      <c r="P96" s="29"/>
      <c r="Q96" s="29"/>
      <c r="R96" s="29"/>
      <c r="S96" s="29"/>
      <c r="T96" s="29"/>
      <c r="U96" s="29"/>
      <c r="V96" s="29"/>
      <c r="W96" s="29"/>
      <c r="X96" s="29"/>
      <c r="Y96" s="29"/>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c r="MM96" s="29"/>
      <c r="MN96" s="29"/>
      <c r="MO96" s="29"/>
      <c r="MP96" s="29"/>
      <c r="MQ96" s="29"/>
      <c r="MR96" s="29"/>
      <c r="MS96" s="29"/>
      <c r="MT96" s="29"/>
      <c r="MU96" s="29"/>
      <c r="MV96" s="29"/>
      <c r="MW96" s="29"/>
      <c r="MX96" s="29"/>
      <c r="MY96" s="29"/>
      <c r="MZ96" s="29"/>
      <c r="NA96" s="29"/>
      <c r="NB96" s="29"/>
      <c r="NC96" s="29"/>
      <c r="ND96" s="29"/>
      <c r="NE96" s="29"/>
      <c r="NF96" s="29"/>
      <c r="NG96" s="29"/>
      <c r="NH96" s="29"/>
      <c r="NI96" s="29"/>
      <c r="NJ96" s="29"/>
      <c r="NK96" s="29"/>
      <c r="NL96" s="29"/>
      <c r="NM96" s="29"/>
      <c r="NN96" s="29"/>
      <c r="NO96" s="29"/>
      <c r="NP96" s="29"/>
      <c r="NQ96" s="29"/>
      <c r="NR96" s="29"/>
      <c r="NS96" s="29"/>
      <c r="NT96" s="29"/>
      <c r="NU96" s="29"/>
      <c r="NV96" s="29"/>
      <c r="NW96" s="29"/>
      <c r="NX96" s="29"/>
      <c r="NY96" s="29"/>
      <c r="NZ96" s="29"/>
      <c r="OA96" s="29"/>
      <c r="OB96" s="29"/>
      <c r="OC96" s="29"/>
      <c r="OD96" s="29"/>
      <c r="OE96" s="29"/>
      <c r="OF96" s="29"/>
      <c r="OG96" s="29"/>
      <c r="OH96" s="29"/>
      <c r="OI96" s="29"/>
      <c r="OJ96" s="29"/>
      <c r="OK96" s="29"/>
      <c r="OL96" s="29"/>
      <c r="OM96" s="29"/>
      <c r="ON96" s="29"/>
      <c r="OO96" s="29"/>
      <c r="OP96" s="29"/>
      <c r="OQ96" s="29"/>
      <c r="OR96" s="29"/>
      <c r="OS96" s="29"/>
      <c r="OT96" s="29"/>
      <c r="OU96" s="29"/>
      <c r="OV96" s="29"/>
      <c r="OW96" s="29"/>
      <c r="OX96" s="29"/>
      <c r="OY96" s="29"/>
      <c r="OZ96" s="29"/>
      <c r="PA96" s="29"/>
      <c r="PB96" s="29"/>
      <c r="PC96" s="29"/>
      <c r="PD96" s="29"/>
      <c r="PE96" s="29"/>
      <c r="PF96" s="29"/>
      <c r="PG96" s="29"/>
      <c r="PH96" s="29"/>
      <c r="PI96" s="29"/>
      <c r="PJ96" s="29"/>
      <c r="PK96" s="29"/>
      <c r="PL96" s="29"/>
      <c r="PM96" s="29"/>
      <c r="PN96" s="29"/>
      <c r="PO96" s="29"/>
      <c r="PP96" s="29"/>
      <c r="PQ96" s="29"/>
      <c r="PR96" s="29"/>
      <c r="PS96" s="29"/>
      <c r="PT96" s="29"/>
      <c r="PU96" s="29"/>
      <c r="PV96" s="29"/>
      <c r="PW96" s="29"/>
      <c r="PX96" s="29"/>
      <c r="PY96" s="29"/>
      <c r="PZ96" s="29"/>
      <c r="QA96" s="29"/>
      <c r="QB96" s="29"/>
      <c r="QC96" s="29"/>
      <c r="QD96" s="29"/>
      <c r="QE96" s="29"/>
      <c r="QF96" s="29"/>
      <c r="QG96" s="29"/>
      <c r="QH96" s="29"/>
      <c r="QI96" s="29"/>
      <c r="QJ96" s="29"/>
      <c r="QK96" s="29"/>
      <c r="QL96" s="29"/>
      <c r="QM96" s="29"/>
      <c r="QN96" s="29"/>
      <c r="QO96" s="29"/>
      <c r="QP96" s="29"/>
      <c r="QQ96" s="29"/>
      <c r="QR96" s="29"/>
      <c r="QS96" s="29"/>
      <c r="QT96" s="29"/>
      <c r="QU96" s="29"/>
      <c r="QV96" s="29"/>
      <c r="QW96" s="29"/>
      <c r="QX96" s="29"/>
      <c r="QY96" s="29"/>
      <c r="QZ96" s="29"/>
      <c r="RA96" s="29"/>
      <c r="RB96" s="29"/>
      <c r="RC96" s="29"/>
      <c r="RD96" s="29"/>
      <c r="RE96" s="29"/>
      <c r="RF96" s="29"/>
      <c r="RG96" s="29"/>
      <c r="RH96" s="29"/>
      <c r="RI96" s="29"/>
      <c r="RJ96" s="29"/>
      <c r="RK96" s="29"/>
      <c r="RL96" s="29"/>
      <c r="RM96" s="29"/>
      <c r="RN96" s="29"/>
      <c r="RO96" s="29"/>
      <c r="RP96" s="29"/>
      <c r="RQ96" s="29"/>
      <c r="RR96" s="29"/>
      <c r="RS96" s="29"/>
      <c r="RT96" s="29"/>
      <c r="RU96" s="29"/>
      <c r="RV96" s="29"/>
      <c r="RW96" s="29"/>
      <c r="RX96" s="29"/>
      <c r="RY96" s="29"/>
      <c r="RZ96" s="29"/>
      <c r="SA96" s="29"/>
      <c r="SB96" s="29"/>
      <c r="SC96" s="29"/>
      <c r="SD96" s="29"/>
      <c r="SE96" s="29"/>
      <c r="SF96" s="29"/>
      <c r="SG96" s="29"/>
      <c r="SH96" s="29"/>
      <c r="SI96" s="29"/>
      <c r="SJ96" s="29"/>
      <c r="SK96" s="29"/>
      <c r="SL96" s="29"/>
      <c r="SM96" s="29"/>
      <c r="SN96" s="29"/>
      <c r="SO96" s="29"/>
      <c r="SP96" s="29"/>
      <c r="SQ96" s="29"/>
      <c r="SR96" s="29"/>
      <c r="SS96" s="29"/>
      <c r="ST96" s="29"/>
      <c r="SU96" s="29"/>
      <c r="SV96" s="29"/>
      <c r="SW96" s="29"/>
      <c r="SX96" s="29"/>
      <c r="SY96" s="29"/>
      <c r="SZ96" s="29"/>
      <c r="TA96" s="29"/>
      <c r="TB96" s="29"/>
      <c r="TC96" s="29"/>
      <c r="TD96" s="29"/>
      <c r="TE96" s="29"/>
      <c r="TF96" s="29"/>
      <c r="TG96" s="29"/>
      <c r="TH96" s="29"/>
      <c r="TI96" s="29"/>
      <c r="TJ96" s="29"/>
      <c r="TK96" s="29"/>
      <c r="TL96" s="29"/>
      <c r="TM96" s="29"/>
      <c r="TN96" s="29"/>
      <c r="TO96" s="29"/>
      <c r="TP96" s="29"/>
      <c r="TQ96" s="29"/>
      <c r="TR96" s="29"/>
      <c r="TS96" s="29"/>
      <c r="TT96" s="29"/>
      <c r="TU96" s="29"/>
      <c r="TV96" s="29"/>
      <c r="TW96" s="29"/>
      <c r="TX96" s="29"/>
      <c r="TY96" s="29"/>
      <c r="TZ96" s="29"/>
      <c r="UA96" s="29"/>
      <c r="UB96" s="29"/>
      <c r="UC96" s="29"/>
      <c r="UD96" s="29"/>
      <c r="UE96" s="29"/>
      <c r="UF96" s="29"/>
      <c r="UG96" s="29"/>
      <c r="UH96" s="29"/>
      <c r="UI96" s="29"/>
      <c r="UJ96" s="29"/>
      <c r="UK96" s="29"/>
      <c r="UL96" s="29"/>
      <c r="UM96" s="29"/>
      <c r="UN96" s="29"/>
      <c r="UO96" s="29"/>
      <c r="UP96" s="29"/>
      <c r="UQ96" s="29"/>
      <c r="UR96" s="29"/>
      <c r="US96" s="29"/>
      <c r="UT96" s="29"/>
      <c r="UU96" s="29"/>
      <c r="UV96" s="29"/>
      <c r="UW96" s="29"/>
      <c r="UX96" s="29"/>
      <c r="UY96" s="29"/>
      <c r="UZ96" s="29"/>
      <c r="VA96" s="29"/>
      <c r="VB96" s="29"/>
      <c r="VC96" s="29"/>
      <c r="VD96" s="29"/>
      <c r="VE96" s="29"/>
      <c r="VF96" s="29"/>
      <c r="VG96" s="29"/>
      <c r="VH96" s="29"/>
      <c r="VI96" s="29"/>
      <c r="VJ96" s="29"/>
      <c r="VK96" s="29"/>
      <c r="VL96" s="29"/>
      <c r="VM96" s="29"/>
      <c r="VN96" s="29"/>
      <c r="VO96" s="29"/>
      <c r="VP96" s="29"/>
      <c r="VQ96" s="29"/>
      <c r="VR96" s="29"/>
      <c r="VS96" s="29"/>
      <c r="VT96" s="29"/>
      <c r="VU96" s="29"/>
      <c r="VV96" s="29"/>
      <c r="VW96" s="29"/>
      <c r="VX96" s="29"/>
      <c r="VY96" s="29"/>
      <c r="VZ96" s="29"/>
      <c r="WA96" s="29"/>
      <c r="WB96" s="29"/>
      <c r="WC96" s="29"/>
      <c r="WD96" s="29"/>
      <c r="WE96" s="29"/>
      <c r="WF96" s="29"/>
      <c r="WG96" s="29"/>
      <c r="WH96" s="29"/>
      <c r="WI96" s="29"/>
      <c r="WJ96" s="29"/>
      <c r="WK96" s="29"/>
      <c r="WL96" s="29"/>
      <c r="WM96" s="29"/>
      <c r="WN96" s="29"/>
      <c r="WO96" s="29"/>
      <c r="WP96" s="29"/>
      <c r="WQ96" s="29"/>
      <c r="WR96" s="29"/>
      <c r="WS96" s="29"/>
    </row>
    <row r="97" spans="1:617" s="3" customFormat="1" ht="15" outlineLevel="1" thickBot="1">
      <c r="A97" s="33"/>
      <c r="B97" s="85" t="s">
        <v>243</v>
      </c>
      <c r="C97" s="139" t="s">
        <v>245</v>
      </c>
      <c r="D97" s="120">
        <v>45922</v>
      </c>
      <c r="E97" s="120">
        <v>45975</v>
      </c>
      <c r="F97" s="14"/>
      <c r="G97" s="14">
        <f t="shared" ref="G97:G99" si="596">E97-D97</f>
        <v>53</v>
      </c>
      <c r="H97" s="29"/>
      <c r="I97" s="29"/>
      <c r="J97" s="29"/>
      <c r="K97" s="29"/>
      <c r="L97" s="29"/>
      <c r="M97" s="29"/>
      <c r="N97" s="29"/>
      <c r="O97" s="29"/>
      <c r="P97" s="29"/>
      <c r="Q97" s="29"/>
      <c r="R97" s="29"/>
      <c r="S97" s="29"/>
      <c r="T97" s="29"/>
      <c r="U97" s="29"/>
      <c r="V97" s="29"/>
      <c r="W97" s="29"/>
      <c r="X97" s="29"/>
      <c r="Y97" s="29"/>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c r="MM97" s="29"/>
      <c r="MN97" s="29"/>
      <c r="MO97" s="29"/>
      <c r="MP97" s="29"/>
      <c r="MQ97" s="29"/>
      <c r="MR97" s="29"/>
      <c r="MS97" s="29"/>
      <c r="MT97" s="29"/>
      <c r="MU97" s="29"/>
      <c r="MV97" s="29"/>
      <c r="MW97" s="29"/>
      <c r="MX97" s="29"/>
      <c r="MY97" s="29"/>
      <c r="MZ97" s="29"/>
      <c r="NA97" s="29"/>
      <c r="NB97" s="29"/>
      <c r="NC97" s="29"/>
      <c r="ND97" s="29"/>
      <c r="NE97" s="29"/>
      <c r="NF97" s="29"/>
      <c r="NG97" s="29"/>
      <c r="NH97" s="29"/>
      <c r="NI97" s="29"/>
      <c r="NJ97" s="29"/>
      <c r="NK97" s="29"/>
      <c r="NL97" s="29"/>
      <c r="NM97" s="29"/>
      <c r="NN97" s="29"/>
      <c r="NO97" s="29"/>
      <c r="NP97" s="29"/>
      <c r="NQ97" s="29"/>
      <c r="NR97" s="29"/>
      <c r="NS97" s="29"/>
      <c r="NT97" s="29"/>
      <c r="NU97" s="29"/>
      <c r="NV97" s="29"/>
      <c r="NW97" s="29"/>
      <c r="NX97" s="29"/>
      <c r="NY97" s="29"/>
      <c r="NZ97" s="29"/>
      <c r="OA97" s="29"/>
      <c r="OB97" s="29"/>
      <c r="OC97" s="29"/>
      <c r="OD97" s="29"/>
      <c r="OE97" s="29"/>
      <c r="OF97" s="29"/>
      <c r="OG97" s="29"/>
      <c r="OH97" s="29"/>
      <c r="OI97" s="29"/>
      <c r="OJ97" s="29"/>
      <c r="OK97" s="29"/>
      <c r="OL97" s="29"/>
      <c r="OM97" s="29"/>
      <c r="ON97" s="29"/>
      <c r="OO97" s="29"/>
      <c r="OP97" s="29"/>
      <c r="OQ97" s="29"/>
      <c r="OR97" s="29"/>
      <c r="OS97" s="29"/>
      <c r="OT97" s="29"/>
      <c r="OU97" s="29"/>
      <c r="OV97" s="29"/>
      <c r="OW97" s="29"/>
      <c r="OX97" s="29"/>
      <c r="OY97" s="29"/>
      <c r="OZ97" s="29"/>
      <c r="PA97" s="29"/>
      <c r="PB97" s="29"/>
      <c r="PC97" s="29"/>
      <c r="PD97" s="29"/>
      <c r="PE97" s="29"/>
      <c r="PF97" s="29"/>
      <c r="PG97" s="29"/>
      <c r="PH97" s="29"/>
      <c r="PI97" s="29"/>
      <c r="PJ97" s="29"/>
      <c r="PK97" s="29"/>
      <c r="PL97" s="29"/>
      <c r="PM97" s="29"/>
      <c r="PN97" s="29"/>
      <c r="PO97" s="29"/>
      <c r="PP97" s="29"/>
      <c r="PQ97" s="29"/>
      <c r="PR97" s="29"/>
      <c r="PS97" s="29"/>
      <c r="PT97" s="29"/>
      <c r="PU97" s="29"/>
      <c r="PV97" s="29"/>
      <c r="PW97" s="29"/>
      <c r="PX97" s="29"/>
      <c r="PY97" s="29"/>
      <c r="PZ97" s="29"/>
      <c r="QA97" s="29"/>
      <c r="QB97" s="29"/>
      <c r="QC97" s="29"/>
      <c r="QD97" s="29"/>
      <c r="QE97" s="29"/>
      <c r="QF97" s="29"/>
      <c r="QG97" s="29"/>
      <c r="QH97" s="29"/>
      <c r="QI97" s="29"/>
      <c r="QJ97" s="29"/>
      <c r="QK97" s="29"/>
      <c r="QL97" s="29"/>
      <c r="QM97" s="29"/>
      <c r="QN97" s="29"/>
      <c r="QO97" s="29"/>
      <c r="QP97" s="29"/>
      <c r="QQ97" s="29"/>
      <c r="QR97" s="29"/>
      <c r="QS97" s="29"/>
      <c r="QT97" s="29"/>
      <c r="QU97" s="29"/>
      <c r="QV97" s="29"/>
      <c r="QW97" s="29"/>
      <c r="QX97" s="29"/>
      <c r="QY97" s="29"/>
      <c r="QZ97" s="29"/>
      <c r="RA97" s="29"/>
      <c r="RB97" s="29"/>
      <c r="RC97" s="29"/>
      <c r="RD97" s="29"/>
      <c r="RE97" s="29"/>
      <c r="RF97" s="29"/>
      <c r="RG97" s="29"/>
      <c r="RH97" s="29"/>
      <c r="RI97" s="29"/>
      <c r="RJ97" s="29"/>
      <c r="RK97" s="29"/>
      <c r="RL97" s="29"/>
      <c r="RM97" s="29"/>
      <c r="RN97" s="29"/>
      <c r="RO97" s="29"/>
      <c r="RP97" s="29"/>
      <c r="RQ97" s="29"/>
      <c r="RR97" s="29"/>
      <c r="RS97" s="29"/>
      <c r="RT97" s="29"/>
      <c r="RU97" s="29"/>
      <c r="RV97" s="29"/>
      <c r="RW97" s="29"/>
      <c r="RX97" s="29"/>
      <c r="RY97" s="29"/>
      <c r="RZ97" s="29"/>
      <c r="SA97" s="29"/>
      <c r="SB97" s="29"/>
      <c r="SC97" s="29"/>
      <c r="SD97" s="29"/>
      <c r="SE97" s="29"/>
      <c r="SF97" s="29"/>
      <c r="SG97" s="29"/>
      <c r="SH97" s="29"/>
      <c r="SI97" s="29"/>
      <c r="SJ97" s="29"/>
      <c r="SK97" s="29"/>
      <c r="SL97" s="29"/>
      <c r="SM97" s="29"/>
      <c r="SN97" s="29"/>
      <c r="SO97" s="29"/>
      <c r="SP97" s="29"/>
      <c r="SQ97" s="29"/>
      <c r="SR97" s="29"/>
      <c r="SS97" s="29"/>
      <c r="ST97" s="29"/>
      <c r="SU97" s="29"/>
      <c r="SV97" s="29"/>
      <c r="SW97" s="29"/>
      <c r="SX97" s="29"/>
      <c r="SY97" s="29"/>
      <c r="SZ97" s="29"/>
      <c r="TA97" s="29"/>
      <c r="TB97" s="29"/>
      <c r="TC97" s="29"/>
      <c r="TD97" s="29"/>
      <c r="TE97" s="29"/>
      <c r="TF97" s="29"/>
      <c r="TG97" s="29"/>
      <c r="TH97" s="29"/>
      <c r="TI97" s="29"/>
      <c r="TJ97" s="29"/>
      <c r="TK97" s="29"/>
      <c r="TL97" s="29"/>
      <c r="TM97" s="29"/>
      <c r="TN97" s="29"/>
      <c r="TO97" s="29"/>
      <c r="TP97" s="29"/>
      <c r="TQ97" s="29"/>
      <c r="TR97" s="29"/>
      <c r="TS97" s="29"/>
      <c r="TT97" s="29"/>
      <c r="TU97" s="29"/>
      <c r="TV97" s="29"/>
      <c r="TW97" s="29"/>
      <c r="TX97" s="29"/>
      <c r="TY97" s="29"/>
      <c r="TZ97" s="29"/>
      <c r="UA97" s="29"/>
      <c r="UB97" s="29"/>
      <c r="UC97" s="29"/>
      <c r="UD97" s="29"/>
      <c r="UE97" s="29"/>
      <c r="UF97" s="29"/>
      <c r="UG97" s="29"/>
      <c r="UH97" s="29"/>
      <c r="UI97" s="29"/>
      <c r="UJ97" s="29"/>
      <c r="UK97" s="29"/>
      <c r="UL97" s="29"/>
      <c r="UM97" s="29"/>
      <c r="UN97" s="29"/>
      <c r="UO97" s="29"/>
      <c r="UP97" s="29"/>
      <c r="UQ97" s="29"/>
      <c r="UR97" s="29"/>
      <c r="US97" s="29"/>
      <c r="UT97" s="29"/>
      <c r="UU97" s="29"/>
      <c r="UV97" s="29"/>
      <c r="UW97" s="29"/>
      <c r="UX97" s="29"/>
      <c r="UY97" s="29"/>
      <c r="UZ97" s="29"/>
      <c r="VA97" s="29"/>
      <c r="VB97" s="29"/>
      <c r="VC97" s="29"/>
      <c r="VD97" s="29"/>
      <c r="VE97" s="29"/>
      <c r="VF97" s="29"/>
      <c r="VG97" s="29"/>
      <c r="VH97" s="29"/>
      <c r="VI97" s="29"/>
      <c r="VJ97" s="29"/>
      <c r="VK97" s="29"/>
      <c r="VL97" s="29"/>
      <c r="VM97" s="29"/>
      <c r="VN97" s="29"/>
      <c r="VO97" s="29"/>
      <c r="VP97" s="29"/>
      <c r="VQ97" s="29"/>
      <c r="VR97" s="29"/>
      <c r="VS97" s="29"/>
      <c r="VT97" s="29"/>
      <c r="VU97" s="29"/>
      <c r="VV97" s="29"/>
      <c r="VW97" s="29"/>
      <c r="VX97" s="29"/>
      <c r="VY97" s="29"/>
      <c r="VZ97" s="29"/>
      <c r="WA97" s="29"/>
      <c r="WB97" s="29"/>
      <c r="WC97" s="29"/>
      <c r="WD97" s="29"/>
      <c r="WE97" s="29"/>
      <c r="WF97" s="29"/>
      <c r="WG97" s="29"/>
      <c r="WH97" s="29"/>
      <c r="WI97" s="29"/>
      <c r="WJ97" s="29"/>
      <c r="WK97" s="29"/>
      <c r="WL97" s="29"/>
      <c r="WM97" s="29"/>
      <c r="WN97" s="29"/>
      <c r="WO97" s="29"/>
      <c r="WP97" s="29"/>
      <c r="WQ97" s="29"/>
      <c r="WR97" s="29"/>
      <c r="WS97" s="29"/>
    </row>
    <row r="98" spans="1:617" s="3" customFormat="1" ht="15" outlineLevel="1" thickBot="1">
      <c r="A98" s="33"/>
      <c r="B98" s="85" t="s">
        <v>246</v>
      </c>
      <c r="C98" s="145" t="s">
        <v>241</v>
      </c>
      <c r="D98" s="123">
        <v>46041</v>
      </c>
      <c r="E98" s="123">
        <v>46094</v>
      </c>
      <c r="F98" s="14"/>
      <c r="G98" s="14">
        <f t="shared" si="596"/>
        <v>53</v>
      </c>
      <c r="H98" s="29"/>
      <c r="I98" s="29"/>
      <c r="J98" s="29"/>
      <c r="K98" s="29"/>
      <c r="L98" s="29"/>
      <c r="M98" s="29"/>
      <c r="N98" s="29"/>
      <c r="O98" s="29"/>
      <c r="P98" s="29"/>
      <c r="Q98" s="29"/>
      <c r="R98" s="29"/>
      <c r="S98" s="29"/>
      <c r="T98" s="29"/>
      <c r="U98" s="29"/>
      <c r="V98" s="29"/>
      <c r="W98" s="29"/>
      <c r="X98" s="29"/>
      <c r="Y98" s="29"/>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c r="MM98" s="29"/>
      <c r="MN98" s="29"/>
      <c r="MO98" s="29"/>
      <c r="MP98" s="29"/>
      <c r="MQ98" s="29"/>
      <c r="MR98" s="29"/>
      <c r="MS98" s="29"/>
      <c r="MT98" s="29"/>
      <c r="MU98" s="29"/>
      <c r="MV98" s="29"/>
      <c r="MW98" s="29"/>
      <c r="MX98" s="29"/>
      <c r="MY98" s="29"/>
      <c r="MZ98" s="29"/>
      <c r="NA98" s="29"/>
      <c r="NB98" s="29"/>
      <c r="NC98" s="29"/>
      <c r="ND98" s="29"/>
      <c r="NE98" s="29"/>
      <c r="NF98" s="29"/>
      <c r="NG98" s="29"/>
      <c r="NH98" s="29"/>
      <c r="NI98" s="29"/>
      <c r="NJ98" s="29"/>
      <c r="NK98" s="29"/>
      <c r="NL98" s="29"/>
      <c r="NM98" s="29"/>
      <c r="NN98" s="29"/>
      <c r="NO98" s="29"/>
      <c r="NP98" s="29"/>
      <c r="NQ98" s="29"/>
      <c r="NR98" s="29"/>
      <c r="NS98" s="29"/>
      <c r="NT98" s="29"/>
      <c r="NU98" s="29"/>
      <c r="NV98" s="29"/>
      <c r="NW98" s="29"/>
      <c r="NX98" s="29"/>
      <c r="NY98" s="29"/>
      <c r="NZ98" s="29"/>
      <c r="OA98" s="29"/>
      <c r="OB98" s="29"/>
      <c r="OC98" s="29"/>
      <c r="OD98" s="29"/>
      <c r="OE98" s="29"/>
      <c r="OF98" s="29"/>
      <c r="OG98" s="29"/>
      <c r="OH98" s="29"/>
      <c r="OI98" s="29"/>
      <c r="OJ98" s="29"/>
      <c r="OK98" s="29"/>
      <c r="OL98" s="29"/>
      <c r="OM98" s="29"/>
      <c r="ON98" s="29"/>
      <c r="OO98" s="29"/>
      <c r="OP98" s="29"/>
      <c r="OQ98" s="29"/>
      <c r="OR98" s="29"/>
      <c r="OS98" s="29"/>
      <c r="OT98" s="29"/>
      <c r="OU98" s="29"/>
      <c r="OV98" s="29"/>
      <c r="OW98" s="29"/>
      <c r="OX98" s="29"/>
      <c r="OY98" s="29"/>
      <c r="OZ98" s="29"/>
      <c r="PA98" s="29"/>
      <c r="PB98" s="29"/>
      <c r="PC98" s="29"/>
      <c r="PD98" s="29"/>
      <c r="PE98" s="29"/>
      <c r="PF98" s="29"/>
      <c r="PG98" s="29"/>
      <c r="PH98" s="29"/>
      <c r="PI98" s="29"/>
      <c r="PJ98" s="29"/>
      <c r="PK98" s="29"/>
      <c r="PL98" s="29"/>
      <c r="PM98" s="29"/>
      <c r="PN98" s="29"/>
      <c r="PO98" s="29"/>
      <c r="PP98" s="29"/>
      <c r="PQ98" s="29"/>
      <c r="PR98" s="29"/>
      <c r="PS98" s="29"/>
      <c r="PT98" s="29"/>
      <c r="PU98" s="29"/>
      <c r="PV98" s="29"/>
      <c r="PW98" s="29"/>
      <c r="PX98" s="29"/>
      <c r="PY98" s="29"/>
      <c r="PZ98" s="29"/>
      <c r="QA98" s="29"/>
      <c r="QB98" s="29"/>
      <c r="QC98" s="29"/>
      <c r="QD98" s="29"/>
      <c r="QE98" s="29"/>
      <c r="QF98" s="29"/>
      <c r="QG98" s="29"/>
      <c r="QH98" s="29"/>
      <c r="QI98" s="29"/>
      <c r="QJ98" s="29"/>
      <c r="QK98" s="29"/>
      <c r="QL98" s="29"/>
      <c r="QM98" s="29"/>
      <c r="QN98" s="29"/>
      <c r="QO98" s="29"/>
      <c r="QP98" s="29"/>
      <c r="QQ98" s="29"/>
      <c r="QR98" s="29"/>
      <c r="QS98" s="29"/>
      <c r="QT98" s="29"/>
      <c r="QU98" s="29"/>
      <c r="QV98" s="29"/>
      <c r="QW98" s="29"/>
      <c r="QX98" s="29"/>
      <c r="QY98" s="29"/>
      <c r="QZ98" s="29"/>
      <c r="RA98" s="29"/>
      <c r="RB98" s="29"/>
      <c r="RC98" s="29"/>
      <c r="RD98" s="29"/>
      <c r="RE98" s="29"/>
      <c r="RF98" s="29"/>
      <c r="RG98" s="29"/>
      <c r="RH98" s="29"/>
      <c r="RI98" s="29"/>
      <c r="RJ98" s="29"/>
      <c r="RK98" s="29"/>
      <c r="RL98" s="29"/>
      <c r="RM98" s="29"/>
      <c r="RN98" s="29"/>
      <c r="RO98" s="29"/>
      <c r="RP98" s="29"/>
      <c r="RQ98" s="29"/>
      <c r="RR98" s="29"/>
      <c r="RS98" s="29"/>
      <c r="RT98" s="29"/>
      <c r="RU98" s="29"/>
      <c r="RV98" s="29"/>
      <c r="RW98" s="29"/>
      <c r="RX98" s="29"/>
      <c r="RY98" s="29"/>
      <c r="RZ98" s="29"/>
      <c r="SA98" s="29"/>
      <c r="SB98" s="29"/>
      <c r="SC98" s="29"/>
      <c r="SD98" s="29"/>
      <c r="SE98" s="29"/>
      <c r="SF98" s="29"/>
      <c r="SG98" s="29"/>
      <c r="SH98" s="29"/>
      <c r="SI98" s="29"/>
      <c r="SJ98" s="29"/>
      <c r="SK98" s="29"/>
      <c r="SL98" s="29"/>
      <c r="SM98" s="29"/>
      <c r="SN98" s="29"/>
      <c r="SO98" s="29"/>
      <c r="SP98" s="29"/>
      <c r="SQ98" s="29"/>
      <c r="SR98" s="29"/>
      <c r="SS98" s="29"/>
      <c r="ST98" s="29"/>
      <c r="SU98" s="29"/>
      <c r="SV98" s="29"/>
      <c r="SW98" s="29"/>
      <c r="SX98" s="29"/>
      <c r="SY98" s="29"/>
      <c r="SZ98" s="29"/>
      <c r="TA98" s="29"/>
      <c r="TB98" s="29"/>
      <c r="TC98" s="29"/>
      <c r="TD98" s="29"/>
      <c r="TE98" s="29"/>
      <c r="TF98" s="29"/>
      <c r="TG98" s="29"/>
      <c r="TH98" s="29"/>
      <c r="TI98" s="29"/>
      <c r="TJ98" s="29"/>
      <c r="TK98" s="29"/>
      <c r="TL98" s="29"/>
      <c r="TM98" s="29"/>
      <c r="TN98" s="29"/>
      <c r="TO98" s="29"/>
      <c r="TP98" s="29"/>
      <c r="TQ98" s="29"/>
      <c r="TR98" s="29"/>
      <c r="TS98" s="29"/>
      <c r="TT98" s="29"/>
      <c r="TU98" s="29"/>
      <c r="TV98" s="29"/>
      <c r="TW98" s="29"/>
      <c r="TX98" s="29"/>
      <c r="TY98" s="29"/>
      <c r="TZ98" s="29"/>
      <c r="UA98" s="29"/>
      <c r="UB98" s="29"/>
      <c r="UC98" s="29"/>
      <c r="UD98" s="29"/>
      <c r="UE98" s="29"/>
      <c r="UF98" s="29"/>
      <c r="UG98" s="29"/>
      <c r="UH98" s="29"/>
      <c r="UI98" s="29"/>
      <c r="UJ98" s="29"/>
      <c r="UK98" s="29"/>
      <c r="UL98" s="29"/>
      <c r="UM98" s="29"/>
      <c r="UN98" s="29"/>
      <c r="UO98" s="29"/>
      <c r="UP98" s="29"/>
      <c r="UQ98" s="29"/>
      <c r="UR98" s="29"/>
      <c r="US98" s="29"/>
      <c r="UT98" s="29"/>
      <c r="UU98" s="29"/>
      <c r="UV98" s="29"/>
      <c r="UW98" s="29"/>
      <c r="UX98" s="29"/>
      <c r="UY98" s="29"/>
      <c r="UZ98" s="29"/>
      <c r="VA98" s="29"/>
      <c r="VB98" s="29"/>
      <c r="VC98" s="29"/>
      <c r="VD98" s="29"/>
      <c r="VE98" s="29"/>
      <c r="VF98" s="29"/>
      <c r="VG98" s="29"/>
      <c r="VH98" s="29"/>
      <c r="VI98" s="29"/>
      <c r="VJ98" s="29"/>
      <c r="VK98" s="29"/>
      <c r="VL98" s="29"/>
      <c r="VM98" s="29"/>
      <c r="VN98" s="29"/>
      <c r="VO98" s="29"/>
      <c r="VP98" s="29"/>
      <c r="VQ98" s="29"/>
      <c r="VR98" s="29"/>
      <c r="VS98" s="29"/>
      <c r="VT98" s="29"/>
      <c r="VU98" s="29"/>
      <c r="VV98" s="29"/>
      <c r="VW98" s="29"/>
      <c r="VX98" s="29"/>
      <c r="VY98" s="29"/>
      <c r="VZ98" s="29"/>
      <c r="WA98" s="29"/>
      <c r="WB98" s="29"/>
      <c r="WC98" s="29"/>
      <c r="WD98" s="29"/>
      <c r="WE98" s="29"/>
      <c r="WF98" s="29"/>
      <c r="WG98" s="29"/>
      <c r="WH98" s="29"/>
      <c r="WI98" s="29"/>
      <c r="WJ98" s="29"/>
      <c r="WK98" s="29"/>
      <c r="WL98" s="29"/>
      <c r="WM98" s="29"/>
      <c r="WN98" s="29"/>
      <c r="WO98" s="29"/>
      <c r="WP98" s="29"/>
      <c r="WQ98" s="29"/>
      <c r="WR98" s="29"/>
      <c r="WS98" s="29"/>
    </row>
    <row r="99" spans="1:617" s="3" customFormat="1" ht="15" outlineLevel="1" thickBot="1">
      <c r="A99" s="33"/>
      <c r="B99" s="85" t="s">
        <v>247</v>
      </c>
      <c r="C99" s="139" t="s">
        <v>248</v>
      </c>
      <c r="D99" s="120">
        <v>46104</v>
      </c>
      <c r="E99" s="205">
        <v>46157</v>
      </c>
      <c r="F99" s="14"/>
      <c r="G99" s="14">
        <f t="shared" si="596"/>
        <v>53</v>
      </c>
      <c r="H99" s="29"/>
      <c r="I99" s="29"/>
      <c r="J99" s="29"/>
      <c r="K99" s="29"/>
      <c r="L99" s="29"/>
      <c r="M99" s="29"/>
      <c r="N99" s="29"/>
      <c r="O99" s="29"/>
      <c r="P99" s="29"/>
      <c r="Q99" s="29"/>
      <c r="R99" s="29"/>
      <c r="S99" s="29"/>
      <c r="T99" s="29"/>
      <c r="U99" s="29"/>
      <c r="V99" s="29"/>
      <c r="W99" s="29"/>
      <c r="X99" s="29"/>
      <c r="Y99" s="29"/>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c r="MM99" s="29"/>
      <c r="MN99" s="29"/>
      <c r="MO99" s="29"/>
      <c r="MP99" s="29"/>
      <c r="MQ99" s="29"/>
      <c r="MR99" s="29"/>
      <c r="MS99" s="29"/>
      <c r="MT99" s="29"/>
      <c r="MU99" s="29"/>
      <c r="MV99" s="29"/>
      <c r="MW99" s="29"/>
      <c r="MX99" s="29"/>
      <c r="MY99" s="29"/>
      <c r="MZ99" s="29"/>
      <c r="NA99" s="29"/>
      <c r="NB99" s="29"/>
      <c r="NC99" s="29"/>
      <c r="ND99" s="29"/>
      <c r="NE99" s="29"/>
      <c r="NF99" s="29"/>
      <c r="NG99" s="29"/>
      <c r="NH99" s="29"/>
      <c r="NI99" s="29"/>
      <c r="NJ99" s="29"/>
      <c r="NK99" s="29"/>
      <c r="NL99" s="29"/>
      <c r="NM99" s="29"/>
      <c r="NN99" s="29"/>
      <c r="NO99" s="29"/>
      <c r="NP99" s="29"/>
      <c r="NQ99" s="29"/>
      <c r="NR99" s="29"/>
      <c r="NS99" s="29"/>
      <c r="NT99" s="29"/>
      <c r="NU99" s="29"/>
      <c r="NV99" s="29"/>
      <c r="NW99" s="29"/>
      <c r="NX99" s="29"/>
      <c r="NY99" s="29"/>
      <c r="NZ99" s="29"/>
      <c r="OA99" s="29"/>
      <c r="OB99" s="29"/>
      <c r="OC99" s="29"/>
      <c r="OD99" s="29"/>
      <c r="OE99" s="29"/>
      <c r="OF99" s="29"/>
      <c r="OG99" s="29"/>
      <c r="OH99" s="29"/>
      <c r="OI99" s="29"/>
      <c r="OJ99" s="29"/>
      <c r="OK99" s="29"/>
      <c r="OL99" s="29"/>
      <c r="OM99" s="29"/>
      <c r="ON99" s="29"/>
      <c r="OO99" s="29"/>
      <c r="OP99" s="29"/>
      <c r="OQ99" s="29"/>
      <c r="OR99" s="29"/>
      <c r="OS99" s="29"/>
      <c r="OT99" s="29"/>
      <c r="OU99" s="29"/>
      <c r="OV99" s="29"/>
      <c r="OW99" s="29"/>
      <c r="OX99" s="29"/>
      <c r="OY99" s="29"/>
      <c r="OZ99" s="29"/>
      <c r="PA99" s="29"/>
      <c r="PB99" s="29"/>
      <c r="PC99" s="29"/>
      <c r="PD99" s="29"/>
      <c r="PE99" s="29"/>
      <c r="PF99" s="29"/>
      <c r="PG99" s="29"/>
      <c r="PH99" s="29"/>
      <c r="PI99" s="29"/>
      <c r="PJ99" s="29"/>
      <c r="PK99" s="29"/>
      <c r="PL99" s="29"/>
      <c r="PM99" s="29"/>
      <c r="PN99" s="29"/>
      <c r="PO99" s="29"/>
      <c r="PP99" s="29"/>
      <c r="PQ99" s="29"/>
      <c r="PR99" s="29"/>
      <c r="PS99" s="29"/>
      <c r="PT99" s="29"/>
      <c r="PU99" s="29"/>
      <c r="PV99" s="29"/>
      <c r="PW99" s="29"/>
      <c r="PX99" s="29"/>
      <c r="PY99" s="29"/>
      <c r="PZ99" s="29"/>
      <c r="QA99" s="29"/>
      <c r="QB99" s="29"/>
      <c r="QC99" s="29"/>
      <c r="QD99" s="29"/>
      <c r="QE99" s="29"/>
      <c r="QF99" s="29"/>
      <c r="QG99" s="29"/>
      <c r="QH99" s="29"/>
      <c r="QI99" s="29"/>
      <c r="QJ99" s="29"/>
      <c r="QK99" s="29"/>
      <c r="QL99" s="29"/>
      <c r="QM99" s="29"/>
      <c r="QN99" s="29"/>
      <c r="QO99" s="29"/>
      <c r="QP99" s="29"/>
      <c r="QQ99" s="29"/>
      <c r="QR99" s="29"/>
      <c r="QS99" s="29"/>
      <c r="QT99" s="29"/>
      <c r="QU99" s="29"/>
      <c r="QV99" s="29"/>
      <c r="QW99" s="29"/>
      <c r="QX99" s="29"/>
      <c r="QY99" s="29"/>
      <c r="QZ99" s="29"/>
      <c r="RA99" s="29"/>
      <c r="RB99" s="29"/>
      <c r="RC99" s="29"/>
      <c r="RD99" s="29"/>
      <c r="RE99" s="29"/>
      <c r="RF99" s="29"/>
      <c r="RG99" s="29"/>
      <c r="RH99" s="29"/>
      <c r="RI99" s="29"/>
      <c r="RJ99" s="29"/>
      <c r="RK99" s="29"/>
      <c r="RL99" s="29"/>
      <c r="RM99" s="29"/>
      <c r="RN99" s="29"/>
      <c r="RO99" s="29"/>
      <c r="RP99" s="29"/>
      <c r="RQ99" s="29"/>
      <c r="RR99" s="29"/>
      <c r="RS99" s="29"/>
      <c r="RT99" s="29"/>
      <c r="RU99" s="29"/>
      <c r="RV99" s="29"/>
      <c r="RW99" s="29"/>
      <c r="RX99" s="29"/>
      <c r="RY99" s="29"/>
      <c r="RZ99" s="29"/>
      <c r="SA99" s="29"/>
      <c r="SB99" s="29"/>
      <c r="SC99" s="29"/>
      <c r="SD99" s="29"/>
      <c r="SE99" s="29"/>
      <c r="SF99" s="29"/>
      <c r="SG99" s="29"/>
      <c r="SH99" s="29"/>
      <c r="SI99" s="29"/>
      <c r="SJ99" s="29"/>
      <c r="SK99" s="29"/>
      <c r="SL99" s="29"/>
      <c r="SM99" s="29"/>
      <c r="SN99" s="29"/>
      <c r="SO99" s="29"/>
      <c r="SP99" s="29"/>
      <c r="SQ99" s="29"/>
      <c r="SR99" s="29"/>
      <c r="SS99" s="29"/>
      <c r="ST99" s="29"/>
      <c r="SU99" s="29"/>
      <c r="SV99" s="29"/>
      <c r="SW99" s="29"/>
      <c r="SX99" s="29"/>
      <c r="SY99" s="29"/>
      <c r="SZ99" s="29"/>
      <c r="TA99" s="29"/>
      <c r="TB99" s="29"/>
      <c r="TC99" s="29"/>
      <c r="TD99" s="29"/>
      <c r="TE99" s="29"/>
      <c r="TF99" s="29"/>
      <c r="TG99" s="29"/>
      <c r="TH99" s="29"/>
      <c r="TI99" s="29"/>
      <c r="TJ99" s="29"/>
      <c r="TK99" s="29"/>
      <c r="TL99" s="29"/>
      <c r="TM99" s="29"/>
      <c r="TN99" s="29"/>
      <c r="TO99" s="29"/>
      <c r="TP99" s="29"/>
      <c r="TQ99" s="29"/>
      <c r="TR99" s="29"/>
      <c r="TS99" s="29"/>
      <c r="TT99" s="29"/>
      <c r="TU99" s="29"/>
      <c r="TV99" s="29"/>
      <c r="TW99" s="29"/>
      <c r="TX99" s="29"/>
      <c r="TY99" s="29"/>
      <c r="TZ99" s="29"/>
      <c r="UA99" s="29"/>
      <c r="UB99" s="29"/>
      <c r="UC99" s="29"/>
      <c r="UD99" s="29"/>
      <c r="UE99" s="29"/>
      <c r="UF99" s="29"/>
      <c r="UG99" s="29"/>
      <c r="UH99" s="29"/>
      <c r="UI99" s="29"/>
      <c r="UJ99" s="29"/>
      <c r="UK99" s="29"/>
      <c r="UL99" s="29"/>
      <c r="UM99" s="29"/>
      <c r="UN99" s="29"/>
      <c r="UO99" s="29"/>
      <c r="UP99" s="29"/>
      <c r="UQ99" s="29"/>
      <c r="UR99" s="29"/>
      <c r="US99" s="29"/>
      <c r="UT99" s="29"/>
      <c r="UU99" s="29"/>
      <c r="UV99" s="29"/>
      <c r="UW99" s="29"/>
      <c r="UX99" s="29"/>
      <c r="UY99" s="29"/>
      <c r="UZ99" s="29"/>
      <c r="VA99" s="29"/>
      <c r="VB99" s="29"/>
      <c r="VC99" s="29"/>
      <c r="VD99" s="29"/>
      <c r="VE99" s="29"/>
      <c r="VF99" s="29"/>
      <c r="VG99" s="29"/>
      <c r="VH99" s="29"/>
      <c r="VI99" s="29"/>
      <c r="VJ99" s="29"/>
      <c r="VK99" s="29"/>
      <c r="VL99" s="29"/>
      <c r="VM99" s="29"/>
      <c r="VN99" s="29"/>
      <c r="VO99" s="29"/>
      <c r="VP99" s="29"/>
      <c r="VQ99" s="29"/>
      <c r="VR99" s="29"/>
      <c r="VS99" s="29"/>
      <c r="VT99" s="29"/>
      <c r="VU99" s="29"/>
      <c r="VV99" s="29"/>
      <c r="VW99" s="29"/>
      <c r="VX99" s="29"/>
      <c r="VY99" s="29"/>
      <c r="VZ99" s="29"/>
      <c r="WA99" s="29"/>
      <c r="WB99" s="29"/>
      <c r="WC99" s="29"/>
      <c r="WD99" s="29"/>
      <c r="WE99" s="29"/>
      <c r="WF99" s="29"/>
      <c r="WG99" s="29"/>
      <c r="WH99" s="29"/>
      <c r="WI99" s="29"/>
      <c r="WJ99" s="29"/>
      <c r="WK99" s="29"/>
      <c r="WL99" s="29"/>
      <c r="WM99" s="29"/>
      <c r="WN99" s="29"/>
      <c r="WO99" s="29"/>
      <c r="WP99" s="29"/>
      <c r="WQ99" s="29"/>
      <c r="WR99" s="29"/>
      <c r="WS99" s="29"/>
    </row>
    <row r="100" spans="1:617" s="3" customFormat="1" ht="15" outlineLevel="1" thickBot="1">
      <c r="A100" s="33"/>
      <c r="B100" s="85" t="s">
        <v>243</v>
      </c>
      <c r="C100" s="139" t="s">
        <v>249</v>
      </c>
      <c r="D100" s="123">
        <v>46146</v>
      </c>
      <c r="E100" s="205">
        <v>46199</v>
      </c>
      <c r="F100" s="14"/>
      <c r="G100" s="14">
        <f>E100-D100</f>
        <v>53</v>
      </c>
      <c r="H100" s="29"/>
      <c r="I100" s="29"/>
      <c r="J100" s="29"/>
      <c r="K100" s="29"/>
      <c r="L100" s="29"/>
      <c r="M100" s="29"/>
      <c r="N100" s="29"/>
      <c r="O100" s="29"/>
      <c r="P100" s="29"/>
      <c r="Q100" s="29"/>
      <c r="R100" s="29"/>
      <c r="S100" s="29"/>
      <c r="T100" s="29"/>
      <c r="U100" s="29"/>
      <c r="V100" s="29"/>
      <c r="W100" s="29"/>
      <c r="X100" s="29"/>
      <c r="Y100" s="29"/>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c r="MM100" s="29"/>
      <c r="MN100" s="29"/>
      <c r="MO100" s="29"/>
      <c r="MP100" s="29"/>
      <c r="MQ100" s="29"/>
      <c r="MR100" s="29"/>
      <c r="MS100" s="29"/>
      <c r="MT100" s="29"/>
      <c r="MU100" s="29"/>
      <c r="MV100" s="29"/>
      <c r="MW100" s="29"/>
      <c r="MX100" s="29"/>
      <c r="MY100" s="29"/>
      <c r="MZ100" s="29"/>
      <c r="NA100" s="29"/>
      <c r="NB100" s="29"/>
      <c r="NC100" s="29"/>
      <c r="ND100" s="29"/>
      <c r="NE100" s="29"/>
      <c r="NF100" s="29"/>
      <c r="NG100" s="29"/>
      <c r="NH100" s="29"/>
      <c r="NI100" s="29"/>
      <c r="NJ100" s="29"/>
      <c r="NK100" s="29"/>
      <c r="NL100" s="29"/>
      <c r="NM100" s="29"/>
      <c r="NN100" s="29"/>
      <c r="NO100" s="29"/>
      <c r="NP100" s="29"/>
      <c r="NQ100" s="29"/>
      <c r="NR100" s="29"/>
      <c r="NS100" s="29"/>
      <c r="NT100" s="29"/>
      <c r="NU100" s="29"/>
      <c r="NV100" s="29"/>
      <c r="NW100" s="29"/>
      <c r="NX100" s="29"/>
      <c r="NY100" s="29"/>
      <c r="NZ100" s="29"/>
      <c r="OA100" s="29"/>
      <c r="OB100" s="29"/>
      <c r="OC100" s="29"/>
      <c r="OD100" s="29"/>
      <c r="OE100" s="29"/>
      <c r="OF100" s="29"/>
      <c r="OG100" s="29"/>
      <c r="OH100" s="29"/>
      <c r="OI100" s="29"/>
      <c r="OJ100" s="29"/>
      <c r="OK100" s="29"/>
      <c r="OL100" s="29"/>
      <c r="OM100" s="29"/>
      <c r="ON100" s="29"/>
      <c r="OO100" s="29"/>
      <c r="OP100" s="29"/>
      <c r="OQ100" s="29"/>
      <c r="OR100" s="29"/>
      <c r="OS100" s="29"/>
      <c r="OT100" s="29"/>
      <c r="OU100" s="29"/>
      <c r="OV100" s="29"/>
      <c r="OW100" s="29"/>
      <c r="OX100" s="29"/>
      <c r="OY100" s="29"/>
      <c r="OZ100" s="29"/>
      <c r="PA100" s="29"/>
      <c r="PB100" s="29"/>
      <c r="PC100" s="29"/>
      <c r="PD100" s="29"/>
      <c r="PE100" s="29"/>
      <c r="PF100" s="29"/>
      <c r="PG100" s="29"/>
      <c r="PH100" s="29"/>
      <c r="PI100" s="29"/>
      <c r="PJ100" s="29"/>
      <c r="PK100" s="29"/>
      <c r="PL100" s="29"/>
      <c r="PM100" s="29"/>
      <c r="PN100" s="29"/>
      <c r="PO100" s="29"/>
      <c r="PP100" s="29"/>
      <c r="PQ100" s="29"/>
      <c r="PR100" s="29"/>
      <c r="PS100" s="29"/>
      <c r="PT100" s="29"/>
      <c r="PU100" s="29"/>
      <c r="PV100" s="29"/>
      <c r="PW100" s="29"/>
      <c r="PX100" s="29"/>
      <c r="PY100" s="29"/>
      <c r="PZ100" s="29"/>
      <c r="QA100" s="29"/>
      <c r="QB100" s="29"/>
      <c r="QC100" s="29"/>
      <c r="QD100" s="29"/>
      <c r="QE100" s="29"/>
      <c r="QF100" s="29"/>
      <c r="QG100" s="29"/>
      <c r="QH100" s="29"/>
      <c r="QI100" s="29"/>
      <c r="QJ100" s="29"/>
      <c r="QK100" s="29"/>
      <c r="QL100" s="29"/>
      <c r="QM100" s="29"/>
      <c r="QN100" s="29"/>
      <c r="QO100" s="29"/>
      <c r="QP100" s="29"/>
      <c r="QQ100" s="29"/>
      <c r="QR100" s="29"/>
      <c r="QS100" s="29"/>
      <c r="QT100" s="29"/>
      <c r="QU100" s="29"/>
      <c r="QV100" s="29"/>
      <c r="QW100" s="29"/>
      <c r="QX100" s="29"/>
      <c r="QY100" s="29"/>
      <c r="QZ100" s="29"/>
      <c r="RA100" s="29"/>
      <c r="RB100" s="29"/>
      <c r="RC100" s="29"/>
      <c r="RD100" s="29"/>
      <c r="RE100" s="29"/>
      <c r="RF100" s="29"/>
      <c r="RG100" s="29"/>
      <c r="RH100" s="29"/>
      <c r="RI100" s="29"/>
      <c r="RJ100" s="29"/>
      <c r="RK100" s="29"/>
      <c r="RL100" s="29"/>
      <c r="RM100" s="29"/>
      <c r="RN100" s="29"/>
      <c r="RO100" s="29"/>
      <c r="RP100" s="29"/>
      <c r="RQ100" s="29"/>
      <c r="RR100" s="29"/>
      <c r="RS100" s="29"/>
      <c r="RT100" s="29"/>
      <c r="RU100" s="29"/>
      <c r="RV100" s="29"/>
      <c r="RW100" s="29"/>
      <c r="RX100" s="29"/>
      <c r="RY100" s="29"/>
      <c r="RZ100" s="29"/>
      <c r="SA100" s="29"/>
      <c r="SB100" s="29"/>
      <c r="SC100" s="29"/>
      <c r="SD100" s="29"/>
      <c r="SE100" s="29"/>
      <c r="SF100" s="29"/>
      <c r="SG100" s="29"/>
      <c r="SH100" s="29"/>
      <c r="SI100" s="29"/>
      <c r="SJ100" s="29"/>
      <c r="SK100" s="29"/>
      <c r="SL100" s="29"/>
      <c r="SM100" s="29"/>
      <c r="SN100" s="29"/>
      <c r="SO100" s="29"/>
      <c r="SP100" s="29"/>
      <c r="SQ100" s="29"/>
      <c r="SR100" s="29"/>
      <c r="SS100" s="29"/>
      <c r="ST100" s="29"/>
      <c r="SU100" s="29"/>
      <c r="SV100" s="29"/>
      <c r="SW100" s="29"/>
      <c r="SX100" s="29"/>
      <c r="SY100" s="29"/>
      <c r="SZ100" s="29"/>
      <c r="TA100" s="29"/>
      <c r="TB100" s="29"/>
      <c r="TC100" s="29"/>
      <c r="TD100" s="29"/>
      <c r="TE100" s="29"/>
      <c r="TF100" s="29"/>
      <c r="TG100" s="29"/>
      <c r="TH100" s="29"/>
      <c r="TI100" s="29"/>
      <c r="TJ100" s="29"/>
      <c r="TK100" s="29"/>
      <c r="TL100" s="29"/>
      <c r="TM100" s="29"/>
      <c r="TN100" s="29"/>
      <c r="TO100" s="29"/>
      <c r="TP100" s="29"/>
      <c r="TQ100" s="29"/>
      <c r="TR100" s="29"/>
      <c r="TS100" s="29"/>
      <c r="TT100" s="29"/>
      <c r="TU100" s="29"/>
      <c r="TV100" s="29"/>
      <c r="TW100" s="29"/>
      <c r="TX100" s="29"/>
      <c r="TY100" s="29"/>
      <c r="TZ100" s="29"/>
      <c r="UA100" s="29"/>
      <c r="UB100" s="29"/>
      <c r="UC100" s="29"/>
      <c r="UD100" s="29"/>
      <c r="UE100" s="29"/>
      <c r="UF100" s="29"/>
      <c r="UG100" s="29"/>
      <c r="UH100" s="29"/>
      <c r="UI100" s="29"/>
      <c r="UJ100" s="29"/>
      <c r="UK100" s="29"/>
      <c r="UL100" s="29"/>
      <c r="UM100" s="29"/>
      <c r="UN100" s="29"/>
      <c r="UO100" s="29"/>
      <c r="UP100" s="29"/>
      <c r="UQ100" s="29"/>
      <c r="UR100" s="29"/>
      <c r="US100" s="29"/>
      <c r="UT100" s="29"/>
      <c r="UU100" s="29"/>
      <c r="UV100" s="29"/>
      <c r="UW100" s="29"/>
      <c r="UX100" s="29"/>
      <c r="UY100" s="29"/>
      <c r="UZ100" s="29"/>
      <c r="VA100" s="29"/>
      <c r="VB100" s="29"/>
      <c r="VC100" s="29"/>
      <c r="VD100" s="29"/>
      <c r="VE100" s="29"/>
      <c r="VF100" s="29"/>
      <c r="VG100" s="29"/>
      <c r="VH100" s="29"/>
      <c r="VI100" s="29"/>
      <c r="VJ100" s="29"/>
      <c r="VK100" s="29"/>
      <c r="VL100" s="29"/>
      <c r="VM100" s="29"/>
      <c r="VN100" s="29"/>
      <c r="VO100" s="29"/>
      <c r="VP100" s="29"/>
      <c r="VQ100" s="29"/>
      <c r="VR100" s="29"/>
      <c r="VS100" s="29"/>
      <c r="VT100" s="29"/>
      <c r="VU100" s="29"/>
      <c r="VV100" s="29"/>
      <c r="VW100" s="29"/>
      <c r="VX100" s="29"/>
      <c r="VY100" s="29"/>
      <c r="VZ100" s="29"/>
      <c r="WA100" s="29"/>
      <c r="WB100" s="29"/>
      <c r="WC100" s="29"/>
      <c r="WD100" s="29"/>
      <c r="WE100" s="29"/>
      <c r="WF100" s="29"/>
      <c r="WG100" s="29"/>
      <c r="WH100" s="29"/>
      <c r="WI100" s="29"/>
      <c r="WJ100" s="29"/>
      <c r="WK100" s="29"/>
      <c r="WL100" s="29"/>
      <c r="WM100" s="29"/>
      <c r="WN100" s="29"/>
      <c r="WO100" s="29"/>
      <c r="WP100" s="29"/>
      <c r="WQ100" s="29"/>
      <c r="WR100" s="29"/>
      <c r="WS100" s="29"/>
    </row>
    <row r="101" spans="1:617" s="3" customFormat="1" ht="15" outlineLevel="1" thickBot="1">
      <c r="A101" s="33"/>
      <c r="B101" s="85" t="s">
        <v>246</v>
      </c>
      <c r="C101" s="139" t="s">
        <v>250</v>
      </c>
      <c r="D101" s="205">
        <v>46202</v>
      </c>
      <c r="E101" s="120">
        <f>D101+G101</f>
        <v>46255</v>
      </c>
      <c r="F101" s="14"/>
      <c r="G101" s="14">
        <v>53</v>
      </c>
      <c r="H101" s="29"/>
      <c r="I101" s="29"/>
      <c r="J101" s="29"/>
      <c r="K101" s="29"/>
      <c r="L101" s="29"/>
      <c r="M101" s="29"/>
      <c r="N101" s="29"/>
      <c r="O101" s="29"/>
      <c r="P101" s="29"/>
      <c r="Q101" s="29"/>
      <c r="R101" s="29"/>
      <c r="S101" s="29"/>
      <c r="T101" s="29"/>
      <c r="U101" s="29"/>
      <c r="V101" s="29"/>
      <c r="W101" s="29"/>
      <c r="X101" s="29"/>
      <c r="Y101" s="29"/>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c r="MM101" s="29"/>
      <c r="MN101" s="29"/>
      <c r="MO101" s="29"/>
      <c r="MP101" s="29"/>
      <c r="MQ101" s="29"/>
      <c r="MR101" s="29"/>
      <c r="MS101" s="29"/>
      <c r="MT101" s="29"/>
      <c r="MU101" s="29"/>
      <c r="MV101" s="29"/>
      <c r="MW101" s="29"/>
      <c r="MX101" s="29"/>
      <c r="MY101" s="29"/>
      <c r="MZ101" s="29"/>
      <c r="NA101" s="29"/>
      <c r="NB101" s="29"/>
      <c r="NC101" s="29"/>
      <c r="ND101" s="29"/>
      <c r="NE101" s="29"/>
      <c r="NF101" s="29"/>
      <c r="NG101" s="29"/>
      <c r="NH101" s="29"/>
      <c r="NI101" s="29"/>
      <c r="NJ101" s="29"/>
      <c r="NK101" s="29"/>
      <c r="NL101" s="29"/>
      <c r="NM101" s="29"/>
      <c r="NN101" s="29"/>
      <c r="NO101" s="29"/>
      <c r="NP101" s="29"/>
      <c r="NQ101" s="29"/>
      <c r="NR101" s="29"/>
      <c r="NS101" s="29"/>
      <c r="NT101" s="29"/>
      <c r="NU101" s="29"/>
      <c r="NV101" s="29"/>
      <c r="NW101" s="29"/>
      <c r="NX101" s="29"/>
      <c r="NY101" s="29"/>
      <c r="NZ101" s="29"/>
      <c r="OA101" s="29"/>
      <c r="OB101" s="29"/>
      <c r="OC101" s="29"/>
      <c r="OD101" s="29"/>
      <c r="OE101" s="29"/>
      <c r="OF101" s="29"/>
      <c r="OG101" s="29"/>
      <c r="OH101" s="29"/>
      <c r="OI101" s="29"/>
      <c r="OJ101" s="29"/>
      <c r="OK101" s="29"/>
      <c r="OL101" s="29"/>
      <c r="OM101" s="29"/>
      <c r="ON101" s="29"/>
      <c r="OO101" s="29"/>
      <c r="OP101" s="29"/>
      <c r="OQ101" s="29"/>
      <c r="OR101" s="29"/>
      <c r="OS101" s="29"/>
      <c r="OT101" s="29"/>
      <c r="OU101" s="29"/>
      <c r="OV101" s="29"/>
      <c r="OW101" s="29"/>
      <c r="OX101" s="29"/>
      <c r="OY101" s="29"/>
      <c r="OZ101" s="29"/>
      <c r="PA101" s="29"/>
      <c r="PB101" s="29"/>
      <c r="PC101" s="29"/>
      <c r="PD101" s="29"/>
      <c r="PE101" s="29"/>
      <c r="PF101" s="29"/>
      <c r="PG101" s="29"/>
      <c r="PH101" s="29"/>
      <c r="PI101" s="29"/>
      <c r="PJ101" s="29"/>
      <c r="PK101" s="29"/>
      <c r="PL101" s="29"/>
      <c r="PM101" s="29"/>
      <c r="PN101" s="29"/>
      <c r="PO101" s="29"/>
      <c r="PP101" s="29"/>
      <c r="PQ101" s="29"/>
      <c r="PR101" s="29"/>
      <c r="PS101" s="29"/>
      <c r="PT101" s="29"/>
      <c r="PU101" s="29"/>
      <c r="PV101" s="29"/>
      <c r="PW101" s="29"/>
      <c r="PX101" s="29"/>
      <c r="PY101" s="29"/>
      <c r="PZ101" s="29"/>
      <c r="QA101" s="29"/>
      <c r="QB101" s="29"/>
      <c r="QC101" s="29"/>
      <c r="QD101" s="29"/>
      <c r="QE101" s="29"/>
      <c r="QF101" s="29"/>
      <c r="QG101" s="29"/>
      <c r="QH101" s="29"/>
      <c r="QI101" s="29"/>
      <c r="QJ101" s="29"/>
      <c r="QK101" s="29"/>
      <c r="QL101" s="29"/>
      <c r="QM101" s="29"/>
      <c r="QN101" s="29"/>
      <c r="QO101" s="29"/>
      <c r="QP101" s="29"/>
      <c r="QQ101" s="29"/>
      <c r="QR101" s="29"/>
      <c r="QS101" s="29"/>
      <c r="QT101" s="29"/>
      <c r="QU101" s="29"/>
      <c r="QV101" s="29"/>
      <c r="QW101" s="29"/>
      <c r="QX101" s="29"/>
      <c r="QY101" s="29"/>
      <c r="QZ101" s="29"/>
      <c r="RA101" s="29"/>
      <c r="RB101" s="29"/>
      <c r="RC101" s="29"/>
      <c r="RD101" s="29"/>
      <c r="RE101" s="29"/>
      <c r="RF101" s="29"/>
      <c r="RG101" s="29"/>
      <c r="RH101" s="29"/>
      <c r="RI101" s="29"/>
      <c r="RJ101" s="29"/>
      <c r="RK101" s="29"/>
      <c r="RL101" s="29"/>
      <c r="RM101" s="29"/>
      <c r="RN101" s="29"/>
      <c r="RO101" s="29"/>
      <c r="RP101" s="29"/>
      <c r="RQ101" s="29"/>
      <c r="RR101" s="29"/>
      <c r="RS101" s="29"/>
      <c r="RT101" s="29"/>
      <c r="RU101" s="29"/>
      <c r="RV101" s="29"/>
      <c r="RW101" s="29"/>
      <c r="RX101" s="29"/>
      <c r="RY101" s="29"/>
      <c r="RZ101" s="29"/>
      <c r="SA101" s="29"/>
      <c r="SB101" s="29"/>
      <c r="SC101" s="29"/>
      <c r="SD101" s="29"/>
      <c r="SE101" s="29"/>
      <c r="SF101" s="29"/>
      <c r="SG101" s="29"/>
      <c r="SH101" s="29"/>
      <c r="SI101" s="29"/>
      <c r="SJ101" s="29"/>
      <c r="SK101" s="29"/>
      <c r="SL101" s="29"/>
      <c r="SM101" s="29"/>
      <c r="SN101" s="29"/>
      <c r="SO101" s="29"/>
      <c r="SP101" s="29"/>
      <c r="SQ101" s="29"/>
      <c r="SR101" s="29"/>
      <c r="SS101" s="29"/>
      <c r="ST101" s="29"/>
      <c r="SU101" s="29"/>
      <c r="SV101" s="29"/>
      <c r="SW101" s="29"/>
      <c r="SX101" s="29"/>
      <c r="SY101" s="29"/>
      <c r="SZ101" s="29"/>
      <c r="TA101" s="29"/>
      <c r="TB101" s="29"/>
      <c r="TC101" s="29"/>
      <c r="TD101" s="29"/>
      <c r="TE101" s="29"/>
      <c r="TF101" s="29"/>
      <c r="TG101" s="29"/>
      <c r="TH101" s="29"/>
      <c r="TI101" s="29"/>
      <c r="TJ101" s="29"/>
      <c r="TK101" s="29"/>
      <c r="TL101" s="29"/>
      <c r="TM101" s="29"/>
      <c r="TN101" s="29"/>
      <c r="TO101" s="29"/>
      <c r="TP101" s="29"/>
      <c r="TQ101" s="29"/>
      <c r="TR101" s="29"/>
      <c r="TS101" s="29"/>
      <c r="TT101" s="29"/>
      <c r="TU101" s="29"/>
      <c r="TV101" s="29"/>
      <c r="TW101" s="29"/>
      <c r="TX101" s="29"/>
      <c r="TY101" s="29"/>
      <c r="TZ101" s="29"/>
      <c r="UA101" s="29"/>
      <c r="UB101" s="29"/>
      <c r="UC101" s="29"/>
      <c r="UD101" s="29"/>
      <c r="UE101" s="29"/>
      <c r="UF101" s="29"/>
      <c r="UG101" s="29"/>
      <c r="UH101" s="29"/>
      <c r="UI101" s="29"/>
      <c r="UJ101" s="29"/>
      <c r="UK101" s="29"/>
      <c r="UL101" s="29"/>
      <c r="UM101" s="29"/>
      <c r="UN101" s="29"/>
      <c r="UO101" s="29"/>
      <c r="UP101" s="29"/>
      <c r="UQ101" s="29"/>
      <c r="UR101" s="29"/>
      <c r="US101" s="29"/>
      <c r="UT101" s="29"/>
      <c r="UU101" s="29"/>
      <c r="UV101" s="29"/>
      <c r="UW101" s="29"/>
      <c r="UX101" s="29"/>
      <c r="UY101" s="29"/>
      <c r="UZ101" s="29"/>
      <c r="VA101" s="29"/>
      <c r="VB101" s="29"/>
      <c r="VC101" s="29"/>
      <c r="VD101" s="29"/>
      <c r="VE101" s="29"/>
      <c r="VF101" s="29"/>
      <c r="VG101" s="29"/>
      <c r="VH101" s="29"/>
      <c r="VI101" s="29"/>
      <c r="VJ101" s="29"/>
      <c r="VK101" s="29"/>
      <c r="VL101" s="29"/>
      <c r="VM101" s="29"/>
      <c r="VN101" s="29"/>
      <c r="VO101" s="29"/>
      <c r="VP101" s="29"/>
      <c r="VQ101" s="29"/>
      <c r="VR101" s="29"/>
      <c r="VS101" s="29"/>
      <c r="VT101" s="29"/>
      <c r="VU101" s="29"/>
      <c r="VV101" s="29"/>
      <c r="VW101" s="29"/>
      <c r="VX101" s="29"/>
      <c r="VY101" s="29"/>
      <c r="VZ101" s="29"/>
      <c r="WA101" s="29"/>
      <c r="WB101" s="29"/>
      <c r="WC101" s="29"/>
      <c r="WD101" s="29"/>
      <c r="WE101" s="29"/>
      <c r="WF101" s="29"/>
      <c r="WG101" s="29"/>
      <c r="WH101" s="29"/>
      <c r="WI101" s="29"/>
      <c r="WJ101" s="29"/>
      <c r="WK101" s="29"/>
      <c r="WL101" s="29"/>
      <c r="WM101" s="29"/>
      <c r="WN101" s="29"/>
      <c r="WO101" s="29"/>
      <c r="WP101" s="29"/>
      <c r="WQ101" s="29"/>
      <c r="WR101" s="29"/>
      <c r="WS101" s="29"/>
    </row>
    <row r="102" spans="1:617" s="3" customFormat="1" ht="15" outlineLevel="1" thickBot="1">
      <c r="A102" s="33"/>
      <c r="B102" s="85" t="s">
        <v>246</v>
      </c>
      <c r="C102" s="145" t="s">
        <v>241</v>
      </c>
      <c r="D102" s="205">
        <v>46223</v>
      </c>
      <c r="E102" s="120">
        <v>46234</v>
      </c>
      <c r="F102" s="14"/>
      <c r="G102" s="14">
        <f>E102-D102</f>
        <v>11</v>
      </c>
      <c r="H102" s="29"/>
      <c r="I102" s="29"/>
      <c r="J102" s="29"/>
      <c r="K102" s="29"/>
      <c r="L102" s="29"/>
      <c r="M102" s="29"/>
      <c r="N102" s="29"/>
      <c r="O102" s="29"/>
      <c r="P102" s="29"/>
      <c r="Q102" s="29"/>
      <c r="R102" s="29"/>
      <c r="S102" s="29"/>
      <c r="T102" s="29"/>
      <c r="U102" s="29"/>
      <c r="V102" s="29"/>
      <c r="W102" s="29"/>
      <c r="X102" s="29"/>
      <c r="Y102" s="29"/>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c r="MM102" s="29"/>
      <c r="MN102" s="29"/>
      <c r="MO102" s="29"/>
      <c r="MP102" s="29"/>
      <c r="MQ102" s="29"/>
      <c r="MR102" s="29"/>
      <c r="MS102" s="29"/>
      <c r="MT102" s="29"/>
      <c r="MU102" s="29"/>
      <c r="MV102" s="29"/>
      <c r="MW102" s="29"/>
      <c r="MX102" s="29"/>
      <c r="MY102" s="29"/>
      <c r="MZ102" s="29"/>
      <c r="NA102" s="29"/>
      <c r="NB102" s="29"/>
      <c r="NC102" s="29"/>
      <c r="ND102" s="29"/>
      <c r="NE102" s="29"/>
      <c r="NF102" s="29"/>
      <c r="NG102" s="29"/>
      <c r="NH102" s="29"/>
      <c r="NI102" s="29"/>
      <c r="NJ102" s="29"/>
      <c r="NK102" s="29"/>
      <c r="NL102" s="29"/>
      <c r="NM102" s="29"/>
      <c r="NN102" s="29"/>
      <c r="NO102" s="29"/>
      <c r="NP102" s="29"/>
      <c r="NQ102" s="29"/>
      <c r="NR102" s="29"/>
      <c r="NS102" s="29"/>
      <c r="NT102" s="29"/>
      <c r="NU102" s="29"/>
      <c r="NV102" s="29"/>
      <c r="NW102" s="29"/>
      <c r="NX102" s="29"/>
      <c r="NY102" s="29"/>
      <c r="NZ102" s="29"/>
      <c r="OA102" s="29"/>
      <c r="OB102" s="29"/>
      <c r="OC102" s="29"/>
      <c r="OD102" s="29"/>
      <c r="OE102" s="29"/>
      <c r="OF102" s="29"/>
      <c r="OG102" s="29"/>
      <c r="OH102" s="29"/>
      <c r="OI102" s="29"/>
      <c r="OJ102" s="29"/>
      <c r="OK102" s="29"/>
      <c r="OL102" s="29"/>
      <c r="OM102" s="29"/>
      <c r="ON102" s="29"/>
      <c r="OO102" s="29"/>
      <c r="OP102" s="29"/>
      <c r="OQ102" s="29"/>
      <c r="OR102" s="29"/>
      <c r="OS102" s="29"/>
      <c r="OT102" s="29"/>
      <c r="OU102" s="29"/>
      <c r="OV102" s="29"/>
      <c r="OW102" s="29"/>
      <c r="OX102" s="29"/>
      <c r="OY102" s="29"/>
      <c r="OZ102" s="29"/>
      <c r="PA102" s="29"/>
      <c r="PB102" s="29"/>
      <c r="PC102" s="29"/>
      <c r="PD102" s="29"/>
      <c r="PE102" s="29"/>
      <c r="PF102" s="29"/>
      <c r="PG102" s="29"/>
      <c r="PH102" s="29"/>
      <c r="PI102" s="29"/>
      <c r="PJ102" s="29"/>
      <c r="PK102" s="29"/>
      <c r="PL102" s="29"/>
      <c r="PM102" s="29"/>
      <c r="PN102" s="29"/>
      <c r="PO102" s="29"/>
      <c r="PP102" s="29"/>
      <c r="PQ102" s="29"/>
      <c r="PR102" s="29"/>
      <c r="PS102" s="29"/>
      <c r="PT102" s="29"/>
      <c r="PU102" s="29"/>
      <c r="PV102" s="29"/>
      <c r="PW102" s="29"/>
      <c r="PX102" s="29"/>
      <c r="PY102" s="29"/>
      <c r="PZ102" s="29"/>
      <c r="QA102" s="29"/>
      <c r="QB102" s="29"/>
      <c r="QC102" s="29"/>
      <c r="QD102" s="29"/>
      <c r="QE102" s="29"/>
      <c r="QF102" s="29"/>
      <c r="QG102" s="29"/>
      <c r="QH102" s="29"/>
      <c r="QI102" s="29"/>
      <c r="QJ102" s="29"/>
      <c r="QK102" s="29"/>
      <c r="QL102" s="29"/>
      <c r="QM102" s="29"/>
      <c r="QN102" s="29"/>
      <c r="QO102" s="29"/>
      <c r="QP102" s="29"/>
      <c r="QQ102" s="29"/>
      <c r="QR102" s="29"/>
      <c r="QS102" s="29"/>
      <c r="QT102" s="29"/>
      <c r="QU102" s="29"/>
      <c r="QV102" s="29"/>
      <c r="QW102" s="29"/>
      <c r="QX102" s="29"/>
      <c r="QY102" s="29"/>
      <c r="QZ102" s="29"/>
      <c r="RA102" s="29"/>
      <c r="RB102" s="29"/>
      <c r="RC102" s="29"/>
      <c r="RD102" s="29"/>
      <c r="RE102" s="29"/>
      <c r="RF102" s="29"/>
      <c r="RG102" s="29"/>
      <c r="RH102" s="29"/>
      <c r="RI102" s="29"/>
      <c r="RJ102" s="29"/>
      <c r="RK102" s="29"/>
      <c r="RL102" s="29"/>
      <c r="RM102" s="29"/>
      <c r="RN102" s="29"/>
      <c r="RO102" s="29"/>
      <c r="RP102" s="29"/>
      <c r="RQ102" s="29"/>
      <c r="RR102" s="29"/>
      <c r="RS102" s="29"/>
      <c r="RT102" s="29"/>
      <c r="RU102" s="29"/>
      <c r="RV102" s="29"/>
      <c r="RW102" s="29"/>
      <c r="RX102" s="29"/>
      <c r="RY102" s="29"/>
      <c r="RZ102" s="29"/>
      <c r="SA102" s="29"/>
      <c r="SB102" s="29"/>
      <c r="SC102" s="29"/>
      <c r="SD102" s="29"/>
      <c r="SE102" s="29"/>
      <c r="SF102" s="29"/>
      <c r="SG102" s="29"/>
      <c r="SH102" s="29"/>
      <c r="SI102" s="29"/>
      <c r="SJ102" s="29"/>
      <c r="SK102" s="29"/>
      <c r="SL102" s="29"/>
      <c r="SM102" s="29"/>
      <c r="SN102" s="29"/>
      <c r="SO102" s="29"/>
      <c r="SP102" s="29"/>
      <c r="SQ102" s="29"/>
      <c r="SR102" s="29"/>
      <c r="SS102" s="29"/>
      <c r="ST102" s="29"/>
      <c r="SU102" s="29"/>
      <c r="SV102" s="29"/>
      <c r="SW102" s="29"/>
      <c r="SX102" s="29"/>
      <c r="SY102" s="29"/>
      <c r="SZ102" s="29"/>
      <c r="TA102" s="29"/>
      <c r="TB102" s="29"/>
      <c r="TC102" s="29"/>
      <c r="TD102" s="29"/>
      <c r="TE102" s="29"/>
      <c r="TF102" s="29"/>
      <c r="TG102" s="29"/>
      <c r="TH102" s="29"/>
      <c r="TI102" s="29"/>
      <c r="TJ102" s="29"/>
      <c r="TK102" s="29"/>
      <c r="TL102" s="29"/>
      <c r="TM102" s="29"/>
      <c r="TN102" s="29"/>
      <c r="TO102" s="29"/>
      <c r="TP102" s="29"/>
      <c r="TQ102" s="29"/>
      <c r="TR102" s="29"/>
      <c r="TS102" s="29"/>
      <c r="TT102" s="29"/>
      <c r="TU102" s="29"/>
      <c r="TV102" s="29"/>
      <c r="TW102" s="29"/>
      <c r="TX102" s="29"/>
      <c r="TY102" s="29"/>
      <c r="TZ102" s="29"/>
      <c r="UA102" s="29"/>
      <c r="UB102" s="29"/>
      <c r="UC102" s="29"/>
      <c r="UD102" s="29"/>
      <c r="UE102" s="29"/>
      <c r="UF102" s="29"/>
      <c r="UG102" s="29"/>
      <c r="UH102" s="29"/>
      <c r="UI102" s="29"/>
      <c r="UJ102" s="29"/>
      <c r="UK102" s="29"/>
      <c r="UL102" s="29"/>
      <c r="UM102" s="29"/>
      <c r="UN102" s="29"/>
      <c r="UO102" s="29"/>
      <c r="UP102" s="29"/>
      <c r="UQ102" s="29"/>
      <c r="UR102" s="29"/>
      <c r="US102" s="29"/>
      <c r="UT102" s="29"/>
      <c r="UU102" s="29"/>
      <c r="UV102" s="29"/>
      <c r="UW102" s="29"/>
      <c r="UX102" s="29"/>
      <c r="UY102" s="29"/>
      <c r="UZ102" s="29"/>
      <c r="VA102" s="29"/>
      <c r="VB102" s="29"/>
      <c r="VC102" s="29"/>
      <c r="VD102" s="29"/>
      <c r="VE102" s="29"/>
      <c r="VF102" s="29"/>
      <c r="VG102" s="29"/>
      <c r="VH102" s="29"/>
      <c r="VI102" s="29"/>
      <c r="VJ102" s="29"/>
      <c r="VK102" s="29"/>
      <c r="VL102" s="29"/>
      <c r="VM102" s="29"/>
      <c r="VN102" s="29"/>
      <c r="VO102" s="29"/>
      <c r="VP102" s="29"/>
      <c r="VQ102" s="29"/>
      <c r="VR102" s="29"/>
      <c r="VS102" s="29"/>
      <c r="VT102" s="29"/>
      <c r="VU102" s="29"/>
      <c r="VV102" s="29"/>
      <c r="VW102" s="29"/>
      <c r="VX102" s="29"/>
      <c r="VY102" s="29"/>
      <c r="VZ102" s="29"/>
      <c r="WA102" s="29"/>
      <c r="WB102" s="29"/>
      <c r="WC102" s="29"/>
      <c r="WD102" s="29"/>
      <c r="WE102" s="29"/>
      <c r="WF102" s="29"/>
      <c r="WG102" s="29"/>
      <c r="WH102" s="29"/>
      <c r="WI102" s="29"/>
      <c r="WJ102" s="29"/>
      <c r="WK102" s="29"/>
      <c r="WL102" s="29"/>
      <c r="WM102" s="29"/>
      <c r="WN102" s="29"/>
      <c r="WO102" s="29"/>
      <c r="WP102" s="29"/>
      <c r="WQ102" s="29"/>
      <c r="WR102" s="29"/>
      <c r="WS102" s="29"/>
    </row>
    <row r="103" spans="1:617" s="3" customFormat="1" ht="15.95" outlineLevel="1" thickBot="1">
      <c r="A103" s="33"/>
      <c r="B103" s="243" t="s">
        <v>251</v>
      </c>
      <c r="C103" s="243"/>
      <c r="D103" s="243"/>
      <c r="E103" s="243"/>
      <c r="F103" s="14"/>
      <c r="G103" s="14"/>
      <c r="H103" s="29"/>
      <c r="I103" s="29"/>
      <c r="J103" s="29"/>
      <c r="K103" s="29"/>
      <c r="L103" s="29"/>
      <c r="M103" s="29"/>
      <c r="N103" s="29"/>
      <c r="O103" s="29"/>
      <c r="P103" s="29"/>
      <c r="Q103" s="29"/>
      <c r="R103" s="29"/>
      <c r="S103" s="29"/>
      <c r="T103" s="29"/>
      <c r="U103" s="29"/>
      <c r="V103" s="29"/>
      <c r="W103" s="29"/>
      <c r="X103" s="29"/>
      <c r="Y103" s="29"/>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c r="MM103" s="29"/>
      <c r="MN103" s="29"/>
      <c r="MO103" s="29"/>
      <c r="MP103" s="29"/>
      <c r="MQ103" s="29"/>
      <c r="MR103" s="29"/>
      <c r="MS103" s="29"/>
      <c r="MT103" s="29"/>
      <c r="MU103" s="29"/>
      <c r="MV103" s="29"/>
      <c r="MW103" s="29"/>
      <c r="MX103" s="29"/>
      <c r="MY103" s="29"/>
      <c r="MZ103" s="29"/>
      <c r="NA103" s="29"/>
      <c r="NB103" s="29"/>
      <c r="NC103" s="29"/>
      <c r="ND103" s="29"/>
      <c r="NE103" s="29"/>
      <c r="NF103" s="29"/>
      <c r="NG103" s="29"/>
      <c r="NH103" s="29"/>
      <c r="NI103" s="29"/>
      <c r="NJ103" s="29"/>
      <c r="NK103" s="29"/>
      <c r="NL103" s="29"/>
      <c r="NM103" s="29"/>
      <c r="NN103" s="29"/>
      <c r="NO103" s="29"/>
      <c r="NP103" s="29"/>
      <c r="NQ103" s="29"/>
      <c r="NR103" s="29"/>
      <c r="NS103" s="29"/>
      <c r="NT103" s="29"/>
      <c r="NU103" s="29"/>
      <c r="NV103" s="29"/>
      <c r="NW103" s="29"/>
      <c r="NX103" s="29"/>
      <c r="NY103" s="29"/>
      <c r="NZ103" s="29"/>
      <c r="OA103" s="29"/>
      <c r="OB103" s="29"/>
      <c r="OC103" s="29"/>
      <c r="OD103" s="29"/>
      <c r="OE103" s="29"/>
      <c r="OF103" s="29"/>
      <c r="OG103" s="29"/>
      <c r="OH103" s="29"/>
      <c r="OI103" s="29"/>
      <c r="OJ103" s="29"/>
      <c r="OK103" s="29"/>
      <c r="OL103" s="29"/>
      <c r="OM103" s="29"/>
      <c r="ON103" s="29"/>
      <c r="OO103" s="29"/>
      <c r="OP103" s="29"/>
      <c r="OQ103" s="29"/>
      <c r="OR103" s="29"/>
      <c r="OS103" s="29"/>
      <c r="OT103" s="29"/>
      <c r="OU103" s="29"/>
      <c r="OV103" s="29"/>
      <c r="OW103" s="29"/>
      <c r="OX103" s="29"/>
      <c r="OY103" s="29"/>
      <c r="OZ103" s="29"/>
      <c r="PA103" s="29"/>
      <c r="PB103" s="29"/>
      <c r="PC103" s="29"/>
      <c r="PD103" s="29"/>
      <c r="PE103" s="29"/>
      <c r="PF103" s="29"/>
      <c r="PG103" s="29"/>
      <c r="PH103" s="29"/>
      <c r="PI103" s="29"/>
      <c r="PJ103" s="29"/>
      <c r="PK103" s="29"/>
      <c r="PL103" s="29"/>
      <c r="PM103" s="29"/>
      <c r="PN103" s="29"/>
      <c r="PO103" s="29"/>
      <c r="PP103" s="29"/>
      <c r="PQ103" s="29"/>
      <c r="PR103" s="29"/>
      <c r="PS103" s="29"/>
      <c r="PT103" s="29"/>
      <c r="PU103" s="29"/>
      <c r="PV103" s="29"/>
      <c r="PW103" s="29"/>
      <c r="PX103" s="29"/>
      <c r="PY103" s="29"/>
      <c r="PZ103" s="29"/>
      <c r="QA103" s="29"/>
      <c r="QB103" s="29"/>
      <c r="QC103" s="29"/>
      <c r="QD103" s="29"/>
      <c r="QE103" s="29"/>
      <c r="QF103" s="29"/>
      <c r="QG103" s="29"/>
      <c r="QH103" s="29"/>
      <c r="QI103" s="29"/>
      <c r="QJ103" s="29"/>
      <c r="QK103" s="29"/>
      <c r="QL103" s="29"/>
      <c r="QM103" s="29"/>
      <c r="QN103" s="29"/>
      <c r="QO103" s="29"/>
      <c r="QP103" s="29"/>
      <c r="QQ103" s="29"/>
      <c r="QR103" s="29"/>
      <c r="QS103" s="29"/>
      <c r="QT103" s="29"/>
      <c r="QU103" s="29"/>
      <c r="QV103" s="29"/>
      <c r="QW103" s="29"/>
      <c r="QX103" s="29"/>
      <c r="QY103" s="29"/>
      <c r="QZ103" s="29"/>
      <c r="RA103" s="29"/>
      <c r="RB103" s="29"/>
      <c r="RC103" s="29"/>
      <c r="RD103" s="29"/>
      <c r="RE103" s="29"/>
      <c r="RF103" s="29"/>
      <c r="RG103" s="29"/>
      <c r="RH103" s="29"/>
      <c r="RI103" s="29"/>
      <c r="RJ103" s="29"/>
      <c r="RK103" s="29"/>
      <c r="RL103" s="29"/>
      <c r="RM103" s="29"/>
      <c r="RN103" s="29"/>
      <c r="RO103" s="29"/>
      <c r="RP103" s="29"/>
      <c r="RQ103" s="29"/>
      <c r="RR103" s="29"/>
      <c r="RS103" s="29"/>
      <c r="RT103" s="29"/>
      <c r="RU103" s="29"/>
      <c r="RV103" s="29"/>
      <c r="RW103" s="29"/>
      <c r="RX103" s="29"/>
      <c r="RY103" s="29"/>
      <c r="RZ103" s="29"/>
      <c r="SA103" s="29"/>
      <c r="SB103" s="29"/>
      <c r="SC103" s="29"/>
      <c r="SD103" s="29"/>
      <c r="SE103" s="29"/>
      <c r="SF103" s="29"/>
      <c r="SG103" s="29"/>
      <c r="SH103" s="29"/>
      <c r="SI103" s="29"/>
      <c r="SJ103" s="29"/>
      <c r="SK103" s="29"/>
      <c r="SL103" s="29"/>
      <c r="SM103" s="29"/>
      <c r="SN103" s="29"/>
      <c r="SO103" s="29"/>
      <c r="SP103" s="29"/>
      <c r="SQ103" s="29"/>
      <c r="SR103" s="29"/>
      <c r="SS103" s="29"/>
      <c r="ST103" s="29"/>
      <c r="SU103" s="29"/>
      <c r="SV103" s="29"/>
      <c r="SW103" s="29"/>
      <c r="SX103" s="29"/>
      <c r="SY103" s="29"/>
      <c r="SZ103" s="29"/>
      <c r="TA103" s="29"/>
      <c r="TB103" s="29"/>
      <c r="TC103" s="29"/>
      <c r="TD103" s="29"/>
      <c r="TE103" s="29"/>
      <c r="TF103" s="29"/>
      <c r="TG103" s="29"/>
      <c r="TH103" s="29"/>
      <c r="TI103" s="29"/>
      <c r="TJ103" s="29"/>
      <c r="TK103" s="29"/>
      <c r="TL103" s="29"/>
      <c r="TM103" s="29"/>
      <c r="TN103" s="29"/>
      <c r="TO103" s="29"/>
      <c r="TP103" s="29"/>
      <c r="TQ103" s="29"/>
      <c r="TR103" s="29"/>
      <c r="TS103" s="29"/>
      <c r="TT103" s="29"/>
      <c r="TU103" s="29"/>
      <c r="TV103" s="29"/>
      <c r="TW103" s="29"/>
      <c r="TX103" s="29"/>
      <c r="TY103" s="29"/>
      <c r="TZ103" s="29"/>
      <c r="UA103" s="29"/>
      <c r="UB103" s="29"/>
      <c r="UC103" s="29"/>
      <c r="UD103" s="29"/>
      <c r="UE103" s="29"/>
      <c r="UF103" s="29"/>
      <c r="UG103" s="29"/>
      <c r="UH103" s="29"/>
      <c r="UI103" s="29"/>
      <c r="UJ103" s="29"/>
      <c r="UK103" s="29"/>
      <c r="UL103" s="29"/>
      <c r="UM103" s="29"/>
      <c r="UN103" s="29"/>
      <c r="UO103" s="29"/>
      <c r="UP103" s="29"/>
      <c r="UQ103" s="29"/>
      <c r="UR103" s="29"/>
      <c r="US103" s="29"/>
      <c r="UT103" s="29"/>
      <c r="UU103" s="29"/>
      <c r="UV103" s="29"/>
      <c r="UW103" s="29"/>
      <c r="UX103" s="29"/>
      <c r="UY103" s="29"/>
      <c r="UZ103" s="29"/>
      <c r="VA103" s="29"/>
      <c r="VB103" s="29"/>
      <c r="VC103" s="29"/>
      <c r="VD103" s="29"/>
      <c r="VE103" s="29"/>
      <c r="VF103" s="29"/>
      <c r="VG103" s="29"/>
      <c r="VH103" s="29"/>
      <c r="VI103" s="29"/>
      <c r="VJ103" s="29"/>
      <c r="VK103" s="29"/>
      <c r="VL103" s="29"/>
      <c r="VM103" s="29"/>
      <c r="VN103" s="29"/>
      <c r="VO103" s="29"/>
      <c r="VP103" s="29"/>
      <c r="VQ103" s="29"/>
      <c r="VR103" s="29"/>
      <c r="VS103" s="29"/>
      <c r="VT103" s="29"/>
      <c r="VU103" s="29"/>
      <c r="VV103" s="29"/>
      <c r="VW103" s="29"/>
      <c r="VX103" s="29"/>
      <c r="VY103" s="29"/>
      <c r="VZ103" s="29"/>
      <c r="WA103" s="29"/>
      <c r="WB103" s="29"/>
      <c r="WC103" s="29"/>
      <c r="WD103" s="29"/>
      <c r="WE103" s="29"/>
      <c r="WF103" s="29"/>
      <c r="WG103" s="29"/>
      <c r="WH103" s="29"/>
      <c r="WI103" s="29"/>
      <c r="WJ103" s="29"/>
      <c r="WK103" s="29"/>
      <c r="WL103" s="29"/>
      <c r="WM103" s="29"/>
      <c r="WN103" s="29"/>
      <c r="WO103" s="29"/>
      <c r="WP103" s="29"/>
      <c r="WQ103" s="29"/>
      <c r="WR103" s="29"/>
      <c r="WS103" s="29"/>
    </row>
    <row r="104" spans="1:617" s="3" customFormat="1" ht="15" thickBot="1">
      <c r="A104" s="33"/>
      <c r="B104" s="238" t="s">
        <v>252</v>
      </c>
      <c r="C104" s="238"/>
      <c r="D104" s="238"/>
      <c r="E104" s="238"/>
      <c r="F104" s="14"/>
      <c r="G104" s="14" t="str">
        <f t="shared" ca="1" si="586"/>
        <v/>
      </c>
      <c r="H104" s="29"/>
      <c r="I104" s="29"/>
      <c r="J104" s="29"/>
      <c r="K104" s="29"/>
      <c r="L104" s="29"/>
      <c r="M104" s="29"/>
      <c r="N104" s="29"/>
      <c r="O104" s="29"/>
      <c r="P104" s="29"/>
      <c r="Q104" s="29"/>
      <c r="R104" s="29"/>
      <c r="S104" s="29"/>
      <c r="T104" s="29"/>
      <c r="U104" s="29"/>
      <c r="V104" s="29"/>
      <c r="W104" s="29"/>
      <c r="X104" s="29"/>
      <c r="Y104" s="29"/>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c r="MM104" s="29"/>
      <c r="MN104" s="29"/>
      <c r="MO104" s="29"/>
      <c r="MP104" s="29"/>
      <c r="MQ104" s="29"/>
      <c r="MR104" s="29"/>
      <c r="MS104" s="29"/>
      <c r="MT104" s="29"/>
      <c r="MU104" s="29"/>
      <c r="MV104" s="29"/>
      <c r="MW104" s="29"/>
      <c r="MX104" s="29"/>
      <c r="MY104" s="29"/>
      <c r="MZ104" s="29"/>
      <c r="NA104" s="29"/>
      <c r="NB104" s="29"/>
      <c r="NC104" s="29"/>
      <c r="ND104" s="29"/>
      <c r="NE104" s="29"/>
      <c r="NF104" s="29"/>
      <c r="NG104" s="29"/>
      <c r="NH104" s="29"/>
      <c r="NI104" s="29"/>
      <c r="NJ104" s="29"/>
      <c r="NK104" s="29"/>
      <c r="NL104" s="29"/>
      <c r="NM104" s="29"/>
      <c r="NN104" s="29"/>
      <c r="NO104" s="29"/>
      <c r="NP104" s="29"/>
      <c r="NQ104" s="29"/>
      <c r="NR104" s="29"/>
      <c r="NS104" s="29"/>
      <c r="NT104" s="29"/>
      <c r="NU104" s="29"/>
      <c r="NV104" s="29"/>
      <c r="NW104" s="29"/>
      <c r="NX104" s="29"/>
      <c r="NY104" s="29"/>
      <c r="NZ104" s="29"/>
      <c r="OA104" s="29"/>
      <c r="OB104" s="29"/>
      <c r="OC104" s="29"/>
      <c r="OD104" s="29"/>
      <c r="OE104" s="29"/>
      <c r="OF104" s="29"/>
      <c r="OG104" s="29"/>
      <c r="OH104" s="29"/>
      <c r="OI104" s="29"/>
      <c r="OJ104" s="29"/>
      <c r="OK104" s="29"/>
      <c r="OL104" s="29"/>
      <c r="OM104" s="29"/>
      <c r="ON104" s="29"/>
      <c r="OO104" s="29"/>
      <c r="OP104" s="29"/>
      <c r="OQ104" s="29"/>
      <c r="OR104" s="29"/>
      <c r="OS104" s="29"/>
      <c r="OT104" s="29"/>
      <c r="OU104" s="29"/>
      <c r="OV104" s="29"/>
      <c r="OW104" s="29"/>
      <c r="OX104" s="29"/>
      <c r="OY104" s="29"/>
      <c r="OZ104" s="29"/>
      <c r="PA104" s="29"/>
      <c r="PB104" s="29"/>
      <c r="PC104" s="29"/>
      <c r="PD104" s="29"/>
      <c r="PE104" s="29"/>
      <c r="PF104" s="29"/>
      <c r="PG104" s="29"/>
      <c r="PH104" s="29"/>
      <c r="PI104" s="29"/>
      <c r="PJ104" s="29"/>
      <c r="PK104" s="29"/>
      <c r="PL104" s="29"/>
      <c r="PM104" s="29"/>
      <c r="PN104" s="29"/>
      <c r="PO104" s="29"/>
      <c r="PP104" s="29"/>
      <c r="PQ104" s="29"/>
      <c r="PR104" s="29"/>
      <c r="PS104" s="29"/>
      <c r="PT104" s="29"/>
      <c r="PU104" s="29"/>
      <c r="PV104" s="29"/>
      <c r="PW104" s="29"/>
      <c r="PX104" s="29"/>
      <c r="PY104" s="29"/>
      <c r="PZ104" s="29"/>
      <c r="QA104" s="29"/>
      <c r="QB104" s="29"/>
      <c r="QC104" s="29"/>
      <c r="QD104" s="29"/>
      <c r="QE104" s="29"/>
      <c r="QF104" s="29"/>
      <c r="QG104" s="29"/>
      <c r="QH104" s="29"/>
      <c r="QI104" s="29"/>
      <c r="QJ104" s="29"/>
      <c r="QK104" s="29"/>
      <c r="QL104" s="29"/>
      <c r="QM104" s="29"/>
      <c r="QN104" s="29"/>
      <c r="QO104" s="29"/>
      <c r="QP104" s="29"/>
      <c r="QQ104" s="29"/>
      <c r="QR104" s="29"/>
      <c r="QS104" s="29"/>
      <c r="QT104" s="29"/>
      <c r="QU104" s="29"/>
      <c r="QV104" s="29"/>
      <c r="QW104" s="29"/>
      <c r="QX104" s="29"/>
      <c r="QY104" s="29"/>
      <c r="QZ104" s="29"/>
      <c r="RA104" s="29"/>
      <c r="RB104" s="29"/>
      <c r="RC104" s="29"/>
      <c r="RD104" s="29"/>
      <c r="RE104" s="29"/>
      <c r="RF104" s="29"/>
      <c r="RG104" s="29"/>
      <c r="RH104" s="29"/>
      <c r="RI104" s="29"/>
      <c r="RJ104" s="29"/>
      <c r="RK104" s="29"/>
      <c r="RL104" s="29"/>
      <c r="RM104" s="29"/>
      <c r="RN104" s="29"/>
      <c r="RO104" s="29"/>
      <c r="RP104" s="29"/>
      <c r="RQ104" s="29"/>
      <c r="RR104" s="29"/>
      <c r="RS104" s="29"/>
      <c r="RT104" s="29"/>
      <c r="RU104" s="29"/>
      <c r="RV104" s="29"/>
      <c r="RW104" s="29"/>
      <c r="RX104" s="29"/>
      <c r="RY104" s="29"/>
      <c r="RZ104" s="29"/>
      <c r="SA104" s="29"/>
      <c r="SB104" s="29"/>
      <c r="SC104" s="29"/>
      <c r="SD104" s="29"/>
      <c r="SE104" s="29"/>
      <c r="SF104" s="29"/>
      <c r="SG104" s="29"/>
      <c r="SH104" s="29"/>
      <c r="SI104" s="29"/>
      <c r="SJ104" s="29"/>
      <c r="SK104" s="29"/>
      <c r="SL104" s="29"/>
      <c r="SM104" s="29"/>
      <c r="SN104" s="29"/>
      <c r="SO104" s="29"/>
      <c r="SP104" s="29"/>
      <c r="SQ104" s="29"/>
      <c r="SR104" s="29"/>
      <c r="SS104" s="29"/>
      <c r="ST104" s="29"/>
      <c r="SU104" s="29"/>
      <c r="SV104" s="29"/>
      <c r="SW104" s="29"/>
      <c r="SX104" s="29"/>
      <c r="SY104" s="29"/>
      <c r="SZ104" s="29"/>
      <c r="TA104" s="29"/>
      <c r="TB104" s="29"/>
      <c r="TC104" s="29"/>
      <c r="TD104" s="29"/>
      <c r="TE104" s="29"/>
      <c r="TF104" s="29"/>
      <c r="TG104" s="29"/>
      <c r="TH104" s="29"/>
      <c r="TI104" s="29"/>
      <c r="TJ104" s="29"/>
      <c r="TK104" s="29"/>
      <c r="TL104" s="29"/>
      <c r="TM104" s="29"/>
      <c r="TN104" s="29"/>
      <c r="TO104" s="29"/>
      <c r="TP104" s="29"/>
      <c r="TQ104" s="29"/>
      <c r="TR104" s="29"/>
      <c r="TS104" s="29"/>
      <c r="TT104" s="29"/>
      <c r="TU104" s="29"/>
      <c r="TV104" s="29"/>
      <c r="TW104" s="29"/>
      <c r="TX104" s="29"/>
      <c r="TY104" s="29"/>
      <c r="TZ104" s="29"/>
      <c r="UA104" s="29"/>
      <c r="UB104" s="29"/>
      <c r="UC104" s="29"/>
      <c r="UD104" s="29"/>
      <c r="UE104" s="29"/>
      <c r="UF104" s="29"/>
      <c r="UG104" s="29"/>
      <c r="UH104" s="29"/>
      <c r="UI104" s="29"/>
      <c r="UJ104" s="29"/>
      <c r="UK104" s="29"/>
      <c r="UL104" s="29"/>
      <c r="UM104" s="29"/>
      <c r="UN104" s="29"/>
      <c r="UO104" s="29"/>
      <c r="UP104" s="29"/>
      <c r="UQ104" s="29"/>
      <c r="UR104" s="29"/>
      <c r="US104" s="29"/>
      <c r="UT104" s="29"/>
      <c r="UU104" s="29"/>
      <c r="UV104" s="29"/>
      <c r="UW104" s="29"/>
      <c r="UX104" s="29"/>
      <c r="UY104" s="29"/>
      <c r="UZ104" s="29"/>
      <c r="VA104" s="29"/>
      <c r="VB104" s="29"/>
      <c r="VC104" s="29"/>
      <c r="VD104" s="29"/>
      <c r="VE104" s="29"/>
      <c r="VF104" s="29"/>
      <c r="VG104" s="29"/>
      <c r="VH104" s="29"/>
      <c r="VI104" s="29"/>
      <c r="VJ104" s="29"/>
      <c r="VK104" s="29"/>
      <c r="VL104" s="29"/>
      <c r="VM104" s="29"/>
      <c r="VN104" s="29"/>
      <c r="VO104" s="29"/>
      <c r="VP104" s="29"/>
      <c r="VQ104" s="29"/>
      <c r="VR104" s="29"/>
      <c r="VS104" s="29"/>
      <c r="VT104" s="29"/>
      <c r="VU104" s="29"/>
      <c r="VV104" s="29"/>
      <c r="VW104" s="29"/>
      <c r="VX104" s="29"/>
      <c r="VY104" s="29"/>
      <c r="VZ104" s="29"/>
      <c r="WA104" s="29"/>
      <c r="WB104" s="29"/>
      <c r="WC104" s="29"/>
      <c r="WD104" s="29"/>
      <c r="WE104" s="29"/>
      <c r="WF104" s="29"/>
      <c r="WG104" s="29"/>
      <c r="WH104" s="29"/>
      <c r="WI104" s="29"/>
      <c r="WJ104" s="29"/>
      <c r="WK104" s="29"/>
      <c r="WL104" s="29"/>
      <c r="WM104" s="29"/>
      <c r="WN104" s="29"/>
      <c r="WO104" s="29"/>
      <c r="WP104" s="29"/>
      <c r="WQ104" s="29"/>
      <c r="WR104" s="29"/>
      <c r="WS104" s="29"/>
    </row>
    <row r="105" spans="1:617" s="3" customFormat="1" ht="15" customHeight="1" outlineLevel="1" thickBot="1">
      <c r="A105" s="34" t="s">
        <v>225</v>
      </c>
      <c r="B105" s="47" t="s">
        <v>253</v>
      </c>
      <c r="C105" s="42" t="s">
        <v>119</v>
      </c>
      <c r="D105" s="116">
        <v>45820</v>
      </c>
      <c r="E105" s="116">
        <f>D105+G105-1</f>
        <v>45873</v>
      </c>
      <c r="F105" s="14"/>
      <c r="G105" s="14">
        <v>54</v>
      </c>
      <c r="H105" s="29"/>
      <c r="I105" s="29"/>
      <c r="J105" s="29"/>
      <c r="K105" s="29"/>
      <c r="L105" s="29"/>
      <c r="M105" s="29"/>
      <c r="N105" s="29"/>
      <c r="O105" s="29"/>
      <c r="P105" s="29"/>
      <c r="Q105" s="29"/>
      <c r="R105" s="29"/>
      <c r="S105" s="29"/>
      <c r="T105" s="29"/>
      <c r="U105" s="29"/>
      <c r="V105" s="29"/>
      <c r="W105" s="29"/>
      <c r="X105" s="29"/>
      <c r="Y105" s="29"/>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c r="MM105" s="29"/>
      <c r="MN105" s="29"/>
      <c r="MO105" s="29"/>
      <c r="MP105" s="29"/>
      <c r="MQ105" s="29"/>
      <c r="MR105" s="29"/>
      <c r="MS105" s="29"/>
      <c r="MT105" s="29"/>
      <c r="MU105" s="29"/>
      <c r="MV105" s="29"/>
      <c r="MW105" s="29"/>
      <c r="MX105" s="29"/>
      <c r="MY105" s="29"/>
      <c r="MZ105" s="29"/>
      <c r="NA105" s="29"/>
      <c r="NB105" s="29"/>
      <c r="NC105" s="29"/>
      <c r="ND105" s="29"/>
      <c r="NE105" s="29"/>
      <c r="NF105" s="29"/>
      <c r="NG105" s="29"/>
      <c r="NH105" s="29"/>
      <c r="NI105" s="29"/>
      <c r="NJ105" s="29"/>
      <c r="NK105" s="29"/>
      <c r="NL105" s="29"/>
      <c r="NM105" s="29"/>
      <c r="NN105" s="29"/>
      <c r="NO105" s="29"/>
      <c r="NP105" s="29"/>
      <c r="NQ105" s="29"/>
      <c r="NR105" s="29"/>
      <c r="NS105" s="29"/>
      <c r="NT105" s="29"/>
      <c r="NU105" s="29"/>
      <c r="NV105" s="29"/>
      <c r="NW105" s="29"/>
      <c r="NX105" s="29"/>
      <c r="NY105" s="29"/>
      <c r="NZ105" s="29"/>
      <c r="OA105" s="29"/>
      <c r="OB105" s="29"/>
      <c r="OC105" s="29"/>
      <c r="OD105" s="29"/>
      <c r="OE105" s="29"/>
      <c r="OF105" s="29"/>
      <c r="OG105" s="29"/>
      <c r="OH105" s="29"/>
      <c r="OI105" s="29"/>
      <c r="OJ105" s="29"/>
      <c r="OK105" s="29"/>
      <c r="OL105" s="29"/>
      <c r="OM105" s="29"/>
      <c r="ON105" s="29"/>
      <c r="OO105" s="29"/>
      <c r="OP105" s="29"/>
      <c r="OQ105" s="29"/>
      <c r="OR105" s="29"/>
      <c r="OS105" s="29"/>
      <c r="OT105" s="29"/>
      <c r="OU105" s="29"/>
      <c r="OV105" s="29"/>
      <c r="OW105" s="29"/>
      <c r="OX105" s="29"/>
      <c r="OY105" s="29"/>
      <c r="OZ105" s="29"/>
      <c r="PA105" s="29"/>
      <c r="PB105" s="29"/>
      <c r="PC105" s="29"/>
      <c r="PD105" s="29"/>
      <c r="PE105" s="29"/>
      <c r="PF105" s="29"/>
      <c r="PG105" s="29"/>
      <c r="PH105" s="29"/>
      <c r="PI105" s="29"/>
      <c r="PJ105" s="29"/>
      <c r="PK105" s="29"/>
      <c r="PL105" s="29"/>
      <c r="PM105" s="29"/>
      <c r="PN105" s="29"/>
      <c r="PO105" s="29"/>
      <c r="PP105" s="29"/>
      <c r="PQ105" s="29"/>
      <c r="PR105" s="29"/>
      <c r="PS105" s="29"/>
      <c r="PT105" s="29"/>
      <c r="PU105" s="29"/>
      <c r="PV105" s="29"/>
      <c r="PW105" s="29"/>
      <c r="PX105" s="29"/>
      <c r="PY105" s="29"/>
      <c r="PZ105" s="29"/>
      <c r="QA105" s="29"/>
      <c r="QB105" s="29"/>
      <c r="QC105" s="29"/>
      <c r="QD105" s="29"/>
      <c r="QE105" s="29"/>
      <c r="QF105" s="29"/>
      <c r="QG105" s="29"/>
      <c r="QH105" s="29"/>
      <c r="QI105" s="29"/>
      <c r="QJ105" s="29"/>
      <c r="QK105" s="29"/>
      <c r="QL105" s="29"/>
      <c r="QM105" s="29"/>
      <c r="QN105" s="29"/>
      <c r="QO105" s="29"/>
      <c r="QP105" s="29"/>
      <c r="QQ105" s="29"/>
      <c r="QR105" s="29"/>
      <c r="QS105" s="29"/>
      <c r="QT105" s="29"/>
      <c r="QU105" s="29"/>
      <c r="QV105" s="29"/>
      <c r="QW105" s="29"/>
      <c r="QX105" s="29"/>
      <c r="QY105" s="29"/>
      <c r="QZ105" s="29"/>
      <c r="RA105" s="29"/>
      <c r="RB105" s="29"/>
      <c r="RC105" s="29"/>
      <c r="RD105" s="29"/>
      <c r="RE105" s="29"/>
      <c r="RF105" s="29"/>
      <c r="RG105" s="29"/>
      <c r="RH105" s="29"/>
      <c r="RI105" s="29"/>
      <c r="RJ105" s="29"/>
      <c r="RK105" s="29"/>
      <c r="RL105" s="29"/>
      <c r="RM105" s="29"/>
      <c r="RN105" s="29"/>
      <c r="RO105" s="29"/>
      <c r="RP105" s="29"/>
      <c r="RQ105" s="29"/>
      <c r="RR105" s="29"/>
      <c r="RS105" s="29"/>
      <c r="RT105" s="29"/>
      <c r="RU105" s="29"/>
      <c r="RV105" s="29"/>
      <c r="RW105" s="29"/>
      <c r="RX105" s="29"/>
      <c r="RY105" s="29"/>
      <c r="RZ105" s="29"/>
      <c r="SA105" s="29"/>
      <c r="SB105" s="29"/>
      <c r="SC105" s="29"/>
      <c r="SD105" s="29"/>
      <c r="SE105" s="29"/>
      <c r="SF105" s="29"/>
      <c r="SG105" s="29"/>
      <c r="SH105" s="29"/>
      <c r="SI105" s="29"/>
      <c r="SJ105" s="29"/>
      <c r="SK105" s="29"/>
      <c r="SL105" s="29"/>
      <c r="SM105" s="29"/>
      <c r="SN105" s="29"/>
      <c r="SO105" s="29"/>
      <c r="SP105" s="29"/>
      <c r="SQ105" s="29"/>
      <c r="SR105" s="29"/>
      <c r="SS105" s="29"/>
      <c r="ST105" s="29"/>
      <c r="SU105" s="29"/>
      <c r="SV105" s="29"/>
      <c r="SW105" s="29"/>
      <c r="SX105" s="29"/>
      <c r="SY105" s="29"/>
      <c r="SZ105" s="29"/>
      <c r="TA105" s="29"/>
      <c r="TB105" s="29"/>
      <c r="TC105" s="29"/>
      <c r="TD105" s="29"/>
      <c r="TE105" s="29"/>
      <c r="TF105" s="29"/>
      <c r="TG105" s="29"/>
      <c r="TH105" s="29"/>
      <c r="TI105" s="29"/>
      <c r="TJ105" s="29"/>
      <c r="TK105" s="29"/>
      <c r="TL105" s="29"/>
      <c r="TM105" s="29"/>
      <c r="TN105" s="29"/>
      <c r="TO105" s="29"/>
      <c r="TP105" s="29"/>
      <c r="TQ105" s="29"/>
      <c r="TR105" s="29"/>
      <c r="TS105" s="29"/>
      <c r="TT105" s="29"/>
      <c r="TU105" s="29"/>
      <c r="TV105" s="29"/>
      <c r="TW105" s="29"/>
      <c r="TX105" s="29"/>
      <c r="TY105" s="29"/>
      <c r="TZ105" s="29"/>
      <c r="UA105" s="29"/>
      <c r="UB105" s="29"/>
      <c r="UC105" s="29"/>
      <c r="UD105" s="29"/>
      <c r="UE105" s="29"/>
      <c r="UF105" s="29"/>
      <c r="UG105" s="29"/>
      <c r="UH105" s="29"/>
      <c r="UI105" s="29"/>
      <c r="UJ105" s="29"/>
      <c r="UK105" s="29"/>
      <c r="UL105" s="29"/>
      <c r="UM105" s="29"/>
      <c r="UN105" s="29"/>
      <c r="UO105" s="29"/>
      <c r="UP105" s="29"/>
      <c r="UQ105" s="29"/>
      <c r="UR105" s="29"/>
      <c r="US105" s="29"/>
      <c r="UT105" s="29"/>
      <c r="UU105" s="29"/>
      <c r="UV105" s="29"/>
      <c r="UW105" s="29"/>
      <c r="UX105" s="29"/>
      <c r="UY105" s="29"/>
      <c r="UZ105" s="29"/>
      <c r="VA105" s="29"/>
      <c r="VB105" s="29"/>
      <c r="VC105" s="29"/>
      <c r="VD105" s="29"/>
      <c r="VE105" s="29"/>
      <c r="VF105" s="29"/>
      <c r="VG105" s="29"/>
      <c r="VH105" s="29"/>
      <c r="VI105" s="29"/>
      <c r="VJ105" s="29"/>
      <c r="VK105" s="29"/>
      <c r="VL105" s="29"/>
      <c r="VM105" s="29"/>
      <c r="VN105" s="29"/>
      <c r="VO105" s="29"/>
      <c r="VP105" s="29"/>
      <c r="VQ105" s="29"/>
      <c r="VR105" s="29"/>
      <c r="VS105" s="29"/>
      <c r="VT105" s="29"/>
      <c r="VU105" s="29"/>
      <c r="VV105" s="29"/>
      <c r="VW105" s="29"/>
      <c r="VX105" s="29"/>
      <c r="VY105" s="29"/>
      <c r="VZ105" s="29"/>
      <c r="WA105" s="29"/>
      <c r="WB105" s="29"/>
      <c r="WC105" s="29"/>
      <c r="WD105" s="29"/>
      <c r="WE105" s="29"/>
      <c r="WF105" s="29"/>
      <c r="WG105" s="29"/>
      <c r="WH105" s="29"/>
      <c r="WI105" s="29"/>
      <c r="WJ105" s="29"/>
      <c r="WK105" s="29"/>
      <c r="WL105" s="29"/>
      <c r="WM105" s="29"/>
      <c r="WN105" s="29"/>
      <c r="WO105" s="29"/>
      <c r="WP105" s="29"/>
      <c r="WQ105" s="29"/>
      <c r="WR105" s="29"/>
      <c r="WS105" s="29"/>
    </row>
    <row r="106" spans="1:617" s="3" customFormat="1" ht="15" outlineLevel="1" thickBot="1">
      <c r="A106" s="33"/>
      <c r="B106" s="47" t="s">
        <v>254</v>
      </c>
      <c r="C106" s="42" t="s">
        <v>83</v>
      </c>
      <c r="D106" s="116">
        <v>45855</v>
      </c>
      <c r="E106" s="116">
        <f>D106+G106</f>
        <v>45911</v>
      </c>
      <c r="F106" s="14"/>
      <c r="G106" s="14">
        <v>56</v>
      </c>
      <c r="H106" s="29"/>
      <c r="I106" s="29"/>
      <c r="J106" s="29"/>
      <c r="K106" s="29"/>
      <c r="L106" s="29"/>
      <c r="M106" s="29"/>
      <c r="N106" s="29"/>
      <c r="O106" s="29"/>
      <c r="P106" s="29"/>
      <c r="Q106" s="29"/>
      <c r="R106" s="29"/>
      <c r="S106" s="29"/>
      <c r="T106" s="29"/>
      <c r="U106" s="30"/>
      <c r="V106" s="30"/>
      <c r="W106" s="29"/>
      <c r="X106" s="29"/>
      <c r="Y106" s="29"/>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c r="MM106" s="29"/>
      <c r="MN106" s="29"/>
      <c r="MO106" s="29"/>
      <c r="MP106" s="29"/>
      <c r="MQ106" s="29"/>
      <c r="MR106" s="29"/>
      <c r="MS106" s="29"/>
      <c r="MT106" s="29"/>
      <c r="MU106" s="29"/>
      <c r="MV106" s="29"/>
      <c r="MW106" s="29"/>
      <c r="MX106" s="29"/>
      <c r="MY106" s="29"/>
      <c r="MZ106" s="29"/>
      <c r="NA106" s="29"/>
      <c r="NB106" s="29"/>
      <c r="NC106" s="29"/>
      <c r="ND106" s="29"/>
      <c r="NE106" s="29"/>
      <c r="NF106" s="29"/>
      <c r="NG106" s="29"/>
      <c r="NH106" s="29"/>
      <c r="NI106" s="29"/>
      <c r="NJ106" s="29"/>
      <c r="NK106" s="29"/>
      <c r="NL106" s="29"/>
      <c r="NM106" s="29"/>
      <c r="NN106" s="29"/>
      <c r="NO106" s="29"/>
      <c r="NP106" s="29"/>
      <c r="NQ106" s="29"/>
      <c r="NR106" s="29"/>
      <c r="NS106" s="29"/>
      <c r="NT106" s="29"/>
      <c r="NU106" s="29"/>
      <c r="NV106" s="29"/>
      <c r="NW106" s="29"/>
      <c r="NX106" s="29"/>
      <c r="NY106" s="29"/>
      <c r="NZ106" s="29"/>
      <c r="OA106" s="29"/>
      <c r="OB106" s="29"/>
      <c r="OC106" s="29"/>
      <c r="OD106" s="29"/>
      <c r="OE106" s="29"/>
      <c r="OF106" s="29"/>
      <c r="OG106" s="29"/>
      <c r="OH106" s="29"/>
      <c r="OI106" s="29"/>
      <c r="OJ106" s="29"/>
      <c r="OK106" s="29"/>
      <c r="OL106" s="29"/>
      <c r="OM106" s="29"/>
      <c r="ON106" s="29"/>
      <c r="OO106" s="29"/>
      <c r="OP106" s="29"/>
      <c r="OQ106" s="29"/>
      <c r="OR106" s="29"/>
      <c r="OS106" s="29"/>
      <c r="OT106" s="29"/>
      <c r="OU106" s="29"/>
      <c r="OV106" s="29"/>
      <c r="OW106" s="29"/>
      <c r="OX106" s="29"/>
      <c r="OY106" s="29"/>
      <c r="OZ106" s="29"/>
      <c r="PA106" s="29"/>
      <c r="PB106" s="29"/>
      <c r="PC106" s="29"/>
      <c r="PD106" s="29"/>
      <c r="PE106" s="29"/>
      <c r="PF106" s="29"/>
      <c r="PG106" s="29"/>
      <c r="PH106" s="29"/>
      <c r="PI106" s="29"/>
      <c r="PJ106" s="29"/>
      <c r="PK106" s="29"/>
      <c r="PL106" s="29"/>
      <c r="PM106" s="29"/>
      <c r="PN106" s="29"/>
      <c r="PO106" s="29"/>
      <c r="PP106" s="29"/>
      <c r="PQ106" s="29"/>
      <c r="PR106" s="29"/>
      <c r="PS106" s="29"/>
      <c r="PT106" s="29"/>
      <c r="PU106" s="29"/>
      <c r="PV106" s="29"/>
      <c r="PW106" s="29"/>
      <c r="PX106" s="29"/>
      <c r="PY106" s="29"/>
      <c r="PZ106" s="29"/>
      <c r="QA106" s="29"/>
      <c r="QB106" s="29"/>
      <c r="QC106" s="29"/>
      <c r="QD106" s="29"/>
      <c r="QE106" s="29"/>
      <c r="QF106" s="29"/>
      <c r="QG106" s="29"/>
      <c r="QH106" s="29"/>
      <c r="QI106" s="29"/>
      <c r="QJ106" s="29"/>
      <c r="QK106" s="29"/>
      <c r="QL106" s="29"/>
      <c r="QM106" s="29"/>
      <c r="QN106" s="29"/>
      <c r="QO106" s="29"/>
      <c r="QP106" s="29"/>
      <c r="QQ106" s="29"/>
      <c r="QR106" s="29"/>
      <c r="QS106" s="29"/>
      <c r="QT106" s="29"/>
      <c r="QU106" s="29"/>
      <c r="QV106" s="29"/>
      <c r="QW106" s="29"/>
      <c r="QX106" s="29"/>
      <c r="QY106" s="29"/>
      <c r="QZ106" s="29"/>
      <c r="RA106" s="29"/>
      <c r="RB106" s="29"/>
      <c r="RC106" s="29"/>
      <c r="RD106" s="29"/>
      <c r="RE106" s="29"/>
      <c r="RF106" s="29"/>
      <c r="RG106" s="29"/>
      <c r="RH106" s="29"/>
      <c r="RI106" s="29"/>
      <c r="RJ106" s="29"/>
      <c r="RK106" s="29"/>
      <c r="RL106" s="29"/>
      <c r="RM106" s="29"/>
      <c r="RN106" s="29"/>
      <c r="RO106" s="29"/>
      <c r="RP106" s="29"/>
      <c r="RQ106" s="29"/>
      <c r="RR106" s="29"/>
      <c r="RS106" s="29"/>
      <c r="RT106" s="29"/>
      <c r="RU106" s="29"/>
      <c r="RV106" s="29"/>
      <c r="RW106" s="29"/>
      <c r="RX106" s="29"/>
      <c r="RY106" s="29"/>
      <c r="RZ106" s="29"/>
      <c r="SA106" s="29"/>
      <c r="SB106" s="29"/>
      <c r="SC106" s="29"/>
      <c r="SD106" s="29"/>
      <c r="SE106" s="29"/>
      <c r="SF106" s="29"/>
      <c r="SG106" s="29"/>
      <c r="SH106" s="29"/>
      <c r="SI106" s="29"/>
      <c r="SJ106" s="29"/>
      <c r="SK106" s="29"/>
      <c r="SL106" s="29"/>
      <c r="SM106" s="29"/>
      <c r="SN106" s="29"/>
      <c r="SO106" s="29"/>
      <c r="SP106" s="29"/>
      <c r="SQ106" s="29"/>
      <c r="SR106" s="29"/>
      <c r="SS106" s="29"/>
      <c r="ST106" s="29"/>
      <c r="SU106" s="29"/>
      <c r="SV106" s="29"/>
      <c r="SW106" s="29"/>
      <c r="SX106" s="29"/>
      <c r="SY106" s="29"/>
      <c r="SZ106" s="29"/>
      <c r="TA106" s="29"/>
      <c r="TB106" s="29"/>
      <c r="TC106" s="29"/>
      <c r="TD106" s="29"/>
      <c r="TE106" s="29"/>
      <c r="TF106" s="29"/>
      <c r="TG106" s="29"/>
      <c r="TH106" s="29"/>
      <c r="TI106" s="29"/>
      <c r="TJ106" s="29"/>
      <c r="TK106" s="29"/>
      <c r="TL106" s="29"/>
      <c r="TM106" s="29"/>
      <c r="TN106" s="29"/>
      <c r="TO106" s="29"/>
      <c r="TP106" s="29"/>
      <c r="TQ106" s="29"/>
      <c r="TR106" s="29"/>
      <c r="TS106" s="29"/>
      <c r="TT106" s="29"/>
      <c r="TU106" s="29"/>
      <c r="TV106" s="29"/>
      <c r="TW106" s="29"/>
      <c r="TX106" s="29"/>
      <c r="TY106" s="29"/>
      <c r="TZ106" s="29"/>
      <c r="UA106" s="29"/>
      <c r="UB106" s="29"/>
      <c r="UC106" s="29"/>
      <c r="UD106" s="29"/>
      <c r="UE106" s="29"/>
      <c r="UF106" s="29"/>
      <c r="UG106" s="29"/>
      <c r="UH106" s="29"/>
      <c r="UI106" s="29"/>
      <c r="UJ106" s="29"/>
      <c r="UK106" s="29"/>
      <c r="UL106" s="29"/>
      <c r="UM106" s="29"/>
      <c r="UN106" s="29"/>
      <c r="UO106" s="29"/>
      <c r="UP106" s="29"/>
      <c r="UQ106" s="29"/>
      <c r="UR106" s="29"/>
      <c r="US106" s="29"/>
      <c r="UT106" s="29"/>
      <c r="UU106" s="29"/>
      <c r="UV106" s="29"/>
      <c r="UW106" s="29"/>
      <c r="UX106" s="29"/>
      <c r="UY106" s="29"/>
      <c r="UZ106" s="29"/>
      <c r="VA106" s="29"/>
      <c r="VB106" s="29"/>
      <c r="VC106" s="29"/>
      <c r="VD106" s="29"/>
      <c r="VE106" s="29"/>
      <c r="VF106" s="29"/>
      <c r="VG106" s="29"/>
      <c r="VH106" s="29"/>
      <c r="VI106" s="29"/>
      <c r="VJ106" s="29"/>
      <c r="VK106" s="29"/>
      <c r="VL106" s="29"/>
      <c r="VM106" s="29"/>
      <c r="VN106" s="29"/>
      <c r="VO106" s="29"/>
      <c r="VP106" s="29"/>
      <c r="VQ106" s="29"/>
      <c r="VR106" s="29"/>
      <c r="VS106" s="29"/>
      <c r="VT106" s="29"/>
      <c r="VU106" s="29"/>
      <c r="VV106" s="29"/>
      <c r="VW106" s="29"/>
      <c r="VX106" s="29"/>
      <c r="VY106" s="29"/>
      <c r="VZ106" s="29"/>
      <c r="WA106" s="29"/>
      <c r="WB106" s="29"/>
      <c r="WC106" s="29"/>
      <c r="WD106" s="29"/>
      <c r="WE106" s="29"/>
      <c r="WF106" s="29"/>
      <c r="WG106" s="29"/>
      <c r="WH106" s="29"/>
      <c r="WI106" s="29"/>
      <c r="WJ106" s="29"/>
      <c r="WK106" s="29"/>
      <c r="WL106" s="29"/>
      <c r="WM106" s="29"/>
      <c r="WN106" s="29"/>
      <c r="WO106" s="29"/>
      <c r="WP106" s="29"/>
      <c r="WQ106" s="29"/>
      <c r="WR106" s="29"/>
      <c r="WS106" s="29"/>
    </row>
    <row r="107" spans="1:617" s="3" customFormat="1" ht="15" outlineLevel="1" thickBot="1">
      <c r="A107" s="33"/>
      <c r="B107" s="47" t="s">
        <v>253</v>
      </c>
      <c r="C107" s="42" t="s">
        <v>42</v>
      </c>
      <c r="D107" s="116">
        <v>45876</v>
      </c>
      <c r="E107" s="116">
        <v>45925</v>
      </c>
      <c r="F107" s="14"/>
      <c r="G107" s="14">
        <f>E107-D107</f>
        <v>49</v>
      </c>
      <c r="H107" s="14">
        <v>54</v>
      </c>
      <c r="I107" s="14"/>
      <c r="J107" s="29"/>
      <c r="K107" s="29"/>
      <c r="L107" s="29"/>
      <c r="M107" s="29"/>
      <c r="N107" s="29"/>
      <c r="O107" s="29"/>
      <c r="P107" s="29"/>
      <c r="Q107" s="29"/>
      <c r="R107" s="29"/>
      <c r="S107" s="29"/>
      <c r="T107" s="29"/>
      <c r="U107" s="29"/>
      <c r="V107" s="29"/>
      <c r="W107" s="29"/>
      <c r="X107" s="29"/>
      <c r="Y107" s="30"/>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c r="MM107" s="29"/>
      <c r="MN107" s="29"/>
      <c r="MO107" s="29"/>
      <c r="MP107" s="29"/>
      <c r="MQ107" s="29"/>
      <c r="MR107" s="29"/>
      <c r="MS107" s="29"/>
      <c r="MT107" s="29"/>
      <c r="MU107" s="29"/>
      <c r="MV107" s="29"/>
      <c r="MW107" s="29"/>
      <c r="MX107" s="29"/>
      <c r="MY107" s="29"/>
      <c r="MZ107" s="29"/>
      <c r="NA107" s="29"/>
      <c r="NB107" s="29"/>
      <c r="NC107" s="29"/>
      <c r="ND107" s="29"/>
      <c r="NE107" s="29"/>
      <c r="NF107" s="29"/>
      <c r="NG107" s="29"/>
      <c r="NH107" s="29"/>
      <c r="NI107" s="29"/>
      <c r="NJ107" s="29"/>
      <c r="NK107" s="29"/>
      <c r="NL107" s="29"/>
      <c r="NM107" s="29"/>
      <c r="NN107" s="29"/>
      <c r="NO107" s="29"/>
      <c r="NP107" s="29"/>
      <c r="NQ107" s="29"/>
      <c r="NR107" s="29"/>
      <c r="NS107" s="29"/>
      <c r="NT107" s="29"/>
      <c r="NU107" s="29"/>
      <c r="NV107" s="29"/>
      <c r="NW107" s="29"/>
      <c r="NX107" s="29"/>
      <c r="NY107" s="29"/>
      <c r="NZ107" s="29"/>
      <c r="OA107" s="29"/>
      <c r="OB107" s="29"/>
      <c r="OC107" s="29"/>
      <c r="OD107" s="29"/>
      <c r="OE107" s="29"/>
      <c r="OF107" s="29"/>
      <c r="OG107" s="29"/>
      <c r="OH107" s="29"/>
      <c r="OI107" s="29"/>
      <c r="OJ107" s="29"/>
      <c r="OK107" s="29"/>
      <c r="OL107" s="29"/>
      <c r="OM107" s="29"/>
      <c r="ON107" s="29"/>
      <c r="OO107" s="29"/>
      <c r="OP107" s="29"/>
      <c r="OQ107" s="29"/>
      <c r="OR107" s="29"/>
      <c r="OS107" s="29"/>
      <c r="OT107" s="29"/>
      <c r="OU107" s="29"/>
      <c r="OV107" s="29"/>
      <c r="OW107" s="29"/>
      <c r="OX107" s="29"/>
      <c r="OY107" s="29"/>
      <c r="OZ107" s="29"/>
      <c r="PA107" s="29"/>
      <c r="PB107" s="29"/>
      <c r="PC107" s="29"/>
      <c r="PD107" s="29"/>
      <c r="PE107" s="29"/>
      <c r="PF107" s="29"/>
      <c r="PG107" s="29"/>
      <c r="PH107" s="29"/>
      <c r="PI107" s="29"/>
      <c r="PJ107" s="29"/>
      <c r="PK107" s="29"/>
      <c r="PL107" s="29"/>
      <c r="PM107" s="29"/>
      <c r="PN107" s="29"/>
      <c r="PO107" s="29"/>
      <c r="PP107" s="29"/>
      <c r="PQ107" s="29"/>
      <c r="PR107" s="29"/>
      <c r="PS107" s="29"/>
      <c r="PT107" s="29"/>
      <c r="PU107" s="29"/>
      <c r="PV107" s="29"/>
      <c r="PW107" s="29"/>
      <c r="PX107" s="29"/>
      <c r="PY107" s="29"/>
      <c r="PZ107" s="29"/>
      <c r="QA107" s="29"/>
      <c r="QB107" s="29"/>
      <c r="QC107" s="29"/>
      <c r="QD107" s="29"/>
      <c r="QE107" s="29"/>
      <c r="QF107" s="29"/>
      <c r="QG107" s="29"/>
      <c r="QH107" s="29"/>
      <c r="QI107" s="29"/>
      <c r="QJ107" s="29"/>
      <c r="QK107" s="29"/>
      <c r="QL107" s="29"/>
      <c r="QM107" s="29"/>
      <c r="QN107" s="29"/>
      <c r="QO107" s="29"/>
      <c r="QP107" s="29"/>
      <c r="QQ107" s="29"/>
      <c r="QR107" s="29"/>
      <c r="QS107" s="29"/>
      <c r="QT107" s="29"/>
      <c r="QU107" s="29"/>
      <c r="QV107" s="29"/>
      <c r="QW107" s="29"/>
      <c r="QX107" s="29"/>
      <c r="QY107" s="29"/>
      <c r="QZ107" s="29"/>
      <c r="RA107" s="29"/>
      <c r="RB107" s="29"/>
      <c r="RC107" s="29"/>
      <c r="RD107" s="29"/>
      <c r="RE107" s="29"/>
      <c r="RF107" s="29"/>
      <c r="RG107" s="29"/>
      <c r="RH107" s="29"/>
      <c r="RI107" s="29"/>
      <c r="RJ107" s="29"/>
      <c r="RK107" s="29"/>
      <c r="RL107" s="29"/>
      <c r="RM107" s="29"/>
      <c r="RN107" s="29"/>
      <c r="RO107" s="29"/>
      <c r="RP107" s="29"/>
      <c r="RQ107" s="29"/>
      <c r="RR107" s="29"/>
      <c r="RS107" s="29"/>
      <c r="RT107" s="29"/>
      <c r="RU107" s="29"/>
      <c r="RV107" s="29"/>
      <c r="RW107" s="29"/>
      <c r="RX107" s="29"/>
      <c r="RY107" s="29"/>
      <c r="RZ107" s="29"/>
      <c r="SA107" s="29"/>
      <c r="SB107" s="29"/>
      <c r="SC107" s="29"/>
      <c r="SD107" s="29"/>
      <c r="SE107" s="29"/>
      <c r="SF107" s="29"/>
      <c r="SG107" s="29"/>
      <c r="SH107" s="29"/>
      <c r="SI107" s="29"/>
      <c r="SJ107" s="29"/>
      <c r="SK107" s="29"/>
      <c r="SL107" s="29"/>
      <c r="SM107" s="29"/>
      <c r="SN107" s="29"/>
      <c r="SO107" s="29"/>
      <c r="SP107" s="29"/>
      <c r="SQ107" s="29"/>
      <c r="SR107" s="29"/>
      <c r="SS107" s="29"/>
      <c r="ST107" s="29"/>
      <c r="SU107" s="29"/>
      <c r="SV107" s="29"/>
      <c r="SW107" s="29"/>
      <c r="SX107" s="29"/>
      <c r="SY107" s="29"/>
      <c r="SZ107" s="29"/>
      <c r="TA107" s="29"/>
      <c r="TB107" s="29"/>
      <c r="TC107" s="29"/>
      <c r="TD107" s="29"/>
      <c r="TE107" s="29"/>
      <c r="TF107" s="29"/>
      <c r="TG107" s="29"/>
      <c r="TH107" s="29"/>
      <c r="TI107" s="29"/>
      <c r="TJ107" s="29"/>
      <c r="TK107" s="29"/>
      <c r="TL107" s="29"/>
      <c r="TM107" s="29"/>
      <c r="TN107" s="29"/>
      <c r="TO107" s="29"/>
      <c r="TP107" s="29"/>
      <c r="TQ107" s="29"/>
      <c r="TR107" s="29"/>
      <c r="TS107" s="29"/>
      <c r="TT107" s="29"/>
      <c r="TU107" s="29"/>
      <c r="TV107" s="29"/>
      <c r="TW107" s="29"/>
      <c r="TX107" s="29"/>
      <c r="TY107" s="29"/>
      <c r="TZ107" s="29"/>
      <c r="UA107" s="29"/>
      <c r="UB107" s="29"/>
      <c r="UC107" s="29"/>
      <c r="UD107" s="29"/>
      <c r="UE107" s="29"/>
      <c r="UF107" s="29"/>
      <c r="UG107" s="29"/>
      <c r="UH107" s="29"/>
      <c r="UI107" s="29"/>
      <c r="UJ107" s="29"/>
      <c r="UK107" s="29"/>
      <c r="UL107" s="29"/>
      <c r="UM107" s="29"/>
      <c r="UN107" s="29"/>
      <c r="UO107" s="29"/>
      <c r="UP107" s="29"/>
      <c r="UQ107" s="29"/>
      <c r="UR107" s="29"/>
      <c r="US107" s="29"/>
      <c r="UT107" s="29"/>
      <c r="UU107" s="29"/>
      <c r="UV107" s="29"/>
      <c r="UW107" s="29"/>
      <c r="UX107" s="29"/>
      <c r="UY107" s="29"/>
      <c r="UZ107" s="29"/>
      <c r="VA107" s="29"/>
      <c r="VB107" s="29"/>
      <c r="VC107" s="29"/>
      <c r="VD107" s="29"/>
      <c r="VE107" s="29"/>
      <c r="VF107" s="29"/>
      <c r="VG107" s="29"/>
      <c r="VH107" s="29"/>
      <c r="VI107" s="29"/>
      <c r="VJ107" s="29"/>
      <c r="VK107" s="29"/>
      <c r="VL107" s="29"/>
      <c r="VM107" s="29"/>
      <c r="VN107" s="29"/>
      <c r="VO107" s="29"/>
      <c r="VP107" s="29"/>
      <c r="VQ107" s="29"/>
      <c r="VR107" s="29"/>
      <c r="VS107" s="29"/>
      <c r="VT107" s="29"/>
      <c r="VU107" s="29"/>
      <c r="VV107" s="29"/>
      <c r="VW107" s="29"/>
      <c r="VX107" s="29"/>
      <c r="VY107" s="29"/>
      <c r="VZ107" s="29"/>
      <c r="WA107" s="29"/>
      <c r="WB107" s="29"/>
      <c r="WC107" s="29"/>
      <c r="WD107" s="29"/>
      <c r="WE107" s="29"/>
      <c r="WF107" s="29"/>
      <c r="WG107" s="29"/>
      <c r="WH107" s="29"/>
      <c r="WI107" s="29"/>
      <c r="WJ107" s="29"/>
      <c r="WK107" s="29"/>
      <c r="WL107" s="29"/>
      <c r="WM107" s="29"/>
      <c r="WN107" s="29"/>
      <c r="WO107" s="29"/>
      <c r="WP107" s="29"/>
      <c r="WQ107" s="29"/>
      <c r="WR107" s="29"/>
      <c r="WS107" s="29"/>
    </row>
    <row r="108" spans="1:617" s="3" customFormat="1" ht="15" outlineLevel="1" thickBot="1">
      <c r="A108" s="33"/>
      <c r="B108" s="47" t="s">
        <v>254</v>
      </c>
      <c r="C108" s="42" t="s">
        <v>134</v>
      </c>
      <c r="D108" s="116">
        <f>E106</f>
        <v>45911</v>
      </c>
      <c r="E108" s="116">
        <f t="shared" ref="E108:E109" si="597">D108+G108</f>
        <v>45967</v>
      </c>
      <c r="F108" s="14"/>
      <c r="G108" s="14">
        <v>56</v>
      </c>
      <c r="H108" s="14">
        <v>54</v>
      </c>
      <c r="I108" s="14"/>
      <c r="J108" s="29"/>
      <c r="K108" s="29"/>
      <c r="L108" s="29"/>
      <c r="M108" s="29"/>
      <c r="N108" s="29"/>
      <c r="O108" s="29"/>
      <c r="P108" s="29"/>
      <c r="Q108" s="29"/>
      <c r="R108" s="29"/>
      <c r="S108" s="29"/>
      <c r="T108" s="29"/>
      <c r="U108" s="29"/>
      <c r="V108" s="29"/>
      <c r="W108" s="29"/>
      <c r="X108" s="29"/>
      <c r="Y108" s="30"/>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c r="MM108" s="29"/>
      <c r="MN108" s="29"/>
      <c r="MO108" s="29"/>
      <c r="MP108" s="29"/>
      <c r="MQ108" s="29"/>
      <c r="MR108" s="29"/>
      <c r="MS108" s="29"/>
      <c r="MT108" s="29"/>
      <c r="MU108" s="29"/>
      <c r="MV108" s="29"/>
      <c r="MW108" s="29"/>
      <c r="MX108" s="29"/>
      <c r="MY108" s="29"/>
      <c r="MZ108" s="29"/>
      <c r="NA108" s="29"/>
      <c r="NB108" s="29"/>
      <c r="NC108" s="29"/>
      <c r="ND108" s="29"/>
      <c r="NE108" s="29"/>
      <c r="NF108" s="29"/>
      <c r="NG108" s="29"/>
      <c r="NH108" s="29"/>
      <c r="NI108" s="29"/>
      <c r="NJ108" s="29"/>
      <c r="NK108" s="29"/>
      <c r="NL108" s="29"/>
      <c r="NM108" s="29"/>
      <c r="NN108" s="29"/>
      <c r="NO108" s="29"/>
      <c r="NP108" s="29"/>
      <c r="NQ108" s="29"/>
      <c r="NR108" s="29"/>
      <c r="NS108" s="29"/>
      <c r="NT108" s="29"/>
      <c r="NU108" s="29"/>
      <c r="NV108" s="29"/>
      <c r="NW108" s="29"/>
      <c r="NX108" s="29"/>
      <c r="NY108" s="29"/>
      <c r="NZ108" s="29"/>
      <c r="OA108" s="29"/>
      <c r="OB108" s="29"/>
      <c r="OC108" s="29"/>
      <c r="OD108" s="29"/>
      <c r="OE108" s="29"/>
      <c r="OF108" s="29"/>
      <c r="OG108" s="29"/>
      <c r="OH108" s="29"/>
      <c r="OI108" s="29"/>
      <c r="OJ108" s="29"/>
      <c r="OK108" s="29"/>
      <c r="OL108" s="29"/>
      <c r="OM108" s="29"/>
      <c r="ON108" s="29"/>
      <c r="OO108" s="29"/>
      <c r="OP108" s="29"/>
      <c r="OQ108" s="29"/>
      <c r="OR108" s="29"/>
      <c r="OS108" s="29"/>
      <c r="OT108" s="29"/>
      <c r="OU108" s="29"/>
      <c r="OV108" s="29"/>
      <c r="OW108" s="29"/>
      <c r="OX108" s="29"/>
      <c r="OY108" s="29"/>
      <c r="OZ108" s="29"/>
      <c r="PA108" s="29"/>
      <c r="PB108" s="29"/>
      <c r="PC108" s="29"/>
      <c r="PD108" s="29"/>
      <c r="PE108" s="29"/>
      <c r="PF108" s="29"/>
      <c r="PG108" s="29"/>
      <c r="PH108" s="29"/>
      <c r="PI108" s="29"/>
      <c r="PJ108" s="29"/>
      <c r="PK108" s="29"/>
      <c r="PL108" s="29"/>
      <c r="PM108" s="29"/>
      <c r="PN108" s="29"/>
      <c r="PO108" s="29"/>
      <c r="PP108" s="29"/>
      <c r="PQ108" s="29"/>
      <c r="PR108" s="29"/>
      <c r="PS108" s="29"/>
      <c r="PT108" s="29"/>
      <c r="PU108" s="29"/>
      <c r="PV108" s="29"/>
      <c r="PW108" s="29"/>
      <c r="PX108" s="29"/>
      <c r="PY108" s="29"/>
      <c r="PZ108" s="29"/>
      <c r="QA108" s="29"/>
      <c r="QB108" s="29"/>
      <c r="QC108" s="29"/>
      <c r="QD108" s="29"/>
      <c r="QE108" s="29"/>
      <c r="QF108" s="29"/>
      <c r="QG108" s="29"/>
      <c r="QH108" s="29"/>
      <c r="QI108" s="29"/>
      <c r="QJ108" s="29"/>
      <c r="QK108" s="29"/>
      <c r="QL108" s="29"/>
      <c r="QM108" s="29"/>
      <c r="QN108" s="29"/>
      <c r="QO108" s="29"/>
      <c r="QP108" s="29"/>
      <c r="QQ108" s="29"/>
      <c r="QR108" s="29"/>
      <c r="QS108" s="29"/>
      <c r="QT108" s="29"/>
      <c r="QU108" s="29"/>
      <c r="QV108" s="29"/>
      <c r="QW108" s="29"/>
      <c r="QX108" s="29"/>
      <c r="QY108" s="29"/>
      <c r="QZ108" s="29"/>
      <c r="RA108" s="29"/>
      <c r="RB108" s="29"/>
      <c r="RC108" s="29"/>
      <c r="RD108" s="29"/>
      <c r="RE108" s="29"/>
      <c r="RF108" s="29"/>
      <c r="RG108" s="29"/>
      <c r="RH108" s="29"/>
      <c r="RI108" s="29"/>
      <c r="RJ108" s="29"/>
      <c r="RK108" s="29"/>
      <c r="RL108" s="29"/>
      <c r="RM108" s="29"/>
      <c r="RN108" s="29"/>
      <c r="RO108" s="29"/>
      <c r="RP108" s="29"/>
      <c r="RQ108" s="29"/>
      <c r="RR108" s="29"/>
      <c r="RS108" s="29"/>
      <c r="RT108" s="29"/>
      <c r="RU108" s="29"/>
      <c r="RV108" s="29"/>
      <c r="RW108" s="29"/>
      <c r="RX108" s="29"/>
      <c r="RY108" s="29"/>
      <c r="RZ108" s="29"/>
      <c r="SA108" s="29"/>
      <c r="SB108" s="29"/>
      <c r="SC108" s="29"/>
      <c r="SD108" s="29"/>
      <c r="SE108" s="29"/>
      <c r="SF108" s="29"/>
      <c r="SG108" s="29"/>
      <c r="SH108" s="29"/>
      <c r="SI108" s="29"/>
      <c r="SJ108" s="29"/>
      <c r="SK108" s="29"/>
      <c r="SL108" s="29"/>
      <c r="SM108" s="29"/>
      <c r="SN108" s="29"/>
      <c r="SO108" s="29"/>
      <c r="SP108" s="29"/>
      <c r="SQ108" s="29"/>
      <c r="SR108" s="29"/>
      <c r="SS108" s="29"/>
      <c r="ST108" s="29"/>
      <c r="SU108" s="29"/>
      <c r="SV108" s="29"/>
      <c r="SW108" s="29"/>
      <c r="SX108" s="29"/>
      <c r="SY108" s="29"/>
      <c r="SZ108" s="29"/>
      <c r="TA108" s="29"/>
      <c r="TB108" s="29"/>
      <c r="TC108" s="29"/>
      <c r="TD108" s="29"/>
      <c r="TE108" s="29"/>
      <c r="TF108" s="29"/>
      <c r="TG108" s="29"/>
      <c r="TH108" s="29"/>
      <c r="TI108" s="29"/>
      <c r="TJ108" s="29"/>
      <c r="TK108" s="29"/>
      <c r="TL108" s="29"/>
      <c r="TM108" s="29"/>
      <c r="TN108" s="29"/>
      <c r="TO108" s="29"/>
      <c r="TP108" s="29"/>
      <c r="TQ108" s="29"/>
      <c r="TR108" s="29"/>
      <c r="TS108" s="29"/>
      <c r="TT108" s="29"/>
      <c r="TU108" s="29"/>
      <c r="TV108" s="29"/>
      <c r="TW108" s="29"/>
      <c r="TX108" s="29"/>
      <c r="TY108" s="29"/>
      <c r="TZ108" s="29"/>
      <c r="UA108" s="29"/>
      <c r="UB108" s="29"/>
      <c r="UC108" s="29"/>
      <c r="UD108" s="29"/>
      <c r="UE108" s="29"/>
      <c r="UF108" s="29"/>
      <c r="UG108" s="29"/>
      <c r="UH108" s="29"/>
      <c r="UI108" s="29"/>
      <c r="UJ108" s="29"/>
      <c r="UK108" s="29"/>
      <c r="UL108" s="29"/>
      <c r="UM108" s="29"/>
      <c r="UN108" s="29"/>
      <c r="UO108" s="29"/>
      <c r="UP108" s="29"/>
      <c r="UQ108" s="29"/>
      <c r="UR108" s="29"/>
      <c r="US108" s="29"/>
      <c r="UT108" s="29"/>
      <c r="UU108" s="29"/>
      <c r="UV108" s="29"/>
      <c r="UW108" s="29"/>
      <c r="UX108" s="29"/>
      <c r="UY108" s="29"/>
      <c r="UZ108" s="29"/>
      <c r="VA108" s="29"/>
      <c r="VB108" s="29"/>
      <c r="VC108" s="29"/>
      <c r="VD108" s="29"/>
      <c r="VE108" s="29"/>
      <c r="VF108" s="29"/>
      <c r="VG108" s="29"/>
      <c r="VH108" s="29"/>
      <c r="VI108" s="29"/>
      <c r="VJ108" s="29"/>
      <c r="VK108" s="29"/>
      <c r="VL108" s="29"/>
      <c r="VM108" s="29"/>
      <c r="VN108" s="29"/>
      <c r="VO108" s="29"/>
      <c r="VP108" s="29"/>
      <c r="VQ108" s="29"/>
      <c r="VR108" s="29"/>
      <c r="VS108" s="29"/>
      <c r="VT108" s="29"/>
      <c r="VU108" s="29"/>
      <c r="VV108" s="29"/>
      <c r="VW108" s="29"/>
      <c r="VX108" s="29"/>
      <c r="VY108" s="29"/>
      <c r="VZ108" s="29"/>
      <c r="WA108" s="29"/>
      <c r="WB108" s="29"/>
      <c r="WC108" s="29"/>
      <c r="WD108" s="29"/>
      <c r="WE108" s="29"/>
      <c r="WF108" s="29"/>
      <c r="WG108" s="29"/>
      <c r="WH108" s="29"/>
      <c r="WI108" s="29"/>
      <c r="WJ108" s="29"/>
      <c r="WK108" s="29"/>
      <c r="WL108" s="29"/>
      <c r="WM108" s="29"/>
      <c r="WN108" s="29"/>
      <c r="WO108" s="29"/>
      <c r="WP108" s="29"/>
      <c r="WQ108" s="29"/>
      <c r="WR108" s="29"/>
      <c r="WS108" s="29"/>
    </row>
    <row r="109" spans="1:617" s="3" customFormat="1" ht="15" outlineLevel="1" thickBot="1">
      <c r="A109" s="33"/>
      <c r="B109" s="47" t="s">
        <v>253</v>
      </c>
      <c r="C109" s="42" t="s">
        <v>39</v>
      </c>
      <c r="D109" s="116">
        <v>45932</v>
      </c>
      <c r="E109" s="116">
        <f t="shared" si="597"/>
        <v>45988</v>
      </c>
      <c r="F109" s="14"/>
      <c r="G109" s="14">
        <v>56</v>
      </c>
      <c r="H109" s="14">
        <v>54</v>
      </c>
      <c r="I109" s="14"/>
      <c r="J109" s="29"/>
      <c r="K109" s="29"/>
      <c r="L109" s="29"/>
      <c r="M109" s="29"/>
      <c r="N109" s="29"/>
      <c r="O109" s="29"/>
      <c r="P109" s="29"/>
      <c r="Q109" s="29"/>
      <c r="R109" s="29"/>
      <c r="S109" s="29"/>
      <c r="T109" s="29"/>
      <c r="U109" s="29"/>
      <c r="V109" s="29"/>
      <c r="W109" s="29"/>
      <c r="X109" s="29"/>
      <c r="Y109" s="30"/>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c r="MM109" s="29"/>
      <c r="MN109" s="29"/>
      <c r="MO109" s="29"/>
      <c r="MP109" s="29"/>
      <c r="MQ109" s="29"/>
      <c r="MR109" s="29"/>
      <c r="MS109" s="29"/>
      <c r="MT109" s="29"/>
      <c r="MU109" s="29"/>
      <c r="MV109" s="29"/>
      <c r="MW109" s="29"/>
      <c r="MX109" s="29"/>
      <c r="MY109" s="29"/>
      <c r="MZ109" s="29"/>
      <c r="NA109" s="29"/>
      <c r="NB109" s="29"/>
      <c r="NC109" s="29"/>
      <c r="ND109" s="29"/>
      <c r="NE109" s="29"/>
      <c r="NF109" s="29"/>
      <c r="NG109" s="29"/>
      <c r="NH109" s="29"/>
      <c r="NI109" s="29"/>
      <c r="NJ109" s="29"/>
      <c r="NK109" s="29"/>
      <c r="NL109" s="29"/>
      <c r="NM109" s="29"/>
      <c r="NN109" s="29"/>
      <c r="NO109" s="29"/>
      <c r="NP109" s="29"/>
      <c r="NQ109" s="29"/>
      <c r="NR109" s="29"/>
      <c r="NS109" s="29"/>
      <c r="NT109" s="29"/>
      <c r="NU109" s="29"/>
      <c r="NV109" s="29"/>
      <c r="NW109" s="29"/>
      <c r="NX109" s="29"/>
      <c r="NY109" s="29"/>
      <c r="NZ109" s="29"/>
      <c r="OA109" s="29"/>
      <c r="OB109" s="29"/>
      <c r="OC109" s="29"/>
      <c r="OD109" s="29"/>
      <c r="OE109" s="29"/>
      <c r="OF109" s="29"/>
      <c r="OG109" s="29"/>
      <c r="OH109" s="29"/>
      <c r="OI109" s="29"/>
      <c r="OJ109" s="29"/>
      <c r="OK109" s="29"/>
      <c r="OL109" s="29"/>
      <c r="OM109" s="29"/>
      <c r="ON109" s="29"/>
      <c r="OO109" s="29"/>
      <c r="OP109" s="29"/>
      <c r="OQ109" s="29"/>
      <c r="OR109" s="29"/>
      <c r="OS109" s="29"/>
      <c r="OT109" s="29"/>
      <c r="OU109" s="29"/>
      <c r="OV109" s="29"/>
      <c r="OW109" s="29"/>
      <c r="OX109" s="29"/>
      <c r="OY109" s="29"/>
      <c r="OZ109" s="29"/>
      <c r="PA109" s="29"/>
      <c r="PB109" s="29"/>
      <c r="PC109" s="29"/>
      <c r="PD109" s="29"/>
      <c r="PE109" s="29"/>
      <c r="PF109" s="29"/>
      <c r="PG109" s="29"/>
      <c r="PH109" s="29"/>
      <c r="PI109" s="29"/>
      <c r="PJ109" s="29"/>
      <c r="PK109" s="29"/>
      <c r="PL109" s="29"/>
      <c r="PM109" s="29"/>
      <c r="PN109" s="29"/>
      <c r="PO109" s="29"/>
      <c r="PP109" s="29"/>
      <c r="PQ109" s="29"/>
      <c r="PR109" s="29"/>
      <c r="PS109" s="29"/>
      <c r="PT109" s="29"/>
      <c r="PU109" s="29"/>
      <c r="PV109" s="29"/>
      <c r="PW109" s="29"/>
      <c r="PX109" s="29"/>
      <c r="PY109" s="29"/>
      <c r="PZ109" s="29"/>
      <c r="QA109" s="29"/>
      <c r="QB109" s="29"/>
      <c r="QC109" s="29"/>
      <c r="QD109" s="29"/>
      <c r="QE109" s="29"/>
      <c r="QF109" s="29"/>
      <c r="QG109" s="29"/>
      <c r="QH109" s="29"/>
      <c r="QI109" s="29"/>
      <c r="QJ109" s="29"/>
      <c r="QK109" s="29"/>
      <c r="QL109" s="29"/>
      <c r="QM109" s="29"/>
      <c r="QN109" s="29"/>
      <c r="QO109" s="29"/>
      <c r="QP109" s="29"/>
      <c r="QQ109" s="29"/>
      <c r="QR109" s="29"/>
      <c r="QS109" s="29"/>
      <c r="QT109" s="29"/>
      <c r="QU109" s="29"/>
      <c r="QV109" s="29"/>
      <c r="QW109" s="29"/>
      <c r="QX109" s="29"/>
      <c r="QY109" s="29"/>
      <c r="QZ109" s="29"/>
      <c r="RA109" s="29"/>
      <c r="RB109" s="29"/>
      <c r="RC109" s="29"/>
      <c r="RD109" s="29"/>
      <c r="RE109" s="29"/>
      <c r="RF109" s="29"/>
      <c r="RG109" s="29"/>
      <c r="RH109" s="29"/>
      <c r="RI109" s="29"/>
      <c r="RJ109" s="29"/>
      <c r="RK109" s="29"/>
      <c r="RL109" s="29"/>
      <c r="RM109" s="29"/>
      <c r="RN109" s="29"/>
      <c r="RO109" s="29"/>
      <c r="RP109" s="29"/>
      <c r="RQ109" s="29"/>
      <c r="RR109" s="29"/>
      <c r="RS109" s="29"/>
      <c r="RT109" s="29"/>
      <c r="RU109" s="29"/>
      <c r="RV109" s="29"/>
      <c r="RW109" s="29"/>
      <c r="RX109" s="29"/>
      <c r="RY109" s="29"/>
      <c r="RZ109" s="29"/>
      <c r="SA109" s="29"/>
      <c r="SB109" s="29"/>
      <c r="SC109" s="29"/>
      <c r="SD109" s="29"/>
      <c r="SE109" s="29"/>
      <c r="SF109" s="29"/>
      <c r="SG109" s="29"/>
      <c r="SH109" s="29"/>
      <c r="SI109" s="29"/>
      <c r="SJ109" s="29"/>
      <c r="SK109" s="29"/>
      <c r="SL109" s="29"/>
      <c r="SM109" s="29"/>
      <c r="SN109" s="29"/>
      <c r="SO109" s="29"/>
      <c r="SP109" s="29"/>
      <c r="SQ109" s="29"/>
      <c r="SR109" s="29"/>
      <c r="SS109" s="29"/>
      <c r="ST109" s="29"/>
      <c r="SU109" s="29"/>
      <c r="SV109" s="29"/>
      <c r="SW109" s="29"/>
      <c r="SX109" s="29"/>
      <c r="SY109" s="29"/>
      <c r="SZ109" s="29"/>
      <c r="TA109" s="29"/>
      <c r="TB109" s="29"/>
      <c r="TC109" s="29"/>
      <c r="TD109" s="29"/>
      <c r="TE109" s="29"/>
      <c r="TF109" s="29"/>
      <c r="TG109" s="29"/>
      <c r="TH109" s="29"/>
      <c r="TI109" s="29"/>
      <c r="TJ109" s="29"/>
      <c r="TK109" s="29"/>
      <c r="TL109" s="29"/>
      <c r="TM109" s="29"/>
      <c r="TN109" s="29"/>
      <c r="TO109" s="29"/>
      <c r="TP109" s="29"/>
      <c r="TQ109" s="29"/>
      <c r="TR109" s="29"/>
      <c r="TS109" s="29"/>
      <c r="TT109" s="29"/>
      <c r="TU109" s="29"/>
      <c r="TV109" s="29"/>
      <c r="TW109" s="29"/>
      <c r="TX109" s="29"/>
      <c r="TY109" s="29"/>
      <c r="TZ109" s="29"/>
      <c r="UA109" s="29"/>
      <c r="UB109" s="29"/>
      <c r="UC109" s="29"/>
      <c r="UD109" s="29"/>
      <c r="UE109" s="29"/>
      <c r="UF109" s="29"/>
      <c r="UG109" s="29"/>
      <c r="UH109" s="29"/>
      <c r="UI109" s="29"/>
      <c r="UJ109" s="29"/>
      <c r="UK109" s="29"/>
      <c r="UL109" s="29"/>
      <c r="UM109" s="29"/>
      <c r="UN109" s="29"/>
      <c r="UO109" s="29"/>
      <c r="UP109" s="29"/>
      <c r="UQ109" s="29"/>
      <c r="UR109" s="29"/>
      <c r="US109" s="29"/>
      <c r="UT109" s="29"/>
      <c r="UU109" s="29"/>
      <c r="UV109" s="29"/>
      <c r="UW109" s="29"/>
      <c r="UX109" s="29"/>
      <c r="UY109" s="29"/>
      <c r="UZ109" s="29"/>
      <c r="VA109" s="29"/>
      <c r="VB109" s="29"/>
      <c r="VC109" s="29"/>
      <c r="VD109" s="29"/>
      <c r="VE109" s="29"/>
      <c r="VF109" s="29"/>
      <c r="VG109" s="29"/>
      <c r="VH109" s="29"/>
      <c r="VI109" s="29"/>
      <c r="VJ109" s="29"/>
      <c r="VK109" s="29"/>
      <c r="VL109" s="29"/>
      <c r="VM109" s="29"/>
      <c r="VN109" s="29"/>
      <c r="VO109" s="29"/>
      <c r="VP109" s="29"/>
      <c r="VQ109" s="29"/>
      <c r="VR109" s="29"/>
      <c r="VS109" s="29"/>
      <c r="VT109" s="29"/>
      <c r="VU109" s="29"/>
      <c r="VV109" s="29"/>
      <c r="VW109" s="29"/>
      <c r="VX109" s="29"/>
      <c r="VY109" s="29"/>
      <c r="VZ109" s="29"/>
      <c r="WA109" s="29"/>
      <c r="WB109" s="29"/>
      <c r="WC109" s="29"/>
      <c r="WD109" s="29"/>
      <c r="WE109" s="29"/>
      <c r="WF109" s="29"/>
      <c r="WG109" s="29"/>
      <c r="WH109" s="29"/>
      <c r="WI109" s="29"/>
      <c r="WJ109" s="29"/>
      <c r="WK109" s="29"/>
      <c r="WL109" s="29"/>
      <c r="WM109" s="29"/>
      <c r="WN109" s="29"/>
      <c r="WO109" s="29"/>
      <c r="WP109" s="29"/>
      <c r="WQ109" s="29"/>
      <c r="WR109" s="29"/>
      <c r="WS109" s="29"/>
    </row>
    <row r="110" spans="1:617" s="3" customFormat="1" ht="15" outlineLevel="1" thickBot="1">
      <c r="A110" s="33"/>
      <c r="B110" s="47" t="s">
        <v>254</v>
      </c>
      <c r="C110" s="42" t="s">
        <v>62</v>
      </c>
      <c r="D110" s="116">
        <v>45974</v>
      </c>
      <c r="E110" s="116">
        <f t="shared" ref="E110:E128" si="598">D110+G110-1</f>
        <v>46029</v>
      </c>
      <c r="F110" s="14"/>
      <c r="G110" s="14">
        <v>56</v>
      </c>
      <c r="H110" s="14">
        <v>54</v>
      </c>
      <c r="I110" s="14"/>
      <c r="J110" s="29"/>
      <c r="K110" s="29"/>
      <c r="L110" s="29"/>
      <c r="M110" s="29"/>
      <c r="N110" s="29"/>
      <c r="O110" s="29"/>
      <c r="P110" s="29"/>
      <c r="Q110" s="29"/>
      <c r="R110" s="29"/>
      <c r="S110" s="29"/>
      <c r="T110" s="29"/>
      <c r="U110" s="29"/>
      <c r="V110" s="29"/>
      <c r="W110" s="29"/>
      <c r="X110" s="29"/>
      <c r="Y110" s="30"/>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c r="MM110" s="29"/>
      <c r="MN110" s="29"/>
      <c r="MO110" s="29"/>
      <c r="MP110" s="29"/>
      <c r="MQ110" s="29"/>
      <c r="MR110" s="29"/>
      <c r="MS110" s="29"/>
      <c r="MT110" s="29"/>
      <c r="MU110" s="29"/>
      <c r="MV110" s="29"/>
      <c r="MW110" s="29"/>
      <c r="MX110" s="29"/>
      <c r="MY110" s="29"/>
      <c r="MZ110" s="29"/>
      <c r="NA110" s="29"/>
      <c r="NB110" s="29"/>
      <c r="NC110" s="29"/>
      <c r="ND110" s="29"/>
      <c r="NE110" s="29"/>
      <c r="NF110" s="29"/>
      <c r="NG110" s="29"/>
      <c r="NH110" s="29"/>
      <c r="NI110" s="29"/>
      <c r="NJ110" s="29"/>
      <c r="NK110" s="29"/>
      <c r="NL110" s="29"/>
      <c r="NM110" s="29"/>
      <c r="NN110" s="29"/>
      <c r="NO110" s="29"/>
      <c r="NP110" s="29"/>
      <c r="NQ110" s="29"/>
      <c r="NR110" s="29"/>
      <c r="NS110" s="29"/>
      <c r="NT110" s="29"/>
      <c r="NU110" s="29"/>
      <c r="NV110" s="29"/>
      <c r="NW110" s="29"/>
      <c r="NX110" s="29"/>
      <c r="NY110" s="29"/>
      <c r="NZ110" s="29"/>
      <c r="OA110" s="29"/>
      <c r="OB110" s="29"/>
      <c r="OC110" s="29"/>
      <c r="OD110" s="29"/>
      <c r="OE110" s="29"/>
      <c r="OF110" s="29"/>
      <c r="OG110" s="29"/>
      <c r="OH110" s="29"/>
      <c r="OI110" s="29"/>
      <c r="OJ110" s="29"/>
      <c r="OK110" s="29"/>
      <c r="OL110" s="29"/>
      <c r="OM110" s="29"/>
      <c r="ON110" s="29"/>
      <c r="OO110" s="29"/>
      <c r="OP110" s="29"/>
      <c r="OQ110" s="29"/>
      <c r="OR110" s="29"/>
      <c r="OS110" s="29"/>
      <c r="OT110" s="29"/>
      <c r="OU110" s="29"/>
      <c r="OV110" s="29"/>
      <c r="OW110" s="29"/>
      <c r="OX110" s="29"/>
      <c r="OY110" s="29"/>
      <c r="OZ110" s="29"/>
      <c r="PA110" s="29"/>
      <c r="PB110" s="29"/>
      <c r="PC110" s="29"/>
      <c r="PD110" s="29"/>
      <c r="PE110" s="29"/>
      <c r="PF110" s="29"/>
      <c r="PG110" s="29"/>
      <c r="PH110" s="29"/>
      <c r="PI110" s="29"/>
      <c r="PJ110" s="29"/>
      <c r="PK110" s="29"/>
      <c r="PL110" s="29"/>
      <c r="PM110" s="29"/>
      <c r="PN110" s="29"/>
      <c r="PO110" s="29"/>
      <c r="PP110" s="29"/>
      <c r="PQ110" s="29"/>
      <c r="PR110" s="29"/>
      <c r="PS110" s="29"/>
      <c r="PT110" s="29"/>
      <c r="PU110" s="29"/>
      <c r="PV110" s="29"/>
      <c r="PW110" s="29"/>
      <c r="PX110" s="29"/>
      <c r="PY110" s="29"/>
      <c r="PZ110" s="29"/>
      <c r="QA110" s="29"/>
      <c r="QB110" s="29"/>
      <c r="QC110" s="29"/>
      <c r="QD110" s="29"/>
      <c r="QE110" s="29"/>
      <c r="QF110" s="29"/>
      <c r="QG110" s="29"/>
      <c r="QH110" s="29"/>
      <c r="QI110" s="29"/>
      <c r="QJ110" s="29"/>
      <c r="QK110" s="29"/>
      <c r="QL110" s="29"/>
      <c r="QM110" s="29"/>
      <c r="QN110" s="29"/>
      <c r="QO110" s="29"/>
      <c r="QP110" s="29"/>
      <c r="QQ110" s="29"/>
      <c r="QR110" s="29"/>
      <c r="QS110" s="29"/>
      <c r="QT110" s="29"/>
      <c r="QU110" s="29"/>
      <c r="QV110" s="29"/>
      <c r="QW110" s="29"/>
      <c r="QX110" s="29"/>
      <c r="QY110" s="29"/>
      <c r="QZ110" s="29"/>
      <c r="RA110" s="29"/>
      <c r="RB110" s="29"/>
      <c r="RC110" s="29"/>
      <c r="RD110" s="29"/>
      <c r="RE110" s="29"/>
      <c r="RF110" s="29"/>
      <c r="RG110" s="29"/>
      <c r="RH110" s="29"/>
      <c r="RI110" s="29"/>
      <c r="RJ110" s="29"/>
      <c r="RK110" s="29"/>
      <c r="RL110" s="29"/>
      <c r="RM110" s="29"/>
      <c r="RN110" s="29"/>
      <c r="RO110" s="29"/>
      <c r="RP110" s="29"/>
      <c r="RQ110" s="29"/>
      <c r="RR110" s="29"/>
      <c r="RS110" s="29"/>
      <c r="RT110" s="29"/>
      <c r="RU110" s="29"/>
      <c r="RV110" s="29"/>
      <c r="RW110" s="29"/>
      <c r="RX110" s="29"/>
      <c r="RY110" s="29"/>
      <c r="RZ110" s="29"/>
      <c r="SA110" s="29"/>
      <c r="SB110" s="29"/>
      <c r="SC110" s="29"/>
      <c r="SD110" s="29"/>
      <c r="SE110" s="29"/>
      <c r="SF110" s="29"/>
      <c r="SG110" s="29"/>
      <c r="SH110" s="29"/>
      <c r="SI110" s="29"/>
      <c r="SJ110" s="29"/>
      <c r="SK110" s="29"/>
      <c r="SL110" s="29"/>
      <c r="SM110" s="29"/>
      <c r="SN110" s="29"/>
      <c r="SO110" s="29"/>
      <c r="SP110" s="29"/>
      <c r="SQ110" s="29"/>
      <c r="SR110" s="29"/>
      <c r="SS110" s="29"/>
      <c r="ST110" s="29"/>
      <c r="SU110" s="29"/>
      <c r="SV110" s="29"/>
      <c r="SW110" s="29"/>
      <c r="SX110" s="29"/>
      <c r="SY110" s="29"/>
      <c r="SZ110" s="29"/>
      <c r="TA110" s="29"/>
      <c r="TB110" s="29"/>
      <c r="TC110" s="29"/>
      <c r="TD110" s="29"/>
      <c r="TE110" s="29"/>
      <c r="TF110" s="29"/>
      <c r="TG110" s="29"/>
      <c r="TH110" s="29"/>
      <c r="TI110" s="29"/>
      <c r="TJ110" s="29"/>
      <c r="TK110" s="29"/>
      <c r="TL110" s="29"/>
      <c r="TM110" s="29"/>
      <c r="TN110" s="29"/>
      <c r="TO110" s="29"/>
      <c r="TP110" s="29"/>
      <c r="TQ110" s="29"/>
      <c r="TR110" s="29"/>
      <c r="TS110" s="29"/>
      <c r="TT110" s="29"/>
      <c r="TU110" s="29"/>
      <c r="TV110" s="29"/>
      <c r="TW110" s="29"/>
      <c r="TX110" s="29"/>
      <c r="TY110" s="29"/>
      <c r="TZ110" s="29"/>
      <c r="UA110" s="29"/>
      <c r="UB110" s="29"/>
      <c r="UC110" s="29"/>
      <c r="UD110" s="29"/>
      <c r="UE110" s="29"/>
      <c r="UF110" s="29"/>
      <c r="UG110" s="29"/>
      <c r="UH110" s="29"/>
      <c r="UI110" s="29"/>
      <c r="UJ110" s="29"/>
      <c r="UK110" s="29"/>
      <c r="UL110" s="29"/>
      <c r="UM110" s="29"/>
      <c r="UN110" s="29"/>
      <c r="UO110" s="29"/>
      <c r="UP110" s="29"/>
      <c r="UQ110" s="29"/>
      <c r="UR110" s="29"/>
      <c r="US110" s="29"/>
      <c r="UT110" s="29"/>
      <c r="UU110" s="29"/>
      <c r="UV110" s="29"/>
      <c r="UW110" s="29"/>
      <c r="UX110" s="29"/>
      <c r="UY110" s="29"/>
      <c r="UZ110" s="29"/>
      <c r="VA110" s="29"/>
      <c r="VB110" s="29"/>
      <c r="VC110" s="29"/>
      <c r="VD110" s="29"/>
      <c r="VE110" s="29"/>
      <c r="VF110" s="29"/>
      <c r="VG110" s="29"/>
      <c r="VH110" s="29"/>
      <c r="VI110" s="29"/>
      <c r="VJ110" s="29"/>
      <c r="VK110" s="29"/>
      <c r="VL110" s="29"/>
      <c r="VM110" s="29"/>
      <c r="VN110" s="29"/>
      <c r="VO110" s="29"/>
      <c r="VP110" s="29"/>
      <c r="VQ110" s="29"/>
      <c r="VR110" s="29"/>
      <c r="VS110" s="29"/>
      <c r="VT110" s="29"/>
      <c r="VU110" s="29"/>
      <c r="VV110" s="29"/>
      <c r="VW110" s="29"/>
      <c r="VX110" s="29"/>
      <c r="VY110" s="29"/>
      <c r="VZ110" s="29"/>
      <c r="WA110" s="29"/>
      <c r="WB110" s="29"/>
      <c r="WC110" s="29"/>
      <c r="WD110" s="29"/>
      <c r="WE110" s="29"/>
      <c r="WF110" s="29"/>
      <c r="WG110" s="29"/>
      <c r="WH110" s="29"/>
      <c r="WI110" s="29"/>
      <c r="WJ110" s="29"/>
      <c r="WK110" s="29"/>
      <c r="WL110" s="29"/>
      <c r="WM110" s="29"/>
      <c r="WN110" s="29"/>
      <c r="WO110" s="29"/>
      <c r="WP110" s="29"/>
      <c r="WQ110" s="29"/>
      <c r="WR110" s="29"/>
      <c r="WS110" s="29"/>
    </row>
    <row r="111" spans="1:617" s="3" customFormat="1" ht="15" outlineLevel="1" thickBot="1">
      <c r="A111" s="33"/>
      <c r="B111" s="47" t="s">
        <v>253</v>
      </c>
      <c r="C111" s="42" t="s">
        <v>230</v>
      </c>
      <c r="D111" s="116">
        <v>45996</v>
      </c>
      <c r="E111" s="116">
        <f>D111+G111-1</f>
        <v>46051</v>
      </c>
      <c r="F111" s="14"/>
      <c r="G111" s="14">
        <v>56</v>
      </c>
      <c r="H111" s="14">
        <v>54</v>
      </c>
      <c r="I111" s="14"/>
      <c r="J111" s="29"/>
      <c r="K111" s="29"/>
      <c r="L111" s="29"/>
      <c r="M111" s="29"/>
      <c r="N111" s="29"/>
      <c r="O111" s="29"/>
      <c r="P111" s="29"/>
      <c r="Q111" s="29"/>
      <c r="R111" s="29"/>
      <c r="S111" s="29"/>
      <c r="T111" s="29"/>
      <c r="U111" s="29"/>
      <c r="V111" s="29"/>
      <c r="W111" s="29"/>
      <c r="X111" s="29"/>
      <c r="Y111" s="30"/>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c r="MM111" s="29"/>
      <c r="MN111" s="29"/>
      <c r="MO111" s="29"/>
      <c r="MP111" s="29"/>
      <c r="MQ111" s="29"/>
      <c r="MR111" s="29"/>
      <c r="MS111" s="29"/>
      <c r="MT111" s="29"/>
      <c r="MU111" s="29"/>
      <c r="MV111" s="29"/>
      <c r="MW111" s="29"/>
      <c r="MX111" s="29"/>
      <c r="MY111" s="29"/>
      <c r="MZ111" s="29"/>
      <c r="NA111" s="29"/>
      <c r="NB111" s="29"/>
      <c r="NC111" s="29"/>
      <c r="ND111" s="29"/>
      <c r="NE111" s="29"/>
      <c r="NF111" s="29"/>
      <c r="NG111" s="29"/>
      <c r="NH111" s="29"/>
      <c r="NI111" s="29"/>
      <c r="NJ111" s="29"/>
      <c r="NK111" s="29"/>
      <c r="NL111" s="29"/>
      <c r="NM111" s="29"/>
      <c r="NN111" s="29"/>
      <c r="NO111" s="29"/>
      <c r="NP111" s="29"/>
      <c r="NQ111" s="29"/>
      <c r="NR111" s="29"/>
      <c r="NS111" s="29"/>
      <c r="NT111" s="29"/>
      <c r="NU111" s="29"/>
      <c r="NV111" s="29"/>
      <c r="NW111" s="29"/>
      <c r="NX111" s="29"/>
      <c r="NY111" s="29"/>
      <c r="NZ111" s="29"/>
      <c r="OA111" s="29"/>
      <c r="OB111" s="29"/>
      <c r="OC111" s="29"/>
      <c r="OD111" s="29"/>
      <c r="OE111" s="29"/>
      <c r="OF111" s="29"/>
      <c r="OG111" s="29"/>
      <c r="OH111" s="29"/>
      <c r="OI111" s="29"/>
      <c r="OJ111" s="29"/>
      <c r="OK111" s="29"/>
      <c r="OL111" s="29"/>
      <c r="OM111" s="29"/>
      <c r="ON111" s="29"/>
      <c r="OO111" s="29"/>
      <c r="OP111" s="29"/>
      <c r="OQ111" s="29"/>
      <c r="OR111" s="29"/>
      <c r="OS111" s="29"/>
      <c r="OT111" s="29"/>
      <c r="OU111" s="29"/>
      <c r="OV111" s="29"/>
      <c r="OW111" s="29"/>
      <c r="OX111" s="29"/>
      <c r="OY111" s="29"/>
      <c r="OZ111" s="29"/>
      <c r="PA111" s="29"/>
      <c r="PB111" s="29"/>
      <c r="PC111" s="29"/>
      <c r="PD111" s="29"/>
      <c r="PE111" s="29"/>
      <c r="PF111" s="29"/>
      <c r="PG111" s="29"/>
      <c r="PH111" s="29"/>
      <c r="PI111" s="29"/>
      <c r="PJ111" s="29"/>
      <c r="PK111" s="29"/>
      <c r="PL111" s="29"/>
      <c r="PM111" s="29"/>
      <c r="PN111" s="29"/>
      <c r="PO111" s="29"/>
      <c r="PP111" s="29"/>
      <c r="PQ111" s="29"/>
      <c r="PR111" s="29"/>
      <c r="PS111" s="29"/>
      <c r="PT111" s="29"/>
      <c r="PU111" s="29"/>
      <c r="PV111" s="29"/>
      <c r="PW111" s="29"/>
      <c r="PX111" s="29"/>
      <c r="PY111" s="29"/>
      <c r="PZ111" s="29"/>
      <c r="QA111" s="29"/>
      <c r="QB111" s="29"/>
      <c r="QC111" s="29"/>
      <c r="QD111" s="29"/>
      <c r="QE111" s="29"/>
      <c r="QF111" s="29"/>
      <c r="QG111" s="29"/>
      <c r="QH111" s="29"/>
      <c r="QI111" s="29"/>
      <c r="QJ111" s="29"/>
      <c r="QK111" s="29"/>
      <c r="QL111" s="29"/>
      <c r="QM111" s="29"/>
      <c r="QN111" s="29"/>
      <c r="QO111" s="29"/>
      <c r="QP111" s="29"/>
      <c r="QQ111" s="29"/>
      <c r="QR111" s="29"/>
      <c r="QS111" s="29"/>
      <c r="QT111" s="29"/>
      <c r="QU111" s="29"/>
      <c r="QV111" s="29"/>
      <c r="QW111" s="29"/>
      <c r="QX111" s="29"/>
      <c r="QY111" s="29"/>
      <c r="QZ111" s="29"/>
      <c r="RA111" s="29"/>
      <c r="RB111" s="29"/>
      <c r="RC111" s="29"/>
      <c r="RD111" s="29"/>
      <c r="RE111" s="29"/>
      <c r="RF111" s="29"/>
      <c r="RG111" s="29"/>
      <c r="RH111" s="29"/>
      <c r="RI111" s="29"/>
      <c r="RJ111" s="29"/>
      <c r="RK111" s="29"/>
      <c r="RL111" s="29"/>
      <c r="RM111" s="29"/>
      <c r="RN111" s="29"/>
      <c r="RO111" s="29"/>
      <c r="RP111" s="29"/>
      <c r="RQ111" s="29"/>
      <c r="RR111" s="29"/>
      <c r="RS111" s="29"/>
      <c r="RT111" s="29"/>
      <c r="RU111" s="29"/>
      <c r="RV111" s="29"/>
      <c r="RW111" s="29"/>
      <c r="RX111" s="29"/>
      <c r="RY111" s="29"/>
      <c r="RZ111" s="29"/>
      <c r="SA111" s="29"/>
      <c r="SB111" s="29"/>
      <c r="SC111" s="29"/>
      <c r="SD111" s="29"/>
      <c r="SE111" s="29"/>
      <c r="SF111" s="29"/>
      <c r="SG111" s="29"/>
      <c r="SH111" s="29"/>
      <c r="SI111" s="29"/>
      <c r="SJ111" s="29"/>
      <c r="SK111" s="29"/>
      <c r="SL111" s="29"/>
      <c r="SM111" s="29"/>
      <c r="SN111" s="29"/>
      <c r="SO111" s="29"/>
      <c r="SP111" s="29"/>
      <c r="SQ111" s="29"/>
      <c r="SR111" s="29"/>
      <c r="SS111" s="29"/>
      <c r="ST111" s="29"/>
      <c r="SU111" s="29"/>
      <c r="SV111" s="29"/>
      <c r="SW111" s="29"/>
      <c r="SX111" s="29"/>
      <c r="SY111" s="29"/>
      <c r="SZ111" s="29"/>
      <c r="TA111" s="29"/>
      <c r="TB111" s="29"/>
      <c r="TC111" s="29"/>
      <c r="TD111" s="29"/>
      <c r="TE111" s="29"/>
      <c r="TF111" s="29"/>
      <c r="TG111" s="29"/>
      <c r="TH111" s="29"/>
      <c r="TI111" s="29"/>
      <c r="TJ111" s="29"/>
      <c r="TK111" s="29"/>
      <c r="TL111" s="29"/>
      <c r="TM111" s="29"/>
      <c r="TN111" s="29"/>
      <c r="TO111" s="29"/>
      <c r="TP111" s="29"/>
      <c r="TQ111" s="29"/>
      <c r="TR111" s="29"/>
      <c r="TS111" s="29"/>
      <c r="TT111" s="29"/>
      <c r="TU111" s="29"/>
      <c r="TV111" s="29"/>
      <c r="TW111" s="29"/>
      <c r="TX111" s="29"/>
      <c r="TY111" s="29"/>
      <c r="TZ111" s="29"/>
      <c r="UA111" s="29"/>
      <c r="UB111" s="29"/>
      <c r="UC111" s="29"/>
      <c r="UD111" s="29"/>
      <c r="UE111" s="29"/>
      <c r="UF111" s="29"/>
      <c r="UG111" s="29"/>
      <c r="UH111" s="29"/>
      <c r="UI111" s="29"/>
      <c r="UJ111" s="29"/>
      <c r="UK111" s="29"/>
      <c r="UL111" s="29"/>
      <c r="UM111" s="29"/>
      <c r="UN111" s="29"/>
      <c r="UO111" s="29"/>
      <c r="UP111" s="29"/>
      <c r="UQ111" s="29"/>
      <c r="UR111" s="29"/>
      <c r="US111" s="29"/>
      <c r="UT111" s="29"/>
      <c r="UU111" s="29"/>
      <c r="UV111" s="29"/>
      <c r="UW111" s="29"/>
      <c r="UX111" s="29"/>
      <c r="UY111" s="29"/>
      <c r="UZ111" s="29"/>
      <c r="VA111" s="29"/>
      <c r="VB111" s="29"/>
      <c r="VC111" s="29"/>
      <c r="VD111" s="29"/>
      <c r="VE111" s="29"/>
      <c r="VF111" s="29"/>
      <c r="VG111" s="29"/>
      <c r="VH111" s="29"/>
      <c r="VI111" s="29"/>
      <c r="VJ111" s="29"/>
      <c r="VK111" s="29"/>
      <c r="VL111" s="29"/>
      <c r="VM111" s="29"/>
      <c r="VN111" s="29"/>
      <c r="VO111" s="29"/>
      <c r="VP111" s="29"/>
      <c r="VQ111" s="29"/>
      <c r="VR111" s="29"/>
      <c r="VS111" s="29"/>
      <c r="VT111" s="29"/>
      <c r="VU111" s="29"/>
      <c r="VV111" s="29"/>
      <c r="VW111" s="29"/>
      <c r="VX111" s="29"/>
      <c r="VY111" s="29"/>
      <c r="VZ111" s="29"/>
      <c r="WA111" s="29"/>
      <c r="WB111" s="29"/>
      <c r="WC111" s="29"/>
      <c r="WD111" s="29"/>
      <c r="WE111" s="29"/>
      <c r="WF111" s="29"/>
      <c r="WG111" s="29"/>
      <c r="WH111" s="29"/>
      <c r="WI111" s="29"/>
      <c r="WJ111" s="29"/>
      <c r="WK111" s="29"/>
      <c r="WL111" s="29"/>
      <c r="WM111" s="29"/>
      <c r="WN111" s="29"/>
      <c r="WO111" s="29"/>
      <c r="WP111" s="29"/>
      <c r="WQ111" s="29"/>
      <c r="WR111" s="29"/>
      <c r="WS111" s="29"/>
    </row>
    <row r="112" spans="1:617" s="3" customFormat="1" ht="15" outlineLevel="1" thickBot="1">
      <c r="A112" s="33"/>
      <c r="B112" s="146" t="s">
        <v>255</v>
      </c>
      <c r="C112" s="147" t="s">
        <v>122</v>
      </c>
      <c r="D112" s="148">
        <v>45988</v>
      </c>
      <c r="E112" s="148">
        <f t="shared" si="598"/>
        <v>46043</v>
      </c>
      <c r="F112" s="14"/>
      <c r="G112" s="14">
        <v>56</v>
      </c>
      <c r="H112" s="14">
        <v>54</v>
      </c>
      <c r="I112" s="14"/>
      <c r="J112" s="29"/>
      <c r="K112" s="29"/>
      <c r="L112" s="29"/>
      <c r="M112" s="29"/>
      <c r="N112" s="29"/>
      <c r="O112" s="29"/>
      <c r="P112" s="29"/>
      <c r="Q112" s="29"/>
      <c r="R112" s="29"/>
      <c r="S112" s="29"/>
      <c r="T112" s="29"/>
      <c r="U112" s="29"/>
      <c r="V112" s="29"/>
      <c r="W112" s="29"/>
      <c r="X112" s="29"/>
      <c r="Y112" s="30"/>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c r="MM112" s="29"/>
      <c r="MN112" s="29"/>
      <c r="MO112" s="29"/>
      <c r="MP112" s="29"/>
      <c r="MQ112" s="29"/>
      <c r="MR112" s="29"/>
      <c r="MS112" s="29"/>
      <c r="MT112" s="29"/>
      <c r="MU112" s="29"/>
      <c r="MV112" s="29"/>
      <c r="MW112" s="29"/>
      <c r="MX112" s="29"/>
      <c r="MY112" s="29"/>
      <c r="MZ112" s="29"/>
      <c r="NA112" s="29"/>
      <c r="NB112" s="29"/>
      <c r="NC112" s="29"/>
      <c r="ND112" s="29"/>
      <c r="NE112" s="29"/>
      <c r="NF112" s="29"/>
      <c r="NG112" s="29"/>
      <c r="NH112" s="29"/>
      <c r="NI112" s="29"/>
      <c r="NJ112" s="29"/>
      <c r="NK112" s="29"/>
      <c r="NL112" s="29"/>
      <c r="NM112" s="29"/>
      <c r="NN112" s="29"/>
      <c r="NO112" s="29"/>
      <c r="NP112" s="29"/>
      <c r="NQ112" s="29"/>
      <c r="NR112" s="29"/>
      <c r="NS112" s="29"/>
      <c r="NT112" s="29"/>
      <c r="NU112" s="29"/>
      <c r="NV112" s="29"/>
      <c r="NW112" s="29"/>
      <c r="NX112" s="29"/>
      <c r="NY112" s="29"/>
      <c r="NZ112" s="29"/>
      <c r="OA112" s="29"/>
      <c r="OB112" s="29"/>
      <c r="OC112" s="29"/>
      <c r="OD112" s="29"/>
      <c r="OE112" s="29"/>
      <c r="OF112" s="29"/>
      <c r="OG112" s="29"/>
      <c r="OH112" s="29"/>
      <c r="OI112" s="29"/>
      <c r="OJ112" s="29"/>
      <c r="OK112" s="29"/>
      <c r="OL112" s="29"/>
      <c r="OM112" s="29"/>
      <c r="ON112" s="29"/>
      <c r="OO112" s="29"/>
      <c r="OP112" s="29"/>
      <c r="OQ112" s="29"/>
      <c r="OR112" s="29"/>
      <c r="OS112" s="29"/>
      <c r="OT112" s="29"/>
      <c r="OU112" s="29"/>
      <c r="OV112" s="29"/>
      <c r="OW112" s="29"/>
      <c r="OX112" s="29"/>
      <c r="OY112" s="29"/>
      <c r="OZ112" s="29"/>
      <c r="PA112" s="29"/>
      <c r="PB112" s="29"/>
      <c r="PC112" s="29"/>
      <c r="PD112" s="29"/>
      <c r="PE112" s="29"/>
      <c r="PF112" s="29"/>
      <c r="PG112" s="29"/>
      <c r="PH112" s="29"/>
      <c r="PI112" s="29"/>
      <c r="PJ112" s="29"/>
      <c r="PK112" s="29"/>
      <c r="PL112" s="29"/>
      <c r="PM112" s="29"/>
      <c r="PN112" s="29"/>
      <c r="PO112" s="29"/>
      <c r="PP112" s="29"/>
      <c r="PQ112" s="29"/>
      <c r="PR112" s="29"/>
      <c r="PS112" s="29"/>
      <c r="PT112" s="29"/>
      <c r="PU112" s="29"/>
      <c r="PV112" s="29"/>
      <c r="PW112" s="29"/>
      <c r="PX112" s="29"/>
      <c r="PY112" s="29"/>
      <c r="PZ112" s="29"/>
      <c r="QA112" s="29"/>
      <c r="QB112" s="29"/>
      <c r="QC112" s="29"/>
      <c r="QD112" s="29"/>
      <c r="QE112" s="29"/>
      <c r="QF112" s="29"/>
      <c r="QG112" s="29"/>
      <c r="QH112" s="29"/>
      <c r="QI112" s="29"/>
      <c r="QJ112" s="29"/>
      <c r="QK112" s="29"/>
      <c r="QL112" s="29"/>
      <c r="QM112" s="29"/>
      <c r="QN112" s="29"/>
      <c r="QO112" s="29"/>
      <c r="QP112" s="29"/>
      <c r="QQ112" s="29"/>
      <c r="QR112" s="29"/>
      <c r="QS112" s="29"/>
      <c r="QT112" s="29"/>
      <c r="QU112" s="29"/>
      <c r="QV112" s="29"/>
      <c r="QW112" s="29"/>
      <c r="QX112" s="29"/>
      <c r="QY112" s="29"/>
      <c r="QZ112" s="29"/>
      <c r="RA112" s="29"/>
      <c r="RB112" s="29"/>
      <c r="RC112" s="29"/>
      <c r="RD112" s="29"/>
      <c r="RE112" s="29"/>
      <c r="RF112" s="29"/>
      <c r="RG112" s="29"/>
      <c r="RH112" s="29"/>
      <c r="RI112" s="29"/>
      <c r="RJ112" s="29"/>
      <c r="RK112" s="29"/>
      <c r="RL112" s="29"/>
      <c r="RM112" s="29"/>
      <c r="RN112" s="29"/>
      <c r="RO112" s="29"/>
      <c r="RP112" s="29"/>
      <c r="RQ112" s="29"/>
      <c r="RR112" s="29"/>
      <c r="RS112" s="29"/>
      <c r="RT112" s="29"/>
      <c r="RU112" s="29"/>
      <c r="RV112" s="29"/>
      <c r="RW112" s="29"/>
      <c r="RX112" s="29"/>
      <c r="RY112" s="29"/>
      <c r="RZ112" s="29"/>
      <c r="SA112" s="29"/>
      <c r="SB112" s="29"/>
      <c r="SC112" s="29"/>
      <c r="SD112" s="29"/>
      <c r="SE112" s="29"/>
      <c r="SF112" s="29"/>
      <c r="SG112" s="29"/>
      <c r="SH112" s="29"/>
      <c r="SI112" s="29"/>
      <c r="SJ112" s="29"/>
      <c r="SK112" s="29"/>
      <c r="SL112" s="29"/>
      <c r="SM112" s="29"/>
      <c r="SN112" s="29"/>
      <c r="SO112" s="29"/>
      <c r="SP112" s="29"/>
      <c r="SQ112" s="29"/>
      <c r="SR112" s="29"/>
      <c r="SS112" s="29"/>
      <c r="ST112" s="29"/>
      <c r="SU112" s="29"/>
      <c r="SV112" s="29"/>
      <c r="SW112" s="29"/>
      <c r="SX112" s="29"/>
      <c r="SY112" s="29"/>
      <c r="SZ112" s="29"/>
      <c r="TA112" s="29"/>
      <c r="TB112" s="29"/>
      <c r="TC112" s="29"/>
      <c r="TD112" s="29"/>
      <c r="TE112" s="29"/>
      <c r="TF112" s="29"/>
      <c r="TG112" s="29"/>
      <c r="TH112" s="29"/>
      <c r="TI112" s="29"/>
      <c r="TJ112" s="29"/>
      <c r="TK112" s="29"/>
      <c r="TL112" s="29"/>
      <c r="TM112" s="29"/>
      <c r="TN112" s="29"/>
      <c r="TO112" s="29"/>
      <c r="TP112" s="29"/>
      <c r="TQ112" s="29"/>
      <c r="TR112" s="29"/>
      <c r="TS112" s="29"/>
      <c r="TT112" s="29"/>
      <c r="TU112" s="29"/>
      <c r="TV112" s="29"/>
      <c r="TW112" s="29"/>
      <c r="TX112" s="29"/>
      <c r="TY112" s="29"/>
      <c r="TZ112" s="29"/>
      <c r="UA112" s="29"/>
      <c r="UB112" s="29"/>
      <c r="UC112" s="29"/>
      <c r="UD112" s="29"/>
      <c r="UE112" s="29"/>
      <c r="UF112" s="29"/>
      <c r="UG112" s="29"/>
      <c r="UH112" s="29"/>
      <c r="UI112" s="29"/>
      <c r="UJ112" s="29"/>
      <c r="UK112" s="29"/>
      <c r="UL112" s="29"/>
      <c r="UM112" s="29"/>
      <c r="UN112" s="29"/>
      <c r="UO112" s="29"/>
      <c r="UP112" s="29"/>
      <c r="UQ112" s="29"/>
      <c r="UR112" s="29"/>
      <c r="US112" s="29"/>
      <c r="UT112" s="29"/>
      <c r="UU112" s="29"/>
      <c r="UV112" s="29"/>
      <c r="UW112" s="29"/>
      <c r="UX112" s="29"/>
      <c r="UY112" s="29"/>
      <c r="UZ112" s="29"/>
      <c r="VA112" s="29"/>
      <c r="VB112" s="29"/>
      <c r="VC112" s="29"/>
      <c r="VD112" s="29"/>
      <c r="VE112" s="29"/>
      <c r="VF112" s="29"/>
      <c r="VG112" s="29"/>
      <c r="VH112" s="29"/>
      <c r="VI112" s="29"/>
      <c r="VJ112" s="29"/>
      <c r="VK112" s="29"/>
      <c r="VL112" s="29"/>
      <c r="VM112" s="29"/>
      <c r="VN112" s="29"/>
      <c r="VO112" s="29"/>
      <c r="VP112" s="29"/>
      <c r="VQ112" s="29"/>
      <c r="VR112" s="29"/>
      <c r="VS112" s="29"/>
      <c r="VT112" s="29"/>
      <c r="VU112" s="29"/>
      <c r="VV112" s="29"/>
      <c r="VW112" s="29"/>
      <c r="VX112" s="29"/>
      <c r="VY112" s="29"/>
      <c r="VZ112" s="29"/>
      <c r="WA112" s="29"/>
      <c r="WB112" s="29"/>
      <c r="WC112" s="29"/>
      <c r="WD112" s="29"/>
      <c r="WE112" s="29"/>
      <c r="WF112" s="29"/>
      <c r="WG112" s="29"/>
      <c r="WH112" s="29"/>
      <c r="WI112" s="29"/>
      <c r="WJ112" s="29"/>
      <c r="WK112" s="29"/>
      <c r="WL112" s="29"/>
      <c r="WM112" s="29"/>
      <c r="WN112" s="29"/>
      <c r="WO112" s="29"/>
      <c r="WP112" s="29"/>
      <c r="WQ112" s="29"/>
      <c r="WR112" s="29"/>
      <c r="WS112" s="29"/>
    </row>
    <row r="113" spans="1:617" s="3" customFormat="1" ht="15" outlineLevel="1" thickBot="1">
      <c r="A113" s="33"/>
      <c r="B113" s="47" t="s">
        <v>254</v>
      </c>
      <c r="C113" s="42" t="s">
        <v>83</v>
      </c>
      <c r="D113" s="116">
        <v>46034</v>
      </c>
      <c r="E113" s="116">
        <f>D113+G113</f>
        <v>46085</v>
      </c>
      <c r="F113" s="14"/>
      <c r="G113" s="14">
        <v>51</v>
      </c>
      <c r="H113" s="14"/>
      <c r="I113" s="14"/>
      <c r="J113" s="29"/>
      <c r="K113" s="29"/>
      <c r="L113" s="29"/>
      <c r="M113" s="29"/>
      <c r="N113" s="29"/>
      <c r="O113" s="29"/>
      <c r="P113" s="29"/>
      <c r="Q113" s="29"/>
      <c r="R113" s="29"/>
      <c r="S113" s="29"/>
      <c r="T113" s="29"/>
      <c r="U113" s="29"/>
      <c r="V113" s="29"/>
      <c r="W113" s="29"/>
      <c r="X113" s="29"/>
      <c r="Y113" s="30"/>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c r="MM113" s="29"/>
      <c r="MN113" s="29"/>
      <c r="MO113" s="29"/>
      <c r="MP113" s="29"/>
      <c r="MQ113" s="29"/>
      <c r="MR113" s="29"/>
      <c r="MS113" s="29"/>
      <c r="MT113" s="29"/>
      <c r="MU113" s="29"/>
      <c r="MV113" s="29"/>
      <c r="MW113" s="29"/>
      <c r="MX113" s="29"/>
      <c r="MY113" s="29"/>
      <c r="MZ113" s="29"/>
      <c r="NA113" s="29"/>
      <c r="NB113" s="29"/>
      <c r="NC113" s="29"/>
      <c r="ND113" s="29"/>
      <c r="NE113" s="29"/>
      <c r="NF113" s="29"/>
      <c r="NG113" s="29"/>
      <c r="NH113" s="29"/>
      <c r="NI113" s="29"/>
      <c r="NJ113" s="29"/>
      <c r="NK113" s="29"/>
      <c r="NL113" s="29"/>
      <c r="NM113" s="29"/>
      <c r="NN113" s="29"/>
      <c r="NO113" s="29"/>
      <c r="NP113" s="29"/>
      <c r="NQ113" s="29"/>
      <c r="NR113" s="29"/>
      <c r="NS113" s="29"/>
      <c r="NT113" s="29"/>
      <c r="NU113" s="29"/>
      <c r="NV113" s="29"/>
      <c r="NW113" s="29"/>
      <c r="NX113" s="29"/>
      <c r="NY113" s="29"/>
      <c r="NZ113" s="29"/>
      <c r="OA113" s="29"/>
      <c r="OB113" s="29"/>
      <c r="OC113" s="29"/>
      <c r="OD113" s="29"/>
      <c r="OE113" s="29"/>
      <c r="OF113" s="29"/>
      <c r="OG113" s="29"/>
      <c r="OH113" s="29"/>
      <c r="OI113" s="29"/>
      <c r="OJ113" s="29"/>
      <c r="OK113" s="29"/>
      <c r="OL113" s="29"/>
      <c r="OM113" s="29"/>
      <c r="ON113" s="29"/>
      <c r="OO113" s="29"/>
      <c r="OP113" s="29"/>
      <c r="OQ113" s="29"/>
      <c r="OR113" s="29"/>
      <c r="OS113" s="29"/>
      <c r="OT113" s="29"/>
      <c r="OU113" s="29"/>
      <c r="OV113" s="29"/>
      <c r="OW113" s="29"/>
      <c r="OX113" s="29"/>
      <c r="OY113" s="29"/>
      <c r="OZ113" s="29"/>
      <c r="PA113" s="29"/>
      <c r="PB113" s="29"/>
      <c r="PC113" s="29"/>
      <c r="PD113" s="29"/>
      <c r="PE113" s="29"/>
      <c r="PF113" s="29"/>
      <c r="PG113" s="29"/>
      <c r="PH113" s="29"/>
      <c r="PI113" s="29"/>
      <c r="PJ113" s="29"/>
      <c r="PK113" s="29"/>
      <c r="PL113" s="29"/>
      <c r="PM113" s="29"/>
      <c r="PN113" s="29"/>
      <c r="PO113" s="29"/>
      <c r="PP113" s="29"/>
      <c r="PQ113" s="29"/>
      <c r="PR113" s="29"/>
      <c r="PS113" s="29"/>
      <c r="PT113" s="29"/>
      <c r="PU113" s="29"/>
      <c r="PV113" s="29"/>
      <c r="PW113" s="29"/>
      <c r="PX113" s="29"/>
      <c r="PY113" s="29"/>
      <c r="PZ113" s="29"/>
      <c r="QA113" s="29"/>
      <c r="QB113" s="29"/>
      <c r="QC113" s="29"/>
      <c r="QD113" s="29"/>
      <c r="QE113" s="29"/>
      <c r="QF113" s="29"/>
      <c r="QG113" s="29"/>
      <c r="QH113" s="29"/>
      <c r="QI113" s="29"/>
      <c r="QJ113" s="29"/>
      <c r="QK113" s="29"/>
      <c r="QL113" s="29"/>
      <c r="QM113" s="29"/>
      <c r="QN113" s="29"/>
      <c r="QO113" s="29"/>
      <c r="QP113" s="29"/>
      <c r="QQ113" s="29"/>
      <c r="QR113" s="29"/>
      <c r="QS113" s="29"/>
      <c r="QT113" s="29"/>
      <c r="QU113" s="29"/>
      <c r="QV113" s="29"/>
      <c r="QW113" s="29"/>
      <c r="QX113" s="29"/>
      <c r="QY113" s="29"/>
      <c r="QZ113" s="29"/>
      <c r="RA113" s="29"/>
      <c r="RB113" s="29"/>
      <c r="RC113" s="29"/>
      <c r="RD113" s="29"/>
      <c r="RE113" s="29"/>
      <c r="RF113" s="29"/>
      <c r="RG113" s="29"/>
      <c r="RH113" s="29"/>
      <c r="RI113" s="29"/>
      <c r="RJ113" s="29"/>
      <c r="RK113" s="29"/>
      <c r="RL113" s="29"/>
      <c r="RM113" s="29"/>
      <c r="RN113" s="29"/>
      <c r="RO113" s="29"/>
      <c r="RP113" s="29"/>
      <c r="RQ113" s="29"/>
      <c r="RR113" s="29"/>
      <c r="RS113" s="29"/>
      <c r="RT113" s="29"/>
      <c r="RU113" s="29"/>
      <c r="RV113" s="29"/>
      <c r="RW113" s="29"/>
      <c r="RX113" s="29"/>
      <c r="RY113" s="29"/>
      <c r="RZ113" s="29"/>
      <c r="SA113" s="29"/>
      <c r="SB113" s="29"/>
      <c r="SC113" s="29"/>
      <c r="SD113" s="29"/>
      <c r="SE113" s="29"/>
      <c r="SF113" s="29"/>
      <c r="SG113" s="29"/>
      <c r="SH113" s="29"/>
      <c r="SI113" s="29"/>
      <c r="SJ113" s="29"/>
      <c r="SK113" s="29"/>
      <c r="SL113" s="29"/>
      <c r="SM113" s="29"/>
      <c r="SN113" s="29"/>
      <c r="SO113" s="29"/>
      <c r="SP113" s="29"/>
      <c r="SQ113" s="29"/>
      <c r="SR113" s="29"/>
      <c r="SS113" s="29"/>
      <c r="ST113" s="29"/>
      <c r="SU113" s="29"/>
      <c r="SV113" s="29"/>
      <c r="SW113" s="29"/>
      <c r="SX113" s="29"/>
      <c r="SY113" s="29"/>
      <c r="SZ113" s="29"/>
      <c r="TA113" s="29"/>
      <c r="TB113" s="29"/>
      <c r="TC113" s="29"/>
      <c r="TD113" s="29"/>
      <c r="TE113" s="29"/>
      <c r="TF113" s="29"/>
      <c r="TG113" s="29"/>
      <c r="TH113" s="29"/>
      <c r="TI113" s="29"/>
      <c r="TJ113" s="29"/>
      <c r="TK113" s="29"/>
      <c r="TL113" s="29"/>
      <c r="TM113" s="29"/>
      <c r="TN113" s="29"/>
      <c r="TO113" s="29"/>
      <c r="TP113" s="29"/>
      <c r="TQ113" s="29"/>
      <c r="TR113" s="29"/>
      <c r="TS113" s="29"/>
      <c r="TT113" s="29"/>
      <c r="TU113" s="29"/>
      <c r="TV113" s="29"/>
      <c r="TW113" s="29"/>
      <c r="TX113" s="29"/>
      <c r="TY113" s="29"/>
      <c r="TZ113" s="29"/>
      <c r="UA113" s="29"/>
      <c r="UB113" s="29"/>
      <c r="UC113" s="29"/>
      <c r="UD113" s="29"/>
      <c r="UE113" s="29"/>
      <c r="UF113" s="29"/>
      <c r="UG113" s="29"/>
      <c r="UH113" s="29"/>
      <c r="UI113" s="29"/>
      <c r="UJ113" s="29"/>
      <c r="UK113" s="29"/>
      <c r="UL113" s="29"/>
      <c r="UM113" s="29"/>
      <c r="UN113" s="29"/>
      <c r="UO113" s="29"/>
      <c r="UP113" s="29"/>
      <c r="UQ113" s="29"/>
      <c r="UR113" s="29"/>
      <c r="US113" s="29"/>
      <c r="UT113" s="29"/>
      <c r="UU113" s="29"/>
      <c r="UV113" s="29"/>
      <c r="UW113" s="29"/>
      <c r="UX113" s="29"/>
      <c r="UY113" s="29"/>
      <c r="UZ113" s="29"/>
      <c r="VA113" s="29"/>
      <c r="VB113" s="29"/>
      <c r="VC113" s="29"/>
      <c r="VD113" s="29"/>
      <c r="VE113" s="29"/>
      <c r="VF113" s="29"/>
      <c r="VG113" s="29"/>
      <c r="VH113" s="29"/>
      <c r="VI113" s="29"/>
      <c r="VJ113" s="29"/>
      <c r="VK113" s="29"/>
      <c r="VL113" s="29"/>
      <c r="VM113" s="29"/>
      <c r="VN113" s="29"/>
      <c r="VO113" s="29"/>
      <c r="VP113" s="29"/>
      <c r="VQ113" s="29"/>
      <c r="VR113" s="29"/>
      <c r="VS113" s="29"/>
      <c r="VT113" s="29"/>
      <c r="VU113" s="29"/>
      <c r="VV113" s="29"/>
      <c r="VW113" s="29"/>
      <c r="VX113" s="29"/>
      <c r="VY113" s="29"/>
      <c r="VZ113" s="29"/>
      <c r="WA113" s="29"/>
      <c r="WB113" s="29"/>
      <c r="WC113" s="29"/>
      <c r="WD113" s="29"/>
      <c r="WE113" s="29"/>
      <c r="WF113" s="29"/>
      <c r="WG113" s="29"/>
      <c r="WH113" s="29"/>
      <c r="WI113" s="29"/>
      <c r="WJ113" s="29"/>
      <c r="WK113" s="29"/>
      <c r="WL113" s="29"/>
      <c r="WM113" s="29"/>
      <c r="WN113" s="29"/>
      <c r="WO113" s="29"/>
      <c r="WP113" s="29"/>
      <c r="WQ113" s="29"/>
      <c r="WR113" s="29"/>
      <c r="WS113" s="29"/>
    </row>
    <row r="114" spans="1:617" s="3" customFormat="1" ht="15" outlineLevel="1" thickBot="1">
      <c r="A114" s="33"/>
      <c r="B114" s="47" t="s">
        <v>253</v>
      </c>
      <c r="C114" s="42" t="s">
        <v>95</v>
      </c>
      <c r="D114" s="116">
        <f>E111</f>
        <v>46051</v>
      </c>
      <c r="E114" s="116">
        <f t="shared" si="598"/>
        <v>46106</v>
      </c>
      <c r="F114" s="14"/>
      <c r="G114" s="14">
        <v>56</v>
      </c>
      <c r="H114" s="14">
        <v>54</v>
      </c>
      <c r="I114" s="14"/>
      <c r="J114" s="29"/>
      <c r="K114" s="29"/>
      <c r="L114" s="29"/>
      <c r="M114" s="29"/>
      <c r="N114" s="29"/>
      <c r="O114" s="29"/>
      <c r="P114" s="29"/>
      <c r="Q114" s="29"/>
      <c r="R114" s="29"/>
      <c r="S114" s="29"/>
      <c r="T114" s="29"/>
      <c r="U114" s="29"/>
      <c r="V114" s="29"/>
      <c r="W114" s="29"/>
      <c r="X114" s="29"/>
      <c r="Y114" s="30"/>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c r="MM114" s="29"/>
      <c r="MN114" s="29"/>
      <c r="MO114" s="29"/>
      <c r="MP114" s="29"/>
      <c r="MQ114" s="29"/>
      <c r="MR114" s="29"/>
      <c r="MS114" s="29"/>
      <c r="MT114" s="29"/>
      <c r="MU114" s="29"/>
      <c r="MV114" s="29"/>
      <c r="MW114" s="29"/>
      <c r="MX114" s="29"/>
      <c r="MY114" s="29"/>
      <c r="MZ114" s="29"/>
      <c r="NA114" s="29"/>
      <c r="NB114" s="29"/>
      <c r="NC114" s="29"/>
      <c r="ND114" s="29"/>
      <c r="NE114" s="29"/>
      <c r="NF114" s="29"/>
      <c r="NG114" s="29"/>
      <c r="NH114" s="29"/>
      <c r="NI114" s="29"/>
      <c r="NJ114" s="29"/>
      <c r="NK114" s="29"/>
      <c r="NL114" s="29"/>
      <c r="NM114" s="29"/>
      <c r="NN114" s="29"/>
      <c r="NO114" s="29"/>
      <c r="NP114" s="29"/>
      <c r="NQ114" s="29"/>
      <c r="NR114" s="29"/>
      <c r="NS114" s="29"/>
      <c r="NT114" s="29"/>
      <c r="NU114" s="29"/>
      <c r="NV114" s="29"/>
      <c r="NW114" s="29"/>
      <c r="NX114" s="29"/>
      <c r="NY114" s="29"/>
      <c r="NZ114" s="29"/>
      <c r="OA114" s="29"/>
      <c r="OB114" s="29"/>
      <c r="OC114" s="29"/>
      <c r="OD114" s="29"/>
      <c r="OE114" s="29"/>
      <c r="OF114" s="29"/>
      <c r="OG114" s="29"/>
      <c r="OH114" s="29"/>
      <c r="OI114" s="29"/>
      <c r="OJ114" s="29"/>
      <c r="OK114" s="29"/>
      <c r="OL114" s="29"/>
      <c r="OM114" s="29"/>
      <c r="ON114" s="29"/>
      <c r="OO114" s="29"/>
      <c r="OP114" s="29"/>
      <c r="OQ114" s="29"/>
      <c r="OR114" s="29"/>
      <c r="OS114" s="29"/>
      <c r="OT114" s="29"/>
      <c r="OU114" s="29"/>
      <c r="OV114" s="29"/>
      <c r="OW114" s="29"/>
      <c r="OX114" s="29"/>
      <c r="OY114" s="29"/>
      <c r="OZ114" s="29"/>
      <c r="PA114" s="29"/>
      <c r="PB114" s="29"/>
      <c r="PC114" s="29"/>
      <c r="PD114" s="29"/>
      <c r="PE114" s="29"/>
      <c r="PF114" s="29"/>
      <c r="PG114" s="29"/>
      <c r="PH114" s="29"/>
      <c r="PI114" s="29"/>
      <c r="PJ114" s="29"/>
      <c r="PK114" s="29"/>
      <c r="PL114" s="29"/>
      <c r="PM114" s="29"/>
      <c r="PN114" s="29"/>
      <c r="PO114" s="29"/>
      <c r="PP114" s="29"/>
      <c r="PQ114" s="29"/>
      <c r="PR114" s="29"/>
      <c r="PS114" s="29"/>
      <c r="PT114" s="29"/>
      <c r="PU114" s="29"/>
      <c r="PV114" s="29"/>
      <c r="PW114" s="29"/>
      <c r="PX114" s="29"/>
      <c r="PY114" s="29"/>
      <c r="PZ114" s="29"/>
      <c r="QA114" s="29"/>
      <c r="QB114" s="29"/>
      <c r="QC114" s="29"/>
      <c r="QD114" s="29"/>
      <c r="QE114" s="29"/>
      <c r="QF114" s="29"/>
      <c r="QG114" s="29"/>
      <c r="QH114" s="29"/>
      <c r="QI114" s="29"/>
      <c r="QJ114" s="29"/>
      <c r="QK114" s="29"/>
      <c r="QL114" s="29"/>
      <c r="QM114" s="29"/>
      <c r="QN114" s="29"/>
      <c r="QO114" s="29"/>
      <c r="QP114" s="29"/>
      <c r="QQ114" s="29"/>
      <c r="QR114" s="29"/>
      <c r="QS114" s="29"/>
      <c r="QT114" s="29"/>
      <c r="QU114" s="29"/>
      <c r="QV114" s="29"/>
      <c r="QW114" s="29"/>
      <c r="QX114" s="29"/>
      <c r="QY114" s="29"/>
      <c r="QZ114" s="29"/>
      <c r="RA114" s="29"/>
      <c r="RB114" s="29"/>
      <c r="RC114" s="29"/>
      <c r="RD114" s="29"/>
      <c r="RE114" s="29"/>
      <c r="RF114" s="29"/>
      <c r="RG114" s="29"/>
      <c r="RH114" s="29"/>
      <c r="RI114" s="29"/>
      <c r="RJ114" s="29"/>
      <c r="RK114" s="29"/>
      <c r="RL114" s="29"/>
      <c r="RM114" s="29"/>
      <c r="RN114" s="29"/>
      <c r="RO114" s="29"/>
      <c r="RP114" s="29"/>
      <c r="RQ114" s="29"/>
      <c r="RR114" s="29"/>
      <c r="RS114" s="29"/>
      <c r="RT114" s="29"/>
      <c r="RU114" s="29"/>
      <c r="RV114" s="29"/>
      <c r="RW114" s="29"/>
      <c r="RX114" s="29"/>
      <c r="RY114" s="29"/>
      <c r="RZ114" s="29"/>
      <c r="SA114" s="29"/>
      <c r="SB114" s="29"/>
      <c r="SC114" s="29"/>
      <c r="SD114" s="29"/>
      <c r="SE114" s="29"/>
      <c r="SF114" s="29"/>
      <c r="SG114" s="29"/>
      <c r="SH114" s="29"/>
      <c r="SI114" s="29"/>
      <c r="SJ114" s="29"/>
      <c r="SK114" s="29"/>
      <c r="SL114" s="29"/>
      <c r="SM114" s="29"/>
      <c r="SN114" s="29"/>
      <c r="SO114" s="29"/>
      <c r="SP114" s="29"/>
      <c r="SQ114" s="29"/>
      <c r="SR114" s="29"/>
      <c r="SS114" s="29"/>
      <c r="ST114" s="29"/>
      <c r="SU114" s="29"/>
      <c r="SV114" s="29"/>
      <c r="SW114" s="29"/>
      <c r="SX114" s="29"/>
      <c r="SY114" s="29"/>
      <c r="SZ114" s="29"/>
      <c r="TA114" s="29"/>
      <c r="TB114" s="29"/>
      <c r="TC114" s="29"/>
      <c r="TD114" s="29"/>
      <c r="TE114" s="29"/>
      <c r="TF114" s="29"/>
      <c r="TG114" s="29"/>
      <c r="TH114" s="29"/>
      <c r="TI114" s="29"/>
      <c r="TJ114" s="29"/>
      <c r="TK114" s="29"/>
      <c r="TL114" s="29"/>
      <c r="TM114" s="29"/>
      <c r="TN114" s="29"/>
      <c r="TO114" s="29"/>
      <c r="TP114" s="29"/>
      <c r="TQ114" s="29"/>
      <c r="TR114" s="29"/>
      <c r="TS114" s="29"/>
      <c r="TT114" s="29"/>
      <c r="TU114" s="29"/>
      <c r="TV114" s="29"/>
      <c r="TW114" s="29"/>
      <c r="TX114" s="29"/>
      <c r="TY114" s="29"/>
      <c r="TZ114" s="29"/>
      <c r="UA114" s="29"/>
      <c r="UB114" s="29"/>
      <c r="UC114" s="29"/>
      <c r="UD114" s="29"/>
      <c r="UE114" s="29"/>
      <c r="UF114" s="29"/>
      <c r="UG114" s="29"/>
      <c r="UH114" s="29"/>
      <c r="UI114" s="29"/>
      <c r="UJ114" s="29"/>
      <c r="UK114" s="29"/>
      <c r="UL114" s="29"/>
      <c r="UM114" s="29"/>
      <c r="UN114" s="29"/>
      <c r="UO114" s="29"/>
      <c r="UP114" s="29"/>
      <c r="UQ114" s="29"/>
      <c r="UR114" s="29"/>
      <c r="US114" s="29"/>
      <c r="UT114" s="29"/>
      <c r="UU114" s="29"/>
      <c r="UV114" s="29"/>
      <c r="UW114" s="29"/>
      <c r="UX114" s="29"/>
      <c r="UY114" s="29"/>
      <c r="UZ114" s="29"/>
      <c r="VA114" s="29"/>
      <c r="VB114" s="29"/>
      <c r="VC114" s="29"/>
      <c r="VD114" s="29"/>
      <c r="VE114" s="29"/>
      <c r="VF114" s="29"/>
      <c r="VG114" s="29"/>
      <c r="VH114" s="29"/>
      <c r="VI114" s="29"/>
      <c r="VJ114" s="29"/>
      <c r="VK114" s="29"/>
      <c r="VL114" s="29"/>
      <c r="VM114" s="29"/>
      <c r="VN114" s="29"/>
      <c r="VO114" s="29"/>
      <c r="VP114" s="29"/>
      <c r="VQ114" s="29"/>
      <c r="VR114" s="29"/>
      <c r="VS114" s="29"/>
      <c r="VT114" s="29"/>
      <c r="VU114" s="29"/>
      <c r="VV114" s="29"/>
      <c r="VW114" s="29"/>
      <c r="VX114" s="29"/>
      <c r="VY114" s="29"/>
      <c r="VZ114" s="29"/>
      <c r="WA114" s="29"/>
      <c r="WB114" s="29"/>
      <c r="WC114" s="29"/>
      <c r="WD114" s="29"/>
      <c r="WE114" s="29"/>
      <c r="WF114" s="29"/>
      <c r="WG114" s="29"/>
      <c r="WH114" s="29"/>
      <c r="WI114" s="29"/>
      <c r="WJ114" s="29"/>
      <c r="WK114" s="29"/>
      <c r="WL114" s="29"/>
      <c r="WM114" s="29"/>
      <c r="WN114" s="29"/>
      <c r="WO114" s="29"/>
      <c r="WP114" s="29"/>
      <c r="WQ114" s="29"/>
      <c r="WR114" s="29"/>
      <c r="WS114" s="29"/>
    </row>
    <row r="115" spans="1:617" s="3" customFormat="1" ht="15" outlineLevel="1" thickBot="1">
      <c r="A115" s="33"/>
      <c r="B115" s="146" t="s">
        <v>255</v>
      </c>
      <c r="C115" s="147" t="s">
        <v>256</v>
      </c>
      <c r="D115" s="148">
        <v>46058</v>
      </c>
      <c r="E115" s="148">
        <f t="shared" si="598"/>
        <v>46113</v>
      </c>
      <c r="F115" s="14"/>
      <c r="G115" s="14">
        <v>56</v>
      </c>
      <c r="H115" s="14">
        <v>54</v>
      </c>
      <c r="I115" s="14"/>
      <c r="J115" s="29"/>
      <c r="K115" s="29"/>
      <c r="L115" s="29"/>
      <c r="M115" s="29"/>
      <c r="N115" s="29"/>
      <c r="O115" s="29"/>
      <c r="P115" s="29"/>
      <c r="Q115" s="29"/>
      <c r="R115" s="29"/>
      <c r="S115" s="29"/>
      <c r="T115" s="29"/>
      <c r="U115" s="29"/>
      <c r="V115" s="29"/>
      <c r="W115" s="29"/>
      <c r="X115" s="29"/>
      <c r="Y115" s="30"/>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c r="MM115" s="29"/>
      <c r="MN115" s="29"/>
      <c r="MO115" s="29"/>
      <c r="MP115" s="29"/>
      <c r="MQ115" s="29"/>
      <c r="MR115" s="29"/>
      <c r="MS115" s="29"/>
      <c r="MT115" s="29"/>
      <c r="MU115" s="29"/>
      <c r="MV115" s="29"/>
      <c r="MW115" s="29"/>
      <c r="MX115" s="29"/>
      <c r="MY115" s="29"/>
      <c r="MZ115" s="29"/>
      <c r="NA115" s="29"/>
      <c r="NB115" s="29"/>
      <c r="NC115" s="29"/>
      <c r="ND115" s="29"/>
      <c r="NE115" s="29"/>
      <c r="NF115" s="29"/>
      <c r="NG115" s="29"/>
      <c r="NH115" s="29"/>
      <c r="NI115" s="29"/>
      <c r="NJ115" s="29"/>
      <c r="NK115" s="29"/>
      <c r="NL115" s="29"/>
      <c r="NM115" s="29"/>
      <c r="NN115" s="29"/>
      <c r="NO115" s="29"/>
      <c r="NP115" s="29"/>
      <c r="NQ115" s="29"/>
      <c r="NR115" s="29"/>
      <c r="NS115" s="29"/>
      <c r="NT115" s="29"/>
      <c r="NU115" s="29"/>
      <c r="NV115" s="29"/>
      <c r="NW115" s="29"/>
      <c r="NX115" s="29"/>
      <c r="NY115" s="29"/>
      <c r="NZ115" s="29"/>
      <c r="OA115" s="29"/>
      <c r="OB115" s="29"/>
      <c r="OC115" s="29"/>
      <c r="OD115" s="29"/>
      <c r="OE115" s="29"/>
      <c r="OF115" s="29"/>
      <c r="OG115" s="29"/>
      <c r="OH115" s="29"/>
      <c r="OI115" s="29"/>
      <c r="OJ115" s="29"/>
      <c r="OK115" s="29"/>
      <c r="OL115" s="29"/>
      <c r="OM115" s="29"/>
      <c r="ON115" s="29"/>
      <c r="OO115" s="29"/>
      <c r="OP115" s="29"/>
      <c r="OQ115" s="29"/>
      <c r="OR115" s="29"/>
      <c r="OS115" s="29"/>
      <c r="OT115" s="29"/>
      <c r="OU115" s="29"/>
      <c r="OV115" s="29"/>
      <c r="OW115" s="29"/>
      <c r="OX115" s="29"/>
      <c r="OY115" s="29"/>
      <c r="OZ115" s="29"/>
      <c r="PA115" s="29"/>
      <c r="PB115" s="29"/>
      <c r="PC115" s="29"/>
      <c r="PD115" s="29"/>
      <c r="PE115" s="29"/>
      <c r="PF115" s="29"/>
      <c r="PG115" s="29"/>
      <c r="PH115" s="29"/>
      <c r="PI115" s="29"/>
      <c r="PJ115" s="29"/>
      <c r="PK115" s="29"/>
      <c r="PL115" s="29"/>
      <c r="PM115" s="29"/>
      <c r="PN115" s="29"/>
      <c r="PO115" s="29"/>
      <c r="PP115" s="29"/>
      <c r="PQ115" s="29"/>
      <c r="PR115" s="29"/>
      <c r="PS115" s="29"/>
      <c r="PT115" s="29"/>
      <c r="PU115" s="29"/>
      <c r="PV115" s="29"/>
      <c r="PW115" s="29"/>
      <c r="PX115" s="29"/>
      <c r="PY115" s="29"/>
      <c r="PZ115" s="29"/>
      <c r="QA115" s="29"/>
      <c r="QB115" s="29"/>
      <c r="QC115" s="29"/>
      <c r="QD115" s="29"/>
      <c r="QE115" s="29"/>
      <c r="QF115" s="29"/>
      <c r="QG115" s="29"/>
      <c r="QH115" s="29"/>
      <c r="QI115" s="29"/>
      <c r="QJ115" s="29"/>
      <c r="QK115" s="29"/>
      <c r="QL115" s="29"/>
      <c r="QM115" s="29"/>
      <c r="QN115" s="29"/>
      <c r="QO115" s="29"/>
      <c r="QP115" s="29"/>
      <c r="QQ115" s="29"/>
      <c r="QR115" s="29"/>
      <c r="QS115" s="29"/>
      <c r="QT115" s="29"/>
      <c r="QU115" s="29"/>
      <c r="QV115" s="29"/>
      <c r="QW115" s="29"/>
      <c r="QX115" s="29"/>
      <c r="QY115" s="29"/>
      <c r="QZ115" s="29"/>
      <c r="RA115" s="29"/>
      <c r="RB115" s="29"/>
      <c r="RC115" s="29"/>
      <c r="RD115" s="29"/>
      <c r="RE115" s="29"/>
      <c r="RF115" s="29"/>
      <c r="RG115" s="29"/>
      <c r="RH115" s="29"/>
      <c r="RI115" s="29"/>
      <c r="RJ115" s="29"/>
      <c r="RK115" s="29"/>
      <c r="RL115" s="29"/>
      <c r="RM115" s="29"/>
      <c r="RN115" s="29"/>
      <c r="RO115" s="29"/>
      <c r="RP115" s="29"/>
      <c r="RQ115" s="29"/>
      <c r="RR115" s="29"/>
      <c r="RS115" s="29"/>
      <c r="RT115" s="29"/>
      <c r="RU115" s="29"/>
      <c r="RV115" s="29"/>
      <c r="RW115" s="29"/>
      <c r="RX115" s="29"/>
      <c r="RY115" s="29"/>
      <c r="RZ115" s="29"/>
      <c r="SA115" s="29"/>
      <c r="SB115" s="29"/>
      <c r="SC115" s="29"/>
      <c r="SD115" s="29"/>
      <c r="SE115" s="29"/>
      <c r="SF115" s="29"/>
      <c r="SG115" s="29"/>
      <c r="SH115" s="29"/>
      <c r="SI115" s="29"/>
      <c r="SJ115" s="29"/>
      <c r="SK115" s="29"/>
      <c r="SL115" s="29"/>
      <c r="SM115" s="29"/>
      <c r="SN115" s="29"/>
      <c r="SO115" s="29"/>
      <c r="SP115" s="29"/>
      <c r="SQ115" s="29"/>
      <c r="SR115" s="29"/>
      <c r="SS115" s="29"/>
      <c r="ST115" s="29"/>
      <c r="SU115" s="29"/>
      <c r="SV115" s="29"/>
      <c r="SW115" s="29"/>
      <c r="SX115" s="29"/>
      <c r="SY115" s="29"/>
      <c r="SZ115" s="29"/>
      <c r="TA115" s="29"/>
      <c r="TB115" s="29"/>
      <c r="TC115" s="29"/>
      <c r="TD115" s="29"/>
      <c r="TE115" s="29"/>
      <c r="TF115" s="29"/>
      <c r="TG115" s="29"/>
      <c r="TH115" s="29"/>
      <c r="TI115" s="29"/>
      <c r="TJ115" s="29"/>
      <c r="TK115" s="29"/>
      <c r="TL115" s="29"/>
      <c r="TM115" s="29"/>
      <c r="TN115" s="29"/>
      <c r="TO115" s="29"/>
      <c r="TP115" s="29"/>
      <c r="TQ115" s="29"/>
      <c r="TR115" s="29"/>
      <c r="TS115" s="29"/>
      <c r="TT115" s="29"/>
      <c r="TU115" s="29"/>
      <c r="TV115" s="29"/>
      <c r="TW115" s="29"/>
      <c r="TX115" s="29"/>
      <c r="TY115" s="29"/>
      <c r="TZ115" s="29"/>
      <c r="UA115" s="29"/>
      <c r="UB115" s="29"/>
      <c r="UC115" s="29"/>
      <c r="UD115" s="29"/>
      <c r="UE115" s="29"/>
      <c r="UF115" s="29"/>
      <c r="UG115" s="29"/>
      <c r="UH115" s="29"/>
      <c r="UI115" s="29"/>
      <c r="UJ115" s="29"/>
      <c r="UK115" s="29"/>
      <c r="UL115" s="29"/>
      <c r="UM115" s="29"/>
      <c r="UN115" s="29"/>
      <c r="UO115" s="29"/>
      <c r="UP115" s="29"/>
      <c r="UQ115" s="29"/>
      <c r="UR115" s="29"/>
      <c r="US115" s="29"/>
      <c r="UT115" s="29"/>
      <c r="UU115" s="29"/>
      <c r="UV115" s="29"/>
      <c r="UW115" s="29"/>
      <c r="UX115" s="29"/>
      <c r="UY115" s="29"/>
      <c r="UZ115" s="29"/>
      <c r="VA115" s="29"/>
      <c r="VB115" s="29"/>
      <c r="VC115" s="29"/>
      <c r="VD115" s="29"/>
      <c r="VE115" s="29"/>
      <c r="VF115" s="29"/>
      <c r="VG115" s="29"/>
      <c r="VH115" s="29"/>
      <c r="VI115" s="29"/>
      <c r="VJ115" s="29"/>
      <c r="VK115" s="29"/>
      <c r="VL115" s="29"/>
      <c r="VM115" s="29"/>
      <c r="VN115" s="29"/>
      <c r="VO115" s="29"/>
      <c r="VP115" s="29"/>
      <c r="VQ115" s="29"/>
      <c r="VR115" s="29"/>
      <c r="VS115" s="29"/>
      <c r="VT115" s="29"/>
      <c r="VU115" s="29"/>
      <c r="VV115" s="29"/>
      <c r="VW115" s="29"/>
      <c r="VX115" s="29"/>
      <c r="VY115" s="29"/>
      <c r="VZ115" s="29"/>
      <c r="WA115" s="29"/>
      <c r="WB115" s="29"/>
      <c r="WC115" s="29"/>
      <c r="WD115" s="29"/>
      <c r="WE115" s="29"/>
      <c r="WF115" s="29"/>
      <c r="WG115" s="29"/>
      <c r="WH115" s="29"/>
      <c r="WI115" s="29"/>
      <c r="WJ115" s="29"/>
      <c r="WK115" s="29"/>
      <c r="WL115" s="29"/>
      <c r="WM115" s="29"/>
      <c r="WN115" s="29"/>
      <c r="WO115" s="29"/>
      <c r="WP115" s="29"/>
      <c r="WQ115" s="29"/>
      <c r="WR115" s="29"/>
      <c r="WS115" s="29"/>
    </row>
    <row r="116" spans="1:617" s="3" customFormat="1" ht="15" outlineLevel="1" thickBot="1">
      <c r="A116" s="33"/>
      <c r="B116" s="47" t="s">
        <v>254</v>
      </c>
      <c r="C116" s="42" t="s">
        <v>86</v>
      </c>
      <c r="D116" s="116">
        <f>E113+8</f>
        <v>46093</v>
      </c>
      <c r="E116" s="204">
        <f>D116+G116-1</f>
        <v>46148</v>
      </c>
      <c r="F116" s="14"/>
      <c r="G116" s="14">
        <v>56</v>
      </c>
      <c r="H116" s="14"/>
      <c r="I116" s="14"/>
      <c r="J116" s="29"/>
      <c r="K116" s="29"/>
      <c r="L116" s="29"/>
      <c r="M116" s="29"/>
      <c r="N116" s="29"/>
      <c r="O116" s="29"/>
      <c r="P116" s="29"/>
      <c r="Q116" s="29"/>
      <c r="R116" s="29"/>
      <c r="S116" s="29"/>
      <c r="T116" s="29"/>
      <c r="U116" s="29"/>
      <c r="V116" s="29"/>
      <c r="W116" s="29"/>
      <c r="X116" s="29"/>
      <c r="Y116" s="30"/>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c r="MM116" s="29"/>
      <c r="MN116" s="29"/>
      <c r="MO116" s="29"/>
      <c r="MP116" s="29"/>
      <c r="MQ116" s="29"/>
      <c r="MR116" s="29"/>
      <c r="MS116" s="29"/>
      <c r="MT116" s="29"/>
      <c r="MU116" s="29"/>
      <c r="MV116" s="29"/>
      <c r="MW116" s="29"/>
      <c r="MX116" s="29"/>
      <c r="MY116" s="29"/>
      <c r="MZ116" s="29"/>
      <c r="NA116" s="29"/>
      <c r="NB116" s="29"/>
      <c r="NC116" s="29"/>
      <c r="ND116" s="29"/>
      <c r="NE116" s="29"/>
      <c r="NF116" s="29"/>
      <c r="NG116" s="29"/>
      <c r="NH116" s="29"/>
      <c r="NI116" s="29"/>
      <c r="NJ116" s="29"/>
      <c r="NK116" s="29"/>
      <c r="NL116" s="29"/>
      <c r="NM116" s="29"/>
      <c r="NN116" s="29"/>
      <c r="NO116" s="29"/>
      <c r="NP116" s="29"/>
      <c r="NQ116" s="29"/>
      <c r="NR116" s="29"/>
      <c r="NS116" s="29"/>
      <c r="NT116" s="29"/>
      <c r="NU116" s="29"/>
      <c r="NV116" s="29"/>
      <c r="NW116" s="29"/>
      <c r="NX116" s="29"/>
      <c r="NY116" s="29"/>
      <c r="NZ116" s="29"/>
      <c r="OA116" s="29"/>
      <c r="OB116" s="29"/>
      <c r="OC116" s="29"/>
      <c r="OD116" s="29"/>
      <c r="OE116" s="29"/>
      <c r="OF116" s="29"/>
      <c r="OG116" s="29"/>
      <c r="OH116" s="29"/>
      <c r="OI116" s="29"/>
      <c r="OJ116" s="29"/>
      <c r="OK116" s="29"/>
      <c r="OL116" s="29"/>
      <c r="OM116" s="29"/>
      <c r="ON116" s="29"/>
      <c r="OO116" s="29"/>
      <c r="OP116" s="29"/>
      <c r="OQ116" s="29"/>
      <c r="OR116" s="29"/>
      <c r="OS116" s="29"/>
      <c r="OT116" s="29"/>
      <c r="OU116" s="29"/>
      <c r="OV116" s="29"/>
      <c r="OW116" s="29"/>
      <c r="OX116" s="29"/>
      <c r="OY116" s="29"/>
      <c r="OZ116" s="29"/>
      <c r="PA116" s="29"/>
      <c r="PB116" s="29"/>
      <c r="PC116" s="29"/>
      <c r="PD116" s="29"/>
      <c r="PE116" s="29"/>
      <c r="PF116" s="29"/>
      <c r="PG116" s="29"/>
      <c r="PH116" s="29"/>
      <c r="PI116" s="29"/>
      <c r="PJ116" s="29"/>
      <c r="PK116" s="29"/>
      <c r="PL116" s="29"/>
      <c r="PM116" s="29"/>
      <c r="PN116" s="29"/>
      <c r="PO116" s="29"/>
      <c r="PP116" s="29"/>
      <c r="PQ116" s="29"/>
      <c r="PR116" s="29"/>
      <c r="PS116" s="29"/>
      <c r="PT116" s="29"/>
      <c r="PU116" s="29"/>
      <c r="PV116" s="29"/>
      <c r="PW116" s="29"/>
      <c r="PX116" s="29"/>
      <c r="PY116" s="29"/>
      <c r="PZ116" s="29"/>
      <c r="QA116" s="29"/>
      <c r="QB116" s="29"/>
      <c r="QC116" s="29"/>
      <c r="QD116" s="29"/>
      <c r="QE116" s="29"/>
      <c r="QF116" s="29"/>
      <c r="QG116" s="29"/>
      <c r="QH116" s="29"/>
      <c r="QI116" s="29"/>
      <c r="QJ116" s="29"/>
      <c r="QK116" s="29"/>
      <c r="QL116" s="29"/>
      <c r="QM116" s="29"/>
      <c r="QN116" s="29"/>
      <c r="QO116" s="29"/>
      <c r="QP116" s="29"/>
      <c r="QQ116" s="29"/>
      <c r="QR116" s="29"/>
      <c r="QS116" s="29"/>
      <c r="QT116" s="29"/>
      <c r="QU116" s="29"/>
      <c r="QV116" s="29"/>
      <c r="QW116" s="29"/>
      <c r="QX116" s="29"/>
      <c r="QY116" s="29"/>
      <c r="QZ116" s="29"/>
      <c r="RA116" s="29"/>
      <c r="RB116" s="29"/>
      <c r="RC116" s="29"/>
      <c r="RD116" s="29"/>
      <c r="RE116" s="29"/>
      <c r="RF116" s="29"/>
      <c r="RG116" s="29"/>
      <c r="RH116" s="29"/>
      <c r="RI116" s="29"/>
      <c r="RJ116" s="29"/>
      <c r="RK116" s="29"/>
      <c r="RL116" s="29"/>
      <c r="RM116" s="29"/>
      <c r="RN116" s="29"/>
      <c r="RO116" s="29"/>
      <c r="RP116" s="29"/>
      <c r="RQ116" s="29"/>
      <c r="RR116" s="29"/>
      <c r="RS116" s="29"/>
      <c r="RT116" s="29"/>
      <c r="RU116" s="29"/>
      <c r="RV116" s="29"/>
      <c r="RW116" s="29"/>
      <c r="RX116" s="29"/>
      <c r="RY116" s="29"/>
      <c r="RZ116" s="29"/>
      <c r="SA116" s="29"/>
      <c r="SB116" s="29"/>
      <c r="SC116" s="29"/>
      <c r="SD116" s="29"/>
      <c r="SE116" s="29"/>
      <c r="SF116" s="29"/>
      <c r="SG116" s="29"/>
      <c r="SH116" s="29"/>
      <c r="SI116" s="29"/>
      <c r="SJ116" s="29"/>
      <c r="SK116" s="29"/>
      <c r="SL116" s="29"/>
      <c r="SM116" s="29"/>
      <c r="SN116" s="29"/>
      <c r="SO116" s="29"/>
      <c r="SP116" s="29"/>
      <c r="SQ116" s="29"/>
      <c r="SR116" s="29"/>
      <c r="SS116" s="29"/>
      <c r="ST116" s="29"/>
      <c r="SU116" s="29"/>
      <c r="SV116" s="29"/>
      <c r="SW116" s="29"/>
      <c r="SX116" s="29"/>
      <c r="SY116" s="29"/>
      <c r="SZ116" s="29"/>
      <c r="TA116" s="29"/>
      <c r="TB116" s="29"/>
      <c r="TC116" s="29"/>
      <c r="TD116" s="29"/>
      <c r="TE116" s="29"/>
      <c r="TF116" s="29"/>
      <c r="TG116" s="29"/>
      <c r="TH116" s="29"/>
      <c r="TI116" s="29"/>
      <c r="TJ116" s="29"/>
      <c r="TK116" s="29"/>
      <c r="TL116" s="29"/>
      <c r="TM116" s="29"/>
      <c r="TN116" s="29"/>
      <c r="TO116" s="29"/>
      <c r="TP116" s="29"/>
      <c r="TQ116" s="29"/>
      <c r="TR116" s="29"/>
      <c r="TS116" s="29"/>
      <c r="TT116" s="29"/>
      <c r="TU116" s="29"/>
      <c r="TV116" s="29"/>
      <c r="TW116" s="29"/>
      <c r="TX116" s="29"/>
      <c r="TY116" s="29"/>
      <c r="TZ116" s="29"/>
      <c r="UA116" s="29"/>
      <c r="UB116" s="29"/>
      <c r="UC116" s="29"/>
      <c r="UD116" s="29"/>
      <c r="UE116" s="29"/>
      <c r="UF116" s="29"/>
      <c r="UG116" s="29"/>
      <c r="UH116" s="29"/>
      <c r="UI116" s="29"/>
      <c r="UJ116" s="29"/>
      <c r="UK116" s="29"/>
      <c r="UL116" s="29"/>
      <c r="UM116" s="29"/>
      <c r="UN116" s="29"/>
      <c r="UO116" s="29"/>
      <c r="UP116" s="29"/>
      <c r="UQ116" s="29"/>
      <c r="UR116" s="29"/>
      <c r="US116" s="29"/>
      <c r="UT116" s="29"/>
      <c r="UU116" s="29"/>
      <c r="UV116" s="29"/>
      <c r="UW116" s="29"/>
      <c r="UX116" s="29"/>
      <c r="UY116" s="29"/>
      <c r="UZ116" s="29"/>
      <c r="VA116" s="29"/>
      <c r="VB116" s="29"/>
      <c r="VC116" s="29"/>
      <c r="VD116" s="29"/>
      <c r="VE116" s="29"/>
      <c r="VF116" s="29"/>
      <c r="VG116" s="29"/>
      <c r="VH116" s="29"/>
      <c r="VI116" s="29"/>
      <c r="VJ116" s="29"/>
      <c r="VK116" s="29"/>
      <c r="VL116" s="29"/>
      <c r="VM116" s="29"/>
      <c r="VN116" s="29"/>
      <c r="VO116" s="29"/>
      <c r="VP116" s="29"/>
      <c r="VQ116" s="29"/>
      <c r="VR116" s="29"/>
      <c r="VS116" s="29"/>
      <c r="VT116" s="29"/>
      <c r="VU116" s="29"/>
      <c r="VV116" s="29"/>
      <c r="VW116" s="29"/>
      <c r="VX116" s="29"/>
      <c r="VY116" s="29"/>
      <c r="VZ116" s="29"/>
      <c r="WA116" s="29"/>
      <c r="WB116" s="29"/>
      <c r="WC116" s="29"/>
      <c r="WD116" s="29"/>
      <c r="WE116" s="29"/>
      <c r="WF116" s="29"/>
      <c r="WG116" s="29"/>
      <c r="WH116" s="29"/>
      <c r="WI116" s="29"/>
      <c r="WJ116" s="29"/>
      <c r="WK116" s="29"/>
      <c r="WL116" s="29"/>
      <c r="WM116" s="29"/>
      <c r="WN116" s="29"/>
      <c r="WO116" s="29"/>
      <c r="WP116" s="29"/>
      <c r="WQ116" s="29"/>
      <c r="WR116" s="29"/>
      <c r="WS116" s="29"/>
    </row>
    <row r="117" spans="1:617" s="3" customFormat="1" ht="15" outlineLevel="1" thickBot="1">
      <c r="A117" s="33"/>
      <c r="B117" s="47" t="s">
        <v>253</v>
      </c>
      <c r="C117" s="42" t="s">
        <v>230</v>
      </c>
      <c r="D117" s="116">
        <v>46114</v>
      </c>
      <c r="E117" s="204">
        <f t="shared" si="598"/>
        <v>46169</v>
      </c>
      <c r="F117" s="14"/>
      <c r="G117" s="14">
        <v>56</v>
      </c>
      <c r="H117" s="14">
        <v>54</v>
      </c>
      <c r="I117" s="14"/>
      <c r="J117" s="29"/>
      <c r="K117" s="29"/>
      <c r="L117" s="29"/>
      <c r="M117" s="29"/>
      <c r="N117" s="29"/>
      <c r="O117" s="29"/>
      <c r="P117" s="29"/>
      <c r="Q117" s="29"/>
      <c r="R117" s="29"/>
      <c r="S117" s="29"/>
      <c r="T117" s="29"/>
      <c r="U117" s="29"/>
      <c r="V117" s="29"/>
      <c r="W117" s="29"/>
      <c r="X117" s="29"/>
      <c r="Y117" s="30"/>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c r="MM117" s="29"/>
      <c r="MN117" s="29"/>
      <c r="MO117" s="29"/>
      <c r="MP117" s="29"/>
      <c r="MQ117" s="29"/>
      <c r="MR117" s="29"/>
      <c r="MS117" s="29"/>
      <c r="MT117" s="29"/>
      <c r="MU117" s="29"/>
      <c r="MV117" s="29"/>
      <c r="MW117" s="29"/>
      <c r="MX117" s="29"/>
      <c r="MY117" s="29"/>
      <c r="MZ117" s="29"/>
      <c r="NA117" s="29"/>
      <c r="NB117" s="29"/>
      <c r="NC117" s="29"/>
      <c r="ND117" s="29"/>
      <c r="NE117" s="29"/>
      <c r="NF117" s="29"/>
      <c r="NG117" s="29"/>
      <c r="NH117" s="29"/>
      <c r="NI117" s="29"/>
      <c r="NJ117" s="29"/>
      <c r="NK117" s="29"/>
      <c r="NL117" s="29"/>
      <c r="NM117" s="29"/>
      <c r="NN117" s="29"/>
      <c r="NO117" s="29"/>
      <c r="NP117" s="29"/>
      <c r="NQ117" s="29"/>
      <c r="NR117" s="29"/>
      <c r="NS117" s="29"/>
      <c r="NT117" s="29"/>
      <c r="NU117" s="29"/>
      <c r="NV117" s="29"/>
      <c r="NW117" s="29"/>
      <c r="NX117" s="29"/>
      <c r="NY117" s="29"/>
      <c r="NZ117" s="29"/>
      <c r="OA117" s="29"/>
      <c r="OB117" s="29"/>
      <c r="OC117" s="29"/>
      <c r="OD117" s="29"/>
      <c r="OE117" s="29"/>
      <c r="OF117" s="29"/>
      <c r="OG117" s="29"/>
      <c r="OH117" s="29"/>
      <c r="OI117" s="29"/>
      <c r="OJ117" s="29"/>
      <c r="OK117" s="29"/>
      <c r="OL117" s="29"/>
      <c r="OM117" s="29"/>
      <c r="ON117" s="29"/>
      <c r="OO117" s="29"/>
      <c r="OP117" s="29"/>
      <c r="OQ117" s="29"/>
      <c r="OR117" s="29"/>
      <c r="OS117" s="29"/>
      <c r="OT117" s="29"/>
      <c r="OU117" s="29"/>
      <c r="OV117" s="29"/>
      <c r="OW117" s="29"/>
      <c r="OX117" s="29"/>
      <c r="OY117" s="29"/>
      <c r="OZ117" s="29"/>
      <c r="PA117" s="29"/>
      <c r="PB117" s="29"/>
      <c r="PC117" s="29"/>
      <c r="PD117" s="29"/>
      <c r="PE117" s="29"/>
      <c r="PF117" s="29"/>
      <c r="PG117" s="29"/>
      <c r="PH117" s="29"/>
      <c r="PI117" s="29"/>
      <c r="PJ117" s="29"/>
      <c r="PK117" s="29"/>
      <c r="PL117" s="29"/>
      <c r="PM117" s="29"/>
      <c r="PN117" s="29"/>
      <c r="PO117" s="29"/>
      <c r="PP117" s="29"/>
      <c r="PQ117" s="29"/>
      <c r="PR117" s="29"/>
      <c r="PS117" s="29"/>
      <c r="PT117" s="29"/>
      <c r="PU117" s="29"/>
      <c r="PV117" s="29"/>
      <c r="PW117" s="29"/>
      <c r="PX117" s="29"/>
      <c r="PY117" s="29"/>
      <c r="PZ117" s="29"/>
      <c r="QA117" s="29"/>
      <c r="QB117" s="29"/>
      <c r="QC117" s="29"/>
      <c r="QD117" s="29"/>
      <c r="QE117" s="29"/>
      <c r="QF117" s="29"/>
      <c r="QG117" s="29"/>
      <c r="QH117" s="29"/>
      <c r="QI117" s="29"/>
      <c r="QJ117" s="29"/>
      <c r="QK117" s="29"/>
      <c r="QL117" s="29"/>
      <c r="QM117" s="29"/>
      <c r="QN117" s="29"/>
      <c r="QO117" s="29"/>
      <c r="QP117" s="29"/>
      <c r="QQ117" s="29"/>
      <c r="QR117" s="29"/>
      <c r="QS117" s="29"/>
      <c r="QT117" s="29"/>
      <c r="QU117" s="29"/>
      <c r="QV117" s="29"/>
      <c r="QW117" s="29"/>
      <c r="QX117" s="29"/>
      <c r="QY117" s="29"/>
      <c r="QZ117" s="29"/>
      <c r="RA117" s="29"/>
      <c r="RB117" s="29"/>
      <c r="RC117" s="29"/>
      <c r="RD117" s="29"/>
      <c r="RE117" s="29"/>
      <c r="RF117" s="29"/>
      <c r="RG117" s="29"/>
      <c r="RH117" s="29"/>
      <c r="RI117" s="29"/>
      <c r="RJ117" s="29"/>
      <c r="RK117" s="29"/>
      <c r="RL117" s="29"/>
      <c r="RM117" s="29"/>
      <c r="RN117" s="29"/>
      <c r="RO117" s="29"/>
      <c r="RP117" s="29"/>
      <c r="RQ117" s="29"/>
      <c r="RR117" s="29"/>
      <c r="RS117" s="29"/>
      <c r="RT117" s="29"/>
      <c r="RU117" s="29"/>
      <c r="RV117" s="29"/>
      <c r="RW117" s="29"/>
      <c r="RX117" s="29"/>
      <c r="RY117" s="29"/>
      <c r="RZ117" s="29"/>
      <c r="SA117" s="29"/>
      <c r="SB117" s="29"/>
      <c r="SC117" s="29"/>
      <c r="SD117" s="29"/>
      <c r="SE117" s="29"/>
      <c r="SF117" s="29"/>
      <c r="SG117" s="29"/>
      <c r="SH117" s="29"/>
      <c r="SI117" s="29"/>
      <c r="SJ117" s="29"/>
      <c r="SK117" s="29"/>
      <c r="SL117" s="29"/>
      <c r="SM117" s="29"/>
      <c r="SN117" s="29"/>
      <c r="SO117" s="29"/>
      <c r="SP117" s="29"/>
      <c r="SQ117" s="29"/>
      <c r="SR117" s="29"/>
      <c r="SS117" s="29"/>
      <c r="ST117" s="29"/>
      <c r="SU117" s="29"/>
      <c r="SV117" s="29"/>
      <c r="SW117" s="29"/>
      <c r="SX117" s="29"/>
      <c r="SY117" s="29"/>
      <c r="SZ117" s="29"/>
      <c r="TA117" s="29"/>
      <c r="TB117" s="29"/>
      <c r="TC117" s="29"/>
      <c r="TD117" s="29"/>
      <c r="TE117" s="29"/>
      <c r="TF117" s="29"/>
      <c r="TG117" s="29"/>
      <c r="TH117" s="29"/>
      <c r="TI117" s="29"/>
      <c r="TJ117" s="29"/>
      <c r="TK117" s="29"/>
      <c r="TL117" s="29"/>
      <c r="TM117" s="29"/>
      <c r="TN117" s="29"/>
      <c r="TO117" s="29"/>
      <c r="TP117" s="29"/>
      <c r="TQ117" s="29"/>
      <c r="TR117" s="29"/>
      <c r="TS117" s="29"/>
      <c r="TT117" s="29"/>
      <c r="TU117" s="29"/>
      <c r="TV117" s="29"/>
      <c r="TW117" s="29"/>
      <c r="TX117" s="29"/>
      <c r="TY117" s="29"/>
      <c r="TZ117" s="29"/>
      <c r="UA117" s="29"/>
      <c r="UB117" s="29"/>
      <c r="UC117" s="29"/>
      <c r="UD117" s="29"/>
      <c r="UE117" s="29"/>
      <c r="UF117" s="29"/>
      <c r="UG117" s="29"/>
      <c r="UH117" s="29"/>
      <c r="UI117" s="29"/>
      <c r="UJ117" s="29"/>
      <c r="UK117" s="29"/>
      <c r="UL117" s="29"/>
      <c r="UM117" s="29"/>
      <c r="UN117" s="29"/>
      <c r="UO117" s="29"/>
      <c r="UP117" s="29"/>
      <c r="UQ117" s="29"/>
      <c r="UR117" s="29"/>
      <c r="US117" s="29"/>
      <c r="UT117" s="29"/>
      <c r="UU117" s="29"/>
      <c r="UV117" s="29"/>
      <c r="UW117" s="29"/>
      <c r="UX117" s="29"/>
      <c r="UY117" s="29"/>
      <c r="UZ117" s="29"/>
      <c r="VA117" s="29"/>
      <c r="VB117" s="29"/>
      <c r="VC117" s="29"/>
      <c r="VD117" s="29"/>
      <c r="VE117" s="29"/>
      <c r="VF117" s="29"/>
      <c r="VG117" s="29"/>
      <c r="VH117" s="29"/>
      <c r="VI117" s="29"/>
      <c r="VJ117" s="29"/>
      <c r="VK117" s="29"/>
      <c r="VL117" s="29"/>
      <c r="VM117" s="29"/>
      <c r="VN117" s="29"/>
      <c r="VO117" s="29"/>
      <c r="VP117" s="29"/>
      <c r="VQ117" s="29"/>
      <c r="VR117" s="29"/>
      <c r="VS117" s="29"/>
      <c r="VT117" s="29"/>
      <c r="VU117" s="29"/>
      <c r="VV117" s="29"/>
      <c r="VW117" s="29"/>
      <c r="VX117" s="29"/>
      <c r="VY117" s="29"/>
      <c r="VZ117" s="29"/>
      <c r="WA117" s="29"/>
      <c r="WB117" s="29"/>
      <c r="WC117" s="29"/>
      <c r="WD117" s="29"/>
      <c r="WE117" s="29"/>
      <c r="WF117" s="29"/>
      <c r="WG117" s="29"/>
      <c r="WH117" s="29"/>
      <c r="WI117" s="29"/>
      <c r="WJ117" s="29"/>
      <c r="WK117" s="29"/>
      <c r="WL117" s="29"/>
      <c r="WM117" s="29"/>
      <c r="WN117" s="29"/>
      <c r="WO117" s="29"/>
      <c r="WP117" s="29"/>
      <c r="WQ117" s="29"/>
      <c r="WR117" s="29"/>
      <c r="WS117" s="29"/>
    </row>
    <row r="118" spans="1:617" s="3" customFormat="1" ht="15" outlineLevel="1" thickBot="1">
      <c r="A118" s="33"/>
      <c r="B118" s="146" t="s">
        <v>255</v>
      </c>
      <c r="C118" s="147" t="s">
        <v>113</v>
      </c>
      <c r="D118" s="148">
        <v>46065</v>
      </c>
      <c r="E118" s="148">
        <f t="shared" si="598"/>
        <v>46120</v>
      </c>
      <c r="F118" s="14"/>
      <c r="G118" s="14">
        <v>56</v>
      </c>
      <c r="H118" s="14"/>
      <c r="I118" s="14"/>
      <c r="J118" s="29"/>
      <c r="K118" s="29"/>
      <c r="L118" s="29"/>
      <c r="M118" s="29"/>
      <c r="N118" s="29"/>
      <c r="O118" s="29"/>
      <c r="P118" s="29"/>
      <c r="Q118" s="29"/>
      <c r="R118" s="29"/>
      <c r="S118" s="29"/>
      <c r="T118" s="29"/>
      <c r="U118" s="29"/>
      <c r="V118" s="29"/>
      <c r="W118" s="29"/>
      <c r="X118" s="29"/>
      <c r="Y118" s="30"/>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c r="MM118" s="29"/>
      <c r="MN118" s="29"/>
      <c r="MO118" s="29"/>
      <c r="MP118" s="29"/>
      <c r="MQ118" s="29"/>
      <c r="MR118" s="29"/>
      <c r="MS118" s="29"/>
      <c r="MT118" s="29"/>
      <c r="MU118" s="29"/>
      <c r="MV118" s="29"/>
      <c r="MW118" s="29"/>
      <c r="MX118" s="29"/>
      <c r="MY118" s="29"/>
      <c r="MZ118" s="29"/>
      <c r="NA118" s="29"/>
      <c r="NB118" s="29"/>
      <c r="NC118" s="29"/>
      <c r="ND118" s="29"/>
      <c r="NE118" s="29"/>
      <c r="NF118" s="29"/>
      <c r="NG118" s="29"/>
      <c r="NH118" s="29"/>
      <c r="NI118" s="29"/>
      <c r="NJ118" s="29"/>
      <c r="NK118" s="29"/>
      <c r="NL118" s="29"/>
      <c r="NM118" s="29"/>
      <c r="NN118" s="29"/>
      <c r="NO118" s="29"/>
      <c r="NP118" s="29"/>
      <c r="NQ118" s="29"/>
      <c r="NR118" s="29"/>
      <c r="NS118" s="29"/>
      <c r="NT118" s="29"/>
      <c r="NU118" s="29"/>
      <c r="NV118" s="29"/>
      <c r="NW118" s="29"/>
      <c r="NX118" s="29"/>
      <c r="NY118" s="29"/>
      <c r="NZ118" s="29"/>
      <c r="OA118" s="29"/>
      <c r="OB118" s="29"/>
      <c r="OC118" s="29"/>
      <c r="OD118" s="29"/>
      <c r="OE118" s="29"/>
      <c r="OF118" s="29"/>
      <c r="OG118" s="29"/>
      <c r="OH118" s="29"/>
      <c r="OI118" s="29"/>
      <c r="OJ118" s="29"/>
      <c r="OK118" s="29"/>
      <c r="OL118" s="29"/>
      <c r="OM118" s="29"/>
      <c r="ON118" s="29"/>
      <c r="OO118" s="29"/>
      <c r="OP118" s="29"/>
      <c r="OQ118" s="29"/>
      <c r="OR118" s="29"/>
      <c r="OS118" s="29"/>
      <c r="OT118" s="29"/>
      <c r="OU118" s="29"/>
      <c r="OV118" s="29"/>
      <c r="OW118" s="29"/>
      <c r="OX118" s="29"/>
      <c r="OY118" s="29"/>
      <c r="OZ118" s="29"/>
      <c r="PA118" s="29"/>
      <c r="PB118" s="29"/>
      <c r="PC118" s="29"/>
      <c r="PD118" s="29"/>
      <c r="PE118" s="29"/>
      <c r="PF118" s="29"/>
      <c r="PG118" s="29"/>
      <c r="PH118" s="29"/>
      <c r="PI118" s="29"/>
      <c r="PJ118" s="29"/>
      <c r="PK118" s="29"/>
      <c r="PL118" s="29"/>
      <c r="PM118" s="29"/>
      <c r="PN118" s="29"/>
      <c r="PO118" s="29"/>
      <c r="PP118" s="29"/>
      <c r="PQ118" s="29"/>
      <c r="PR118" s="29"/>
      <c r="PS118" s="29"/>
      <c r="PT118" s="29"/>
      <c r="PU118" s="29"/>
      <c r="PV118" s="29"/>
      <c r="PW118" s="29"/>
      <c r="PX118" s="29"/>
      <c r="PY118" s="29"/>
      <c r="PZ118" s="29"/>
      <c r="QA118" s="29"/>
      <c r="QB118" s="29"/>
      <c r="QC118" s="29"/>
      <c r="QD118" s="29"/>
      <c r="QE118" s="29"/>
      <c r="QF118" s="29"/>
      <c r="QG118" s="29"/>
      <c r="QH118" s="29"/>
      <c r="QI118" s="29"/>
      <c r="QJ118" s="29"/>
      <c r="QK118" s="29"/>
      <c r="QL118" s="29"/>
      <c r="QM118" s="29"/>
      <c r="QN118" s="29"/>
      <c r="QO118" s="29"/>
      <c r="QP118" s="29"/>
      <c r="QQ118" s="29"/>
      <c r="QR118" s="29"/>
      <c r="QS118" s="29"/>
      <c r="QT118" s="29"/>
      <c r="QU118" s="29"/>
      <c r="QV118" s="29"/>
      <c r="QW118" s="29"/>
      <c r="QX118" s="29"/>
      <c r="QY118" s="29"/>
      <c r="QZ118" s="29"/>
      <c r="RA118" s="29"/>
      <c r="RB118" s="29"/>
      <c r="RC118" s="29"/>
      <c r="RD118" s="29"/>
      <c r="RE118" s="29"/>
      <c r="RF118" s="29"/>
      <c r="RG118" s="29"/>
      <c r="RH118" s="29"/>
      <c r="RI118" s="29"/>
      <c r="RJ118" s="29"/>
      <c r="RK118" s="29"/>
      <c r="RL118" s="29"/>
      <c r="RM118" s="29"/>
      <c r="RN118" s="29"/>
      <c r="RO118" s="29"/>
      <c r="RP118" s="29"/>
      <c r="RQ118" s="29"/>
      <c r="RR118" s="29"/>
      <c r="RS118" s="29"/>
      <c r="RT118" s="29"/>
      <c r="RU118" s="29"/>
      <c r="RV118" s="29"/>
      <c r="RW118" s="29"/>
      <c r="RX118" s="29"/>
      <c r="RY118" s="29"/>
      <c r="RZ118" s="29"/>
      <c r="SA118" s="29"/>
      <c r="SB118" s="29"/>
      <c r="SC118" s="29"/>
      <c r="SD118" s="29"/>
      <c r="SE118" s="29"/>
      <c r="SF118" s="29"/>
      <c r="SG118" s="29"/>
      <c r="SH118" s="29"/>
      <c r="SI118" s="29"/>
      <c r="SJ118" s="29"/>
      <c r="SK118" s="29"/>
      <c r="SL118" s="29"/>
      <c r="SM118" s="29"/>
      <c r="SN118" s="29"/>
      <c r="SO118" s="29"/>
      <c r="SP118" s="29"/>
      <c r="SQ118" s="29"/>
      <c r="SR118" s="29"/>
      <c r="SS118" s="29"/>
      <c r="ST118" s="29"/>
      <c r="SU118" s="29"/>
      <c r="SV118" s="29"/>
      <c r="SW118" s="29"/>
      <c r="SX118" s="29"/>
      <c r="SY118" s="29"/>
      <c r="SZ118" s="29"/>
      <c r="TA118" s="29"/>
      <c r="TB118" s="29"/>
      <c r="TC118" s="29"/>
      <c r="TD118" s="29"/>
      <c r="TE118" s="29"/>
      <c r="TF118" s="29"/>
      <c r="TG118" s="29"/>
      <c r="TH118" s="29"/>
      <c r="TI118" s="29"/>
      <c r="TJ118" s="29"/>
      <c r="TK118" s="29"/>
      <c r="TL118" s="29"/>
      <c r="TM118" s="29"/>
      <c r="TN118" s="29"/>
      <c r="TO118" s="29"/>
      <c r="TP118" s="29"/>
      <c r="TQ118" s="29"/>
      <c r="TR118" s="29"/>
      <c r="TS118" s="29"/>
      <c r="TT118" s="29"/>
      <c r="TU118" s="29"/>
      <c r="TV118" s="29"/>
      <c r="TW118" s="29"/>
      <c r="TX118" s="29"/>
      <c r="TY118" s="29"/>
      <c r="TZ118" s="29"/>
      <c r="UA118" s="29"/>
      <c r="UB118" s="29"/>
      <c r="UC118" s="29"/>
      <c r="UD118" s="29"/>
      <c r="UE118" s="29"/>
      <c r="UF118" s="29"/>
      <c r="UG118" s="29"/>
      <c r="UH118" s="29"/>
      <c r="UI118" s="29"/>
      <c r="UJ118" s="29"/>
      <c r="UK118" s="29"/>
      <c r="UL118" s="29"/>
      <c r="UM118" s="29"/>
      <c r="UN118" s="29"/>
      <c r="UO118" s="29"/>
      <c r="UP118" s="29"/>
      <c r="UQ118" s="29"/>
      <c r="UR118" s="29"/>
      <c r="US118" s="29"/>
      <c r="UT118" s="29"/>
      <c r="UU118" s="29"/>
      <c r="UV118" s="29"/>
      <c r="UW118" s="29"/>
      <c r="UX118" s="29"/>
      <c r="UY118" s="29"/>
      <c r="UZ118" s="29"/>
      <c r="VA118" s="29"/>
      <c r="VB118" s="29"/>
      <c r="VC118" s="29"/>
      <c r="VD118" s="29"/>
      <c r="VE118" s="29"/>
      <c r="VF118" s="29"/>
      <c r="VG118" s="29"/>
      <c r="VH118" s="29"/>
      <c r="VI118" s="29"/>
      <c r="VJ118" s="29"/>
      <c r="VK118" s="29"/>
      <c r="VL118" s="29"/>
      <c r="VM118" s="29"/>
      <c r="VN118" s="29"/>
      <c r="VO118" s="29"/>
      <c r="VP118" s="29"/>
      <c r="VQ118" s="29"/>
      <c r="VR118" s="29"/>
      <c r="VS118" s="29"/>
      <c r="VT118" s="29"/>
      <c r="VU118" s="29"/>
      <c r="VV118" s="29"/>
      <c r="VW118" s="29"/>
      <c r="VX118" s="29"/>
      <c r="VY118" s="29"/>
      <c r="VZ118" s="29"/>
      <c r="WA118" s="29"/>
      <c r="WB118" s="29"/>
      <c r="WC118" s="29"/>
      <c r="WD118" s="29"/>
      <c r="WE118" s="29"/>
      <c r="WF118" s="29"/>
      <c r="WG118" s="29"/>
      <c r="WH118" s="29"/>
      <c r="WI118" s="29"/>
      <c r="WJ118" s="29"/>
      <c r="WK118" s="29"/>
      <c r="WL118" s="29"/>
      <c r="WM118" s="29"/>
      <c r="WN118" s="29"/>
      <c r="WO118" s="29"/>
      <c r="WP118" s="29"/>
      <c r="WQ118" s="29"/>
      <c r="WR118" s="29"/>
      <c r="WS118" s="29"/>
    </row>
    <row r="119" spans="1:617" s="3" customFormat="1" ht="15" outlineLevel="1" thickBot="1">
      <c r="A119" s="33"/>
      <c r="B119" s="146" t="s">
        <v>255</v>
      </c>
      <c r="C119" s="147" t="s">
        <v>116</v>
      </c>
      <c r="D119" s="228">
        <v>46121</v>
      </c>
      <c r="E119" s="206">
        <f>D119+G119-1</f>
        <v>46174</v>
      </c>
      <c r="F119" s="14"/>
      <c r="G119" s="14">
        <v>54</v>
      </c>
      <c r="H119" s="14"/>
      <c r="I119" s="14"/>
      <c r="J119" s="29"/>
      <c r="K119" s="29"/>
      <c r="L119" s="29"/>
      <c r="M119" s="29"/>
      <c r="N119" s="29"/>
      <c r="O119" s="29"/>
      <c r="P119" s="29"/>
      <c r="Q119" s="29"/>
      <c r="R119" s="29"/>
      <c r="S119" s="29"/>
      <c r="T119" s="29"/>
      <c r="U119" s="29"/>
      <c r="V119" s="29"/>
      <c r="W119" s="29"/>
      <c r="X119" s="29"/>
      <c r="Y119" s="176"/>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c r="MM119" s="29"/>
      <c r="MN119" s="29"/>
      <c r="MO119" s="29"/>
      <c r="MP119" s="29"/>
      <c r="MQ119" s="29"/>
      <c r="MR119" s="29"/>
      <c r="MS119" s="29"/>
      <c r="MT119" s="29"/>
      <c r="MU119" s="29"/>
      <c r="MV119" s="29"/>
      <c r="MW119" s="29"/>
      <c r="MX119" s="29"/>
      <c r="MY119" s="29"/>
      <c r="MZ119" s="29"/>
      <c r="NA119" s="29"/>
      <c r="NB119" s="29"/>
      <c r="NC119" s="29"/>
      <c r="ND119" s="29"/>
      <c r="NE119" s="29"/>
      <c r="NF119" s="29"/>
      <c r="NG119" s="29"/>
      <c r="NH119" s="29"/>
      <c r="NI119" s="29"/>
      <c r="NJ119" s="29"/>
      <c r="NK119" s="29"/>
      <c r="NL119" s="29"/>
      <c r="NM119" s="29"/>
      <c r="NN119" s="29"/>
      <c r="NO119" s="29"/>
      <c r="NP119" s="29"/>
      <c r="NQ119" s="29"/>
      <c r="NR119" s="29"/>
      <c r="NS119" s="29"/>
      <c r="NT119" s="29"/>
      <c r="NU119" s="29"/>
      <c r="NV119" s="29"/>
      <c r="NW119" s="29"/>
      <c r="NX119" s="29"/>
      <c r="NY119" s="29"/>
      <c r="NZ119" s="29"/>
      <c r="OA119" s="29"/>
      <c r="OB119" s="29"/>
      <c r="OC119" s="29"/>
      <c r="OD119" s="29"/>
      <c r="OE119" s="29"/>
      <c r="OF119" s="29"/>
      <c r="OG119" s="29"/>
      <c r="OH119" s="29"/>
      <c r="OI119" s="29"/>
      <c r="OJ119" s="29"/>
      <c r="OK119" s="29"/>
      <c r="OL119" s="29"/>
      <c r="OM119" s="29"/>
      <c r="ON119" s="29"/>
      <c r="OO119" s="29"/>
      <c r="OP119" s="29"/>
      <c r="OQ119" s="29"/>
      <c r="OR119" s="29"/>
      <c r="OS119" s="29"/>
      <c r="OT119" s="29"/>
      <c r="OU119" s="29"/>
      <c r="OV119" s="29"/>
      <c r="OW119" s="29"/>
      <c r="OX119" s="29"/>
      <c r="OY119" s="29"/>
      <c r="OZ119" s="29"/>
      <c r="PA119" s="29"/>
      <c r="PB119" s="29"/>
      <c r="PC119" s="29"/>
      <c r="PD119" s="29"/>
      <c r="PE119" s="29"/>
      <c r="PF119" s="29"/>
      <c r="PG119" s="29"/>
      <c r="PH119" s="29"/>
      <c r="PI119" s="29"/>
      <c r="PJ119" s="29"/>
      <c r="PK119" s="29"/>
      <c r="PL119" s="29"/>
      <c r="PM119" s="29"/>
      <c r="PN119" s="29"/>
      <c r="PO119" s="29"/>
      <c r="PP119" s="29"/>
      <c r="PQ119" s="29"/>
      <c r="PR119" s="29"/>
      <c r="PS119" s="29"/>
      <c r="PT119" s="29"/>
      <c r="PU119" s="29"/>
      <c r="PV119" s="29"/>
      <c r="PW119" s="29"/>
      <c r="PX119" s="29"/>
      <c r="PY119" s="29"/>
      <c r="PZ119" s="29"/>
      <c r="QA119" s="29"/>
      <c r="QB119" s="29"/>
      <c r="QC119" s="29"/>
      <c r="QD119" s="29"/>
      <c r="QE119" s="29"/>
      <c r="QF119" s="29"/>
      <c r="QG119" s="29"/>
      <c r="QH119" s="29"/>
      <c r="QI119" s="29"/>
      <c r="QJ119" s="29"/>
      <c r="QK119" s="29"/>
      <c r="QL119" s="29"/>
      <c r="QM119" s="29"/>
      <c r="QN119" s="29"/>
      <c r="QO119" s="29"/>
      <c r="QP119" s="29"/>
      <c r="QQ119" s="29"/>
      <c r="QR119" s="29"/>
      <c r="QS119" s="29"/>
      <c r="QT119" s="29"/>
      <c r="QU119" s="29"/>
      <c r="QV119" s="29"/>
      <c r="QW119" s="29"/>
      <c r="QX119" s="29"/>
      <c r="QY119" s="29"/>
      <c r="QZ119" s="29"/>
      <c r="RA119" s="29"/>
      <c r="RB119" s="29"/>
      <c r="RC119" s="29"/>
      <c r="RD119" s="29"/>
      <c r="RE119" s="29"/>
      <c r="RF119" s="29"/>
      <c r="RG119" s="29"/>
      <c r="RH119" s="29"/>
      <c r="RI119" s="29"/>
      <c r="RJ119" s="29"/>
      <c r="RK119" s="29"/>
      <c r="RL119" s="29"/>
      <c r="RM119" s="29"/>
      <c r="RN119" s="29"/>
      <c r="RO119" s="29"/>
      <c r="RP119" s="29"/>
      <c r="RQ119" s="29"/>
      <c r="RR119" s="29"/>
      <c r="RS119" s="29"/>
      <c r="RT119" s="29"/>
      <c r="RU119" s="29"/>
      <c r="RV119" s="29"/>
      <c r="RW119" s="29"/>
      <c r="RX119" s="29"/>
      <c r="RY119" s="29"/>
      <c r="RZ119" s="29"/>
      <c r="SA119" s="29"/>
      <c r="SB119" s="29"/>
      <c r="SC119" s="29"/>
      <c r="SD119" s="29"/>
      <c r="SE119" s="29"/>
      <c r="SF119" s="29"/>
      <c r="SG119" s="29"/>
      <c r="SH119" s="29"/>
      <c r="SI119" s="29"/>
      <c r="SJ119" s="29"/>
      <c r="SK119" s="29"/>
      <c r="SL119" s="29"/>
      <c r="SM119" s="29"/>
      <c r="SN119" s="29"/>
      <c r="SO119" s="29"/>
      <c r="SP119" s="29"/>
      <c r="SQ119" s="29"/>
      <c r="SR119" s="29"/>
      <c r="SS119" s="29"/>
      <c r="ST119" s="29"/>
      <c r="SU119" s="29"/>
      <c r="SV119" s="29"/>
      <c r="SW119" s="29"/>
      <c r="SX119" s="29"/>
      <c r="SY119" s="29"/>
      <c r="SZ119" s="29"/>
      <c r="TA119" s="29"/>
      <c r="TB119" s="29"/>
      <c r="TC119" s="29"/>
      <c r="TD119" s="29"/>
      <c r="TE119" s="29"/>
      <c r="TF119" s="29"/>
      <c r="TG119" s="29"/>
      <c r="TH119" s="29"/>
      <c r="TI119" s="29"/>
      <c r="TJ119" s="29"/>
      <c r="TK119" s="29"/>
      <c r="TL119" s="29"/>
      <c r="TM119" s="29"/>
      <c r="TN119" s="29"/>
      <c r="TO119" s="29"/>
      <c r="TP119" s="29"/>
      <c r="TQ119" s="29"/>
      <c r="TR119" s="29"/>
      <c r="TS119" s="29"/>
      <c r="TT119" s="29"/>
      <c r="TU119" s="29"/>
      <c r="TV119" s="29"/>
      <c r="TW119" s="29"/>
      <c r="TX119" s="29"/>
      <c r="TY119" s="29"/>
      <c r="TZ119" s="29"/>
      <c r="UA119" s="29"/>
      <c r="UB119" s="29"/>
      <c r="UC119" s="29"/>
      <c r="UD119" s="29"/>
      <c r="UE119" s="29"/>
      <c r="UF119" s="29"/>
      <c r="UG119" s="29"/>
      <c r="UH119" s="29"/>
      <c r="UI119" s="29"/>
      <c r="UJ119" s="29"/>
      <c r="UK119" s="29"/>
      <c r="UL119" s="29"/>
      <c r="UM119" s="29"/>
      <c r="UN119" s="29"/>
      <c r="UO119" s="29"/>
      <c r="UP119" s="29"/>
      <c r="UQ119" s="29"/>
      <c r="UR119" s="29"/>
      <c r="US119" s="29"/>
      <c r="UT119" s="29"/>
      <c r="UU119" s="29"/>
      <c r="UV119" s="29"/>
      <c r="UW119" s="29"/>
      <c r="UX119" s="29"/>
      <c r="UY119" s="29"/>
      <c r="UZ119" s="29"/>
      <c r="VA119" s="29"/>
      <c r="VB119" s="29"/>
      <c r="VC119" s="29"/>
      <c r="VD119" s="29"/>
      <c r="VE119" s="29"/>
      <c r="VF119" s="29"/>
      <c r="VG119" s="29"/>
      <c r="VH119" s="29"/>
      <c r="VI119" s="29"/>
      <c r="VJ119" s="29"/>
      <c r="VK119" s="29"/>
      <c r="VL119" s="29"/>
      <c r="VM119" s="29"/>
      <c r="VN119" s="29"/>
      <c r="VO119" s="29"/>
      <c r="VP119" s="29"/>
      <c r="VQ119" s="29"/>
      <c r="VR119" s="29"/>
      <c r="VS119" s="29"/>
      <c r="VT119" s="29"/>
      <c r="VU119" s="29"/>
      <c r="VV119" s="29"/>
      <c r="VW119" s="29"/>
      <c r="VX119" s="29"/>
      <c r="VY119" s="29"/>
      <c r="VZ119" s="29"/>
      <c r="WA119" s="29"/>
      <c r="WB119" s="29"/>
      <c r="WC119" s="29"/>
      <c r="WD119" s="29"/>
      <c r="WE119" s="29"/>
      <c r="WF119" s="29"/>
      <c r="WG119" s="29"/>
      <c r="WH119" s="29"/>
      <c r="WI119" s="29"/>
      <c r="WJ119" s="29"/>
      <c r="WK119" s="29"/>
      <c r="WL119" s="29"/>
      <c r="WM119" s="29"/>
      <c r="WN119" s="29"/>
      <c r="WO119" s="29"/>
      <c r="WP119" s="29"/>
      <c r="WQ119" s="29"/>
      <c r="WR119" s="29"/>
      <c r="WS119" s="29"/>
    </row>
    <row r="120" spans="1:617" s="3" customFormat="1" ht="15" outlineLevel="1" thickBot="1">
      <c r="A120" s="33"/>
      <c r="B120" s="47" t="s">
        <v>254</v>
      </c>
      <c r="C120" s="42" t="s">
        <v>83</v>
      </c>
      <c r="D120" s="210">
        <f>E116+1</f>
        <v>46149</v>
      </c>
      <c r="E120" s="204">
        <f>D120+G120-1</f>
        <v>46211</v>
      </c>
      <c r="F120" s="14"/>
      <c r="G120" s="14">
        <v>63</v>
      </c>
      <c r="H120" s="14"/>
      <c r="I120" s="14"/>
      <c r="J120" s="29"/>
      <c r="K120" s="29"/>
      <c r="L120" s="29"/>
      <c r="M120" s="29"/>
      <c r="N120" s="29"/>
      <c r="O120" s="29"/>
      <c r="P120" s="29"/>
      <c r="Q120" s="29"/>
      <c r="R120" s="29"/>
      <c r="S120" s="29"/>
      <c r="T120" s="29"/>
      <c r="U120" s="29"/>
      <c r="V120" s="29"/>
      <c r="W120" s="29"/>
      <c r="X120" s="29"/>
      <c r="Y120" s="176"/>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c r="MM120" s="29"/>
      <c r="MN120" s="29"/>
      <c r="MO120" s="29"/>
      <c r="MP120" s="29"/>
      <c r="MQ120" s="29"/>
      <c r="MR120" s="29"/>
      <c r="MS120" s="29"/>
      <c r="MT120" s="29"/>
      <c r="MU120" s="29"/>
      <c r="MV120" s="29"/>
      <c r="MW120" s="29"/>
      <c r="MX120" s="29"/>
      <c r="MY120" s="29"/>
      <c r="MZ120" s="29"/>
      <c r="NA120" s="29"/>
      <c r="NB120" s="29"/>
      <c r="NC120" s="29"/>
      <c r="ND120" s="29"/>
      <c r="NE120" s="29"/>
      <c r="NF120" s="29"/>
      <c r="NG120" s="29"/>
      <c r="NH120" s="29"/>
      <c r="NI120" s="29"/>
      <c r="NJ120" s="29"/>
      <c r="NK120" s="29"/>
      <c r="NL120" s="29"/>
      <c r="NM120" s="29"/>
      <c r="NN120" s="29"/>
      <c r="NO120" s="29"/>
      <c r="NP120" s="29"/>
      <c r="NQ120" s="29"/>
      <c r="NR120" s="29"/>
      <c r="NS120" s="29"/>
      <c r="NT120" s="29"/>
      <c r="NU120" s="29"/>
      <c r="NV120" s="29"/>
      <c r="NW120" s="29"/>
      <c r="NX120" s="29"/>
      <c r="NY120" s="29"/>
      <c r="NZ120" s="29"/>
      <c r="OA120" s="29"/>
      <c r="OB120" s="29"/>
      <c r="OC120" s="29"/>
      <c r="OD120" s="29"/>
      <c r="OE120" s="29"/>
      <c r="OF120" s="29"/>
      <c r="OG120" s="29"/>
      <c r="OH120" s="29"/>
      <c r="OI120" s="29"/>
      <c r="OJ120" s="29"/>
      <c r="OK120" s="29"/>
      <c r="OL120" s="29"/>
      <c r="OM120" s="29"/>
      <c r="ON120" s="29"/>
      <c r="OO120" s="29"/>
      <c r="OP120" s="29"/>
      <c r="OQ120" s="29"/>
      <c r="OR120" s="29"/>
      <c r="OS120" s="29"/>
      <c r="OT120" s="29"/>
      <c r="OU120" s="29"/>
      <c r="OV120" s="29"/>
      <c r="OW120" s="29"/>
      <c r="OX120" s="29"/>
      <c r="OY120" s="29"/>
      <c r="OZ120" s="29"/>
      <c r="PA120" s="29"/>
      <c r="PB120" s="29"/>
      <c r="PC120" s="29"/>
      <c r="PD120" s="29"/>
      <c r="PE120" s="29"/>
      <c r="PF120" s="29"/>
      <c r="PG120" s="29"/>
      <c r="PH120" s="29"/>
      <c r="PI120" s="29"/>
      <c r="PJ120" s="29"/>
      <c r="PK120" s="29"/>
      <c r="PL120" s="29"/>
      <c r="PM120" s="29"/>
      <c r="PN120" s="29"/>
      <c r="PO120" s="29"/>
      <c r="PP120" s="29"/>
      <c r="PQ120" s="29"/>
      <c r="PR120" s="29"/>
      <c r="PS120" s="29"/>
      <c r="PT120" s="29"/>
      <c r="PU120" s="29"/>
      <c r="PV120" s="29"/>
      <c r="PW120" s="29"/>
      <c r="PX120" s="29"/>
      <c r="PY120" s="29"/>
      <c r="PZ120" s="29"/>
      <c r="QA120" s="29"/>
      <c r="QB120" s="29"/>
      <c r="QC120" s="29"/>
      <c r="QD120" s="29"/>
      <c r="QE120" s="29"/>
      <c r="QF120" s="29"/>
      <c r="QG120" s="29"/>
      <c r="QH120" s="29"/>
      <c r="QI120" s="29"/>
      <c r="QJ120" s="29"/>
      <c r="QK120" s="29"/>
      <c r="QL120" s="29"/>
      <c r="QM120" s="29"/>
      <c r="QN120" s="29"/>
      <c r="QO120" s="29"/>
      <c r="QP120" s="29"/>
      <c r="QQ120" s="29"/>
      <c r="QR120" s="29"/>
      <c r="QS120" s="29"/>
      <c r="QT120" s="29"/>
      <c r="QU120" s="29"/>
      <c r="QV120" s="29"/>
      <c r="QW120" s="29"/>
      <c r="QX120" s="29"/>
      <c r="QY120" s="29"/>
      <c r="QZ120" s="29"/>
      <c r="RA120" s="29"/>
      <c r="RB120" s="29"/>
      <c r="RC120" s="29"/>
      <c r="RD120" s="29"/>
      <c r="RE120" s="29"/>
      <c r="RF120" s="29"/>
      <c r="RG120" s="29"/>
      <c r="RH120" s="29"/>
      <c r="RI120" s="29"/>
      <c r="RJ120" s="29"/>
      <c r="RK120" s="29"/>
      <c r="RL120" s="29"/>
      <c r="RM120" s="29"/>
      <c r="RN120" s="29"/>
      <c r="RO120" s="29"/>
      <c r="RP120" s="29"/>
      <c r="RQ120" s="29"/>
      <c r="RR120" s="29"/>
      <c r="RS120" s="29"/>
      <c r="RT120" s="29"/>
      <c r="RU120" s="29"/>
      <c r="RV120" s="29"/>
      <c r="RW120" s="29"/>
      <c r="RX120" s="29"/>
      <c r="RY120" s="29"/>
      <c r="RZ120" s="29"/>
      <c r="SA120" s="29"/>
      <c r="SB120" s="29"/>
      <c r="SC120" s="29"/>
      <c r="SD120" s="29"/>
      <c r="SE120" s="29"/>
      <c r="SF120" s="29"/>
      <c r="SG120" s="29"/>
      <c r="SH120" s="29"/>
      <c r="SI120" s="29"/>
      <c r="SJ120" s="29"/>
      <c r="SK120" s="29"/>
      <c r="SL120" s="29"/>
      <c r="SM120" s="29"/>
      <c r="SN120" s="29"/>
      <c r="SO120" s="29"/>
      <c r="SP120" s="29"/>
      <c r="SQ120" s="29"/>
      <c r="SR120" s="29"/>
      <c r="SS120" s="29"/>
      <c r="ST120" s="29"/>
      <c r="SU120" s="29"/>
      <c r="SV120" s="29"/>
      <c r="SW120" s="29"/>
      <c r="SX120" s="29"/>
      <c r="SY120" s="29"/>
      <c r="SZ120" s="29"/>
      <c r="TA120" s="29"/>
      <c r="TB120" s="29"/>
      <c r="TC120" s="29"/>
      <c r="TD120" s="29"/>
      <c r="TE120" s="29"/>
      <c r="TF120" s="29"/>
      <c r="TG120" s="29"/>
      <c r="TH120" s="29"/>
      <c r="TI120" s="29"/>
      <c r="TJ120" s="29"/>
      <c r="TK120" s="29"/>
      <c r="TL120" s="29"/>
      <c r="TM120" s="29"/>
      <c r="TN120" s="29"/>
      <c r="TO120" s="29"/>
      <c r="TP120" s="29"/>
      <c r="TQ120" s="29"/>
      <c r="TR120" s="29"/>
      <c r="TS120" s="29"/>
      <c r="TT120" s="29"/>
      <c r="TU120" s="29"/>
      <c r="TV120" s="29"/>
      <c r="TW120" s="29"/>
      <c r="TX120" s="29"/>
      <c r="TY120" s="29"/>
      <c r="TZ120" s="29"/>
      <c r="UA120" s="29"/>
      <c r="UB120" s="29"/>
      <c r="UC120" s="29"/>
      <c r="UD120" s="29"/>
      <c r="UE120" s="29"/>
      <c r="UF120" s="29"/>
      <c r="UG120" s="29"/>
      <c r="UH120" s="29"/>
      <c r="UI120" s="29"/>
      <c r="UJ120" s="29"/>
      <c r="UK120" s="29"/>
      <c r="UL120" s="29"/>
      <c r="UM120" s="29"/>
      <c r="UN120" s="29"/>
      <c r="UO120" s="29"/>
      <c r="UP120" s="29"/>
      <c r="UQ120" s="29"/>
      <c r="UR120" s="29"/>
      <c r="US120" s="29"/>
      <c r="UT120" s="29"/>
      <c r="UU120" s="29"/>
      <c r="UV120" s="29"/>
      <c r="UW120" s="29"/>
      <c r="UX120" s="29"/>
      <c r="UY120" s="29"/>
      <c r="UZ120" s="29"/>
      <c r="VA120" s="29"/>
      <c r="VB120" s="29"/>
      <c r="VC120" s="29"/>
      <c r="VD120" s="29"/>
      <c r="VE120" s="29"/>
      <c r="VF120" s="29"/>
      <c r="VG120" s="29"/>
      <c r="VH120" s="29"/>
      <c r="VI120" s="29"/>
      <c r="VJ120" s="29"/>
      <c r="VK120" s="29"/>
      <c r="VL120" s="29"/>
      <c r="VM120" s="29"/>
      <c r="VN120" s="29"/>
      <c r="VO120" s="29"/>
      <c r="VP120" s="29"/>
      <c r="VQ120" s="29"/>
      <c r="VR120" s="29"/>
      <c r="VS120" s="29"/>
      <c r="VT120" s="29"/>
      <c r="VU120" s="29"/>
      <c r="VV120" s="29"/>
      <c r="VW120" s="29"/>
      <c r="VX120" s="29"/>
      <c r="VY120" s="29"/>
      <c r="VZ120" s="29"/>
      <c r="WA120" s="29"/>
      <c r="WB120" s="29"/>
      <c r="WC120" s="29"/>
      <c r="WD120" s="29"/>
      <c r="WE120" s="29"/>
      <c r="WF120" s="29"/>
      <c r="WG120" s="29"/>
      <c r="WH120" s="29"/>
      <c r="WI120" s="29"/>
      <c r="WJ120" s="29"/>
      <c r="WK120" s="29"/>
      <c r="WL120" s="29"/>
      <c r="WM120" s="29"/>
      <c r="WN120" s="29"/>
      <c r="WO120" s="29"/>
      <c r="WP120" s="29"/>
      <c r="WQ120" s="29"/>
      <c r="WR120" s="29"/>
      <c r="WS120" s="29"/>
    </row>
    <row r="121" spans="1:617" s="3" customFormat="1" ht="15" outlineLevel="1" thickBot="1">
      <c r="A121" s="33"/>
      <c r="B121" s="47" t="s">
        <v>253</v>
      </c>
      <c r="C121" s="42" t="s">
        <v>174</v>
      </c>
      <c r="D121" s="210">
        <f>E117+1</f>
        <v>46170</v>
      </c>
      <c r="E121" s="204">
        <f t="shared" si="598"/>
        <v>46225</v>
      </c>
      <c r="F121" s="14"/>
      <c r="G121" s="14">
        <v>56</v>
      </c>
      <c r="H121" s="14"/>
      <c r="I121" s="14"/>
      <c r="J121" s="29"/>
      <c r="K121" s="29"/>
      <c r="L121" s="29"/>
      <c r="M121" s="29"/>
      <c r="N121" s="29"/>
      <c r="O121" s="29"/>
      <c r="P121" s="29"/>
      <c r="Q121" s="29"/>
      <c r="R121" s="29"/>
      <c r="S121" s="29"/>
      <c r="T121" s="29"/>
      <c r="U121" s="29"/>
      <c r="V121" s="29"/>
      <c r="W121" s="29"/>
      <c r="X121" s="29"/>
      <c r="Y121" s="176"/>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c r="MM121" s="29"/>
      <c r="MN121" s="29"/>
      <c r="MO121" s="29"/>
      <c r="MP121" s="29"/>
      <c r="MQ121" s="29"/>
      <c r="MR121" s="29"/>
      <c r="MS121" s="29"/>
      <c r="MT121" s="29"/>
      <c r="MU121" s="29"/>
      <c r="MV121" s="29"/>
      <c r="MW121" s="29"/>
      <c r="MX121" s="29"/>
      <c r="MY121" s="29"/>
      <c r="MZ121" s="29"/>
      <c r="NA121" s="29"/>
      <c r="NB121" s="29"/>
      <c r="NC121" s="29"/>
      <c r="ND121" s="29"/>
      <c r="NE121" s="29"/>
      <c r="NF121" s="29"/>
      <c r="NG121" s="29"/>
      <c r="NH121" s="29"/>
      <c r="NI121" s="29"/>
      <c r="NJ121" s="29"/>
      <c r="NK121" s="29"/>
      <c r="NL121" s="29"/>
      <c r="NM121" s="29"/>
      <c r="NN121" s="29"/>
      <c r="NO121" s="29"/>
      <c r="NP121" s="29"/>
      <c r="NQ121" s="29"/>
      <c r="NR121" s="29"/>
      <c r="NS121" s="29"/>
      <c r="NT121" s="29"/>
      <c r="NU121" s="29"/>
      <c r="NV121" s="29"/>
      <c r="NW121" s="29"/>
      <c r="NX121" s="29"/>
      <c r="NY121" s="29"/>
      <c r="NZ121" s="29"/>
      <c r="OA121" s="29"/>
      <c r="OB121" s="29"/>
      <c r="OC121" s="29"/>
      <c r="OD121" s="29"/>
      <c r="OE121" s="29"/>
      <c r="OF121" s="29"/>
      <c r="OG121" s="29"/>
      <c r="OH121" s="29"/>
      <c r="OI121" s="29"/>
      <c r="OJ121" s="29"/>
      <c r="OK121" s="29"/>
      <c r="OL121" s="29"/>
      <c r="OM121" s="29"/>
      <c r="ON121" s="29"/>
      <c r="OO121" s="29"/>
      <c r="OP121" s="29"/>
      <c r="OQ121" s="29"/>
      <c r="OR121" s="29"/>
      <c r="OS121" s="29"/>
      <c r="OT121" s="29"/>
      <c r="OU121" s="29"/>
      <c r="OV121" s="29"/>
      <c r="OW121" s="29"/>
      <c r="OX121" s="29"/>
      <c r="OY121" s="29"/>
      <c r="OZ121" s="29"/>
      <c r="PA121" s="29"/>
      <c r="PB121" s="29"/>
      <c r="PC121" s="29"/>
      <c r="PD121" s="29"/>
      <c r="PE121" s="29"/>
      <c r="PF121" s="29"/>
      <c r="PG121" s="29"/>
      <c r="PH121" s="29"/>
      <c r="PI121" s="29"/>
      <c r="PJ121" s="29"/>
      <c r="PK121" s="29"/>
      <c r="PL121" s="29"/>
      <c r="PM121" s="29"/>
      <c r="PN121" s="29"/>
      <c r="PO121" s="29"/>
      <c r="PP121" s="29"/>
      <c r="PQ121" s="29"/>
      <c r="PR121" s="29"/>
      <c r="PS121" s="29"/>
      <c r="PT121" s="29"/>
      <c r="PU121" s="29"/>
      <c r="PV121" s="29"/>
      <c r="PW121" s="29"/>
      <c r="PX121" s="29"/>
      <c r="PY121" s="29"/>
      <c r="PZ121" s="29"/>
      <c r="QA121" s="29"/>
      <c r="QB121" s="29"/>
      <c r="QC121" s="29"/>
      <c r="QD121" s="29"/>
      <c r="QE121" s="29"/>
      <c r="QF121" s="29"/>
      <c r="QG121" s="29"/>
      <c r="QH121" s="29"/>
      <c r="QI121" s="29"/>
      <c r="QJ121" s="29"/>
      <c r="QK121" s="29"/>
      <c r="QL121" s="29"/>
      <c r="QM121" s="29"/>
      <c r="QN121" s="29"/>
      <c r="QO121" s="29"/>
      <c r="QP121" s="29"/>
      <c r="QQ121" s="29"/>
      <c r="QR121" s="29"/>
      <c r="QS121" s="29"/>
      <c r="QT121" s="29"/>
      <c r="QU121" s="29"/>
      <c r="QV121" s="29"/>
      <c r="QW121" s="29"/>
      <c r="QX121" s="29"/>
      <c r="QY121" s="29"/>
      <c r="QZ121" s="29"/>
      <c r="RA121" s="29"/>
      <c r="RB121" s="29"/>
      <c r="RC121" s="29"/>
      <c r="RD121" s="29"/>
      <c r="RE121" s="29"/>
      <c r="RF121" s="29"/>
      <c r="RG121" s="29"/>
      <c r="RH121" s="29"/>
      <c r="RI121" s="29"/>
      <c r="RJ121" s="29"/>
      <c r="RK121" s="29"/>
      <c r="RL121" s="29"/>
      <c r="RM121" s="29"/>
      <c r="RN121" s="29"/>
      <c r="RO121" s="29"/>
      <c r="RP121" s="29"/>
      <c r="RQ121" s="29"/>
      <c r="RR121" s="29"/>
      <c r="RS121" s="29"/>
      <c r="RT121" s="29"/>
      <c r="RU121" s="29"/>
      <c r="RV121" s="29"/>
      <c r="RW121" s="29"/>
      <c r="RX121" s="29"/>
      <c r="RY121" s="29"/>
      <c r="RZ121" s="29"/>
      <c r="SA121" s="29"/>
      <c r="SB121" s="29"/>
      <c r="SC121" s="29"/>
      <c r="SD121" s="29"/>
      <c r="SE121" s="29"/>
      <c r="SF121" s="29"/>
      <c r="SG121" s="29"/>
      <c r="SH121" s="29"/>
      <c r="SI121" s="29"/>
      <c r="SJ121" s="29"/>
      <c r="SK121" s="29"/>
      <c r="SL121" s="29"/>
      <c r="SM121" s="29"/>
      <c r="SN121" s="29"/>
      <c r="SO121" s="29"/>
      <c r="SP121" s="29"/>
      <c r="SQ121" s="29"/>
      <c r="SR121" s="29"/>
      <c r="SS121" s="29"/>
      <c r="ST121" s="29"/>
      <c r="SU121" s="29"/>
      <c r="SV121" s="29"/>
      <c r="SW121" s="29"/>
      <c r="SX121" s="29"/>
      <c r="SY121" s="29"/>
      <c r="SZ121" s="29"/>
      <c r="TA121" s="29"/>
      <c r="TB121" s="29"/>
      <c r="TC121" s="29"/>
      <c r="TD121" s="29"/>
      <c r="TE121" s="29"/>
      <c r="TF121" s="29"/>
      <c r="TG121" s="29"/>
      <c r="TH121" s="29"/>
      <c r="TI121" s="29"/>
      <c r="TJ121" s="29"/>
      <c r="TK121" s="29"/>
      <c r="TL121" s="29"/>
      <c r="TM121" s="29"/>
      <c r="TN121" s="29"/>
      <c r="TO121" s="29"/>
      <c r="TP121" s="29"/>
      <c r="TQ121" s="29"/>
      <c r="TR121" s="29"/>
      <c r="TS121" s="29"/>
      <c r="TT121" s="29"/>
      <c r="TU121" s="29"/>
      <c r="TV121" s="29"/>
      <c r="TW121" s="29"/>
      <c r="TX121" s="29"/>
      <c r="TY121" s="29"/>
      <c r="TZ121" s="29"/>
      <c r="UA121" s="29"/>
      <c r="UB121" s="29"/>
      <c r="UC121" s="29"/>
      <c r="UD121" s="29"/>
      <c r="UE121" s="29"/>
      <c r="UF121" s="29"/>
      <c r="UG121" s="29"/>
      <c r="UH121" s="29"/>
      <c r="UI121" s="29"/>
      <c r="UJ121" s="29"/>
      <c r="UK121" s="29"/>
      <c r="UL121" s="29"/>
      <c r="UM121" s="29"/>
      <c r="UN121" s="29"/>
      <c r="UO121" s="29"/>
      <c r="UP121" s="29"/>
      <c r="UQ121" s="29"/>
      <c r="UR121" s="29"/>
      <c r="US121" s="29"/>
      <c r="UT121" s="29"/>
      <c r="UU121" s="29"/>
      <c r="UV121" s="29"/>
      <c r="UW121" s="29"/>
      <c r="UX121" s="29"/>
      <c r="UY121" s="29"/>
      <c r="UZ121" s="29"/>
      <c r="VA121" s="29"/>
      <c r="VB121" s="29"/>
      <c r="VC121" s="29"/>
      <c r="VD121" s="29"/>
      <c r="VE121" s="29"/>
      <c r="VF121" s="29"/>
      <c r="VG121" s="29"/>
      <c r="VH121" s="29"/>
      <c r="VI121" s="29"/>
      <c r="VJ121" s="29"/>
      <c r="VK121" s="29"/>
      <c r="VL121" s="29"/>
      <c r="VM121" s="29"/>
      <c r="VN121" s="29"/>
      <c r="VO121" s="29"/>
      <c r="VP121" s="29"/>
      <c r="VQ121" s="29"/>
      <c r="VR121" s="29"/>
      <c r="VS121" s="29"/>
      <c r="VT121" s="29"/>
      <c r="VU121" s="29"/>
      <c r="VV121" s="29"/>
      <c r="VW121" s="29"/>
      <c r="VX121" s="29"/>
      <c r="VY121" s="29"/>
      <c r="VZ121" s="29"/>
      <c r="WA121" s="29"/>
      <c r="WB121" s="29"/>
      <c r="WC121" s="29"/>
      <c r="WD121" s="29"/>
      <c r="WE121" s="29"/>
      <c r="WF121" s="29"/>
      <c r="WG121" s="29"/>
      <c r="WH121" s="29"/>
      <c r="WI121" s="29"/>
      <c r="WJ121" s="29"/>
      <c r="WK121" s="29"/>
      <c r="WL121" s="29"/>
      <c r="WM121" s="29"/>
      <c r="WN121" s="29"/>
      <c r="WO121" s="29"/>
      <c r="WP121" s="29"/>
      <c r="WQ121" s="29"/>
      <c r="WR121" s="29"/>
      <c r="WS121" s="29"/>
    </row>
    <row r="122" spans="1:617" s="3" customFormat="1" ht="15" outlineLevel="1" thickBot="1">
      <c r="A122" s="33"/>
      <c r="B122" s="146" t="s">
        <v>255</v>
      </c>
      <c r="C122" s="147" t="s">
        <v>122</v>
      </c>
      <c r="D122" s="148">
        <v>46177</v>
      </c>
      <c r="E122" s="206">
        <f>D122+G122-1</f>
        <v>46232</v>
      </c>
      <c r="F122" s="14"/>
      <c r="G122" s="14">
        <v>56</v>
      </c>
      <c r="H122" s="14"/>
      <c r="I122" s="14"/>
      <c r="J122" s="29"/>
      <c r="K122" s="29"/>
      <c r="L122" s="29"/>
      <c r="M122" s="29"/>
      <c r="N122" s="29"/>
      <c r="O122" s="29"/>
      <c r="P122" s="29"/>
      <c r="Q122" s="29"/>
      <c r="R122" s="29"/>
      <c r="S122" s="29"/>
      <c r="T122" s="29"/>
      <c r="U122" s="29"/>
      <c r="V122" s="29"/>
      <c r="W122" s="29"/>
      <c r="X122" s="29"/>
      <c r="Y122" s="30"/>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c r="MM122" s="29"/>
      <c r="MN122" s="29"/>
      <c r="MO122" s="29"/>
      <c r="MP122" s="29"/>
      <c r="MQ122" s="29"/>
      <c r="MR122" s="29"/>
      <c r="MS122" s="29"/>
      <c r="MT122" s="29"/>
      <c r="MU122" s="29"/>
      <c r="MV122" s="29"/>
      <c r="MW122" s="29"/>
      <c r="MX122" s="29"/>
      <c r="MY122" s="29"/>
      <c r="MZ122" s="29"/>
      <c r="NA122" s="29"/>
      <c r="NB122" s="29"/>
      <c r="NC122" s="29"/>
      <c r="ND122" s="29"/>
      <c r="NE122" s="29"/>
      <c r="NF122" s="29"/>
      <c r="NG122" s="29"/>
      <c r="NH122" s="29"/>
      <c r="NI122" s="29"/>
      <c r="NJ122" s="29"/>
      <c r="NK122" s="29"/>
      <c r="NL122" s="29"/>
      <c r="NM122" s="29"/>
      <c r="NN122" s="29"/>
      <c r="NO122" s="29"/>
      <c r="NP122" s="29"/>
      <c r="NQ122" s="29"/>
      <c r="NR122" s="29"/>
      <c r="NS122" s="29"/>
      <c r="NT122" s="29"/>
      <c r="NU122" s="29"/>
      <c r="NV122" s="29"/>
      <c r="NW122" s="29"/>
      <c r="NX122" s="29"/>
      <c r="NY122" s="29"/>
      <c r="NZ122" s="29"/>
      <c r="OA122" s="29"/>
      <c r="OB122" s="29"/>
      <c r="OC122" s="29"/>
      <c r="OD122" s="29"/>
      <c r="OE122" s="29"/>
      <c r="OF122" s="29"/>
      <c r="OG122" s="29"/>
      <c r="OH122" s="29"/>
      <c r="OI122" s="29"/>
      <c r="OJ122" s="29"/>
      <c r="OK122" s="29"/>
      <c r="OL122" s="29"/>
      <c r="OM122" s="29"/>
      <c r="ON122" s="29"/>
      <c r="OO122" s="29"/>
      <c r="OP122" s="29"/>
      <c r="OQ122" s="29"/>
      <c r="OR122" s="29"/>
      <c r="OS122" s="29"/>
      <c r="OT122" s="29"/>
      <c r="OU122" s="29"/>
      <c r="OV122" s="29"/>
      <c r="OW122" s="29"/>
      <c r="OX122" s="29"/>
      <c r="OY122" s="29"/>
      <c r="OZ122" s="29"/>
      <c r="PA122" s="29"/>
      <c r="PB122" s="29"/>
      <c r="PC122" s="29"/>
      <c r="PD122" s="29"/>
      <c r="PE122" s="29"/>
      <c r="PF122" s="29"/>
      <c r="PG122" s="29"/>
      <c r="PH122" s="29"/>
      <c r="PI122" s="29"/>
      <c r="PJ122" s="29"/>
      <c r="PK122" s="29"/>
      <c r="PL122" s="29"/>
      <c r="PM122" s="29"/>
      <c r="PN122" s="29"/>
      <c r="PO122" s="29"/>
      <c r="PP122" s="29"/>
      <c r="PQ122" s="29"/>
      <c r="PR122" s="29"/>
      <c r="PS122" s="29"/>
      <c r="PT122" s="29"/>
      <c r="PU122" s="29"/>
      <c r="PV122" s="29"/>
      <c r="PW122" s="29"/>
      <c r="PX122" s="29"/>
      <c r="PY122" s="29"/>
      <c r="PZ122" s="29"/>
      <c r="QA122" s="29"/>
      <c r="QB122" s="29"/>
      <c r="QC122" s="29"/>
      <c r="QD122" s="29"/>
      <c r="QE122" s="29"/>
      <c r="QF122" s="29"/>
      <c r="QG122" s="29"/>
      <c r="QH122" s="29"/>
      <c r="QI122" s="29"/>
      <c r="QJ122" s="29"/>
      <c r="QK122" s="29"/>
      <c r="QL122" s="29"/>
      <c r="QM122" s="29"/>
      <c r="QN122" s="29"/>
      <c r="QO122" s="29"/>
      <c r="QP122" s="29"/>
      <c r="QQ122" s="29"/>
      <c r="QR122" s="29"/>
      <c r="QS122" s="29"/>
      <c r="QT122" s="29"/>
      <c r="QU122" s="29"/>
      <c r="QV122" s="29"/>
      <c r="QW122" s="29"/>
      <c r="QX122" s="29"/>
      <c r="QY122" s="29"/>
      <c r="QZ122" s="29"/>
      <c r="RA122" s="29"/>
      <c r="RB122" s="29"/>
      <c r="RC122" s="29"/>
      <c r="RD122" s="29"/>
      <c r="RE122" s="29"/>
      <c r="RF122" s="29"/>
      <c r="RG122" s="29"/>
      <c r="RH122" s="29"/>
      <c r="RI122" s="29"/>
      <c r="RJ122" s="29"/>
      <c r="RK122" s="29"/>
      <c r="RL122" s="29"/>
      <c r="RM122" s="29"/>
      <c r="RN122" s="29"/>
      <c r="RO122" s="29"/>
      <c r="RP122" s="29"/>
      <c r="RQ122" s="29"/>
      <c r="RR122" s="29"/>
      <c r="RS122" s="29"/>
      <c r="RT122" s="29"/>
      <c r="RU122" s="29"/>
      <c r="RV122" s="29"/>
      <c r="RW122" s="29"/>
      <c r="RX122" s="29"/>
      <c r="RY122" s="29"/>
      <c r="RZ122" s="29"/>
      <c r="SA122" s="29"/>
      <c r="SB122" s="29"/>
      <c r="SC122" s="29"/>
      <c r="SD122" s="29"/>
      <c r="SE122" s="29"/>
      <c r="SF122" s="29"/>
      <c r="SG122" s="29"/>
      <c r="SH122" s="29"/>
      <c r="SI122" s="29"/>
      <c r="SJ122" s="29"/>
      <c r="SK122" s="29"/>
      <c r="SL122" s="29"/>
      <c r="SM122" s="29"/>
      <c r="SN122" s="29"/>
      <c r="SO122" s="29"/>
      <c r="SP122" s="29"/>
      <c r="SQ122" s="29"/>
      <c r="SR122" s="29"/>
      <c r="SS122" s="29"/>
      <c r="ST122" s="29"/>
      <c r="SU122" s="29"/>
      <c r="SV122" s="29"/>
      <c r="SW122" s="29"/>
      <c r="SX122" s="29"/>
      <c r="SY122" s="29"/>
      <c r="SZ122" s="29"/>
      <c r="TA122" s="29"/>
      <c r="TB122" s="29"/>
      <c r="TC122" s="29"/>
      <c r="TD122" s="29"/>
      <c r="TE122" s="29"/>
      <c r="TF122" s="29"/>
      <c r="TG122" s="29"/>
      <c r="TH122" s="29"/>
      <c r="TI122" s="29"/>
      <c r="TJ122" s="29"/>
      <c r="TK122" s="29"/>
      <c r="TL122" s="29"/>
      <c r="TM122" s="29"/>
      <c r="TN122" s="29"/>
      <c r="TO122" s="29"/>
      <c r="TP122" s="29"/>
      <c r="TQ122" s="29"/>
      <c r="TR122" s="29"/>
      <c r="TS122" s="29"/>
      <c r="TT122" s="29"/>
      <c r="TU122" s="29"/>
      <c r="TV122" s="29"/>
      <c r="TW122" s="29"/>
      <c r="TX122" s="29"/>
      <c r="TY122" s="29"/>
      <c r="TZ122" s="29"/>
      <c r="UA122" s="29"/>
      <c r="UB122" s="29"/>
      <c r="UC122" s="29"/>
      <c r="UD122" s="29"/>
      <c r="UE122" s="29"/>
      <c r="UF122" s="29"/>
      <c r="UG122" s="29"/>
      <c r="UH122" s="29"/>
      <c r="UI122" s="29"/>
      <c r="UJ122" s="29"/>
      <c r="UK122" s="29"/>
      <c r="UL122" s="29"/>
      <c r="UM122" s="29"/>
      <c r="UN122" s="29"/>
      <c r="UO122" s="29"/>
      <c r="UP122" s="29"/>
      <c r="UQ122" s="29"/>
      <c r="UR122" s="29"/>
      <c r="US122" s="29"/>
      <c r="UT122" s="29"/>
      <c r="UU122" s="29"/>
      <c r="UV122" s="29"/>
      <c r="UW122" s="29"/>
      <c r="UX122" s="29"/>
      <c r="UY122" s="29"/>
      <c r="UZ122" s="29"/>
      <c r="VA122" s="29"/>
      <c r="VB122" s="29"/>
      <c r="VC122" s="29"/>
      <c r="VD122" s="29"/>
      <c r="VE122" s="29"/>
      <c r="VF122" s="29"/>
      <c r="VG122" s="29"/>
      <c r="VH122" s="29"/>
      <c r="VI122" s="29"/>
      <c r="VJ122" s="29"/>
      <c r="VK122" s="29"/>
      <c r="VL122" s="29"/>
      <c r="VM122" s="29"/>
      <c r="VN122" s="29"/>
      <c r="VO122" s="29"/>
      <c r="VP122" s="29"/>
      <c r="VQ122" s="29"/>
      <c r="VR122" s="29"/>
      <c r="VS122" s="29"/>
      <c r="VT122" s="29"/>
      <c r="VU122" s="29"/>
      <c r="VV122" s="29"/>
      <c r="VW122" s="29"/>
      <c r="VX122" s="29"/>
      <c r="VY122" s="29"/>
      <c r="VZ122" s="29"/>
      <c r="WA122" s="29"/>
      <c r="WB122" s="29"/>
      <c r="WC122" s="29"/>
      <c r="WD122" s="29"/>
      <c r="WE122" s="29"/>
      <c r="WF122" s="29"/>
      <c r="WG122" s="29"/>
      <c r="WH122" s="29"/>
      <c r="WI122" s="29"/>
      <c r="WJ122" s="29"/>
      <c r="WK122" s="29"/>
      <c r="WL122" s="29"/>
      <c r="WM122" s="29"/>
      <c r="WN122" s="29"/>
      <c r="WO122" s="29"/>
      <c r="WP122" s="29"/>
      <c r="WQ122" s="29"/>
      <c r="WR122" s="29"/>
      <c r="WS122" s="29"/>
    </row>
    <row r="123" spans="1:617" s="3" customFormat="1" ht="15" outlineLevel="1" thickBot="1">
      <c r="A123" s="33"/>
      <c r="B123" s="47" t="s">
        <v>254</v>
      </c>
      <c r="C123" s="42" t="s">
        <v>86</v>
      </c>
      <c r="D123" s="204">
        <f>E120+1</f>
        <v>46212</v>
      </c>
      <c r="E123" s="116">
        <f t="shared" si="598"/>
        <v>46280</v>
      </c>
      <c r="F123" s="14"/>
      <c r="G123" s="14">
        <v>69</v>
      </c>
      <c r="H123" s="14"/>
      <c r="I123" s="14"/>
      <c r="J123" s="29"/>
      <c r="K123" s="29"/>
      <c r="L123" s="29"/>
      <c r="M123" s="29"/>
      <c r="N123" s="29"/>
      <c r="O123" s="29"/>
      <c r="P123" s="29"/>
      <c r="Q123" s="29"/>
      <c r="R123" s="29"/>
      <c r="S123" s="29"/>
      <c r="T123" s="29"/>
      <c r="U123" s="29"/>
      <c r="V123" s="29"/>
      <c r="W123" s="29"/>
      <c r="X123" s="29"/>
      <c r="Y123" s="30"/>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c r="MM123" s="29"/>
      <c r="MN123" s="29"/>
      <c r="MO123" s="29"/>
      <c r="MP123" s="29"/>
      <c r="MQ123" s="29"/>
      <c r="MR123" s="29"/>
      <c r="MS123" s="29"/>
      <c r="MT123" s="29"/>
      <c r="MU123" s="29"/>
      <c r="MV123" s="29"/>
      <c r="MW123" s="29"/>
      <c r="MX123" s="29"/>
      <c r="MY123" s="29"/>
      <c r="MZ123" s="29"/>
      <c r="NA123" s="29"/>
      <c r="NB123" s="29"/>
      <c r="NC123" s="29"/>
      <c r="ND123" s="29"/>
      <c r="NE123" s="29"/>
      <c r="NF123" s="29"/>
      <c r="NG123" s="29"/>
      <c r="NH123" s="29"/>
      <c r="NI123" s="29"/>
      <c r="NJ123" s="29"/>
      <c r="NK123" s="29"/>
      <c r="NL123" s="29"/>
      <c r="NM123" s="29"/>
      <c r="NN123" s="29"/>
      <c r="NO123" s="29"/>
      <c r="NP123" s="29"/>
      <c r="NQ123" s="29"/>
      <c r="NR123" s="29"/>
      <c r="NS123" s="29"/>
      <c r="NT123" s="29"/>
      <c r="NU123" s="29"/>
      <c r="NV123" s="29"/>
      <c r="NW123" s="29"/>
      <c r="NX123" s="29"/>
      <c r="NY123" s="29"/>
      <c r="NZ123" s="29"/>
      <c r="OA123" s="29"/>
      <c r="OB123" s="29"/>
      <c r="OC123" s="29"/>
      <c r="OD123" s="29"/>
      <c r="OE123" s="29"/>
      <c r="OF123" s="29"/>
      <c r="OG123" s="29"/>
      <c r="OH123" s="29"/>
      <c r="OI123" s="29"/>
      <c r="OJ123" s="29"/>
      <c r="OK123" s="29"/>
      <c r="OL123" s="29"/>
      <c r="OM123" s="29"/>
      <c r="ON123" s="29"/>
      <c r="OO123" s="29"/>
      <c r="OP123" s="29"/>
      <c r="OQ123" s="29"/>
      <c r="OR123" s="29"/>
      <c r="OS123" s="29"/>
      <c r="OT123" s="29"/>
      <c r="OU123" s="29"/>
      <c r="OV123" s="29"/>
      <c r="OW123" s="29"/>
      <c r="OX123" s="29"/>
      <c r="OY123" s="29"/>
      <c r="OZ123" s="29"/>
      <c r="PA123" s="29"/>
      <c r="PB123" s="29"/>
      <c r="PC123" s="29"/>
      <c r="PD123" s="29"/>
      <c r="PE123" s="29"/>
      <c r="PF123" s="29"/>
      <c r="PG123" s="29"/>
      <c r="PH123" s="29"/>
      <c r="PI123" s="29"/>
      <c r="PJ123" s="29"/>
      <c r="PK123" s="29"/>
      <c r="PL123" s="29"/>
      <c r="PM123" s="29"/>
      <c r="PN123" s="29"/>
      <c r="PO123" s="29"/>
      <c r="PP123" s="29"/>
      <c r="PQ123" s="29"/>
      <c r="PR123" s="29"/>
      <c r="PS123" s="29"/>
      <c r="PT123" s="29"/>
      <c r="PU123" s="29"/>
      <c r="PV123" s="29"/>
      <c r="PW123" s="29"/>
      <c r="PX123" s="29"/>
      <c r="PY123" s="29"/>
      <c r="PZ123" s="29"/>
      <c r="QA123" s="29"/>
      <c r="QB123" s="29"/>
      <c r="QC123" s="29"/>
      <c r="QD123" s="29"/>
      <c r="QE123" s="29"/>
      <c r="QF123" s="29"/>
      <c r="QG123" s="29"/>
      <c r="QH123" s="29"/>
      <c r="QI123" s="29"/>
      <c r="QJ123" s="29"/>
      <c r="QK123" s="29"/>
      <c r="QL123" s="29"/>
      <c r="QM123" s="29"/>
      <c r="QN123" s="29"/>
      <c r="QO123" s="29"/>
      <c r="QP123" s="29"/>
      <c r="QQ123" s="29"/>
      <c r="QR123" s="29"/>
      <c r="QS123" s="29"/>
      <c r="QT123" s="29"/>
      <c r="QU123" s="29"/>
      <c r="QV123" s="29"/>
      <c r="QW123" s="29"/>
      <c r="QX123" s="29"/>
      <c r="QY123" s="29"/>
      <c r="QZ123" s="29"/>
      <c r="RA123" s="29"/>
      <c r="RB123" s="29"/>
      <c r="RC123" s="29"/>
      <c r="RD123" s="29"/>
      <c r="RE123" s="29"/>
      <c r="RF123" s="29"/>
      <c r="RG123" s="29"/>
      <c r="RH123" s="29"/>
      <c r="RI123" s="29"/>
      <c r="RJ123" s="29"/>
      <c r="RK123" s="29"/>
      <c r="RL123" s="29"/>
      <c r="RM123" s="29"/>
      <c r="RN123" s="29"/>
      <c r="RO123" s="29"/>
      <c r="RP123" s="29"/>
      <c r="RQ123" s="29"/>
      <c r="RR123" s="29"/>
      <c r="RS123" s="29"/>
      <c r="RT123" s="29"/>
      <c r="RU123" s="29"/>
      <c r="RV123" s="29"/>
      <c r="RW123" s="29"/>
      <c r="RX123" s="29"/>
      <c r="RY123" s="29"/>
      <c r="RZ123" s="29"/>
      <c r="SA123" s="29"/>
      <c r="SB123" s="29"/>
      <c r="SC123" s="29"/>
      <c r="SD123" s="29"/>
      <c r="SE123" s="29"/>
      <c r="SF123" s="29"/>
      <c r="SG123" s="29"/>
      <c r="SH123" s="29"/>
      <c r="SI123" s="29"/>
      <c r="SJ123" s="29"/>
      <c r="SK123" s="29"/>
      <c r="SL123" s="29"/>
      <c r="SM123" s="29"/>
      <c r="SN123" s="29"/>
      <c r="SO123" s="29"/>
      <c r="SP123" s="29"/>
      <c r="SQ123" s="29"/>
      <c r="SR123" s="29"/>
      <c r="SS123" s="29"/>
      <c r="ST123" s="29"/>
      <c r="SU123" s="29"/>
      <c r="SV123" s="29"/>
      <c r="SW123" s="29"/>
      <c r="SX123" s="29"/>
      <c r="SY123" s="29"/>
      <c r="SZ123" s="29"/>
      <c r="TA123" s="29"/>
      <c r="TB123" s="29"/>
      <c r="TC123" s="29"/>
      <c r="TD123" s="29"/>
      <c r="TE123" s="29"/>
      <c r="TF123" s="29"/>
      <c r="TG123" s="29"/>
      <c r="TH123" s="29"/>
      <c r="TI123" s="29"/>
      <c r="TJ123" s="29"/>
      <c r="TK123" s="29"/>
      <c r="TL123" s="29"/>
      <c r="TM123" s="29"/>
      <c r="TN123" s="29"/>
      <c r="TO123" s="29"/>
      <c r="TP123" s="29"/>
      <c r="TQ123" s="29"/>
      <c r="TR123" s="29"/>
      <c r="TS123" s="29"/>
      <c r="TT123" s="29"/>
      <c r="TU123" s="29"/>
      <c r="TV123" s="29"/>
      <c r="TW123" s="29"/>
      <c r="TX123" s="29"/>
      <c r="TY123" s="29"/>
      <c r="TZ123" s="29"/>
      <c r="UA123" s="29"/>
      <c r="UB123" s="29"/>
      <c r="UC123" s="29"/>
      <c r="UD123" s="29"/>
      <c r="UE123" s="29"/>
      <c r="UF123" s="29"/>
      <c r="UG123" s="29"/>
      <c r="UH123" s="29"/>
      <c r="UI123" s="29"/>
      <c r="UJ123" s="29"/>
      <c r="UK123" s="29"/>
      <c r="UL123" s="29"/>
      <c r="UM123" s="29"/>
      <c r="UN123" s="29"/>
      <c r="UO123" s="29"/>
      <c r="UP123" s="29"/>
      <c r="UQ123" s="29"/>
      <c r="UR123" s="29"/>
      <c r="US123" s="29"/>
      <c r="UT123" s="29"/>
      <c r="UU123" s="29"/>
      <c r="UV123" s="29"/>
      <c r="UW123" s="29"/>
      <c r="UX123" s="29"/>
      <c r="UY123" s="29"/>
      <c r="UZ123" s="29"/>
      <c r="VA123" s="29"/>
      <c r="VB123" s="29"/>
      <c r="VC123" s="29"/>
      <c r="VD123" s="29"/>
      <c r="VE123" s="29"/>
      <c r="VF123" s="29"/>
      <c r="VG123" s="29"/>
      <c r="VH123" s="29"/>
      <c r="VI123" s="29"/>
      <c r="VJ123" s="29"/>
      <c r="VK123" s="29"/>
      <c r="VL123" s="29"/>
      <c r="VM123" s="29"/>
      <c r="VN123" s="29"/>
      <c r="VO123" s="29"/>
      <c r="VP123" s="29"/>
      <c r="VQ123" s="29"/>
      <c r="VR123" s="29"/>
      <c r="VS123" s="29"/>
      <c r="VT123" s="29"/>
      <c r="VU123" s="29"/>
      <c r="VV123" s="29"/>
      <c r="VW123" s="29"/>
      <c r="VX123" s="29"/>
      <c r="VY123" s="29"/>
      <c r="VZ123" s="29"/>
      <c r="WA123" s="29"/>
      <c r="WB123" s="29"/>
      <c r="WC123" s="29"/>
      <c r="WD123" s="29"/>
      <c r="WE123" s="29"/>
      <c r="WF123" s="29"/>
      <c r="WG123" s="29"/>
      <c r="WH123" s="29"/>
      <c r="WI123" s="29"/>
      <c r="WJ123" s="29"/>
      <c r="WK123" s="29"/>
      <c r="WL123" s="29"/>
      <c r="WM123" s="29"/>
      <c r="WN123" s="29"/>
      <c r="WO123" s="29"/>
      <c r="WP123" s="29"/>
      <c r="WQ123" s="29"/>
      <c r="WR123" s="29"/>
      <c r="WS123" s="29"/>
    </row>
    <row r="124" spans="1:617" s="3" customFormat="1" ht="15" outlineLevel="1" thickBot="1">
      <c r="A124" s="33"/>
      <c r="B124" s="47" t="s">
        <v>253</v>
      </c>
      <c r="C124" s="42" t="s">
        <v>230</v>
      </c>
      <c r="D124" s="204">
        <f t="shared" ref="D124:D128" si="599">E121+1</f>
        <v>46226</v>
      </c>
      <c r="E124" s="116">
        <f t="shared" si="598"/>
        <v>46280</v>
      </c>
      <c r="F124" s="14"/>
      <c r="G124" s="14">
        <v>55</v>
      </c>
      <c r="H124" s="14"/>
      <c r="I124" s="14"/>
      <c r="J124" s="29"/>
      <c r="K124" s="29"/>
      <c r="L124" s="29"/>
      <c r="M124" s="29"/>
      <c r="N124" s="29"/>
      <c r="O124" s="29"/>
      <c r="P124" s="29"/>
      <c r="Q124" s="29"/>
      <c r="R124" s="29"/>
      <c r="S124" s="29"/>
      <c r="T124" s="29"/>
      <c r="U124" s="29"/>
      <c r="V124" s="29"/>
      <c r="W124" s="29"/>
      <c r="X124" s="29"/>
      <c r="Y124" s="30"/>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c r="MM124" s="29"/>
      <c r="MN124" s="29"/>
      <c r="MO124" s="29"/>
      <c r="MP124" s="29"/>
      <c r="MQ124" s="29"/>
      <c r="MR124" s="29"/>
      <c r="MS124" s="29"/>
      <c r="MT124" s="29"/>
      <c r="MU124" s="29"/>
      <c r="MV124" s="29"/>
      <c r="MW124" s="29"/>
      <c r="MX124" s="29"/>
      <c r="MY124" s="29"/>
      <c r="MZ124" s="29"/>
      <c r="NA124" s="29"/>
      <c r="NB124" s="29"/>
      <c r="NC124" s="29"/>
      <c r="ND124" s="29"/>
      <c r="NE124" s="29"/>
      <c r="NF124" s="29"/>
      <c r="NG124" s="29"/>
      <c r="NH124" s="29"/>
      <c r="NI124" s="29"/>
      <c r="NJ124" s="29"/>
      <c r="NK124" s="29"/>
      <c r="NL124" s="29"/>
      <c r="NM124" s="29"/>
      <c r="NN124" s="29"/>
      <c r="NO124" s="29"/>
      <c r="NP124" s="29"/>
      <c r="NQ124" s="29"/>
      <c r="NR124" s="29"/>
      <c r="NS124" s="29"/>
      <c r="NT124" s="29"/>
      <c r="NU124" s="29"/>
      <c r="NV124" s="29"/>
      <c r="NW124" s="29"/>
      <c r="NX124" s="29"/>
      <c r="NY124" s="29"/>
      <c r="NZ124" s="29"/>
      <c r="OA124" s="29"/>
      <c r="OB124" s="29"/>
      <c r="OC124" s="29"/>
      <c r="OD124" s="29"/>
      <c r="OE124" s="29"/>
      <c r="OF124" s="29"/>
      <c r="OG124" s="29"/>
      <c r="OH124" s="29"/>
      <c r="OI124" s="29"/>
      <c r="OJ124" s="29"/>
      <c r="OK124" s="29"/>
      <c r="OL124" s="29"/>
      <c r="OM124" s="29"/>
      <c r="ON124" s="29"/>
      <c r="OO124" s="29"/>
      <c r="OP124" s="29"/>
      <c r="OQ124" s="29"/>
      <c r="OR124" s="29"/>
      <c r="OS124" s="29"/>
      <c r="OT124" s="29"/>
      <c r="OU124" s="29"/>
      <c r="OV124" s="29"/>
      <c r="OW124" s="29"/>
      <c r="OX124" s="29"/>
      <c r="OY124" s="29"/>
      <c r="OZ124" s="29"/>
      <c r="PA124" s="29"/>
      <c r="PB124" s="29"/>
      <c r="PC124" s="29"/>
      <c r="PD124" s="29"/>
      <c r="PE124" s="29"/>
      <c r="PF124" s="29"/>
      <c r="PG124" s="29"/>
      <c r="PH124" s="29"/>
      <c r="PI124" s="29"/>
      <c r="PJ124" s="29"/>
      <c r="PK124" s="29"/>
      <c r="PL124" s="29"/>
      <c r="PM124" s="29"/>
      <c r="PN124" s="29"/>
      <c r="PO124" s="29"/>
      <c r="PP124" s="29"/>
      <c r="PQ124" s="29"/>
      <c r="PR124" s="29"/>
      <c r="PS124" s="29"/>
      <c r="PT124" s="29"/>
      <c r="PU124" s="29"/>
      <c r="PV124" s="29"/>
      <c r="PW124" s="29"/>
      <c r="PX124" s="29"/>
      <c r="PY124" s="29"/>
      <c r="PZ124" s="29"/>
      <c r="QA124" s="29"/>
      <c r="QB124" s="29"/>
      <c r="QC124" s="29"/>
      <c r="QD124" s="29"/>
      <c r="QE124" s="29"/>
      <c r="QF124" s="29"/>
      <c r="QG124" s="29"/>
      <c r="QH124" s="29"/>
      <c r="QI124" s="29"/>
      <c r="QJ124" s="29"/>
      <c r="QK124" s="29"/>
      <c r="QL124" s="29"/>
      <c r="QM124" s="29"/>
      <c r="QN124" s="29"/>
      <c r="QO124" s="29"/>
      <c r="QP124" s="29"/>
      <c r="QQ124" s="29"/>
      <c r="QR124" s="29"/>
      <c r="QS124" s="29"/>
      <c r="QT124" s="29"/>
      <c r="QU124" s="29"/>
      <c r="QV124" s="29"/>
      <c r="QW124" s="29"/>
      <c r="QX124" s="29"/>
      <c r="QY124" s="29"/>
      <c r="QZ124" s="29"/>
      <c r="RA124" s="29"/>
      <c r="RB124" s="29"/>
      <c r="RC124" s="29"/>
      <c r="RD124" s="29"/>
      <c r="RE124" s="29"/>
      <c r="RF124" s="29"/>
      <c r="RG124" s="29"/>
      <c r="RH124" s="29"/>
      <c r="RI124" s="29"/>
      <c r="RJ124" s="29"/>
      <c r="RK124" s="29"/>
      <c r="RL124" s="29"/>
      <c r="RM124" s="29"/>
      <c r="RN124" s="29"/>
      <c r="RO124" s="29"/>
      <c r="RP124" s="29"/>
      <c r="RQ124" s="29"/>
      <c r="RR124" s="29"/>
      <c r="RS124" s="29"/>
      <c r="RT124" s="29"/>
      <c r="RU124" s="29"/>
      <c r="RV124" s="29"/>
      <c r="RW124" s="29"/>
      <c r="RX124" s="29"/>
      <c r="RY124" s="29"/>
      <c r="RZ124" s="29"/>
      <c r="SA124" s="29"/>
      <c r="SB124" s="29"/>
      <c r="SC124" s="29"/>
      <c r="SD124" s="29"/>
      <c r="SE124" s="29"/>
      <c r="SF124" s="29"/>
      <c r="SG124" s="29"/>
      <c r="SH124" s="29"/>
      <c r="SI124" s="29"/>
      <c r="SJ124" s="29"/>
      <c r="SK124" s="29"/>
      <c r="SL124" s="29"/>
      <c r="SM124" s="29"/>
      <c r="SN124" s="29"/>
      <c r="SO124" s="29"/>
      <c r="SP124" s="29"/>
      <c r="SQ124" s="29"/>
      <c r="SR124" s="29"/>
      <c r="SS124" s="29"/>
      <c r="ST124" s="29"/>
      <c r="SU124" s="29"/>
      <c r="SV124" s="29"/>
      <c r="SW124" s="29"/>
      <c r="SX124" s="29"/>
      <c r="SY124" s="29"/>
      <c r="SZ124" s="29"/>
      <c r="TA124" s="29"/>
      <c r="TB124" s="29"/>
      <c r="TC124" s="29"/>
      <c r="TD124" s="29"/>
      <c r="TE124" s="29"/>
      <c r="TF124" s="29"/>
      <c r="TG124" s="29"/>
      <c r="TH124" s="29"/>
      <c r="TI124" s="29"/>
      <c r="TJ124" s="29"/>
      <c r="TK124" s="29"/>
      <c r="TL124" s="29"/>
      <c r="TM124" s="29"/>
      <c r="TN124" s="29"/>
      <c r="TO124" s="29"/>
      <c r="TP124" s="29"/>
      <c r="TQ124" s="29"/>
      <c r="TR124" s="29"/>
      <c r="TS124" s="29"/>
      <c r="TT124" s="29"/>
      <c r="TU124" s="29"/>
      <c r="TV124" s="29"/>
      <c r="TW124" s="29"/>
      <c r="TX124" s="29"/>
      <c r="TY124" s="29"/>
      <c r="TZ124" s="29"/>
      <c r="UA124" s="29"/>
      <c r="UB124" s="29"/>
      <c r="UC124" s="29"/>
      <c r="UD124" s="29"/>
      <c r="UE124" s="29"/>
      <c r="UF124" s="29"/>
      <c r="UG124" s="29"/>
      <c r="UH124" s="29"/>
      <c r="UI124" s="29"/>
      <c r="UJ124" s="29"/>
      <c r="UK124" s="29"/>
      <c r="UL124" s="29"/>
      <c r="UM124" s="29"/>
      <c r="UN124" s="29"/>
      <c r="UO124" s="29"/>
      <c r="UP124" s="29"/>
      <c r="UQ124" s="29"/>
      <c r="UR124" s="29"/>
      <c r="US124" s="29"/>
      <c r="UT124" s="29"/>
      <c r="UU124" s="29"/>
      <c r="UV124" s="29"/>
      <c r="UW124" s="29"/>
      <c r="UX124" s="29"/>
      <c r="UY124" s="29"/>
      <c r="UZ124" s="29"/>
      <c r="VA124" s="29"/>
      <c r="VB124" s="29"/>
      <c r="VC124" s="29"/>
      <c r="VD124" s="29"/>
      <c r="VE124" s="29"/>
      <c r="VF124" s="29"/>
      <c r="VG124" s="29"/>
      <c r="VH124" s="29"/>
      <c r="VI124" s="29"/>
      <c r="VJ124" s="29"/>
      <c r="VK124" s="29"/>
      <c r="VL124" s="29"/>
      <c r="VM124" s="29"/>
      <c r="VN124" s="29"/>
      <c r="VO124" s="29"/>
      <c r="VP124" s="29"/>
      <c r="VQ124" s="29"/>
      <c r="VR124" s="29"/>
      <c r="VS124" s="29"/>
      <c r="VT124" s="29"/>
      <c r="VU124" s="29"/>
      <c r="VV124" s="29"/>
      <c r="VW124" s="29"/>
      <c r="VX124" s="29"/>
      <c r="VY124" s="29"/>
      <c r="VZ124" s="29"/>
      <c r="WA124" s="29"/>
      <c r="WB124" s="29"/>
      <c r="WC124" s="29"/>
      <c r="WD124" s="29"/>
      <c r="WE124" s="29"/>
      <c r="WF124" s="29"/>
      <c r="WG124" s="29"/>
      <c r="WH124" s="29"/>
      <c r="WI124" s="29"/>
      <c r="WJ124" s="29"/>
      <c r="WK124" s="29"/>
      <c r="WL124" s="29"/>
      <c r="WM124" s="29"/>
      <c r="WN124" s="29"/>
      <c r="WO124" s="29"/>
      <c r="WP124" s="29"/>
      <c r="WQ124" s="29"/>
      <c r="WR124" s="29"/>
      <c r="WS124" s="29"/>
    </row>
    <row r="125" spans="1:617" s="3" customFormat="1" ht="15" outlineLevel="1" thickBot="1">
      <c r="A125" s="33" t="s">
        <v>257</v>
      </c>
      <c r="B125" s="146" t="s">
        <v>255</v>
      </c>
      <c r="C125" s="147" t="s">
        <v>197</v>
      </c>
      <c r="D125" s="206">
        <v>46233</v>
      </c>
      <c r="E125" s="210">
        <f>D125+G125-1</f>
        <v>46288</v>
      </c>
      <c r="F125" s="14"/>
      <c r="G125" s="14">
        <v>56</v>
      </c>
      <c r="H125" s="14"/>
      <c r="I125" s="14"/>
      <c r="J125" s="29"/>
      <c r="K125" s="29"/>
      <c r="L125" s="29"/>
      <c r="M125" s="29"/>
      <c r="N125" s="29"/>
      <c r="O125" s="29"/>
      <c r="P125" s="29"/>
      <c r="Q125" s="29"/>
      <c r="R125" s="29"/>
      <c r="S125" s="29"/>
      <c r="T125" s="29"/>
      <c r="U125" s="29"/>
      <c r="V125" s="29"/>
      <c r="W125" s="29"/>
      <c r="X125" s="29"/>
      <c r="Y125" s="30"/>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c r="MM125" s="29"/>
      <c r="MN125" s="29"/>
      <c r="MO125" s="29"/>
      <c r="MP125" s="29"/>
      <c r="MQ125" s="29"/>
      <c r="MR125" s="29"/>
      <c r="MS125" s="29"/>
      <c r="MT125" s="29"/>
      <c r="MU125" s="29"/>
      <c r="MV125" s="29"/>
      <c r="MW125" s="29"/>
      <c r="MX125" s="29"/>
      <c r="MY125" s="29"/>
      <c r="MZ125" s="29"/>
      <c r="NA125" s="29"/>
      <c r="NB125" s="29"/>
      <c r="NC125" s="29"/>
      <c r="ND125" s="29"/>
      <c r="NE125" s="29"/>
      <c r="NF125" s="29"/>
      <c r="NG125" s="29"/>
      <c r="NH125" s="29"/>
      <c r="NI125" s="29"/>
      <c r="NJ125" s="29"/>
      <c r="NK125" s="29"/>
      <c r="NL125" s="29"/>
      <c r="NM125" s="29"/>
      <c r="NN125" s="29"/>
      <c r="NO125" s="29"/>
      <c r="NP125" s="29"/>
      <c r="NQ125" s="29"/>
      <c r="NR125" s="29"/>
      <c r="NS125" s="29"/>
      <c r="NT125" s="29"/>
      <c r="NU125" s="29"/>
      <c r="NV125" s="29"/>
      <c r="NW125" s="29"/>
      <c r="NX125" s="29"/>
      <c r="NY125" s="29"/>
      <c r="NZ125" s="29"/>
      <c r="OA125" s="29"/>
      <c r="OB125" s="29"/>
      <c r="OC125" s="29"/>
      <c r="OD125" s="29"/>
      <c r="OE125" s="29"/>
      <c r="OF125" s="29"/>
      <c r="OG125" s="29"/>
      <c r="OH125" s="29"/>
      <c r="OI125" s="29"/>
      <c r="OJ125" s="29"/>
      <c r="OK125" s="29"/>
      <c r="OL125" s="29"/>
      <c r="OM125" s="29"/>
      <c r="ON125" s="29"/>
      <c r="OO125" s="29"/>
      <c r="OP125" s="29"/>
      <c r="OQ125" s="29"/>
      <c r="OR125" s="29"/>
      <c r="OS125" s="29"/>
      <c r="OT125" s="29"/>
      <c r="OU125" s="29"/>
      <c r="OV125" s="29"/>
      <c r="OW125" s="29"/>
      <c r="OX125" s="29"/>
      <c r="OY125" s="29"/>
      <c r="OZ125" s="29"/>
      <c r="PA125" s="29"/>
      <c r="PB125" s="29"/>
      <c r="PC125" s="29"/>
      <c r="PD125" s="29"/>
      <c r="PE125" s="29"/>
      <c r="PF125" s="29"/>
      <c r="PG125" s="29"/>
      <c r="PH125" s="29"/>
      <c r="PI125" s="29"/>
      <c r="PJ125" s="29"/>
      <c r="PK125" s="29"/>
      <c r="PL125" s="29"/>
      <c r="PM125" s="29"/>
      <c r="PN125" s="29"/>
      <c r="PO125" s="29"/>
      <c r="PP125" s="29"/>
      <c r="PQ125" s="29"/>
      <c r="PR125" s="29"/>
      <c r="PS125" s="29"/>
      <c r="PT125" s="29"/>
      <c r="PU125" s="29"/>
      <c r="PV125" s="29"/>
      <c r="PW125" s="29"/>
      <c r="PX125" s="29"/>
      <c r="PY125" s="29"/>
      <c r="PZ125" s="29"/>
      <c r="QA125" s="29"/>
      <c r="QB125" s="29"/>
      <c r="QC125" s="29"/>
      <c r="QD125" s="29"/>
      <c r="QE125" s="29"/>
      <c r="QF125" s="29"/>
      <c r="QG125" s="29"/>
      <c r="QH125" s="29"/>
      <c r="QI125" s="29"/>
      <c r="QJ125" s="29"/>
      <c r="QK125" s="29"/>
      <c r="QL125" s="29"/>
      <c r="QM125" s="29"/>
      <c r="QN125" s="29"/>
      <c r="QO125" s="29"/>
      <c r="QP125" s="29"/>
      <c r="QQ125" s="29"/>
      <c r="QR125" s="29"/>
      <c r="QS125" s="29"/>
      <c r="QT125" s="29"/>
      <c r="QU125" s="29"/>
      <c r="QV125" s="29"/>
      <c r="QW125" s="29"/>
      <c r="QX125" s="29"/>
      <c r="QY125" s="29"/>
      <c r="QZ125" s="29"/>
      <c r="RA125" s="29"/>
      <c r="RB125" s="29"/>
      <c r="RC125" s="29"/>
      <c r="RD125" s="29"/>
      <c r="RE125" s="29"/>
      <c r="RF125" s="29"/>
      <c r="RG125" s="29"/>
      <c r="RH125" s="29"/>
      <c r="RI125" s="29"/>
      <c r="RJ125" s="29"/>
      <c r="RK125" s="29"/>
      <c r="RL125" s="29"/>
      <c r="RM125" s="29"/>
      <c r="RN125" s="29"/>
      <c r="RO125" s="29"/>
      <c r="RP125" s="29"/>
      <c r="RQ125" s="29"/>
      <c r="RR125" s="29"/>
      <c r="RS125" s="29"/>
      <c r="RT125" s="29"/>
      <c r="RU125" s="29"/>
      <c r="RV125" s="29"/>
      <c r="RW125" s="29"/>
      <c r="RX125" s="29"/>
      <c r="RY125" s="29"/>
      <c r="RZ125" s="29"/>
      <c r="SA125" s="29"/>
      <c r="SB125" s="29"/>
      <c r="SC125" s="29"/>
      <c r="SD125" s="29"/>
      <c r="SE125" s="29"/>
      <c r="SF125" s="29"/>
      <c r="SG125" s="29"/>
      <c r="SH125" s="29"/>
      <c r="SI125" s="29"/>
      <c r="SJ125" s="29"/>
      <c r="SK125" s="29"/>
      <c r="SL125" s="29"/>
      <c r="SM125" s="29"/>
      <c r="SN125" s="29"/>
      <c r="SO125" s="29"/>
      <c r="SP125" s="29"/>
      <c r="SQ125" s="29"/>
      <c r="SR125" s="29"/>
      <c r="SS125" s="29"/>
      <c r="ST125" s="29"/>
      <c r="SU125" s="29"/>
      <c r="SV125" s="29"/>
      <c r="SW125" s="29"/>
      <c r="SX125" s="29"/>
      <c r="SY125" s="29"/>
      <c r="SZ125" s="29"/>
      <c r="TA125" s="29"/>
      <c r="TB125" s="29"/>
      <c r="TC125" s="29"/>
      <c r="TD125" s="29"/>
      <c r="TE125" s="29"/>
      <c r="TF125" s="29"/>
      <c r="TG125" s="29"/>
      <c r="TH125" s="29"/>
      <c r="TI125" s="29"/>
      <c r="TJ125" s="29"/>
      <c r="TK125" s="29"/>
      <c r="TL125" s="29"/>
      <c r="TM125" s="29"/>
      <c r="TN125" s="29"/>
      <c r="TO125" s="29"/>
      <c r="TP125" s="29"/>
      <c r="TQ125" s="29"/>
      <c r="TR125" s="29"/>
      <c r="TS125" s="29"/>
      <c r="TT125" s="29"/>
      <c r="TU125" s="29"/>
      <c r="TV125" s="29"/>
      <c r="TW125" s="29"/>
      <c r="TX125" s="29"/>
      <c r="TY125" s="29"/>
      <c r="TZ125" s="29"/>
      <c r="UA125" s="29"/>
      <c r="UB125" s="29"/>
      <c r="UC125" s="29"/>
      <c r="UD125" s="29"/>
      <c r="UE125" s="29"/>
      <c r="UF125" s="29"/>
      <c r="UG125" s="29"/>
      <c r="UH125" s="29"/>
      <c r="UI125" s="29"/>
      <c r="UJ125" s="29"/>
      <c r="UK125" s="29"/>
      <c r="UL125" s="29"/>
      <c r="UM125" s="29"/>
      <c r="UN125" s="29"/>
      <c r="UO125" s="29"/>
      <c r="UP125" s="29"/>
      <c r="UQ125" s="29"/>
      <c r="UR125" s="29"/>
      <c r="US125" s="29"/>
      <c r="UT125" s="29"/>
      <c r="UU125" s="29"/>
      <c r="UV125" s="29"/>
      <c r="UW125" s="29"/>
      <c r="UX125" s="29"/>
      <c r="UY125" s="29"/>
      <c r="UZ125" s="29"/>
      <c r="VA125" s="29"/>
      <c r="VB125" s="29"/>
      <c r="VC125" s="29"/>
      <c r="VD125" s="29"/>
      <c r="VE125" s="29"/>
      <c r="VF125" s="29"/>
      <c r="VG125" s="29"/>
      <c r="VH125" s="29"/>
      <c r="VI125" s="29"/>
      <c r="VJ125" s="29"/>
      <c r="VK125" s="29"/>
      <c r="VL125" s="29"/>
      <c r="VM125" s="29"/>
      <c r="VN125" s="29"/>
      <c r="VO125" s="29"/>
      <c r="VP125" s="29"/>
      <c r="VQ125" s="29"/>
      <c r="VR125" s="29"/>
      <c r="VS125" s="29"/>
      <c r="VT125" s="29"/>
      <c r="VU125" s="29"/>
      <c r="VV125" s="29"/>
      <c r="VW125" s="29"/>
      <c r="VX125" s="29"/>
      <c r="VY125" s="29"/>
      <c r="VZ125" s="29"/>
      <c r="WA125" s="29"/>
      <c r="WB125" s="29"/>
      <c r="WC125" s="29"/>
      <c r="WD125" s="29"/>
      <c r="WE125" s="29"/>
      <c r="WF125" s="29"/>
      <c r="WG125" s="29"/>
      <c r="WH125" s="29"/>
      <c r="WI125" s="29"/>
      <c r="WJ125" s="29"/>
      <c r="WK125" s="29"/>
      <c r="WL125" s="29"/>
      <c r="WM125" s="29"/>
      <c r="WN125" s="29"/>
      <c r="WO125" s="29"/>
      <c r="WP125" s="29"/>
      <c r="WQ125" s="29"/>
      <c r="WR125" s="29"/>
      <c r="WS125" s="29"/>
    </row>
    <row r="126" spans="1:617" s="3" customFormat="1" ht="15" outlineLevel="1" thickBot="1">
      <c r="A126" s="33"/>
      <c r="B126" s="47" t="s">
        <v>254</v>
      </c>
      <c r="C126" s="42"/>
      <c r="D126" s="204"/>
      <c r="E126" s="116"/>
      <c r="F126" s="14"/>
      <c r="G126" s="14">
        <v>56</v>
      </c>
      <c r="H126" s="14"/>
      <c r="I126" s="14"/>
      <c r="J126" s="29"/>
      <c r="K126" s="29"/>
      <c r="L126" s="29"/>
      <c r="M126" s="29"/>
      <c r="N126" s="29"/>
      <c r="O126" s="29"/>
      <c r="P126" s="29"/>
      <c r="Q126" s="29"/>
      <c r="R126" s="29"/>
      <c r="S126" s="29"/>
      <c r="T126" s="29"/>
      <c r="U126" s="29"/>
      <c r="V126" s="29"/>
      <c r="W126" s="29"/>
      <c r="X126" s="29"/>
      <c r="Y126" s="30"/>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c r="MM126" s="29"/>
      <c r="MN126" s="29"/>
      <c r="MO126" s="29"/>
      <c r="MP126" s="29"/>
      <c r="MQ126" s="29"/>
      <c r="MR126" s="29"/>
      <c r="MS126" s="29"/>
      <c r="MT126" s="29"/>
      <c r="MU126" s="29"/>
      <c r="MV126" s="29"/>
      <c r="MW126" s="29"/>
      <c r="MX126" s="29"/>
      <c r="MY126" s="29"/>
      <c r="MZ126" s="29"/>
      <c r="NA126" s="29"/>
      <c r="NB126" s="29"/>
      <c r="NC126" s="29"/>
      <c r="ND126" s="29"/>
      <c r="NE126" s="29"/>
      <c r="NF126" s="29"/>
      <c r="NG126" s="29"/>
      <c r="NH126" s="29"/>
      <c r="NI126" s="29"/>
      <c r="NJ126" s="29"/>
      <c r="NK126" s="29"/>
      <c r="NL126" s="29"/>
      <c r="NM126" s="29"/>
      <c r="NN126" s="29"/>
      <c r="NO126" s="29"/>
      <c r="NP126" s="29"/>
      <c r="NQ126" s="29"/>
      <c r="NR126" s="29"/>
      <c r="NS126" s="29"/>
      <c r="NT126" s="29"/>
      <c r="NU126" s="29"/>
      <c r="NV126" s="29"/>
      <c r="NW126" s="29"/>
      <c r="NX126" s="29"/>
      <c r="NY126" s="29"/>
      <c r="NZ126" s="29"/>
      <c r="OA126" s="29"/>
      <c r="OB126" s="29"/>
      <c r="OC126" s="29"/>
      <c r="OD126" s="29"/>
      <c r="OE126" s="29"/>
      <c r="OF126" s="29"/>
      <c r="OG126" s="29"/>
      <c r="OH126" s="29"/>
      <c r="OI126" s="29"/>
      <c r="OJ126" s="29"/>
      <c r="OK126" s="29"/>
      <c r="OL126" s="29"/>
      <c r="OM126" s="29"/>
      <c r="ON126" s="29"/>
      <c r="OO126" s="29"/>
      <c r="OP126" s="29"/>
      <c r="OQ126" s="29"/>
      <c r="OR126" s="29"/>
      <c r="OS126" s="29"/>
      <c r="OT126" s="29"/>
      <c r="OU126" s="29"/>
      <c r="OV126" s="29"/>
      <c r="OW126" s="29"/>
      <c r="OX126" s="29"/>
      <c r="OY126" s="29"/>
      <c r="OZ126" s="29"/>
      <c r="PA126" s="29"/>
      <c r="PB126" s="29"/>
      <c r="PC126" s="29"/>
      <c r="PD126" s="29"/>
      <c r="PE126" s="29"/>
      <c r="PF126" s="29"/>
      <c r="PG126" s="29"/>
      <c r="PH126" s="29"/>
      <c r="PI126" s="29"/>
      <c r="PJ126" s="29"/>
      <c r="PK126" s="29"/>
      <c r="PL126" s="29"/>
      <c r="PM126" s="29"/>
      <c r="PN126" s="29"/>
      <c r="PO126" s="29"/>
      <c r="PP126" s="29"/>
      <c r="PQ126" s="29"/>
      <c r="PR126" s="29"/>
      <c r="PS126" s="29"/>
      <c r="PT126" s="29"/>
      <c r="PU126" s="29"/>
      <c r="PV126" s="29"/>
      <c r="PW126" s="29"/>
      <c r="PX126" s="29"/>
      <c r="PY126" s="29"/>
      <c r="PZ126" s="29"/>
      <c r="QA126" s="29"/>
      <c r="QB126" s="29"/>
      <c r="QC126" s="29"/>
      <c r="QD126" s="29"/>
      <c r="QE126" s="29"/>
      <c r="QF126" s="29"/>
      <c r="QG126" s="29"/>
      <c r="QH126" s="29"/>
      <c r="QI126" s="29"/>
      <c r="QJ126" s="29"/>
      <c r="QK126" s="29"/>
      <c r="QL126" s="29"/>
      <c r="QM126" s="29"/>
      <c r="QN126" s="29"/>
      <c r="QO126" s="29"/>
      <c r="QP126" s="29"/>
      <c r="QQ126" s="29"/>
      <c r="QR126" s="29"/>
      <c r="QS126" s="29"/>
      <c r="QT126" s="29"/>
      <c r="QU126" s="29"/>
      <c r="QV126" s="29"/>
      <c r="QW126" s="29"/>
      <c r="QX126" s="29"/>
      <c r="QY126" s="29"/>
      <c r="QZ126" s="29"/>
      <c r="RA126" s="29"/>
      <c r="RB126" s="29"/>
      <c r="RC126" s="29"/>
      <c r="RD126" s="29"/>
      <c r="RE126" s="29"/>
      <c r="RF126" s="29"/>
      <c r="RG126" s="29"/>
      <c r="RH126" s="29"/>
      <c r="RI126" s="29"/>
      <c r="RJ126" s="29"/>
      <c r="RK126" s="29"/>
      <c r="RL126" s="29"/>
      <c r="RM126" s="29"/>
      <c r="RN126" s="29"/>
      <c r="RO126" s="29"/>
      <c r="RP126" s="29"/>
      <c r="RQ126" s="29"/>
      <c r="RR126" s="29"/>
      <c r="RS126" s="29"/>
      <c r="RT126" s="29"/>
      <c r="RU126" s="29"/>
      <c r="RV126" s="29"/>
      <c r="RW126" s="29"/>
      <c r="RX126" s="29"/>
      <c r="RY126" s="29"/>
      <c r="RZ126" s="29"/>
      <c r="SA126" s="29"/>
      <c r="SB126" s="29"/>
      <c r="SC126" s="29"/>
      <c r="SD126" s="29"/>
      <c r="SE126" s="29"/>
      <c r="SF126" s="29"/>
      <c r="SG126" s="29"/>
      <c r="SH126" s="29"/>
      <c r="SI126" s="29"/>
      <c r="SJ126" s="29"/>
      <c r="SK126" s="29"/>
      <c r="SL126" s="29"/>
      <c r="SM126" s="29"/>
      <c r="SN126" s="29"/>
      <c r="SO126" s="29"/>
      <c r="SP126" s="29"/>
      <c r="SQ126" s="29"/>
      <c r="SR126" s="29"/>
      <c r="SS126" s="29"/>
      <c r="ST126" s="29"/>
      <c r="SU126" s="29"/>
      <c r="SV126" s="29"/>
      <c r="SW126" s="29"/>
      <c r="SX126" s="29"/>
      <c r="SY126" s="29"/>
      <c r="SZ126" s="29"/>
      <c r="TA126" s="29"/>
      <c r="TB126" s="29"/>
      <c r="TC126" s="29"/>
      <c r="TD126" s="29"/>
      <c r="TE126" s="29"/>
      <c r="TF126" s="29"/>
      <c r="TG126" s="29"/>
      <c r="TH126" s="29"/>
      <c r="TI126" s="29"/>
      <c r="TJ126" s="29"/>
      <c r="TK126" s="29"/>
      <c r="TL126" s="29"/>
      <c r="TM126" s="29"/>
      <c r="TN126" s="29"/>
      <c r="TO126" s="29"/>
      <c r="TP126" s="29"/>
      <c r="TQ126" s="29"/>
      <c r="TR126" s="29"/>
      <c r="TS126" s="29"/>
      <c r="TT126" s="29"/>
      <c r="TU126" s="29"/>
      <c r="TV126" s="29"/>
      <c r="TW126" s="29"/>
      <c r="TX126" s="29"/>
      <c r="TY126" s="29"/>
      <c r="TZ126" s="29"/>
      <c r="UA126" s="29"/>
      <c r="UB126" s="29"/>
      <c r="UC126" s="29"/>
      <c r="UD126" s="29"/>
      <c r="UE126" s="29"/>
      <c r="UF126" s="29"/>
      <c r="UG126" s="29"/>
      <c r="UH126" s="29"/>
      <c r="UI126" s="29"/>
      <c r="UJ126" s="29"/>
      <c r="UK126" s="29"/>
      <c r="UL126" s="29"/>
      <c r="UM126" s="29"/>
      <c r="UN126" s="29"/>
      <c r="UO126" s="29"/>
      <c r="UP126" s="29"/>
      <c r="UQ126" s="29"/>
      <c r="UR126" s="29"/>
      <c r="US126" s="29"/>
      <c r="UT126" s="29"/>
      <c r="UU126" s="29"/>
      <c r="UV126" s="29"/>
      <c r="UW126" s="29"/>
      <c r="UX126" s="29"/>
      <c r="UY126" s="29"/>
      <c r="UZ126" s="29"/>
      <c r="VA126" s="29"/>
      <c r="VB126" s="29"/>
      <c r="VC126" s="29"/>
      <c r="VD126" s="29"/>
      <c r="VE126" s="29"/>
      <c r="VF126" s="29"/>
      <c r="VG126" s="29"/>
      <c r="VH126" s="29"/>
      <c r="VI126" s="29"/>
      <c r="VJ126" s="29"/>
      <c r="VK126" s="29"/>
      <c r="VL126" s="29"/>
      <c r="VM126" s="29"/>
      <c r="VN126" s="29"/>
      <c r="VO126" s="29"/>
      <c r="VP126" s="29"/>
      <c r="VQ126" s="29"/>
      <c r="VR126" s="29"/>
      <c r="VS126" s="29"/>
      <c r="VT126" s="29"/>
      <c r="VU126" s="29"/>
      <c r="VV126" s="29"/>
      <c r="VW126" s="29"/>
      <c r="VX126" s="29"/>
      <c r="VY126" s="29"/>
      <c r="VZ126" s="29"/>
      <c r="WA126" s="29"/>
      <c r="WB126" s="29"/>
      <c r="WC126" s="29"/>
      <c r="WD126" s="29"/>
      <c r="WE126" s="29"/>
      <c r="WF126" s="29"/>
      <c r="WG126" s="29"/>
      <c r="WH126" s="29"/>
      <c r="WI126" s="29"/>
      <c r="WJ126" s="29"/>
      <c r="WK126" s="29"/>
      <c r="WL126" s="29"/>
      <c r="WM126" s="29"/>
      <c r="WN126" s="29"/>
      <c r="WO126" s="29"/>
      <c r="WP126" s="29"/>
      <c r="WQ126" s="29"/>
      <c r="WR126" s="29"/>
      <c r="WS126" s="29"/>
    </row>
    <row r="127" spans="1:617" s="3" customFormat="1" ht="15" outlineLevel="1" thickBot="1">
      <c r="A127" s="33"/>
      <c r="B127" s="47" t="s">
        <v>253</v>
      </c>
      <c r="C127" s="42" t="s">
        <v>177</v>
      </c>
      <c r="D127" s="116">
        <v>46223</v>
      </c>
      <c r="E127" s="116">
        <f>D127+G127-1</f>
        <v>46278</v>
      </c>
      <c r="F127" s="14"/>
      <c r="G127" s="14">
        <v>56</v>
      </c>
      <c r="H127" s="14"/>
      <c r="I127" s="14"/>
      <c r="J127" s="29"/>
      <c r="K127" s="29"/>
      <c r="L127" s="29"/>
      <c r="M127" s="29"/>
      <c r="N127" s="29"/>
      <c r="O127" s="29"/>
      <c r="P127" s="29"/>
      <c r="Q127" s="29"/>
      <c r="R127" s="29"/>
      <c r="S127" s="29"/>
      <c r="T127" s="29"/>
      <c r="U127" s="29"/>
      <c r="V127" s="29"/>
      <c r="W127" s="29"/>
      <c r="X127" s="29"/>
      <c r="Y127" s="30"/>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c r="MM127" s="29"/>
      <c r="MN127" s="29"/>
      <c r="MO127" s="29"/>
      <c r="MP127" s="29"/>
      <c r="MQ127" s="29"/>
      <c r="MR127" s="29"/>
      <c r="MS127" s="29"/>
      <c r="MT127" s="29"/>
      <c r="MU127" s="29"/>
      <c r="MV127" s="29"/>
      <c r="MW127" s="29"/>
      <c r="MX127" s="29"/>
      <c r="MY127" s="29"/>
      <c r="MZ127" s="29"/>
      <c r="NA127" s="29"/>
      <c r="NB127" s="29"/>
      <c r="NC127" s="29"/>
      <c r="ND127" s="29"/>
      <c r="NE127" s="29"/>
      <c r="NF127" s="29"/>
      <c r="NG127" s="29"/>
      <c r="NH127" s="29"/>
      <c r="NI127" s="29"/>
      <c r="NJ127" s="29"/>
      <c r="NK127" s="29"/>
      <c r="NL127" s="29"/>
      <c r="NM127" s="29"/>
      <c r="NN127" s="29"/>
      <c r="NO127" s="29"/>
      <c r="NP127" s="29"/>
      <c r="NQ127" s="29"/>
      <c r="NR127" s="29"/>
      <c r="NS127" s="29"/>
      <c r="NT127" s="29"/>
      <c r="NU127" s="29"/>
      <c r="NV127" s="29"/>
      <c r="NW127" s="29"/>
      <c r="NX127" s="29"/>
      <c r="NY127" s="29"/>
      <c r="NZ127" s="29"/>
      <c r="OA127" s="29"/>
      <c r="OB127" s="29"/>
      <c r="OC127" s="29"/>
      <c r="OD127" s="29"/>
      <c r="OE127" s="29"/>
      <c r="OF127" s="29"/>
      <c r="OG127" s="29"/>
      <c r="OH127" s="29"/>
      <c r="OI127" s="29"/>
      <c r="OJ127" s="29"/>
      <c r="OK127" s="29"/>
      <c r="OL127" s="29"/>
      <c r="OM127" s="29"/>
      <c r="ON127" s="29"/>
      <c r="OO127" s="29"/>
      <c r="OP127" s="29"/>
      <c r="OQ127" s="29"/>
      <c r="OR127" s="29"/>
      <c r="OS127" s="29"/>
      <c r="OT127" s="29"/>
      <c r="OU127" s="29"/>
      <c r="OV127" s="29"/>
      <c r="OW127" s="29"/>
      <c r="OX127" s="29"/>
      <c r="OY127" s="29"/>
      <c r="OZ127" s="29"/>
      <c r="PA127" s="29"/>
      <c r="PB127" s="29"/>
      <c r="PC127" s="29"/>
      <c r="PD127" s="29"/>
      <c r="PE127" s="29"/>
      <c r="PF127" s="29"/>
      <c r="PG127" s="29"/>
      <c r="PH127" s="29"/>
      <c r="PI127" s="29"/>
      <c r="PJ127" s="29"/>
      <c r="PK127" s="29"/>
      <c r="PL127" s="29"/>
      <c r="PM127" s="29"/>
      <c r="PN127" s="29"/>
      <c r="PO127" s="29"/>
      <c r="PP127" s="29"/>
      <c r="PQ127" s="29"/>
      <c r="PR127" s="29"/>
      <c r="PS127" s="29"/>
      <c r="PT127" s="29"/>
      <c r="PU127" s="29"/>
      <c r="PV127" s="29"/>
      <c r="PW127" s="29"/>
      <c r="PX127" s="29"/>
      <c r="PY127" s="29"/>
      <c r="PZ127" s="29"/>
      <c r="QA127" s="29"/>
      <c r="QB127" s="29"/>
      <c r="QC127" s="29"/>
      <c r="QD127" s="29"/>
      <c r="QE127" s="29"/>
      <c r="QF127" s="29"/>
      <c r="QG127" s="29"/>
      <c r="QH127" s="29"/>
      <c r="QI127" s="29"/>
      <c r="QJ127" s="29"/>
      <c r="QK127" s="29"/>
      <c r="QL127" s="29"/>
      <c r="QM127" s="29"/>
      <c r="QN127" s="29"/>
      <c r="QO127" s="29"/>
      <c r="QP127" s="29"/>
      <c r="QQ127" s="29"/>
      <c r="QR127" s="29"/>
      <c r="QS127" s="29"/>
      <c r="QT127" s="29"/>
      <c r="QU127" s="29"/>
      <c r="QV127" s="29"/>
      <c r="QW127" s="29"/>
      <c r="QX127" s="29"/>
      <c r="QY127" s="29"/>
      <c r="QZ127" s="29"/>
      <c r="RA127" s="29"/>
      <c r="RB127" s="29"/>
      <c r="RC127" s="29"/>
      <c r="RD127" s="29"/>
      <c r="RE127" s="29"/>
      <c r="RF127" s="29"/>
      <c r="RG127" s="29"/>
      <c r="RH127" s="29"/>
      <c r="RI127" s="29"/>
      <c r="RJ127" s="29"/>
      <c r="RK127" s="29"/>
      <c r="RL127" s="29"/>
      <c r="RM127" s="29"/>
      <c r="RN127" s="29"/>
      <c r="RO127" s="29"/>
      <c r="RP127" s="29"/>
      <c r="RQ127" s="29"/>
      <c r="RR127" s="29"/>
      <c r="RS127" s="29"/>
      <c r="RT127" s="29"/>
      <c r="RU127" s="29"/>
      <c r="RV127" s="29"/>
      <c r="RW127" s="29"/>
      <c r="RX127" s="29"/>
      <c r="RY127" s="29"/>
      <c r="RZ127" s="29"/>
      <c r="SA127" s="29"/>
      <c r="SB127" s="29"/>
      <c r="SC127" s="29"/>
      <c r="SD127" s="29"/>
      <c r="SE127" s="29"/>
      <c r="SF127" s="29"/>
      <c r="SG127" s="29"/>
      <c r="SH127" s="29"/>
      <c r="SI127" s="29"/>
      <c r="SJ127" s="29"/>
      <c r="SK127" s="29"/>
      <c r="SL127" s="29"/>
      <c r="SM127" s="29"/>
      <c r="SN127" s="29"/>
      <c r="SO127" s="29"/>
      <c r="SP127" s="29"/>
      <c r="SQ127" s="29"/>
      <c r="SR127" s="29"/>
      <c r="SS127" s="29"/>
      <c r="ST127" s="29"/>
      <c r="SU127" s="29"/>
      <c r="SV127" s="29"/>
      <c r="SW127" s="29"/>
      <c r="SX127" s="29"/>
      <c r="SY127" s="29"/>
      <c r="SZ127" s="29"/>
      <c r="TA127" s="29"/>
      <c r="TB127" s="29"/>
      <c r="TC127" s="29"/>
      <c r="TD127" s="29"/>
      <c r="TE127" s="29"/>
      <c r="TF127" s="29"/>
      <c r="TG127" s="29"/>
      <c r="TH127" s="29"/>
      <c r="TI127" s="29"/>
      <c r="TJ127" s="29"/>
      <c r="TK127" s="29"/>
      <c r="TL127" s="29"/>
      <c r="TM127" s="29"/>
      <c r="TN127" s="29"/>
      <c r="TO127" s="29"/>
      <c r="TP127" s="29"/>
      <c r="TQ127" s="29"/>
      <c r="TR127" s="29"/>
      <c r="TS127" s="29"/>
      <c r="TT127" s="29"/>
      <c r="TU127" s="29"/>
      <c r="TV127" s="29"/>
      <c r="TW127" s="29"/>
      <c r="TX127" s="29"/>
      <c r="TY127" s="29"/>
      <c r="TZ127" s="29"/>
      <c r="UA127" s="29"/>
      <c r="UB127" s="29"/>
      <c r="UC127" s="29"/>
      <c r="UD127" s="29"/>
      <c r="UE127" s="29"/>
      <c r="UF127" s="29"/>
      <c r="UG127" s="29"/>
      <c r="UH127" s="29"/>
      <c r="UI127" s="29"/>
      <c r="UJ127" s="29"/>
      <c r="UK127" s="29"/>
      <c r="UL127" s="29"/>
      <c r="UM127" s="29"/>
      <c r="UN127" s="29"/>
      <c r="UO127" s="29"/>
      <c r="UP127" s="29"/>
      <c r="UQ127" s="29"/>
      <c r="UR127" s="29"/>
      <c r="US127" s="29"/>
      <c r="UT127" s="29"/>
      <c r="UU127" s="29"/>
      <c r="UV127" s="29"/>
      <c r="UW127" s="29"/>
      <c r="UX127" s="29"/>
      <c r="UY127" s="29"/>
      <c r="UZ127" s="29"/>
      <c r="VA127" s="29"/>
      <c r="VB127" s="29"/>
      <c r="VC127" s="29"/>
      <c r="VD127" s="29"/>
      <c r="VE127" s="29"/>
      <c r="VF127" s="29"/>
      <c r="VG127" s="29"/>
      <c r="VH127" s="29"/>
      <c r="VI127" s="29"/>
      <c r="VJ127" s="29"/>
      <c r="VK127" s="29"/>
      <c r="VL127" s="29"/>
      <c r="VM127" s="29"/>
      <c r="VN127" s="29"/>
      <c r="VO127" s="29"/>
      <c r="VP127" s="29"/>
      <c r="VQ127" s="29"/>
      <c r="VR127" s="29"/>
      <c r="VS127" s="29"/>
      <c r="VT127" s="29"/>
      <c r="VU127" s="29"/>
      <c r="VV127" s="29"/>
      <c r="VW127" s="29"/>
      <c r="VX127" s="29"/>
      <c r="VY127" s="29"/>
      <c r="VZ127" s="29"/>
      <c r="WA127" s="29"/>
      <c r="WB127" s="29"/>
      <c r="WC127" s="29"/>
      <c r="WD127" s="29"/>
      <c r="WE127" s="29"/>
      <c r="WF127" s="29"/>
      <c r="WG127" s="29"/>
      <c r="WH127" s="29"/>
      <c r="WI127" s="29"/>
      <c r="WJ127" s="29"/>
      <c r="WK127" s="29"/>
      <c r="WL127" s="29"/>
      <c r="WM127" s="29"/>
      <c r="WN127" s="29"/>
      <c r="WO127" s="29"/>
      <c r="WP127" s="29"/>
      <c r="WQ127" s="29"/>
      <c r="WR127" s="29"/>
      <c r="WS127" s="29"/>
    </row>
    <row r="128" spans="1:617" s="3" customFormat="1" ht="15" outlineLevel="1" thickBot="1">
      <c r="A128" s="33"/>
      <c r="B128" s="146" t="s">
        <v>255</v>
      </c>
      <c r="C128" s="147" t="s">
        <v>258</v>
      </c>
      <c r="D128" s="148">
        <f t="shared" si="599"/>
        <v>46289</v>
      </c>
      <c r="E128" s="148">
        <f t="shared" si="598"/>
        <v>46344</v>
      </c>
      <c r="F128" s="14"/>
      <c r="G128" s="14">
        <v>56</v>
      </c>
      <c r="H128" s="14"/>
      <c r="I128" s="14"/>
      <c r="J128" s="29"/>
      <c r="K128" s="29"/>
      <c r="L128" s="29"/>
      <c r="M128" s="29"/>
      <c r="N128" s="29"/>
      <c r="O128" s="29"/>
      <c r="P128" s="29"/>
      <c r="Q128" s="29"/>
      <c r="R128" s="29"/>
      <c r="S128" s="29"/>
      <c r="T128" s="29"/>
      <c r="U128" s="29"/>
      <c r="V128" s="29"/>
      <c r="W128" s="29"/>
      <c r="X128" s="29"/>
      <c r="Y128" s="30"/>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c r="MM128" s="29"/>
      <c r="MN128" s="29"/>
      <c r="MO128" s="29"/>
      <c r="MP128" s="29"/>
      <c r="MQ128" s="29"/>
      <c r="MR128" s="29"/>
      <c r="MS128" s="29"/>
      <c r="MT128" s="29"/>
      <c r="MU128" s="29"/>
      <c r="MV128" s="29"/>
      <c r="MW128" s="29"/>
      <c r="MX128" s="29"/>
      <c r="MY128" s="29"/>
      <c r="MZ128" s="29"/>
      <c r="NA128" s="29"/>
      <c r="NB128" s="29"/>
      <c r="NC128" s="29"/>
      <c r="ND128" s="29"/>
      <c r="NE128" s="29"/>
      <c r="NF128" s="29"/>
      <c r="NG128" s="29"/>
      <c r="NH128" s="29"/>
      <c r="NI128" s="29"/>
      <c r="NJ128" s="29"/>
      <c r="NK128" s="29"/>
      <c r="NL128" s="29"/>
      <c r="NM128" s="29"/>
      <c r="NN128" s="29"/>
      <c r="NO128" s="29"/>
      <c r="NP128" s="29"/>
      <c r="NQ128" s="29"/>
      <c r="NR128" s="29"/>
      <c r="NS128" s="29"/>
      <c r="NT128" s="29"/>
      <c r="NU128" s="29"/>
      <c r="NV128" s="29"/>
      <c r="NW128" s="29"/>
      <c r="NX128" s="29"/>
      <c r="NY128" s="29"/>
      <c r="NZ128" s="29"/>
      <c r="OA128" s="29"/>
      <c r="OB128" s="29"/>
      <c r="OC128" s="29"/>
      <c r="OD128" s="29"/>
      <c r="OE128" s="29"/>
      <c r="OF128" s="29"/>
      <c r="OG128" s="29"/>
      <c r="OH128" s="29"/>
      <c r="OI128" s="29"/>
      <c r="OJ128" s="29"/>
      <c r="OK128" s="29"/>
      <c r="OL128" s="29"/>
      <c r="OM128" s="29"/>
      <c r="ON128" s="29"/>
      <c r="OO128" s="29"/>
      <c r="OP128" s="29"/>
      <c r="OQ128" s="29"/>
      <c r="OR128" s="29"/>
      <c r="OS128" s="29"/>
      <c r="OT128" s="29"/>
      <c r="OU128" s="29"/>
      <c r="OV128" s="29"/>
      <c r="OW128" s="29"/>
      <c r="OX128" s="29"/>
      <c r="OY128" s="29"/>
      <c r="OZ128" s="29"/>
      <c r="PA128" s="29"/>
      <c r="PB128" s="29"/>
      <c r="PC128" s="29"/>
      <c r="PD128" s="29"/>
      <c r="PE128" s="29"/>
      <c r="PF128" s="29"/>
      <c r="PG128" s="29"/>
      <c r="PH128" s="29"/>
      <c r="PI128" s="29"/>
      <c r="PJ128" s="29"/>
      <c r="PK128" s="29"/>
      <c r="PL128" s="29"/>
      <c r="PM128" s="29"/>
      <c r="PN128" s="29"/>
      <c r="PO128" s="29"/>
      <c r="PP128" s="29"/>
      <c r="PQ128" s="29"/>
      <c r="PR128" s="29"/>
      <c r="PS128" s="29"/>
      <c r="PT128" s="29"/>
      <c r="PU128" s="29"/>
      <c r="PV128" s="29"/>
      <c r="PW128" s="29"/>
      <c r="PX128" s="29"/>
      <c r="PY128" s="29"/>
      <c r="PZ128" s="29"/>
      <c r="QA128" s="29"/>
      <c r="QB128" s="29"/>
      <c r="QC128" s="29"/>
      <c r="QD128" s="29"/>
      <c r="QE128" s="29"/>
      <c r="QF128" s="29"/>
      <c r="QG128" s="29"/>
      <c r="QH128" s="29"/>
      <c r="QI128" s="29"/>
      <c r="QJ128" s="29"/>
      <c r="QK128" s="29"/>
      <c r="QL128" s="29"/>
      <c r="QM128" s="29"/>
      <c r="QN128" s="29"/>
      <c r="QO128" s="29"/>
      <c r="QP128" s="29"/>
      <c r="QQ128" s="29"/>
      <c r="QR128" s="29"/>
      <c r="QS128" s="29"/>
      <c r="QT128" s="29"/>
      <c r="QU128" s="29"/>
      <c r="QV128" s="29"/>
      <c r="QW128" s="29"/>
      <c r="QX128" s="29"/>
      <c r="QY128" s="29"/>
      <c r="QZ128" s="29"/>
      <c r="RA128" s="29"/>
      <c r="RB128" s="29"/>
      <c r="RC128" s="29"/>
      <c r="RD128" s="29"/>
      <c r="RE128" s="29"/>
      <c r="RF128" s="29"/>
      <c r="RG128" s="29"/>
      <c r="RH128" s="29"/>
      <c r="RI128" s="29"/>
      <c r="RJ128" s="29"/>
      <c r="RK128" s="29"/>
      <c r="RL128" s="29"/>
      <c r="RM128" s="29"/>
      <c r="RN128" s="29"/>
      <c r="RO128" s="29"/>
      <c r="RP128" s="29"/>
      <c r="RQ128" s="29"/>
      <c r="RR128" s="29"/>
      <c r="RS128" s="29"/>
      <c r="RT128" s="29"/>
      <c r="RU128" s="29"/>
      <c r="RV128" s="29"/>
      <c r="RW128" s="29"/>
      <c r="RX128" s="29"/>
      <c r="RY128" s="29"/>
      <c r="RZ128" s="29"/>
      <c r="SA128" s="29"/>
      <c r="SB128" s="29"/>
      <c r="SC128" s="29"/>
      <c r="SD128" s="29"/>
      <c r="SE128" s="29"/>
      <c r="SF128" s="29"/>
      <c r="SG128" s="29"/>
      <c r="SH128" s="29"/>
      <c r="SI128" s="29"/>
      <c r="SJ128" s="29"/>
      <c r="SK128" s="29"/>
      <c r="SL128" s="29"/>
      <c r="SM128" s="29"/>
      <c r="SN128" s="29"/>
      <c r="SO128" s="29"/>
      <c r="SP128" s="29"/>
      <c r="SQ128" s="29"/>
      <c r="SR128" s="29"/>
      <c r="SS128" s="29"/>
      <c r="ST128" s="29"/>
      <c r="SU128" s="29"/>
      <c r="SV128" s="29"/>
      <c r="SW128" s="29"/>
      <c r="SX128" s="29"/>
      <c r="SY128" s="29"/>
      <c r="SZ128" s="29"/>
      <c r="TA128" s="29"/>
      <c r="TB128" s="29"/>
      <c r="TC128" s="29"/>
      <c r="TD128" s="29"/>
      <c r="TE128" s="29"/>
      <c r="TF128" s="29"/>
      <c r="TG128" s="29"/>
      <c r="TH128" s="29"/>
      <c r="TI128" s="29"/>
      <c r="TJ128" s="29"/>
      <c r="TK128" s="29"/>
      <c r="TL128" s="29"/>
      <c r="TM128" s="29"/>
      <c r="TN128" s="29"/>
      <c r="TO128" s="29"/>
      <c r="TP128" s="29"/>
      <c r="TQ128" s="29"/>
      <c r="TR128" s="29"/>
      <c r="TS128" s="29"/>
      <c r="TT128" s="29"/>
      <c r="TU128" s="29"/>
      <c r="TV128" s="29"/>
      <c r="TW128" s="29"/>
      <c r="TX128" s="29"/>
      <c r="TY128" s="29"/>
      <c r="TZ128" s="29"/>
      <c r="UA128" s="29"/>
      <c r="UB128" s="29"/>
      <c r="UC128" s="29"/>
      <c r="UD128" s="29"/>
      <c r="UE128" s="29"/>
      <c r="UF128" s="29"/>
      <c r="UG128" s="29"/>
      <c r="UH128" s="29"/>
      <c r="UI128" s="29"/>
      <c r="UJ128" s="29"/>
      <c r="UK128" s="29"/>
      <c r="UL128" s="29"/>
      <c r="UM128" s="29"/>
      <c r="UN128" s="29"/>
      <c r="UO128" s="29"/>
      <c r="UP128" s="29"/>
      <c r="UQ128" s="29"/>
      <c r="UR128" s="29"/>
      <c r="US128" s="29"/>
      <c r="UT128" s="29"/>
      <c r="UU128" s="29"/>
      <c r="UV128" s="29"/>
      <c r="UW128" s="29"/>
      <c r="UX128" s="29"/>
      <c r="UY128" s="29"/>
      <c r="UZ128" s="29"/>
      <c r="VA128" s="29"/>
      <c r="VB128" s="29"/>
      <c r="VC128" s="29"/>
      <c r="VD128" s="29"/>
      <c r="VE128" s="29"/>
      <c r="VF128" s="29"/>
      <c r="VG128" s="29"/>
      <c r="VH128" s="29"/>
      <c r="VI128" s="29"/>
      <c r="VJ128" s="29"/>
      <c r="VK128" s="29"/>
      <c r="VL128" s="29"/>
      <c r="VM128" s="29"/>
      <c r="VN128" s="29"/>
      <c r="VO128" s="29"/>
      <c r="VP128" s="29"/>
      <c r="VQ128" s="29"/>
      <c r="VR128" s="29"/>
      <c r="VS128" s="29"/>
      <c r="VT128" s="29"/>
      <c r="VU128" s="29"/>
      <c r="VV128" s="29"/>
      <c r="VW128" s="29"/>
      <c r="VX128" s="29"/>
      <c r="VY128" s="29"/>
      <c r="VZ128" s="29"/>
      <c r="WA128" s="29"/>
      <c r="WB128" s="29"/>
      <c r="WC128" s="29"/>
      <c r="WD128" s="29"/>
      <c r="WE128" s="29"/>
      <c r="WF128" s="29"/>
      <c r="WG128" s="29"/>
      <c r="WH128" s="29"/>
      <c r="WI128" s="29"/>
      <c r="WJ128" s="29"/>
      <c r="WK128" s="29"/>
      <c r="WL128" s="29"/>
      <c r="WM128" s="29"/>
      <c r="WN128" s="29"/>
      <c r="WO128" s="29"/>
      <c r="WP128" s="29"/>
      <c r="WQ128" s="29"/>
      <c r="WR128" s="29"/>
      <c r="WS128" s="29"/>
    </row>
    <row r="129" spans="1:617" s="3" customFormat="1" ht="15" outlineLevel="1" thickBot="1">
      <c r="A129" s="33"/>
      <c r="B129" s="173" t="s">
        <v>259</v>
      </c>
      <c r="C129" s="174" t="s">
        <v>260</v>
      </c>
      <c r="D129" s="175">
        <v>46114</v>
      </c>
      <c r="E129" s="229">
        <f t="shared" ref="E129:E131" si="600">D129+G129-1</f>
        <v>46169</v>
      </c>
      <c r="F129" s="14"/>
      <c r="G129" s="14">
        <v>56</v>
      </c>
      <c r="H129" s="14"/>
      <c r="I129" s="14"/>
      <c r="J129" s="29"/>
      <c r="K129" s="29"/>
      <c r="L129" s="29"/>
      <c r="M129" s="29"/>
      <c r="N129" s="29"/>
      <c r="O129" s="29"/>
      <c r="P129" s="29"/>
      <c r="Q129" s="29"/>
      <c r="R129" s="29"/>
      <c r="S129" s="29"/>
      <c r="T129" s="29"/>
      <c r="U129" s="29"/>
      <c r="V129" s="29"/>
      <c r="W129" s="29"/>
      <c r="X129" s="29"/>
      <c r="Y129" s="30"/>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c r="MM129" s="29"/>
      <c r="MN129" s="29"/>
      <c r="MO129" s="29"/>
      <c r="MP129" s="29"/>
      <c r="MQ129" s="29"/>
      <c r="MR129" s="29"/>
      <c r="MS129" s="29"/>
      <c r="MT129" s="29"/>
      <c r="MU129" s="29"/>
      <c r="MV129" s="29"/>
      <c r="MW129" s="29"/>
      <c r="MX129" s="29"/>
      <c r="MY129" s="29"/>
      <c r="MZ129" s="29"/>
      <c r="NA129" s="29"/>
      <c r="NB129" s="29"/>
      <c r="NC129" s="29"/>
      <c r="ND129" s="29"/>
      <c r="NE129" s="29"/>
      <c r="NF129" s="29"/>
      <c r="NG129" s="29"/>
      <c r="NH129" s="29"/>
      <c r="NI129" s="29"/>
      <c r="NJ129" s="29"/>
      <c r="NK129" s="29"/>
      <c r="NL129" s="29"/>
      <c r="NM129" s="29"/>
      <c r="NN129" s="29"/>
      <c r="NO129" s="29"/>
      <c r="NP129" s="29"/>
      <c r="NQ129" s="29"/>
      <c r="NR129" s="29"/>
      <c r="NS129" s="29"/>
      <c r="NT129" s="29"/>
      <c r="NU129" s="29"/>
      <c r="NV129" s="29"/>
      <c r="NW129" s="29"/>
      <c r="NX129" s="29"/>
      <c r="NY129" s="29"/>
      <c r="NZ129" s="29"/>
      <c r="OA129" s="29"/>
      <c r="OB129" s="29"/>
      <c r="OC129" s="29"/>
      <c r="OD129" s="29"/>
      <c r="OE129" s="29"/>
      <c r="OF129" s="29"/>
      <c r="OG129" s="29"/>
      <c r="OH129" s="29"/>
      <c r="OI129" s="29"/>
      <c r="OJ129" s="29"/>
      <c r="OK129" s="29"/>
      <c r="OL129" s="29"/>
      <c r="OM129" s="29"/>
      <c r="ON129" s="29"/>
      <c r="OO129" s="29"/>
      <c r="OP129" s="29"/>
      <c r="OQ129" s="29"/>
      <c r="OR129" s="29"/>
      <c r="OS129" s="29"/>
      <c r="OT129" s="29"/>
      <c r="OU129" s="29"/>
      <c r="OV129" s="29"/>
      <c r="OW129" s="29"/>
      <c r="OX129" s="29"/>
      <c r="OY129" s="29"/>
      <c r="OZ129" s="29"/>
      <c r="PA129" s="29"/>
      <c r="PB129" s="29"/>
      <c r="PC129" s="29"/>
      <c r="PD129" s="29"/>
      <c r="PE129" s="29"/>
      <c r="PF129" s="29"/>
      <c r="PG129" s="29"/>
      <c r="PH129" s="29"/>
      <c r="PI129" s="29"/>
      <c r="PJ129" s="29"/>
      <c r="PK129" s="29"/>
      <c r="PL129" s="29"/>
      <c r="PM129" s="29"/>
      <c r="PN129" s="29"/>
      <c r="PO129" s="29"/>
      <c r="PP129" s="29"/>
      <c r="PQ129" s="29"/>
      <c r="PR129" s="29"/>
      <c r="PS129" s="29"/>
      <c r="PT129" s="29"/>
      <c r="PU129" s="29"/>
      <c r="PV129" s="29"/>
      <c r="PW129" s="29"/>
      <c r="PX129" s="29"/>
      <c r="PY129" s="29"/>
      <c r="PZ129" s="29"/>
      <c r="QA129" s="29"/>
      <c r="QB129" s="29"/>
      <c r="QC129" s="29"/>
      <c r="QD129" s="29"/>
      <c r="QE129" s="29"/>
      <c r="QF129" s="29"/>
      <c r="QG129" s="29"/>
      <c r="QH129" s="29"/>
      <c r="QI129" s="29"/>
      <c r="QJ129" s="29"/>
      <c r="QK129" s="29"/>
      <c r="QL129" s="29"/>
      <c r="QM129" s="29"/>
      <c r="QN129" s="29"/>
      <c r="QO129" s="29"/>
      <c r="QP129" s="29"/>
      <c r="QQ129" s="29"/>
      <c r="QR129" s="29"/>
      <c r="QS129" s="29"/>
      <c r="QT129" s="29"/>
      <c r="QU129" s="29"/>
      <c r="QV129" s="29"/>
      <c r="QW129" s="29"/>
      <c r="QX129" s="29"/>
      <c r="QY129" s="29"/>
      <c r="QZ129" s="29"/>
      <c r="RA129" s="29"/>
      <c r="RB129" s="29"/>
      <c r="RC129" s="29"/>
      <c r="RD129" s="29"/>
      <c r="RE129" s="29"/>
      <c r="RF129" s="29"/>
      <c r="RG129" s="29"/>
      <c r="RH129" s="29"/>
      <c r="RI129" s="29"/>
      <c r="RJ129" s="29"/>
      <c r="RK129" s="29"/>
      <c r="RL129" s="29"/>
      <c r="RM129" s="29"/>
      <c r="RN129" s="29"/>
      <c r="RO129" s="29"/>
      <c r="RP129" s="29"/>
      <c r="RQ129" s="29"/>
      <c r="RR129" s="29"/>
      <c r="RS129" s="29"/>
      <c r="RT129" s="29"/>
      <c r="RU129" s="29"/>
      <c r="RV129" s="29"/>
      <c r="RW129" s="29"/>
      <c r="RX129" s="29"/>
      <c r="RY129" s="29"/>
      <c r="RZ129" s="29"/>
      <c r="SA129" s="29"/>
      <c r="SB129" s="29"/>
      <c r="SC129" s="29"/>
      <c r="SD129" s="29"/>
      <c r="SE129" s="29"/>
      <c r="SF129" s="29"/>
      <c r="SG129" s="29"/>
      <c r="SH129" s="29"/>
      <c r="SI129" s="29"/>
      <c r="SJ129" s="29"/>
      <c r="SK129" s="29"/>
      <c r="SL129" s="29"/>
      <c r="SM129" s="29"/>
      <c r="SN129" s="29"/>
      <c r="SO129" s="29"/>
      <c r="SP129" s="29"/>
      <c r="SQ129" s="29"/>
      <c r="SR129" s="29"/>
      <c r="SS129" s="29"/>
      <c r="ST129" s="29"/>
      <c r="SU129" s="29"/>
      <c r="SV129" s="29"/>
      <c r="SW129" s="29"/>
      <c r="SX129" s="29"/>
      <c r="SY129" s="29"/>
      <c r="SZ129" s="29"/>
      <c r="TA129" s="29"/>
      <c r="TB129" s="29"/>
      <c r="TC129" s="29"/>
      <c r="TD129" s="29"/>
      <c r="TE129" s="29"/>
      <c r="TF129" s="29"/>
      <c r="TG129" s="29"/>
      <c r="TH129" s="29"/>
      <c r="TI129" s="29"/>
      <c r="TJ129" s="29"/>
      <c r="TK129" s="29"/>
      <c r="TL129" s="29"/>
      <c r="TM129" s="29"/>
      <c r="TN129" s="29"/>
      <c r="TO129" s="29"/>
      <c r="TP129" s="29"/>
      <c r="TQ129" s="29"/>
      <c r="TR129" s="29"/>
      <c r="TS129" s="29"/>
      <c r="TT129" s="29"/>
      <c r="TU129" s="29"/>
      <c r="TV129" s="29"/>
      <c r="TW129" s="29"/>
      <c r="TX129" s="29"/>
      <c r="TY129" s="29"/>
      <c r="TZ129" s="29"/>
      <c r="UA129" s="29"/>
      <c r="UB129" s="29"/>
      <c r="UC129" s="29"/>
      <c r="UD129" s="29"/>
      <c r="UE129" s="29"/>
      <c r="UF129" s="29"/>
      <c r="UG129" s="29"/>
      <c r="UH129" s="29"/>
      <c r="UI129" s="29"/>
      <c r="UJ129" s="29"/>
      <c r="UK129" s="29"/>
      <c r="UL129" s="29"/>
      <c r="UM129" s="29"/>
      <c r="UN129" s="29"/>
      <c r="UO129" s="29"/>
      <c r="UP129" s="29"/>
      <c r="UQ129" s="29"/>
      <c r="UR129" s="29"/>
      <c r="US129" s="29"/>
      <c r="UT129" s="29"/>
      <c r="UU129" s="29"/>
      <c r="UV129" s="29"/>
      <c r="UW129" s="29"/>
      <c r="UX129" s="29"/>
      <c r="UY129" s="29"/>
      <c r="UZ129" s="29"/>
      <c r="VA129" s="29"/>
      <c r="VB129" s="29"/>
      <c r="VC129" s="29"/>
      <c r="VD129" s="29"/>
      <c r="VE129" s="29"/>
      <c r="VF129" s="29"/>
      <c r="VG129" s="29"/>
      <c r="VH129" s="29"/>
      <c r="VI129" s="29"/>
      <c r="VJ129" s="29"/>
      <c r="VK129" s="29"/>
      <c r="VL129" s="29"/>
      <c r="VM129" s="29"/>
      <c r="VN129" s="29"/>
      <c r="VO129" s="29"/>
      <c r="VP129" s="29"/>
      <c r="VQ129" s="29"/>
      <c r="VR129" s="29"/>
      <c r="VS129" s="29"/>
      <c r="VT129" s="29"/>
      <c r="VU129" s="29"/>
      <c r="VV129" s="29"/>
      <c r="VW129" s="29"/>
      <c r="VX129" s="29"/>
      <c r="VY129" s="29"/>
      <c r="VZ129" s="29"/>
      <c r="WA129" s="29"/>
      <c r="WB129" s="29"/>
      <c r="WC129" s="29"/>
      <c r="WD129" s="29"/>
      <c r="WE129" s="29"/>
      <c r="WF129" s="29"/>
      <c r="WG129" s="29"/>
      <c r="WH129" s="29"/>
      <c r="WI129" s="29"/>
      <c r="WJ129" s="29"/>
      <c r="WK129" s="29"/>
      <c r="WL129" s="29"/>
      <c r="WM129" s="29"/>
      <c r="WN129" s="29"/>
      <c r="WO129" s="29"/>
      <c r="WP129" s="29"/>
      <c r="WQ129" s="29"/>
      <c r="WR129" s="29"/>
      <c r="WS129" s="29"/>
    </row>
    <row r="130" spans="1:617" s="3" customFormat="1" ht="15" outlineLevel="1" thickBot="1">
      <c r="A130" s="33"/>
      <c r="B130" s="173" t="s">
        <v>259</v>
      </c>
      <c r="C130" s="174" t="s">
        <v>260</v>
      </c>
      <c r="D130" s="229">
        <f>E129+1</f>
        <v>46170</v>
      </c>
      <c r="E130" s="207">
        <f t="shared" si="600"/>
        <v>46225</v>
      </c>
      <c r="F130" s="14"/>
      <c r="G130" s="14">
        <v>56</v>
      </c>
      <c r="H130" s="14"/>
      <c r="I130" s="14"/>
      <c r="J130" s="29"/>
      <c r="K130" s="29"/>
      <c r="L130" s="29"/>
      <c r="M130" s="29"/>
      <c r="N130" s="29"/>
      <c r="O130" s="29"/>
      <c r="P130" s="29"/>
      <c r="Q130" s="29"/>
      <c r="R130" s="29"/>
      <c r="S130" s="29"/>
      <c r="T130" s="29"/>
      <c r="U130" s="29"/>
      <c r="V130" s="29"/>
      <c r="W130" s="29"/>
      <c r="X130" s="29"/>
      <c r="Y130" s="30"/>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c r="MM130" s="29"/>
      <c r="MN130" s="29"/>
      <c r="MO130" s="29"/>
      <c r="MP130" s="29"/>
      <c r="MQ130" s="29"/>
      <c r="MR130" s="29"/>
      <c r="MS130" s="29"/>
      <c r="MT130" s="29"/>
      <c r="MU130" s="29"/>
      <c r="MV130" s="29"/>
      <c r="MW130" s="29"/>
      <c r="MX130" s="29"/>
      <c r="MY130" s="29"/>
      <c r="MZ130" s="29"/>
      <c r="NA130" s="29"/>
      <c r="NB130" s="29"/>
      <c r="NC130" s="29"/>
      <c r="ND130" s="29"/>
      <c r="NE130" s="29"/>
      <c r="NF130" s="29"/>
      <c r="NG130" s="29"/>
      <c r="NH130" s="29"/>
      <c r="NI130" s="29"/>
      <c r="NJ130" s="29"/>
      <c r="NK130" s="29"/>
      <c r="NL130" s="29"/>
      <c r="NM130" s="29"/>
      <c r="NN130" s="29"/>
      <c r="NO130" s="29"/>
      <c r="NP130" s="29"/>
      <c r="NQ130" s="29"/>
      <c r="NR130" s="29"/>
      <c r="NS130" s="29"/>
      <c r="NT130" s="29"/>
      <c r="NU130" s="29"/>
      <c r="NV130" s="29"/>
      <c r="NW130" s="29"/>
      <c r="NX130" s="29"/>
      <c r="NY130" s="29"/>
      <c r="NZ130" s="29"/>
      <c r="OA130" s="29"/>
      <c r="OB130" s="29"/>
      <c r="OC130" s="29"/>
      <c r="OD130" s="29"/>
      <c r="OE130" s="29"/>
      <c r="OF130" s="29"/>
      <c r="OG130" s="29"/>
      <c r="OH130" s="29"/>
      <c r="OI130" s="29"/>
      <c r="OJ130" s="29"/>
      <c r="OK130" s="29"/>
      <c r="OL130" s="29"/>
      <c r="OM130" s="29"/>
      <c r="ON130" s="29"/>
      <c r="OO130" s="29"/>
      <c r="OP130" s="29"/>
      <c r="OQ130" s="29"/>
      <c r="OR130" s="29"/>
      <c r="OS130" s="29"/>
      <c r="OT130" s="29"/>
      <c r="OU130" s="29"/>
      <c r="OV130" s="29"/>
      <c r="OW130" s="29"/>
      <c r="OX130" s="29"/>
      <c r="OY130" s="29"/>
      <c r="OZ130" s="29"/>
      <c r="PA130" s="29"/>
      <c r="PB130" s="29"/>
      <c r="PC130" s="29"/>
      <c r="PD130" s="29"/>
      <c r="PE130" s="29"/>
      <c r="PF130" s="29"/>
      <c r="PG130" s="29"/>
      <c r="PH130" s="29"/>
      <c r="PI130" s="29"/>
      <c r="PJ130" s="29"/>
      <c r="PK130" s="29"/>
      <c r="PL130" s="29"/>
      <c r="PM130" s="29"/>
      <c r="PN130" s="29"/>
      <c r="PO130" s="29"/>
      <c r="PP130" s="29"/>
      <c r="PQ130" s="29"/>
      <c r="PR130" s="29"/>
      <c r="PS130" s="29"/>
      <c r="PT130" s="29"/>
      <c r="PU130" s="29"/>
      <c r="PV130" s="29"/>
      <c r="PW130" s="29"/>
      <c r="PX130" s="29"/>
      <c r="PY130" s="29"/>
      <c r="PZ130" s="29"/>
      <c r="QA130" s="29"/>
      <c r="QB130" s="29"/>
      <c r="QC130" s="29"/>
      <c r="QD130" s="29"/>
      <c r="QE130" s="29"/>
      <c r="QF130" s="29"/>
      <c r="QG130" s="29"/>
      <c r="QH130" s="29"/>
      <c r="QI130" s="29"/>
      <c r="QJ130" s="29"/>
      <c r="QK130" s="29"/>
      <c r="QL130" s="29"/>
      <c r="QM130" s="29"/>
      <c r="QN130" s="29"/>
      <c r="QO130" s="29"/>
      <c r="QP130" s="29"/>
      <c r="QQ130" s="29"/>
      <c r="QR130" s="29"/>
      <c r="QS130" s="29"/>
      <c r="QT130" s="29"/>
      <c r="QU130" s="29"/>
      <c r="QV130" s="29"/>
      <c r="QW130" s="29"/>
      <c r="QX130" s="29"/>
      <c r="QY130" s="29"/>
      <c r="QZ130" s="29"/>
      <c r="RA130" s="29"/>
      <c r="RB130" s="29"/>
      <c r="RC130" s="29"/>
      <c r="RD130" s="29"/>
      <c r="RE130" s="29"/>
      <c r="RF130" s="29"/>
      <c r="RG130" s="29"/>
      <c r="RH130" s="29"/>
      <c r="RI130" s="29"/>
      <c r="RJ130" s="29"/>
      <c r="RK130" s="29"/>
      <c r="RL130" s="29"/>
      <c r="RM130" s="29"/>
      <c r="RN130" s="29"/>
      <c r="RO130" s="29"/>
      <c r="RP130" s="29"/>
      <c r="RQ130" s="29"/>
      <c r="RR130" s="29"/>
      <c r="RS130" s="29"/>
      <c r="RT130" s="29"/>
      <c r="RU130" s="29"/>
      <c r="RV130" s="29"/>
      <c r="RW130" s="29"/>
      <c r="RX130" s="29"/>
      <c r="RY130" s="29"/>
      <c r="RZ130" s="29"/>
      <c r="SA130" s="29"/>
      <c r="SB130" s="29"/>
      <c r="SC130" s="29"/>
      <c r="SD130" s="29"/>
      <c r="SE130" s="29"/>
      <c r="SF130" s="29"/>
      <c r="SG130" s="29"/>
      <c r="SH130" s="29"/>
      <c r="SI130" s="29"/>
      <c r="SJ130" s="29"/>
      <c r="SK130" s="29"/>
      <c r="SL130" s="29"/>
      <c r="SM130" s="29"/>
      <c r="SN130" s="29"/>
      <c r="SO130" s="29"/>
      <c r="SP130" s="29"/>
      <c r="SQ130" s="29"/>
      <c r="SR130" s="29"/>
      <c r="SS130" s="29"/>
      <c r="ST130" s="29"/>
      <c r="SU130" s="29"/>
      <c r="SV130" s="29"/>
      <c r="SW130" s="29"/>
      <c r="SX130" s="29"/>
      <c r="SY130" s="29"/>
      <c r="SZ130" s="29"/>
      <c r="TA130" s="29"/>
      <c r="TB130" s="29"/>
      <c r="TC130" s="29"/>
      <c r="TD130" s="29"/>
      <c r="TE130" s="29"/>
      <c r="TF130" s="29"/>
      <c r="TG130" s="29"/>
      <c r="TH130" s="29"/>
      <c r="TI130" s="29"/>
      <c r="TJ130" s="29"/>
      <c r="TK130" s="29"/>
      <c r="TL130" s="29"/>
      <c r="TM130" s="29"/>
      <c r="TN130" s="29"/>
      <c r="TO130" s="29"/>
      <c r="TP130" s="29"/>
      <c r="TQ130" s="29"/>
      <c r="TR130" s="29"/>
      <c r="TS130" s="29"/>
      <c r="TT130" s="29"/>
      <c r="TU130" s="29"/>
      <c r="TV130" s="29"/>
      <c r="TW130" s="29"/>
      <c r="TX130" s="29"/>
      <c r="TY130" s="29"/>
      <c r="TZ130" s="29"/>
      <c r="UA130" s="29"/>
      <c r="UB130" s="29"/>
      <c r="UC130" s="29"/>
      <c r="UD130" s="29"/>
      <c r="UE130" s="29"/>
      <c r="UF130" s="29"/>
      <c r="UG130" s="29"/>
      <c r="UH130" s="29"/>
      <c r="UI130" s="29"/>
      <c r="UJ130" s="29"/>
      <c r="UK130" s="29"/>
      <c r="UL130" s="29"/>
      <c r="UM130" s="29"/>
      <c r="UN130" s="29"/>
      <c r="UO130" s="29"/>
      <c r="UP130" s="29"/>
      <c r="UQ130" s="29"/>
      <c r="UR130" s="29"/>
      <c r="US130" s="29"/>
      <c r="UT130" s="29"/>
      <c r="UU130" s="29"/>
      <c r="UV130" s="29"/>
      <c r="UW130" s="29"/>
      <c r="UX130" s="29"/>
      <c r="UY130" s="29"/>
      <c r="UZ130" s="29"/>
      <c r="VA130" s="29"/>
      <c r="VB130" s="29"/>
      <c r="VC130" s="29"/>
      <c r="VD130" s="29"/>
      <c r="VE130" s="29"/>
      <c r="VF130" s="29"/>
      <c r="VG130" s="29"/>
      <c r="VH130" s="29"/>
      <c r="VI130" s="29"/>
      <c r="VJ130" s="29"/>
      <c r="VK130" s="29"/>
      <c r="VL130" s="29"/>
      <c r="VM130" s="29"/>
      <c r="VN130" s="29"/>
      <c r="VO130" s="29"/>
      <c r="VP130" s="29"/>
      <c r="VQ130" s="29"/>
      <c r="VR130" s="29"/>
      <c r="VS130" s="29"/>
      <c r="VT130" s="29"/>
      <c r="VU130" s="29"/>
      <c r="VV130" s="29"/>
      <c r="VW130" s="29"/>
      <c r="VX130" s="29"/>
      <c r="VY130" s="29"/>
      <c r="VZ130" s="29"/>
      <c r="WA130" s="29"/>
      <c r="WB130" s="29"/>
      <c r="WC130" s="29"/>
      <c r="WD130" s="29"/>
      <c r="WE130" s="29"/>
      <c r="WF130" s="29"/>
      <c r="WG130" s="29"/>
      <c r="WH130" s="29"/>
      <c r="WI130" s="29"/>
      <c r="WJ130" s="29"/>
      <c r="WK130" s="29"/>
      <c r="WL130" s="29"/>
      <c r="WM130" s="29"/>
      <c r="WN130" s="29"/>
      <c r="WO130" s="29"/>
      <c r="WP130" s="29"/>
      <c r="WQ130" s="29"/>
      <c r="WR130" s="29"/>
      <c r="WS130" s="29"/>
    </row>
    <row r="131" spans="1:617" s="3" customFormat="1" ht="15" outlineLevel="1" thickBot="1">
      <c r="A131" s="33"/>
      <c r="B131" s="173" t="s">
        <v>259</v>
      </c>
      <c r="C131" s="174" t="s">
        <v>260</v>
      </c>
      <c r="D131" s="207">
        <f t="shared" ref="D131" si="601">E130+1</f>
        <v>46226</v>
      </c>
      <c r="E131" s="175">
        <f t="shared" si="600"/>
        <v>46281</v>
      </c>
      <c r="F131" s="14"/>
      <c r="G131" s="14">
        <v>56</v>
      </c>
      <c r="H131" s="14"/>
      <c r="I131" s="14"/>
      <c r="J131" s="29"/>
      <c r="K131" s="29"/>
      <c r="L131" s="29"/>
      <c r="M131" s="29"/>
      <c r="N131" s="29"/>
      <c r="O131" s="29"/>
      <c r="P131" s="29"/>
      <c r="Q131" s="29"/>
      <c r="R131" s="29"/>
      <c r="S131" s="29"/>
      <c r="T131" s="29"/>
      <c r="U131" s="29"/>
      <c r="V131" s="29"/>
      <c r="W131" s="29"/>
      <c r="X131" s="29"/>
      <c r="Y131" s="30"/>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c r="MM131" s="29"/>
      <c r="MN131" s="29"/>
      <c r="MO131" s="29"/>
      <c r="MP131" s="29"/>
      <c r="MQ131" s="29"/>
      <c r="MR131" s="29"/>
      <c r="MS131" s="29"/>
      <c r="MT131" s="29"/>
      <c r="MU131" s="29"/>
      <c r="MV131" s="29"/>
      <c r="MW131" s="29"/>
      <c r="MX131" s="29"/>
      <c r="MY131" s="29"/>
      <c r="MZ131" s="29"/>
      <c r="NA131" s="29"/>
      <c r="NB131" s="29"/>
      <c r="NC131" s="29"/>
      <c r="ND131" s="29"/>
      <c r="NE131" s="29"/>
      <c r="NF131" s="29"/>
      <c r="NG131" s="29"/>
      <c r="NH131" s="29"/>
      <c r="NI131" s="29"/>
      <c r="NJ131" s="29"/>
      <c r="NK131" s="29"/>
      <c r="NL131" s="29"/>
      <c r="NM131" s="29"/>
      <c r="NN131" s="29"/>
      <c r="NO131" s="29"/>
      <c r="NP131" s="29"/>
      <c r="NQ131" s="29"/>
      <c r="NR131" s="29"/>
      <c r="NS131" s="29"/>
      <c r="NT131" s="29"/>
      <c r="NU131" s="29"/>
      <c r="NV131" s="29"/>
      <c r="NW131" s="29"/>
      <c r="NX131" s="29"/>
      <c r="NY131" s="29"/>
      <c r="NZ131" s="29"/>
      <c r="OA131" s="29"/>
      <c r="OB131" s="29"/>
      <c r="OC131" s="29"/>
      <c r="OD131" s="29"/>
      <c r="OE131" s="29"/>
      <c r="OF131" s="29"/>
      <c r="OG131" s="29"/>
      <c r="OH131" s="29"/>
      <c r="OI131" s="29"/>
      <c r="OJ131" s="29"/>
      <c r="OK131" s="29"/>
      <c r="OL131" s="29"/>
      <c r="OM131" s="29"/>
      <c r="ON131" s="29"/>
      <c r="OO131" s="29"/>
      <c r="OP131" s="29"/>
      <c r="OQ131" s="29"/>
      <c r="OR131" s="29"/>
      <c r="OS131" s="29"/>
      <c r="OT131" s="29"/>
      <c r="OU131" s="29"/>
      <c r="OV131" s="29"/>
      <c r="OW131" s="29"/>
      <c r="OX131" s="29"/>
      <c r="OY131" s="29"/>
      <c r="OZ131" s="29"/>
      <c r="PA131" s="29"/>
      <c r="PB131" s="29"/>
      <c r="PC131" s="29"/>
      <c r="PD131" s="29"/>
      <c r="PE131" s="29"/>
      <c r="PF131" s="29"/>
      <c r="PG131" s="29"/>
      <c r="PH131" s="29"/>
      <c r="PI131" s="29"/>
      <c r="PJ131" s="29"/>
      <c r="PK131" s="29"/>
      <c r="PL131" s="29"/>
      <c r="PM131" s="29"/>
      <c r="PN131" s="29"/>
      <c r="PO131" s="29"/>
      <c r="PP131" s="29"/>
      <c r="PQ131" s="29"/>
      <c r="PR131" s="29"/>
      <c r="PS131" s="29"/>
      <c r="PT131" s="29"/>
      <c r="PU131" s="29"/>
      <c r="PV131" s="29"/>
      <c r="PW131" s="29"/>
      <c r="PX131" s="29"/>
      <c r="PY131" s="29"/>
      <c r="PZ131" s="29"/>
      <c r="QA131" s="29"/>
      <c r="QB131" s="29"/>
      <c r="QC131" s="29"/>
      <c r="QD131" s="29"/>
      <c r="QE131" s="29"/>
      <c r="QF131" s="29"/>
      <c r="QG131" s="29"/>
      <c r="QH131" s="29"/>
      <c r="QI131" s="29"/>
      <c r="QJ131" s="29"/>
      <c r="QK131" s="29"/>
      <c r="QL131" s="29"/>
      <c r="QM131" s="29"/>
      <c r="QN131" s="29"/>
      <c r="QO131" s="29"/>
      <c r="QP131" s="29"/>
      <c r="QQ131" s="29"/>
      <c r="QR131" s="29"/>
      <c r="QS131" s="29"/>
      <c r="QT131" s="29"/>
      <c r="QU131" s="29"/>
      <c r="QV131" s="29"/>
      <c r="QW131" s="29"/>
      <c r="QX131" s="29"/>
      <c r="QY131" s="29"/>
      <c r="QZ131" s="29"/>
      <c r="RA131" s="29"/>
      <c r="RB131" s="29"/>
      <c r="RC131" s="29"/>
      <c r="RD131" s="29"/>
      <c r="RE131" s="29"/>
      <c r="RF131" s="29"/>
      <c r="RG131" s="29"/>
      <c r="RH131" s="29"/>
      <c r="RI131" s="29"/>
      <c r="RJ131" s="29"/>
      <c r="RK131" s="29"/>
      <c r="RL131" s="29"/>
      <c r="RM131" s="29"/>
      <c r="RN131" s="29"/>
      <c r="RO131" s="29"/>
      <c r="RP131" s="29"/>
      <c r="RQ131" s="29"/>
      <c r="RR131" s="29"/>
      <c r="RS131" s="29"/>
      <c r="RT131" s="29"/>
      <c r="RU131" s="29"/>
      <c r="RV131" s="29"/>
      <c r="RW131" s="29"/>
      <c r="RX131" s="29"/>
      <c r="RY131" s="29"/>
      <c r="RZ131" s="29"/>
      <c r="SA131" s="29"/>
      <c r="SB131" s="29"/>
      <c r="SC131" s="29"/>
      <c r="SD131" s="29"/>
      <c r="SE131" s="29"/>
      <c r="SF131" s="29"/>
      <c r="SG131" s="29"/>
      <c r="SH131" s="29"/>
      <c r="SI131" s="29"/>
      <c r="SJ131" s="29"/>
      <c r="SK131" s="29"/>
      <c r="SL131" s="29"/>
      <c r="SM131" s="29"/>
      <c r="SN131" s="29"/>
      <c r="SO131" s="29"/>
      <c r="SP131" s="29"/>
      <c r="SQ131" s="29"/>
      <c r="SR131" s="29"/>
      <c r="SS131" s="29"/>
      <c r="ST131" s="29"/>
      <c r="SU131" s="29"/>
      <c r="SV131" s="29"/>
      <c r="SW131" s="29"/>
      <c r="SX131" s="29"/>
      <c r="SY131" s="29"/>
      <c r="SZ131" s="29"/>
      <c r="TA131" s="29"/>
      <c r="TB131" s="29"/>
      <c r="TC131" s="29"/>
      <c r="TD131" s="29"/>
      <c r="TE131" s="29"/>
      <c r="TF131" s="29"/>
      <c r="TG131" s="29"/>
      <c r="TH131" s="29"/>
      <c r="TI131" s="29"/>
      <c r="TJ131" s="29"/>
      <c r="TK131" s="29"/>
      <c r="TL131" s="29"/>
      <c r="TM131" s="29"/>
      <c r="TN131" s="29"/>
      <c r="TO131" s="29"/>
      <c r="TP131" s="29"/>
      <c r="TQ131" s="29"/>
      <c r="TR131" s="29"/>
      <c r="TS131" s="29"/>
      <c r="TT131" s="29"/>
      <c r="TU131" s="29"/>
      <c r="TV131" s="29"/>
      <c r="TW131" s="29"/>
      <c r="TX131" s="29"/>
      <c r="TY131" s="29"/>
      <c r="TZ131" s="29"/>
      <c r="UA131" s="29"/>
      <c r="UB131" s="29"/>
      <c r="UC131" s="29"/>
      <c r="UD131" s="29"/>
      <c r="UE131" s="29"/>
      <c r="UF131" s="29"/>
      <c r="UG131" s="29"/>
      <c r="UH131" s="29"/>
      <c r="UI131" s="29"/>
      <c r="UJ131" s="29"/>
      <c r="UK131" s="29"/>
      <c r="UL131" s="29"/>
      <c r="UM131" s="29"/>
      <c r="UN131" s="29"/>
      <c r="UO131" s="29"/>
      <c r="UP131" s="29"/>
      <c r="UQ131" s="29"/>
      <c r="UR131" s="29"/>
      <c r="US131" s="29"/>
      <c r="UT131" s="29"/>
      <c r="UU131" s="29"/>
      <c r="UV131" s="29"/>
      <c r="UW131" s="29"/>
      <c r="UX131" s="29"/>
      <c r="UY131" s="29"/>
      <c r="UZ131" s="29"/>
      <c r="VA131" s="29"/>
      <c r="VB131" s="29"/>
      <c r="VC131" s="29"/>
      <c r="VD131" s="29"/>
      <c r="VE131" s="29"/>
      <c r="VF131" s="29"/>
      <c r="VG131" s="29"/>
      <c r="VH131" s="29"/>
      <c r="VI131" s="29"/>
      <c r="VJ131" s="29"/>
      <c r="VK131" s="29"/>
      <c r="VL131" s="29"/>
      <c r="VM131" s="29"/>
      <c r="VN131" s="29"/>
      <c r="VO131" s="29"/>
      <c r="VP131" s="29"/>
      <c r="VQ131" s="29"/>
      <c r="VR131" s="29"/>
      <c r="VS131" s="29"/>
      <c r="VT131" s="29"/>
      <c r="VU131" s="29"/>
      <c r="VV131" s="29"/>
      <c r="VW131" s="29"/>
      <c r="VX131" s="29"/>
      <c r="VY131" s="29"/>
      <c r="VZ131" s="29"/>
      <c r="WA131" s="29"/>
      <c r="WB131" s="29"/>
      <c r="WC131" s="29"/>
      <c r="WD131" s="29"/>
      <c r="WE131" s="29"/>
      <c r="WF131" s="29"/>
      <c r="WG131" s="29"/>
      <c r="WH131" s="29"/>
      <c r="WI131" s="29"/>
      <c r="WJ131" s="29"/>
      <c r="WK131" s="29"/>
      <c r="WL131" s="29"/>
      <c r="WM131" s="29"/>
      <c r="WN131" s="29"/>
      <c r="WO131" s="29"/>
      <c r="WP131" s="29"/>
      <c r="WQ131" s="29"/>
      <c r="WR131" s="29"/>
      <c r="WS131" s="29"/>
    </row>
    <row r="132" spans="1:617" s="3" customFormat="1" ht="15" outlineLevel="1" thickBot="1">
      <c r="A132" s="33"/>
      <c r="B132" s="173"/>
      <c r="C132" s="174"/>
      <c r="D132" s="207">
        <f>E132-G131</f>
        <v>46231</v>
      </c>
      <c r="E132" s="175">
        <v>46287</v>
      </c>
      <c r="F132" s="14"/>
      <c r="G132" s="14"/>
      <c r="H132" s="14"/>
      <c r="I132" s="14"/>
      <c r="J132" s="29"/>
      <c r="K132" s="29"/>
      <c r="L132" s="29"/>
      <c r="M132" s="29"/>
      <c r="N132" s="29"/>
      <c r="O132" s="29"/>
      <c r="P132" s="29"/>
      <c r="Q132" s="29"/>
      <c r="R132" s="29"/>
      <c r="S132" s="29"/>
      <c r="T132" s="29"/>
      <c r="U132" s="29"/>
      <c r="V132" s="29"/>
      <c r="W132" s="29"/>
      <c r="X132" s="29"/>
      <c r="Y132" s="30"/>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c r="MM132" s="29"/>
      <c r="MN132" s="29"/>
      <c r="MO132" s="29"/>
      <c r="MP132" s="29"/>
      <c r="MQ132" s="29"/>
      <c r="MR132" s="29"/>
      <c r="MS132" s="29"/>
      <c r="MT132" s="29"/>
      <c r="MU132" s="29"/>
      <c r="MV132" s="29"/>
      <c r="MW132" s="29"/>
      <c r="MX132" s="29"/>
      <c r="MY132" s="29"/>
      <c r="MZ132" s="29"/>
      <c r="NA132" s="29"/>
      <c r="NB132" s="29"/>
      <c r="NC132" s="29"/>
      <c r="ND132" s="29"/>
      <c r="NE132" s="29"/>
      <c r="NF132" s="29"/>
      <c r="NG132" s="29"/>
      <c r="NH132" s="29"/>
      <c r="NI132" s="29"/>
      <c r="NJ132" s="29"/>
      <c r="NK132" s="29"/>
      <c r="NL132" s="29"/>
      <c r="NM132" s="29"/>
      <c r="NN132" s="29"/>
      <c r="NO132" s="29"/>
      <c r="NP132" s="29"/>
      <c r="NQ132" s="29"/>
      <c r="NR132" s="29"/>
      <c r="NS132" s="29"/>
      <c r="NT132" s="29"/>
      <c r="NU132" s="29"/>
      <c r="NV132" s="29"/>
      <c r="NW132" s="29"/>
      <c r="NX132" s="29"/>
      <c r="NY132" s="29"/>
      <c r="NZ132" s="29"/>
      <c r="OA132" s="29"/>
      <c r="OB132" s="29"/>
      <c r="OC132" s="29"/>
      <c r="OD132" s="29"/>
      <c r="OE132" s="29"/>
      <c r="OF132" s="29"/>
      <c r="OG132" s="29"/>
      <c r="OH132" s="29"/>
      <c r="OI132" s="29"/>
      <c r="OJ132" s="29"/>
      <c r="OK132" s="29"/>
      <c r="OL132" s="29"/>
      <c r="OM132" s="29"/>
      <c r="ON132" s="29"/>
      <c r="OO132" s="29"/>
      <c r="OP132" s="29"/>
      <c r="OQ132" s="29"/>
      <c r="OR132" s="29"/>
      <c r="OS132" s="29"/>
      <c r="OT132" s="29"/>
      <c r="OU132" s="29"/>
      <c r="OV132" s="29"/>
      <c r="OW132" s="29"/>
      <c r="OX132" s="29"/>
      <c r="OY132" s="29"/>
      <c r="OZ132" s="29"/>
      <c r="PA132" s="29"/>
      <c r="PB132" s="29"/>
      <c r="PC132" s="29"/>
      <c r="PD132" s="29"/>
      <c r="PE132" s="29"/>
      <c r="PF132" s="29"/>
      <c r="PG132" s="29"/>
      <c r="PH132" s="29"/>
      <c r="PI132" s="29"/>
      <c r="PJ132" s="29"/>
      <c r="PK132" s="29"/>
      <c r="PL132" s="29"/>
      <c r="PM132" s="29"/>
      <c r="PN132" s="29"/>
      <c r="PO132" s="29"/>
      <c r="PP132" s="29"/>
      <c r="PQ132" s="29"/>
      <c r="PR132" s="29"/>
      <c r="PS132" s="29"/>
      <c r="PT132" s="29"/>
      <c r="PU132" s="29"/>
      <c r="PV132" s="29"/>
      <c r="PW132" s="29"/>
      <c r="PX132" s="29"/>
      <c r="PY132" s="29"/>
      <c r="PZ132" s="29"/>
      <c r="QA132" s="29"/>
      <c r="QB132" s="29"/>
      <c r="QC132" s="29"/>
      <c r="QD132" s="29"/>
      <c r="QE132" s="29"/>
      <c r="QF132" s="29"/>
      <c r="QG132" s="29"/>
      <c r="QH132" s="29"/>
      <c r="QI132" s="29"/>
      <c r="QJ132" s="29"/>
      <c r="QK132" s="29"/>
      <c r="QL132" s="29"/>
      <c r="QM132" s="29"/>
      <c r="QN132" s="29"/>
      <c r="QO132" s="29"/>
      <c r="QP132" s="29"/>
      <c r="QQ132" s="29"/>
      <c r="QR132" s="29"/>
      <c r="QS132" s="29"/>
      <c r="QT132" s="29"/>
      <c r="QU132" s="29"/>
      <c r="QV132" s="29"/>
      <c r="QW132" s="29"/>
      <c r="QX132" s="29"/>
      <c r="QY132" s="29"/>
      <c r="QZ132" s="29"/>
      <c r="RA132" s="29"/>
      <c r="RB132" s="29"/>
      <c r="RC132" s="29"/>
      <c r="RD132" s="29"/>
      <c r="RE132" s="29"/>
      <c r="RF132" s="29"/>
      <c r="RG132" s="29"/>
      <c r="RH132" s="29"/>
      <c r="RI132" s="29"/>
      <c r="RJ132" s="29"/>
      <c r="RK132" s="29"/>
      <c r="RL132" s="29"/>
      <c r="RM132" s="29"/>
      <c r="RN132" s="29"/>
      <c r="RO132" s="29"/>
      <c r="RP132" s="29"/>
      <c r="RQ132" s="29"/>
      <c r="RR132" s="29"/>
      <c r="RS132" s="29"/>
      <c r="RT132" s="29"/>
      <c r="RU132" s="29"/>
      <c r="RV132" s="29"/>
      <c r="RW132" s="29"/>
      <c r="RX132" s="29"/>
      <c r="RY132" s="29"/>
      <c r="RZ132" s="29"/>
      <c r="SA132" s="29"/>
      <c r="SB132" s="29"/>
      <c r="SC132" s="29"/>
      <c r="SD132" s="29"/>
      <c r="SE132" s="29"/>
      <c r="SF132" s="29"/>
      <c r="SG132" s="29"/>
      <c r="SH132" s="29"/>
      <c r="SI132" s="29"/>
      <c r="SJ132" s="29"/>
      <c r="SK132" s="29"/>
      <c r="SL132" s="29"/>
      <c r="SM132" s="29"/>
      <c r="SN132" s="29"/>
      <c r="SO132" s="29"/>
      <c r="SP132" s="29"/>
      <c r="SQ132" s="29"/>
      <c r="SR132" s="29"/>
      <c r="SS132" s="29"/>
      <c r="ST132" s="29"/>
      <c r="SU132" s="29"/>
      <c r="SV132" s="29"/>
      <c r="SW132" s="29"/>
      <c r="SX132" s="29"/>
      <c r="SY132" s="29"/>
      <c r="SZ132" s="29"/>
      <c r="TA132" s="29"/>
      <c r="TB132" s="29"/>
      <c r="TC132" s="29"/>
      <c r="TD132" s="29"/>
      <c r="TE132" s="29"/>
      <c r="TF132" s="29"/>
      <c r="TG132" s="29"/>
      <c r="TH132" s="29"/>
      <c r="TI132" s="29"/>
      <c r="TJ132" s="29"/>
      <c r="TK132" s="29"/>
      <c r="TL132" s="29"/>
      <c r="TM132" s="29"/>
      <c r="TN132" s="29"/>
      <c r="TO132" s="29"/>
      <c r="TP132" s="29"/>
      <c r="TQ132" s="29"/>
      <c r="TR132" s="29"/>
      <c r="TS132" s="29"/>
      <c r="TT132" s="29"/>
      <c r="TU132" s="29"/>
      <c r="TV132" s="29"/>
      <c r="TW132" s="29"/>
      <c r="TX132" s="29"/>
      <c r="TY132" s="29"/>
      <c r="TZ132" s="29"/>
      <c r="UA132" s="29"/>
      <c r="UB132" s="29"/>
      <c r="UC132" s="29"/>
      <c r="UD132" s="29"/>
      <c r="UE132" s="29"/>
      <c r="UF132" s="29"/>
      <c r="UG132" s="29"/>
      <c r="UH132" s="29"/>
      <c r="UI132" s="29"/>
      <c r="UJ132" s="29"/>
      <c r="UK132" s="29"/>
      <c r="UL132" s="29"/>
      <c r="UM132" s="29"/>
      <c r="UN132" s="29"/>
      <c r="UO132" s="29"/>
      <c r="UP132" s="29"/>
      <c r="UQ132" s="29"/>
      <c r="UR132" s="29"/>
      <c r="US132" s="29"/>
      <c r="UT132" s="29"/>
      <c r="UU132" s="29"/>
      <c r="UV132" s="29"/>
      <c r="UW132" s="29"/>
      <c r="UX132" s="29"/>
      <c r="UY132" s="29"/>
      <c r="UZ132" s="29"/>
      <c r="VA132" s="29"/>
      <c r="VB132" s="29"/>
      <c r="VC132" s="29"/>
      <c r="VD132" s="29"/>
      <c r="VE132" s="29"/>
      <c r="VF132" s="29"/>
      <c r="VG132" s="29"/>
      <c r="VH132" s="29"/>
      <c r="VI132" s="29"/>
      <c r="VJ132" s="29"/>
      <c r="VK132" s="29"/>
      <c r="VL132" s="29"/>
      <c r="VM132" s="29"/>
      <c r="VN132" s="29"/>
      <c r="VO132" s="29"/>
      <c r="VP132" s="29"/>
      <c r="VQ132" s="29"/>
      <c r="VR132" s="29"/>
      <c r="VS132" s="29"/>
      <c r="VT132" s="29"/>
      <c r="VU132" s="29"/>
      <c r="VV132" s="29"/>
      <c r="VW132" s="29"/>
      <c r="VX132" s="29"/>
      <c r="VY132" s="29"/>
      <c r="VZ132" s="29"/>
      <c r="WA132" s="29"/>
      <c r="WB132" s="29"/>
      <c r="WC132" s="29"/>
      <c r="WD132" s="29"/>
      <c r="WE132" s="29"/>
      <c r="WF132" s="29"/>
      <c r="WG132" s="29"/>
      <c r="WH132" s="29"/>
      <c r="WI132" s="29"/>
      <c r="WJ132" s="29"/>
      <c r="WK132" s="29"/>
      <c r="WL132" s="29"/>
      <c r="WM132" s="29"/>
      <c r="WN132" s="29"/>
      <c r="WO132" s="29"/>
      <c r="WP132" s="29"/>
      <c r="WQ132" s="29"/>
      <c r="WR132" s="29"/>
      <c r="WS132" s="29"/>
    </row>
    <row r="133" spans="1:617" s="3" customFormat="1" ht="15" outlineLevel="1" thickBot="1">
      <c r="A133" s="33"/>
      <c r="B133" s="47"/>
      <c r="C133" s="42"/>
      <c r="D133" s="116"/>
      <c r="E133" s="116"/>
      <c r="F133" s="14"/>
      <c r="G133" s="14"/>
      <c r="H133" s="14"/>
      <c r="I133" s="14"/>
      <c r="J133" s="29"/>
      <c r="K133" s="29"/>
      <c r="L133" s="29"/>
      <c r="M133" s="29"/>
      <c r="N133" s="29"/>
      <c r="O133" s="29"/>
      <c r="P133" s="29"/>
      <c r="Q133" s="29"/>
      <c r="R133" s="29"/>
      <c r="S133" s="29"/>
      <c r="T133" s="29"/>
      <c r="U133" s="29"/>
      <c r="V133" s="29"/>
      <c r="W133" s="29"/>
      <c r="X133" s="29"/>
      <c r="Y133" s="30"/>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c r="MM133" s="29"/>
      <c r="MN133" s="29"/>
      <c r="MO133" s="29"/>
      <c r="MP133" s="29"/>
      <c r="MQ133" s="29"/>
      <c r="MR133" s="29"/>
      <c r="MS133" s="29"/>
      <c r="MT133" s="29"/>
      <c r="MU133" s="29"/>
      <c r="MV133" s="29"/>
      <c r="MW133" s="29"/>
      <c r="MX133" s="29"/>
      <c r="MY133" s="29"/>
      <c r="MZ133" s="29"/>
      <c r="NA133" s="29"/>
      <c r="NB133" s="29"/>
      <c r="NC133" s="29"/>
      <c r="ND133" s="29"/>
      <c r="NE133" s="29"/>
      <c r="NF133" s="29"/>
      <c r="NG133" s="29"/>
      <c r="NH133" s="29"/>
      <c r="NI133" s="29"/>
      <c r="NJ133" s="29"/>
      <c r="NK133" s="29"/>
      <c r="NL133" s="29"/>
      <c r="NM133" s="29"/>
      <c r="NN133" s="29"/>
      <c r="NO133" s="29"/>
      <c r="NP133" s="29"/>
      <c r="NQ133" s="29"/>
      <c r="NR133" s="29"/>
      <c r="NS133" s="29"/>
      <c r="NT133" s="29"/>
      <c r="NU133" s="29"/>
      <c r="NV133" s="29"/>
      <c r="NW133" s="29"/>
      <c r="NX133" s="29"/>
      <c r="NY133" s="29"/>
      <c r="NZ133" s="29"/>
      <c r="OA133" s="29"/>
      <c r="OB133" s="29"/>
      <c r="OC133" s="29"/>
      <c r="OD133" s="29"/>
      <c r="OE133" s="29"/>
      <c r="OF133" s="29"/>
      <c r="OG133" s="29"/>
      <c r="OH133" s="29"/>
      <c r="OI133" s="29"/>
      <c r="OJ133" s="29"/>
      <c r="OK133" s="29"/>
      <c r="OL133" s="29"/>
      <c r="OM133" s="29"/>
      <c r="ON133" s="29"/>
      <c r="OO133" s="29"/>
      <c r="OP133" s="29"/>
      <c r="OQ133" s="29"/>
      <c r="OR133" s="29"/>
      <c r="OS133" s="29"/>
      <c r="OT133" s="29"/>
      <c r="OU133" s="29"/>
      <c r="OV133" s="29"/>
      <c r="OW133" s="29"/>
      <c r="OX133" s="29"/>
      <c r="OY133" s="29"/>
      <c r="OZ133" s="29"/>
      <c r="PA133" s="29"/>
      <c r="PB133" s="29"/>
      <c r="PC133" s="29"/>
      <c r="PD133" s="29"/>
      <c r="PE133" s="29"/>
      <c r="PF133" s="29"/>
      <c r="PG133" s="29"/>
      <c r="PH133" s="29"/>
      <c r="PI133" s="29"/>
      <c r="PJ133" s="29"/>
      <c r="PK133" s="29"/>
      <c r="PL133" s="29"/>
      <c r="PM133" s="29"/>
      <c r="PN133" s="29"/>
      <c r="PO133" s="29"/>
      <c r="PP133" s="29"/>
      <c r="PQ133" s="29"/>
      <c r="PR133" s="29"/>
      <c r="PS133" s="29"/>
      <c r="PT133" s="29"/>
      <c r="PU133" s="29"/>
      <c r="PV133" s="29"/>
      <c r="PW133" s="29"/>
      <c r="PX133" s="29"/>
      <c r="PY133" s="29"/>
      <c r="PZ133" s="29"/>
      <c r="QA133" s="29"/>
      <c r="QB133" s="29"/>
      <c r="QC133" s="29"/>
      <c r="QD133" s="29"/>
      <c r="QE133" s="29"/>
      <c r="QF133" s="29"/>
      <c r="QG133" s="29"/>
      <c r="QH133" s="29"/>
      <c r="QI133" s="29"/>
      <c r="QJ133" s="29"/>
      <c r="QK133" s="29"/>
      <c r="QL133" s="29"/>
      <c r="QM133" s="29"/>
      <c r="QN133" s="29"/>
      <c r="QO133" s="29"/>
      <c r="QP133" s="29"/>
      <c r="QQ133" s="29"/>
      <c r="QR133" s="29"/>
      <c r="QS133" s="29"/>
      <c r="QT133" s="29"/>
      <c r="QU133" s="29"/>
      <c r="QV133" s="29"/>
      <c r="QW133" s="29"/>
      <c r="QX133" s="29"/>
      <c r="QY133" s="29"/>
      <c r="QZ133" s="29"/>
      <c r="RA133" s="29"/>
      <c r="RB133" s="29"/>
      <c r="RC133" s="29"/>
      <c r="RD133" s="29"/>
      <c r="RE133" s="29"/>
      <c r="RF133" s="29"/>
      <c r="RG133" s="29"/>
      <c r="RH133" s="29"/>
      <c r="RI133" s="29"/>
      <c r="RJ133" s="29"/>
      <c r="RK133" s="29"/>
      <c r="RL133" s="29"/>
      <c r="RM133" s="29"/>
      <c r="RN133" s="29"/>
      <c r="RO133" s="29"/>
      <c r="RP133" s="29"/>
      <c r="RQ133" s="29"/>
      <c r="RR133" s="29"/>
      <c r="RS133" s="29"/>
      <c r="RT133" s="29"/>
      <c r="RU133" s="29"/>
      <c r="RV133" s="29"/>
      <c r="RW133" s="29"/>
      <c r="RX133" s="29"/>
      <c r="RY133" s="29"/>
      <c r="RZ133" s="29"/>
      <c r="SA133" s="29"/>
      <c r="SB133" s="29"/>
      <c r="SC133" s="29"/>
      <c r="SD133" s="29"/>
      <c r="SE133" s="29"/>
      <c r="SF133" s="29"/>
      <c r="SG133" s="29"/>
      <c r="SH133" s="29"/>
      <c r="SI133" s="29"/>
      <c r="SJ133" s="29"/>
      <c r="SK133" s="29"/>
      <c r="SL133" s="29"/>
      <c r="SM133" s="29"/>
      <c r="SN133" s="29"/>
      <c r="SO133" s="29"/>
      <c r="SP133" s="29"/>
      <c r="SQ133" s="29"/>
      <c r="SR133" s="29"/>
      <c r="SS133" s="29"/>
      <c r="ST133" s="29"/>
      <c r="SU133" s="29"/>
      <c r="SV133" s="29"/>
      <c r="SW133" s="29"/>
      <c r="SX133" s="29"/>
      <c r="SY133" s="29"/>
      <c r="SZ133" s="29"/>
      <c r="TA133" s="29"/>
      <c r="TB133" s="29"/>
      <c r="TC133" s="29"/>
      <c r="TD133" s="29"/>
      <c r="TE133" s="29"/>
      <c r="TF133" s="29"/>
      <c r="TG133" s="29"/>
      <c r="TH133" s="29"/>
      <c r="TI133" s="29"/>
      <c r="TJ133" s="29"/>
      <c r="TK133" s="29"/>
      <c r="TL133" s="29"/>
      <c r="TM133" s="29"/>
      <c r="TN133" s="29"/>
      <c r="TO133" s="29"/>
      <c r="TP133" s="29"/>
      <c r="TQ133" s="29"/>
      <c r="TR133" s="29"/>
      <c r="TS133" s="29"/>
      <c r="TT133" s="29"/>
      <c r="TU133" s="29"/>
      <c r="TV133" s="29"/>
      <c r="TW133" s="29"/>
      <c r="TX133" s="29"/>
      <c r="TY133" s="29"/>
      <c r="TZ133" s="29"/>
      <c r="UA133" s="29"/>
      <c r="UB133" s="29"/>
      <c r="UC133" s="29"/>
      <c r="UD133" s="29"/>
      <c r="UE133" s="29"/>
      <c r="UF133" s="29"/>
      <c r="UG133" s="29"/>
      <c r="UH133" s="29"/>
      <c r="UI133" s="29"/>
      <c r="UJ133" s="29"/>
      <c r="UK133" s="29"/>
      <c r="UL133" s="29"/>
      <c r="UM133" s="29"/>
      <c r="UN133" s="29"/>
      <c r="UO133" s="29"/>
      <c r="UP133" s="29"/>
      <c r="UQ133" s="29"/>
      <c r="UR133" s="29"/>
      <c r="US133" s="29"/>
      <c r="UT133" s="29"/>
      <c r="UU133" s="29"/>
      <c r="UV133" s="29"/>
      <c r="UW133" s="29"/>
      <c r="UX133" s="29"/>
      <c r="UY133" s="29"/>
      <c r="UZ133" s="29"/>
      <c r="VA133" s="29"/>
      <c r="VB133" s="29"/>
      <c r="VC133" s="29"/>
      <c r="VD133" s="29"/>
      <c r="VE133" s="29"/>
      <c r="VF133" s="29"/>
      <c r="VG133" s="29"/>
      <c r="VH133" s="29"/>
      <c r="VI133" s="29"/>
      <c r="VJ133" s="29"/>
      <c r="VK133" s="29"/>
      <c r="VL133" s="29"/>
      <c r="VM133" s="29"/>
      <c r="VN133" s="29"/>
      <c r="VO133" s="29"/>
      <c r="VP133" s="29"/>
      <c r="VQ133" s="29"/>
      <c r="VR133" s="29"/>
      <c r="VS133" s="29"/>
      <c r="VT133" s="29"/>
      <c r="VU133" s="29"/>
      <c r="VV133" s="29"/>
      <c r="VW133" s="29"/>
      <c r="VX133" s="29"/>
      <c r="VY133" s="29"/>
      <c r="VZ133" s="29"/>
      <c r="WA133" s="29"/>
      <c r="WB133" s="29"/>
      <c r="WC133" s="29"/>
      <c r="WD133" s="29"/>
      <c r="WE133" s="29"/>
      <c r="WF133" s="29"/>
      <c r="WG133" s="29"/>
      <c r="WH133" s="29"/>
      <c r="WI133" s="29"/>
      <c r="WJ133" s="29"/>
      <c r="WK133" s="29"/>
      <c r="WL133" s="29"/>
      <c r="WM133" s="29"/>
      <c r="WN133" s="29"/>
      <c r="WO133" s="29"/>
      <c r="WP133" s="29"/>
      <c r="WQ133" s="29"/>
      <c r="WR133" s="29"/>
      <c r="WS133" s="29"/>
    </row>
    <row r="134" spans="1:617" s="3" customFormat="1" ht="15" outlineLevel="1" thickBot="1">
      <c r="A134" s="33"/>
      <c r="B134" s="47"/>
      <c r="C134" s="42"/>
      <c r="D134" s="116"/>
      <c r="E134" s="116"/>
      <c r="F134" s="14"/>
      <c r="G134" s="14"/>
      <c r="H134" s="14"/>
      <c r="I134" s="14"/>
      <c r="J134" s="29"/>
      <c r="K134" s="29"/>
      <c r="L134" s="29"/>
      <c r="M134" s="29"/>
      <c r="N134" s="29"/>
      <c r="O134" s="29"/>
      <c r="P134" s="29"/>
      <c r="Q134" s="29"/>
      <c r="R134" s="29"/>
      <c r="S134" s="29"/>
      <c r="T134" s="29"/>
      <c r="U134" s="29"/>
      <c r="V134" s="29"/>
      <c r="W134" s="29"/>
      <c r="X134" s="29"/>
      <c r="Y134" s="30"/>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c r="MM134" s="29"/>
      <c r="MN134" s="29"/>
      <c r="MO134" s="29"/>
      <c r="MP134" s="29"/>
      <c r="MQ134" s="29"/>
      <c r="MR134" s="29"/>
      <c r="MS134" s="29"/>
      <c r="MT134" s="29"/>
      <c r="MU134" s="29"/>
      <c r="MV134" s="29"/>
      <c r="MW134" s="29"/>
      <c r="MX134" s="29"/>
      <c r="MY134" s="29"/>
      <c r="MZ134" s="29"/>
      <c r="NA134" s="29"/>
      <c r="NB134" s="29"/>
      <c r="NC134" s="29"/>
      <c r="ND134" s="29"/>
      <c r="NE134" s="29"/>
      <c r="NF134" s="29"/>
      <c r="NG134" s="29"/>
      <c r="NH134" s="29"/>
      <c r="NI134" s="29"/>
      <c r="NJ134" s="29"/>
      <c r="NK134" s="29"/>
      <c r="NL134" s="29"/>
      <c r="NM134" s="29"/>
      <c r="NN134" s="29"/>
      <c r="NO134" s="29"/>
      <c r="NP134" s="29"/>
      <c r="NQ134" s="29"/>
      <c r="NR134" s="29"/>
      <c r="NS134" s="29"/>
      <c r="NT134" s="29"/>
      <c r="NU134" s="29"/>
      <c r="NV134" s="29"/>
      <c r="NW134" s="29"/>
      <c r="NX134" s="29"/>
      <c r="NY134" s="29"/>
      <c r="NZ134" s="29"/>
      <c r="OA134" s="29"/>
      <c r="OB134" s="29"/>
      <c r="OC134" s="29"/>
      <c r="OD134" s="29"/>
      <c r="OE134" s="29"/>
      <c r="OF134" s="29"/>
      <c r="OG134" s="29"/>
      <c r="OH134" s="29"/>
      <c r="OI134" s="29"/>
      <c r="OJ134" s="29"/>
      <c r="OK134" s="29"/>
      <c r="OL134" s="29"/>
      <c r="OM134" s="29"/>
      <c r="ON134" s="29"/>
      <c r="OO134" s="29"/>
      <c r="OP134" s="29"/>
      <c r="OQ134" s="29"/>
      <c r="OR134" s="29"/>
      <c r="OS134" s="29"/>
      <c r="OT134" s="29"/>
      <c r="OU134" s="29"/>
      <c r="OV134" s="29"/>
      <c r="OW134" s="29"/>
      <c r="OX134" s="29"/>
      <c r="OY134" s="29"/>
      <c r="OZ134" s="29"/>
      <c r="PA134" s="29"/>
      <c r="PB134" s="29"/>
      <c r="PC134" s="29"/>
      <c r="PD134" s="29"/>
      <c r="PE134" s="29"/>
      <c r="PF134" s="29"/>
      <c r="PG134" s="29"/>
      <c r="PH134" s="29"/>
      <c r="PI134" s="29"/>
      <c r="PJ134" s="29"/>
      <c r="PK134" s="29"/>
      <c r="PL134" s="29"/>
      <c r="PM134" s="29"/>
      <c r="PN134" s="29"/>
      <c r="PO134" s="29"/>
      <c r="PP134" s="29"/>
      <c r="PQ134" s="29"/>
      <c r="PR134" s="29"/>
      <c r="PS134" s="29"/>
      <c r="PT134" s="29"/>
      <c r="PU134" s="29"/>
      <c r="PV134" s="29"/>
      <c r="PW134" s="29"/>
      <c r="PX134" s="29"/>
      <c r="PY134" s="29"/>
      <c r="PZ134" s="29"/>
      <c r="QA134" s="29"/>
      <c r="QB134" s="29"/>
      <c r="QC134" s="29"/>
      <c r="QD134" s="29"/>
      <c r="QE134" s="29"/>
      <c r="QF134" s="29"/>
      <c r="QG134" s="29"/>
      <c r="QH134" s="29"/>
      <c r="QI134" s="29"/>
      <c r="QJ134" s="29"/>
      <c r="QK134" s="29"/>
      <c r="QL134" s="29"/>
      <c r="QM134" s="29"/>
      <c r="QN134" s="29"/>
      <c r="QO134" s="29"/>
      <c r="QP134" s="29"/>
      <c r="QQ134" s="29"/>
      <c r="QR134" s="29"/>
      <c r="QS134" s="29"/>
      <c r="QT134" s="29"/>
      <c r="QU134" s="29"/>
      <c r="QV134" s="29"/>
      <c r="QW134" s="29"/>
      <c r="QX134" s="29"/>
      <c r="QY134" s="29"/>
      <c r="QZ134" s="29"/>
      <c r="RA134" s="29"/>
      <c r="RB134" s="29"/>
      <c r="RC134" s="29"/>
      <c r="RD134" s="29"/>
      <c r="RE134" s="29"/>
      <c r="RF134" s="29"/>
      <c r="RG134" s="29"/>
      <c r="RH134" s="29"/>
      <c r="RI134" s="29"/>
      <c r="RJ134" s="29"/>
      <c r="RK134" s="29"/>
      <c r="RL134" s="29"/>
      <c r="RM134" s="29"/>
      <c r="RN134" s="29"/>
      <c r="RO134" s="29"/>
      <c r="RP134" s="29"/>
      <c r="RQ134" s="29"/>
      <c r="RR134" s="29"/>
      <c r="RS134" s="29"/>
      <c r="RT134" s="29"/>
      <c r="RU134" s="29"/>
      <c r="RV134" s="29"/>
      <c r="RW134" s="29"/>
      <c r="RX134" s="29"/>
      <c r="RY134" s="29"/>
      <c r="RZ134" s="29"/>
      <c r="SA134" s="29"/>
      <c r="SB134" s="29"/>
      <c r="SC134" s="29"/>
      <c r="SD134" s="29"/>
      <c r="SE134" s="29"/>
      <c r="SF134" s="29"/>
      <c r="SG134" s="29"/>
      <c r="SH134" s="29"/>
      <c r="SI134" s="29"/>
      <c r="SJ134" s="29"/>
      <c r="SK134" s="29"/>
      <c r="SL134" s="29"/>
      <c r="SM134" s="29"/>
      <c r="SN134" s="29"/>
      <c r="SO134" s="29"/>
      <c r="SP134" s="29"/>
      <c r="SQ134" s="29"/>
      <c r="SR134" s="29"/>
      <c r="SS134" s="29"/>
      <c r="ST134" s="29"/>
      <c r="SU134" s="29"/>
      <c r="SV134" s="29"/>
      <c r="SW134" s="29"/>
      <c r="SX134" s="29"/>
      <c r="SY134" s="29"/>
      <c r="SZ134" s="29"/>
      <c r="TA134" s="29"/>
      <c r="TB134" s="29"/>
      <c r="TC134" s="29"/>
      <c r="TD134" s="29"/>
      <c r="TE134" s="29"/>
      <c r="TF134" s="29"/>
      <c r="TG134" s="29"/>
      <c r="TH134" s="29"/>
      <c r="TI134" s="29"/>
      <c r="TJ134" s="29"/>
      <c r="TK134" s="29"/>
      <c r="TL134" s="29"/>
      <c r="TM134" s="29"/>
      <c r="TN134" s="29"/>
      <c r="TO134" s="29"/>
      <c r="TP134" s="29"/>
      <c r="TQ134" s="29"/>
      <c r="TR134" s="29"/>
      <c r="TS134" s="29"/>
      <c r="TT134" s="29"/>
      <c r="TU134" s="29"/>
      <c r="TV134" s="29"/>
      <c r="TW134" s="29"/>
      <c r="TX134" s="29"/>
      <c r="TY134" s="29"/>
      <c r="TZ134" s="29"/>
      <c r="UA134" s="29"/>
      <c r="UB134" s="29"/>
      <c r="UC134" s="29"/>
      <c r="UD134" s="29"/>
      <c r="UE134" s="29"/>
      <c r="UF134" s="29"/>
      <c r="UG134" s="29"/>
      <c r="UH134" s="29"/>
      <c r="UI134" s="29"/>
      <c r="UJ134" s="29"/>
      <c r="UK134" s="29"/>
      <c r="UL134" s="29"/>
      <c r="UM134" s="29"/>
      <c r="UN134" s="29"/>
      <c r="UO134" s="29"/>
      <c r="UP134" s="29"/>
      <c r="UQ134" s="29"/>
      <c r="UR134" s="29"/>
      <c r="US134" s="29"/>
      <c r="UT134" s="29"/>
      <c r="UU134" s="29"/>
      <c r="UV134" s="29"/>
      <c r="UW134" s="29"/>
      <c r="UX134" s="29"/>
      <c r="UY134" s="29"/>
      <c r="UZ134" s="29"/>
      <c r="VA134" s="29"/>
      <c r="VB134" s="29"/>
      <c r="VC134" s="29"/>
      <c r="VD134" s="29"/>
      <c r="VE134" s="29"/>
      <c r="VF134" s="29"/>
      <c r="VG134" s="29"/>
      <c r="VH134" s="29"/>
      <c r="VI134" s="29"/>
      <c r="VJ134" s="29"/>
      <c r="VK134" s="29"/>
      <c r="VL134" s="29"/>
      <c r="VM134" s="29"/>
      <c r="VN134" s="29"/>
      <c r="VO134" s="29"/>
      <c r="VP134" s="29"/>
      <c r="VQ134" s="29"/>
      <c r="VR134" s="29"/>
      <c r="VS134" s="29"/>
      <c r="VT134" s="29"/>
      <c r="VU134" s="29"/>
      <c r="VV134" s="29"/>
      <c r="VW134" s="29"/>
      <c r="VX134" s="29"/>
      <c r="VY134" s="29"/>
      <c r="VZ134" s="29"/>
      <c r="WA134" s="29"/>
      <c r="WB134" s="29"/>
      <c r="WC134" s="29"/>
      <c r="WD134" s="29"/>
      <c r="WE134" s="29"/>
      <c r="WF134" s="29"/>
      <c r="WG134" s="29"/>
      <c r="WH134" s="29"/>
      <c r="WI134" s="29"/>
      <c r="WJ134" s="29"/>
      <c r="WK134" s="29"/>
      <c r="WL134" s="29"/>
      <c r="WM134" s="29"/>
      <c r="WN134" s="29"/>
      <c r="WO134" s="29"/>
      <c r="WP134" s="29"/>
      <c r="WQ134" s="29"/>
      <c r="WR134" s="29"/>
      <c r="WS134" s="29"/>
    </row>
    <row r="135" spans="1:617" s="3" customFormat="1" ht="15" outlineLevel="1" thickBot="1">
      <c r="A135" s="33"/>
      <c r="B135" s="47"/>
      <c r="C135" s="42"/>
      <c r="D135" s="116"/>
      <c r="E135" s="116"/>
      <c r="F135" s="14"/>
      <c r="G135" s="14"/>
      <c r="H135" s="14"/>
      <c r="I135" s="14"/>
      <c r="J135" s="29"/>
      <c r="K135" s="29"/>
      <c r="L135" s="29"/>
      <c r="M135" s="29"/>
      <c r="N135" s="29"/>
      <c r="O135" s="29"/>
      <c r="P135" s="29"/>
      <c r="Q135" s="29"/>
      <c r="R135" s="29"/>
      <c r="S135" s="29"/>
      <c r="T135" s="29"/>
      <c r="U135" s="29"/>
      <c r="V135" s="29"/>
      <c r="W135" s="29"/>
      <c r="X135" s="29"/>
      <c r="Y135" s="30"/>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c r="MM135" s="29"/>
      <c r="MN135" s="29"/>
      <c r="MO135" s="29"/>
      <c r="MP135" s="29"/>
      <c r="MQ135" s="29"/>
      <c r="MR135" s="29"/>
      <c r="MS135" s="29"/>
      <c r="MT135" s="29"/>
      <c r="MU135" s="29"/>
      <c r="MV135" s="29"/>
      <c r="MW135" s="29"/>
      <c r="MX135" s="29"/>
      <c r="MY135" s="29"/>
      <c r="MZ135" s="29"/>
      <c r="NA135" s="29"/>
      <c r="NB135" s="29"/>
      <c r="NC135" s="29"/>
      <c r="ND135" s="29"/>
      <c r="NE135" s="29"/>
      <c r="NF135" s="29"/>
      <c r="NG135" s="29"/>
      <c r="NH135" s="29"/>
      <c r="NI135" s="29"/>
      <c r="NJ135" s="29"/>
      <c r="NK135" s="29"/>
      <c r="NL135" s="29"/>
      <c r="NM135" s="29"/>
      <c r="NN135" s="29"/>
      <c r="NO135" s="29"/>
      <c r="NP135" s="29"/>
      <c r="NQ135" s="29"/>
      <c r="NR135" s="29"/>
      <c r="NS135" s="29"/>
      <c r="NT135" s="29"/>
      <c r="NU135" s="29"/>
      <c r="NV135" s="29"/>
      <c r="NW135" s="29"/>
      <c r="NX135" s="29"/>
      <c r="NY135" s="29"/>
      <c r="NZ135" s="29"/>
      <c r="OA135" s="29"/>
      <c r="OB135" s="29"/>
      <c r="OC135" s="29"/>
      <c r="OD135" s="29"/>
      <c r="OE135" s="29"/>
      <c r="OF135" s="29"/>
      <c r="OG135" s="29"/>
      <c r="OH135" s="29"/>
      <c r="OI135" s="29"/>
      <c r="OJ135" s="29"/>
      <c r="OK135" s="29"/>
      <c r="OL135" s="29"/>
      <c r="OM135" s="29"/>
      <c r="ON135" s="29"/>
      <c r="OO135" s="29"/>
      <c r="OP135" s="29"/>
      <c r="OQ135" s="29"/>
      <c r="OR135" s="29"/>
      <c r="OS135" s="29"/>
      <c r="OT135" s="29"/>
      <c r="OU135" s="29"/>
      <c r="OV135" s="29"/>
      <c r="OW135" s="29"/>
      <c r="OX135" s="29"/>
      <c r="OY135" s="29"/>
      <c r="OZ135" s="29"/>
      <c r="PA135" s="29"/>
      <c r="PB135" s="29"/>
      <c r="PC135" s="29"/>
      <c r="PD135" s="29"/>
      <c r="PE135" s="29"/>
      <c r="PF135" s="29"/>
      <c r="PG135" s="29"/>
      <c r="PH135" s="29"/>
      <c r="PI135" s="29"/>
      <c r="PJ135" s="29"/>
      <c r="PK135" s="29"/>
      <c r="PL135" s="29"/>
      <c r="PM135" s="29"/>
      <c r="PN135" s="29"/>
      <c r="PO135" s="29"/>
      <c r="PP135" s="29"/>
      <c r="PQ135" s="29"/>
      <c r="PR135" s="29"/>
      <c r="PS135" s="29"/>
      <c r="PT135" s="29"/>
      <c r="PU135" s="29"/>
      <c r="PV135" s="29"/>
      <c r="PW135" s="29"/>
      <c r="PX135" s="29"/>
      <c r="PY135" s="29"/>
      <c r="PZ135" s="29"/>
      <c r="QA135" s="29"/>
      <c r="QB135" s="29"/>
      <c r="QC135" s="29"/>
      <c r="QD135" s="29"/>
      <c r="QE135" s="29"/>
      <c r="QF135" s="29"/>
      <c r="QG135" s="29"/>
      <c r="QH135" s="29"/>
      <c r="QI135" s="29"/>
      <c r="QJ135" s="29"/>
      <c r="QK135" s="29"/>
      <c r="QL135" s="29"/>
      <c r="QM135" s="29"/>
      <c r="QN135" s="29"/>
      <c r="QO135" s="29"/>
      <c r="QP135" s="29"/>
      <c r="QQ135" s="29"/>
      <c r="QR135" s="29"/>
      <c r="QS135" s="29"/>
      <c r="QT135" s="29"/>
      <c r="QU135" s="29"/>
      <c r="QV135" s="29"/>
      <c r="QW135" s="29"/>
      <c r="QX135" s="29"/>
      <c r="QY135" s="29"/>
      <c r="QZ135" s="29"/>
      <c r="RA135" s="29"/>
      <c r="RB135" s="29"/>
      <c r="RC135" s="29"/>
      <c r="RD135" s="29"/>
      <c r="RE135" s="29"/>
      <c r="RF135" s="29"/>
      <c r="RG135" s="29"/>
      <c r="RH135" s="29"/>
      <c r="RI135" s="29"/>
      <c r="RJ135" s="29"/>
      <c r="RK135" s="29"/>
      <c r="RL135" s="29"/>
      <c r="RM135" s="29"/>
      <c r="RN135" s="29"/>
      <c r="RO135" s="29"/>
      <c r="RP135" s="29"/>
      <c r="RQ135" s="29"/>
      <c r="RR135" s="29"/>
      <c r="RS135" s="29"/>
      <c r="RT135" s="29"/>
      <c r="RU135" s="29"/>
      <c r="RV135" s="29"/>
      <c r="RW135" s="29"/>
      <c r="RX135" s="29"/>
      <c r="RY135" s="29"/>
      <c r="RZ135" s="29"/>
      <c r="SA135" s="29"/>
      <c r="SB135" s="29"/>
      <c r="SC135" s="29"/>
      <c r="SD135" s="29"/>
      <c r="SE135" s="29"/>
      <c r="SF135" s="29"/>
      <c r="SG135" s="29"/>
      <c r="SH135" s="29"/>
      <c r="SI135" s="29"/>
      <c r="SJ135" s="29"/>
      <c r="SK135" s="29"/>
      <c r="SL135" s="29"/>
      <c r="SM135" s="29"/>
      <c r="SN135" s="29"/>
      <c r="SO135" s="29"/>
      <c r="SP135" s="29"/>
      <c r="SQ135" s="29"/>
      <c r="SR135" s="29"/>
      <c r="SS135" s="29"/>
      <c r="ST135" s="29"/>
      <c r="SU135" s="29"/>
      <c r="SV135" s="29"/>
      <c r="SW135" s="29"/>
      <c r="SX135" s="29"/>
      <c r="SY135" s="29"/>
      <c r="SZ135" s="29"/>
      <c r="TA135" s="29"/>
      <c r="TB135" s="29"/>
      <c r="TC135" s="29"/>
      <c r="TD135" s="29"/>
      <c r="TE135" s="29"/>
      <c r="TF135" s="29"/>
      <c r="TG135" s="29"/>
      <c r="TH135" s="29"/>
      <c r="TI135" s="29"/>
      <c r="TJ135" s="29"/>
      <c r="TK135" s="29"/>
      <c r="TL135" s="29"/>
      <c r="TM135" s="29"/>
      <c r="TN135" s="29"/>
      <c r="TO135" s="29"/>
      <c r="TP135" s="29"/>
      <c r="TQ135" s="29"/>
      <c r="TR135" s="29"/>
      <c r="TS135" s="29"/>
      <c r="TT135" s="29"/>
      <c r="TU135" s="29"/>
      <c r="TV135" s="29"/>
      <c r="TW135" s="29"/>
      <c r="TX135" s="29"/>
      <c r="TY135" s="29"/>
      <c r="TZ135" s="29"/>
      <c r="UA135" s="29"/>
      <c r="UB135" s="29"/>
      <c r="UC135" s="29"/>
      <c r="UD135" s="29"/>
      <c r="UE135" s="29"/>
      <c r="UF135" s="29"/>
      <c r="UG135" s="29"/>
      <c r="UH135" s="29"/>
      <c r="UI135" s="29"/>
      <c r="UJ135" s="29"/>
      <c r="UK135" s="29"/>
      <c r="UL135" s="29"/>
      <c r="UM135" s="29"/>
      <c r="UN135" s="29"/>
      <c r="UO135" s="29"/>
      <c r="UP135" s="29"/>
      <c r="UQ135" s="29"/>
      <c r="UR135" s="29"/>
      <c r="US135" s="29"/>
      <c r="UT135" s="29"/>
      <c r="UU135" s="29"/>
      <c r="UV135" s="29"/>
      <c r="UW135" s="29"/>
      <c r="UX135" s="29"/>
      <c r="UY135" s="29"/>
      <c r="UZ135" s="29"/>
      <c r="VA135" s="29"/>
      <c r="VB135" s="29"/>
      <c r="VC135" s="29"/>
      <c r="VD135" s="29"/>
      <c r="VE135" s="29"/>
      <c r="VF135" s="29"/>
      <c r="VG135" s="29"/>
      <c r="VH135" s="29"/>
      <c r="VI135" s="29"/>
      <c r="VJ135" s="29"/>
      <c r="VK135" s="29"/>
      <c r="VL135" s="29"/>
      <c r="VM135" s="29"/>
      <c r="VN135" s="29"/>
      <c r="VO135" s="29"/>
      <c r="VP135" s="29"/>
      <c r="VQ135" s="29"/>
      <c r="VR135" s="29"/>
      <c r="VS135" s="29"/>
      <c r="VT135" s="29"/>
      <c r="VU135" s="29"/>
      <c r="VV135" s="29"/>
      <c r="VW135" s="29"/>
      <c r="VX135" s="29"/>
      <c r="VY135" s="29"/>
      <c r="VZ135" s="29"/>
      <c r="WA135" s="29"/>
      <c r="WB135" s="29"/>
      <c r="WC135" s="29"/>
      <c r="WD135" s="29"/>
      <c r="WE135" s="29"/>
      <c r="WF135" s="29"/>
      <c r="WG135" s="29"/>
      <c r="WH135" s="29"/>
      <c r="WI135" s="29"/>
      <c r="WJ135" s="29"/>
      <c r="WK135" s="29"/>
      <c r="WL135" s="29"/>
      <c r="WM135" s="29"/>
      <c r="WN135" s="29"/>
      <c r="WO135" s="29"/>
      <c r="WP135" s="29"/>
      <c r="WQ135" s="29"/>
      <c r="WR135" s="29"/>
      <c r="WS135" s="29"/>
    </row>
    <row r="136" spans="1:617" s="3" customFormat="1" ht="15" outlineLevel="1" thickBot="1">
      <c r="A136" s="33"/>
      <c r="B136" s="47"/>
      <c r="C136" s="42"/>
      <c r="D136" s="116"/>
      <c r="E136" s="116"/>
      <c r="F136" s="14"/>
      <c r="G136" s="14"/>
      <c r="H136" s="14"/>
      <c r="I136" s="14"/>
      <c r="J136" s="29"/>
      <c r="K136" s="29"/>
      <c r="L136" s="29"/>
      <c r="M136" s="29"/>
      <c r="N136" s="29"/>
      <c r="O136" s="29"/>
      <c r="P136" s="29"/>
      <c r="Q136" s="29"/>
      <c r="R136" s="29"/>
      <c r="S136" s="29"/>
      <c r="T136" s="29"/>
      <c r="U136" s="29"/>
      <c r="V136" s="29"/>
      <c r="W136" s="29"/>
      <c r="X136" s="29"/>
      <c r="Y136" s="30"/>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c r="MM136" s="29"/>
      <c r="MN136" s="29"/>
      <c r="MO136" s="29"/>
      <c r="MP136" s="29"/>
      <c r="MQ136" s="29"/>
      <c r="MR136" s="29"/>
      <c r="MS136" s="29"/>
      <c r="MT136" s="29"/>
      <c r="MU136" s="29"/>
      <c r="MV136" s="29"/>
      <c r="MW136" s="29"/>
      <c r="MX136" s="29"/>
      <c r="MY136" s="29"/>
      <c r="MZ136" s="29"/>
      <c r="NA136" s="29"/>
      <c r="NB136" s="29"/>
      <c r="NC136" s="29"/>
      <c r="ND136" s="29"/>
      <c r="NE136" s="29"/>
      <c r="NF136" s="29"/>
      <c r="NG136" s="29"/>
      <c r="NH136" s="29"/>
      <c r="NI136" s="29"/>
      <c r="NJ136" s="29"/>
      <c r="NK136" s="29"/>
      <c r="NL136" s="29"/>
      <c r="NM136" s="29"/>
      <c r="NN136" s="29"/>
      <c r="NO136" s="29"/>
      <c r="NP136" s="29"/>
      <c r="NQ136" s="29"/>
      <c r="NR136" s="29"/>
      <c r="NS136" s="29"/>
      <c r="NT136" s="29"/>
      <c r="NU136" s="29"/>
      <c r="NV136" s="29"/>
      <c r="NW136" s="29"/>
      <c r="NX136" s="29"/>
      <c r="NY136" s="29"/>
      <c r="NZ136" s="29"/>
      <c r="OA136" s="29"/>
      <c r="OB136" s="29"/>
      <c r="OC136" s="29"/>
      <c r="OD136" s="29"/>
      <c r="OE136" s="29"/>
      <c r="OF136" s="29"/>
      <c r="OG136" s="29"/>
      <c r="OH136" s="29"/>
      <c r="OI136" s="29"/>
      <c r="OJ136" s="29"/>
      <c r="OK136" s="29"/>
      <c r="OL136" s="29"/>
      <c r="OM136" s="29"/>
      <c r="ON136" s="29"/>
      <c r="OO136" s="29"/>
      <c r="OP136" s="29"/>
      <c r="OQ136" s="29"/>
      <c r="OR136" s="29"/>
      <c r="OS136" s="29"/>
      <c r="OT136" s="29"/>
      <c r="OU136" s="29"/>
      <c r="OV136" s="29"/>
      <c r="OW136" s="29"/>
      <c r="OX136" s="29"/>
      <c r="OY136" s="29"/>
      <c r="OZ136" s="29"/>
      <c r="PA136" s="29"/>
      <c r="PB136" s="29"/>
      <c r="PC136" s="29"/>
      <c r="PD136" s="29"/>
      <c r="PE136" s="29"/>
      <c r="PF136" s="29"/>
      <c r="PG136" s="29"/>
      <c r="PH136" s="29"/>
      <c r="PI136" s="29"/>
      <c r="PJ136" s="29"/>
      <c r="PK136" s="29"/>
      <c r="PL136" s="29"/>
      <c r="PM136" s="29"/>
      <c r="PN136" s="29"/>
      <c r="PO136" s="29"/>
      <c r="PP136" s="29"/>
      <c r="PQ136" s="29"/>
      <c r="PR136" s="29"/>
      <c r="PS136" s="29"/>
      <c r="PT136" s="29"/>
      <c r="PU136" s="29"/>
      <c r="PV136" s="29"/>
      <c r="PW136" s="29"/>
      <c r="PX136" s="29"/>
      <c r="PY136" s="29"/>
      <c r="PZ136" s="29"/>
      <c r="QA136" s="29"/>
      <c r="QB136" s="29"/>
      <c r="QC136" s="29"/>
      <c r="QD136" s="29"/>
      <c r="QE136" s="29"/>
      <c r="QF136" s="29"/>
      <c r="QG136" s="29"/>
      <c r="QH136" s="29"/>
      <c r="QI136" s="29"/>
      <c r="QJ136" s="29"/>
      <c r="QK136" s="29"/>
      <c r="QL136" s="29"/>
      <c r="QM136" s="29"/>
      <c r="QN136" s="29"/>
      <c r="QO136" s="29"/>
      <c r="QP136" s="29"/>
      <c r="QQ136" s="29"/>
      <c r="QR136" s="29"/>
      <c r="QS136" s="29"/>
      <c r="QT136" s="29"/>
      <c r="QU136" s="29"/>
      <c r="QV136" s="29"/>
      <c r="QW136" s="29"/>
      <c r="QX136" s="29"/>
      <c r="QY136" s="29"/>
      <c r="QZ136" s="29"/>
      <c r="RA136" s="29"/>
      <c r="RB136" s="29"/>
      <c r="RC136" s="29"/>
      <c r="RD136" s="29"/>
      <c r="RE136" s="29"/>
      <c r="RF136" s="29"/>
      <c r="RG136" s="29"/>
      <c r="RH136" s="29"/>
      <c r="RI136" s="29"/>
      <c r="RJ136" s="29"/>
      <c r="RK136" s="29"/>
      <c r="RL136" s="29"/>
      <c r="RM136" s="29"/>
      <c r="RN136" s="29"/>
      <c r="RO136" s="29"/>
      <c r="RP136" s="29"/>
      <c r="RQ136" s="29"/>
      <c r="RR136" s="29"/>
      <c r="RS136" s="29"/>
      <c r="RT136" s="29"/>
      <c r="RU136" s="29"/>
      <c r="RV136" s="29"/>
      <c r="RW136" s="29"/>
      <c r="RX136" s="29"/>
      <c r="RY136" s="29"/>
      <c r="RZ136" s="29"/>
      <c r="SA136" s="29"/>
      <c r="SB136" s="29"/>
      <c r="SC136" s="29"/>
      <c r="SD136" s="29"/>
      <c r="SE136" s="29"/>
      <c r="SF136" s="29"/>
      <c r="SG136" s="29"/>
      <c r="SH136" s="29"/>
      <c r="SI136" s="29"/>
      <c r="SJ136" s="29"/>
      <c r="SK136" s="29"/>
      <c r="SL136" s="29"/>
      <c r="SM136" s="29"/>
      <c r="SN136" s="29"/>
      <c r="SO136" s="29"/>
      <c r="SP136" s="29"/>
      <c r="SQ136" s="29"/>
      <c r="SR136" s="29"/>
      <c r="SS136" s="29"/>
      <c r="ST136" s="29"/>
      <c r="SU136" s="29"/>
      <c r="SV136" s="29"/>
      <c r="SW136" s="29"/>
      <c r="SX136" s="29"/>
      <c r="SY136" s="29"/>
      <c r="SZ136" s="29"/>
      <c r="TA136" s="29"/>
      <c r="TB136" s="29"/>
      <c r="TC136" s="29"/>
      <c r="TD136" s="29"/>
      <c r="TE136" s="29"/>
      <c r="TF136" s="29"/>
      <c r="TG136" s="29"/>
      <c r="TH136" s="29"/>
      <c r="TI136" s="29"/>
      <c r="TJ136" s="29"/>
      <c r="TK136" s="29"/>
      <c r="TL136" s="29"/>
      <c r="TM136" s="29"/>
      <c r="TN136" s="29"/>
      <c r="TO136" s="29"/>
      <c r="TP136" s="29"/>
      <c r="TQ136" s="29"/>
      <c r="TR136" s="29"/>
      <c r="TS136" s="29"/>
      <c r="TT136" s="29"/>
      <c r="TU136" s="29"/>
      <c r="TV136" s="29"/>
      <c r="TW136" s="29"/>
      <c r="TX136" s="29"/>
      <c r="TY136" s="29"/>
      <c r="TZ136" s="29"/>
      <c r="UA136" s="29"/>
      <c r="UB136" s="29"/>
      <c r="UC136" s="29"/>
      <c r="UD136" s="29"/>
      <c r="UE136" s="29"/>
      <c r="UF136" s="29"/>
      <c r="UG136" s="29"/>
      <c r="UH136" s="29"/>
      <c r="UI136" s="29"/>
      <c r="UJ136" s="29"/>
      <c r="UK136" s="29"/>
      <c r="UL136" s="29"/>
      <c r="UM136" s="29"/>
      <c r="UN136" s="29"/>
      <c r="UO136" s="29"/>
      <c r="UP136" s="29"/>
      <c r="UQ136" s="29"/>
      <c r="UR136" s="29"/>
      <c r="US136" s="29"/>
      <c r="UT136" s="29"/>
      <c r="UU136" s="29"/>
      <c r="UV136" s="29"/>
      <c r="UW136" s="29"/>
      <c r="UX136" s="29"/>
      <c r="UY136" s="29"/>
      <c r="UZ136" s="29"/>
      <c r="VA136" s="29"/>
      <c r="VB136" s="29"/>
      <c r="VC136" s="29"/>
      <c r="VD136" s="29"/>
      <c r="VE136" s="29"/>
      <c r="VF136" s="29"/>
      <c r="VG136" s="29"/>
      <c r="VH136" s="29"/>
      <c r="VI136" s="29"/>
      <c r="VJ136" s="29"/>
      <c r="VK136" s="29"/>
      <c r="VL136" s="29"/>
      <c r="VM136" s="29"/>
      <c r="VN136" s="29"/>
      <c r="VO136" s="29"/>
      <c r="VP136" s="29"/>
      <c r="VQ136" s="29"/>
      <c r="VR136" s="29"/>
      <c r="VS136" s="29"/>
      <c r="VT136" s="29"/>
      <c r="VU136" s="29"/>
      <c r="VV136" s="29"/>
      <c r="VW136" s="29"/>
      <c r="VX136" s="29"/>
      <c r="VY136" s="29"/>
      <c r="VZ136" s="29"/>
      <c r="WA136" s="29"/>
      <c r="WB136" s="29"/>
      <c r="WC136" s="29"/>
      <c r="WD136" s="29"/>
      <c r="WE136" s="29"/>
      <c r="WF136" s="29"/>
      <c r="WG136" s="29"/>
      <c r="WH136" s="29"/>
      <c r="WI136" s="29"/>
      <c r="WJ136" s="29"/>
      <c r="WK136" s="29"/>
      <c r="WL136" s="29"/>
      <c r="WM136" s="29"/>
      <c r="WN136" s="29"/>
      <c r="WO136" s="29"/>
      <c r="WP136" s="29"/>
      <c r="WQ136" s="29"/>
      <c r="WR136" s="29"/>
      <c r="WS136" s="29"/>
    </row>
    <row r="137" spans="1:617" s="3" customFormat="1" ht="15" outlineLevel="1" thickBot="1">
      <c r="A137" s="33"/>
      <c r="B137" s="24" t="s">
        <v>261</v>
      </c>
      <c r="C137" s="140"/>
      <c r="D137" s="121"/>
      <c r="E137" s="122"/>
      <c r="F137" s="14"/>
      <c r="G137" s="14"/>
      <c r="H137" s="14"/>
      <c r="I137" s="14"/>
      <c r="J137" s="29"/>
      <c r="K137" s="29"/>
      <c r="L137" s="29"/>
      <c r="M137" s="29"/>
      <c r="N137" s="29"/>
      <c r="O137" s="29"/>
      <c r="P137" s="29"/>
      <c r="Q137" s="29"/>
      <c r="R137" s="29"/>
      <c r="S137" s="29"/>
      <c r="T137" s="29"/>
      <c r="U137" s="29"/>
      <c r="V137" s="29"/>
      <c r="W137" s="29"/>
      <c r="X137" s="29"/>
      <c r="Y137" s="30"/>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c r="MM137" s="29"/>
      <c r="MN137" s="29"/>
      <c r="MO137" s="29"/>
      <c r="MP137" s="29"/>
      <c r="MQ137" s="29"/>
      <c r="MR137" s="29"/>
      <c r="MS137" s="29"/>
      <c r="MT137" s="29"/>
      <c r="MU137" s="29"/>
      <c r="MV137" s="29"/>
      <c r="MW137" s="29"/>
      <c r="MX137" s="29"/>
      <c r="MY137" s="29"/>
      <c r="MZ137" s="29"/>
      <c r="NA137" s="29"/>
      <c r="NB137" s="29"/>
      <c r="NC137" s="29"/>
      <c r="ND137" s="29"/>
      <c r="NE137" s="29"/>
      <c r="NF137" s="29"/>
      <c r="NG137" s="29"/>
      <c r="NH137" s="29"/>
      <c r="NI137" s="29"/>
      <c r="NJ137" s="29"/>
      <c r="NK137" s="29"/>
      <c r="NL137" s="29"/>
      <c r="NM137" s="29"/>
      <c r="NN137" s="29"/>
      <c r="NO137" s="29"/>
      <c r="NP137" s="29"/>
      <c r="NQ137" s="29"/>
      <c r="NR137" s="29"/>
      <c r="NS137" s="29"/>
      <c r="NT137" s="29"/>
      <c r="NU137" s="29"/>
      <c r="NV137" s="29"/>
      <c r="NW137" s="29"/>
      <c r="NX137" s="29"/>
      <c r="NY137" s="29"/>
      <c r="NZ137" s="29"/>
      <c r="OA137" s="29"/>
      <c r="OB137" s="29"/>
      <c r="OC137" s="29"/>
      <c r="OD137" s="29"/>
      <c r="OE137" s="29"/>
      <c r="OF137" s="29"/>
      <c r="OG137" s="29"/>
      <c r="OH137" s="29"/>
      <c r="OI137" s="29"/>
      <c r="OJ137" s="29"/>
      <c r="OK137" s="29"/>
      <c r="OL137" s="29"/>
      <c r="OM137" s="29"/>
      <c r="ON137" s="29"/>
      <c r="OO137" s="29"/>
      <c r="OP137" s="29"/>
      <c r="OQ137" s="29"/>
      <c r="OR137" s="29"/>
      <c r="OS137" s="29"/>
      <c r="OT137" s="29"/>
      <c r="OU137" s="29"/>
      <c r="OV137" s="29"/>
      <c r="OW137" s="29"/>
      <c r="OX137" s="29"/>
      <c r="OY137" s="29"/>
      <c r="OZ137" s="29"/>
      <c r="PA137" s="29"/>
      <c r="PB137" s="29"/>
      <c r="PC137" s="29"/>
      <c r="PD137" s="29"/>
      <c r="PE137" s="29"/>
      <c r="PF137" s="29"/>
      <c r="PG137" s="29"/>
      <c r="PH137" s="29"/>
      <c r="PI137" s="29"/>
      <c r="PJ137" s="29"/>
      <c r="PK137" s="29"/>
      <c r="PL137" s="29"/>
      <c r="PM137" s="29"/>
      <c r="PN137" s="29"/>
      <c r="PO137" s="29"/>
      <c r="PP137" s="29"/>
      <c r="PQ137" s="29"/>
      <c r="PR137" s="29"/>
      <c r="PS137" s="29"/>
      <c r="PT137" s="29"/>
      <c r="PU137" s="29"/>
      <c r="PV137" s="29"/>
      <c r="PW137" s="29"/>
      <c r="PX137" s="29"/>
      <c r="PY137" s="29"/>
      <c r="PZ137" s="29"/>
      <c r="QA137" s="29"/>
      <c r="QB137" s="29"/>
      <c r="QC137" s="29"/>
      <c r="QD137" s="29"/>
      <c r="QE137" s="29"/>
      <c r="QF137" s="29"/>
      <c r="QG137" s="29"/>
      <c r="QH137" s="29"/>
      <c r="QI137" s="29"/>
      <c r="QJ137" s="29"/>
      <c r="QK137" s="29"/>
      <c r="QL137" s="29"/>
      <c r="QM137" s="29"/>
      <c r="QN137" s="29"/>
      <c r="QO137" s="29"/>
      <c r="QP137" s="29"/>
      <c r="QQ137" s="29"/>
      <c r="QR137" s="29"/>
      <c r="QS137" s="29"/>
      <c r="QT137" s="29"/>
      <c r="QU137" s="29"/>
      <c r="QV137" s="29"/>
      <c r="QW137" s="29"/>
      <c r="QX137" s="29"/>
      <c r="QY137" s="29"/>
      <c r="QZ137" s="29"/>
      <c r="RA137" s="29"/>
      <c r="RB137" s="29"/>
      <c r="RC137" s="29"/>
      <c r="RD137" s="29"/>
      <c r="RE137" s="29"/>
      <c r="RF137" s="29"/>
      <c r="RG137" s="29"/>
      <c r="RH137" s="29"/>
      <c r="RI137" s="29"/>
      <c r="RJ137" s="29"/>
      <c r="RK137" s="29"/>
      <c r="RL137" s="29"/>
      <c r="RM137" s="29"/>
      <c r="RN137" s="29"/>
      <c r="RO137" s="29"/>
      <c r="RP137" s="29"/>
      <c r="RQ137" s="29"/>
      <c r="RR137" s="29"/>
      <c r="RS137" s="29"/>
      <c r="RT137" s="29"/>
      <c r="RU137" s="29"/>
      <c r="RV137" s="29"/>
      <c r="RW137" s="29"/>
      <c r="RX137" s="29"/>
      <c r="RY137" s="29"/>
      <c r="RZ137" s="29"/>
      <c r="SA137" s="29"/>
      <c r="SB137" s="29"/>
      <c r="SC137" s="29"/>
      <c r="SD137" s="29"/>
      <c r="SE137" s="29"/>
      <c r="SF137" s="29"/>
      <c r="SG137" s="29"/>
      <c r="SH137" s="29"/>
      <c r="SI137" s="29"/>
      <c r="SJ137" s="29"/>
      <c r="SK137" s="29"/>
      <c r="SL137" s="29"/>
      <c r="SM137" s="29"/>
      <c r="SN137" s="29"/>
      <c r="SO137" s="29"/>
      <c r="SP137" s="29"/>
      <c r="SQ137" s="29"/>
      <c r="SR137" s="29"/>
      <c r="SS137" s="29"/>
      <c r="ST137" s="29"/>
      <c r="SU137" s="29"/>
      <c r="SV137" s="29"/>
      <c r="SW137" s="29"/>
      <c r="SX137" s="29"/>
      <c r="SY137" s="29"/>
      <c r="SZ137" s="29"/>
      <c r="TA137" s="29"/>
      <c r="TB137" s="29"/>
      <c r="TC137" s="29"/>
      <c r="TD137" s="29"/>
      <c r="TE137" s="29"/>
      <c r="TF137" s="29"/>
      <c r="TG137" s="29"/>
      <c r="TH137" s="29"/>
      <c r="TI137" s="29"/>
      <c r="TJ137" s="29"/>
      <c r="TK137" s="29"/>
      <c r="TL137" s="29"/>
      <c r="TM137" s="29"/>
      <c r="TN137" s="29"/>
      <c r="TO137" s="29"/>
      <c r="TP137" s="29"/>
      <c r="TQ137" s="29"/>
      <c r="TR137" s="29"/>
      <c r="TS137" s="29"/>
      <c r="TT137" s="29"/>
      <c r="TU137" s="29"/>
      <c r="TV137" s="29"/>
      <c r="TW137" s="29"/>
      <c r="TX137" s="29"/>
      <c r="TY137" s="29"/>
      <c r="TZ137" s="29"/>
      <c r="UA137" s="29"/>
      <c r="UB137" s="29"/>
      <c r="UC137" s="29"/>
      <c r="UD137" s="29"/>
      <c r="UE137" s="29"/>
      <c r="UF137" s="29"/>
      <c r="UG137" s="29"/>
      <c r="UH137" s="29"/>
      <c r="UI137" s="29"/>
      <c r="UJ137" s="29"/>
      <c r="UK137" s="29"/>
      <c r="UL137" s="29"/>
      <c r="UM137" s="29"/>
      <c r="UN137" s="29"/>
      <c r="UO137" s="29"/>
      <c r="UP137" s="29"/>
      <c r="UQ137" s="29"/>
      <c r="UR137" s="29"/>
      <c r="US137" s="29"/>
      <c r="UT137" s="29"/>
      <c r="UU137" s="29"/>
      <c r="UV137" s="29"/>
      <c r="UW137" s="29"/>
      <c r="UX137" s="29"/>
      <c r="UY137" s="29"/>
      <c r="UZ137" s="29"/>
      <c r="VA137" s="29"/>
      <c r="VB137" s="29"/>
      <c r="VC137" s="29"/>
      <c r="VD137" s="29"/>
      <c r="VE137" s="29"/>
      <c r="VF137" s="29"/>
      <c r="VG137" s="29"/>
      <c r="VH137" s="29"/>
      <c r="VI137" s="29"/>
      <c r="VJ137" s="29"/>
      <c r="VK137" s="29"/>
      <c r="VL137" s="29"/>
      <c r="VM137" s="29"/>
      <c r="VN137" s="29"/>
      <c r="VO137" s="29"/>
      <c r="VP137" s="29"/>
      <c r="VQ137" s="29"/>
      <c r="VR137" s="29"/>
      <c r="VS137" s="29"/>
      <c r="VT137" s="29"/>
      <c r="VU137" s="29"/>
      <c r="VV137" s="29"/>
      <c r="VW137" s="29"/>
      <c r="VX137" s="29"/>
      <c r="VY137" s="29"/>
      <c r="VZ137" s="29"/>
      <c r="WA137" s="29"/>
      <c r="WB137" s="29"/>
      <c r="WC137" s="29"/>
      <c r="WD137" s="29"/>
      <c r="WE137" s="29"/>
      <c r="WF137" s="29"/>
      <c r="WG137" s="29"/>
      <c r="WH137" s="29"/>
      <c r="WI137" s="29"/>
      <c r="WJ137" s="29"/>
      <c r="WK137" s="29"/>
      <c r="WL137" s="29"/>
      <c r="WM137" s="29"/>
      <c r="WN137" s="29"/>
      <c r="WO137" s="29"/>
      <c r="WP137" s="29"/>
      <c r="WQ137" s="29"/>
      <c r="WR137" s="29"/>
      <c r="WS137" s="29"/>
    </row>
    <row r="138" spans="1:617" s="3" customFormat="1" ht="15" outlineLevel="1" thickBot="1">
      <c r="A138" s="33"/>
      <c r="B138" s="85" t="s">
        <v>262</v>
      </c>
      <c r="C138" s="102" t="s">
        <v>89</v>
      </c>
      <c r="D138" s="123">
        <v>45754</v>
      </c>
      <c r="E138" s="123">
        <f>D138+G138</f>
        <v>45758</v>
      </c>
      <c r="F138" s="14"/>
      <c r="G138" s="14">
        <v>4</v>
      </c>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c r="MM138" s="29"/>
      <c r="MN138" s="29"/>
      <c r="MO138" s="29"/>
      <c r="MP138" s="29"/>
      <c r="MQ138" s="29"/>
      <c r="MR138" s="29"/>
      <c r="MS138" s="29"/>
      <c r="MT138" s="29"/>
      <c r="MU138" s="29"/>
      <c r="MV138" s="29"/>
      <c r="MW138" s="29"/>
      <c r="MX138" s="29"/>
      <c r="MY138" s="29"/>
      <c r="MZ138" s="29"/>
      <c r="NA138" s="29"/>
      <c r="NB138" s="29"/>
      <c r="NC138" s="29"/>
      <c r="ND138" s="29"/>
      <c r="NE138" s="29"/>
      <c r="NF138" s="29"/>
      <c r="NG138" s="29"/>
      <c r="NH138" s="29"/>
      <c r="NI138" s="29"/>
      <c r="NJ138" s="29"/>
      <c r="NK138" s="29"/>
      <c r="NL138" s="29"/>
      <c r="NM138" s="29"/>
      <c r="NN138" s="29"/>
      <c r="NO138" s="29"/>
      <c r="NP138" s="29"/>
      <c r="NQ138" s="29"/>
      <c r="NR138" s="29"/>
      <c r="NS138" s="29"/>
      <c r="NT138" s="29"/>
      <c r="NU138" s="29"/>
      <c r="NV138" s="29"/>
      <c r="NW138" s="29"/>
      <c r="NX138" s="29"/>
      <c r="NY138" s="29"/>
      <c r="NZ138" s="29"/>
      <c r="OA138" s="29"/>
      <c r="OB138" s="29"/>
      <c r="OC138" s="29"/>
      <c r="OD138" s="29"/>
      <c r="OE138" s="29"/>
      <c r="OF138" s="29"/>
      <c r="OG138" s="29"/>
      <c r="OH138" s="29"/>
      <c r="OI138" s="29"/>
      <c r="OJ138" s="29"/>
      <c r="OK138" s="29"/>
      <c r="OL138" s="29"/>
      <c r="OM138" s="29"/>
      <c r="ON138" s="29"/>
      <c r="OO138" s="29"/>
      <c r="OP138" s="29"/>
      <c r="OQ138" s="29"/>
      <c r="OR138" s="29"/>
      <c r="OS138" s="29"/>
      <c r="OT138" s="29"/>
      <c r="OU138" s="29"/>
      <c r="OV138" s="29"/>
      <c r="OW138" s="29"/>
      <c r="OX138" s="29"/>
      <c r="OY138" s="29"/>
      <c r="OZ138" s="29"/>
      <c r="PA138" s="29"/>
      <c r="PB138" s="29"/>
      <c r="PC138" s="29"/>
      <c r="PD138" s="29"/>
      <c r="PE138" s="29"/>
      <c r="PF138" s="29"/>
      <c r="PG138" s="29"/>
      <c r="PH138" s="29"/>
      <c r="PI138" s="29"/>
      <c r="PJ138" s="29"/>
      <c r="PK138" s="29"/>
      <c r="PL138" s="29"/>
      <c r="PM138" s="29"/>
      <c r="PN138" s="29"/>
      <c r="PO138" s="29"/>
      <c r="PP138" s="29"/>
      <c r="PQ138" s="29"/>
      <c r="PR138" s="29"/>
      <c r="PS138" s="29"/>
      <c r="PT138" s="29"/>
      <c r="PU138" s="29"/>
      <c r="PV138" s="29"/>
      <c r="PW138" s="29"/>
      <c r="PX138" s="29"/>
      <c r="PY138" s="29"/>
      <c r="PZ138" s="29"/>
      <c r="QA138" s="29"/>
      <c r="QB138" s="29"/>
      <c r="QC138" s="29"/>
      <c r="QD138" s="29"/>
      <c r="QE138" s="29"/>
      <c r="QF138" s="29"/>
      <c r="QG138" s="29"/>
      <c r="QH138" s="29"/>
      <c r="QI138" s="29"/>
      <c r="QJ138" s="29"/>
      <c r="QK138" s="29"/>
      <c r="QL138" s="29"/>
      <c r="QM138" s="29"/>
      <c r="QN138" s="29"/>
      <c r="QO138" s="29"/>
      <c r="QP138" s="29"/>
      <c r="QQ138" s="29"/>
      <c r="QR138" s="29"/>
      <c r="QS138" s="29"/>
      <c r="QT138" s="29"/>
      <c r="QU138" s="29"/>
      <c r="QV138" s="29"/>
      <c r="QW138" s="29"/>
      <c r="QX138" s="29"/>
      <c r="QY138" s="29"/>
      <c r="QZ138" s="29"/>
      <c r="RA138" s="29"/>
      <c r="RB138" s="29"/>
      <c r="RC138" s="29"/>
      <c r="RD138" s="29"/>
      <c r="RE138" s="29"/>
      <c r="RF138" s="29"/>
      <c r="RG138" s="29"/>
      <c r="RH138" s="29"/>
      <c r="RI138" s="29"/>
      <c r="RJ138" s="29"/>
      <c r="RK138" s="29"/>
      <c r="RL138" s="29"/>
      <c r="RM138" s="29"/>
      <c r="RN138" s="29"/>
      <c r="RO138" s="29"/>
      <c r="RP138" s="29"/>
      <c r="RQ138" s="29"/>
      <c r="RR138" s="29"/>
      <c r="RS138" s="29"/>
      <c r="RT138" s="29"/>
      <c r="RU138" s="29"/>
      <c r="RV138" s="29"/>
      <c r="RW138" s="29"/>
      <c r="RX138" s="29"/>
      <c r="RY138" s="29"/>
      <c r="RZ138" s="29"/>
      <c r="SA138" s="29"/>
      <c r="SB138" s="29"/>
      <c r="SC138" s="29"/>
      <c r="SD138" s="29"/>
      <c r="SE138" s="29"/>
      <c r="SF138" s="29"/>
      <c r="SG138" s="29"/>
      <c r="SH138" s="29"/>
      <c r="SI138" s="29"/>
      <c r="SJ138" s="29"/>
      <c r="SK138" s="29"/>
      <c r="SL138" s="29"/>
      <c r="SM138" s="29"/>
      <c r="SN138" s="29"/>
      <c r="SO138" s="29"/>
      <c r="SP138" s="29"/>
      <c r="SQ138" s="29"/>
      <c r="SR138" s="29"/>
      <c r="SS138" s="29"/>
      <c r="ST138" s="29"/>
      <c r="SU138" s="29"/>
      <c r="SV138" s="29"/>
      <c r="SW138" s="29"/>
      <c r="SX138" s="29"/>
      <c r="SY138" s="29"/>
      <c r="SZ138" s="29"/>
      <c r="TA138" s="29"/>
      <c r="TB138" s="29"/>
      <c r="TC138" s="29"/>
      <c r="TD138" s="29"/>
      <c r="TE138" s="29"/>
      <c r="TF138" s="29"/>
      <c r="TG138" s="29"/>
      <c r="TH138" s="29"/>
      <c r="TI138" s="29"/>
      <c r="TJ138" s="29"/>
      <c r="TK138" s="29"/>
      <c r="TL138" s="29"/>
      <c r="TM138" s="29"/>
      <c r="TN138" s="29"/>
      <c r="TO138" s="29"/>
      <c r="TP138" s="29"/>
      <c r="TQ138" s="29"/>
      <c r="TR138" s="29"/>
      <c r="TS138" s="29"/>
      <c r="TT138" s="29"/>
      <c r="TU138" s="29"/>
      <c r="TV138" s="29"/>
      <c r="TW138" s="29"/>
      <c r="TX138" s="29"/>
      <c r="TY138" s="29"/>
      <c r="TZ138" s="29"/>
      <c r="UA138" s="29"/>
      <c r="UB138" s="29"/>
      <c r="UC138" s="29"/>
      <c r="UD138" s="29"/>
      <c r="UE138" s="29"/>
      <c r="UF138" s="29"/>
      <c r="UG138" s="29"/>
      <c r="UH138" s="29"/>
      <c r="UI138" s="29"/>
      <c r="UJ138" s="29"/>
      <c r="UK138" s="29"/>
      <c r="UL138" s="29"/>
      <c r="UM138" s="29"/>
      <c r="UN138" s="29"/>
      <c r="UO138" s="29"/>
      <c r="UP138" s="29"/>
      <c r="UQ138" s="29"/>
      <c r="UR138" s="29"/>
      <c r="US138" s="29"/>
      <c r="UT138" s="29"/>
      <c r="UU138" s="29"/>
      <c r="UV138" s="29"/>
      <c r="UW138" s="29"/>
      <c r="UX138" s="29"/>
      <c r="UY138" s="29"/>
      <c r="UZ138" s="29"/>
      <c r="VA138" s="29"/>
      <c r="VB138" s="29"/>
      <c r="VC138" s="29"/>
      <c r="VD138" s="29"/>
      <c r="VE138" s="29"/>
      <c r="VF138" s="29"/>
      <c r="VG138" s="29"/>
      <c r="VH138" s="29"/>
      <c r="VI138" s="29"/>
      <c r="VJ138" s="29"/>
      <c r="VK138" s="29"/>
      <c r="VL138" s="29"/>
      <c r="VM138" s="29"/>
      <c r="VN138" s="29"/>
      <c r="VO138" s="29"/>
      <c r="VP138" s="29"/>
      <c r="VQ138" s="29"/>
      <c r="VR138" s="29"/>
      <c r="VS138" s="29"/>
      <c r="VT138" s="29"/>
      <c r="VU138" s="29"/>
      <c r="VV138" s="29"/>
      <c r="VW138" s="29"/>
      <c r="VX138" s="29"/>
      <c r="VY138" s="29"/>
      <c r="VZ138" s="29"/>
      <c r="WA138" s="29"/>
      <c r="WB138" s="29"/>
      <c r="WC138" s="29"/>
      <c r="WD138" s="29"/>
      <c r="WE138" s="29"/>
      <c r="WF138" s="29"/>
      <c r="WG138" s="29"/>
      <c r="WH138" s="29"/>
      <c r="WI138" s="29"/>
      <c r="WJ138" s="29"/>
      <c r="WK138" s="29"/>
      <c r="WL138" s="29"/>
      <c r="WM138" s="29"/>
      <c r="WN138" s="29"/>
      <c r="WO138" s="29"/>
      <c r="WP138" s="29"/>
      <c r="WQ138" s="29"/>
      <c r="WR138" s="29"/>
      <c r="WS138" s="29"/>
    </row>
    <row r="139" spans="1:617" s="3" customFormat="1" ht="15" outlineLevel="1" thickBot="1">
      <c r="A139" s="33"/>
      <c r="B139" s="85" t="s">
        <v>222</v>
      </c>
      <c r="C139" s="102" t="s">
        <v>230</v>
      </c>
      <c r="D139" s="205">
        <v>45782</v>
      </c>
      <c r="E139" s="123">
        <f>D139+G139-1</f>
        <v>45793</v>
      </c>
      <c r="F139" s="14"/>
      <c r="G139" s="14">
        <v>12</v>
      </c>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c r="MM139" s="29"/>
      <c r="MN139" s="29"/>
      <c r="MO139" s="29"/>
      <c r="MP139" s="29"/>
      <c r="MQ139" s="29"/>
      <c r="MR139" s="29"/>
      <c r="MS139" s="29"/>
      <c r="MT139" s="29"/>
      <c r="MU139" s="29"/>
      <c r="MV139" s="29"/>
      <c r="MW139" s="29"/>
      <c r="MX139" s="29"/>
      <c r="MY139" s="29"/>
      <c r="MZ139" s="29"/>
      <c r="NA139" s="29"/>
      <c r="NB139" s="29"/>
      <c r="NC139" s="29"/>
      <c r="ND139" s="29"/>
      <c r="NE139" s="29"/>
      <c r="NF139" s="29"/>
      <c r="NG139" s="29"/>
      <c r="NH139" s="29"/>
      <c r="NI139" s="29"/>
      <c r="NJ139" s="29"/>
      <c r="NK139" s="29"/>
      <c r="NL139" s="29"/>
      <c r="NM139" s="29"/>
      <c r="NN139" s="29"/>
      <c r="NO139" s="29"/>
      <c r="NP139" s="29"/>
      <c r="NQ139" s="29"/>
      <c r="NR139" s="29"/>
      <c r="NS139" s="29"/>
      <c r="NT139" s="29"/>
      <c r="NU139" s="29"/>
      <c r="NV139" s="29"/>
      <c r="NW139" s="29"/>
      <c r="NX139" s="29"/>
      <c r="NY139" s="29"/>
      <c r="NZ139" s="29"/>
      <c r="OA139" s="29"/>
      <c r="OB139" s="29"/>
      <c r="OC139" s="29"/>
      <c r="OD139" s="29"/>
      <c r="OE139" s="29"/>
      <c r="OF139" s="29"/>
      <c r="OG139" s="29"/>
      <c r="OH139" s="29"/>
      <c r="OI139" s="29"/>
      <c r="OJ139" s="29"/>
      <c r="OK139" s="29"/>
      <c r="OL139" s="29"/>
      <c r="OM139" s="29"/>
      <c r="ON139" s="29"/>
      <c r="OO139" s="29"/>
      <c r="OP139" s="29"/>
      <c r="OQ139" s="29"/>
      <c r="OR139" s="29"/>
      <c r="OS139" s="29"/>
      <c r="OT139" s="29"/>
      <c r="OU139" s="29"/>
      <c r="OV139" s="29"/>
      <c r="OW139" s="29"/>
      <c r="OX139" s="29"/>
      <c r="OY139" s="29"/>
      <c r="OZ139" s="29"/>
      <c r="PA139" s="29"/>
      <c r="PB139" s="29"/>
      <c r="PC139" s="29"/>
      <c r="PD139" s="29"/>
      <c r="PE139" s="29"/>
      <c r="PF139" s="29"/>
      <c r="PG139" s="29"/>
      <c r="PH139" s="29"/>
      <c r="PI139" s="29"/>
      <c r="PJ139" s="29"/>
      <c r="PK139" s="29"/>
      <c r="PL139" s="29"/>
      <c r="PM139" s="29"/>
      <c r="PN139" s="29"/>
      <c r="PO139" s="29"/>
      <c r="PP139" s="29"/>
      <c r="PQ139" s="29"/>
      <c r="PR139" s="29"/>
      <c r="PS139" s="29"/>
      <c r="PT139" s="29"/>
      <c r="PU139" s="29"/>
      <c r="PV139" s="29"/>
      <c r="PW139" s="29"/>
      <c r="PX139" s="29"/>
      <c r="PY139" s="29"/>
      <c r="PZ139" s="29"/>
      <c r="QA139" s="29"/>
      <c r="QB139" s="29"/>
      <c r="QC139" s="29"/>
      <c r="QD139" s="29"/>
      <c r="QE139" s="29"/>
      <c r="QF139" s="29"/>
      <c r="QG139" s="29"/>
      <c r="QH139" s="29"/>
      <c r="QI139" s="29"/>
      <c r="QJ139" s="29"/>
      <c r="QK139" s="29"/>
      <c r="QL139" s="29"/>
      <c r="QM139" s="29"/>
      <c r="QN139" s="29"/>
      <c r="QO139" s="29"/>
      <c r="QP139" s="29"/>
      <c r="QQ139" s="29"/>
      <c r="QR139" s="29"/>
      <c r="QS139" s="29"/>
      <c r="QT139" s="29"/>
      <c r="QU139" s="29"/>
      <c r="QV139" s="29"/>
      <c r="QW139" s="29"/>
      <c r="QX139" s="29"/>
      <c r="QY139" s="29"/>
      <c r="QZ139" s="29"/>
      <c r="RA139" s="29"/>
      <c r="RB139" s="29"/>
      <c r="RC139" s="29"/>
      <c r="RD139" s="29"/>
      <c r="RE139" s="29"/>
      <c r="RF139" s="29"/>
      <c r="RG139" s="29"/>
      <c r="RH139" s="29"/>
      <c r="RI139" s="29"/>
      <c r="RJ139" s="29"/>
      <c r="RK139" s="29"/>
      <c r="RL139" s="29"/>
      <c r="RM139" s="29"/>
      <c r="RN139" s="29"/>
      <c r="RO139" s="29"/>
      <c r="RP139" s="29"/>
      <c r="RQ139" s="29"/>
      <c r="RR139" s="29"/>
      <c r="RS139" s="29"/>
      <c r="RT139" s="29"/>
      <c r="RU139" s="29"/>
      <c r="RV139" s="29"/>
      <c r="RW139" s="29"/>
      <c r="RX139" s="29"/>
      <c r="RY139" s="29"/>
      <c r="RZ139" s="29"/>
      <c r="SA139" s="29"/>
      <c r="SB139" s="29"/>
      <c r="SC139" s="29"/>
      <c r="SD139" s="29"/>
      <c r="SE139" s="29"/>
      <c r="SF139" s="29"/>
      <c r="SG139" s="29"/>
      <c r="SH139" s="29"/>
      <c r="SI139" s="29"/>
      <c r="SJ139" s="29"/>
      <c r="SK139" s="29"/>
      <c r="SL139" s="29"/>
      <c r="SM139" s="29"/>
      <c r="SN139" s="29"/>
      <c r="SO139" s="29"/>
      <c r="SP139" s="29"/>
      <c r="SQ139" s="29"/>
      <c r="SR139" s="29"/>
      <c r="SS139" s="29"/>
      <c r="ST139" s="29"/>
      <c r="SU139" s="29"/>
      <c r="SV139" s="29"/>
      <c r="SW139" s="29"/>
      <c r="SX139" s="29"/>
      <c r="SY139" s="29"/>
      <c r="SZ139" s="29"/>
      <c r="TA139" s="29"/>
      <c r="TB139" s="29"/>
      <c r="TC139" s="29"/>
      <c r="TD139" s="29"/>
      <c r="TE139" s="29"/>
      <c r="TF139" s="29"/>
      <c r="TG139" s="29"/>
      <c r="TH139" s="29"/>
      <c r="TI139" s="29"/>
      <c r="TJ139" s="29"/>
      <c r="TK139" s="29"/>
      <c r="TL139" s="29"/>
      <c r="TM139" s="29"/>
      <c r="TN139" s="29"/>
      <c r="TO139" s="29"/>
      <c r="TP139" s="29"/>
      <c r="TQ139" s="29"/>
      <c r="TR139" s="29"/>
      <c r="TS139" s="29"/>
      <c r="TT139" s="29"/>
      <c r="TU139" s="29"/>
      <c r="TV139" s="29"/>
      <c r="TW139" s="29"/>
      <c r="TX139" s="29"/>
      <c r="TY139" s="29"/>
      <c r="TZ139" s="29"/>
      <c r="UA139" s="29"/>
      <c r="UB139" s="29"/>
      <c r="UC139" s="29"/>
      <c r="UD139" s="29"/>
      <c r="UE139" s="29"/>
      <c r="UF139" s="29"/>
      <c r="UG139" s="29"/>
      <c r="UH139" s="29"/>
      <c r="UI139" s="29"/>
      <c r="UJ139" s="29"/>
      <c r="UK139" s="29"/>
      <c r="UL139" s="29"/>
      <c r="UM139" s="29"/>
      <c r="UN139" s="29"/>
      <c r="UO139" s="29"/>
      <c r="UP139" s="29"/>
      <c r="UQ139" s="29"/>
      <c r="UR139" s="29"/>
      <c r="US139" s="29"/>
      <c r="UT139" s="29"/>
      <c r="UU139" s="29"/>
      <c r="UV139" s="29"/>
      <c r="UW139" s="29"/>
      <c r="UX139" s="29"/>
      <c r="UY139" s="29"/>
      <c r="UZ139" s="29"/>
      <c r="VA139" s="29"/>
      <c r="VB139" s="29"/>
      <c r="VC139" s="29"/>
      <c r="VD139" s="29"/>
      <c r="VE139" s="29"/>
      <c r="VF139" s="29"/>
      <c r="VG139" s="29"/>
      <c r="VH139" s="29"/>
      <c r="VI139" s="29"/>
      <c r="VJ139" s="29"/>
      <c r="VK139" s="29"/>
      <c r="VL139" s="29"/>
      <c r="VM139" s="29"/>
      <c r="VN139" s="29"/>
      <c r="VO139" s="29"/>
      <c r="VP139" s="29"/>
      <c r="VQ139" s="29"/>
      <c r="VR139" s="29"/>
      <c r="VS139" s="29"/>
      <c r="VT139" s="29"/>
      <c r="VU139" s="29"/>
      <c r="VV139" s="29"/>
      <c r="VW139" s="29"/>
      <c r="VX139" s="29"/>
      <c r="VY139" s="29"/>
      <c r="VZ139" s="29"/>
      <c r="WA139" s="29"/>
      <c r="WB139" s="29"/>
      <c r="WC139" s="29"/>
      <c r="WD139" s="29"/>
      <c r="WE139" s="29"/>
      <c r="WF139" s="29"/>
      <c r="WG139" s="29"/>
      <c r="WH139" s="29"/>
      <c r="WI139" s="29"/>
      <c r="WJ139" s="29"/>
      <c r="WK139" s="29"/>
      <c r="WL139" s="29"/>
      <c r="WM139" s="29"/>
      <c r="WN139" s="29"/>
      <c r="WO139" s="29"/>
      <c r="WP139" s="29"/>
      <c r="WQ139" s="29"/>
      <c r="WR139" s="29"/>
      <c r="WS139" s="29"/>
    </row>
    <row r="140" spans="1:617" s="3" customFormat="1" ht="15" outlineLevel="1" thickBot="1">
      <c r="A140" s="33"/>
      <c r="B140" s="85" t="s">
        <v>263</v>
      </c>
      <c r="C140" s="102" t="s">
        <v>86</v>
      </c>
      <c r="D140" s="123">
        <f>D139+35</f>
        <v>45817</v>
      </c>
      <c r="E140" s="123">
        <f t="shared" ref="E140:E149" si="602">D140+G140-1</f>
        <v>45828</v>
      </c>
      <c r="F140" s="14"/>
      <c r="G140" s="14">
        <v>12</v>
      </c>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c r="MM140" s="29"/>
      <c r="MN140" s="29"/>
      <c r="MO140" s="29"/>
      <c r="MP140" s="29"/>
      <c r="MQ140" s="29"/>
      <c r="MR140" s="29"/>
      <c r="MS140" s="29"/>
      <c r="MT140" s="29"/>
      <c r="MU140" s="29"/>
      <c r="MV140" s="29"/>
      <c r="MW140" s="29"/>
      <c r="MX140" s="29"/>
      <c r="MY140" s="29"/>
      <c r="MZ140" s="29"/>
      <c r="NA140" s="29"/>
      <c r="NB140" s="29"/>
      <c r="NC140" s="29"/>
      <c r="ND140" s="29"/>
      <c r="NE140" s="29"/>
      <c r="NF140" s="29"/>
      <c r="NG140" s="29"/>
      <c r="NH140" s="29"/>
      <c r="NI140" s="29"/>
      <c r="NJ140" s="29"/>
      <c r="NK140" s="29"/>
      <c r="NL140" s="29"/>
      <c r="NM140" s="29"/>
      <c r="NN140" s="29"/>
      <c r="NO140" s="29"/>
      <c r="NP140" s="29"/>
      <c r="NQ140" s="29"/>
      <c r="NR140" s="29"/>
      <c r="NS140" s="29"/>
      <c r="NT140" s="29"/>
      <c r="NU140" s="29"/>
      <c r="NV140" s="29"/>
      <c r="NW140" s="29"/>
      <c r="NX140" s="29"/>
      <c r="NY140" s="29"/>
      <c r="NZ140" s="29"/>
      <c r="OA140" s="29"/>
      <c r="OB140" s="29"/>
      <c r="OC140" s="29"/>
      <c r="OD140" s="29"/>
      <c r="OE140" s="29"/>
      <c r="OF140" s="29"/>
      <c r="OG140" s="29"/>
      <c r="OH140" s="29"/>
      <c r="OI140" s="29"/>
      <c r="OJ140" s="29"/>
      <c r="OK140" s="29"/>
      <c r="OL140" s="29"/>
      <c r="OM140" s="29"/>
      <c r="ON140" s="29"/>
      <c r="OO140" s="29"/>
      <c r="OP140" s="29"/>
      <c r="OQ140" s="29"/>
      <c r="OR140" s="29"/>
      <c r="OS140" s="29"/>
      <c r="OT140" s="29"/>
      <c r="OU140" s="29"/>
      <c r="OV140" s="29"/>
      <c r="OW140" s="29"/>
      <c r="OX140" s="29"/>
      <c r="OY140" s="29"/>
      <c r="OZ140" s="29"/>
      <c r="PA140" s="29"/>
      <c r="PB140" s="29"/>
      <c r="PC140" s="29"/>
      <c r="PD140" s="29"/>
      <c r="PE140" s="29"/>
      <c r="PF140" s="29"/>
      <c r="PG140" s="29"/>
      <c r="PH140" s="29"/>
      <c r="PI140" s="29"/>
      <c r="PJ140" s="29"/>
      <c r="PK140" s="29"/>
      <c r="PL140" s="29"/>
      <c r="PM140" s="29"/>
      <c r="PN140" s="29"/>
      <c r="PO140" s="29"/>
      <c r="PP140" s="29"/>
      <c r="PQ140" s="29"/>
      <c r="PR140" s="29"/>
      <c r="PS140" s="29"/>
      <c r="PT140" s="29"/>
      <c r="PU140" s="29"/>
      <c r="PV140" s="29"/>
      <c r="PW140" s="29"/>
      <c r="PX140" s="29"/>
      <c r="PY140" s="29"/>
      <c r="PZ140" s="29"/>
      <c r="QA140" s="29"/>
      <c r="QB140" s="29"/>
      <c r="QC140" s="29"/>
      <c r="QD140" s="29"/>
      <c r="QE140" s="29"/>
      <c r="QF140" s="29"/>
      <c r="QG140" s="29"/>
      <c r="QH140" s="29"/>
      <c r="QI140" s="29"/>
      <c r="QJ140" s="29"/>
      <c r="QK140" s="29"/>
      <c r="QL140" s="29"/>
      <c r="QM140" s="29"/>
      <c r="QN140" s="29"/>
      <c r="QO140" s="29"/>
      <c r="QP140" s="29"/>
      <c r="QQ140" s="29"/>
      <c r="QR140" s="29"/>
      <c r="QS140" s="29"/>
      <c r="QT140" s="29"/>
      <c r="QU140" s="29"/>
      <c r="QV140" s="29"/>
      <c r="QW140" s="29"/>
      <c r="QX140" s="29"/>
      <c r="QY140" s="29"/>
      <c r="QZ140" s="29"/>
      <c r="RA140" s="29"/>
      <c r="RB140" s="29"/>
      <c r="RC140" s="29"/>
      <c r="RD140" s="29"/>
      <c r="RE140" s="29"/>
      <c r="RF140" s="29"/>
      <c r="RG140" s="29"/>
      <c r="RH140" s="29"/>
      <c r="RI140" s="29"/>
      <c r="RJ140" s="29"/>
      <c r="RK140" s="29"/>
      <c r="RL140" s="29"/>
      <c r="RM140" s="29"/>
      <c r="RN140" s="29"/>
      <c r="RO140" s="29"/>
      <c r="RP140" s="29"/>
      <c r="RQ140" s="29"/>
      <c r="RR140" s="29"/>
      <c r="RS140" s="29"/>
      <c r="RT140" s="29"/>
      <c r="RU140" s="29"/>
      <c r="RV140" s="29"/>
      <c r="RW140" s="29"/>
      <c r="RX140" s="29"/>
      <c r="RY140" s="29"/>
      <c r="RZ140" s="29"/>
      <c r="SA140" s="29"/>
      <c r="SB140" s="29"/>
      <c r="SC140" s="29"/>
      <c r="SD140" s="29"/>
      <c r="SE140" s="29"/>
      <c r="SF140" s="29"/>
      <c r="SG140" s="29"/>
      <c r="SH140" s="29"/>
      <c r="SI140" s="29"/>
      <c r="SJ140" s="29"/>
      <c r="SK140" s="29"/>
      <c r="SL140" s="29"/>
      <c r="SM140" s="29"/>
      <c r="SN140" s="29"/>
      <c r="SO140" s="29"/>
      <c r="SP140" s="29"/>
      <c r="SQ140" s="29"/>
      <c r="SR140" s="29"/>
      <c r="SS140" s="29"/>
      <c r="ST140" s="29"/>
      <c r="SU140" s="29"/>
      <c r="SV140" s="29"/>
      <c r="SW140" s="29"/>
      <c r="SX140" s="29"/>
      <c r="SY140" s="29"/>
      <c r="SZ140" s="29"/>
      <c r="TA140" s="29"/>
      <c r="TB140" s="29"/>
      <c r="TC140" s="29"/>
      <c r="TD140" s="29"/>
      <c r="TE140" s="29"/>
      <c r="TF140" s="29"/>
      <c r="TG140" s="29"/>
      <c r="TH140" s="29"/>
      <c r="TI140" s="29"/>
      <c r="TJ140" s="29"/>
      <c r="TK140" s="29"/>
      <c r="TL140" s="29"/>
      <c r="TM140" s="29"/>
      <c r="TN140" s="29"/>
      <c r="TO140" s="29"/>
      <c r="TP140" s="29"/>
      <c r="TQ140" s="29"/>
      <c r="TR140" s="29"/>
      <c r="TS140" s="29"/>
      <c r="TT140" s="29"/>
      <c r="TU140" s="29"/>
      <c r="TV140" s="29"/>
      <c r="TW140" s="29"/>
      <c r="TX140" s="29"/>
      <c r="TY140" s="29"/>
      <c r="TZ140" s="29"/>
      <c r="UA140" s="29"/>
      <c r="UB140" s="29"/>
      <c r="UC140" s="29"/>
      <c r="UD140" s="29"/>
      <c r="UE140" s="29"/>
      <c r="UF140" s="29"/>
      <c r="UG140" s="29"/>
      <c r="UH140" s="29"/>
      <c r="UI140" s="29"/>
      <c r="UJ140" s="29"/>
      <c r="UK140" s="29"/>
      <c r="UL140" s="29"/>
      <c r="UM140" s="29"/>
      <c r="UN140" s="29"/>
      <c r="UO140" s="29"/>
      <c r="UP140" s="29"/>
      <c r="UQ140" s="29"/>
      <c r="UR140" s="29"/>
      <c r="US140" s="29"/>
      <c r="UT140" s="29"/>
      <c r="UU140" s="29"/>
      <c r="UV140" s="29"/>
      <c r="UW140" s="29"/>
      <c r="UX140" s="29"/>
      <c r="UY140" s="29"/>
      <c r="UZ140" s="29"/>
      <c r="VA140" s="29"/>
      <c r="VB140" s="29"/>
      <c r="VC140" s="29"/>
      <c r="VD140" s="29"/>
      <c r="VE140" s="29"/>
      <c r="VF140" s="29"/>
      <c r="VG140" s="29"/>
      <c r="VH140" s="29"/>
      <c r="VI140" s="29"/>
      <c r="VJ140" s="29"/>
      <c r="VK140" s="29"/>
      <c r="VL140" s="29"/>
      <c r="VM140" s="29"/>
      <c r="VN140" s="29"/>
      <c r="VO140" s="29"/>
      <c r="VP140" s="29"/>
      <c r="VQ140" s="29"/>
      <c r="VR140" s="29"/>
      <c r="VS140" s="29"/>
      <c r="VT140" s="29"/>
      <c r="VU140" s="29"/>
      <c r="VV140" s="29"/>
      <c r="VW140" s="29"/>
      <c r="VX140" s="29"/>
      <c r="VY140" s="29"/>
      <c r="VZ140" s="29"/>
      <c r="WA140" s="29"/>
      <c r="WB140" s="29"/>
      <c r="WC140" s="29"/>
      <c r="WD140" s="29"/>
      <c r="WE140" s="29"/>
      <c r="WF140" s="29"/>
      <c r="WG140" s="29"/>
      <c r="WH140" s="29"/>
      <c r="WI140" s="29"/>
      <c r="WJ140" s="29"/>
      <c r="WK140" s="29"/>
      <c r="WL140" s="29"/>
      <c r="WM140" s="29"/>
      <c r="WN140" s="29"/>
      <c r="WO140" s="29"/>
      <c r="WP140" s="29"/>
      <c r="WQ140" s="29"/>
      <c r="WR140" s="29"/>
      <c r="WS140" s="29"/>
    </row>
    <row r="141" spans="1:617" s="3" customFormat="1" ht="15" outlineLevel="1" thickBot="1">
      <c r="A141" s="33"/>
      <c r="B141" s="85" t="s">
        <v>222</v>
      </c>
      <c r="C141" s="102" t="s">
        <v>35</v>
      </c>
      <c r="D141" s="123">
        <f t="shared" ref="D141" si="603">D140+35</f>
        <v>45852</v>
      </c>
      <c r="E141" s="123">
        <f t="shared" si="602"/>
        <v>45863</v>
      </c>
      <c r="F141" s="14"/>
      <c r="G141" s="14">
        <v>12</v>
      </c>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c r="MM141" s="29"/>
      <c r="MN141" s="29"/>
      <c r="MO141" s="29"/>
      <c r="MP141" s="29"/>
      <c r="MQ141" s="29"/>
      <c r="MR141" s="29"/>
      <c r="MS141" s="29"/>
      <c r="MT141" s="29"/>
      <c r="MU141" s="29"/>
      <c r="MV141" s="29"/>
      <c r="MW141" s="29"/>
      <c r="MX141" s="29"/>
      <c r="MY141" s="29"/>
      <c r="MZ141" s="29"/>
      <c r="NA141" s="29"/>
      <c r="NB141" s="29"/>
      <c r="NC141" s="29"/>
      <c r="ND141" s="29"/>
      <c r="NE141" s="29"/>
      <c r="NF141" s="29"/>
      <c r="NG141" s="29"/>
      <c r="NH141" s="29"/>
      <c r="NI141" s="29"/>
      <c r="NJ141" s="29"/>
      <c r="NK141" s="29"/>
      <c r="NL141" s="29"/>
      <c r="NM141" s="29"/>
      <c r="NN141" s="29"/>
      <c r="NO141" s="29"/>
      <c r="NP141" s="29"/>
      <c r="NQ141" s="29"/>
      <c r="NR141" s="29"/>
      <c r="NS141" s="29"/>
      <c r="NT141" s="29"/>
      <c r="NU141" s="29"/>
      <c r="NV141" s="29"/>
      <c r="NW141" s="29"/>
      <c r="NX141" s="29"/>
      <c r="NY141" s="29"/>
      <c r="NZ141" s="29"/>
      <c r="OA141" s="29"/>
      <c r="OB141" s="29"/>
      <c r="OC141" s="29"/>
      <c r="OD141" s="29"/>
      <c r="OE141" s="29"/>
      <c r="OF141" s="29"/>
      <c r="OG141" s="29"/>
      <c r="OH141" s="29"/>
      <c r="OI141" s="29"/>
      <c r="OJ141" s="29"/>
      <c r="OK141" s="29"/>
      <c r="OL141" s="29"/>
      <c r="OM141" s="29"/>
      <c r="ON141" s="29"/>
      <c r="OO141" s="29"/>
      <c r="OP141" s="29"/>
      <c r="OQ141" s="29"/>
      <c r="OR141" s="29"/>
      <c r="OS141" s="29"/>
      <c r="OT141" s="29"/>
      <c r="OU141" s="29"/>
      <c r="OV141" s="29"/>
      <c r="OW141" s="29"/>
      <c r="OX141" s="29"/>
      <c r="OY141" s="29"/>
      <c r="OZ141" s="29"/>
      <c r="PA141" s="29"/>
      <c r="PB141" s="29"/>
      <c r="PC141" s="29"/>
      <c r="PD141" s="29"/>
      <c r="PE141" s="29"/>
      <c r="PF141" s="29"/>
      <c r="PG141" s="29"/>
      <c r="PH141" s="29"/>
      <c r="PI141" s="29"/>
      <c r="PJ141" s="29"/>
      <c r="PK141" s="29"/>
      <c r="PL141" s="29"/>
      <c r="PM141" s="29"/>
      <c r="PN141" s="29"/>
      <c r="PO141" s="29"/>
      <c r="PP141" s="29"/>
      <c r="PQ141" s="29"/>
      <c r="PR141" s="29"/>
      <c r="PS141" s="29"/>
      <c r="PT141" s="29"/>
      <c r="PU141" s="29"/>
      <c r="PV141" s="29"/>
      <c r="PW141" s="29"/>
      <c r="PX141" s="29"/>
      <c r="PY141" s="29"/>
      <c r="PZ141" s="29"/>
      <c r="QA141" s="29"/>
      <c r="QB141" s="29"/>
      <c r="QC141" s="29"/>
      <c r="QD141" s="29"/>
      <c r="QE141" s="29"/>
      <c r="QF141" s="29"/>
      <c r="QG141" s="29"/>
      <c r="QH141" s="29"/>
      <c r="QI141" s="29"/>
      <c r="QJ141" s="29"/>
      <c r="QK141" s="29"/>
      <c r="QL141" s="29"/>
      <c r="QM141" s="29"/>
      <c r="QN141" s="29"/>
      <c r="QO141" s="29"/>
      <c r="QP141" s="29"/>
      <c r="QQ141" s="29"/>
      <c r="QR141" s="29"/>
      <c r="QS141" s="29"/>
      <c r="QT141" s="29"/>
      <c r="QU141" s="29"/>
      <c r="QV141" s="29"/>
      <c r="QW141" s="29"/>
      <c r="QX141" s="29"/>
      <c r="QY141" s="29"/>
      <c r="QZ141" s="29"/>
      <c r="RA141" s="29"/>
      <c r="RB141" s="29"/>
      <c r="RC141" s="29"/>
      <c r="RD141" s="29"/>
      <c r="RE141" s="29"/>
      <c r="RF141" s="29"/>
      <c r="RG141" s="29"/>
      <c r="RH141" s="29"/>
      <c r="RI141" s="29"/>
      <c r="RJ141" s="29"/>
      <c r="RK141" s="29"/>
      <c r="RL141" s="29"/>
      <c r="RM141" s="29"/>
      <c r="RN141" s="29"/>
      <c r="RO141" s="29"/>
      <c r="RP141" s="29"/>
      <c r="RQ141" s="29"/>
      <c r="RR141" s="29"/>
      <c r="RS141" s="29"/>
      <c r="RT141" s="29"/>
      <c r="RU141" s="29"/>
      <c r="RV141" s="29"/>
      <c r="RW141" s="29"/>
      <c r="RX141" s="29"/>
      <c r="RY141" s="29"/>
      <c r="RZ141" s="29"/>
      <c r="SA141" s="29"/>
      <c r="SB141" s="29"/>
      <c r="SC141" s="29"/>
      <c r="SD141" s="29"/>
      <c r="SE141" s="29"/>
      <c r="SF141" s="29"/>
      <c r="SG141" s="29"/>
      <c r="SH141" s="29"/>
      <c r="SI141" s="29"/>
      <c r="SJ141" s="29"/>
      <c r="SK141" s="29"/>
      <c r="SL141" s="29"/>
      <c r="SM141" s="29"/>
      <c r="SN141" s="29"/>
      <c r="SO141" s="29"/>
      <c r="SP141" s="29"/>
      <c r="SQ141" s="29"/>
      <c r="SR141" s="29"/>
      <c r="SS141" s="29"/>
      <c r="ST141" s="29"/>
      <c r="SU141" s="29"/>
      <c r="SV141" s="29"/>
      <c r="SW141" s="29"/>
      <c r="SX141" s="29"/>
      <c r="SY141" s="29"/>
      <c r="SZ141" s="29"/>
      <c r="TA141" s="29"/>
      <c r="TB141" s="29"/>
      <c r="TC141" s="29"/>
      <c r="TD141" s="29"/>
      <c r="TE141" s="29"/>
      <c r="TF141" s="29"/>
      <c r="TG141" s="29"/>
      <c r="TH141" s="29"/>
      <c r="TI141" s="29"/>
      <c r="TJ141" s="29"/>
      <c r="TK141" s="29"/>
      <c r="TL141" s="29"/>
      <c r="TM141" s="29"/>
      <c r="TN141" s="29"/>
      <c r="TO141" s="29"/>
      <c r="TP141" s="29"/>
      <c r="TQ141" s="29"/>
      <c r="TR141" s="29"/>
      <c r="TS141" s="29"/>
      <c r="TT141" s="29"/>
      <c r="TU141" s="29"/>
      <c r="TV141" s="29"/>
      <c r="TW141" s="29"/>
      <c r="TX141" s="29"/>
      <c r="TY141" s="29"/>
      <c r="TZ141" s="29"/>
      <c r="UA141" s="29"/>
      <c r="UB141" s="29"/>
      <c r="UC141" s="29"/>
      <c r="UD141" s="29"/>
      <c r="UE141" s="29"/>
      <c r="UF141" s="29"/>
      <c r="UG141" s="29"/>
      <c r="UH141" s="29"/>
      <c r="UI141" s="29"/>
      <c r="UJ141" s="29"/>
      <c r="UK141" s="29"/>
      <c r="UL141" s="29"/>
      <c r="UM141" s="29"/>
      <c r="UN141" s="29"/>
      <c r="UO141" s="29"/>
      <c r="UP141" s="29"/>
      <c r="UQ141" s="29"/>
      <c r="UR141" s="29"/>
      <c r="US141" s="29"/>
      <c r="UT141" s="29"/>
      <c r="UU141" s="29"/>
      <c r="UV141" s="29"/>
      <c r="UW141" s="29"/>
      <c r="UX141" s="29"/>
      <c r="UY141" s="29"/>
      <c r="UZ141" s="29"/>
      <c r="VA141" s="29"/>
      <c r="VB141" s="29"/>
      <c r="VC141" s="29"/>
      <c r="VD141" s="29"/>
      <c r="VE141" s="29"/>
      <c r="VF141" s="29"/>
      <c r="VG141" s="29"/>
      <c r="VH141" s="29"/>
      <c r="VI141" s="29"/>
      <c r="VJ141" s="29"/>
      <c r="VK141" s="29"/>
      <c r="VL141" s="29"/>
      <c r="VM141" s="29"/>
      <c r="VN141" s="29"/>
      <c r="VO141" s="29"/>
      <c r="VP141" s="29"/>
      <c r="VQ141" s="29"/>
      <c r="VR141" s="29"/>
      <c r="VS141" s="29"/>
      <c r="VT141" s="29"/>
      <c r="VU141" s="29"/>
      <c r="VV141" s="29"/>
      <c r="VW141" s="29"/>
      <c r="VX141" s="29"/>
      <c r="VY141" s="29"/>
      <c r="VZ141" s="29"/>
      <c r="WA141" s="29"/>
      <c r="WB141" s="29"/>
      <c r="WC141" s="29"/>
      <c r="WD141" s="29"/>
      <c r="WE141" s="29"/>
      <c r="WF141" s="29"/>
      <c r="WG141" s="29"/>
      <c r="WH141" s="29"/>
      <c r="WI141" s="29"/>
      <c r="WJ141" s="29"/>
      <c r="WK141" s="29"/>
      <c r="WL141" s="29"/>
      <c r="WM141" s="29"/>
      <c r="WN141" s="29"/>
      <c r="WO141" s="29"/>
      <c r="WP141" s="29"/>
      <c r="WQ141" s="29"/>
      <c r="WR141" s="29"/>
      <c r="WS141" s="29"/>
    </row>
    <row r="142" spans="1:617" s="3" customFormat="1" ht="15" outlineLevel="1" thickBot="1">
      <c r="A142" s="33"/>
      <c r="B142" s="85" t="s">
        <v>222</v>
      </c>
      <c r="C142" s="102" t="s">
        <v>165</v>
      </c>
      <c r="D142" s="123">
        <v>45852</v>
      </c>
      <c r="E142" s="123">
        <f t="shared" si="602"/>
        <v>45856</v>
      </c>
      <c r="F142" s="14"/>
      <c r="G142" s="14">
        <v>5</v>
      </c>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c r="MM142" s="29"/>
      <c r="MN142" s="29"/>
      <c r="MO142" s="29"/>
      <c r="MP142" s="29"/>
      <c r="MQ142" s="29"/>
      <c r="MR142" s="29"/>
      <c r="MS142" s="29"/>
      <c r="MT142" s="29"/>
      <c r="MU142" s="29"/>
      <c r="MV142" s="29"/>
      <c r="MW142" s="29"/>
      <c r="MX142" s="29"/>
      <c r="MY142" s="29"/>
      <c r="MZ142" s="29"/>
      <c r="NA142" s="29"/>
      <c r="NB142" s="29"/>
      <c r="NC142" s="29"/>
      <c r="ND142" s="29"/>
      <c r="NE142" s="29"/>
      <c r="NF142" s="29"/>
      <c r="NG142" s="29"/>
      <c r="NH142" s="29"/>
      <c r="NI142" s="29"/>
      <c r="NJ142" s="29"/>
      <c r="NK142" s="29"/>
      <c r="NL142" s="29"/>
      <c r="NM142" s="29"/>
      <c r="NN142" s="29"/>
      <c r="NO142" s="29"/>
      <c r="NP142" s="29"/>
      <c r="NQ142" s="29"/>
      <c r="NR142" s="29"/>
      <c r="NS142" s="29"/>
      <c r="NT142" s="29"/>
      <c r="NU142" s="29"/>
      <c r="NV142" s="29"/>
      <c r="NW142" s="29"/>
      <c r="NX142" s="29"/>
      <c r="NY142" s="29"/>
      <c r="NZ142" s="29"/>
      <c r="OA142" s="29"/>
      <c r="OB142" s="29"/>
      <c r="OC142" s="29"/>
      <c r="OD142" s="29"/>
      <c r="OE142" s="29"/>
      <c r="OF142" s="29"/>
      <c r="OG142" s="29"/>
      <c r="OH142" s="29"/>
      <c r="OI142" s="29"/>
      <c r="OJ142" s="29"/>
      <c r="OK142" s="29"/>
      <c r="OL142" s="29"/>
      <c r="OM142" s="29"/>
      <c r="ON142" s="29"/>
      <c r="OO142" s="29"/>
      <c r="OP142" s="29"/>
      <c r="OQ142" s="29"/>
      <c r="OR142" s="29"/>
      <c r="OS142" s="29"/>
      <c r="OT142" s="29"/>
      <c r="OU142" s="29"/>
      <c r="OV142" s="29"/>
      <c r="OW142" s="29"/>
      <c r="OX142" s="29"/>
      <c r="OY142" s="29"/>
      <c r="OZ142" s="29"/>
      <c r="PA142" s="29"/>
      <c r="PB142" s="29"/>
      <c r="PC142" s="29"/>
      <c r="PD142" s="29"/>
      <c r="PE142" s="29"/>
      <c r="PF142" s="29"/>
      <c r="PG142" s="29"/>
      <c r="PH142" s="29"/>
      <c r="PI142" s="29"/>
      <c r="PJ142" s="29"/>
      <c r="PK142" s="29"/>
      <c r="PL142" s="29"/>
      <c r="PM142" s="29"/>
      <c r="PN142" s="29"/>
      <c r="PO142" s="29"/>
      <c r="PP142" s="29"/>
      <c r="PQ142" s="29"/>
      <c r="PR142" s="29"/>
      <c r="PS142" s="29"/>
      <c r="PT142" s="29"/>
      <c r="PU142" s="29"/>
      <c r="PV142" s="29"/>
      <c r="PW142" s="29"/>
      <c r="PX142" s="29"/>
      <c r="PY142" s="29"/>
      <c r="PZ142" s="29"/>
      <c r="QA142" s="29"/>
      <c r="QB142" s="29"/>
      <c r="QC142" s="29"/>
      <c r="QD142" s="29"/>
      <c r="QE142" s="29"/>
      <c r="QF142" s="29"/>
      <c r="QG142" s="29"/>
      <c r="QH142" s="29"/>
      <c r="QI142" s="29"/>
      <c r="QJ142" s="29"/>
      <c r="QK142" s="29"/>
      <c r="QL142" s="29"/>
      <c r="QM142" s="29"/>
      <c r="QN142" s="29"/>
      <c r="QO142" s="29"/>
      <c r="QP142" s="29"/>
      <c r="QQ142" s="29"/>
      <c r="QR142" s="29"/>
      <c r="QS142" s="29"/>
      <c r="QT142" s="29"/>
      <c r="QU142" s="29"/>
      <c r="QV142" s="29"/>
      <c r="QW142" s="29"/>
      <c r="QX142" s="29"/>
      <c r="QY142" s="29"/>
      <c r="QZ142" s="29"/>
      <c r="RA142" s="29"/>
      <c r="RB142" s="29"/>
      <c r="RC142" s="29"/>
      <c r="RD142" s="29"/>
      <c r="RE142" s="29"/>
      <c r="RF142" s="29"/>
      <c r="RG142" s="29"/>
      <c r="RH142" s="29"/>
      <c r="RI142" s="29"/>
      <c r="RJ142" s="29"/>
      <c r="RK142" s="29"/>
      <c r="RL142" s="29"/>
      <c r="RM142" s="29"/>
      <c r="RN142" s="29"/>
      <c r="RO142" s="29"/>
      <c r="RP142" s="29"/>
      <c r="RQ142" s="29"/>
      <c r="RR142" s="29"/>
      <c r="RS142" s="29"/>
      <c r="RT142" s="29"/>
      <c r="RU142" s="29"/>
      <c r="RV142" s="29"/>
      <c r="RW142" s="29"/>
      <c r="RX142" s="29"/>
      <c r="RY142" s="29"/>
      <c r="RZ142" s="29"/>
      <c r="SA142" s="29"/>
      <c r="SB142" s="29"/>
      <c r="SC142" s="29"/>
      <c r="SD142" s="29"/>
      <c r="SE142" s="29"/>
      <c r="SF142" s="29"/>
      <c r="SG142" s="29"/>
      <c r="SH142" s="29"/>
      <c r="SI142" s="29"/>
      <c r="SJ142" s="29"/>
      <c r="SK142" s="29"/>
      <c r="SL142" s="29"/>
      <c r="SM142" s="29"/>
      <c r="SN142" s="29"/>
      <c r="SO142" s="29"/>
      <c r="SP142" s="29"/>
      <c r="SQ142" s="29"/>
      <c r="SR142" s="29"/>
      <c r="SS142" s="29"/>
      <c r="ST142" s="29"/>
      <c r="SU142" s="29"/>
      <c r="SV142" s="29"/>
      <c r="SW142" s="29"/>
      <c r="SX142" s="29"/>
      <c r="SY142" s="29"/>
      <c r="SZ142" s="29"/>
      <c r="TA142" s="29"/>
      <c r="TB142" s="29"/>
      <c r="TC142" s="29"/>
      <c r="TD142" s="29"/>
      <c r="TE142" s="29"/>
      <c r="TF142" s="29"/>
      <c r="TG142" s="29"/>
      <c r="TH142" s="29"/>
      <c r="TI142" s="29"/>
      <c r="TJ142" s="29"/>
      <c r="TK142" s="29"/>
      <c r="TL142" s="29"/>
      <c r="TM142" s="29"/>
      <c r="TN142" s="29"/>
      <c r="TO142" s="29"/>
      <c r="TP142" s="29"/>
      <c r="TQ142" s="29"/>
      <c r="TR142" s="29"/>
      <c r="TS142" s="29"/>
      <c r="TT142" s="29"/>
      <c r="TU142" s="29"/>
      <c r="TV142" s="29"/>
      <c r="TW142" s="29"/>
      <c r="TX142" s="29"/>
      <c r="TY142" s="29"/>
      <c r="TZ142" s="29"/>
      <c r="UA142" s="29"/>
      <c r="UB142" s="29"/>
      <c r="UC142" s="29"/>
      <c r="UD142" s="29"/>
      <c r="UE142" s="29"/>
      <c r="UF142" s="29"/>
      <c r="UG142" s="29"/>
      <c r="UH142" s="29"/>
      <c r="UI142" s="29"/>
      <c r="UJ142" s="29"/>
      <c r="UK142" s="29"/>
      <c r="UL142" s="29"/>
      <c r="UM142" s="29"/>
      <c r="UN142" s="29"/>
      <c r="UO142" s="29"/>
      <c r="UP142" s="29"/>
      <c r="UQ142" s="29"/>
      <c r="UR142" s="29"/>
      <c r="US142" s="29"/>
      <c r="UT142" s="29"/>
      <c r="UU142" s="29"/>
      <c r="UV142" s="29"/>
      <c r="UW142" s="29"/>
      <c r="UX142" s="29"/>
      <c r="UY142" s="29"/>
      <c r="UZ142" s="29"/>
      <c r="VA142" s="29"/>
      <c r="VB142" s="29"/>
      <c r="VC142" s="29"/>
      <c r="VD142" s="29"/>
      <c r="VE142" s="29"/>
      <c r="VF142" s="29"/>
      <c r="VG142" s="29"/>
      <c r="VH142" s="29"/>
      <c r="VI142" s="29"/>
      <c r="VJ142" s="29"/>
      <c r="VK142" s="29"/>
      <c r="VL142" s="29"/>
      <c r="VM142" s="29"/>
      <c r="VN142" s="29"/>
      <c r="VO142" s="29"/>
      <c r="VP142" s="29"/>
      <c r="VQ142" s="29"/>
      <c r="VR142" s="29"/>
      <c r="VS142" s="29"/>
      <c r="VT142" s="29"/>
      <c r="VU142" s="29"/>
      <c r="VV142" s="29"/>
      <c r="VW142" s="29"/>
      <c r="VX142" s="29"/>
      <c r="VY142" s="29"/>
      <c r="VZ142" s="29"/>
      <c r="WA142" s="29"/>
      <c r="WB142" s="29"/>
      <c r="WC142" s="29"/>
      <c r="WD142" s="29"/>
      <c r="WE142" s="29"/>
      <c r="WF142" s="29"/>
      <c r="WG142" s="29"/>
      <c r="WH142" s="29"/>
      <c r="WI142" s="29"/>
      <c r="WJ142" s="29"/>
      <c r="WK142" s="29"/>
      <c r="WL142" s="29"/>
      <c r="WM142" s="29"/>
      <c r="WN142" s="29"/>
      <c r="WO142" s="29"/>
      <c r="WP142" s="29"/>
      <c r="WQ142" s="29"/>
      <c r="WR142" s="29"/>
      <c r="WS142" s="29"/>
    </row>
    <row r="143" spans="1:617" s="3" customFormat="1" ht="15" outlineLevel="1" thickBot="1">
      <c r="A143" s="33"/>
      <c r="B143" s="85" t="s">
        <v>222</v>
      </c>
      <c r="C143" s="102" t="s">
        <v>168</v>
      </c>
      <c r="D143" s="123">
        <v>45859</v>
      </c>
      <c r="E143" s="123">
        <f t="shared" si="602"/>
        <v>45863</v>
      </c>
      <c r="F143" s="14"/>
      <c r="G143" s="14">
        <v>5</v>
      </c>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c r="MM143" s="29"/>
      <c r="MN143" s="29"/>
      <c r="MO143" s="29"/>
      <c r="MP143" s="29"/>
      <c r="MQ143" s="29"/>
      <c r="MR143" s="29"/>
      <c r="MS143" s="29"/>
      <c r="MT143" s="29"/>
      <c r="MU143" s="29"/>
      <c r="MV143" s="29"/>
      <c r="MW143" s="29"/>
      <c r="MX143" s="29"/>
      <c r="MY143" s="29"/>
      <c r="MZ143" s="29"/>
      <c r="NA143" s="29"/>
      <c r="NB143" s="29"/>
      <c r="NC143" s="29"/>
      <c r="ND143" s="29"/>
      <c r="NE143" s="29"/>
      <c r="NF143" s="29"/>
      <c r="NG143" s="29"/>
      <c r="NH143" s="29"/>
      <c r="NI143" s="29"/>
      <c r="NJ143" s="29"/>
      <c r="NK143" s="29"/>
      <c r="NL143" s="29"/>
      <c r="NM143" s="29"/>
      <c r="NN143" s="29"/>
      <c r="NO143" s="29"/>
      <c r="NP143" s="29"/>
      <c r="NQ143" s="29"/>
      <c r="NR143" s="29"/>
      <c r="NS143" s="29"/>
      <c r="NT143" s="29"/>
      <c r="NU143" s="29"/>
      <c r="NV143" s="29"/>
      <c r="NW143" s="29"/>
      <c r="NX143" s="29"/>
      <c r="NY143" s="29"/>
      <c r="NZ143" s="29"/>
      <c r="OA143" s="29"/>
      <c r="OB143" s="29"/>
      <c r="OC143" s="29"/>
      <c r="OD143" s="29"/>
      <c r="OE143" s="29"/>
      <c r="OF143" s="29"/>
      <c r="OG143" s="29"/>
      <c r="OH143" s="29"/>
      <c r="OI143" s="29"/>
      <c r="OJ143" s="29"/>
      <c r="OK143" s="29"/>
      <c r="OL143" s="29"/>
      <c r="OM143" s="29"/>
      <c r="ON143" s="29"/>
      <c r="OO143" s="29"/>
      <c r="OP143" s="29"/>
      <c r="OQ143" s="29"/>
      <c r="OR143" s="29"/>
      <c r="OS143" s="29"/>
      <c r="OT143" s="29"/>
      <c r="OU143" s="29"/>
      <c r="OV143" s="29"/>
      <c r="OW143" s="29"/>
      <c r="OX143" s="29"/>
      <c r="OY143" s="29"/>
      <c r="OZ143" s="29"/>
      <c r="PA143" s="29"/>
      <c r="PB143" s="29"/>
      <c r="PC143" s="29"/>
      <c r="PD143" s="29"/>
      <c r="PE143" s="29"/>
      <c r="PF143" s="29"/>
      <c r="PG143" s="29"/>
      <c r="PH143" s="29"/>
      <c r="PI143" s="29"/>
      <c r="PJ143" s="29"/>
      <c r="PK143" s="29"/>
      <c r="PL143" s="29"/>
      <c r="PM143" s="29"/>
      <c r="PN143" s="29"/>
      <c r="PO143" s="29"/>
      <c r="PP143" s="29"/>
      <c r="PQ143" s="29"/>
      <c r="PR143" s="29"/>
      <c r="PS143" s="29"/>
      <c r="PT143" s="29"/>
      <c r="PU143" s="29"/>
      <c r="PV143" s="29"/>
      <c r="PW143" s="29"/>
      <c r="PX143" s="29"/>
      <c r="PY143" s="29"/>
      <c r="PZ143" s="29"/>
      <c r="QA143" s="29"/>
      <c r="QB143" s="29"/>
      <c r="QC143" s="29"/>
      <c r="QD143" s="29"/>
      <c r="QE143" s="29"/>
      <c r="QF143" s="29"/>
      <c r="QG143" s="29"/>
      <c r="QH143" s="29"/>
      <c r="QI143" s="29"/>
      <c r="QJ143" s="29"/>
      <c r="QK143" s="29"/>
      <c r="QL143" s="29"/>
      <c r="QM143" s="29"/>
      <c r="QN143" s="29"/>
      <c r="QO143" s="29"/>
      <c r="QP143" s="29"/>
      <c r="QQ143" s="29"/>
      <c r="QR143" s="29"/>
      <c r="QS143" s="29"/>
      <c r="QT143" s="29"/>
      <c r="QU143" s="29"/>
      <c r="QV143" s="29"/>
      <c r="QW143" s="29"/>
      <c r="QX143" s="29"/>
      <c r="QY143" s="29"/>
      <c r="QZ143" s="29"/>
      <c r="RA143" s="29"/>
      <c r="RB143" s="29"/>
      <c r="RC143" s="29"/>
      <c r="RD143" s="29"/>
      <c r="RE143" s="29"/>
      <c r="RF143" s="29"/>
      <c r="RG143" s="29"/>
      <c r="RH143" s="29"/>
      <c r="RI143" s="29"/>
      <c r="RJ143" s="29"/>
      <c r="RK143" s="29"/>
      <c r="RL143" s="29"/>
      <c r="RM143" s="29"/>
      <c r="RN143" s="29"/>
      <c r="RO143" s="29"/>
      <c r="RP143" s="29"/>
      <c r="RQ143" s="29"/>
      <c r="RR143" s="29"/>
      <c r="RS143" s="29"/>
      <c r="RT143" s="29"/>
      <c r="RU143" s="29"/>
      <c r="RV143" s="29"/>
      <c r="RW143" s="29"/>
      <c r="RX143" s="29"/>
      <c r="RY143" s="29"/>
      <c r="RZ143" s="29"/>
      <c r="SA143" s="29"/>
      <c r="SB143" s="29"/>
      <c r="SC143" s="29"/>
      <c r="SD143" s="29"/>
      <c r="SE143" s="29"/>
      <c r="SF143" s="29"/>
      <c r="SG143" s="29"/>
      <c r="SH143" s="29"/>
      <c r="SI143" s="29"/>
      <c r="SJ143" s="29"/>
      <c r="SK143" s="29"/>
      <c r="SL143" s="29"/>
      <c r="SM143" s="29"/>
      <c r="SN143" s="29"/>
      <c r="SO143" s="29"/>
      <c r="SP143" s="29"/>
      <c r="SQ143" s="29"/>
      <c r="SR143" s="29"/>
      <c r="SS143" s="29"/>
      <c r="ST143" s="29"/>
      <c r="SU143" s="29"/>
      <c r="SV143" s="29"/>
      <c r="SW143" s="29"/>
      <c r="SX143" s="29"/>
      <c r="SY143" s="29"/>
      <c r="SZ143" s="29"/>
      <c r="TA143" s="29"/>
      <c r="TB143" s="29"/>
      <c r="TC143" s="29"/>
      <c r="TD143" s="29"/>
      <c r="TE143" s="29"/>
      <c r="TF143" s="29"/>
      <c r="TG143" s="29"/>
      <c r="TH143" s="29"/>
      <c r="TI143" s="29"/>
      <c r="TJ143" s="29"/>
      <c r="TK143" s="29"/>
      <c r="TL143" s="29"/>
      <c r="TM143" s="29"/>
      <c r="TN143" s="29"/>
      <c r="TO143" s="29"/>
      <c r="TP143" s="29"/>
      <c r="TQ143" s="29"/>
      <c r="TR143" s="29"/>
      <c r="TS143" s="29"/>
      <c r="TT143" s="29"/>
      <c r="TU143" s="29"/>
      <c r="TV143" s="29"/>
      <c r="TW143" s="29"/>
      <c r="TX143" s="29"/>
      <c r="TY143" s="29"/>
      <c r="TZ143" s="29"/>
      <c r="UA143" s="29"/>
      <c r="UB143" s="29"/>
      <c r="UC143" s="29"/>
      <c r="UD143" s="29"/>
      <c r="UE143" s="29"/>
      <c r="UF143" s="29"/>
      <c r="UG143" s="29"/>
      <c r="UH143" s="29"/>
      <c r="UI143" s="29"/>
      <c r="UJ143" s="29"/>
      <c r="UK143" s="29"/>
      <c r="UL143" s="29"/>
      <c r="UM143" s="29"/>
      <c r="UN143" s="29"/>
      <c r="UO143" s="29"/>
      <c r="UP143" s="29"/>
      <c r="UQ143" s="29"/>
      <c r="UR143" s="29"/>
      <c r="US143" s="29"/>
      <c r="UT143" s="29"/>
      <c r="UU143" s="29"/>
      <c r="UV143" s="29"/>
      <c r="UW143" s="29"/>
      <c r="UX143" s="29"/>
      <c r="UY143" s="29"/>
      <c r="UZ143" s="29"/>
      <c r="VA143" s="29"/>
      <c r="VB143" s="29"/>
      <c r="VC143" s="29"/>
      <c r="VD143" s="29"/>
      <c r="VE143" s="29"/>
      <c r="VF143" s="29"/>
      <c r="VG143" s="29"/>
      <c r="VH143" s="29"/>
      <c r="VI143" s="29"/>
      <c r="VJ143" s="29"/>
      <c r="VK143" s="29"/>
      <c r="VL143" s="29"/>
      <c r="VM143" s="29"/>
      <c r="VN143" s="29"/>
      <c r="VO143" s="29"/>
      <c r="VP143" s="29"/>
      <c r="VQ143" s="29"/>
      <c r="VR143" s="29"/>
      <c r="VS143" s="29"/>
      <c r="VT143" s="29"/>
      <c r="VU143" s="29"/>
      <c r="VV143" s="29"/>
      <c r="VW143" s="29"/>
      <c r="VX143" s="29"/>
      <c r="VY143" s="29"/>
      <c r="VZ143" s="29"/>
      <c r="WA143" s="29"/>
      <c r="WB143" s="29"/>
      <c r="WC143" s="29"/>
      <c r="WD143" s="29"/>
      <c r="WE143" s="29"/>
      <c r="WF143" s="29"/>
      <c r="WG143" s="29"/>
      <c r="WH143" s="29"/>
      <c r="WI143" s="29"/>
      <c r="WJ143" s="29"/>
      <c r="WK143" s="29"/>
      <c r="WL143" s="29"/>
      <c r="WM143" s="29"/>
      <c r="WN143" s="29"/>
      <c r="WO143" s="29"/>
      <c r="WP143" s="29"/>
      <c r="WQ143" s="29"/>
      <c r="WR143" s="29"/>
      <c r="WS143" s="29"/>
    </row>
    <row r="144" spans="1:617" s="3" customFormat="1" ht="15" outlineLevel="1" thickBot="1">
      <c r="A144" s="33"/>
      <c r="B144" s="85" t="s">
        <v>263</v>
      </c>
      <c r="C144" s="102" t="s">
        <v>80</v>
      </c>
      <c r="D144" s="123">
        <v>45894</v>
      </c>
      <c r="E144" s="123">
        <f t="shared" si="602"/>
        <v>45905</v>
      </c>
      <c r="F144" s="14"/>
      <c r="G144" s="14">
        <v>12</v>
      </c>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c r="MM144" s="29"/>
      <c r="MN144" s="29"/>
      <c r="MO144" s="29"/>
      <c r="MP144" s="29"/>
      <c r="MQ144" s="29"/>
      <c r="MR144" s="29"/>
      <c r="MS144" s="29"/>
      <c r="MT144" s="29"/>
      <c r="MU144" s="29"/>
      <c r="MV144" s="29"/>
      <c r="MW144" s="29"/>
      <c r="MX144" s="29"/>
      <c r="MY144" s="29"/>
      <c r="MZ144" s="29"/>
      <c r="NA144" s="29"/>
      <c r="NB144" s="29"/>
      <c r="NC144" s="29"/>
      <c r="ND144" s="29"/>
      <c r="NE144" s="29"/>
      <c r="NF144" s="29"/>
      <c r="NG144" s="29"/>
      <c r="NH144" s="29"/>
      <c r="NI144" s="29"/>
      <c r="NJ144" s="29"/>
      <c r="NK144" s="29"/>
      <c r="NL144" s="29"/>
      <c r="NM144" s="29"/>
      <c r="NN144" s="29"/>
      <c r="NO144" s="29"/>
      <c r="NP144" s="29"/>
      <c r="NQ144" s="29"/>
      <c r="NR144" s="29"/>
      <c r="NS144" s="29"/>
      <c r="NT144" s="29"/>
      <c r="NU144" s="29"/>
      <c r="NV144" s="29"/>
      <c r="NW144" s="29"/>
      <c r="NX144" s="29"/>
      <c r="NY144" s="29"/>
      <c r="NZ144" s="29"/>
      <c r="OA144" s="29"/>
      <c r="OB144" s="29"/>
      <c r="OC144" s="29"/>
      <c r="OD144" s="29"/>
      <c r="OE144" s="29"/>
      <c r="OF144" s="29"/>
      <c r="OG144" s="29"/>
      <c r="OH144" s="29"/>
      <c r="OI144" s="29"/>
      <c r="OJ144" s="29"/>
      <c r="OK144" s="29"/>
      <c r="OL144" s="29"/>
      <c r="OM144" s="29"/>
      <c r="ON144" s="29"/>
      <c r="OO144" s="29"/>
      <c r="OP144" s="29"/>
      <c r="OQ144" s="29"/>
      <c r="OR144" s="29"/>
      <c r="OS144" s="29"/>
      <c r="OT144" s="29"/>
      <c r="OU144" s="29"/>
      <c r="OV144" s="29"/>
      <c r="OW144" s="29"/>
      <c r="OX144" s="29"/>
      <c r="OY144" s="29"/>
      <c r="OZ144" s="29"/>
      <c r="PA144" s="29"/>
      <c r="PB144" s="29"/>
      <c r="PC144" s="29"/>
      <c r="PD144" s="29"/>
      <c r="PE144" s="29"/>
      <c r="PF144" s="29"/>
      <c r="PG144" s="29"/>
      <c r="PH144" s="29"/>
      <c r="PI144" s="29"/>
      <c r="PJ144" s="29"/>
      <c r="PK144" s="29"/>
      <c r="PL144" s="29"/>
      <c r="PM144" s="29"/>
      <c r="PN144" s="29"/>
      <c r="PO144" s="29"/>
      <c r="PP144" s="29"/>
      <c r="PQ144" s="29"/>
      <c r="PR144" s="29"/>
      <c r="PS144" s="29"/>
      <c r="PT144" s="29"/>
      <c r="PU144" s="29"/>
      <c r="PV144" s="29"/>
      <c r="PW144" s="29"/>
      <c r="PX144" s="29"/>
      <c r="PY144" s="29"/>
      <c r="PZ144" s="29"/>
      <c r="QA144" s="29"/>
      <c r="QB144" s="29"/>
      <c r="QC144" s="29"/>
      <c r="QD144" s="29"/>
      <c r="QE144" s="29"/>
      <c r="QF144" s="29"/>
      <c r="QG144" s="29"/>
      <c r="QH144" s="29"/>
      <c r="QI144" s="29"/>
      <c r="QJ144" s="29"/>
      <c r="QK144" s="29"/>
      <c r="QL144" s="29"/>
      <c r="QM144" s="29"/>
      <c r="QN144" s="29"/>
      <c r="QO144" s="29"/>
      <c r="QP144" s="29"/>
      <c r="QQ144" s="29"/>
      <c r="QR144" s="29"/>
      <c r="QS144" s="29"/>
      <c r="QT144" s="29"/>
      <c r="QU144" s="29"/>
      <c r="QV144" s="29"/>
      <c r="QW144" s="29"/>
      <c r="QX144" s="29"/>
      <c r="QY144" s="29"/>
      <c r="QZ144" s="29"/>
      <c r="RA144" s="29"/>
      <c r="RB144" s="29"/>
      <c r="RC144" s="29"/>
      <c r="RD144" s="29"/>
      <c r="RE144" s="29"/>
      <c r="RF144" s="29"/>
      <c r="RG144" s="29"/>
      <c r="RH144" s="29"/>
      <c r="RI144" s="29"/>
      <c r="RJ144" s="29"/>
      <c r="RK144" s="29"/>
      <c r="RL144" s="29"/>
      <c r="RM144" s="29"/>
      <c r="RN144" s="29"/>
      <c r="RO144" s="29"/>
      <c r="RP144" s="29"/>
      <c r="RQ144" s="29"/>
      <c r="RR144" s="29"/>
      <c r="RS144" s="29"/>
      <c r="RT144" s="29"/>
      <c r="RU144" s="29"/>
      <c r="RV144" s="29"/>
      <c r="RW144" s="29"/>
      <c r="RX144" s="29"/>
      <c r="RY144" s="29"/>
      <c r="RZ144" s="29"/>
      <c r="SA144" s="29"/>
      <c r="SB144" s="29"/>
      <c r="SC144" s="29"/>
      <c r="SD144" s="29"/>
      <c r="SE144" s="29"/>
      <c r="SF144" s="29"/>
      <c r="SG144" s="29"/>
      <c r="SH144" s="29"/>
      <c r="SI144" s="29"/>
      <c r="SJ144" s="29"/>
      <c r="SK144" s="29"/>
      <c r="SL144" s="29"/>
      <c r="SM144" s="29"/>
      <c r="SN144" s="29"/>
      <c r="SO144" s="29"/>
      <c r="SP144" s="29"/>
      <c r="SQ144" s="29"/>
      <c r="SR144" s="29"/>
      <c r="SS144" s="29"/>
      <c r="ST144" s="29"/>
      <c r="SU144" s="29"/>
      <c r="SV144" s="29"/>
      <c r="SW144" s="29"/>
      <c r="SX144" s="29"/>
      <c r="SY144" s="29"/>
      <c r="SZ144" s="29"/>
      <c r="TA144" s="29"/>
      <c r="TB144" s="29"/>
      <c r="TC144" s="29"/>
      <c r="TD144" s="29"/>
      <c r="TE144" s="29"/>
      <c r="TF144" s="29"/>
      <c r="TG144" s="29"/>
      <c r="TH144" s="29"/>
      <c r="TI144" s="29"/>
      <c r="TJ144" s="29"/>
      <c r="TK144" s="29"/>
      <c r="TL144" s="29"/>
      <c r="TM144" s="29"/>
      <c r="TN144" s="29"/>
      <c r="TO144" s="29"/>
      <c r="TP144" s="29"/>
      <c r="TQ144" s="29"/>
      <c r="TR144" s="29"/>
      <c r="TS144" s="29"/>
      <c r="TT144" s="29"/>
      <c r="TU144" s="29"/>
      <c r="TV144" s="29"/>
      <c r="TW144" s="29"/>
      <c r="TX144" s="29"/>
      <c r="TY144" s="29"/>
      <c r="TZ144" s="29"/>
      <c r="UA144" s="29"/>
      <c r="UB144" s="29"/>
      <c r="UC144" s="29"/>
      <c r="UD144" s="29"/>
      <c r="UE144" s="29"/>
      <c r="UF144" s="29"/>
      <c r="UG144" s="29"/>
      <c r="UH144" s="29"/>
      <c r="UI144" s="29"/>
      <c r="UJ144" s="29"/>
      <c r="UK144" s="29"/>
      <c r="UL144" s="29"/>
      <c r="UM144" s="29"/>
      <c r="UN144" s="29"/>
      <c r="UO144" s="29"/>
      <c r="UP144" s="29"/>
      <c r="UQ144" s="29"/>
      <c r="UR144" s="29"/>
      <c r="US144" s="29"/>
      <c r="UT144" s="29"/>
      <c r="UU144" s="29"/>
      <c r="UV144" s="29"/>
      <c r="UW144" s="29"/>
      <c r="UX144" s="29"/>
      <c r="UY144" s="29"/>
      <c r="UZ144" s="29"/>
      <c r="VA144" s="29"/>
      <c r="VB144" s="29"/>
      <c r="VC144" s="29"/>
      <c r="VD144" s="29"/>
      <c r="VE144" s="29"/>
      <c r="VF144" s="29"/>
      <c r="VG144" s="29"/>
      <c r="VH144" s="29"/>
      <c r="VI144" s="29"/>
      <c r="VJ144" s="29"/>
      <c r="VK144" s="29"/>
      <c r="VL144" s="29"/>
      <c r="VM144" s="29"/>
      <c r="VN144" s="29"/>
      <c r="VO144" s="29"/>
      <c r="VP144" s="29"/>
      <c r="VQ144" s="29"/>
      <c r="VR144" s="29"/>
      <c r="VS144" s="29"/>
      <c r="VT144" s="29"/>
      <c r="VU144" s="29"/>
      <c r="VV144" s="29"/>
      <c r="VW144" s="29"/>
      <c r="VX144" s="29"/>
      <c r="VY144" s="29"/>
      <c r="VZ144" s="29"/>
      <c r="WA144" s="29"/>
      <c r="WB144" s="29"/>
      <c r="WC144" s="29"/>
      <c r="WD144" s="29"/>
      <c r="WE144" s="29"/>
      <c r="WF144" s="29"/>
      <c r="WG144" s="29"/>
      <c r="WH144" s="29"/>
      <c r="WI144" s="29"/>
      <c r="WJ144" s="29"/>
      <c r="WK144" s="29"/>
      <c r="WL144" s="29"/>
      <c r="WM144" s="29"/>
      <c r="WN144" s="29"/>
      <c r="WO144" s="29"/>
      <c r="WP144" s="29"/>
      <c r="WQ144" s="29"/>
      <c r="WR144" s="29"/>
      <c r="WS144" s="29"/>
    </row>
    <row r="145" spans="1:617" s="3" customFormat="1" ht="15" outlineLevel="1" thickBot="1">
      <c r="A145" s="33"/>
      <c r="B145" s="85" t="s">
        <v>263</v>
      </c>
      <c r="C145" s="102" t="s">
        <v>144</v>
      </c>
      <c r="D145" s="123">
        <v>45901</v>
      </c>
      <c r="E145" s="123">
        <f t="shared" si="602"/>
        <v>45905</v>
      </c>
      <c r="F145" s="14"/>
      <c r="G145" s="14">
        <v>5</v>
      </c>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c r="MM145" s="29"/>
      <c r="MN145" s="29"/>
      <c r="MO145" s="29"/>
      <c r="MP145" s="29"/>
      <c r="MQ145" s="29"/>
      <c r="MR145" s="29"/>
      <c r="MS145" s="29"/>
      <c r="MT145" s="29"/>
      <c r="MU145" s="29"/>
      <c r="MV145" s="29"/>
      <c r="MW145" s="29"/>
      <c r="MX145" s="29"/>
      <c r="MY145" s="29"/>
      <c r="MZ145" s="29"/>
      <c r="NA145" s="29"/>
      <c r="NB145" s="29"/>
      <c r="NC145" s="29"/>
      <c r="ND145" s="29"/>
      <c r="NE145" s="29"/>
      <c r="NF145" s="29"/>
      <c r="NG145" s="29"/>
      <c r="NH145" s="29"/>
      <c r="NI145" s="29"/>
      <c r="NJ145" s="29"/>
      <c r="NK145" s="29"/>
      <c r="NL145" s="29"/>
      <c r="NM145" s="29"/>
      <c r="NN145" s="29"/>
      <c r="NO145" s="29"/>
      <c r="NP145" s="29"/>
      <c r="NQ145" s="29"/>
      <c r="NR145" s="29"/>
      <c r="NS145" s="29"/>
      <c r="NT145" s="29"/>
      <c r="NU145" s="29"/>
      <c r="NV145" s="29"/>
      <c r="NW145" s="29"/>
      <c r="NX145" s="29"/>
      <c r="NY145" s="29"/>
      <c r="NZ145" s="29"/>
      <c r="OA145" s="29"/>
      <c r="OB145" s="29"/>
      <c r="OC145" s="29"/>
      <c r="OD145" s="29"/>
      <c r="OE145" s="29"/>
      <c r="OF145" s="29"/>
      <c r="OG145" s="29"/>
      <c r="OH145" s="29"/>
      <c r="OI145" s="29"/>
      <c r="OJ145" s="29"/>
      <c r="OK145" s="29"/>
      <c r="OL145" s="29"/>
      <c r="OM145" s="29"/>
      <c r="ON145" s="29"/>
      <c r="OO145" s="29"/>
      <c r="OP145" s="29"/>
      <c r="OQ145" s="29"/>
      <c r="OR145" s="29"/>
      <c r="OS145" s="29"/>
      <c r="OT145" s="29"/>
      <c r="OU145" s="29"/>
      <c r="OV145" s="29"/>
      <c r="OW145" s="29"/>
      <c r="OX145" s="29"/>
      <c r="OY145" s="29"/>
      <c r="OZ145" s="29"/>
      <c r="PA145" s="29"/>
      <c r="PB145" s="29"/>
      <c r="PC145" s="29"/>
      <c r="PD145" s="29"/>
      <c r="PE145" s="29"/>
      <c r="PF145" s="29"/>
      <c r="PG145" s="29"/>
      <c r="PH145" s="29"/>
      <c r="PI145" s="29"/>
      <c r="PJ145" s="29"/>
      <c r="PK145" s="29"/>
      <c r="PL145" s="29"/>
      <c r="PM145" s="29"/>
      <c r="PN145" s="29"/>
      <c r="PO145" s="29"/>
      <c r="PP145" s="29"/>
      <c r="PQ145" s="29"/>
      <c r="PR145" s="29"/>
      <c r="PS145" s="29"/>
      <c r="PT145" s="29"/>
      <c r="PU145" s="29"/>
      <c r="PV145" s="29"/>
      <c r="PW145" s="29"/>
      <c r="PX145" s="29"/>
      <c r="PY145" s="29"/>
      <c r="PZ145" s="29"/>
      <c r="QA145" s="29"/>
      <c r="QB145" s="29"/>
      <c r="QC145" s="29"/>
      <c r="QD145" s="29"/>
      <c r="QE145" s="29"/>
      <c r="QF145" s="29"/>
      <c r="QG145" s="29"/>
      <c r="QH145" s="29"/>
      <c r="QI145" s="29"/>
      <c r="QJ145" s="29"/>
      <c r="QK145" s="29"/>
      <c r="QL145" s="29"/>
      <c r="QM145" s="29"/>
      <c r="QN145" s="29"/>
      <c r="QO145" s="29"/>
      <c r="QP145" s="29"/>
      <c r="QQ145" s="29"/>
      <c r="QR145" s="29"/>
      <c r="QS145" s="29"/>
      <c r="QT145" s="29"/>
      <c r="QU145" s="29"/>
      <c r="QV145" s="29"/>
      <c r="QW145" s="29"/>
      <c r="QX145" s="29"/>
      <c r="QY145" s="29"/>
      <c r="QZ145" s="29"/>
      <c r="RA145" s="29"/>
      <c r="RB145" s="29"/>
      <c r="RC145" s="29"/>
      <c r="RD145" s="29"/>
      <c r="RE145" s="29"/>
      <c r="RF145" s="29"/>
      <c r="RG145" s="29"/>
      <c r="RH145" s="29"/>
      <c r="RI145" s="29"/>
      <c r="RJ145" s="29"/>
      <c r="RK145" s="29"/>
      <c r="RL145" s="29"/>
      <c r="RM145" s="29"/>
      <c r="RN145" s="29"/>
      <c r="RO145" s="29"/>
      <c r="RP145" s="29"/>
      <c r="RQ145" s="29"/>
      <c r="RR145" s="29"/>
      <c r="RS145" s="29"/>
      <c r="RT145" s="29"/>
      <c r="RU145" s="29"/>
      <c r="RV145" s="29"/>
      <c r="RW145" s="29"/>
      <c r="RX145" s="29"/>
      <c r="RY145" s="29"/>
      <c r="RZ145" s="29"/>
      <c r="SA145" s="29"/>
      <c r="SB145" s="29"/>
      <c r="SC145" s="29"/>
      <c r="SD145" s="29"/>
      <c r="SE145" s="29"/>
      <c r="SF145" s="29"/>
      <c r="SG145" s="29"/>
      <c r="SH145" s="29"/>
      <c r="SI145" s="29"/>
      <c r="SJ145" s="29"/>
      <c r="SK145" s="29"/>
      <c r="SL145" s="29"/>
      <c r="SM145" s="29"/>
      <c r="SN145" s="29"/>
      <c r="SO145" s="29"/>
      <c r="SP145" s="29"/>
      <c r="SQ145" s="29"/>
      <c r="SR145" s="29"/>
      <c r="SS145" s="29"/>
      <c r="ST145" s="29"/>
      <c r="SU145" s="29"/>
      <c r="SV145" s="29"/>
      <c r="SW145" s="29"/>
      <c r="SX145" s="29"/>
      <c r="SY145" s="29"/>
      <c r="SZ145" s="29"/>
      <c r="TA145" s="29"/>
      <c r="TB145" s="29"/>
      <c r="TC145" s="29"/>
      <c r="TD145" s="29"/>
      <c r="TE145" s="29"/>
      <c r="TF145" s="29"/>
      <c r="TG145" s="29"/>
      <c r="TH145" s="29"/>
      <c r="TI145" s="29"/>
      <c r="TJ145" s="29"/>
      <c r="TK145" s="29"/>
      <c r="TL145" s="29"/>
      <c r="TM145" s="29"/>
      <c r="TN145" s="29"/>
      <c r="TO145" s="29"/>
      <c r="TP145" s="29"/>
      <c r="TQ145" s="29"/>
      <c r="TR145" s="29"/>
      <c r="TS145" s="29"/>
      <c r="TT145" s="29"/>
      <c r="TU145" s="29"/>
      <c r="TV145" s="29"/>
      <c r="TW145" s="29"/>
      <c r="TX145" s="29"/>
      <c r="TY145" s="29"/>
      <c r="TZ145" s="29"/>
      <c r="UA145" s="29"/>
      <c r="UB145" s="29"/>
      <c r="UC145" s="29"/>
      <c r="UD145" s="29"/>
      <c r="UE145" s="29"/>
      <c r="UF145" s="29"/>
      <c r="UG145" s="29"/>
      <c r="UH145" s="29"/>
      <c r="UI145" s="29"/>
      <c r="UJ145" s="29"/>
      <c r="UK145" s="29"/>
      <c r="UL145" s="29"/>
      <c r="UM145" s="29"/>
      <c r="UN145" s="29"/>
      <c r="UO145" s="29"/>
      <c r="UP145" s="29"/>
      <c r="UQ145" s="29"/>
      <c r="UR145" s="29"/>
      <c r="US145" s="29"/>
      <c r="UT145" s="29"/>
      <c r="UU145" s="29"/>
      <c r="UV145" s="29"/>
      <c r="UW145" s="29"/>
      <c r="UX145" s="29"/>
      <c r="UY145" s="29"/>
      <c r="UZ145" s="29"/>
      <c r="VA145" s="29"/>
      <c r="VB145" s="29"/>
      <c r="VC145" s="29"/>
      <c r="VD145" s="29"/>
      <c r="VE145" s="29"/>
      <c r="VF145" s="29"/>
      <c r="VG145" s="29"/>
      <c r="VH145" s="29"/>
      <c r="VI145" s="29"/>
      <c r="VJ145" s="29"/>
      <c r="VK145" s="29"/>
      <c r="VL145" s="29"/>
      <c r="VM145" s="29"/>
      <c r="VN145" s="29"/>
      <c r="VO145" s="29"/>
      <c r="VP145" s="29"/>
      <c r="VQ145" s="29"/>
      <c r="VR145" s="29"/>
      <c r="VS145" s="29"/>
      <c r="VT145" s="29"/>
      <c r="VU145" s="29"/>
      <c r="VV145" s="29"/>
      <c r="VW145" s="29"/>
      <c r="VX145" s="29"/>
      <c r="VY145" s="29"/>
      <c r="VZ145" s="29"/>
      <c r="WA145" s="29"/>
      <c r="WB145" s="29"/>
      <c r="WC145" s="29"/>
      <c r="WD145" s="29"/>
      <c r="WE145" s="29"/>
      <c r="WF145" s="29"/>
      <c r="WG145" s="29"/>
      <c r="WH145" s="29"/>
      <c r="WI145" s="29"/>
      <c r="WJ145" s="29"/>
      <c r="WK145" s="29"/>
      <c r="WL145" s="29"/>
      <c r="WM145" s="29"/>
      <c r="WN145" s="29"/>
      <c r="WO145" s="29"/>
      <c r="WP145" s="29"/>
      <c r="WQ145" s="29"/>
      <c r="WR145" s="29"/>
      <c r="WS145" s="29"/>
    </row>
    <row r="146" spans="1:617" s="3" customFormat="1" ht="15" outlineLevel="1" thickBot="1">
      <c r="A146" s="33"/>
      <c r="B146" s="85" t="s">
        <v>224</v>
      </c>
      <c r="C146" s="102" t="s">
        <v>21</v>
      </c>
      <c r="D146" s="123">
        <v>45894</v>
      </c>
      <c r="E146" s="123">
        <f t="shared" si="602"/>
        <v>45898</v>
      </c>
      <c r="F146" s="14"/>
      <c r="G146" s="14">
        <v>5</v>
      </c>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c r="MM146" s="29"/>
      <c r="MN146" s="29"/>
      <c r="MO146" s="29"/>
      <c r="MP146" s="29"/>
      <c r="MQ146" s="29"/>
      <c r="MR146" s="29"/>
      <c r="MS146" s="29"/>
      <c r="MT146" s="29"/>
      <c r="MU146" s="29"/>
      <c r="MV146" s="29"/>
      <c r="MW146" s="29"/>
      <c r="MX146" s="29"/>
      <c r="MY146" s="29"/>
      <c r="MZ146" s="29"/>
      <c r="NA146" s="29"/>
      <c r="NB146" s="29"/>
      <c r="NC146" s="29"/>
      <c r="ND146" s="29"/>
      <c r="NE146" s="29"/>
      <c r="NF146" s="29"/>
      <c r="NG146" s="29"/>
      <c r="NH146" s="29"/>
      <c r="NI146" s="29"/>
      <c r="NJ146" s="29"/>
      <c r="NK146" s="29"/>
      <c r="NL146" s="29"/>
      <c r="NM146" s="29"/>
      <c r="NN146" s="29"/>
      <c r="NO146" s="29"/>
      <c r="NP146" s="29"/>
      <c r="NQ146" s="29"/>
      <c r="NR146" s="29"/>
      <c r="NS146" s="29"/>
      <c r="NT146" s="29"/>
      <c r="NU146" s="29"/>
      <c r="NV146" s="29"/>
      <c r="NW146" s="29"/>
      <c r="NX146" s="29"/>
      <c r="NY146" s="29"/>
      <c r="NZ146" s="29"/>
      <c r="OA146" s="29"/>
      <c r="OB146" s="29"/>
      <c r="OC146" s="29"/>
      <c r="OD146" s="29"/>
      <c r="OE146" s="29"/>
      <c r="OF146" s="29"/>
      <c r="OG146" s="29"/>
      <c r="OH146" s="29"/>
      <c r="OI146" s="29"/>
      <c r="OJ146" s="29"/>
      <c r="OK146" s="29"/>
      <c r="OL146" s="29"/>
      <c r="OM146" s="29"/>
      <c r="ON146" s="29"/>
      <c r="OO146" s="29"/>
      <c r="OP146" s="29"/>
      <c r="OQ146" s="29"/>
      <c r="OR146" s="29"/>
      <c r="OS146" s="29"/>
      <c r="OT146" s="29"/>
      <c r="OU146" s="29"/>
      <c r="OV146" s="29"/>
      <c r="OW146" s="29"/>
      <c r="OX146" s="29"/>
      <c r="OY146" s="29"/>
      <c r="OZ146" s="29"/>
      <c r="PA146" s="29"/>
      <c r="PB146" s="29"/>
      <c r="PC146" s="29"/>
      <c r="PD146" s="29"/>
      <c r="PE146" s="29"/>
      <c r="PF146" s="29"/>
      <c r="PG146" s="29"/>
      <c r="PH146" s="29"/>
      <c r="PI146" s="29"/>
      <c r="PJ146" s="29"/>
      <c r="PK146" s="29"/>
      <c r="PL146" s="29"/>
      <c r="PM146" s="29"/>
      <c r="PN146" s="29"/>
      <c r="PO146" s="29"/>
      <c r="PP146" s="29"/>
      <c r="PQ146" s="29"/>
      <c r="PR146" s="29"/>
      <c r="PS146" s="29"/>
      <c r="PT146" s="29"/>
      <c r="PU146" s="29"/>
      <c r="PV146" s="29"/>
      <c r="PW146" s="29"/>
      <c r="PX146" s="29"/>
      <c r="PY146" s="29"/>
      <c r="PZ146" s="29"/>
      <c r="QA146" s="29"/>
      <c r="QB146" s="29"/>
      <c r="QC146" s="29"/>
      <c r="QD146" s="29"/>
      <c r="QE146" s="29"/>
      <c r="QF146" s="29"/>
      <c r="QG146" s="29"/>
      <c r="QH146" s="29"/>
      <c r="QI146" s="29"/>
      <c r="QJ146" s="29"/>
      <c r="QK146" s="29"/>
      <c r="QL146" s="29"/>
      <c r="QM146" s="29"/>
      <c r="QN146" s="29"/>
      <c r="QO146" s="29"/>
      <c r="QP146" s="29"/>
      <c r="QQ146" s="29"/>
      <c r="QR146" s="29"/>
      <c r="QS146" s="29"/>
      <c r="QT146" s="29"/>
      <c r="QU146" s="29"/>
      <c r="QV146" s="29"/>
      <c r="QW146" s="29"/>
      <c r="QX146" s="29"/>
      <c r="QY146" s="29"/>
      <c r="QZ146" s="29"/>
      <c r="RA146" s="29"/>
      <c r="RB146" s="29"/>
      <c r="RC146" s="29"/>
      <c r="RD146" s="29"/>
      <c r="RE146" s="29"/>
      <c r="RF146" s="29"/>
      <c r="RG146" s="29"/>
      <c r="RH146" s="29"/>
      <c r="RI146" s="29"/>
      <c r="RJ146" s="29"/>
      <c r="RK146" s="29"/>
      <c r="RL146" s="29"/>
      <c r="RM146" s="29"/>
      <c r="RN146" s="29"/>
      <c r="RO146" s="29"/>
      <c r="RP146" s="29"/>
      <c r="RQ146" s="29"/>
      <c r="RR146" s="29"/>
      <c r="RS146" s="29"/>
      <c r="RT146" s="29"/>
      <c r="RU146" s="29"/>
      <c r="RV146" s="29"/>
      <c r="RW146" s="29"/>
      <c r="RX146" s="29"/>
      <c r="RY146" s="29"/>
      <c r="RZ146" s="29"/>
      <c r="SA146" s="29"/>
      <c r="SB146" s="29"/>
      <c r="SC146" s="29"/>
      <c r="SD146" s="29"/>
      <c r="SE146" s="29"/>
      <c r="SF146" s="29"/>
      <c r="SG146" s="29"/>
      <c r="SH146" s="29"/>
      <c r="SI146" s="29"/>
      <c r="SJ146" s="29"/>
      <c r="SK146" s="29"/>
      <c r="SL146" s="29"/>
      <c r="SM146" s="29"/>
      <c r="SN146" s="29"/>
      <c r="SO146" s="29"/>
      <c r="SP146" s="29"/>
      <c r="SQ146" s="29"/>
      <c r="SR146" s="29"/>
      <c r="SS146" s="29"/>
      <c r="ST146" s="29"/>
      <c r="SU146" s="29"/>
      <c r="SV146" s="29"/>
      <c r="SW146" s="29"/>
      <c r="SX146" s="29"/>
      <c r="SY146" s="29"/>
      <c r="SZ146" s="29"/>
      <c r="TA146" s="29"/>
      <c r="TB146" s="29"/>
      <c r="TC146" s="29"/>
      <c r="TD146" s="29"/>
      <c r="TE146" s="29"/>
      <c r="TF146" s="29"/>
      <c r="TG146" s="29"/>
      <c r="TH146" s="29"/>
      <c r="TI146" s="29"/>
      <c r="TJ146" s="29"/>
      <c r="TK146" s="29"/>
      <c r="TL146" s="29"/>
      <c r="TM146" s="29"/>
      <c r="TN146" s="29"/>
      <c r="TO146" s="29"/>
      <c r="TP146" s="29"/>
      <c r="TQ146" s="29"/>
      <c r="TR146" s="29"/>
      <c r="TS146" s="29"/>
      <c r="TT146" s="29"/>
      <c r="TU146" s="29"/>
      <c r="TV146" s="29"/>
      <c r="TW146" s="29"/>
      <c r="TX146" s="29"/>
      <c r="TY146" s="29"/>
      <c r="TZ146" s="29"/>
      <c r="UA146" s="29"/>
      <c r="UB146" s="29"/>
      <c r="UC146" s="29"/>
      <c r="UD146" s="29"/>
      <c r="UE146" s="29"/>
      <c r="UF146" s="29"/>
      <c r="UG146" s="29"/>
      <c r="UH146" s="29"/>
      <c r="UI146" s="29"/>
      <c r="UJ146" s="29"/>
      <c r="UK146" s="29"/>
      <c r="UL146" s="29"/>
      <c r="UM146" s="29"/>
      <c r="UN146" s="29"/>
      <c r="UO146" s="29"/>
      <c r="UP146" s="29"/>
      <c r="UQ146" s="29"/>
      <c r="UR146" s="29"/>
      <c r="US146" s="29"/>
      <c r="UT146" s="29"/>
      <c r="UU146" s="29"/>
      <c r="UV146" s="29"/>
      <c r="UW146" s="29"/>
      <c r="UX146" s="29"/>
      <c r="UY146" s="29"/>
      <c r="UZ146" s="29"/>
      <c r="VA146" s="29"/>
      <c r="VB146" s="29"/>
      <c r="VC146" s="29"/>
      <c r="VD146" s="29"/>
      <c r="VE146" s="29"/>
      <c r="VF146" s="29"/>
      <c r="VG146" s="29"/>
      <c r="VH146" s="29"/>
      <c r="VI146" s="29"/>
      <c r="VJ146" s="29"/>
      <c r="VK146" s="29"/>
      <c r="VL146" s="29"/>
      <c r="VM146" s="29"/>
      <c r="VN146" s="29"/>
      <c r="VO146" s="29"/>
      <c r="VP146" s="29"/>
      <c r="VQ146" s="29"/>
      <c r="VR146" s="29"/>
      <c r="VS146" s="29"/>
      <c r="VT146" s="29"/>
      <c r="VU146" s="29"/>
      <c r="VV146" s="29"/>
      <c r="VW146" s="29"/>
      <c r="VX146" s="29"/>
      <c r="VY146" s="29"/>
      <c r="VZ146" s="29"/>
      <c r="WA146" s="29"/>
      <c r="WB146" s="29"/>
      <c r="WC146" s="29"/>
      <c r="WD146" s="29"/>
      <c r="WE146" s="29"/>
      <c r="WF146" s="29"/>
      <c r="WG146" s="29"/>
      <c r="WH146" s="29"/>
      <c r="WI146" s="29"/>
      <c r="WJ146" s="29"/>
      <c r="WK146" s="29"/>
      <c r="WL146" s="29"/>
      <c r="WM146" s="29"/>
      <c r="WN146" s="29"/>
      <c r="WO146" s="29"/>
      <c r="WP146" s="29"/>
      <c r="WQ146" s="29"/>
      <c r="WR146" s="29"/>
      <c r="WS146" s="29"/>
    </row>
    <row r="147" spans="1:617" s="3" customFormat="1" ht="15" outlineLevel="1" thickBot="1">
      <c r="A147" s="33"/>
      <c r="B147" s="85" t="s">
        <v>263</v>
      </c>
      <c r="C147" s="102" t="s">
        <v>101</v>
      </c>
      <c r="D147" s="123">
        <v>45929</v>
      </c>
      <c r="E147" s="123">
        <f t="shared" si="602"/>
        <v>45940</v>
      </c>
      <c r="F147" s="14"/>
      <c r="G147" s="14">
        <v>12</v>
      </c>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c r="MM147" s="29"/>
      <c r="MN147" s="29"/>
      <c r="MO147" s="29"/>
      <c r="MP147" s="29"/>
      <c r="MQ147" s="29"/>
      <c r="MR147" s="29"/>
      <c r="MS147" s="29"/>
      <c r="MT147" s="29"/>
      <c r="MU147" s="29"/>
      <c r="MV147" s="29"/>
      <c r="MW147" s="29"/>
      <c r="MX147" s="29"/>
      <c r="MY147" s="29"/>
      <c r="MZ147" s="29"/>
      <c r="NA147" s="29"/>
      <c r="NB147" s="29"/>
      <c r="NC147" s="29"/>
      <c r="ND147" s="29"/>
      <c r="NE147" s="29"/>
      <c r="NF147" s="29"/>
      <c r="NG147" s="29"/>
      <c r="NH147" s="29"/>
      <c r="NI147" s="29"/>
      <c r="NJ147" s="29"/>
      <c r="NK147" s="29"/>
      <c r="NL147" s="29"/>
      <c r="NM147" s="29"/>
      <c r="NN147" s="29"/>
      <c r="NO147" s="29"/>
      <c r="NP147" s="29"/>
      <c r="NQ147" s="29"/>
      <c r="NR147" s="29"/>
      <c r="NS147" s="29"/>
      <c r="NT147" s="29"/>
      <c r="NU147" s="29"/>
      <c r="NV147" s="29"/>
      <c r="NW147" s="29"/>
      <c r="NX147" s="29"/>
      <c r="NY147" s="29"/>
      <c r="NZ147" s="29"/>
      <c r="OA147" s="29"/>
      <c r="OB147" s="29"/>
      <c r="OC147" s="29"/>
      <c r="OD147" s="29"/>
      <c r="OE147" s="29"/>
      <c r="OF147" s="29"/>
      <c r="OG147" s="29"/>
      <c r="OH147" s="29"/>
      <c r="OI147" s="29"/>
      <c r="OJ147" s="29"/>
      <c r="OK147" s="29"/>
      <c r="OL147" s="29"/>
      <c r="OM147" s="29"/>
      <c r="ON147" s="29"/>
      <c r="OO147" s="29"/>
      <c r="OP147" s="29"/>
      <c r="OQ147" s="29"/>
      <c r="OR147" s="29"/>
      <c r="OS147" s="29"/>
      <c r="OT147" s="29"/>
      <c r="OU147" s="29"/>
      <c r="OV147" s="29"/>
      <c r="OW147" s="29"/>
      <c r="OX147" s="29"/>
      <c r="OY147" s="29"/>
      <c r="OZ147" s="29"/>
      <c r="PA147" s="29"/>
      <c r="PB147" s="29"/>
      <c r="PC147" s="29"/>
      <c r="PD147" s="29"/>
      <c r="PE147" s="29"/>
      <c r="PF147" s="29"/>
      <c r="PG147" s="29"/>
      <c r="PH147" s="29"/>
      <c r="PI147" s="29"/>
      <c r="PJ147" s="29"/>
      <c r="PK147" s="29"/>
      <c r="PL147" s="29"/>
      <c r="PM147" s="29"/>
      <c r="PN147" s="29"/>
      <c r="PO147" s="29"/>
      <c r="PP147" s="29"/>
      <c r="PQ147" s="29"/>
      <c r="PR147" s="29"/>
      <c r="PS147" s="29"/>
      <c r="PT147" s="29"/>
      <c r="PU147" s="29"/>
      <c r="PV147" s="29"/>
      <c r="PW147" s="29"/>
      <c r="PX147" s="29"/>
      <c r="PY147" s="29"/>
      <c r="PZ147" s="29"/>
      <c r="QA147" s="29"/>
      <c r="QB147" s="29"/>
      <c r="QC147" s="29"/>
      <c r="QD147" s="29"/>
      <c r="QE147" s="29"/>
      <c r="QF147" s="29"/>
      <c r="QG147" s="29"/>
      <c r="QH147" s="29"/>
      <c r="QI147" s="29"/>
      <c r="QJ147" s="29"/>
      <c r="QK147" s="29"/>
      <c r="QL147" s="29"/>
      <c r="QM147" s="29"/>
      <c r="QN147" s="29"/>
      <c r="QO147" s="29"/>
      <c r="QP147" s="29"/>
      <c r="QQ147" s="29"/>
      <c r="QR147" s="29"/>
      <c r="QS147" s="29"/>
      <c r="QT147" s="29"/>
      <c r="QU147" s="29"/>
      <c r="QV147" s="29"/>
      <c r="QW147" s="29"/>
      <c r="QX147" s="29"/>
      <c r="QY147" s="29"/>
      <c r="QZ147" s="29"/>
      <c r="RA147" s="29"/>
      <c r="RB147" s="29"/>
      <c r="RC147" s="29"/>
      <c r="RD147" s="29"/>
      <c r="RE147" s="29"/>
      <c r="RF147" s="29"/>
      <c r="RG147" s="29"/>
      <c r="RH147" s="29"/>
      <c r="RI147" s="29"/>
      <c r="RJ147" s="29"/>
      <c r="RK147" s="29"/>
      <c r="RL147" s="29"/>
      <c r="RM147" s="29"/>
      <c r="RN147" s="29"/>
      <c r="RO147" s="29"/>
      <c r="RP147" s="29"/>
      <c r="RQ147" s="29"/>
      <c r="RR147" s="29"/>
      <c r="RS147" s="29"/>
      <c r="RT147" s="29"/>
      <c r="RU147" s="29"/>
      <c r="RV147" s="29"/>
      <c r="RW147" s="29"/>
      <c r="RX147" s="29"/>
      <c r="RY147" s="29"/>
      <c r="RZ147" s="29"/>
      <c r="SA147" s="29"/>
      <c r="SB147" s="29"/>
      <c r="SC147" s="29"/>
      <c r="SD147" s="29"/>
      <c r="SE147" s="29"/>
      <c r="SF147" s="29"/>
      <c r="SG147" s="29"/>
      <c r="SH147" s="29"/>
      <c r="SI147" s="29"/>
      <c r="SJ147" s="29"/>
      <c r="SK147" s="29"/>
      <c r="SL147" s="29"/>
      <c r="SM147" s="29"/>
      <c r="SN147" s="29"/>
      <c r="SO147" s="29"/>
      <c r="SP147" s="29"/>
      <c r="SQ147" s="29"/>
      <c r="SR147" s="29"/>
      <c r="SS147" s="29"/>
      <c r="ST147" s="29"/>
      <c r="SU147" s="29"/>
      <c r="SV147" s="29"/>
      <c r="SW147" s="29"/>
      <c r="SX147" s="29"/>
      <c r="SY147" s="29"/>
      <c r="SZ147" s="29"/>
      <c r="TA147" s="29"/>
      <c r="TB147" s="29"/>
      <c r="TC147" s="29"/>
      <c r="TD147" s="29"/>
      <c r="TE147" s="29"/>
      <c r="TF147" s="29"/>
      <c r="TG147" s="29"/>
      <c r="TH147" s="29"/>
      <c r="TI147" s="29"/>
      <c r="TJ147" s="29"/>
      <c r="TK147" s="29"/>
      <c r="TL147" s="29"/>
      <c r="TM147" s="29"/>
      <c r="TN147" s="29"/>
      <c r="TO147" s="29"/>
      <c r="TP147" s="29"/>
      <c r="TQ147" s="29"/>
      <c r="TR147" s="29"/>
      <c r="TS147" s="29"/>
      <c r="TT147" s="29"/>
      <c r="TU147" s="29"/>
      <c r="TV147" s="29"/>
      <c r="TW147" s="29"/>
      <c r="TX147" s="29"/>
      <c r="TY147" s="29"/>
      <c r="TZ147" s="29"/>
      <c r="UA147" s="29"/>
      <c r="UB147" s="29"/>
      <c r="UC147" s="29"/>
      <c r="UD147" s="29"/>
      <c r="UE147" s="29"/>
      <c r="UF147" s="29"/>
      <c r="UG147" s="29"/>
      <c r="UH147" s="29"/>
      <c r="UI147" s="29"/>
      <c r="UJ147" s="29"/>
      <c r="UK147" s="29"/>
      <c r="UL147" s="29"/>
      <c r="UM147" s="29"/>
      <c r="UN147" s="29"/>
      <c r="UO147" s="29"/>
      <c r="UP147" s="29"/>
      <c r="UQ147" s="29"/>
      <c r="UR147" s="29"/>
      <c r="US147" s="29"/>
      <c r="UT147" s="29"/>
      <c r="UU147" s="29"/>
      <c r="UV147" s="29"/>
      <c r="UW147" s="29"/>
      <c r="UX147" s="29"/>
      <c r="UY147" s="29"/>
      <c r="UZ147" s="29"/>
      <c r="VA147" s="29"/>
      <c r="VB147" s="29"/>
      <c r="VC147" s="29"/>
      <c r="VD147" s="29"/>
      <c r="VE147" s="29"/>
      <c r="VF147" s="29"/>
      <c r="VG147" s="29"/>
      <c r="VH147" s="29"/>
      <c r="VI147" s="29"/>
      <c r="VJ147" s="29"/>
      <c r="VK147" s="29"/>
      <c r="VL147" s="29"/>
      <c r="VM147" s="29"/>
      <c r="VN147" s="29"/>
      <c r="VO147" s="29"/>
      <c r="VP147" s="29"/>
      <c r="VQ147" s="29"/>
      <c r="VR147" s="29"/>
      <c r="VS147" s="29"/>
      <c r="VT147" s="29"/>
      <c r="VU147" s="29"/>
      <c r="VV147" s="29"/>
      <c r="VW147" s="29"/>
      <c r="VX147" s="29"/>
      <c r="VY147" s="29"/>
      <c r="VZ147" s="29"/>
      <c r="WA147" s="29"/>
      <c r="WB147" s="29"/>
      <c r="WC147" s="29"/>
      <c r="WD147" s="29"/>
      <c r="WE147" s="29"/>
      <c r="WF147" s="29"/>
      <c r="WG147" s="29"/>
      <c r="WH147" s="29"/>
      <c r="WI147" s="29"/>
      <c r="WJ147" s="29"/>
      <c r="WK147" s="29"/>
      <c r="WL147" s="29"/>
      <c r="WM147" s="29"/>
      <c r="WN147" s="29"/>
      <c r="WO147" s="29"/>
      <c r="WP147" s="29"/>
      <c r="WQ147" s="29"/>
      <c r="WR147" s="29"/>
      <c r="WS147" s="29"/>
    </row>
    <row r="148" spans="1:617" s="3" customFormat="1" ht="15" outlineLevel="1" thickBot="1">
      <c r="A148" s="33"/>
      <c r="B148" s="85" t="s">
        <v>224</v>
      </c>
      <c r="C148" s="102" t="s">
        <v>26</v>
      </c>
      <c r="D148" s="123">
        <v>45929</v>
      </c>
      <c r="E148" s="123">
        <f t="shared" si="602"/>
        <v>45933</v>
      </c>
      <c r="F148" s="14"/>
      <c r="G148" s="14">
        <v>5</v>
      </c>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c r="MM148" s="29"/>
      <c r="MN148" s="29"/>
      <c r="MO148" s="29"/>
      <c r="MP148" s="29"/>
      <c r="MQ148" s="29"/>
      <c r="MR148" s="29"/>
      <c r="MS148" s="29"/>
      <c r="MT148" s="29"/>
      <c r="MU148" s="29"/>
      <c r="MV148" s="29"/>
      <c r="MW148" s="29"/>
      <c r="MX148" s="29"/>
      <c r="MY148" s="29"/>
      <c r="MZ148" s="29"/>
      <c r="NA148" s="29"/>
      <c r="NB148" s="29"/>
      <c r="NC148" s="29"/>
      <c r="ND148" s="29"/>
      <c r="NE148" s="29"/>
      <c r="NF148" s="29"/>
      <c r="NG148" s="29"/>
      <c r="NH148" s="29"/>
      <c r="NI148" s="29"/>
      <c r="NJ148" s="29"/>
      <c r="NK148" s="29"/>
      <c r="NL148" s="29"/>
      <c r="NM148" s="29"/>
      <c r="NN148" s="29"/>
      <c r="NO148" s="29"/>
      <c r="NP148" s="29"/>
      <c r="NQ148" s="29"/>
      <c r="NR148" s="29"/>
      <c r="NS148" s="29"/>
      <c r="NT148" s="29"/>
      <c r="NU148" s="29"/>
      <c r="NV148" s="29"/>
      <c r="NW148" s="29"/>
      <c r="NX148" s="29"/>
      <c r="NY148" s="29"/>
      <c r="NZ148" s="29"/>
      <c r="OA148" s="29"/>
      <c r="OB148" s="29"/>
      <c r="OC148" s="29"/>
      <c r="OD148" s="29"/>
      <c r="OE148" s="29"/>
      <c r="OF148" s="29"/>
      <c r="OG148" s="29"/>
      <c r="OH148" s="29"/>
      <c r="OI148" s="29"/>
      <c r="OJ148" s="29"/>
      <c r="OK148" s="29"/>
      <c r="OL148" s="29"/>
      <c r="OM148" s="29"/>
      <c r="ON148" s="29"/>
      <c r="OO148" s="29"/>
      <c r="OP148" s="29"/>
      <c r="OQ148" s="29"/>
      <c r="OR148" s="29"/>
      <c r="OS148" s="29"/>
      <c r="OT148" s="29"/>
      <c r="OU148" s="29"/>
      <c r="OV148" s="29"/>
      <c r="OW148" s="29"/>
      <c r="OX148" s="29"/>
      <c r="OY148" s="29"/>
      <c r="OZ148" s="29"/>
      <c r="PA148" s="29"/>
      <c r="PB148" s="29"/>
      <c r="PC148" s="29"/>
      <c r="PD148" s="29"/>
      <c r="PE148" s="29"/>
      <c r="PF148" s="29"/>
      <c r="PG148" s="29"/>
      <c r="PH148" s="29"/>
      <c r="PI148" s="29"/>
      <c r="PJ148" s="29"/>
      <c r="PK148" s="29"/>
      <c r="PL148" s="29"/>
      <c r="PM148" s="29"/>
      <c r="PN148" s="29"/>
      <c r="PO148" s="29"/>
      <c r="PP148" s="29"/>
      <c r="PQ148" s="29"/>
      <c r="PR148" s="29"/>
      <c r="PS148" s="29"/>
      <c r="PT148" s="29"/>
      <c r="PU148" s="29"/>
      <c r="PV148" s="29"/>
      <c r="PW148" s="29"/>
      <c r="PX148" s="29"/>
      <c r="PY148" s="29"/>
      <c r="PZ148" s="29"/>
      <c r="QA148" s="29"/>
      <c r="QB148" s="29"/>
      <c r="QC148" s="29"/>
      <c r="QD148" s="29"/>
      <c r="QE148" s="29"/>
      <c r="QF148" s="29"/>
      <c r="QG148" s="29"/>
      <c r="QH148" s="29"/>
      <c r="QI148" s="29"/>
      <c r="QJ148" s="29"/>
      <c r="QK148" s="29"/>
      <c r="QL148" s="29"/>
      <c r="QM148" s="29"/>
      <c r="QN148" s="29"/>
      <c r="QO148" s="29"/>
      <c r="QP148" s="29"/>
      <c r="QQ148" s="29"/>
      <c r="QR148" s="29"/>
      <c r="QS148" s="29"/>
      <c r="QT148" s="29"/>
      <c r="QU148" s="29"/>
      <c r="QV148" s="29"/>
      <c r="QW148" s="29"/>
      <c r="QX148" s="29"/>
      <c r="QY148" s="29"/>
      <c r="QZ148" s="29"/>
      <c r="RA148" s="29"/>
      <c r="RB148" s="29"/>
      <c r="RC148" s="29"/>
      <c r="RD148" s="29"/>
      <c r="RE148" s="29"/>
      <c r="RF148" s="29"/>
      <c r="RG148" s="29"/>
      <c r="RH148" s="29"/>
      <c r="RI148" s="29"/>
      <c r="RJ148" s="29"/>
      <c r="RK148" s="29"/>
      <c r="RL148" s="29"/>
      <c r="RM148" s="29"/>
      <c r="RN148" s="29"/>
      <c r="RO148" s="29"/>
      <c r="RP148" s="29"/>
      <c r="RQ148" s="29"/>
      <c r="RR148" s="29"/>
      <c r="RS148" s="29"/>
      <c r="RT148" s="29"/>
      <c r="RU148" s="29"/>
      <c r="RV148" s="29"/>
      <c r="RW148" s="29"/>
      <c r="RX148" s="29"/>
      <c r="RY148" s="29"/>
      <c r="RZ148" s="29"/>
      <c r="SA148" s="29"/>
      <c r="SB148" s="29"/>
      <c r="SC148" s="29"/>
      <c r="SD148" s="29"/>
      <c r="SE148" s="29"/>
      <c r="SF148" s="29"/>
      <c r="SG148" s="29"/>
      <c r="SH148" s="29"/>
      <c r="SI148" s="29"/>
      <c r="SJ148" s="29"/>
      <c r="SK148" s="29"/>
      <c r="SL148" s="29"/>
      <c r="SM148" s="29"/>
      <c r="SN148" s="29"/>
      <c r="SO148" s="29"/>
      <c r="SP148" s="29"/>
      <c r="SQ148" s="29"/>
      <c r="SR148" s="29"/>
      <c r="SS148" s="29"/>
      <c r="ST148" s="29"/>
      <c r="SU148" s="29"/>
      <c r="SV148" s="29"/>
      <c r="SW148" s="29"/>
      <c r="SX148" s="29"/>
      <c r="SY148" s="29"/>
      <c r="SZ148" s="29"/>
      <c r="TA148" s="29"/>
      <c r="TB148" s="29"/>
      <c r="TC148" s="29"/>
      <c r="TD148" s="29"/>
      <c r="TE148" s="29"/>
      <c r="TF148" s="29"/>
      <c r="TG148" s="29"/>
      <c r="TH148" s="29"/>
      <c r="TI148" s="29"/>
      <c r="TJ148" s="29"/>
      <c r="TK148" s="29"/>
      <c r="TL148" s="29"/>
      <c r="TM148" s="29"/>
      <c r="TN148" s="29"/>
      <c r="TO148" s="29"/>
      <c r="TP148" s="29"/>
      <c r="TQ148" s="29"/>
      <c r="TR148" s="29"/>
      <c r="TS148" s="29"/>
      <c r="TT148" s="29"/>
      <c r="TU148" s="29"/>
      <c r="TV148" s="29"/>
      <c r="TW148" s="29"/>
      <c r="TX148" s="29"/>
      <c r="TY148" s="29"/>
      <c r="TZ148" s="29"/>
      <c r="UA148" s="29"/>
      <c r="UB148" s="29"/>
      <c r="UC148" s="29"/>
      <c r="UD148" s="29"/>
      <c r="UE148" s="29"/>
      <c r="UF148" s="29"/>
      <c r="UG148" s="29"/>
      <c r="UH148" s="29"/>
      <c r="UI148" s="29"/>
      <c r="UJ148" s="29"/>
      <c r="UK148" s="29"/>
      <c r="UL148" s="29"/>
      <c r="UM148" s="29"/>
      <c r="UN148" s="29"/>
      <c r="UO148" s="29"/>
      <c r="UP148" s="29"/>
      <c r="UQ148" s="29"/>
      <c r="UR148" s="29"/>
      <c r="US148" s="29"/>
      <c r="UT148" s="29"/>
      <c r="UU148" s="29"/>
      <c r="UV148" s="29"/>
      <c r="UW148" s="29"/>
      <c r="UX148" s="29"/>
      <c r="UY148" s="29"/>
      <c r="UZ148" s="29"/>
      <c r="VA148" s="29"/>
      <c r="VB148" s="29"/>
      <c r="VC148" s="29"/>
      <c r="VD148" s="29"/>
      <c r="VE148" s="29"/>
      <c r="VF148" s="29"/>
      <c r="VG148" s="29"/>
      <c r="VH148" s="29"/>
      <c r="VI148" s="29"/>
      <c r="VJ148" s="29"/>
      <c r="VK148" s="29"/>
      <c r="VL148" s="29"/>
      <c r="VM148" s="29"/>
      <c r="VN148" s="29"/>
      <c r="VO148" s="29"/>
      <c r="VP148" s="29"/>
      <c r="VQ148" s="29"/>
      <c r="VR148" s="29"/>
      <c r="VS148" s="29"/>
      <c r="VT148" s="29"/>
      <c r="VU148" s="29"/>
      <c r="VV148" s="29"/>
      <c r="VW148" s="29"/>
      <c r="VX148" s="29"/>
      <c r="VY148" s="29"/>
      <c r="VZ148" s="29"/>
      <c r="WA148" s="29"/>
      <c r="WB148" s="29"/>
      <c r="WC148" s="29"/>
      <c r="WD148" s="29"/>
      <c r="WE148" s="29"/>
      <c r="WF148" s="29"/>
      <c r="WG148" s="29"/>
      <c r="WH148" s="29"/>
      <c r="WI148" s="29"/>
      <c r="WJ148" s="29"/>
      <c r="WK148" s="29"/>
      <c r="WL148" s="29"/>
      <c r="WM148" s="29"/>
      <c r="WN148" s="29"/>
      <c r="WO148" s="29"/>
      <c r="WP148" s="29"/>
      <c r="WQ148" s="29"/>
      <c r="WR148" s="29"/>
      <c r="WS148" s="29"/>
    </row>
    <row r="149" spans="1:617" s="3" customFormat="1" ht="15" outlineLevel="1" thickBot="1">
      <c r="A149" s="33"/>
      <c r="B149" s="85" t="s">
        <v>222</v>
      </c>
      <c r="C149" s="102" t="s">
        <v>162</v>
      </c>
      <c r="D149" s="123">
        <v>45936</v>
      </c>
      <c r="E149" s="123">
        <f t="shared" si="602"/>
        <v>45940</v>
      </c>
      <c r="F149" s="14"/>
      <c r="G149" s="14">
        <v>5</v>
      </c>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c r="MM149" s="29"/>
      <c r="MN149" s="29"/>
      <c r="MO149" s="29"/>
      <c r="MP149" s="29"/>
      <c r="MQ149" s="29"/>
      <c r="MR149" s="29"/>
      <c r="MS149" s="29"/>
      <c r="MT149" s="29"/>
      <c r="MU149" s="29"/>
      <c r="MV149" s="29"/>
      <c r="MW149" s="29"/>
      <c r="MX149" s="29"/>
      <c r="MY149" s="29"/>
      <c r="MZ149" s="29"/>
      <c r="NA149" s="29"/>
      <c r="NB149" s="29"/>
      <c r="NC149" s="29"/>
      <c r="ND149" s="29"/>
      <c r="NE149" s="29"/>
      <c r="NF149" s="29"/>
      <c r="NG149" s="29"/>
      <c r="NH149" s="29"/>
      <c r="NI149" s="29"/>
      <c r="NJ149" s="29"/>
      <c r="NK149" s="29"/>
      <c r="NL149" s="29"/>
      <c r="NM149" s="29"/>
      <c r="NN149" s="29"/>
      <c r="NO149" s="29"/>
      <c r="NP149" s="29"/>
      <c r="NQ149" s="29"/>
      <c r="NR149" s="29"/>
      <c r="NS149" s="29"/>
      <c r="NT149" s="29"/>
      <c r="NU149" s="29"/>
      <c r="NV149" s="29"/>
      <c r="NW149" s="29"/>
      <c r="NX149" s="29"/>
      <c r="NY149" s="29"/>
      <c r="NZ149" s="29"/>
      <c r="OA149" s="29"/>
      <c r="OB149" s="29"/>
      <c r="OC149" s="29"/>
      <c r="OD149" s="29"/>
      <c r="OE149" s="29"/>
      <c r="OF149" s="29"/>
      <c r="OG149" s="29"/>
      <c r="OH149" s="29"/>
      <c r="OI149" s="29"/>
      <c r="OJ149" s="29"/>
      <c r="OK149" s="29"/>
      <c r="OL149" s="29"/>
      <c r="OM149" s="29"/>
      <c r="ON149" s="29"/>
      <c r="OO149" s="29"/>
      <c r="OP149" s="29"/>
      <c r="OQ149" s="29"/>
      <c r="OR149" s="29"/>
      <c r="OS149" s="29"/>
      <c r="OT149" s="29"/>
      <c r="OU149" s="29"/>
      <c r="OV149" s="29"/>
      <c r="OW149" s="29"/>
      <c r="OX149" s="29"/>
      <c r="OY149" s="29"/>
      <c r="OZ149" s="29"/>
      <c r="PA149" s="29"/>
      <c r="PB149" s="29"/>
      <c r="PC149" s="29"/>
      <c r="PD149" s="29"/>
      <c r="PE149" s="29"/>
      <c r="PF149" s="29"/>
      <c r="PG149" s="29"/>
      <c r="PH149" s="29"/>
      <c r="PI149" s="29"/>
      <c r="PJ149" s="29"/>
      <c r="PK149" s="29"/>
      <c r="PL149" s="29"/>
      <c r="PM149" s="29"/>
      <c r="PN149" s="29"/>
      <c r="PO149" s="29"/>
      <c r="PP149" s="29"/>
      <c r="PQ149" s="29"/>
      <c r="PR149" s="29"/>
      <c r="PS149" s="29"/>
      <c r="PT149" s="29"/>
      <c r="PU149" s="29"/>
      <c r="PV149" s="29"/>
      <c r="PW149" s="29"/>
      <c r="PX149" s="29"/>
      <c r="PY149" s="29"/>
      <c r="PZ149" s="29"/>
      <c r="QA149" s="29"/>
      <c r="QB149" s="29"/>
      <c r="QC149" s="29"/>
      <c r="QD149" s="29"/>
      <c r="QE149" s="29"/>
      <c r="QF149" s="29"/>
      <c r="QG149" s="29"/>
      <c r="QH149" s="29"/>
      <c r="QI149" s="29"/>
      <c r="QJ149" s="29"/>
      <c r="QK149" s="29"/>
      <c r="QL149" s="29"/>
      <c r="QM149" s="29"/>
      <c r="QN149" s="29"/>
      <c r="QO149" s="29"/>
      <c r="QP149" s="29"/>
      <c r="QQ149" s="29"/>
      <c r="QR149" s="29"/>
      <c r="QS149" s="29"/>
      <c r="QT149" s="29"/>
      <c r="QU149" s="29"/>
      <c r="QV149" s="29"/>
      <c r="QW149" s="29"/>
      <c r="QX149" s="29"/>
      <c r="QY149" s="29"/>
      <c r="QZ149" s="29"/>
      <c r="RA149" s="29"/>
      <c r="RB149" s="29"/>
      <c r="RC149" s="29"/>
      <c r="RD149" s="29"/>
      <c r="RE149" s="29"/>
      <c r="RF149" s="29"/>
      <c r="RG149" s="29"/>
      <c r="RH149" s="29"/>
      <c r="RI149" s="29"/>
      <c r="RJ149" s="29"/>
      <c r="RK149" s="29"/>
      <c r="RL149" s="29"/>
      <c r="RM149" s="29"/>
      <c r="RN149" s="29"/>
      <c r="RO149" s="29"/>
      <c r="RP149" s="29"/>
      <c r="RQ149" s="29"/>
      <c r="RR149" s="29"/>
      <c r="RS149" s="29"/>
      <c r="RT149" s="29"/>
      <c r="RU149" s="29"/>
      <c r="RV149" s="29"/>
      <c r="RW149" s="29"/>
      <c r="RX149" s="29"/>
      <c r="RY149" s="29"/>
      <c r="RZ149" s="29"/>
      <c r="SA149" s="29"/>
      <c r="SB149" s="29"/>
      <c r="SC149" s="29"/>
      <c r="SD149" s="29"/>
      <c r="SE149" s="29"/>
      <c r="SF149" s="29"/>
      <c r="SG149" s="29"/>
      <c r="SH149" s="29"/>
      <c r="SI149" s="29"/>
      <c r="SJ149" s="29"/>
      <c r="SK149" s="29"/>
      <c r="SL149" s="29"/>
      <c r="SM149" s="29"/>
      <c r="SN149" s="29"/>
      <c r="SO149" s="29"/>
      <c r="SP149" s="29"/>
      <c r="SQ149" s="29"/>
      <c r="SR149" s="29"/>
      <c r="SS149" s="29"/>
      <c r="ST149" s="29"/>
      <c r="SU149" s="29"/>
      <c r="SV149" s="29"/>
      <c r="SW149" s="29"/>
      <c r="SX149" s="29"/>
      <c r="SY149" s="29"/>
      <c r="SZ149" s="29"/>
      <c r="TA149" s="29"/>
      <c r="TB149" s="29"/>
      <c r="TC149" s="29"/>
      <c r="TD149" s="29"/>
      <c r="TE149" s="29"/>
      <c r="TF149" s="29"/>
      <c r="TG149" s="29"/>
      <c r="TH149" s="29"/>
      <c r="TI149" s="29"/>
      <c r="TJ149" s="29"/>
      <c r="TK149" s="29"/>
      <c r="TL149" s="29"/>
      <c r="TM149" s="29"/>
      <c r="TN149" s="29"/>
      <c r="TO149" s="29"/>
      <c r="TP149" s="29"/>
      <c r="TQ149" s="29"/>
      <c r="TR149" s="29"/>
      <c r="TS149" s="29"/>
      <c r="TT149" s="29"/>
      <c r="TU149" s="29"/>
      <c r="TV149" s="29"/>
      <c r="TW149" s="29"/>
      <c r="TX149" s="29"/>
      <c r="TY149" s="29"/>
      <c r="TZ149" s="29"/>
      <c r="UA149" s="29"/>
      <c r="UB149" s="29"/>
      <c r="UC149" s="29"/>
      <c r="UD149" s="29"/>
      <c r="UE149" s="29"/>
      <c r="UF149" s="29"/>
      <c r="UG149" s="29"/>
      <c r="UH149" s="29"/>
      <c r="UI149" s="29"/>
      <c r="UJ149" s="29"/>
      <c r="UK149" s="29"/>
      <c r="UL149" s="29"/>
      <c r="UM149" s="29"/>
      <c r="UN149" s="29"/>
      <c r="UO149" s="29"/>
      <c r="UP149" s="29"/>
      <c r="UQ149" s="29"/>
      <c r="UR149" s="29"/>
      <c r="US149" s="29"/>
      <c r="UT149" s="29"/>
      <c r="UU149" s="29"/>
      <c r="UV149" s="29"/>
      <c r="UW149" s="29"/>
      <c r="UX149" s="29"/>
      <c r="UY149" s="29"/>
      <c r="UZ149" s="29"/>
      <c r="VA149" s="29"/>
      <c r="VB149" s="29"/>
      <c r="VC149" s="29"/>
      <c r="VD149" s="29"/>
      <c r="VE149" s="29"/>
      <c r="VF149" s="29"/>
      <c r="VG149" s="29"/>
      <c r="VH149" s="29"/>
      <c r="VI149" s="29"/>
      <c r="VJ149" s="29"/>
      <c r="VK149" s="29"/>
      <c r="VL149" s="29"/>
      <c r="VM149" s="29"/>
      <c r="VN149" s="29"/>
      <c r="VO149" s="29"/>
      <c r="VP149" s="29"/>
      <c r="VQ149" s="29"/>
      <c r="VR149" s="29"/>
      <c r="VS149" s="29"/>
      <c r="VT149" s="29"/>
      <c r="VU149" s="29"/>
      <c r="VV149" s="29"/>
      <c r="VW149" s="29"/>
      <c r="VX149" s="29"/>
      <c r="VY149" s="29"/>
      <c r="VZ149" s="29"/>
      <c r="WA149" s="29"/>
      <c r="WB149" s="29"/>
      <c r="WC149" s="29"/>
      <c r="WD149" s="29"/>
      <c r="WE149" s="29"/>
      <c r="WF149" s="29"/>
      <c r="WG149" s="29"/>
      <c r="WH149" s="29"/>
      <c r="WI149" s="29"/>
      <c r="WJ149" s="29"/>
      <c r="WK149" s="29"/>
      <c r="WL149" s="29"/>
      <c r="WM149" s="29"/>
      <c r="WN149" s="29"/>
      <c r="WO149" s="29"/>
      <c r="WP149" s="29"/>
      <c r="WQ149" s="29"/>
      <c r="WR149" s="29"/>
      <c r="WS149" s="29"/>
    </row>
    <row r="150" spans="1:617" s="3" customFormat="1" ht="15" outlineLevel="1" thickBot="1">
      <c r="A150" s="33"/>
      <c r="B150" s="149" t="s">
        <v>222</v>
      </c>
      <c r="C150" s="150"/>
      <c r="D150" s="151">
        <v>45964</v>
      </c>
      <c r="E150" s="151">
        <f t="shared" ref="E150:E154" si="604">D150+G150-1</f>
        <v>45975</v>
      </c>
      <c r="F150" s="152"/>
      <c r="G150" s="152">
        <v>12</v>
      </c>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c r="MM150" s="29"/>
      <c r="MN150" s="29"/>
      <c r="MO150" s="29"/>
      <c r="MP150" s="29"/>
      <c r="MQ150" s="29"/>
      <c r="MR150" s="29"/>
      <c r="MS150" s="29"/>
      <c r="MT150" s="29"/>
      <c r="MU150" s="29"/>
      <c r="MV150" s="29"/>
      <c r="MW150" s="29"/>
      <c r="MX150" s="29"/>
      <c r="MY150" s="29"/>
      <c r="MZ150" s="29"/>
      <c r="NA150" s="29"/>
      <c r="NB150" s="29"/>
      <c r="NC150" s="29"/>
      <c r="ND150" s="29"/>
      <c r="NE150" s="29"/>
      <c r="NF150" s="29"/>
      <c r="NG150" s="29"/>
      <c r="NH150" s="29"/>
      <c r="NI150" s="29"/>
      <c r="NJ150" s="29"/>
      <c r="NK150" s="29"/>
      <c r="NL150" s="29"/>
      <c r="NM150" s="29"/>
      <c r="NN150" s="29"/>
      <c r="NO150" s="29"/>
      <c r="NP150" s="29"/>
      <c r="NQ150" s="29"/>
      <c r="NR150" s="29"/>
      <c r="NS150" s="29"/>
      <c r="NT150" s="29"/>
      <c r="NU150" s="29"/>
      <c r="NV150" s="29"/>
      <c r="NW150" s="29"/>
      <c r="NX150" s="29"/>
      <c r="NY150" s="29"/>
      <c r="NZ150" s="29"/>
      <c r="OA150" s="29"/>
      <c r="OB150" s="29"/>
      <c r="OC150" s="29"/>
      <c r="OD150" s="29"/>
      <c r="OE150" s="29"/>
      <c r="OF150" s="29"/>
      <c r="OG150" s="29"/>
      <c r="OH150" s="29"/>
      <c r="OI150" s="29"/>
      <c r="OJ150" s="29"/>
      <c r="OK150" s="29"/>
      <c r="OL150" s="29"/>
      <c r="OM150" s="29"/>
      <c r="ON150" s="29"/>
      <c r="OO150" s="29"/>
      <c r="OP150" s="29"/>
      <c r="OQ150" s="29"/>
      <c r="OR150" s="29"/>
      <c r="OS150" s="29"/>
      <c r="OT150" s="29"/>
      <c r="OU150" s="29"/>
      <c r="OV150" s="29"/>
      <c r="OW150" s="29"/>
      <c r="OX150" s="29"/>
      <c r="OY150" s="29"/>
      <c r="OZ150" s="29"/>
      <c r="PA150" s="29"/>
      <c r="PB150" s="29"/>
      <c r="PC150" s="29"/>
      <c r="PD150" s="29"/>
      <c r="PE150" s="29"/>
      <c r="PF150" s="29"/>
      <c r="PG150" s="29"/>
      <c r="PH150" s="29"/>
      <c r="PI150" s="29"/>
      <c r="PJ150" s="29"/>
      <c r="PK150" s="29"/>
      <c r="PL150" s="29"/>
      <c r="PM150" s="29"/>
      <c r="PN150" s="29"/>
      <c r="PO150" s="29"/>
      <c r="PP150" s="29"/>
      <c r="PQ150" s="29"/>
      <c r="PR150" s="29"/>
      <c r="PS150" s="29"/>
      <c r="PT150" s="29"/>
      <c r="PU150" s="29"/>
      <c r="PV150" s="29"/>
      <c r="PW150" s="29"/>
      <c r="PX150" s="29"/>
      <c r="PY150" s="29"/>
      <c r="PZ150" s="29"/>
      <c r="QA150" s="29"/>
      <c r="QB150" s="29"/>
      <c r="QC150" s="29"/>
      <c r="QD150" s="29"/>
      <c r="QE150" s="29"/>
      <c r="QF150" s="29"/>
      <c r="QG150" s="29"/>
      <c r="QH150" s="29"/>
      <c r="QI150" s="29"/>
      <c r="QJ150" s="29"/>
      <c r="QK150" s="29"/>
      <c r="QL150" s="29"/>
      <c r="QM150" s="29"/>
      <c r="QN150" s="29"/>
      <c r="QO150" s="29"/>
      <c r="QP150" s="29"/>
      <c r="QQ150" s="29"/>
      <c r="QR150" s="29"/>
      <c r="QS150" s="29"/>
      <c r="QT150" s="29"/>
      <c r="QU150" s="29"/>
      <c r="QV150" s="29"/>
      <c r="QW150" s="29"/>
      <c r="QX150" s="29"/>
      <c r="QY150" s="29"/>
      <c r="QZ150" s="29"/>
      <c r="RA150" s="29"/>
      <c r="RB150" s="29"/>
      <c r="RC150" s="29"/>
      <c r="RD150" s="29"/>
      <c r="RE150" s="29"/>
      <c r="RF150" s="29"/>
      <c r="RG150" s="29"/>
      <c r="RH150" s="29"/>
      <c r="RI150" s="29"/>
      <c r="RJ150" s="29"/>
      <c r="RK150" s="29"/>
      <c r="RL150" s="29"/>
      <c r="RM150" s="29"/>
      <c r="RN150" s="29"/>
      <c r="RO150" s="29"/>
      <c r="RP150" s="29"/>
      <c r="RQ150" s="29"/>
      <c r="RR150" s="29"/>
      <c r="RS150" s="29"/>
      <c r="RT150" s="29"/>
      <c r="RU150" s="29"/>
      <c r="RV150" s="29"/>
      <c r="RW150" s="29"/>
      <c r="RX150" s="29"/>
      <c r="RY150" s="29"/>
      <c r="RZ150" s="29"/>
      <c r="SA150" s="29"/>
      <c r="SB150" s="29"/>
      <c r="SC150" s="29"/>
      <c r="SD150" s="29"/>
      <c r="SE150" s="29"/>
      <c r="SF150" s="29"/>
      <c r="SG150" s="29"/>
      <c r="SH150" s="29"/>
      <c r="SI150" s="29"/>
      <c r="SJ150" s="29"/>
      <c r="SK150" s="29"/>
      <c r="SL150" s="29"/>
      <c r="SM150" s="29"/>
      <c r="SN150" s="29"/>
      <c r="SO150" s="29"/>
      <c r="SP150" s="29"/>
      <c r="SQ150" s="29"/>
      <c r="SR150" s="29"/>
      <c r="SS150" s="29"/>
      <c r="ST150" s="29"/>
      <c r="SU150" s="29"/>
      <c r="SV150" s="29"/>
      <c r="SW150" s="29"/>
      <c r="SX150" s="29"/>
      <c r="SY150" s="29"/>
      <c r="SZ150" s="29"/>
      <c r="TA150" s="29"/>
      <c r="TB150" s="29"/>
      <c r="TC150" s="29"/>
      <c r="TD150" s="29"/>
      <c r="TE150" s="29"/>
      <c r="TF150" s="29"/>
      <c r="TG150" s="29"/>
      <c r="TH150" s="29"/>
      <c r="TI150" s="29"/>
      <c r="TJ150" s="29"/>
      <c r="TK150" s="29"/>
      <c r="TL150" s="29"/>
      <c r="TM150" s="29"/>
      <c r="TN150" s="29"/>
      <c r="TO150" s="29"/>
      <c r="TP150" s="29"/>
      <c r="TQ150" s="29"/>
      <c r="TR150" s="29"/>
      <c r="TS150" s="29"/>
      <c r="TT150" s="29"/>
      <c r="TU150" s="29"/>
      <c r="TV150" s="29"/>
      <c r="TW150" s="29"/>
      <c r="TX150" s="29"/>
      <c r="TY150" s="29"/>
      <c r="TZ150" s="29"/>
      <c r="UA150" s="29"/>
      <c r="UB150" s="29"/>
      <c r="UC150" s="29"/>
      <c r="UD150" s="29"/>
      <c r="UE150" s="29"/>
      <c r="UF150" s="29"/>
      <c r="UG150" s="29"/>
      <c r="UH150" s="29"/>
      <c r="UI150" s="29"/>
      <c r="UJ150" s="29"/>
      <c r="UK150" s="29"/>
      <c r="UL150" s="29"/>
      <c r="UM150" s="29"/>
      <c r="UN150" s="29"/>
      <c r="UO150" s="29"/>
      <c r="UP150" s="29"/>
      <c r="UQ150" s="29"/>
      <c r="UR150" s="29"/>
      <c r="US150" s="29"/>
      <c r="UT150" s="29"/>
      <c r="UU150" s="29"/>
      <c r="UV150" s="29"/>
      <c r="UW150" s="29"/>
      <c r="UX150" s="29"/>
      <c r="UY150" s="29"/>
      <c r="UZ150" s="29"/>
      <c r="VA150" s="29"/>
      <c r="VB150" s="29"/>
      <c r="VC150" s="29"/>
      <c r="VD150" s="29"/>
      <c r="VE150" s="29"/>
      <c r="VF150" s="29"/>
      <c r="VG150" s="29"/>
      <c r="VH150" s="29"/>
      <c r="VI150" s="29"/>
      <c r="VJ150" s="29"/>
      <c r="VK150" s="29"/>
      <c r="VL150" s="29"/>
      <c r="VM150" s="29"/>
      <c r="VN150" s="29"/>
      <c r="VO150" s="29"/>
      <c r="VP150" s="29"/>
      <c r="VQ150" s="29"/>
      <c r="VR150" s="29"/>
      <c r="VS150" s="29"/>
      <c r="VT150" s="29"/>
      <c r="VU150" s="29"/>
      <c r="VV150" s="29"/>
      <c r="VW150" s="29"/>
      <c r="VX150" s="29"/>
      <c r="VY150" s="29"/>
      <c r="VZ150" s="29"/>
      <c r="WA150" s="29"/>
      <c r="WB150" s="29"/>
      <c r="WC150" s="29"/>
      <c r="WD150" s="29"/>
      <c r="WE150" s="29"/>
      <c r="WF150" s="29"/>
      <c r="WG150" s="29"/>
      <c r="WH150" s="29"/>
      <c r="WI150" s="29"/>
      <c r="WJ150" s="29"/>
      <c r="WK150" s="29"/>
      <c r="WL150" s="29"/>
      <c r="WM150" s="29"/>
      <c r="WN150" s="29"/>
      <c r="WO150" s="29"/>
      <c r="WP150" s="29"/>
      <c r="WQ150" s="29"/>
      <c r="WR150" s="29"/>
      <c r="WS150" s="29"/>
    </row>
    <row r="151" spans="1:617" s="3" customFormat="1" ht="15" outlineLevel="1" thickBot="1">
      <c r="A151" s="33"/>
      <c r="B151" s="149" t="s">
        <v>224</v>
      </c>
      <c r="C151" s="150"/>
      <c r="D151" s="151">
        <v>45964</v>
      </c>
      <c r="E151" s="151">
        <f t="shared" si="604"/>
        <v>45975</v>
      </c>
      <c r="F151" s="152"/>
      <c r="G151" s="152">
        <v>12</v>
      </c>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c r="MM151" s="29"/>
      <c r="MN151" s="29"/>
      <c r="MO151" s="29"/>
      <c r="MP151" s="29"/>
      <c r="MQ151" s="29"/>
      <c r="MR151" s="29"/>
      <c r="MS151" s="29"/>
      <c r="MT151" s="29"/>
      <c r="MU151" s="29"/>
      <c r="MV151" s="29"/>
      <c r="MW151" s="29"/>
      <c r="MX151" s="29"/>
      <c r="MY151" s="29"/>
      <c r="MZ151" s="29"/>
      <c r="NA151" s="29"/>
      <c r="NB151" s="29"/>
      <c r="NC151" s="29"/>
      <c r="ND151" s="29"/>
      <c r="NE151" s="29"/>
      <c r="NF151" s="29"/>
      <c r="NG151" s="29"/>
      <c r="NH151" s="29"/>
      <c r="NI151" s="29"/>
      <c r="NJ151" s="29"/>
      <c r="NK151" s="29"/>
      <c r="NL151" s="29"/>
      <c r="NM151" s="29"/>
      <c r="NN151" s="29"/>
      <c r="NO151" s="29"/>
      <c r="NP151" s="29"/>
      <c r="NQ151" s="29"/>
      <c r="NR151" s="29"/>
      <c r="NS151" s="29"/>
      <c r="NT151" s="29"/>
      <c r="NU151" s="29"/>
      <c r="NV151" s="29"/>
      <c r="NW151" s="29"/>
      <c r="NX151" s="29"/>
      <c r="NY151" s="29"/>
      <c r="NZ151" s="29"/>
      <c r="OA151" s="29"/>
      <c r="OB151" s="29"/>
      <c r="OC151" s="29"/>
      <c r="OD151" s="29"/>
      <c r="OE151" s="29"/>
      <c r="OF151" s="29"/>
      <c r="OG151" s="29"/>
      <c r="OH151" s="29"/>
      <c r="OI151" s="29"/>
      <c r="OJ151" s="29"/>
      <c r="OK151" s="29"/>
      <c r="OL151" s="29"/>
      <c r="OM151" s="29"/>
      <c r="ON151" s="29"/>
      <c r="OO151" s="29"/>
      <c r="OP151" s="29"/>
      <c r="OQ151" s="29"/>
      <c r="OR151" s="29"/>
      <c r="OS151" s="29"/>
      <c r="OT151" s="29"/>
      <c r="OU151" s="29"/>
      <c r="OV151" s="29"/>
      <c r="OW151" s="29"/>
      <c r="OX151" s="29"/>
      <c r="OY151" s="29"/>
      <c r="OZ151" s="29"/>
      <c r="PA151" s="29"/>
      <c r="PB151" s="29"/>
      <c r="PC151" s="29"/>
      <c r="PD151" s="29"/>
      <c r="PE151" s="29"/>
      <c r="PF151" s="29"/>
      <c r="PG151" s="29"/>
      <c r="PH151" s="29"/>
      <c r="PI151" s="29"/>
      <c r="PJ151" s="29"/>
      <c r="PK151" s="29"/>
      <c r="PL151" s="29"/>
      <c r="PM151" s="29"/>
      <c r="PN151" s="29"/>
      <c r="PO151" s="29"/>
      <c r="PP151" s="29"/>
      <c r="PQ151" s="29"/>
      <c r="PR151" s="29"/>
      <c r="PS151" s="29"/>
      <c r="PT151" s="29"/>
      <c r="PU151" s="29"/>
      <c r="PV151" s="29"/>
      <c r="PW151" s="29"/>
      <c r="PX151" s="29"/>
      <c r="PY151" s="29"/>
      <c r="PZ151" s="29"/>
      <c r="QA151" s="29"/>
      <c r="QB151" s="29"/>
      <c r="QC151" s="29"/>
      <c r="QD151" s="29"/>
      <c r="QE151" s="29"/>
      <c r="QF151" s="29"/>
      <c r="QG151" s="29"/>
      <c r="QH151" s="29"/>
      <c r="QI151" s="29"/>
      <c r="QJ151" s="29"/>
      <c r="QK151" s="29"/>
      <c r="QL151" s="29"/>
      <c r="QM151" s="29"/>
      <c r="QN151" s="29"/>
      <c r="QO151" s="29"/>
      <c r="QP151" s="29"/>
      <c r="QQ151" s="29"/>
      <c r="QR151" s="29"/>
      <c r="QS151" s="29"/>
      <c r="QT151" s="29"/>
      <c r="QU151" s="29"/>
      <c r="QV151" s="29"/>
      <c r="QW151" s="29"/>
      <c r="QX151" s="29"/>
      <c r="QY151" s="29"/>
      <c r="QZ151" s="29"/>
      <c r="RA151" s="29"/>
      <c r="RB151" s="29"/>
      <c r="RC151" s="29"/>
      <c r="RD151" s="29"/>
      <c r="RE151" s="29"/>
      <c r="RF151" s="29"/>
      <c r="RG151" s="29"/>
      <c r="RH151" s="29"/>
      <c r="RI151" s="29"/>
      <c r="RJ151" s="29"/>
      <c r="RK151" s="29"/>
      <c r="RL151" s="29"/>
      <c r="RM151" s="29"/>
      <c r="RN151" s="29"/>
      <c r="RO151" s="29"/>
      <c r="RP151" s="29"/>
      <c r="RQ151" s="29"/>
      <c r="RR151" s="29"/>
      <c r="RS151" s="29"/>
      <c r="RT151" s="29"/>
      <c r="RU151" s="29"/>
      <c r="RV151" s="29"/>
      <c r="RW151" s="29"/>
      <c r="RX151" s="29"/>
      <c r="RY151" s="29"/>
      <c r="RZ151" s="29"/>
      <c r="SA151" s="29"/>
      <c r="SB151" s="29"/>
      <c r="SC151" s="29"/>
      <c r="SD151" s="29"/>
      <c r="SE151" s="29"/>
      <c r="SF151" s="29"/>
      <c r="SG151" s="29"/>
      <c r="SH151" s="29"/>
      <c r="SI151" s="29"/>
      <c r="SJ151" s="29"/>
      <c r="SK151" s="29"/>
      <c r="SL151" s="29"/>
      <c r="SM151" s="29"/>
      <c r="SN151" s="29"/>
      <c r="SO151" s="29"/>
      <c r="SP151" s="29"/>
      <c r="SQ151" s="29"/>
      <c r="SR151" s="29"/>
      <c r="SS151" s="29"/>
      <c r="ST151" s="29"/>
      <c r="SU151" s="29"/>
      <c r="SV151" s="29"/>
      <c r="SW151" s="29"/>
      <c r="SX151" s="29"/>
      <c r="SY151" s="29"/>
      <c r="SZ151" s="29"/>
      <c r="TA151" s="29"/>
      <c r="TB151" s="29"/>
      <c r="TC151" s="29"/>
      <c r="TD151" s="29"/>
      <c r="TE151" s="29"/>
      <c r="TF151" s="29"/>
      <c r="TG151" s="29"/>
      <c r="TH151" s="29"/>
      <c r="TI151" s="29"/>
      <c r="TJ151" s="29"/>
      <c r="TK151" s="29"/>
      <c r="TL151" s="29"/>
      <c r="TM151" s="29"/>
      <c r="TN151" s="29"/>
      <c r="TO151" s="29"/>
      <c r="TP151" s="29"/>
      <c r="TQ151" s="29"/>
      <c r="TR151" s="29"/>
      <c r="TS151" s="29"/>
      <c r="TT151" s="29"/>
      <c r="TU151" s="29"/>
      <c r="TV151" s="29"/>
      <c r="TW151" s="29"/>
      <c r="TX151" s="29"/>
      <c r="TY151" s="29"/>
      <c r="TZ151" s="29"/>
      <c r="UA151" s="29"/>
      <c r="UB151" s="29"/>
      <c r="UC151" s="29"/>
      <c r="UD151" s="29"/>
      <c r="UE151" s="29"/>
      <c r="UF151" s="29"/>
      <c r="UG151" s="29"/>
      <c r="UH151" s="29"/>
      <c r="UI151" s="29"/>
      <c r="UJ151" s="29"/>
      <c r="UK151" s="29"/>
      <c r="UL151" s="29"/>
      <c r="UM151" s="29"/>
      <c r="UN151" s="29"/>
      <c r="UO151" s="29"/>
      <c r="UP151" s="29"/>
      <c r="UQ151" s="29"/>
      <c r="UR151" s="29"/>
      <c r="US151" s="29"/>
      <c r="UT151" s="29"/>
      <c r="UU151" s="29"/>
      <c r="UV151" s="29"/>
      <c r="UW151" s="29"/>
      <c r="UX151" s="29"/>
      <c r="UY151" s="29"/>
      <c r="UZ151" s="29"/>
      <c r="VA151" s="29"/>
      <c r="VB151" s="29"/>
      <c r="VC151" s="29"/>
      <c r="VD151" s="29"/>
      <c r="VE151" s="29"/>
      <c r="VF151" s="29"/>
      <c r="VG151" s="29"/>
      <c r="VH151" s="29"/>
      <c r="VI151" s="29"/>
      <c r="VJ151" s="29"/>
      <c r="VK151" s="29"/>
      <c r="VL151" s="29"/>
      <c r="VM151" s="29"/>
      <c r="VN151" s="29"/>
      <c r="VO151" s="29"/>
      <c r="VP151" s="29"/>
      <c r="VQ151" s="29"/>
      <c r="VR151" s="29"/>
      <c r="VS151" s="29"/>
      <c r="VT151" s="29"/>
      <c r="VU151" s="29"/>
      <c r="VV151" s="29"/>
      <c r="VW151" s="29"/>
      <c r="VX151" s="29"/>
      <c r="VY151" s="29"/>
      <c r="VZ151" s="29"/>
      <c r="WA151" s="29"/>
      <c r="WB151" s="29"/>
      <c r="WC151" s="29"/>
      <c r="WD151" s="29"/>
      <c r="WE151" s="29"/>
      <c r="WF151" s="29"/>
      <c r="WG151" s="29"/>
      <c r="WH151" s="29"/>
      <c r="WI151" s="29"/>
      <c r="WJ151" s="29"/>
      <c r="WK151" s="29"/>
      <c r="WL151" s="29"/>
      <c r="WM151" s="29"/>
      <c r="WN151" s="29"/>
      <c r="WO151" s="29"/>
      <c r="WP151" s="29"/>
      <c r="WQ151" s="29"/>
      <c r="WR151" s="29"/>
      <c r="WS151" s="29"/>
    </row>
    <row r="152" spans="1:617" s="3" customFormat="1" ht="15" outlineLevel="1" thickBot="1">
      <c r="A152" s="33"/>
      <c r="B152" s="149" t="s">
        <v>263</v>
      </c>
      <c r="C152" s="150"/>
      <c r="D152" s="151">
        <v>45957</v>
      </c>
      <c r="E152" s="151">
        <f t="shared" si="604"/>
        <v>45961</v>
      </c>
      <c r="F152" s="152"/>
      <c r="G152" s="152">
        <v>5</v>
      </c>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c r="MM152" s="29"/>
      <c r="MN152" s="29"/>
      <c r="MO152" s="29"/>
      <c r="MP152" s="29"/>
      <c r="MQ152" s="29"/>
      <c r="MR152" s="29"/>
      <c r="MS152" s="29"/>
      <c r="MT152" s="29"/>
      <c r="MU152" s="29"/>
      <c r="MV152" s="29"/>
      <c r="MW152" s="29"/>
      <c r="MX152" s="29"/>
      <c r="MY152" s="29"/>
      <c r="MZ152" s="29"/>
      <c r="NA152" s="29"/>
      <c r="NB152" s="29"/>
      <c r="NC152" s="29"/>
      <c r="ND152" s="29"/>
      <c r="NE152" s="29"/>
      <c r="NF152" s="29"/>
      <c r="NG152" s="29"/>
      <c r="NH152" s="29"/>
      <c r="NI152" s="29"/>
      <c r="NJ152" s="29"/>
      <c r="NK152" s="29"/>
      <c r="NL152" s="29"/>
      <c r="NM152" s="29"/>
      <c r="NN152" s="29"/>
      <c r="NO152" s="29"/>
      <c r="NP152" s="29"/>
      <c r="NQ152" s="29"/>
      <c r="NR152" s="29"/>
      <c r="NS152" s="29"/>
      <c r="NT152" s="29"/>
      <c r="NU152" s="29"/>
      <c r="NV152" s="29"/>
      <c r="NW152" s="29"/>
      <c r="NX152" s="29"/>
      <c r="NY152" s="29"/>
      <c r="NZ152" s="29"/>
      <c r="OA152" s="29"/>
      <c r="OB152" s="29"/>
      <c r="OC152" s="29"/>
      <c r="OD152" s="29"/>
      <c r="OE152" s="29"/>
      <c r="OF152" s="29"/>
      <c r="OG152" s="29"/>
      <c r="OH152" s="29"/>
      <c r="OI152" s="29"/>
      <c r="OJ152" s="29"/>
      <c r="OK152" s="29"/>
      <c r="OL152" s="29"/>
      <c r="OM152" s="29"/>
      <c r="ON152" s="29"/>
      <c r="OO152" s="29"/>
      <c r="OP152" s="29"/>
      <c r="OQ152" s="29"/>
      <c r="OR152" s="29"/>
      <c r="OS152" s="29"/>
      <c r="OT152" s="29"/>
      <c r="OU152" s="29"/>
      <c r="OV152" s="29"/>
      <c r="OW152" s="29"/>
      <c r="OX152" s="29"/>
      <c r="OY152" s="29"/>
      <c r="OZ152" s="29"/>
      <c r="PA152" s="29"/>
      <c r="PB152" s="29"/>
      <c r="PC152" s="29"/>
      <c r="PD152" s="29"/>
      <c r="PE152" s="29"/>
      <c r="PF152" s="29"/>
      <c r="PG152" s="29"/>
      <c r="PH152" s="29"/>
      <c r="PI152" s="29"/>
      <c r="PJ152" s="29"/>
      <c r="PK152" s="29"/>
      <c r="PL152" s="29"/>
      <c r="PM152" s="29"/>
      <c r="PN152" s="29"/>
      <c r="PO152" s="29"/>
      <c r="PP152" s="29"/>
      <c r="PQ152" s="29"/>
      <c r="PR152" s="29"/>
      <c r="PS152" s="29"/>
      <c r="PT152" s="29"/>
      <c r="PU152" s="29"/>
      <c r="PV152" s="29"/>
      <c r="PW152" s="29"/>
      <c r="PX152" s="29"/>
      <c r="PY152" s="29"/>
      <c r="PZ152" s="29"/>
      <c r="QA152" s="29"/>
      <c r="QB152" s="29"/>
      <c r="QC152" s="29"/>
      <c r="QD152" s="29"/>
      <c r="QE152" s="29"/>
      <c r="QF152" s="29"/>
      <c r="QG152" s="29"/>
      <c r="QH152" s="29"/>
      <c r="QI152" s="29"/>
      <c r="QJ152" s="29"/>
      <c r="QK152" s="29"/>
      <c r="QL152" s="29"/>
      <c r="QM152" s="29"/>
      <c r="QN152" s="29"/>
      <c r="QO152" s="29"/>
      <c r="QP152" s="29"/>
      <c r="QQ152" s="29"/>
      <c r="QR152" s="29"/>
      <c r="QS152" s="29"/>
      <c r="QT152" s="29"/>
      <c r="QU152" s="29"/>
      <c r="QV152" s="29"/>
      <c r="QW152" s="29"/>
      <c r="QX152" s="29"/>
      <c r="QY152" s="29"/>
      <c r="QZ152" s="29"/>
      <c r="RA152" s="29"/>
      <c r="RB152" s="29"/>
      <c r="RC152" s="29"/>
      <c r="RD152" s="29"/>
      <c r="RE152" s="29"/>
      <c r="RF152" s="29"/>
      <c r="RG152" s="29"/>
      <c r="RH152" s="29"/>
      <c r="RI152" s="29"/>
      <c r="RJ152" s="29"/>
      <c r="RK152" s="29"/>
      <c r="RL152" s="29"/>
      <c r="RM152" s="29"/>
      <c r="RN152" s="29"/>
      <c r="RO152" s="29"/>
      <c r="RP152" s="29"/>
      <c r="RQ152" s="29"/>
      <c r="RR152" s="29"/>
      <c r="RS152" s="29"/>
      <c r="RT152" s="29"/>
      <c r="RU152" s="29"/>
      <c r="RV152" s="29"/>
      <c r="RW152" s="29"/>
      <c r="RX152" s="29"/>
      <c r="RY152" s="29"/>
      <c r="RZ152" s="29"/>
      <c r="SA152" s="29"/>
      <c r="SB152" s="29"/>
      <c r="SC152" s="29"/>
      <c r="SD152" s="29"/>
      <c r="SE152" s="29"/>
      <c r="SF152" s="29"/>
      <c r="SG152" s="29"/>
      <c r="SH152" s="29"/>
      <c r="SI152" s="29"/>
      <c r="SJ152" s="29"/>
      <c r="SK152" s="29"/>
      <c r="SL152" s="29"/>
      <c r="SM152" s="29"/>
      <c r="SN152" s="29"/>
      <c r="SO152" s="29"/>
      <c r="SP152" s="29"/>
      <c r="SQ152" s="29"/>
      <c r="SR152" s="29"/>
      <c r="SS152" s="29"/>
      <c r="ST152" s="29"/>
      <c r="SU152" s="29"/>
      <c r="SV152" s="29"/>
      <c r="SW152" s="29"/>
      <c r="SX152" s="29"/>
      <c r="SY152" s="29"/>
      <c r="SZ152" s="29"/>
      <c r="TA152" s="29"/>
      <c r="TB152" s="29"/>
      <c r="TC152" s="29"/>
      <c r="TD152" s="29"/>
      <c r="TE152" s="29"/>
      <c r="TF152" s="29"/>
      <c r="TG152" s="29"/>
      <c r="TH152" s="29"/>
      <c r="TI152" s="29"/>
      <c r="TJ152" s="29"/>
      <c r="TK152" s="29"/>
      <c r="TL152" s="29"/>
      <c r="TM152" s="29"/>
      <c r="TN152" s="29"/>
      <c r="TO152" s="29"/>
      <c r="TP152" s="29"/>
      <c r="TQ152" s="29"/>
      <c r="TR152" s="29"/>
      <c r="TS152" s="29"/>
      <c r="TT152" s="29"/>
      <c r="TU152" s="29"/>
      <c r="TV152" s="29"/>
      <c r="TW152" s="29"/>
      <c r="TX152" s="29"/>
      <c r="TY152" s="29"/>
      <c r="TZ152" s="29"/>
      <c r="UA152" s="29"/>
      <c r="UB152" s="29"/>
      <c r="UC152" s="29"/>
      <c r="UD152" s="29"/>
      <c r="UE152" s="29"/>
      <c r="UF152" s="29"/>
      <c r="UG152" s="29"/>
      <c r="UH152" s="29"/>
      <c r="UI152" s="29"/>
      <c r="UJ152" s="29"/>
      <c r="UK152" s="29"/>
      <c r="UL152" s="29"/>
      <c r="UM152" s="29"/>
      <c r="UN152" s="29"/>
      <c r="UO152" s="29"/>
      <c r="UP152" s="29"/>
      <c r="UQ152" s="29"/>
      <c r="UR152" s="29"/>
      <c r="US152" s="29"/>
      <c r="UT152" s="29"/>
      <c r="UU152" s="29"/>
      <c r="UV152" s="29"/>
      <c r="UW152" s="29"/>
      <c r="UX152" s="29"/>
      <c r="UY152" s="29"/>
      <c r="UZ152" s="29"/>
      <c r="VA152" s="29"/>
      <c r="VB152" s="29"/>
      <c r="VC152" s="29"/>
      <c r="VD152" s="29"/>
      <c r="VE152" s="29"/>
      <c r="VF152" s="29"/>
      <c r="VG152" s="29"/>
      <c r="VH152" s="29"/>
      <c r="VI152" s="29"/>
      <c r="VJ152" s="29"/>
      <c r="VK152" s="29"/>
      <c r="VL152" s="29"/>
      <c r="VM152" s="29"/>
      <c r="VN152" s="29"/>
      <c r="VO152" s="29"/>
      <c r="VP152" s="29"/>
      <c r="VQ152" s="29"/>
      <c r="VR152" s="29"/>
      <c r="VS152" s="29"/>
      <c r="VT152" s="29"/>
      <c r="VU152" s="29"/>
      <c r="VV152" s="29"/>
      <c r="VW152" s="29"/>
      <c r="VX152" s="29"/>
      <c r="VY152" s="29"/>
      <c r="VZ152" s="29"/>
      <c r="WA152" s="29"/>
      <c r="WB152" s="29"/>
      <c r="WC152" s="29"/>
      <c r="WD152" s="29"/>
      <c r="WE152" s="29"/>
      <c r="WF152" s="29"/>
      <c r="WG152" s="29"/>
      <c r="WH152" s="29"/>
      <c r="WI152" s="29"/>
      <c r="WJ152" s="29"/>
      <c r="WK152" s="29"/>
      <c r="WL152" s="29"/>
      <c r="WM152" s="29"/>
      <c r="WN152" s="29"/>
      <c r="WO152" s="29"/>
      <c r="WP152" s="29"/>
      <c r="WQ152" s="29"/>
      <c r="WR152" s="29"/>
      <c r="WS152" s="29"/>
    </row>
    <row r="153" spans="1:617" s="3" customFormat="1" ht="15" outlineLevel="1" thickBot="1">
      <c r="A153" s="33"/>
      <c r="B153" s="149" t="s">
        <v>222</v>
      </c>
      <c r="C153" s="150"/>
      <c r="D153" s="151">
        <v>45964</v>
      </c>
      <c r="E153" s="151">
        <f t="shared" si="604"/>
        <v>45968</v>
      </c>
      <c r="F153" s="152"/>
      <c r="G153" s="152">
        <v>5</v>
      </c>
      <c r="H153" s="29"/>
      <c r="I153" s="29"/>
      <c r="J153" s="29"/>
      <c r="K153" s="29"/>
      <c r="L153" s="29"/>
      <c r="M153" s="29"/>
      <c r="N153" s="29"/>
      <c r="O153" s="29"/>
      <c r="P153" s="29"/>
      <c r="Q153" s="29"/>
      <c r="R153" s="29"/>
      <c r="S153" s="29"/>
      <c r="T153" s="29"/>
      <c r="U153" s="29"/>
      <c r="V153" s="29"/>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c r="MM153" s="29"/>
      <c r="MN153" s="29"/>
      <c r="MO153" s="29"/>
      <c r="MP153" s="29"/>
      <c r="MQ153" s="29"/>
      <c r="MR153" s="29"/>
      <c r="MS153" s="29"/>
      <c r="MT153" s="29"/>
      <c r="MU153" s="29"/>
      <c r="MV153" s="29"/>
      <c r="MW153" s="29"/>
      <c r="MX153" s="29"/>
      <c r="MY153" s="29"/>
      <c r="MZ153" s="29"/>
      <c r="NA153" s="29"/>
      <c r="NB153" s="29"/>
      <c r="NC153" s="29"/>
      <c r="ND153" s="29"/>
      <c r="NE153" s="29"/>
      <c r="NF153" s="29"/>
      <c r="NG153" s="29"/>
      <c r="NH153" s="29"/>
      <c r="NI153" s="29"/>
      <c r="NJ153" s="29"/>
      <c r="NK153" s="29"/>
      <c r="NL153" s="29"/>
      <c r="NM153" s="29"/>
      <c r="NN153" s="29"/>
      <c r="NO153" s="29"/>
      <c r="NP153" s="29"/>
      <c r="NQ153" s="29"/>
      <c r="NR153" s="29"/>
      <c r="NS153" s="29"/>
      <c r="NT153" s="29"/>
      <c r="NU153" s="29"/>
      <c r="NV153" s="29"/>
      <c r="NW153" s="29"/>
      <c r="NX153" s="29"/>
      <c r="NY153" s="29"/>
      <c r="NZ153" s="29"/>
      <c r="OA153" s="29"/>
      <c r="OB153" s="29"/>
      <c r="OC153" s="29"/>
      <c r="OD153" s="29"/>
      <c r="OE153" s="29"/>
      <c r="OF153" s="29"/>
      <c r="OG153" s="29"/>
      <c r="OH153" s="29"/>
      <c r="OI153" s="29"/>
      <c r="OJ153" s="29"/>
      <c r="OK153" s="29"/>
      <c r="OL153" s="29"/>
      <c r="OM153" s="29"/>
      <c r="ON153" s="29"/>
      <c r="OO153" s="29"/>
      <c r="OP153" s="29"/>
      <c r="OQ153" s="29"/>
      <c r="OR153" s="29"/>
      <c r="OS153" s="29"/>
      <c r="OT153" s="29"/>
      <c r="OU153" s="29"/>
      <c r="OV153" s="29"/>
      <c r="OW153" s="29"/>
      <c r="OX153" s="29"/>
      <c r="OY153" s="29"/>
      <c r="OZ153" s="29"/>
      <c r="PA153" s="29"/>
      <c r="PB153" s="29"/>
      <c r="PC153" s="29"/>
      <c r="PD153" s="29"/>
      <c r="PE153" s="29"/>
      <c r="PF153" s="29"/>
      <c r="PG153" s="29"/>
      <c r="PH153" s="29"/>
      <c r="PI153" s="29"/>
      <c r="PJ153" s="29"/>
      <c r="PK153" s="29"/>
      <c r="PL153" s="29"/>
      <c r="PM153" s="29"/>
      <c r="PN153" s="29"/>
      <c r="PO153" s="29"/>
      <c r="PP153" s="29"/>
      <c r="PQ153" s="29"/>
      <c r="PR153" s="29"/>
      <c r="PS153" s="29"/>
      <c r="PT153" s="29"/>
      <c r="PU153" s="29"/>
      <c r="PV153" s="29"/>
      <c r="PW153" s="29"/>
      <c r="PX153" s="29"/>
      <c r="PY153" s="29"/>
      <c r="PZ153" s="29"/>
      <c r="QA153" s="29"/>
      <c r="QB153" s="29"/>
      <c r="QC153" s="29"/>
      <c r="QD153" s="29"/>
      <c r="QE153" s="29"/>
      <c r="QF153" s="29"/>
      <c r="QG153" s="29"/>
      <c r="QH153" s="29"/>
      <c r="QI153" s="29"/>
      <c r="QJ153" s="29"/>
      <c r="QK153" s="29"/>
      <c r="QL153" s="29"/>
      <c r="QM153" s="29"/>
      <c r="QN153" s="29"/>
      <c r="QO153" s="29"/>
      <c r="QP153" s="29"/>
      <c r="QQ153" s="29"/>
      <c r="QR153" s="29"/>
      <c r="QS153" s="29"/>
      <c r="QT153" s="29"/>
      <c r="QU153" s="29"/>
      <c r="QV153" s="29"/>
      <c r="QW153" s="29"/>
      <c r="QX153" s="29"/>
      <c r="QY153" s="29"/>
      <c r="QZ153" s="29"/>
      <c r="RA153" s="29"/>
      <c r="RB153" s="29"/>
      <c r="RC153" s="29"/>
      <c r="RD153" s="29"/>
      <c r="RE153" s="29"/>
      <c r="RF153" s="29"/>
      <c r="RG153" s="29"/>
      <c r="RH153" s="29"/>
      <c r="RI153" s="29"/>
      <c r="RJ153" s="29"/>
      <c r="RK153" s="29"/>
      <c r="RL153" s="29"/>
      <c r="RM153" s="29"/>
      <c r="RN153" s="29"/>
      <c r="RO153" s="29"/>
      <c r="RP153" s="29"/>
      <c r="RQ153" s="29"/>
      <c r="RR153" s="29"/>
      <c r="RS153" s="29"/>
      <c r="RT153" s="29"/>
      <c r="RU153" s="29"/>
      <c r="RV153" s="29"/>
      <c r="RW153" s="29"/>
      <c r="RX153" s="29"/>
      <c r="RY153" s="29"/>
      <c r="RZ153" s="29"/>
      <c r="SA153" s="29"/>
      <c r="SB153" s="29"/>
      <c r="SC153" s="29"/>
      <c r="SD153" s="29"/>
      <c r="SE153" s="29"/>
      <c r="SF153" s="29"/>
      <c r="SG153" s="29"/>
      <c r="SH153" s="29"/>
      <c r="SI153" s="29"/>
      <c r="SJ153" s="29"/>
      <c r="SK153" s="29"/>
      <c r="SL153" s="29"/>
      <c r="SM153" s="29"/>
      <c r="SN153" s="29"/>
      <c r="SO153" s="29"/>
      <c r="SP153" s="29"/>
      <c r="SQ153" s="29"/>
      <c r="SR153" s="29"/>
      <c r="SS153" s="29"/>
      <c r="ST153" s="29"/>
      <c r="SU153" s="29"/>
      <c r="SV153" s="29"/>
      <c r="SW153" s="29"/>
      <c r="SX153" s="29"/>
      <c r="SY153" s="29"/>
      <c r="SZ153" s="29"/>
      <c r="TA153" s="29"/>
      <c r="TB153" s="29"/>
      <c r="TC153" s="29"/>
      <c r="TD153" s="29"/>
      <c r="TE153" s="29"/>
      <c r="TF153" s="29"/>
      <c r="TG153" s="29"/>
      <c r="TH153" s="29"/>
      <c r="TI153" s="29"/>
      <c r="TJ153" s="29"/>
      <c r="TK153" s="29"/>
      <c r="TL153" s="29"/>
      <c r="TM153" s="29"/>
      <c r="TN153" s="29"/>
      <c r="TO153" s="29"/>
      <c r="TP153" s="29"/>
      <c r="TQ153" s="29"/>
      <c r="TR153" s="29"/>
      <c r="TS153" s="29"/>
      <c r="TT153" s="29"/>
      <c r="TU153" s="29"/>
      <c r="TV153" s="29"/>
      <c r="TW153" s="29"/>
      <c r="TX153" s="29"/>
      <c r="TY153" s="29"/>
      <c r="TZ153" s="29"/>
      <c r="UA153" s="29"/>
      <c r="UB153" s="29"/>
      <c r="UC153" s="29"/>
      <c r="UD153" s="29"/>
      <c r="UE153" s="29"/>
      <c r="UF153" s="29"/>
      <c r="UG153" s="29"/>
      <c r="UH153" s="29"/>
      <c r="UI153" s="29"/>
      <c r="UJ153" s="29"/>
      <c r="UK153" s="29"/>
      <c r="UL153" s="29"/>
      <c r="UM153" s="29"/>
      <c r="UN153" s="29"/>
      <c r="UO153" s="29"/>
      <c r="UP153" s="29"/>
      <c r="UQ153" s="29"/>
      <c r="UR153" s="29"/>
      <c r="US153" s="29"/>
      <c r="UT153" s="29"/>
      <c r="UU153" s="29"/>
      <c r="UV153" s="29"/>
      <c r="UW153" s="29"/>
      <c r="UX153" s="29"/>
      <c r="UY153" s="29"/>
      <c r="UZ153" s="29"/>
      <c r="VA153" s="29"/>
      <c r="VB153" s="29"/>
      <c r="VC153" s="29"/>
      <c r="VD153" s="29"/>
      <c r="VE153" s="29"/>
      <c r="VF153" s="29"/>
      <c r="VG153" s="29"/>
      <c r="VH153" s="29"/>
      <c r="VI153" s="29"/>
      <c r="VJ153" s="29"/>
      <c r="VK153" s="29"/>
      <c r="VL153" s="29"/>
      <c r="VM153" s="29"/>
      <c r="VN153" s="29"/>
      <c r="VO153" s="29"/>
      <c r="VP153" s="29"/>
      <c r="VQ153" s="29"/>
      <c r="VR153" s="29"/>
      <c r="VS153" s="29"/>
      <c r="VT153" s="29"/>
      <c r="VU153" s="29"/>
      <c r="VV153" s="29"/>
      <c r="VW153" s="29"/>
      <c r="VX153" s="29"/>
      <c r="VY153" s="29"/>
      <c r="VZ153" s="29"/>
      <c r="WA153" s="29"/>
      <c r="WB153" s="29"/>
      <c r="WC153" s="29"/>
      <c r="WD153" s="29"/>
      <c r="WE153" s="29"/>
      <c r="WF153" s="29"/>
      <c r="WG153" s="29"/>
      <c r="WH153" s="29"/>
      <c r="WI153" s="29"/>
      <c r="WJ153" s="29"/>
      <c r="WK153" s="29"/>
      <c r="WL153" s="29"/>
      <c r="WM153" s="29"/>
      <c r="WN153" s="29"/>
      <c r="WO153" s="29"/>
      <c r="WP153" s="29"/>
      <c r="WQ153" s="29"/>
      <c r="WR153" s="29"/>
      <c r="WS153" s="29"/>
    </row>
    <row r="154" spans="1:617" s="3" customFormat="1" ht="15" outlineLevel="1" thickBot="1">
      <c r="A154" s="33"/>
      <c r="B154" s="149" t="s">
        <v>222</v>
      </c>
      <c r="C154" s="150"/>
      <c r="D154" s="151">
        <v>45971</v>
      </c>
      <c r="E154" s="151">
        <f t="shared" si="604"/>
        <v>45975</v>
      </c>
      <c r="F154" s="152"/>
      <c r="G154" s="152">
        <v>5</v>
      </c>
      <c r="H154" s="29"/>
      <c r="I154" s="29"/>
      <c r="J154" s="29"/>
      <c r="K154" s="29"/>
      <c r="L154" s="29"/>
      <c r="M154" s="29"/>
      <c r="N154" s="29"/>
      <c r="O154" s="29"/>
      <c r="P154" s="29"/>
      <c r="Q154" s="29"/>
      <c r="R154" s="29"/>
      <c r="S154" s="29"/>
      <c r="T154" s="29"/>
      <c r="U154" s="29"/>
      <c r="V154" s="29"/>
      <c r="W154" s="29"/>
      <c r="X154" s="29"/>
      <c r="Y154" s="29"/>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c r="MM154" s="29"/>
      <c r="MN154" s="29"/>
      <c r="MO154" s="29"/>
      <c r="MP154" s="29"/>
      <c r="MQ154" s="29"/>
      <c r="MR154" s="29"/>
      <c r="MS154" s="29"/>
      <c r="MT154" s="29"/>
      <c r="MU154" s="29"/>
      <c r="MV154" s="29"/>
      <c r="MW154" s="29"/>
      <c r="MX154" s="29"/>
      <c r="MY154" s="29"/>
      <c r="MZ154" s="29"/>
      <c r="NA154" s="29"/>
      <c r="NB154" s="29"/>
      <c r="NC154" s="29"/>
      <c r="ND154" s="29"/>
      <c r="NE154" s="29"/>
      <c r="NF154" s="29"/>
      <c r="NG154" s="29"/>
      <c r="NH154" s="29"/>
      <c r="NI154" s="29"/>
      <c r="NJ154" s="29"/>
      <c r="NK154" s="29"/>
      <c r="NL154" s="29"/>
      <c r="NM154" s="29"/>
      <c r="NN154" s="29"/>
      <c r="NO154" s="29"/>
      <c r="NP154" s="29"/>
      <c r="NQ154" s="29"/>
      <c r="NR154" s="29"/>
      <c r="NS154" s="29"/>
      <c r="NT154" s="29"/>
      <c r="NU154" s="29"/>
      <c r="NV154" s="29"/>
      <c r="NW154" s="29"/>
      <c r="NX154" s="29"/>
      <c r="NY154" s="29"/>
      <c r="NZ154" s="29"/>
      <c r="OA154" s="29"/>
      <c r="OB154" s="29"/>
      <c r="OC154" s="29"/>
      <c r="OD154" s="29"/>
      <c r="OE154" s="29"/>
      <c r="OF154" s="29"/>
      <c r="OG154" s="29"/>
      <c r="OH154" s="29"/>
      <c r="OI154" s="29"/>
      <c r="OJ154" s="29"/>
      <c r="OK154" s="29"/>
      <c r="OL154" s="29"/>
      <c r="OM154" s="29"/>
      <c r="ON154" s="29"/>
      <c r="OO154" s="29"/>
      <c r="OP154" s="29"/>
      <c r="OQ154" s="29"/>
      <c r="OR154" s="29"/>
      <c r="OS154" s="29"/>
      <c r="OT154" s="29"/>
      <c r="OU154" s="29"/>
      <c r="OV154" s="29"/>
      <c r="OW154" s="29"/>
      <c r="OX154" s="29"/>
      <c r="OY154" s="29"/>
      <c r="OZ154" s="29"/>
      <c r="PA154" s="29"/>
      <c r="PB154" s="29"/>
      <c r="PC154" s="29"/>
      <c r="PD154" s="29"/>
      <c r="PE154" s="29"/>
      <c r="PF154" s="29"/>
      <c r="PG154" s="29"/>
      <c r="PH154" s="29"/>
      <c r="PI154" s="29"/>
      <c r="PJ154" s="29"/>
      <c r="PK154" s="29"/>
      <c r="PL154" s="29"/>
      <c r="PM154" s="29"/>
      <c r="PN154" s="29"/>
      <c r="PO154" s="29"/>
      <c r="PP154" s="29"/>
      <c r="PQ154" s="29"/>
      <c r="PR154" s="29"/>
      <c r="PS154" s="29"/>
      <c r="PT154" s="29"/>
      <c r="PU154" s="29"/>
      <c r="PV154" s="29"/>
      <c r="PW154" s="29"/>
      <c r="PX154" s="29"/>
      <c r="PY154" s="29"/>
      <c r="PZ154" s="29"/>
      <c r="QA154" s="29"/>
      <c r="QB154" s="29"/>
      <c r="QC154" s="29"/>
      <c r="QD154" s="29"/>
      <c r="QE154" s="29"/>
      <c r="QF154" s="29"/>
      <c r="QG154" s="29"/>
      <c r="QH154" s="29"/>
      <c r="QI154" s="29"/>
      <c r="QJ154" s="29"/>
      <c r="QK154" s="29"/>
      <c r="QL154" s="29"/>
      <c r="QM154" s="29"/>
      <c r="QN154" s="29"/>
      <c r="QO154" s="29"/>
      <c r="QP154" s="29"/>
      <c r="QQ154" s="29"/>
      <c r="QR154" s="29"/>
      <c r="QS154" s="29"/>
      <c r="QT154" s="29"/>
      <c r="QU154" s="29"/>
      <c r="QV154" s="29"/>
      <c r="QW154" s="29"/>
      <c r="QX154" s="29"/>
      <c r="QY154" s="29"/>
      <c r="QZ154" s="29"/>
      <c r="RA154" s="29"/>
      <c r="RB154" s="29"/>
      <c r="RC154" s="29"/>
      <c r="RD154" s="29"/>
      <c r="RE154" s="29"/>
      <c r="RF154" s="29"/>
      <c r="RG154" s="29"/>
      <c r="RH154" s="29"/>
      <c r="RI154" s="29"/>
      <c r="RJ154" s="29"/>
      <c r="RK154" s="29"/>
      <c r="RL154" s="29"/>
      <c r="RM154" s="29"/>
      <c r="RN154" s="29"/>
      <c r="RO154" s="29"/>
      <c r="RP154" s="29"/>
      <c r="RQ154" s="29"/>
      <c r="RR154" s="29"/>
      <c r="RS154" s="29"/>
      <c r="RT154" s="29"/>
      <c r="RU154" s="29"/>
      <c r="RV154" s="29"/>
      <c r="RW154" s="29"/>
      <c r="RX154" s="29"/>
      <c r="RY154" s="29"/>
      <c r="RZ154" s="29"/>
      <c r="SA154" s="29"/>
      <c r="SB154" s="29"/>
      <c r="SC154" s="29"/>
      <c r="SD154" s="29"/>
      <c r="SE154" s="29"/>
      <c r="SF154" s="29"/>
      <c r="SG154" s="29"/>
      <c r="SH154" s="29"/>
      <c r="SI154" s="29"/>
      <c r="SJ154" s="29"/>
      <c r="SK154" s="29"/>
      <c r="SL154" s="29"/>
      <c r="SM154" s="29"/>
      <c r="SN154" s="29"/>
      <c r="SO154" s="29"/>
      <c r="SP154" s="29"/>
      <c r="SQ154" s="29"/>
      <c r="SR154" s="29"/>
      <c r="SS154" s="29"/>
      <c r="ST154" s="29"/>
      <c r="SU154" s="29"/>
      <c r="SV154" s="29"/>
      <c r="SW154" s="29"/>
      <c r="SX154" s="29"/>
      <c r="SY154" s="29"/>
      <c r="SZ154" s="29"/>
      <c r="TA154" s="29"/>
      <c r="TB154" s="29"/>
      <c r="TC154" s="29"/>
      <c r="TD154" s="29"/>
      <c r="TE154" s="29"/>
      <c r="TF154" s="29"/>
      <c r="TG154" s="29"/>
      <c r="TH154" s="29"/>
      <c r="TI154" s="29"/>
      <c r="TJ154" s="29"/>
      <c r="TK154" s="29"/>
      <c r="TL154" s="29"/>
      <c r="TM154" s="29"/>
      <c r="TN154" s="29"/>
      <c r="TO154" s="29"/>
      <c r="TP154" s="29"/>
      <c r="TQ154" s="29"/>
      <c r="TR154" s="29"/>
      <c r="TS154" s="29"/>
      <c r="TT154" s="29"/>
      <c r="TU154" s="29"/>
      <c r="TV154" s="29"/>
      <c r="TW154" s="29"/>
      <c r="TX154" s="29"/>
      <c r="TY154" s="29"/>
      <c r="TZ154" s="29"/>
      <c r="UA154" s="29"/>
      <c r="UB154" s="29"/>
      <c r="UC154" s="29"/>
      <c r="UD154" s="29"/>
      <c r="UE154" s="29"/>
      <c r="UF154" s="29"/>
      <c r="UG154" s="29"/>
      <c r="UH154" s="29"/>
      <c r="UI154" s="29"/>
      <c r="UJ154" s="29"/>
      <c r="UK154" s="29"/>
      <c r="UL154" s="29"/>
      <c r="UM154" s="29"/>
      <c r="UN154" s="29"/>
      <c r="UO154" s="29"/>
      <c r="UP154" s="29"/>
      <c r="UQ154" s="29"/>
      <c r="UR154" s="29"/>
      <c r="US154" s="29"/>
      <c r="UT154" s="29"/>
      <c r="UU154" s="29"/>
      <c r="UV154" s="29"/>
      <c r="UW154" s="29"/>
      <c r="UX154" s="29"/>
      <c r="UY154" s="29"/>
      <c r="UZ154" s="29"/>
      <c r="VA154" s="29"/>
      <c r="VB154" s="29"/>
      <c r="VC154" s="29"/>
      <c r="VD154" s="29"/>
      <c r="VE154" s="29"/>
      <c r="VF154" s="29"/>
      <c r="VG154" s="29"/>
      <c r="VH154" s="29"/>
      <c r="VI154" s="29"/>
      <c r="VJ154" s="29"/>
      <c r="VK154" s="29"/>
      <c r="VL154" s="29"/>
      <c r="VM154" s="29"/>
      <c r="VN154" s="29"/>
      <c r="VO154" s="29"/>
      <c r="VP154" s="29"/>
      <c r="VQ154" s="29"/>
      <c r="VR154" s="29"/>
      <c r="VS154" s="29"/>
      <c r="VT154" s="29"/>
      <c r="VU154" s="29"/>
      <c r="VV154" s="29"/>
      <c r="VW154" s="29"/>
      <c r="VX154" s="29"/>
      <c r="VY154" s="29"/>
      <c r="VZ154" s="29"/>
      <c r="WA154" s="29"/>
      <c r="WB154" s="29"/>
      <c r="WC154" s="29"/>
      <c r="WD154" s="29"/>
      <c r="WE154" s="29"/>
      <c r="WF154" s="29"/>
      <c r="WG154" s="29"/>
      <c r="WH154" s="29"/>
      <c r="WI154" s="29"/>
      <c r="WJ154" s="29"/>
      <c r="WK154" s="29"/>
      <c r="WL154" s="29"/>
      <c r="WM154" s="29"/>
      <c r="WN154" s="29"/>
      <c r="WO154" s="29"/>
      <c r="WP154" s="29"/>
      <c r="WQ154" s="29"/>
      <c r="WR154" s="29"/>
      <c r="WS154" s="29"/>
    </row>
    <row r="155" spans="1:617" s="3" customFormat="1" ht="15" outlineLevel="1" thickBot="1">
      <c r="A155" s="33"/>
      <c r="B155" s="85"/>
      <c r="C155" s="102"/>
      <c r="D155" s="123"/>
      <c r="E155" s="123"/>
      <c r="F155" s="14"/>
      <c r="G155" s="14"/>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c r="MM155" s="29"/>
      <c r="MN155" s="29"/>
      <c r="MO155" s="29"/>
      <c r="MP155" s="29"/>
      <c r="MQ155" s="29"/>
      <c r="MR155" s="29"/>
      <c r="MS155" s="29"/>
      <c r="MT155" s="29"/>
      <c r="MU155" s="29"/>
      <c r="MV155" s="29"/>
      <c r="MW155" s="29"/>
      <c r="MX155" s="29"/>
      <c r="MY155" s="29"/>
      <c r="MZ155" s="29"/>
      <c r="NA155" s="29"/>
      <c r="NB155" s="29"/>
      <c r="NC155" s="29"/>
      <c r="ND155" s="29"/>
      <c r="NE155" s="29"/>
      <c r="NF155" s="29"/>
      <c r="NG155" s="29"/>
      <c r="NH155" s="29"/>
      <c r="NI155" s="29"/>
      <c r="NJ155" s="29"/>
      <c r="NK155" s="29"/>
      <c r="NL155" s="29"/>
      <c r="NM155" s="29"/>
      <c r="NN155" s="29"/>
      <c r="NO155" s="29"/>
      <c r="NP155" s="29"/>
      <c r="NQ155" s="29"/>
      <c r="NR155" s="29"/>
      <c r="NS155" s="29"/>
      <c r="NT155" s="29"/>
      <c r="NU155" s="29"/>
      <c r="NV155" s="29"/>
      <c r="NW155" s="29"/>
      <c r="NX155" s="29"/>
      <c r="NY155" s="29"/>
      <c r="NZ155" s="29"/>
      <c r="OA155" s="29"/>
      <c r="OB155" s="29"/>
      <c r="OC155" s="29"/>
      <c r="OD155" s="29"/>
      <c r="OE155" s="29"/>
      <c r="OF155" s="29"/>
      <c r="OG155" s="29"/>
      <c r="OH155" s="29"/>
      <c r="OI155" s="29"/>
      <c r="OJ155" s="29"/>
      <c r="OK155" s="29"/>
      <c r="OL155" s="29"/>
      <c r="OM155" s="29"/>
      <c r="ON155" s="29"/>
      <c r="OO155" s="29"/>
      <c r="OP155" s="29"/>
      <c r="OQ155" s="29"/>
      <c r="OR155" s="29"/>
      <c r="OS155" s="29"/>
      <c r="OT155" s="29"/>
      <c r="OU155" s="29"/>
      <c r="OV155" s="29"/>
      <c r="OW155" s="29"/>
      <c r="OX155" s="29"/>
      <c r="OY155" s="29"/>
      <c r="OZ155" s="29"/>
      <c r="PA155" s="29"/>
      <c r="PB155" s="29"/>
      <c r="PC155" s="29"/>
      <c r="PD155" s="29"/>
      <c r="PE155" s="29"/>
      <c r="PF155" s="29"/>
      <c r="PG155" s="29"/>
      <c r="PH155" s="29"/>
      <c r="PI155" s="29"/>
      <c r="PJ155" s="29"/>
      <c r="PK155" s="29"/>
      <c r="PL155" s="29"/>
      <c r="PM155" s="29"/>
      <c r="PN155" s="29"/>
      <c r="PO155" s="29"/>
      <c r="PP155" s="29"/>
      <c r="PQ155" s="29"/>
      <c r="PR155" s="29"/>
      <c r="PS155" s="29"/>
      <c r="PT155" s="29"/>
      <c r="PU155" s="29"/>
      <c r="PV155" s="29"/>
      <c r="PW155" s="29"/>
      <c r="PX155" s="29"/>
      <c r="PY155" s="29"/>
      <c r="PZ155" s="29"/>
      <c r="QA155" s="29"/>
      <c r="QB155" s="29"/>
      <c r="QC155" s="29"/>
      <c r="QD155" s="29"/>
      <c r="QE155" s="29"/>
      <c r="QF155" s="29"/>
      <c r="QG155" s="29"/>
      <c r="QH155" s="29"/>
      <c r="QI155" s="29"/>
      <c r="QJ155" s="29"/>
      <c r="QK155" s="29"/>
      <c r="QL155" s="29"/>
      <c r="QM155" s="29"/>
      <c r="QN155" s="29"/>
      <c r="QO155" s="29"/>
      <c r="QP155" s="29"/>
      <c r="QQ155" s="29"/>
      <c r="QR155" s="29"/>
      <c r="QS155" s="29"/>
      <c r="QT155" s="29"/>
      <c r="QU155" s="29"/>
      <c r="QV155" s="29"/>
      <c r="QW155" s="29"/>
      <c r="QX155" s="29"/>
      <c r="QY155" s="29"/>
      <c r="QZ155" s="29"/>
      <c r="RA155" s="29"/>
      <c r="RB155" s="29"/>
      <c r="RC155" s="29"/>
      <c r="RD155" s="29"/>
      <c r="RE155" s="29"/>
      <c r="RF155" s="29"/>
      <c r="RG155" s="29"/>
      <c r="RH155" s="29"/>
      <c r="RI155" s="29"/>
      <c r="RJ155" s="29"/>
      <c r="RK155" s="29"/>
      <c r="RL155" s="29"/>
      <c r="RM155" s="29"/>
      <c r="RN155" s="29"/>
      <c r="RO155" s="29"/>
      <c r="RP155" s="29"/>
      <c r="RQ155" s="29"/>
      <c r="RR155" s="29"/>
      <c r="RS155" s="29"/>
      <c r="RT155" s="29"/>
      <c r="RU155" s="29"/>
      <c r="RV155" s="29"/>
      <c r="RW155" s="29"/>
      <c r="RX155" s="29"/>
      <c r="RY155" s="29"/>
      <c r="RZ155" s="29"/>
      <c r="SA155" s="29"/>
      <c r="SB155" s="29"/>
      <c r="SC155" s="29"/>
      <c r="SD155" s="29"/>
      <c r="SE155" s="29"/>
      <c r="SF155" s="29"/>
      <c r="SG155" s="29"/>
      <c r="SH155" s="29"/>
      <c r="SI155" s="29"/>
      <c r="SJ155" s="29"/>
      <c r="SK155" s="29"/>
      <c r="SL155" s="29"/>
      <c r="SM155" s="29"/>
      <c r="SN155" s="29"/>
      <c r="SO155" s="29"/>
      <c r="SP155" s="29"/>
      <c r="SQ155" s="29"/>
      <c r="SR155" s="29"/>
      <c r="SS155" s="29"/>
      <c r="ST155" s="29"/>
      <c r="SU155" s="29"/>
      <c r="SV155" s="29"/>
      <c r="SW155" s="29"/>
      <c r="SX155" s="29"/>
      <c r="SY155" s="29"/>
      <c r="SZ155" s="29"/>
      <c r="TA155" s="29"/>
      <c r="TB155" s="29"/>
      <c r="TC155" s="29"/>
      <c r="TD155" s="29"/>
      <c r="TE155" s="29"/>
      <c r="TF155" s="29"/>
      <c r="TG155" s="29"/>
      <c r="TH155" s="29"/>
      <c r="TI155" s="29"/>
      <c r="TJ155" s="29"/>
      <c r="TK155" s="29"/>
      <c r="TL155" s="29"/>
      <c r="TM155" s="29"/>
      <c r="TN155" s="29"/>
      <c r="TO155" s="29"/>
      <c r="TP155" s="29"/>
      <c r="TQ155" s="29"/>
      <c r="TR155" s="29"/>
      <c r="TS155" s="29"/>
      <c r="TT155" s="29"/>
      <c r="TU155" s="29"/>
      <c r="TV155" s="29"/>
      <c r="TW155" s="29"/>
      <c r="TX155" s="29"/>
      <c r="TY155" s="29"/>
      <c r="TZ155" s="29"/>
      <c r="UA155" s="29"/>
      <c r="UB155" s="29"/>
      <c r="UC155" s="29"/>
      <c r="UD155" s="29"/>
      <c r="UE155" s="29"/>
      <c r="UF155" s="29"/>
      <c r="UG155" s="29"/>
      <c r="UH155" s="29"/>
      <c r="UI155" s="29"/>
      <c r="UJ155" s="29"/>
      <c r="UK155" s="29"/>
      <c r="UL155" s="29"/>
      <c r="UM155" s="29"/>
      <c r="UN155" s="29"/>
      <c r="UO155" s="29"/>
      <c r="UP155" s="29"/>
      <c r="UQ155" s="29"/>
      <c r="UR155" s="29"/>
      <c r="US155" s="29"/>
      <c r="UT155" s="29"/>
      <c r="UU155" s="29"/>
      <c r="UV155" s="29"/>
      <c r="UW155" s="29"/>
      <c r="UX155" s="29"/>
      <c r="UY155" s="29"/>
      <c r="UZ155" s="29"/>
      <c r="VA155" s="29"/>
      <c r="VB155" s="29"/>
      <c r="VC155" s="29"/>
      <c r="VD155" s="29"/>
      <c r="VE155" s="29"/>
      <c r="VF155" s="29"/>
      <c r="VG155" s="29"/>
      <c r="VH155" s="29"/>
      <c r="VI155" s="29"/>
      <c r="VJ155" s="29"/>
      <c r="VK155" s="29"/>
      <c r="VL155" s="29"/>
      <c r="VM155" s="29"/>
      <c r="VN155" s="29"/>
      <c r="VO155" s="29"/>
      <c r="VP155" s="29"/>
      <c r="VQ155" s="29"/>
      <c r="VR155" s="29"/>
      <c r="VS155" s="29"/>
      <c r="VT155" s="29"/>
      <c r="VU155" s="29"/>
      <c r="VV155" s="29"/>
      <c r="VW155" s="29"/>
      <c r="VX155" s="29"/>
      <c r="VY155" s="29"/>
      <c r="VZ155" s="29"/>
      <c r="WA155" s="29"/>
      <c r="WB155" s="29"/>
      <c r="WC155" s="29"/>
      <c r="WD155" s="29"/>
      <c r="WE155" s="29"/>
      <c r="WF155" s="29"/>
      <c r="WG155" s="29"/>
      <c r="WH155" s="29"/>
      <c r="WI155" s="29"/>
      <c r="WJ155" s="29"/>
      <c r="WK155" s="29"/>
      <c r="WL155" s="29"/>
      <c r="WM155" s="29"/>
      <c r="WN155" s="29"/>
      <c r="WO155" s="29"/>
      <c r="WP155" s="29"/>
      <c r="WQ155" s="29"/>
      <c r="WR155" s="29"/>
      <c r="WS155" s="29"/>
    </row>
    <row r="156" spans="1:617" s="3" customFormat="1" ht="15" outlineLevel="1" thickBot="1">
      <c r="A156" s="33"/>
      <c r="B156" s="85"/>
      <c r="C156" s="102"/>
      <c r="D156" s="123"/>
      <c r="E156" s="123"/>
      <c r="F156" s="14"/>
      <c r="G156" s="14"/>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c r="MM156" s="29"/>
      <c r="MN156" s="29"/>
      <c r="MO156" s="29"/>
      <c r="MP156" s="29"/>
      <c r="MQ156" s="29"/>
      <c r="MR156" s="29"/>
      <c r="MS156" s="29"/>
      <c r="MT156" s="29"/>
      <c r="MU156" s="29"/>
      <c r="MV156" s="29"/>
      <c r="MW156" s="29"/>
      <c r="MX156" s="29"/>
      <c r="MY156" s="29"/>
      <c r="MZ156" s="29"/>
      <c r="NA156" s="29"/>
      <c r="NB156" s="29"/>
      <c r="NC156" s="29"/>
      <c r="ND156" s="29"/>
      <c r="NE156" s="29"/>
      <c r="NF156" s="29"/>
      <c r="NG156" s="29"/>
      <c r="NH156" s="29"/>
      <c r="NI156" s="29"/>
      <c r="NJ156" s="29"/>
      <c r="NK156" s="29"/>
      <c r="NL156" s="29"/>
      <c r="NM156" s="29"/>
      <c r="NN156" s="29"/>
      <c r="NO156" s="29"/>
      <c r="NP156" s="29"/>
      <c r="NQ156" s="29"/>
      <c r="NR156" s="29"/>
      <c r="NS156" s="29"/>
      <c r="NT156" s="29"/>
      <c r="NU156" s="29"/>
      <c r="NV156" s="29"/>
      <c r="NW156" s="29"/>
      <c r="NX156" s="29"/>
      <c r="NY156" s="29"/>
      <c r="NZ156" s="29"/>
      <c r="OA156" s="29"/>
      <c r="OB156" s="29"/>
      <c r="OC156" s="29"/>
      <c r="OD156" s="29"/>
      <c r="OE156" s="29"/>
      <c r="OF156" s="29"/>
      <c r="OG156" s="29"/>
      <c r="OH156" s="29"/>
      <c r="OI156" s="29"/>
      <c r="OJ156" s="29"/>
      <c r="OK156" s="29"/>
      <c r="OL156" s="29"/>
      <c r="OM156" s="29"/>
      <c r="ON156" s="29"/>
      <c r="OO156" s="29"/>
      <c r="OP156" s="29"/>
      <c r="OQ156" s="29"/>
      <c r="OR156" s="29"/>
      <c r="OS156" s="29"/>
      <c r="OT156" s="29"/>
      <c r="OU156" s="29"/>
      <c r="OV156" s="29"/>
      <c r="OW156" s="29"/>
      <c r="OX156" s="29"/>
      <c r="OY156" s="29"/>
      <c r="OZ156" s="29"/>
      <c r="PA156" s="29"/>
      <c r="PB156" s="29"/>
      <c r="PC156" s="29"/>
      <c r="PD156" s="29"/>
      <c r="PE156" s="29"/>
      <c r="PF156" s="29"/>
      <c r="PG156" s="29"/>
      <c r="PH156" s="29"/>
      <c r="PI156" s="29"/>
      <c r="PJ156" s="29"/>
      <c r="PK156" s="29"/>
      <c r="PL156" s="29"/>
      <c r="PM156" s="29"/>
      <c r="PN156" s="29"/>
      <c r="PO156" s="29"/>
      <c r="PP156" s="29"/>
      <c r="PQ156" s="29"/>
      <c r="PR156" s="29"/>
      <c r="PS156" s="29"/>
      <c r="PT156" s="29"/>
      <c r="PU156" s="29"/>
      <c r="PV156" s="29"/>
      <c r="PW156" s="29"/>
      <c r="PX156" s="29"/>
      <c r="PY156" s="29"/>
      <c r="PZ156" s="29"/>
      <c r="QA156" s="29"/>
      <c r="QB156" s="29"/>
      <c r="QC156" s="29"/>
      <c r="QD156" s="29"/>
      <c r="QE156" s="29"/>
      <c r="QF156" s="29"/>
      <c r="QG156" s="29"/>
      <c r="QH156" s="29"/>
      <c r="QI156" s="29"/>
      <c r="QJ156" s="29"/>
      <c r="QK156" s="29"/>
      <c r="QL156" s="29"/>
      <c r="QM156" s="29"/>
      <c r="QN156" s="29"/>
      <c r="QO156" s="29"/>
      <c r="QP156" s="29"/>
      <c r="QQ156" s="29"/>
      <c r="QR156" s="29"/>
      <c r="QS156" s="29"/>
      <c r="QT156" s="29"/>
      <c r="QU156" s="29"/>
      <c r="QV156" s="29"/>
      <c r="QW156" s="29"/>
      <c r="QX156" s="29"/>
      <c r="QY156" s="29"/>
      <c r="QZ156" s="29"/>
      <c r="RA156" s="29"/>
      <c r="RB156" s="29"/>
      <c r="RC156" s="29"/>
      <c r="RD156" s="29"/>
      <c r="RE156" s="29"/>
      <c r="RF156" s="29"/>
      <c r="RG156" s="29"/>
      <c r="RH156" s="29"/>
      <c r="RI156" s="29"/>
      <c r="RJ156" s="29"/>
      <c r="RK156" s="29"/>
      <c r="RL156" s="29"/>
      <c r="RM156" s="29"/>
      <c r="RN156" s="29"/>
      <c r="RO156" s="29"/>
      <c r="RP156" s="29"/>
      <c r="RQ156" s="29"/>
      <c r="RR156" s="29"/>
      <c r="RS156" s="29"/>
      <c r="RT156" s="29"/>
      <c r="RU156" s="29"/>
      <c r="RV156" s="29"/>
      <c r="RW156" s="29"/>
      <c r="RX156" s="29"/>
      <c r="RY156" s="29"/>
      <c r="RZ156" s="29"/>
      <c r="SA156" s="29"/>
      <c r="SB156" s="29"/>
      <c r="SC156" s="29"/>
      <c r="SD156" s="29"/>
      <c r="SE156" s="29"/>
      <c r="SF156" s="29"/>
      <c r="SG156" s="29"/>
      <c r="SH156" s="29"/>
      <c r="SI156" s="29"/>
      <c r="SJ156" s="29"/>
      <c r="SK156" s="29"/>
      <c r="SL156" s="29"/>
      <c r="SM156" s="29"/>
      <c r="SN156" s="29"/>
      <c r="SO156" s="29"/>
      <c r="SP156" s="29"/>
      <c r="SQ156" s="29"/>
      <c r="SR156" s="29"/>
      <c r="SS156" s="29"/>
      <c r="ST156" s="29"/>
      <c r="SU156" s="29"/>
      <c r="SV156" s="29"/>
      <c r="SW156" s="29"/>
      <c r="SX156" s="29"/>
      <c r="SY156" s="29"/>
      <c r="SZ156" s="29"/>
      <c r="TA156" s="29"/>
      <c r="TB156" s="29"/>
      <c r="TC156" s="29"/>
      <c r="TD156" s="29"/>
      <c r="TE156" s="29"/>
      <c r="TF156" s="29"/>
      <c r="TG156" s="29"/>
      <c r="TH156" s="29"/>
      <c r="TI156" s="29"/>
      <c r="TJ156" s="29"/>
      <c r="TK156" s="29"/>
      <c r="TL156" s="29"/>
      <c r="TM156" s="29"/>
      <c r="TN156" s="29"/>
      <c r="TO156" s="29"/>
      <c r="TP156" s="29"/>
      <c r="TQ156" s="29"/>
      <c r="TR156" s="29"/>
      <c r="TS156" s="29"/>
      <c r="TT156" s="29"/>
      <c r="TU156" s="29"/>
      <c r="TV156" s="29"/>
      <c r="TW156" s="29"/>
      <c r="TX156" s="29"/>
      <c r="TY156" s="29"/>
      <c r="TZ156" s="29"/>
      <c r="UA156" s="29"/>
      <c r="UB156" s="29"/>
      <c r="UC156" s="29"/>
      <c r="UD156" s="29"/>
      <c r="UE156" s="29"/>
      <c r="UF156" s="29"/>
      <c r="UG156" s="29"/>
      <c r="UH156" s="29"/>
      <c r="UI156" s="29"/>
      <c r="UJ156" s="29"/>
      <c r="UK156" s="29"/>
      <c r="UL156" s="29"/>
      <c r="UM156" s="29"/>
      <c r="UN156" s="29"/>
      <c r="UO156" s="29"/>
      <c r="UP156" s="29"/>
      <c r="UQ156" s="29"/>
      <c r="UR156" s="29"/>
      <c r="US156" s="29"/>
      <c r="UT156" s="29"/>
      <c r="UU156" s="29"/>
      <c r="UV156" s="29"/>
      <c r="UW156" s="29"/>
      <c r="UX156" s="29"/>
      <c r="UY156" s="29"/>
      <c r="UZ156" s="29"/>
      <c r="VA156" s="29"/>
      <c r="VB156" s="29"/>
      <c r="VC156" s="29"/>
      <c r="VD156" s="29"/>
      <c r="VE156" s="29"/>
      <c r="VF156" s="29"/>
      <c r="VG156" s="29"/>
      <c r="VH156" s="29"/>
      <c r="VI156" s="29"/>
      <c r="VJ156" s="29"/>
      <c r="VK156" s="29"/>
      <c r="VL156" s="29"/>
      <c r="VM156" s="29"/>
      <c r="VN156" s="29"/>
      <c r="VO156" s="29"/>
      <c r="VP156" s="29"/>
      <c r="VQ156" s="29"/>
      <c r="VR156" s="29"/>
      <c r="VS156" s="29"/>
      <c r="VT156" s="29"/>
      <c r="VU156" s="29"/>
      <c r="VV156" s="29"/>
      <c r="VW156" s="29"/>
      <c r="VX156" s="29"/>
      <c r="VY156" s="29"/>
      <c r="VZ156" s="29"/>
      <c r="WA156" s="29"/>
      <c r="WB156" s="29"/>
      <c r="WC156" s="29"/>
      <c r="WD156" s="29"/>
      <c r="WE156" s="29"/>
      <c r="WF156" s="29"/>
      <c r="WG156" s="29"/>
      <c r="WH156" s="29"/>
      <c r="WI156" s="29"/>
      <c r="WJ156" s="29"/>
      <c r="WK156" s="29"/>
      <c r="WL156" s="29"/>
      <c r="WM156" s="29"/>
      <c r="WN156" s="29"/>
      <c r="WO156" s="29"/>
      <c r="WP156" s="29"/>
      <c r="WQ156" s="29"/>
      <c r="WR156" s="29"/>
      <c r="WS156" s="29"/>
    </row>
    <row r="157" spans="1:617" s="3" customFormat="1" ht="15" outlineLevel="1" thickBot="1">
      <c r="A157" s="33"/>
      <c r="B157" s="83" t="s">
        <v>264</v>
      </c>
      <c r="C157" s="141"/>
      <c r="D157" s="124"/>
      <c r="E157" s="125"/>
      <c r="F157" s="14"/>
      <c r="G157" s="14" t="str">
        <f t="shared" ca="1" si="586"/>
        <v/>
      </c>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c r="MM157" s="29"/>
      <c r="MN157" s="29"/>
      <c r="MO157" s="29"/>
      <c r="MP157" s="29"/>
      <c r="MQ157" s="29"/>
      <c r="MR157" s="29"/>
      <c r="MS157" s="29"/>
      <c r="MT157" s="29"/>
      <c r="MU157" s="29"/>
      <c r="MV157" s="29"/>
      <c r="MW157" s="29"/>
      <c r="MX157" s="29"/>
      <c r="MY157" s="29"/>
      <c r="MZ157" s="29"/>
      <c r="NA157" s="29"/>
      <c r="NB157" s="29"/>
      <c r="NC157" s="29"/>
      <c r="ND157" s="29"/>
      <c r="NE157" s="29"/>
      <c r="NF157" s="29"/>
      <c r="NG157" s="29"/>
      <c r="NH157" s="29"/>
      <c r="NI157" s="29"/>
      <c r="NJ157" s="29"/>
      <c r="NK157" s="29"/>
      <c r="NL157" s="29"/>
      <c r="NM157" s="29"/>
      <c r="NN157" s="29"/>
      <c r="NO157" s="29"/>
      <c r="NP157" s="29"/>
      <c r="NQ157" s="29"/>
      <c r="NR157" s="29"/>
      <c r="NS157" s="29"/>
      <c r="NT157" s="29"/>
      <c r="NU157" s="29"/>
      <c r="NV157" s="29"/>
      <c r="NW157" s="29"/>
      <c r="NX157" s="29"/>
      <c r="NY157" s="29"/>
      <c r="NZ157" s="29"/>
      <c r="OA157" s="29"/>
      <c r="OB157" s="29"/>
      <c r="OC157" s="29"/>
      <c r="OD157" s="29"/>
      <c r="OE157" s="29"/>
      <c r="OF157" s="29"/>
      <c r="OG157" s="29"/>
      <c r="OH157" s="29"/>
      <c r="OI157" s="29"/>
      <c r="OJ157" s="29"/>
      <c r="OK157" s="29"/>
      <c r="OL157" s="29"/>
      <c r="OM157" s="29"/>
      <c r="ON157" s="29"/>
      <c r="OO157" s="29"/>
      <c r="OP157" s="29"/>
      <c r="OQ157" s="29"/>
      <c r="OR157" s="29"/>
      <c r="OS157" s="29"/>
      <c r="OT157" s="29"/>
      <c r="OU157" s="29"/>
      <c r="OV157" s="29"/>
      <c r="OW157" s="29"/>
      <c r="OX157" s="29"/>
      <c r="OY157" s="29"/>
      <c r="OZ157" s="29"/>
      <c r="PA157" s="29"/>
      <c r="PB157" s="29"/>
      <c r="PC157" s="29"/>
      <c r="PD157" s="29"/>
      <c r="PE157" s="29"/>
      <c r="PF157" s="29"/>
      <c r="PG157" s="29"/>
      <c r="PH157" s="29"/>
      <c r="PI157" s="29"/>
      <c r="PJ157" s="29"/>
      <c r="PK157" s="29"/>
      <c r="PL157" s="29"/>
      <c r="PM157" s="29"/>
      <c r="PN157" s="29"/>
      <c r="PO157" s="29"/>
      <c r="PP157" s="29"/>
      <c r="PQ157" s="29"/>
      <c r="PR157" s="29"/>
      <c r="PS157" s="29"/>
      <c r="PT157" s="29"/>
      <c r="PU157" s="29"/>
      <c r="PV157" s="29"/>
      <c r="PW157" s="29"/>
      <c r="PX157" s="29"/>
      <c r="PY157" s="29"/>
      <c r="PZ157" s="29"/>
      <c r="QA157" s="29"/>
      <c r="QB157" s="29"/>
      <c r="QC157" s="29"/>
      <c r="QD157" s="29"/>
      <c r="QE157" s="29"/>
      <c r="QF157" s="29"/>
      <c r="QG157" s="29"/>
      <c r="QH157" s="29"/>
      <c r="QI157" s="29"/>
      <c r="QJ157" s="29"/>
      <c r="QK157" s="29"/>
      <c r="QL157" s="29"/>
      <c r="QM157" s="29"/>
      <c r="QN157" s="29"/>
      <c r="QO157" s="29"/>
      <c r="QP157" s="29"/>
      <c r="QQ157" s="29"/>
      <c r="QR157" s="29"/>
      <c r="QS157" s="29"/>
      <c r="QT157" s="29"/>
      <c r="QU157" s="29"/>
      <c r="QV157" s="29"/>
      <c r="QW157" s="29"/>
      <c r="QX157" s="29"/>
      <c r="QY157" s="29"/>
      <c r="QZ157" s="29"/>
      <c r="RA157" s="29"/>
      <c r="RB157" s="29"/>
      <c r="RC157" s="29"/>
      <c r="RD157" s="29"/>
      <c r="RE157" s="29"/>
      <c r="RF157" s="29"/>
      <c r="RG157" s="29"/>
      <c r="RH157" s="29"/>
      <c r="RI157" s="29"/>
      <c r="RJ157" s="29"/>
      <c r="RK157" s="29"/>
      <c r="RL157" s="29"/>
      <c r="RM157" s="29"/>
      <c r="RN157" s="29"/>
      <c r="RO157" s="29"/>
      <c r="RP157" s="29"/>
      <c r="RQ157" s="29"/>
      <c r="RR157" s="29"/>
      <c r="RS157" s="29"/>
      <c r="RT157" s="29"/>
      <c r="RU157" s="29"/>
      <c r="RV157" s="29"/>
      <c r="RW157" s="29"/>
      <c r="RX157" s="29"/>
      <c r="RY157" s="29"/>
      <c r="RZ157" s="29"/>
      <c r="SA157" s="29"/>
      <c r="SB157" s="29"/>
      <c r="SC157" s="29"/>
      <c r="SD157" s="29"/>
      <c r="SE157" s="29"/>
      <c r="SF157" s="29"/>
      <c r="SG157" s="29"/>
      <c r="SH157" s="29"/>
      <c r="SI157" s="29"/>
      <c r="SJ157" s="29"/>
      <c r="SK157" s="29"/>
      <c r="SL157" s="29"/>
      <c r="SM157" s="29"/>
      <c r="SN157" s="29"/>
      <c r="SO157" s="29"/>
      <c r="SP157" s="29"/>
      <c r="SQ157" s="29"/>
      <c r="SR157" s="29"/>
      <c r="SS157" s="29"/>
      <c r="ST157" s="29"/>
      <c r="SU157" s="29"/>
      <c r="SV157" s="29"/>
      <c r="SW157" s="29"/>
      <c r="SX157" s="29"/>
      <c r="SY157" s="29"/>
      <c r="SZ157" s="29"/>
      <c r="TA157" s="29"/>
      <c r="TB157" s="29"/>
      <c r="TC157" s="29"/>
      <c r="TD157" s="29"/>
      <c r="TE157" s="29"/>
      <c r="TF157" s="29"/>
      <c r="TG157" s="29"/>
      <c r="TH157" s="29"/>
      <c r="TI157" s="29"/>
      <c r="TJ157" s="29"/>
      <c r="TK157" s="29"/>
      <c r="TL157" s="29"/>
      <c r="TM157" s="29"/>
      <c r="TN157" s="29"/>
      <c r="TO157" s="29"/>
      <c r="TP157" s="29"/>
      <c r="TQ157" s="29"/>
      <c r="TR157" s="29"/>
      <c r="TS157" s="29"/>
      <c r="TT157" s="29"/>
      <c r="TU157" s="29"/>
      <c r="TV157" s="29"/>
      <c r="TW157" s="29"/>
      <c r="TX157" s="29"/>
      <c r="TY157" s="29"/>
      <c r="TZ157" s="29"/>
      <c r="UA157" s="29"/>
      <c r="UB157" s="29"/>
      <c r="UC157" s="29"/>
      <c r="UD157" s="29"/>
      <c r="UE157" s="29"/>
      <c r="UF157" s="29"/>
      <c r="UG157" s="29"/>
      <c r="UH157" s="29"/>
      <c r="UI157" s="29"/>
      <c r="UJ157" s="29"/>
      <c r="UK157" s="29"/>
      <c r="UL157" s="29"/>
      <c r="UM157" s="29"/>
      <c r="UN157" s="29"/>
      <c r="UO157" s="29"/>
      <c r="UP157" s="29"/>
      <c r="UQ157" s="29"/>
      <c r="UR157" s="29"/>
      <c r="US157" s="29"/>
      <c r="UT157" s="29"/>
      <c r="UU157" s="29"/>
      <c r="UV157" s="29"/>
      <c r="UW157" s="29"/>
      <c r="UX157" s="29"/>
      <c r="UY157" s="29"/>
      <c r="UZ157" s="29"/>
      <c r="VA157" s="29"/>
      <c r="VB157" s="29"/>
      <c r="VC157" s="29"/>
      <c r="VD157" s="29"/>
      <c r="VE157" s="29"/>
      <c r="VF157" s="29"/>
      <c r="VG157" s="29"/>
      <c r="VH157" s="29"/>
      <c r="VI157" s="29"/>
      <c r="VJ157" s="29"/>
      <c r="VK157" s="29"/>
      <c r="VL157" s="29"/>
      <c r="VM157" s="29"/>
      <c r="VN157" s="29"/>
      <c r="VO157" s="29"/>
      <c r="VP157" s="29"/>
      <c r="VQ157" s="29"/>
      <c r="VR157" s="29"/>
      <c r="VS157" s="29"/>
      <c r="VT157" s="29"/>
      <c r="VU157" s="29"/>
      <c r="VV157" s="29"/>
      <c r="VW157" s="29"/>
      <c r="VX157" s="29"/>
      <c r="VY157" s="29"/>
      <c r="VZ157" s="29"/>
      <c r="WA157" s="29"/>
      <c r="WB157" s="29"/>
      <c r="WC157" s="29"/>
      <c r="WD157" s="29"/>
      <c r="WE157" s="29"/>
      <c r="WF157" s="29"/>
      <c r="WG157" s="29"/>
      <c r="WH157" s="29"/>
      <c r="WI157" s="29"/>
      <c r="WJ157" s="29"/>
      <c r="WK157" s="29"/>
      <c r="WL157" s="29"/>
      <c r="WM157" s="29"/>
      <c r="WN157" s="29"/>
      <c r="WO157" s="29"/>
      <c r="WP157" s="29"/>
      <c r="WQ157" s="29"/>
      <c r="WR157" s="29"/>
      <c r="WS157" s="29"/>
    </row>
    <row r="158" spans="1:617" s="3" customFormat="1" ht="15" outlineLevel="1" thickBot="1">
      <c r="A158" s="33" t="s">
        <v>237</v>
      </c>
      <c r="B158" s="84" t="s">
        <v>243</v>
      </c>
      <c r="C158" s="142" t="s">
        <v>265</v>
      </c>
      <c r="D158" s="208">
        <v>45769</v>
      </c>
      <c r="E158" s="208">
        <v>45856</v>
      </c>
      <c r="F158" s="14"/>
      <c r="G158" s="14">
        <v>87</v>
      </c>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c r="MM158" s="29"/>
      <c r="MN158" s="29"/>
      <c r="MO158" s="29"/>
      <c r="MP158" s="29"/>
      <c r="MQ158" s="29"/>
      <c r="MR158" s="29"/>
      <c r="MS158" s="29"/>
      <c r="MT158" s="29"/>
      <c r="MU158" s="29"/>
      <c r="MV158" s="29"/>
      <c r="MW158" s="29"/>
      <c r="MX158" s="29"/>
      <c r="MY158" s="29"/>
      <c r="MZ158" s="29"/>
      <c r="NA158" s="29"/>
      <c r="NB158" s="29"/>
      <c r="NC158" s="29"/>
      <c r="ND158" s="29"/>
      <c r="NE158" s="29"/>
      <c r="NF158" s="29"/>
      <c r="NG158" s="29"/>
      <c r="NH158" s="29"/>
      <c r="NI158" s="29"/>
      <c r="NJ158" s="29"/>
      <c r="NK158" s="29"/>
      <c r="NL158" s="29"/>
      <c r="NM158" s="29"/>
      <c r="NN158" s="29"/>
      <c r="NO158" s="29"/>
      <c r="NP158" s="29"/>
      <c r="NQ158" s="29"/>
      <c r="NR158" s="29"/>
      <c r="NS158" s="29"/>
      <c r="NT158" s="29"/>
      <c r="NU158" s="29"/>
      <c r="NV158" s="29"/>
      <c r="NW158" s="29"/>
      <c r="NX158" s="29"/>
      <c r="NY158" s="29"/>
      <c r="NZ158" s="29"/>
      <c r="OA158" s="29"/>
      <c r="OB158" s="29"/>
      <c r="OC158" s="29"/>
      <c r="OD158" s="29"/>
      <c r="OE158" s="29"/>
      <c r="OF158" s="29"/>
      <c r="OG158" s="29"/>
      <c r="OH158" s="29"/>
      <c r="OI158" s="29"/>
      <c r="OJ158" s="29"/>
      <c r="OK158" s="29"/>
      <c r="OL158" s="29"/>
      <c r="OM158" s="29"/>
      <c r="ON158" s="29"/>
      <c r="OO158" s="29"/>
      <c r="OP158" s="29"/>
      <c r="OQ158" s="29"/>
      <c r="OR158" s="29"/>
      <c r="OS158" s="29"/>
      <c r="OT158" s="29"/>
      <c r="OU158" s="29"/>
      <c r="OV158" s="29"/>
      <c r="OW158" s="29"/>
      <c r="OX158" s="29"/>
      <c r="OY158" s="29"/>
      <c r="OZ158" s="29"/>
      <c r="PA158" s="29"/>
      <c r="PB158" s="29"/>
      <c r="PC158" s="29"/>
      <c r="PD158" s="29"/>
      <c r="PE158" s="29"/>
      <c r="PF158" s="29"/>
      <c r="PG158" s="29"/>
      <c r="PH158" s="29"/>
      <c r="PI158" s="29"/>
      <c r="PJ158" s="29"/>
      <c r="PK158" s="29"/>
      <c r="PL158" s="29"/>
      <c r="PM158" s="29"/>
      <c r="PN158" s="29"/>
      <c r="PO158" s="29"/>
      <c r="PP158" s="29"/>
      <c r="PQ158" s="29"/>
      <c r="PR158" s="29"/>
      <c r="PS158" s="29"/>
      <c r="PT158" s="29"/>
      <c r="PU158" s="29"/>
      <c r="PV158" s="29"/>
      <c r="PW158" s="29"/>
      <c r="PX158" s="29"/>
      <c r="PY158" s="29"/>
      <c r="PZ158" s="29"/>
      <c r="QA158" s="29"/>
      <c r="QB158" s="29"/>
      <c r="QC158" s="29"/>
      <c r="QD158" s="29"/>
      <c r="QE158" s="29"/>
      <c r="QF158" s="29"/>
      <c r="QG158" s="29"/>
      <c r="QH158" s="29"/>
      <c r="QI158" s="29"/>
      <c r="QJ158" s="29"/>
      <c r="QK158" s="29"/>
      <c r="QL158" s="29"/>
      <c r="QM158" s="29"/>
      <c r="QN158" s="29"/>
      <c r="QO158" s="29"/>
      <c r="QP158" s="29"/>
      <c r="QQ158" s="29"/>
      <c r="QR158" s="29"/>
      <c r="QS158" s="29"/>
      <c r="QT158" s="29"/>
      <c r="QU158" s="29"/>
      <c r="QV158" s="29"/>
      <c r="QW158" s="29"/>
      <c r="QX158" s="29"/>
      <c r="QY158" s="29"/>
      <c r="QZ158" s="29"/>
      <c r="RA158" s="29"/>
      <c r="RB158" s="29"/>
      <c r="RC158" s="29"/>
      <c r="RD158" s="29"/>
      <c r="RE158" s="29"/>
      <c r="RF158" s="29"/>
      <c r="RG158" s="29"/>
      <c r="RH158" s="29"/>
      <c r="RI158" s="29"/>
      <c r="RJ158" s="29"/>
      <c r="RK158" s="29"/>
      <c r="RL158" s="29"/>
      <c r="RM158" s="29"/>
      <c r="RN158" s="29"/>
      <c r="RO158" s="29"/>
      <c r="RP158" s="29"/>
      <c r="RQ158" s="29"/>
      <c r="RR158" s="29"/>
      <c r="RS158" s="29"/>
      <c r="RT158" s="29"/>
      <c r="RU158" s="29"/>
      <c r="RV158" s="29"/>
      <c r="RW158" s="29"/>
      <c r="RX158" s="29"/>
      <c r="RY158" s="29"/>
      <c r="RZ158" s="29"/>
      <c r="SA158" s="29"/>
      <c r="SB158" s="29"/>
      <c r="SC158" s="29"/>
      <c r="SD158" s="29"/>
      <c r="SE158" s="29"/>
      <c r="SF158" s="29"/>
      <c r="SG158" s="29"/>
      <c r="SH158" s="29"/>
      <c r="SI158" s="29"/>
      <c r="SJ158" s="29"/>
      <c r="SK158" s="29"/>
      <c r="SL158" s="29"/>
      <c r="SM158" s="29"/>
      <c r="SN158" s="29"/>
      <c r="SO158" s="29"/>
      <c r="SP158" s="29"/>
      <c r="SQ158" s="29"/>
      <c r="SR158" s="29"/>
      <c r="SS158" s="29"/>
      <c r="ST158" s="29"/>
      <c r="SU158" s="29"/>
      <c r="SV158" s="29"/>
      <c r="SW158" s="29"/>
      <c r="SX158" s="29"/>
      <c r="SY158" s="29"/>
      <c r="SZ158" s="29"/>
      <c r="TA158" s="29"/>
      <c r="TB158" s="29"/>
      <c r="TC158" s="29"/>
      <c r="TD158" s="29"/>
      <c r="TE158" s="29"/>
      <c r="TF158" s="29"/>
      <c r="TG158" s="29"/>
      <c r="TH158" s="29"/>
      <c r="TI158" s="29"/>
      <c r="TJ158" s="29"/>
      <c r="TK158" s="29"/>
      <c r="TL158" s="29"/>
      <c r="TM158" s="29"/>
      <c r="TN158" s="29"/>
      <c r="TO158" s="29"/>
      <c r="TP158" s="29"/>
      <c r="TQ158" s="29"/>
      <c r="TR158" s="29"/>
      <c r="TS158" s="29"/>
      <c r="TT158" s="29"/>
      <c r="TU158" s="29"/>
      <c r="TV158" s="29"/>
      <c r="TW158" s="29"/>
      <c r="TX158" s="29"/>
      <c r="TY158" s="29"/>
      <c r="TZ158" s="29"/>
      <c r="UA158" s="29"/>
      <c r="UB158" s="29"/>
      <c r="UC158" s="29"/>
      <c r="UD158" s="29"/>
      <c r="UE158" s="29"/>
      <c r="UF158" s="29"/>
      <c r="UG158" s="29"/>
      <c r="UH158" s="29"/>
      <c r="UI158" s="29"/>
      <c r="UJ158" s="29"/>
      <c r="UK158" s="29"/>
      <c r="UL158" s="29"/>
      <c r="UM158" s="29"/>
      <c r="UN158" s="29"/>
      <c r="UO158" s="29"/>
      <c r="UP158" s="29"/>
      <c r="UQ158" s="29"/>
      <c r="UR158" s="29"/>
      <c r="US158" s="29"/>
      <c r="UT158" s="29"/>
      <c r="UU158" s="29"/>
      <c r="UV158" s="29"/>
      <c r="UW158" s="29"/>
      <c r="UX158" s="29"/>
      <c r="UY158" s="29"/>
      <c r="UZ158" s="29"/>
      <c r="VA158" s="29"/>
      <c r="VB158" s="29"/>
      <c r="VC158" s="29"/>
      <c r="VD158" s="29"/>
      <c r="VE158" s="29"/>
      <c r="VF158" s="29"/>
      <c r="VG158" s="29"/>
      <c r="VH158" s="29"/>
      <c r="VI158" s="29"/>
      <c r="VJ158" s="29"/>
      <c r="VK158" s="29"/>
      <c r="VL158" s="29"/>
      <c r="VM158" s="29"/>
      <c r="VN158" s="29"/>
      <c r="VO158" s="29"/>
      <c r="VP158" s="29"/>
      <c r="VQ158" s="29"/>
      <c r="VR158" s="29"/>
      <c r="VS158" s="29"/>
      <c r="VT158" s="29"/>
      <c r="VU158" s="29"/>
      <c r="VV158" s="29"/>
      <c r="VW158" s="29"/>
      <c r="VX158" s="29"/>
      <c r="VY158" s="29"/>
      <c r="VZ158" s="29"/>
      <c r="WA158" s="29"/>
      <c r="WB158" s="29"/>
      <c r="WC158" s="29"/>
      <c r="WD158" s="29"/>
      <c r="WE158" s="29"/>
      <c r="WF158" s="29"/>
      <c r="WG158" s="29"/>
      <c r="WH158" s="29"/>
      <c r="WI158" s="29"/>
      <c r="WJ158" s="29"/>
      <c r="WK158" s="29"/>
      <c r="WL158" s="29"/>
      <c r="WM158" s="29"/>
      <c r="WN158" s="29"/>
      <c r="WO158" s="29"/>
      <c r="WP158" s="29"/>
      <c r="WQ158" s="29"/>
      <c r="WR158" s="29"/>
      <c r="WS158" s="29"/>
    </row>
    <row r="159" spans="1:617" s="3" customFormat="1" ht="15" outlineLevel="1" thickBot="1">
      <c r="A159" s="33"/>
      <c r="B159" s="86" t="s">
        <v>246</v>
      </c>
      <c r="C159" s="142" t="s">
        <v>266</v>
      </c>
      <c r="D159" s="117">
        <v>45838</v>
      </c>
      <c r="E159" s="117">
        <v>45884</v>
      </c>
      <c r="F159" s="14"/>
      <c r="G159" s="14">
        <v>46</v>
      </c>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c r="MM159" s="29"/>
      <c r="MN159" s="29"/>
      <c r="MO159" s="29"/>
      <c r="MP159" s="29"/>
      <c r="MQ159" s="29"/>
      <c r="MR159" s="29"/>
      <c r="MS159" s="29"/>
      <c r="MT159" s="29"/>
      <c r="MU159" s="29"/>
      <c r="MV159" s="29"/>
      <c r="MW159" s="29"/>
      <c r="MX159" s="29"/>
      <c r="MY159" s="29"/>
      <c r="MZ159" s="29"/>
      <c r="NA159" s="29"/>
      <c r="NB159" s="29"/>
      <c r="NC159" s="29"/>
      <c r="ND159" s="29"/>
      <c r="NE159" s="29"/>
      <c r="NF159" s="29"/>
      <c r="NG159" s="29"/>
      <c r="NH159" s="29"/>
      <c r="NI159" s="29"/>
      <c r="NJ159" s="29"/>
      <c r="NK159" s="29"/>
      <c r="NL159" s="29"/>
      <c r="NM159" s="29"/>
      <c r="NN159" s="29"/>
      <c r="NO159" s="29"/>
      <c r="NP159" s="29"/>
      <c r="NQ159" s="29"/>
      <c r="NR159" s="29"/>
      <c r="NS159" s="29"/>
      <c r="NT159" s="29"/>
      <c r="NU159" s="29"/>
      <c r="NV159" s="29"/>
      <c r="NW159" s="29"/>
      <c r="NX159" s="29"/>
      <c r="NY159" s="29"/>
      <c r="NZ159" s="29"/>
      <c r="OA159" s="29"/>
      <c r="OB159" s="29"/>
      <c r="OC159" s="29"/>
      <c r="OD159" s="29"/>
      <c r="OE159" s="29"/>
      <c r="OF159" s="29"/>
      <c r="OG159" s="29"/>
      <c r="OH159" s="29"/>
      <c r="OI159" s="29"/>
      <c r="OJ159" s="29"/>
      <c r="OK159" s="29"/>
      <c r="OL159" s="29"/>
      <c r="OM159" s="29"/>
      <c r="ON159" s="29"/>
      <c r="OO159" s="29"/>
      <c r="OP159" s="29"/>
      <c r="OQ159" s="29"/>
      <c r="OR159" s="29"/>
      <c r="OS159" s="29"/>
      <c r="OT159" s="29"/>
      <c r="OU159" s="29"/>
      <c r="OV159" s="29"/>
      <c r="OW159" s="29"/>
      <c r="OX159" s="29"/>
      <c r="OY159" s="29"/>
      <c r="OZ159" s="29"/>
      <c r="PA159" s="29"/>
      <c r="PB159" s="29"/>
      <c r="PC159" s="29"/>
      <c r="PD159" s="29"/>
      <c r="PE159" s="29"/>
      <c r="PF159" s="29"/>
      <c r="PG159" s="29"/>
      <c r="PH159" s="29"/>
      <c r="PI159" s="29"/>
      <c r="PJ159" s="29"/>
      <c r="PK159" s="29"/>
      <c r="PL159" s="29"/>
      <c r="PM159" s="29"/>
      <c r="PN159" s="29"/>
      <c r="PO159" s="29"/>
      <c r="PP159" s="29"/>
      <c r="PQ159" s="29"/>
      <c r="PR159" s="29"/>
      <c r="PS159" s="29"/>
      <c r="PT159" s="29"/>
      <c r="PU159" s="29"/>
      <c r="PV159" s="29"/>
      <c r="PW159" s="29"/>
      <c r="PX159" s="29"/>
      <c r="PY159" s="29"/>
      <c r="PZ159" s="29"/>
      <c r="QA159" s="29"/>
      <c r="QB159" s="29"/>
      <c r="QC159" s="29"/>
      <c r="QD159" s="29"/>
      <c r="QE159" s="29"/>
      <c r="QF159" s="29"/>
      <c r="QG159" s="29"/>
      <c r="QH159" s="29"/>
      <c r="QI159" s="29"/>
      <c r="QJ159" s="29"/>
      <c r="QK159" s="29"/>
      <c r="QL159" s="29"/>
      <c r="QM159" s="29"/>
      <c r="QN159" s="29"/>
      <c r="QO159" s="29"/>
      <c r="QP159" s="29"/>
      <c r="QQ159" s="29"/>
      <c r="QR159" s="29"/>
      <c r="QS159" s="29"/>
      <c r="QT159" s="29"/>
      <c r="QU159" s="29"/>
      <c r="QV159" s="29"/>
      <c r="QW159" s="29"/>
      <c r="QX159" s="29"/>
      <c r="QY159" s="29"/>
      <c r="QZ159" s="29"/>
      <c r="RA159" s="29"/>
      <c r="RB159" s="29"/>
      <c r="RC159" s="29"/>
      <c r="RD159" s="29"/>
      <c r="RE159" s="29"/>
      <c r="RF159" s="29"/>
      <c r="RG159" s="29"/>
      <c r="RH159" s="29"/>
      <c r="RI159" s="29"/>
      <c r="RJ159" s="29"/>
      <c r="RK159" s="29"/>
      <c r="RL159" s="29"/>
      <c r="RM159" s="29"/>
      <c r="RN159" s="29"/>
      <c r="RO159" s="29"/>
      <c r="RP159" s="29"/>
      <c r="RQ159" s="29"/>
      <c r="RR159" s="29"/>
      <c r="RS159" s="29"/>
      <c r="RT159" s="29"/>
      <c r="RU159" s="29"/>
      <c r="RV159" s="29"/>
      <c r="RW159" s="29"/>
      <c r="RX159" s="29"/>
      <c r="RY159" s="29"/>
      <c r="RZ159" s="29"/>
      <c r="SA159" s="29"/>
      <c r="SB159" s="29"/>
      <c r="SC159" s="29"/>
      <c r="SD159" s="29"/>
      <c r="SE159" s="29"/>
      <c r="SF159" s="29"/>
      <c r="SG159" s="29"/>
      <c r="SH159" s="29"/>
      <c r="SI159" s="29"/>
      <c r="SJ159" s="29"/>
      <c r="SK159" s="29"/>
      <c r="SL159" s="29"/>
      <c r="SM159" s="29"/>
      <c r="SN159" s="29"/>
      <c r="SO159" s="29"/>
      <c r="SP159" s="29"/>
      <c r="SQ159" s="29"/>
      <c r="SR159" s="29"/>
      <c r="SS159" s="29"/>
      <c r="ST159" s="29"/>
      <c r="SU159" s="29"/>
      <c r="SV159" s="29"/>
      <c r="SW159" s="29"/>
      <c r="SX159" s="29"/>
      <c r="SY159" s="29"/>
      <c r="SZ159" s="29"/>
      <c r="TA159" s="29"/>
      <c r="TB159" s="29"/>
      <c r="TC159" s="29"/>
      <c r="TD159" s="29"/>
      <c r="TE159" s="29"/>
      <c r="TF159" s="29"/>
      <c r="TG159" s="29"/>
      <c r="TH159" s="29"/>
      <c r="TI159" s="29"/>
      <c r="TJ159" s="29"/>
      <c r="TK159" s="29"/>
      <c r="TL159" s="29"/>
      <c r="TM159" s="29"/>
      <c r="TN159" s="29"/>
      <c r="TO159" s="29"/>
      <c r="TP159" s="29"/>
      <c r="TQ159" s="29"/>
      <c r="TR159" s="29"/>
      <c r="TS159" s="29"/>
      <c r="TT159" s="29"/>
      <c r="TU159" s="29"/>
      <c r="TV159" s="29"/>
      <c r="TW159" s="29"/>
      <c r="TX159" s="29"/>
      <c r="TY159" s="29"/>
      <c r="TZ159" s="29"/>
      <c r="UA159" s="29"/>
      <c r="UB159" s="29"/>
      <c r="UC159" s="29"/>
      <c r="UD159" s="29"/>
      <c r="UE159" s="29"/>
      <c r="UF159" s="29"/>
      <c r="UG159" s="29"/>
      <c r="UH159" s="29"/>
      <c r="UI159" s="29"/>
      <c r="UJ159" s="29"/>
      <c r="UK159" s="29"/>
      <c r="UL159" s="29"/>
      <c r="UM159" s="29"/>
      <c r="UN159" s="29"/>
      <c r="UO159" s="29"/>
      <c r="UP159" s="29"/>
      <c r="UQ159" s="29"/>
      <c r="UR159" s="29"/>
      <c r="US159" s="29"/>
      <c r="UT159" s="29"/>
      <c r="UU159" s="29"/>
      <c r="UV159" s="29"/>
      <c r="UW159" s="29"/>
      <c r="UX159" s="29"/>
      <c r="UY159" s="29"/>
      <c r="UZ159" s="29"/>
      <c r="VA159" s="29"/>
      <c r="VB159" s="29"/>
      <c r="VC159" s="29"/>
      <c r="VD159" s="29"/>
      <c r="VE159" s="29"/>
      <c r="VF159" s="29"/>
      <c r="VG159" s="29"/>
      <c r="VH159" s="29"/>
      <c r="VI159" s="29"/>
      <c r="VJ159" s="29"/>
      <c r="VK159" s="29"/>
      <c r="VL159" s="29"/>
      <c r="VM159" s="29"/>
      <c r="VN159" s="29"/>
      <c r="VO159" s="29"/>
      <c r="VP159" s="29"/>
      <c r="VQ159" s="29"/>
      <c r="VR159" s="29"/>
      <c r="VS159" s="29"/>
      <c r="VT159" s="29"/>
      <c r="VU159" s="29"/>
      <c r="VV159" s="29"/>
      <c r="VW159" s="29"/>
      <c r="VX159" s="29"/>
      <c r="VY159" s="29"/>
      <c r="VZ159" s="29"/>
      <c r="WA159" s="29"/>
      <c r="WB159" s="29"/>
      <c r="WC159" s="29"/>
      <c r="WD159" s="29"/>
      <c r="WE159" s="29"/>
      <c r="WF159" s="29"/>
      <c r="WG159" s="29"/>
      <c r="WH159" s="29"/>
      <c r="WI159" s="29"/>
      <c r="WJ159" s="29"/>
      <c r="WK159" s="29"/>
      <c r="WL159" s="29"/>
      <c r="WM159" s="29"/>
      <c r="WN159" s="29"/>
      <c r="WO159" s="29"/>
      <c r="WP159" s="29"/>
      <c r="WQ159" s="29"/>
      <c r="WR159" s="29"/>
      <c r="WS159" s="29"/>
    </row>
    <row r="160" spans="1:617" s="3" customFormat="1" ht="15" outlineLevel="1" thickBot="1">
      <c r="A160" s="33"/>
      <c r="B160" s="244" t="s">
        <v>267</v>
      </c>
      <c r="C160" s="244"/>
      <c r="D160" s="244"/>
      <c r="E160" s="244"/>
      <c r="F160" s="14"/>
      <c r="G160" s="14"/>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c r="MM160" s="29"/>
      <c r="MN160" s="29"/>
      <c r="MO160" s="29"/>
      <c r="MP160" s="29"/>
      <c r="MQ160" s="29"/>
      <c r="MR160" s="29"/>
      <c r="MS160" s="29"/>
      <c r="MT160" s="29"/>
      <c r="MU160" s="29"/>
      <c r="MV160" s="29"/>
      <c r="MW160" s="29"/>
      <c r="MX160" s="29"/>
      <c r="MY160" s="29"/>
      <c r="MZ160" s="29"/>
      <c r="NA160" s="29"/>
      <c r="NB160" s="29"/>
      <c r="NC160" s="29"/>
      <c r="ND160" s="29"/>
      <c r="NE160" s="29"/>
      <c r="NF160" s="29"/>
      <c r="NG160" s="29"/>
      <c r="NH160" s="29"/>
      <c r="NI160" s="29"/>
      <c r="NJ160" s="29"/>
      <c r="NK160" s="29"/>
      <c r="NL160" s="29"/>
      <c r="NM160" s="29"/>
      <c r="NN160" s="29"/>
      <c r="NO160" s="29"/>
      <c r="NP160" s="29"/>
      <c r="NQ160" s="29"/>
      <c r="NR160" s="29"/>
      <c r="NS160" s="29"/>
      <c r="NT160" s="29"/>
      <c r="NU160" s="29"/>
      <c r="NV160" s="29"/>
      <c r="NW160" s="29"/>
      <c r="NX160" s="29"/>
      <c r="NY160" s="29"/>
      <c r="NZ160" s="29"/>
      <c r="OA160" s="29"/>
      <c r="OB160" s="29"/>
      <c r="OC160" s="29"/>
      <c r="OD160" s="29"/>
      <c r="OE160" s="29"/>
      <c r="OF160" s="29"/>
      <c r="OG160" s="29"/>
      <c r="OH160" s="29"/>
      <c r="OI160" s="29"/>
      <c r="OJ160" s="29"/>
      <c r="OK160" s="29"/>
      <c r="OL160" s="29"/>
      <c r="OM160" s="29"/>
      <c r="ON160" s="29"/>
      <c r="OO160" s="29"/>
      <c r="OP160" s="29"/>
      <c r="OQ160" s="29"/>
      <c r="OR160" s="29"/>
      <c r="OS160" s="29"/>
      <c r="OT160" s="29"/>
      <c r="OU160" s="29"/>
      <c r="OV160" s="29"/>
      <c r="OW160" s="29"/>
      <c r="OX160" s="29"/>
      <c r="OY160" s="29"/>
      <c r="OZ160" s="29"/>
      <c r="PA160" s="29"/>
      <c r="PB160" s="29"/>
      <c r="PC160" s="29"/>
      <c r="PD160" s="29"/>
      <c r="PE160" s="29"/>
      <c r="PF160" s="29"/>
      <c r="PG160" s="29"/>
      <c r="PH160" s="29"/>
      <c r="PI160" s="29"/>
      <c r="PJ160" s="29"/>
      <c r="PK160" s="29"/>
      <c r="PL160" s="29"/>
      <c r="PM160" s="29"/>
      <c r="PN160" s="29"/>
      <c r="PO160" s="29"/>
      <c r="PP160" s="29"/>
      <c r="PQ160" s="29"/>
      <c r="PR160" s="29"/>
      <c r="PS160" s="29"/>
      <c r="PT160" s="29"/>
      <c r="PU160" s="29"/>
      <c r="PV160" s="29"/>
      <c r="PW160" s="29"/>
      <c r="PX160" s="29"/>
      <c r="PY160" s="29"/>
      <c r="PZ160" s="29"/>
      <c r="QA160" s="29"/>
      <c r="QB160" s="29"/>
      <c r="QC160" s="29"/>
      <c r="QD160" s="29"/>
      <c r="QE160" s="29"/>
      <c r="QF160" s="29"/>
      <c r="QG160" s="29"/>
      <c r="QH160" s="29"/>
      <c r="QI160" s="29"/>
      <c r="QJ160" s="29"/>
      <c r="QK160" s="29"/>
      <c r="QL160" s="29"/>
      <c r="QM160" s="29"/>
      <c r="QN160" s="29"/>
      <c r="QO160" s="29"/>
      <c r="QP160" s="29"/>
      <c r="QQ160" s="29"/>
      <c r="QR160" s="29"/>
      <c r="QS160" s="29"/>
      <c r="QT160" s="29"/>
      <c r="QU160" s="29"/>
      <c r="QV160" s="29"/>
      <c r="QW160" s="29"/>
      <c r="QX160" s="29"/>
      <c r="QY160" s="29"/>
      <c r="QZ160" s="29"/>
      <c r="RA160" s="29"/>
      <c r="RB160" s="29"/>
      <c r="RC160" s="29"/>
      <c r="RD160" s="29"/>
      <c r="RE160" s="29"/>
      <c r="RF160" s="29"/>
      <c r="RG160" s="29"/>
      <c r="RH160" s="29"/>
      <c r="RI160" s="29"/>
      <c r="RJ160" s="29"/>
      <c r="RK160" s="29"/>
      <c r="RL160" s="29"/>
      <c r="RM160" s="29"/>
      <c r="RN160" s="29"/>
      <c r="RO160" s="29"/>
      <c r="RP160" s="29"/>
      <c r="RQ160" s="29"/>
      <c r="RR160" s="29"/>
      <c r="RS160" s="29"/>
      <c r="RT160" s="29"/>
      <c r="RU160" s="29"/>
      <c r="RV160" s="29"/>
      <c r="RW160" s="29"/>
      <c r="RX160" s="29"/>
      <c r="RY160" s="29"/>
      <c r="RZ160" s="29"/>
      <c r="SA160" s="29"/>
      <c r="SB160" s="29"/>
      <c r="SC160" s="29"/>
      <c r="SD160" s="29"/>
      <c r="SE160" s="29"/>
      <c r="SF160" s="29"/>
      <c r="SG160" s="29"/>
      <c r="SH160" s="29"/>
      <c r="SI160" s="29"/>
      <c r="SJ160" s="29"/>
      <c r="SK160" s="29"/>
      <c r="SL160" s="29"/>
      <c r="SM160" s="29"/>
      <c r="SN160" s="29"/>
      <c r="SO160" s="29"/>
      <c r="SP160" s="29"/>
      <c r="SQ160" s="29"/>
      <c r="SR160" s="29"/>
      <c r="SS160" s="29"/>
      <c r="ST160" s="29"/>
      <c r="SU160" s="29"/>
      <c r="SV160" s="29"/>
      <c r="SW160" s="29"/>
      <c r="SX160" s="29"/>
      <c r="SY160" s="29"/>
      <c r="SZ160" s="29"/>
      <c r="TA160" s="29"/>
      <c r="TB160" s="29"/>
      <c r="TC160" s="29"/>
      <c r="TD160" s="29"/>
      <c r="TE160" s="29"/>
      <c r="TF160" s="29"/>
      <c r="TG160" s="29"/>
      <c r="TH160" s="29"/>
      <c r="TI160" s="29"/>
      <c r="TJ160" s="29"/>
      <c r="TK160" s="29"/>
      <c r="TL160" s="29"/>
      <c r="TM160" s="29"/>
      <c r="TN160" s="29"/>
      <c r="TO160" s="29"/>
      <c r="TP160" s="29"/>
      <c r="TQ160" s="29"/>
      <c r="TR160" s="29"/>
      <c r="TS160" s="29"/>
      <c r="TT160" s="29"/>
      <c r="TU160" s="29"/>
      <c r="TV160" s="29"/>
      <c r="TW160" s="29"/>
      <c r="TX160" s="29"/>
      <c r="TY160" s="29"/>
      <c r="TZ160" s="29"/>
      <c r="UA160" s="29"/>
      <c r="UB160" s="29"/>
      <c r="UC160" s="29"/>
      <c r="UD160" s="29"/>
      <c r="UE160" s="29"/>
      <c r="UF160" s="29"/>
      <c r="UG160" s="29"/>
      <c r="UH160" s="29"/>
      <c r="UI160" s="29"/>
      <c r="UJ160" s="29"/>
      <c r="UK160" s="29"/>
      <c r="UL160" s="29"/>
      <c r="UM160" s="29"/>
      <c r="UN160" s="29"/>
      <c r="UO160" s="29"/>
      <c r="UP160" s="29"/>
      <c r="UQ160" s="29"/>
      <c r="UR160" s="29"/>
      <c r="US160" s="29"/>
      <c r="UT160" s="29"/>
      <c r="UU160" s="29"/>
      <c r="UV160" s="29"/>
      <c r="UW160" s="29"/>
      <c r="UX160" s="29"/>
      <c r="UY160" s="29"/>
      <c r="UZ160" s="29"/>
      <c r="VA160" s="29"/>
      <c r="VB160" s="29"/>
      <c r="VC160" s="29"/>
      <c r="VD160" s="29"/>
      <c r="VE160" s="29"/>
      <c r="VF160" s="29"/>
      <c r="VG160" s="29"/>
      <c r="VH160" s="29"/>
      <c r="VI160" s="29"/>
      <c r="VJ160" s="29"/>
      <c r="VK160" s="29"/>
      <c r="VL160" s="29"/>
      <c r="VM160" s="29"/>
      <c r="VN160" s="29"/>
      <c r="VO160" s="29"/>
      <c r="VP160" s="29"/>
      <c r="VQ160" s="29"/>
      <c r="VR160" s="29"/>
      <c r="VS160" s="29"/>
      <c r="VT160" s="29"/>
      <c r="VU160" s="29"/>
      <c r="VV160" s="29"/>
      <c r="VW160" s="29"/>
      <c r="VX160" s="29"/>
      <c r="VY160" s="29"/>
      <c r="VZ160" s="29"/>
      <c r="WA160" s="29"/>
      <c r="WB160" s="29"/>
      <c r="WC160" s="29"/>
      <c r="WD160" s="29"/>
      <c r="WE160" s="29"/>
      <c r="WF160" s="29"/>
      <c r="WG160" s="29"/>
      <c r="WH160" s="29"/>
      <c r="WI160" s="29"/>
      <c r="WJ160" s="29"/>
      <c r="WK160" s="29"/>
      <c r="WL160" s="29"/>
      <c r="WM160" s="29"/>
      <c r="WN160" s="29"/>
      <c r="WO160" s="29"/>
      <c r="WP160" s="29"/>
      <c r="WQ160" s="29"/>
      <c r="WR160" s="29"/>
      <c r="WS160" s="29"/>
    </row>
    <row r="161" spans="1:617" s="3" customFormat="1" ht="15" outlineLevel="1" thickBot="1">
      <c r="A161" s="33"/>
      <c r="B161" s="161" t="s">
        <v>243</v>
      </c>
      <c r="C161" s="162" t="s">
        <v>268</v>
      </c>
      <c r="D161" s="163">
        <v>45971</v>
      </c>
      <c r="E161" s="163">
        <v>45996</v>
      </c>
      <c r="F161" s="14"/>
      <c r="G161" s="14">
        <f>E161-D161</f>
        <v>25</v>
      </c>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c r="MM161" s="29"/>
      <c r="MN161" s="29"/>
      <c r="MO161" s="29"/>
      <c r="MP161" s="29"/>
      <c r="MQ161" s="29"/>
      <c r="MR161" s="29"/>
      <c r="MS161" s="29"/>
      <c r="MT161" s="29"/>
      <c r="MU161" s="29"/>
      <c r="MV161" s="29"/>
      <c r="MW161" s="29"/>
      <c r="MX161" s="29"/>
      <c r="MY161" s="29"/>
      <c r="MZ161" s="29"/>
      <c r="NA161" s="29"/>
      <c r="NB161" s="29"/>
      <c r="NC161" s="29"/>
      <c r="ND161" s="29"/>
      <c r="NE161" s="29"/>
      <c r="NF161" s="29"/>
      <c r="NG161" s="29"/>
      <c r="NH161" s="29"/>
      <c r="NI161" s="29"/>
      <c r="NJ161" s="29"/>
      <c r="NK161" s="29"/>
      <c r="NL161" s="29"/>
      <c r="NM161" s="29"/>
      <c r="NN161" s="29"/>
      <c r="NO161" s="29"/>
      <c r="NP161" s="29"/>
      <c r="NQ161" s="29"/>
      <c r="NR161" s="29"/>
      <c r="NS161" s="29"/>
      <c r="NT161" s="29"/>
      <c r="NU161" s="29"/>
      <c r="NV161" s="29"/>
      <c r="NW161" s="29"/>
      <c r="NX161" s="29"/>
      <c r="NY161" s="29"/>
      <c r="NZ161" s="29"/>
      <c r="OA161" s="29"/>
      <c r="OB161" s="29"/>
      <c r="OC161" s="29"/>
      <c r="OD161" s="29"/>
      <c r="OE161" s="29"/>
      <c r="OF161" s="29"/>
      <c r="OG161" s="29"/>
      <c r="OH161" s="29"/>
      <c r="OI161" s="29"/>
      <c r="OJ161" s="29"/>
      <c r="OK161" s="29"/>
      <c r="OL161" s="29"/>
      <c r="OM161" s="29"/>
      <c r="ON161" s="29"/>
      <c r="OO161" s="29"/>
      <c r="OP161" s="29"/>
      <c r="OQ161" s="29"/>
      <c r="OR161" s="29"/>
      <c r="OS161" s="29"/>
      <c r="OT161" s="29"/>
      <c r="OU161" s="29"/>
      <c r="OV161" s="29"/>
      <c r="OW161" s="29"/>
      <c r="OX161" s="29"/>
      <c r="OY161" s="29"/>
      <c r="OZ161" s="29"/>
      <c r="PA161" s="29"/>
      <c r="PB161" s="29"/>
      <c r="PC161" s="29"/>
      <c r="PD161" s="29"/>
      <c r="PE161" s="29"/>
      <c r="PF161" s="29"/>
      <c r="PG161" s="29"/>
      <c r="PH161" s="29"/>
      <c r="PI161" s="29"/>
      <c r="PJ161" s="29"/>
      <c r="PK161" s="29"/>
      <c r="PL161" s="29"/>
      <c r="PM161" s="29"/>
      <c r="PN161" s="29"/>
      <c r="PO161" s="29"/>
      <c r="PP161" s="29"/>
      <c r="PQ161" s="29"/>
      <c r="PR161" s="29"/>
      <c r="PS161" s="29"/>
      <c r="PT161" s="29"/>
      <c r="PU161" s="29"/>
      <c r="PV161" s="29"/>
      <c r="PW161" s="29"/>
      <c r="PX161" s="29"/>
      <c r="PY161" s="29"/>
      <c r="PZ161" s="29"/>
      <c r="QA161" s="29"/>
      <c r="QB161" s="29"/>
      <c r="QC161" s="29"/>
      <c r="QD161" s="29"/>
      <c r="QE161" s="29"/>
      <c r="QF161" s="29"/>
      <c r="QG161" s="29"/>
      <c r="QH161" s="29"/>
      <c r="QI161" s="29"/>
      <c r="QJ161" s="29"/>
      <c r="QK161" s="29"/>
      <c r="QL161" s="29"/>
      <c r="QM161" s="29"/>
      <c r="QN161" s="29"/>
      <c r="QO161" s="29"/>
      <c r="QP161" s="29"/>
      <c r="QQ161" s="29"/>
      <c r="QR161" s="29"/>
      <c r="QS161" s="29"/>
      <c r="QT161" s="29"/>
      <c r="QU161" s="29"/>
      <c r="QV161" s="29"/>
      <c r="QW161" s="29"/>
      <c r="QX161" s="29"/>
      <c r="QY161" s="29"/>
      <c r="QZ161" s="29"/>
      <c r="RA161" s="29"/>
      <c r="RB161" s="29"/>
      <c r="RC161" s="29"/>
      <c r="RD161" s="29"/>
      <c r="RE161" s="29"/>
      <c r="RF161" s="29"/>
      <c r="RG161" s="29"/>
      <c r="RH161" s="29"/>
      <c r="RI161" s="29"/>
      <c r="RJ161" s="29"/>
      <c r="RK161" s="29"/>
      <c r="RL161" s="29"/>
      <c r="RM161" s="29"/>
      <c r="RN161" s="29"/>
      <c r="RO161" s="29"/>
      <c r="RP161" s="29"/>
      <c r="RQ161" s="29"/>
      <c r="RR161" s="29"/>
      <c r="RS161" s="29"/>
      <c r="RT161" s="29"/>
      <c r="RU161" s="29"/>
      <c r="RV161" s="29"/>
      <c r="RW161" s="29"/>
      <c r="RX161" s="29"/>
      <c r="RY161" s="29"/>
      <c r="RZ161" s="29"/>
      <c r="SA161" s="29"/>
      <c r="SB161" s="29"/>
      <c r="SC161" s="29"/>
      <c r="SD161" s="29"/>
      <c r="SE161" s="29"/>
      <c r="SF161" s="29"/>
      <c r="SG161" s="29"/>
      <c r="SH161" s="29"/>
      <c r="SI161" s="29"/>
      <c r="SJ161" s="29"/>
      <c r="SK161" s="29"/>
      <c r="SL161" s="29"/>
      <c r="SM161" s="29"/>
      <c r="SN161" s="29"/>
      <c r="SO161" s="29"/>
      <c r="SP161" s="29"/>
      <c r="SQ161" s="29"/>
      <c r="SR161" s="29"/>
      <c r="SS161" s="29"/>
      <c r="ST161" s="29"/>
      <c r="SU161" s="29"/>
      <c r="SV161" s="29"/>
      <c r="SW161" s="29"/>
      <c r="SX161" s="29"/>
      <c r="SY161" s="29"/>
      <c r="SZ161" s="29"/>
      <c r="TA161" s="29"/>
      <c r="TB161" s="29"/>
      <c r="TC161" s="29"/>
      <c r="TD161" s="29"/>
      <c r="TE161" s="29"/>
      <c r="TF161" s="29"/>
      <c r="TG161" s="29"/>
      <c r="TH161" s="29"/>
      <c r="TI161" s="29"/>
      <c r="TJ161" s="29"/>
      <c r="TK161" s="29"/>
      <c r="TL161" s="29"/>
      <c r="TM161" s="29"/>
      <c r="TN161" s="29"/>
      <c r="TO161" s="29"/>
      <c r="TP161" s="29"/>
      <c r="TQ161" s="29"/>
      <c r="TR161" s="29"/>
      <c r="TS161" s="29"/>
      <c r="TT161" s="29"/>
      <c r="TU161" s="29"/>
      <c r="TV161" s="29"/>
      <c r="TW161" s="29"/>
      <c r="TX161" s="29"/>
      <c r="TY161" s="29"/>
      <c r="TZ161" s="29"/>
      <c r="UA161" s="29"/>
      <c r="UB161" s="29"/>
      <c r="UC161" s="29"/>
      <c r="UD161" s="29"/>
      <c r="UE161" s="29"/>
      <c r="UF161" s="29"/>
      <c r="UG161" s="29"/>
      <c r="UH161" s="29"/>
      <c r="UI161" s="29"/>
      <c r="UJ161" s="29"/>
      <c r="UK161" s="29"/>
      <c r="UL161" s="29"/>
      <c r="UM161" s="29"/>
      <c r="UN161" s="29"/>
      <c r="UO161" s="29"/>
      <c r="UP161" s="29"/>
      <c r="UQ161" s="29"/>
      <c r="UR161" s="29"/>
      <c r="US161" s="29"/>
      <c r="UT161" s="29"/>
      <c r="UU161" s="29"/>
      <c r="UV161" s="29"/>
      <c r="UW161" s="29"/>
      <c r="UX161" s="29"/>
      <c r="UY161" s="29"/>
      <c r="UZ161" s="29"/>
      <c r="VA161" s="29"/>
      <c r="VB161" s="29"/>
      <c r="VC161" s="29"/>
      <c r="VD161" s="29"/>
      <c r="VE161" s="29"/>
      <c r="VF161" s="29"/>
      <c r="VG161" s="29"/>
      <c r="VH161" s="29"/>
      <c r="VI161" s="29"/>
      <c r="VJ161" s="29"/>
      <c r="VK161" s="29"/>
      <c r="VL161" s="29"/>
      <c r="VM161" s="29"/>
      <c r="VN161" s="29"/>
      <c r="VO161" s="29"/>
      <c r="VP161" s="29"/>
      <c r="VQ161" s="29"/>
      <c r="VR161" s="29"/>
      <c r="VS161" s="29"/>
      <c r="VT161" s="29"/>
      <c r="VU161" s="29"/>
      <c r="VV161" s="29"/>
      <c r="VW161" s="29"/>
      <c r="VX161" s="29"/>
      <c r="VY161" s="29"/>
      <c r="VZ161" s="29"/>
      <c r="WA161" s="29"/>
      <c r="WB161" s="29"/>
      <c r="WC161" s="29"/>
      <c r="WD161" s="29"/>
      <c r="WE161" s="29"/>
      <c r="WF161" s="29"/>
      <c r="WG161" s="29"/>
      <c r="WH161" s="29"/>
      <c r="WI161" s="29"/>
      <c r="WJ161" s="29"/>
      <c r="WK161" s="29"/>
      <c r="WL161" s="29"/>
      <c r="WM161" s="29"/>
      <c r="WN161" s="29"/>
      <c r="WO161" s="29"/>
      <c r="WP161" s="29"/>
      <c r="WQ161" s="29"/>
      <c r="WR161" s="29"/>
      <c r="WS161" s="29"/>
    </row>
    <row r="162" spans="1:617" s="3" customFormat="1" ht="15" outlineLevel="1" thickBot="1">
      <c r="A162" s="33"/>
      <c r="B162" s="87" t="s">
        <v>269</v>
      </c>
      <c r="C162" s="41" t="s">
        <v>265</v>
      </c>
      <c r="D162" s="126">
        <v>46034</v>
      </c>
      <c r="E162" s="126">
        <f>D162+53</f>
        <v>46087</v>
      </c>
      <c r="F162" s="14"/>
      <c r="G162" s="14">
        <f>E162-D162</f>
        <v>53</v>
      </c>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c r="MM162" s="29"/>
      <c r="MN162" s="29"/>
      <c r="MO162" s="29"/>
      <c r="MP162" s="29"/>
      <c r="MQ162" s="29"/>
      <c r="MR162" s="29"/>
      <c r="MS162" s="29"/>
      <c r="MT162" s="29"/>
      <c r="MU162" s="29"/>
      <c r="MV162" s="29"/>
      <c r="MW162" s="29"/>
      <c r="MX162" s="29"/>
      <c r="MY162" s="29"/>
      <c r="MZ162" s="29"/>
      <c r="NA162" s="29"/>
      <c r="NB162" s="29"/>
      <c r="NC162" s="29"/>
      <c r="ND162" s="29"/>
      <c r="NE162" s="29"/>
      <c r="NF162" s="29"/>
      <c r="NG162" s="29"/>
      <c r="NH162" s="29"/>
      <c r="NI162" s="29"/>
      <c r="NJ162" s="29"/>
      <c r="NK162" s="29"/>
      <c r="NL162" s="29"/>
      <c r="NM162" s="29"/>
      <c r="NN162" s="29"/>
      <c r="NO162" s="29"/>
      <c r="NP162" s="29"/>
      <c r="NQ162" s="29"/>
      <c r="NR162" s="29"/>
      <c r="NS162" s="29"/>
      <c r="NT162" s="29"/>
      <c r="NU162" s="29"/>
      <c r="NV162" s="29"/>
      <c r="NW162" s="29"/>
      <c r="NX162" s="29"/>
      <c r="NY162" s="29"/>
      <c r="NZ162" s="29"/>
      <c r="OA162" s="29"/>
      <c r="OB162" s="29"/>
      <c r="OC162" s="29"/>
      <c r="OD162" s="29"/>
      <c r="OE162" s="29"/>
      <c r="OF162" s="29"/>
      <c r="OG162" s="29"/>
      <c r="OH162" s="29"/>
      <c r="OI162" s="29"/>
      <c r="OJ162" s="29"/>
      <c r="OK162" s="29"/>
      <c r="OL162" s="29"/>
      <c r="OM162" s="29"/>
      <c r="ON162" s="29"/>
      <c r="OO162" s="29"/>
      <c r="OP162" s="29"/>
      <c r="OQ162" s="29"/>
      <c r="OR162" s="29"/>
      <c r="OS162" s="29"/>
      <c r="OT162" s="29"/>
      <c r="OU162" s="29"/>
      <c r="OV162" s="29"/>
      <c r="OW162" s="29"/>
      <c r="OX162" s="29"/>
      <c r="OY162" s="29"/>
      <c r="OZ162" s="29"/>
      <c r="PA162" s="29"/>
      <c r="PB162" s="29"/>
      <c r="PC162" s="29"/>
      <c r="PD162" s="29"/>
      <c r="PE162" s="29"/>
      <c r="PF162" s="29"/>
      <c r="PG162" s="29"/>
      <c r="PH162" s="29"/>
      <c r="PI162" s="29"/>
      <c r="PJ162" s="29"/>
      <c r="PK162" s="29"/>
      <c r="PL162" s="29"/>
      <c r="PM162" s="29"/>
      <c r="PN162" s="29"/>
      <c r="PO162" s="29"/>
      <c r="PP162" s="29"/>
      <c r="PQ162" s="29"/>
      <c r="PR162" s="29"/>
      <c r="PS162" s="29"/>
      <c r="PT162" s="29"/>
      <c r="PU162" s="29"/>
      <c r="PV162" s="29"/>
      <c r="PW162" s="29"/>
      <c r="PX162" s="29"/>
      <c r="PY162" s="29"/>
      <c r="PZ162" s="29"/>
      <c r="QA162" s="29"/>
      <c r="QB162" s="29"/>
      <c r="QC162" s="29"/>
      <c r="QD162" s="29"/>
      <c r="QE162" s="29"/>
      <c r="QF162" s="29"/>
      <c r="QG162" s="29"/>
      <c r="QH162" s="29"/>
      <c r="QI162" s="29"/>
      <c r="QJ162" s="29"/>
      <c r="QK162" s="29"/>
      <c r="QL162" s="29"/>
      <c r="QM162" s="29"/>
      <c r="QN162" s="29"/>
      <c r="QO162" s="29"/>
      <c r="QP162" s="29"/>
      <c r="QQ162" s="29"/>
      <c r="QR162" s="29"/>
      <c r="QS162" s="29"/>
      <c r="QT162" s="29"/>
      <c r="QU162" s="29"/>
      <c r="QV162" s="29"/>
      <c r="QW162" s="29"/>
      <c r="QX162" s="29"/>
      <c r="QY162" s="29"/>
      <c r="QZ162" s="29"/>
      <c r="RA162" s="29"/>
      <c r="RB162" s="29"/>
      <c r="RC162" s="29"/>
      <c r="RD162" s="29"/>
      <c r="RE162" s="29"/>
      <c r="RF162" s="29"/>
      <c r="RG162" s="29"/>
      <c r="RH162" s="29"/>
      <c r="RI162" s="29"/>
      <c r="RJ162" s="29"/>
      <c r="RK162" s="29"/>
      <c r="RL162" s="29"/>
      <c r="RM162" s="29"/>
      <c r="RN162" s="29"/>
      <c r="RO162" s="29"/>
      <c r="RP162" s="29"/>
      <c r="RQ162" s="29"/>
      <c r="RR162" s="29"/>
      <c r="RS162" s="29"/>
      <c r="RT162" s="29"/>
      <c r="RU162" s="29"/>
      <c r="RV162" s="29"/>
      <c r="RW162" s="29"/>
      <c r="RX162" s="29"/>
      <c r="RY162" s="29"/>
      <c r="RZ162" s="29"/>
      <c r="SA162" s="29"/>
      <c r="SB162" s="29"/>
      <c r="SC162" s="29"/>
      <c r="SD162" s="29"/>
      <c r="SE162" s="29"/>
      <c r="SF162" s="29"/>
      <c r="SG162" s="29"/>
      <c r="SH162" s="29"/>
      <c r="SI162" s="29"/>
      <c r="SJ162" s="29"/>
      <c r="SK162" s="29"/>
      <c r="SL162" s="29"/>
      <c r="SM162" s="29"/>
      <c r="SN162" s="29"/>
      <c r="SO162" s="29"/>
      <c r="SP162" s="29"/>
      <c r="SQ162" s="29"/>
      <c r="SR162" s="29"/>
      <c r="SS162" s="29"/>
      <c r="ST162" s="29"/>
      <c r="SU162" s="29"/>
      <c r="SV162" s="29"/>
      <c r="SW162" s="29"/>
      <c r="SX162" s="29"/>
      <c r="SY162" s="29"/>
      <c r="SZ162" s="29"/>
      <c r="TA162" s="29"/>
      <c r="TB162" s="29"/>
      <c r="TC162" s="29"/>
      <c r="TD162" s="29"/>
      <c r="TE162" s="29"/>
      <c r="TF162" s="29"/>
      <c r="TG162" s="29"/>
      <c r="TH162" s="29"/>
      <c r="TI162" s="29"/>
      <c r="TJ162" s="29"/>
      <c r="TK162" s="29"/>
      <c r="TL162" s="29"/>
      <c r="TM162" s="29"/>
      <c r="TN162" s="29"/>
      <c r="TO162" s="29"/>
      <c r="TP162" s="29"/>
      <c r="TQ162" s="29"/>
      <c r="TR162" s="29"/>
      <c r="TS162" s="29"/>
      <c r="TT162" s="29"/>
      <c r="TU162" s="29"/>
      <c r="TV162" s="29"/>
      <c r="TW162" s="29"/>
      <c r="TX162" s="29"/>
      <c r="TY162" s="29"/>
      <c r="TZ162" s="29"/>
      <c r="UA162" s="29"/>
      <c r="UB162" s="29"/>
      <c r="UC162" s="29"/>
      <c r="UD162" s="29"/>
      <c r="UE162" s="29"/>
      <c r="UF162" s="29"/>
      <c r="UG162" s="29"/>
      <c r="UH162" s="29"/>
      <c r="UI162" s="29"/>
      <c r="UJ162" s="29"/>
      <c r="UK162" s="29"/>
      <c r="UL162" s="29"/>
      <c r="UM162" s="29"/>
      <c r="UN162" s="29"/>
      <c r="UO162" s="29"/>
      <c r="UP162" s="29"/>
      <c r="UQ162" s="29"/>
      <c r="UR162" s="29"/>
      <c r="US162" s="29"/>
      <c r="UT162" s="29"/>
      <c r="UU162" s="29"/>
      <c r="UV162" s="29"/>
      <c r="UW162" s="29"/>
      <c r="UX162" s="29"/>
      <c r="UY162" s="29"/>
      <c r="UZ162" s="29"/>
      <c r="VA162" s="29"/>
      <c r="VB162" s="29"/>
      <c r="VC162" s="29"/>
      <c r="VD162" s="29"/>
      <c r="VE162" s="29"/>
      <c r="VF162" s="29"/>
      <c r="VG162" s="29"/>
      <c r="VH162" s="29"/>
      <c r="VI162" s="29"/>
      <c r="VJ162" s="29"/>
      <c r="VK162" s="29"/>
      <c r="VL162" s="29"/>
      <c r="VM162" s="29"/>
      <c r="VN162" s="29"/>
      <c r="VO162" s="29"/>
      <c r="VP162" s="29"/>
      <c r="VQ162" s="29"/>
      <c r="VR162" s="29"/>
      <c r="VS162" s="29"/>
      <c r="VT162" s="29"/>
      <c r="VU162" s="29"/>
      <c r="VV162" s="29"/>
      <c r="VW162" s="29"/>
      <c r="VX162" s="29"/>
      <c r="VY162" s="29"/>
      <c r="VZ162" s="29"/>
      <c r="WA162" s="29"/>
      <c r="WB162" s="29"/>
      <c r="WC162" s="29"/>
      <c r="WD162" s="29"/>
      <c r="WE162" s="29"/>
      <c r="WF162" s="29"/>
      <c r="WG162" s="29"/>
      <c r="WH162" s="29"/>
      <c r="WI162" s="29"/>
      <c r="WJ162" s="29"/>
      <c r="WK162" s="29"/>
      <c r="WL162" s="29"/>
      <c r="WM162" s="29"/>
      <c r="WN162" s="29"/>
      <c r="WO162" s="29"/>
      <c r="WP162" s="29"/>
      <c r="WQ162" s="29"/>
      <c r="WR162" s="29"/>
      <c r="WS162" s="29"/>
    </row>
    <row r="163" spans="1:617" s="3" customFormat="1" ht="15" outlineLevel="1" thickBot="1">
      <c r="A163" s="33"/>
      <c r="B163" s="87" t="s">
        <v>246</v>
      </c>
      <c r="C163" s="41" t="s">
        <v>270</v>
      </c>
      <c r="D163" s="126">
        <v>46104</v>
      </c>
      <c r="E163" s="209">
        <f>D163+53</f>
        <v>46157</v>
      </c>
      <c r="F163" s="14"/>
      <c r="G163" s="14">
        <f>E163-D163</f>
        <v>53</v>
      </c>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c r="MM163" s="29"/>
      <c r="MN163" s="29"/>
      <c r="MO163" s="29"/>
      <c r="MP163" s="29"/>
      <c r="MQ163" s="29"/>
      <c r="MR163" s="29"/>
      <c r="MS163" s="29"/>
      <c r="MT163" s="29"/>
      <c r="MU163" s="29"/>
      <c r="MV163" s="29"/>
      <c r="MW163" s="29"/>
      <c r="MX163" s="29"/>
      <c r="MY163" s="29"/>
      <c r="MZ163" s="29"/>
      <c r="NA163" s="29"/>
      <c r="NB163" s="29"/>
      <c r="NC163" s="29"/>
      <c r="ND163" s="29"/>
      <c r="NE163" s="29"/>
      <c r="NF163" s="29"/>
      <c r="NG163" s="29"/>
      <c r="NH163" s="29"/>
      <c r="NI163" s="29"/>
      <c r="NJ163" s="29"/>
      <c r="NK163" s="29"/>
      <c r="NL163" s="29"/>
      <c r="NM163" s="29"/>
      <c r="NN163" s="29"/>
      <c r="NO163" s="29"/>
      <c r="NP163" s="29"/>
      <c r="NQ163" s="29"/>
      <c r="NR163" s="29"/>
      <c r="NS163" s="29"/>
      <c r="NT163" s="29"/>
      <c r="NU163" s="29"/>
      <c r="NV163" s="29"/>
      <c r="NW163" s="29"/>
      <c r="NX163" s="29"/>
      <c r="NY163" s="29"/>
      <c r="NZ163" s="29"/>
      <c r="OA163" s="29"/>
      <c r="OB163" s="29"/>
      <c r="OC163" s="29"/>
      <c r="OD163" s="29"/>
      <c r="OE163" s="29"/>
      <c r="OF163" s="29"/>
      <c r="OG163" s="29"/>
      <c r="OH163" s="29"/>
      <c r="OI163" s="29"/>
      <c r="OJ163" s="29"/>
      <c r="OK163" s="29"/>
      <c r="OL163" s="29"/>
      <c r="OM163" s="29"/>
      <c r="ON163" s="29"/>
      <c r="OO163" s="29"/>
      <c r="OP163" s="29"/>
      <c r="OQ163" s="29"/>
      <c r="OR163" s="29"/>
      <c r="OS163" s="29"/>
      <c r="OT163" s="29"/>
      <c r="OU163" s="29"/>
      <c r="OV163" s="29"/>
      <c r="OW163" s="29"/>
      <c r="OX163" s="29"/>
      <c r="OY163" s="29"/>
      <c r="OZ163" s="29"/>
      <c r="PA163" s="29"/>
      <c r="PB163" s="29"/>
      <c r="PC163" s="29"/>
      <c r="PD163" s="29"/>
      <c r="PE163" s="29"/>
      <c r="PF163" s="29"/>
      <c r="PG163" s="29"/>
      <c r="PH163" s="29"/>
      <c r="PI163" s="29"/>
      <c r="PJ163" s="29"/>
      <c r="PK163" s="29"/>
      <c r="PL163" s="29"/>
      <c r="PM163" s="29"/>
      <c r="PN163" s="29"/>
      <c r="PO163" s="29"/>
      <c r="PP163" s="29"/>
      <c r="PQ163" s="29"/>
      <c r="PR163" s="29"/>
      <c r="PS163" s="29"/>
      <c r="PT163" s="29"/>
      <c r="PU163" s="29"/>
      <c r="PV163" s="29"/>
      <c r="PW163" s="29"/>
      <c r="PX163" s="29"/>
      <c r="PY163" s="29"/>
      <c r="PZ163" s="29"/>
      <c r="QA163" s="29"/>
      <c r="QB163" s="29"/>
      <c r="QC163" s="29"/>
      <c r="QD163" s="29"/>
      <c r="QE163" s="29"/>
      <c r="QF163" s="29"/>
      <c r="QG163" s="29"/>
      <c r="QH163" s="29"/>
      <c r="QI163" s="29"/>
      <c r="QJ163" s="29"/>
      <c r="QK163" s="29"/>
      <c r="QL163" s="29"/>
      <c r="QM163" s="29"/>
      <c r="QN163" s="29"/>
      <c r="QO163" s="29"/>
      <c r="QP163" s="29"/>
      <c r="QQ163" s="29"/>
      <c r="QR163" s="29"/>
      <c r="QS163" s="29"/>
      <c r="QT163" s="29"/>
      <c r="QU163" s="29"/>
      <c r="QV163" s="29"/>
      <c r="QW163" s="29"/>
      <c r="QX163" s="29"/>
      <c r="QY163" s="29"/>
      <c r="QZ163" s="29"/>
      <c r="RA163" s="29"/>
      <c r="RB163" s="29"/>
      <c r="RC163" s="29"/>
      <c r="RD163" s="29"/>
      <c r="RE163" s="29"/>
      <c r="RF163" s="29"/>
      <c r="RG163" s="29"/>
      <c r="RH163" s="29"/>
      <c r="RI163" s="29"/>
      <c r="RJ163" s="29"/>
      <c r="RK163" s="29"/>
      <c r="RL163" s="29"/>
      <c r="RM163" s="29"/>
      <c r="RN163" s="29"/>
      <c r="RO163" s="29"/>
      <c r="RP163" s="29"/>
      <c r="RQ163" s="29"/>
      <c r="RR163" s="29"/>
      <c r="RS163" s="29"/>
      <c r="RT163" s="29"/>
      <c r="RU163" s="29"/>
      <c r="RV163" s="29"/>
      <c r="RW163" s="29"/>
      <c r="RX163" s="29"/>
      <c r="RY163" s="29"/>
      <c r="RZ163" s="29"/>
      <c r="SA163" s="29"/>
      <c r="SB163" s="29"/>
      <c r="SC163" s="29"/>
      <c r="SD163" s="29"/>
      <c r="SE163" s="29"/>
      <c r="SF163" s="29"/>
      <c r="SG163" s="29"/>
      <c r="SH163" s="29"/>
      <c r="SI163" s="29"/>
      <c r="SJ163" s="29"/>
      <c r="SK163" s="29"/>
      <c r="SL163" s="29"/>
      <c r="SM163" s="29"/>
      <c r="SN163" s="29"/>
      <c r="SO163" s="29"/>
      <c r="SP163" s="29"/>
      <c r="SQ163" s="29"/>
      <c r="SR163" s="29"/>
      <c r="SS163" s="29"/>
      <c r="ST163" s="29"/>
      <c r="SU163" s="29"/>
      <c r="SV163" s="29"/>
      <c r="SW163" s="29"/>
      <c r="SX163" s="29"/>
      <c r="SY163" s="29"/>
      <c r="SZ163" s="29"/>
      <c r="TA163" s="29"/>
      <c r="TB163" s="29"/>
      <c r="TC163" s="29"/>
      <c r="TD163" s="29"/>
      <c r="TE163" s="29"/>
      <c r="TF163" s="29"/>
      <c r="TG163" s="29"/>
      <c r="TH163" s="29"/>
      <c r="TI163" s="29"/>
      <c r="TJ163" s="29"/>
      <c r="TK163" s="29"/>
      <c r="TL163" s="29"/>
      <c r="TM163" s="29"/>
      <c r="TN163" s="29"/>
      <c r="TO163" s="29"/>
      <c r="TP163" s="29"/>
      <c r="TQ163" s="29"/>
      <c r="TR163" s="29"/>
      <c r="TS163" s="29"/>
      <c r="TT163" s="29"/>
      <c r="TU163" s="29"/>
      <c r="TV163" s="29"/>
      <c r="TW163" s="29"/>
      <c r="TX163" s="29"/>
      <c r="TY163" s="29"/>
      <c r="TZ163" s="29"/>
      <c r="UA163" s="29"/>
      <c r="UB163" s="29"/>
      <c r="UC163" s="29"/>
      <c r="UD163" s="29"/>
      <c r="UE163" s="29"/>
      <c r="UF163" s="29"/>
      <c r="UG163" s="29"/>
      <c r="UH163" s="29"/>
      <c r="UI163" s="29"/>
      <c r="UJ163" s="29"/>
      <c r="UK163" s="29"/>
      <c r="UL163" s="29"/>
      <c r="UM163" s="29"/>
      <c r="UN163" s="29"/>
      <c r="UO163" s="29"/>
      <c r="UP163" s="29"/>
      <c r="UQ163" s="29"/>
      <c r="UR163" s="29"/>
      <c r="US163" s="29"/>
      <c r="UT163" s="29"/>
      <c r="UU163" s="29"/>
      <c r="UV163" s="29"/>
      <c r="UW163" s="29"/>
      <c r="UX163" s="29"/>
      <c r="UY163" s="29"/>
      <c r="UZ163" s="29"/>
      <c r="VA163" s="29"/>
      <c r="VB163" s="29"/>
      <c r="VC163" s="29"/>
      <c r="VD163" s="29"/>
      <c r="VE163" s="29"/>
      <c r="VF163" s="29"/>
      <c r="VG163" s="29"/>
      <c r="VH163" s="29"/>
      <c r="VI163" s="29"/>
      <c r="VJ163" s="29"/>
      <c r="VK163" s="29"/>
      <c r="VL163" s="29"/>
      <c r="VM163" s="29"/>
      <c r="VN163" s="29"/>
      <c r="VO163" s="29"/>
      <c r="VP163" s="29"/>
      <c r="VQ163" s="29"/>
      <c r="VR163" s="29"/>
      <c r="VS163" s="29"/>
      <c r="VT163" s="29"/>
      <c r="VU163" s="29"/>
      <c r="VV163" s="29"/>
      <c r="VW163" s="29"/>
      <c r="VX163" s="29"/>
      <c r="VY163" s="29"/>
      <c r="VZ163" s="29"/>
      <c r="WA163" s="29"/>
      <c r="WB163" s="29"/>
      <c r="WC163" s="29"/>
      <c r="WD163" s="29"/>
      <c r="WE163" s="29"/>
      <c r="WF163" s="29"/>
      <c r="WG163" s="29"/>
      <c r="WH163" s="29"/>
      <c r="WI163" s="29"/>
      <c r="WJ163" s="29"/>
      <c r="WK163" s="29"/>
      <c r="WL163" s="29"/>
      <c r="WM163" s="29"/>
      <c r="WN163" s="29"/>
      <c r="WO163" s="29"/>
      <c r="WP163" s="29"/>
      <c r="WQ163" s="29"/>
      <c r="WR163" s="29"/>
      <c r="WS163" s="29"/>
    </row>
    <row r="164" spans="1:617" s="3" customFormat="1" ht="15" outlineLevel="1" thickBot="1">
      <c r="A164" s="33"/>
      <c r="B164" s="87" t="s">
        <v>247</v>
      </c>
      <c r="C164" s="41" t="s">
        <v>271</v>
      </c>
      <c r="D164" s="163">
        <v>46160</v>
      </c>
      <c r="E164" s="209">
        <f>D164+53</f>
        <v>46213</v>
      </c>
      <c r="F164" s="14"/>
      <c r="G164" s="14">
        <f>E164-D164</f>
        <v>53</v>
      </c>
      <c r="H164" s="29"/>
      <c r="I164" s="29"/>
      <c r="J164" s="29"/>
      <c r="K164" s="29"/>
      <c r="L164" s="29"/>
      <c r="M164" s="29"/>
      <c r="N164" s="29"/>
      <c r="O164" s="29"/>
      <c r="P164" s="29"/>
      <c r="Q164" s="29"/>
      <c r="R164" s="29"/>
      <c r="S164" s="29"/>
      <c r="T164" s="29"/>
      <c r="U164" s="29"/>
      <c r="V164" s="29"/>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c r="MM164" s="29"/>
      <c r="MN164" s="29"/>
      <c r="MO164" s="29"/>
      <c r="MP164" s="29"/>
      <c r="MQ164" s="29"/>
      <c r="MR164" s="29"/>
      <c r="MS164" s="29"/>
      <c r="MT164" s="29"/>
      <c r="MU164" s="29"/>
      <c r="MV164" s="29"/>
      <c r="MW164" s="29"/>
      <c r="MX164" s="29"/>
      <c r="MY164" s="29"/>
      <c r="MZ164" s="29"/>
      <c r="NA164" s="29"/>
      <c r="NB164" s="29"/>
      <c r="NC164" s="29"/>
      <c r="ND164" s="29"/>
      <c r="NE164" s="29"/>
      <c r="NF164" s="29"/>
      <c r="NG164" s="29"/>
      <c r="NH164" s="29"/>
      <c r="NI164" s="29"/>
      <c r="NJ164" s="29"/>
      <c r="NK164" s="29"/>
      <c r="NL164" s="29"/>
      <c r="NM164" s="29"/>
      <c r="NN164" s="29"/>
      <c r="NO164" s="29"/>
      <c r="NP164" s="29"/>
      <c r="NQ164" s="29"/>
      <c r="NR164" s="29"/>
      <c r="NS164" s="29"/>
      <c r="NT164" s="29"/>
      <c r="NU164" s="29"/>
      <c r="NV164" s="29"/>
      <c r="NW164" s="29"/>
      <c r="NX164" s="29"/>
      <c r="NY164" s="29"/>
      <c r="NZ164" s="29"/>
      <c r="OA164" s="29"/>
      <c r="OB164" s="29"/>
      <c r="OC164" s="29"/>
      <c r="OD164" s="29"/>
      <c r="OE164" s="29"/>
      <c r="OF164" s="29"/>
      <c r="OG164" s="29"/>
      <c r="OH164" s="29"/>
      <c r="OI164" s="29"/>
      <c r="OJ164" s="29"/>
      <c r="OK164" s="29"/>
      <c r="OL164" s="29"/>
      <c r="OM164" s="29"/>
      <c r="ON164" s="29"/>
      <c r="OO164" s="29"/>
      <c r="OP164" s="29"/>
      <c r="OQ164" s="29"/>
      <c r="OR164" s="29"/>
      <c r="OS164" s="29"/>
      <c r="OT164" s="29"/>
      <c r="OU164" s="29"/>
      <c r="OV164" s="29"/>
      <c r="OW164" s="29"/>
      <c r="OX164" s="29"/>
      <c r="OY164" s="29"/>
      <c r="OZ164" s="29"/>
      <c r="PA164" s="29"/>
      <c r="PB164" s="29"/>
      <c r="PC164" s="29"/>
      <c r="PD164" s="29"/>
      <c r="PE164" s="29"/>
      <c r="PF164" s="29"/>
      <c r="PG164" s="29"/>
      <c r="PH164" s="29"/>
      <c r="PI164" s="29"/>
      <c r="PJ164" s="29"/>
      <c r="PK164" s="29"/>
      <c r="PL164" s="29"/>
      <c r="PM164" s="29"/>
      <c r="PN164" s="29"/>
      <c r="PO164" s="29"/>
      <c r="PP164" s="29"/>
      <c r="PQ164" s="29"/>
      <c r="PR164" s="29"/>
      <c r="PS164" s="29"/>
      <c r="PT164" s="29"/>
      <c r="PU164" s="29"/>
      <c r="PV164" s="29"/>
      <c r="PW164" s="29"/>
      <c r="PX164" s="29"/>
      <c r="PY164" s="29"/>
      <c r="PZ164" s="29"/>
      <c r="QA164" s="29"/>
      <c r="QB164" s="29"/>
      <c r="QC164" s="29"/>
      <c r="QD164" s="29"/>
      <c r="QE164" s="29"/>
      <c r="QF164" s="29"/>
      <c r="QG164" s="29"/>
      <c r="QH164" s="29"/>
      <c r="QI164" s="29"/>
      <c r="QJ164" s="29"/>
      <c r="QK164" s="29"/>
      <c r="QL164" s="29"/>
      <c r="QM164" s="29"/>
      <c r="QN164" s="29"/>
      <c r="QO164" s="29"/>
      <c r="QP164" s="29"/>
      <c r="QQ164" s="29"/>
      <c r="QR164" s="29"/>
      <c r="QS164" s="29"/>
      <c r="QT164" s="29"/>
      <c r="QU164" s="29"/>
      <c r="QV164" s="29"/>
      <c r="QW164" s="29"/>
      <c r="QX164" s="29"/>
      <c r="QY164" s="29"/>
      <c r="QZ164" s="29"/>
      <c r="RA164" s="29"/>
      <c r="RB164" s="29"/>
      <c r="RC164" s="29"/>
      <c r="RD164" s="29"/>
      <c r="RE164" s="29"/>
      <c r="RF164" s="29"/>
      <c r="RG164" s="29"/>
      <c r="RH164" s="29"/>
      <c r="RI164" s="29"/>
      <c r="RJ164" s="29"/>
      <c r="RK164" s="29"/>
      <c r="RL164" s="29"/>
      <c r="RM164" s="29"/>
      <c r="RN164" s="29"/>
      <c r="RO164" s="29"/>
      <c r="RP164" s="29"/>
      <c r="RQ164" s="29"/>
      <c r="RR164" s="29"/>
      <c r="RS164" s="29"/>
      <c r="RT164" s="29"/>
      <c r="RU164" s="29"/>
      <c r="RV164" s="29"/>
      <c r="RW164" s="29"/>
      <c r="RX164" s="29"/>
      <c r="RY164" s="29"/>
      <c r="RZ164" s="29"/>
      <c r="SA164" s="29"/>
      <c r="SB164" s="29"/>
      <c r="SC164" s="29"/>
      <c r="SD164" s="29"/>
      <c r="SE164" s="29"/>
      <c r="SF164" s="29"/>
      <c r="SG164" s="29"/>
      <c r="SH164" s="29"/>
      <c r="SI164" s="29"/>
      <c r="SJ164" s="29"/>
      <c r="SK164" s="29"/>
      <c r="SL164" s="29"/>
      <c r="SM164" s="29"/>
      <c r="SN164" s="29"/>
      <c r="SO164" s="29"/>
      <c r="SP164" s="29"/>
      <c r="SQ164" s="29"/>
      <c r="SR164" s="29"/>
      <c r="SS164" s="29"/>
      <c r="ST164" s="29"/>
      <c r="SU164" s="29"/>
      <c r="SV164" s="29"/>
      <c r="SW164" s="29"/>
      <c r="SX164" s="29"/>
      <c r="SY164" s="29"/>
      <c r="SZ164" s="29"/>
      <c r="TA164" s="29"/>
      <c r="TB164" s="29"/>
      <c r="TC164" s="29"/>
      <c r="TD164" s="29"/>
      <c r="TE164" s="29"/>
      <c r="TF164" s="29"/>
      <c r="TG164" s="29"/>
      <c r="TH164" s="29"/>
      <c r="TI164" s="29"/>
      <c r="TJ164" s="29"/>
      <c r="TK164" s="29"/>
      <c r="TL164" s="29"/>
      <c r="TM164" s="29"/>
      <c r="TN164" s="29"/>
      <c r="TO164" s="29"/>
      <c r="TP164" s="29"/>
      <c r="TQ164" s="29"/>
      <c r="TR164" s="29"/>
      <c r="TS164" s="29"/>
      <c r="TT164" s="29"/>
      <c r="TU164" s="29"/>
      <c r="TV164" s="29"/>
      <c r="TW164" s="29"/>
      <c r="TX164" s="29"/>
      <c r="TY164" s="29"/>
      <c r="TZ164" s="29"/>
      <c r="UA164" s="29"/>
      <c r="UB164" s="29"/>
      <c r="UC164" s="29"/>
      <c r="UD164" s="29"/>
      <c r="UE164" s="29"/>
      <c r="UF164" s="29"/>
      <c r="UG164" s="29"/>
      <c r="UH164" s="29"/>
      <c r="UI164" s="29"/>
      <c r="UJ164" s="29"/>
      <c r="UK164" s="29"/>
      <c r="UL164" s="29"/>
      <c r="UM164" s="29"/>
      <c r="UN164" s="29"/>
      <c r="UO164" s="29"/>
      <c r="UP164" s="29"/>
      <c r="UQ164" s="29"/>
      <c r="UR164" s="29"/>
      <c r="US164" s="29"/>
      <c r="UT164" s="29"/>
      <c r="UU164" s="29"/>
      <c r="UV164" s="29"/>
      <c r="UW164" s="29"/>
      <c r="UX164" s="29"/>
      <c r="UY164" s="29"/>
      <c r="UZ164" s="29"/>
      <c r="VA164" s="29"/>
      <c r="VB164" s="29"/>
      <c r="VC164" s="29"/>
      <c r="VD164" s="29"/>
      <c r="VE164" s="29"/>
      <c r="VF164" s="29"/>
      <c r="VG164" s="29"/>
      <c r="VH164" s="29"/>
      <c r="VI164" s="29"/>
      <c r="VJ164" s="29"/>
      <c r="VK164" s="29"/>
      <c r="VL164" s="29"/>
      <c r="VM164" s="29"/>
      <c r="VN164" s="29"/>
      <c r="VO164" s="29"/>
      <c r="VP164" s="29"/>
      <c r="VQ164" s="29"/>
      <c r="VR164" s="29"/>
      <c r="VS164" s="29"/>
      <c r="VT164" s="29"/>
      <c r="VU164" s="29"/>
      <c r="VV164" s="29"/>
      <c r="VW164" s="29"/>
      <c r="VX164" s="29"/>
      <c r="VY164" s="29"/>
      <c r="VZ164" s="29"/>
      <c r="WA164" s="29"/>
      <c r="WB164" s="29"/>
      <c r="WC164" s="29"/>
      <c r="WD164" s="29"/>
      <c r="WE164" s="29"/>
      <c r="WF164" s="29"/>
      <c r="WG164" s="29"/>
      <c r="WH164" s="29"/>
      <c r="WI164" s="29"/>
      <c r="WJ164" s="29"/>
      <c r="WK164" s="29"/>
      <c r="WL164" s="29"/>
      <c r="WM164" s="29"/>
      <c r="WN164" s="29"/>
      <c r="WO164" s="29"/>
      <c r="WP164" s="29"/>
      <c r="WQ164" s="29"/>
      <c r="WR164" s="29"/>
      <c r="WS164" s="29"/>
    </row>
    <row r="165" spans="1:617" s="3" customFormat="1" ht="15" outlineLevel="1" thickBot="1">
      <c r="A165" s="33"/>
      <c r="B165" s="87" t="s">
        <v>272</v>
      </c>
      <c r="C165" s="41" t="s">
        <v>273</v>
      </c>
      <c r="D165" s="209">
        <v>46216</v>
      </c>
      <c r="E165" s="126">
        <f>D165+G165</f>
        <v>46269</v>
      </c>
      <c r="F165" s="14"/>
      <c r="G165" s="14">
        <v>53</v>
      </c>
      <c r="H165" s="29"/>
      <c r="I165" s="29"/>
      <c r="J165" s="29"/>
      <c r="K165" s="29"/>
      <c r="L165" s="29"/>
      <c r="M165" s="29"/>
      <c r="N165" s="29"/>
      <c r="O165" s="29"/>
      <c r="P165" s="29"/>
      <c r="Q165" s="29"/>
      <c r="R165" s="29"/>
      <c r="S165" s="29"/>
      <c r="T165" s="29"/>
      <c r="U165" s="29"/>
      <c r="V165" s="29"/>
      <c r="W165" s="29"/>
      <c r="X165" s="29"/>
      <c r="Y165" s="29"/>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c r="MM165" s="29"/>
      <c r="MN165" s="29"/>
      <c r="MO165" s="29"/>
      <c r="MP165" s="29"/>
      <c r="MQ165" s="29"/>
      <c r="MR165" s="29"/>
      <c r="MS165" s="29"/>
      <c r="MT165" s="29"/>
      <c r="MU165" s="29"/>
      <c r="MV165" s="29"/>
      <c r="MW165" s="29"/>
      <c r="MX165" s="29"/>
      <c r="MY165" s="29"/>
      <c r="MZ165" s="29"/>
      <c r="NA165" s="29"/>
      <c r="NB165" s="29"/>
      <c r="NC165" s="29"/>
      <c r="ND165" s="29"/>
      <c r="NE165" s="29"/>
      <c r="NF165" s="29"/>
      <c r="NG165" s="29"/>
      <c r="NH165" s="29"/>
      <c r="NI165" s="29"/>
      <c r="NJ165" s="29"/>
      <c r="NK165" s="29"/>
      <c r="NL165" s="29"/>
      <c r="NM165" s="29"/>
      <c r="NN165" s="29"/>
      <c r="NO165" s="29"/>
      <c r="NP165" s="29"/>
      <c r="NQ165" s="29"/>
      <c r="NR165" s="29"/>
      <c r="NS165" s="29"/>
      <c r="NT165" s="29"/>
      <c r="NU165" s="29"/>
      <c r="NV165" s="29"/>
      <c r="NW165" s="29"/>
      <c r="NX165" s="29"/>
      <c r="NY165" s="29"/>
      <c r="NZ165" s="29"/>
      <c r="OA165" s="29"/>
      <c r="OB165" s="29"/>
      <c r="OC165" s="29"/>
      <c r="OD165" s="29"/>
      <c r="OE165" s="29"/>
      <c r="OF165" s="29"/>
      <c r="OG165" s="29"/>
      <c r="OH165" s="29"/>
      <c r="OI165" s="29"/>
      <c r="OJ165" s="29"/>
      <c r="OK165" s="29"/>
      <c r="OL165" s="29"/>
      <c r="OM165" s="29"/>
      <c r="ON165" s="29"/>
      <c r="OO165" s="29"/>
      <c r="OP165" s="29"/>
      <c r="OQ165" s="29"/>
      <c r="OR165" s="29"/>
      <c r="OS165" s="29"/>
      <c r="OT165" s="29"/>
      <c r="OU165" s="29"/>
      <c r="OV165" s="29"/>
      <c r="OW165" s="29"/>
      <c r="OX165" s="29"/>
      <c r="OY165" s="29"/>
      <c r="OZ165" s="29"/>
      <c r="PA165" s="29"/>
      <c r="PB165" s="29"/>
      <c r="PC165" s="29"/>
      <c r="PD165" s="29"/>
      <c r="PE165" s="29"/>
      <c r="PF165" s="29"/>
      <c r="PG165" s="29"/>
      <c r="PH165" s="29"/>
      <c r="PI165" s="29"/>
      <c r="PJ165" s="29"/>
      <c r="PK165" s="29"/>
      <c r="PL165" s="29"/>
      <c r="PM165" s="29"/>
      <c r="PN165" s="29"/>
      <c r="PO165" s="29"/>
      <c r="PP165" s="29"/>
      <c r="PQ165" s="29"/>
      <c r="PR165" s="29"/>
      <c r="PS165" s="29"/>
      <c r="PT165" s="29"/>
      <c r="PU165" s="29"/>
      <c r="PV165" s="29"/>
      <c r="PW165" s="29"/>
      <c r="PX165" s="29"/>
      <c r="PY165" s="29"/>
      <c r="PZ165" s="29"/>
      <c r="QA165" s="29"/>
      <c r="QB165" s="29"/>
      <c r="QC165" s="29"/>
      <c r="QD165" s="29"/>
      <c r="QE165" s="29"/>
      <c r="QF165" s="29"/>
      <c r="QG165" s="29"/>
      <c r="QH165" s="29"/>
      <c r="QI165" s="29"/>
      <c r="QJ165" s="29"/>
      <c r="QK165" s="29"/>
      <c r="QL165" s="29"/>
      <c r="QM165" s="29"/>
      <c r="QN165" s="29"/>
      <c r="QO165" s="29"/>
      <c r="QP165" s="29"/>
      <c r="QQ165" s="29"/>
      <c r="QR165" s="29"/>
      <c r="QS165" s="29"/>
      <c r="QT165" s="29"/>
      <c r="QU165" s="29"/>
      <c r="QV165" s="29"/>
      <c r="QW165" s="29"/>
      <c r="QX165" s="29"/>
      <c r="QY165" s="29"/>
      <c r="QZ165" s="29"/>
      <c r="RA165" s="29"/>
      <c r="RB165" s="29"/>
      <c r="RC165" s="29"/>
      <c r="RD165" s="29"/>
      <c r="RE165" s="29"/>
      <c r="RF165" s="29"/>
      <c r="RG165" s="29"/>
      <c r="RH165" s="29"/>
      <c r="RI165" s="29"/>
      <c r="RJ165" s="29"/>
      <c r="RK165" s="29"/>
      <c r="RL165" s="29"/>
      <c r="RM165" s="29"/>
      <c r="RN165" s="29"/>
      <c r="RO165" s="29"/>
      <c r="RP165" s="29"/>
      <c r="RQ165" s="29"/>
      <c r="RR165" s="29"/>
      <c r="RS165" s="29"/>
      <c r="RT165" s="29"/>
      <c r="RU165" s="29"/>
      <c r="RV165" s="29"/>
      <c r="RW165" s="29"/>
      <c r="RX165" s="29"/>
      <c r="RY165" s="29"/>
      <c r="RZ165" s="29"/>
      <c r="SA165" s="29"/>
      <c r="SB165" s="29"/>
      <c r="SC165" s="29"/>
      <c r="SD165" s="29"/>
      <c r="SE165" s="29"/>
      <c r="SF165" s="29"/>
      <c r="SG165" s="29"/>
      <c r="SH165" s="29"/>
      <c r="SI165" s="29"/>
      <c r="SJ165" s="29"/>
      <c r="SK165" s="29"/>
      <c r="SL165" s="29"/>
      <c r="SM165" s="29"/>
      <c r="SN165" s="29"/>
      <c r="SO165" s="29"/>
      <c r="SP165" s="29"/>
      <c r="SQ165" s="29"/>
      <c r="SR165" s="29"/>
      <c r="SS165" s="29"/>
      <c r="ST165" s="29"/>
      <c r="SU165" s="29"/>
      <c r="SV165" s="29"/>
      <c r="SW165" s="29"/>
      <c r="SX165" s="29"/>
      <c r="SY165" s="29"/>
      <c r="SZ165" s="29"/>
      <c r="TA165" s="29"/>
      <c r="TB165" s="29"/>
      <c r="TC165" s="29"/>
      <c r="TD165" s="29"/>
      <c r="TE165" s="29"/>
      <c r="TF165" s="29"/>
      <c r="TG165" s="29"/>
      <c r="TH165" s="29"/>
      <c r="TI165" s="29"/>
      <c r="TJ165" s="29"/>
      <c r="TK165" s="29"/>
      <c r="TL165" s="29"/>
      <c r="TM165" s="29"/>
      <c r="TN165" s="29"/>
      <c r="TO165" s="29"/>
      <c r="TP165" s="29"/>
      <c r="TQ165" s="29"/>
      <c r="TR165" s="29"/>
      <c r="TS165" s="29"/>
      <c r="TT165" s="29"/>
      <c r="TU165" s="29"/>
      <c r="TV165" s="29"/>
      <c r="TW165" s="29"/>
      <c r="TX165" s="29"/>
      <c r="TY165" s="29"/>
      <c r="TZ165" s="29"/>
      <c r="UA165" s="29"/>
      <c r="UB165" s="29"/>
      <c r="UC165" s="29"/>
      <c r="UD165" s="29"/>
      <c r="UE165" s="29"/>
      <c r="UF165" s="29"/>
      <c r="UG165" s="29"/>
      <c r="UH165" s="29"/>
      <c r="UI165" s="29"/>
      <c r="UJ165" s="29"/>
      <c r="UK165" s="29"/>
      <c r="UL165" s="29"/>
      <c r="UM165" s="29"/>
      <c r="UN165" s="29"/>
      <c r="UO165" s="29"/>
      <c r="UP165" s="29"/>
      <c r="UQ165" s="29"/>
      <c r="UR165" s="29"/>
      <c r="US165" s="29"/>
      <c r="UT165" s="29"/>
      <c r="UU165" s="29"/>
      <c r="UV165" s="29"/>
      <c r="UW165" s="29"/>
      <c r="UX165" s="29"/>
      <c r="UY165" s="29"/>
      <c r="UZ165" s="29"/>
      <c r="VA165" s="29"/>
      <c r="VB165" s="29"/>
      <c r="VC165" s="29"/>
      <c r="VD165" s="29"/>
      <c r="VE165" s="29"/>
      <c r="VF165" s="29"/>
      <c r="VG165" s="29"/>
      <c r="VH165" s="29"/>
      <c r="VI165" s="29"/>
      <c r="VJ165" s="29"/>
      <c r="VK165" s="29"/>
      <c r="VL165" s="29"/>
      <c r="VM165" s="29"/>
      <c r="VN165" s="29"/>
      <c r="VO165" s="29"/>
      <c r="VP165" s="29"/>
      <c r="VQ165" s="29"/>
      <c r="VR165" s="29"/>
      <c r="VS165" s="29"/>
      <c r="VT165" s="29"/>
      <c r="VU165" s="29"/>
      <c r="VV165" s="29"/>
      <c r="VW165" s="29"/>
      <c r="VX165" s="29"/>
      <c r="VY165" s="29"/>
      <c r="VZ165" s="29"/>
      <c r="WA165" s="29"/>
      <c r="WB165" s="29"/>
      <c r="WC165" s="29"/>
      <c r="WD165" s="29"/>
      <c r="WE165" s="29"/>
      <c r="WF165" s="29"/>
      <c r="WG165" s="29"/>
      <c r="WH165" s="29"/>
      <c r="WI165" s="29"/>
      <c r="WJ165" s="29"/>
      <c r="WK165" s="29"/>
      <c r="WL165" s="29"/>
      <c r="WM165" s="29"/>
      <c r="WN165" s="29"/>
      <c r="WO165" s="29"/>
      <c r="WP165" s="29"/>
      <c r="WQ165" s="29"/>
      <c r="WR165" s="29"/>
      <c r="WS165" s="29"/>
    </row>
    <row r="166" spans="1:617" s="3" customFormat="1" ht="15" outlineLevel="1" thickBot="1">
      <c r="A166" s="33"/>
      <c r="B166" s="161" t="s">
        <v>246</v>
      </c>
      <c r="C166" s="162" t="s">
        <v>241</v>
      </c>
      <c r="D166" s="209">
        <v>46237</v>
      </c>
      <c r="E166" s="163">
        <v>46248</v>
      </c>
      <c r="F166" s="14"/>
      <c r="G166" s="14">
        <f>E166-D166</f>
        <v>11</v>
      </c>
      <c r="H166" s="29"/>
      <c r="I166" s="29"/>
      <c r="J166" s="29"/>
      <c r="K166" s="29"/>
      <c r="L166" s="29"/>
      <c r="M166" s="29"/>
      <c r="N166" s="29"/>
      <c r="O166" s="29"/>
      <c r="P166" s="29"/>
      <c r="Q166" s="29"/>
      <c r="R166" s="29"/>
      <c r="S166" s="29"/>
      <c r="T166" s="29"/>
      <c r="U166" s="29"/>
      <c r="V166" s="29"/>
      <c r="W166" s="29"/>
      <c r="X166" s="29"/>
      <c r="Y166" s="29"/>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c r="MM166" s="29"/>
      <c r="MN166" s="29"/>
      <c r="MO166" s="29"/>
      <c r="MP166" s="29"/>
      <c r="MQ166" s="29"/>
      <c r="MR166" s="29"/>
      <c r="MS166" s="29"/>
      <c r="MT166" s="29"/>
      <c r="MU166" s="29"/>
      <c r="MV166" s="29"/>
      <c r="MW166" s="29"/>
      <c r="MX166" s="29"/>
      <c r="MY166" s="29"/>
      <c r="MZ166" s="29"/>
      <c r="NA166" s="29"/>
      <c r="NB166" s="29"/>
      <c r="NC166" s="29"/>
      <c r="ND166" s="29"/>
      <c r="NE166" s="29"/>
      <c r="NF166" s="29"/>
      <c r="NG166" s="29"/>
      <c r="NH166" s="29"/>
      <c r="NI166" s="29"/>
      <c r="NJ166" s="29"/>
      <c r="NK166" s="29"/>
      <c r="NL166" s="29"/>
      <c r="NM166" s="29"/>
      <c r="NN166" s="29"/>
      <c r="NO166" s="29"/>
      <c r="NP166" s="29"/>
      <c r="NQ166" s="29"/>
      <c r="NR166" s="29"/>
      <c r="NS166" s="29"/>
      <c r="NT166" s="29"/>
      <c r="NU166" s="29"/>
      <c r="NV166" s="29"/>
      <c r="NW166" s="29"/>
      <c r="NX166" s="29"/>
      <c r="NY166" s="29"/>
      <c r="NZ166" s="29"/>
      <c r="OA166" s="29"/>
      <c r="OB166" s="29"/>
      <c r="OC166" s="29"/>
      <c r="OD166" s="29"/>
      <c r="OE166" s="29"/>
      <c r="OF166" s="29"/>
      <c r="OG166" s="29"/>
      <c r="OH166" s="29"/>
      <c r="OI166" s="29"/>
      <c r="OJ166" s="29"/>
      <c r="OK166" s="29"/>
      <c r="OL166" s="29"/>
      <c r="OM166" s="29"/>
      <c r="ON166" s="29"/>
      <c r="OO166" s="29"/>
      <c r="OP166" s="29"/>
      <c r="OQ166" s="29"/>
      <c r="OR166" s="29"/>
      <c r="OS166" s="29"/>
      <c r="OT166" s="29"/>
      <c r="OU166" s="29"/>
      <c r="OV166" s="29"/>
      <c r="OW166" s="29"/>
      <c r="OX166" s="29"/>
      <c r="OY166" s="29"/>
      <c r="OZ166" s="29"/>
      <c r="PA166" s="29"/>
      <c r="PB166" s="29"/>
      <c r="PC166" s="29"/>
      <c r="PD166" s="29"/>
      <c r="PE166" s="29"/>
      <c r="PF166" s="29"/>
      <c r="PG166" s="29"/>
      <c r="PH166" s="29"/>
      <c r="PI166" s="29"/>
      <c r="PJ166" s="29"/>
      <c r="PK166" s="29"/>
      <c r="PL166" s="29"/>
      <c r="PM166" s="29"/>
      <c r="PN166" s="29"/>
      <c r="PO166" s="29"/>
      <c r="PP166" s="29"/>
      <c r="PQ166" s="29"/>
      <c r="PR166" s="29"/>
      <c r="PS166" s="29"/>
      <c r="PT166" s="29"/>
      <c r="PU166" s="29"/>
      <c r="PV166" s="29"/>
      <c r="PW166" s="29"/>
      <c r="PX166" s="29"/>
      <c r="PY166" s="29"/>
      <c r="PZ166" s="29"/>
      <c r="QA166" s="29"/>
      <c r="QB166" s="29"/>
      <c r="QC166" s="29"/>
      <c r="QD166" s="29"/>
      <c r="QE166" s="29"/>
      <c r="QF166" s="29"/>
      <c r="QG166" s="29"/>
      <c r="QH166" s="29"/>
      <c r="QI166" s="29"/>
      <c r="QJ166" s="29"/>
      <c r="QK166" s="29"/>
      <c r="QL166" s="29"/>
      <c r="QM166" s="29"/>
      <c r="QN166" s="29"/>
      <c r="QO166" s="29"/>
      <c r="QP166" s="29"/>
      <c r="QQ166" s="29"/>
      <c r="QR166" s="29"/>
      <c r="QS166" s="29"/>
      <c r="QT166" s="29"/>
      <c r="QU166" s="29"/>
      <c r="QV166" s="29"/>
      <c r="QW166" s="29"/>
      <c r="QX166" s="29"/>
      <c r="QY166" s="29"/>
      <c r="QZ166" s="29"/>
      <c r="RA166" s="29"/>
      <c r="RB166" s="29"/>
      <c r="RC166" s="29"/>
      <c r="RD166" s="29"/>
      <c r="RE166" s="29"/>
      <c r="RF166" s="29"/>
      <c r="RG166" s="29"/>
      <c r="RH166" s="29"/>
      <c r="RI166" s="29"/>
      <c r="RJ166" s="29"/>
      <c r="RK166" s="29"/>
      <c r="RL166" s="29"/>
      <c r="RM166" s="29"/>
      <c r="RN166" s="29"/>
      <c r="RO166" s="29"/>
      <c r="RP166" s="29"/>
      <c r="RQ166" s="29"/>
      <c r="RR166" s="29"/>
      <c r="RS166" s="29"/>
      <c r="RT166" s="29"/>
      <c r="RU166" s="29"/>
      <c r="RV166" s="29"/>
      <c r="RW166" s="29"/>
      <c r="RX166" s="29"/>
      <c r="RY166" s="29"/>
      <c r="RZ166" s="29"/>
      <c r="SA166" s="29"/>
      <c r="SB166" s="29"/>
      <c r="SC166" s="29"/>
      <c r="SD166" s="29"/>
      <c r="SE166" s="29"/>
      <c r="SF166" s="29"/>
      <c r="SG166" s="29"/>
      <c r="SH166" s="29"/>
      <c r="SI166" s="29"/>
      <c r="SJ166" s="29"/>
      <c r="SK166" s="29"/>
      <c r="SL166" s="29"/>
      <c r="SM166" s="29"/>
      <c r="SN166" s="29"/>
      <c r="SO166" s="29"/>
      <c r="SP166" s="29"/>
      <c r="SQ166" s="29"/>
      <c r="SR166" s="29"/>
      <c r="SS166" s="29"/>
      <c r="ST166" s="29"/>
      <c r="SU166" s="29"/>
      <c r="SV166" s="29"/>
      <c r="SW166" s="29"/>
      <c r="SX166" s="29"/>
      <c r="SY166" s="29"/>
      <c r="SZ166" s="29"/>
      <c r="TA166" s="29"/>
      <c r="TB166" s="29"/>
      <c r="TC166" s="29"/>
      <c r="TD166" s="29"/>
      <c r="TE166" s="29"/>
      <c r="TF166" s="29"/>
      <c r="TG166" s="29"/>
      <c r="TH166" s="29"/>
      <c r="TI166" s="29"/>
      <c r="TJ166" s="29"/>
      <c r="TK166" s="29"/>
      <c r="TL166" s="29"/>
      <c r="TM166" s="29"/>
      <c r="TN166" s="29"/>
      <c r="TO166" s="29"/>
      <c r="TP166" s="29"/>
      <c r="TQ166" s="29"/>
      <c r="TR166" s="29"/>
      <c r="TS166" s="29"/>
      <c r="TT166" s="29"/>
      <c r="TU166" s="29"/>
      <c r="TV166" s="29"/>
      <c r="TW166" s="29"/>
      <c r="TX166" s="29"/>
      <c r="TY166" s="29"/>
      <c r="TZ166" s="29"/>
      <c r="UA166" s="29"/>
      <c r="UB166" s="29"/>
      <c r="UC166" s="29"/>
      <c r="UD166" s="29"/>
      <c r="UE166" s="29"/>
      <c r="UF166" s="29"/>
      <c r="UG166" s="29"/>
      <c r="UH166" s="29"/>
      <c r="UI166" s="29"/>
      <c r="UJ166" s="29"/>
      <c r="UK166" s="29"/>
      <c r="UL166" s="29"/>
      <c r="UM166" s="29"/>
      <c r="UN166" s="29"/>
      <c r="UO166" s="29"/>
      <c r="UP166" s="29"/>
      <c r="UQ166" s="29"/>
      <c r="UR166" s="29"/>
      <c r="US166" s="29"/>
      <c r="UT166" s="29"/>
      <c r="UU166" s="29"/>
      <c r="UV166" s="29"/>
      <c r="UW166" s="29"/>
      <c r="UX166" s="29"/>
      <c r="UY166" s="29"/>
      <c r="UZ166" s="29"/>
      <c r="VA166" s="29"/>
      <c r="VB166" s="29"/>
      <c r="VC166" s="29"/>
      <c r="VD166" s="29"/>
      <c r="VE166" s="29"/>
      <c r="VF166" s="29"/>
      <c r="VG166" s="29"/>
      <c r="VH166" s="29"/>
      <c r="VI166" s="29"/>
      <c r="VJ166" s="29"/>
      <c r="VK166" s="29"/>
      <c r="VL166" s="29"/>
      <c r="VM166" s="29"/>
      <c r="VN166" s="29"/>
      <c r="VO166" s="29"/>
      <c r="VP166" s="29"/>
      <c r="VQ166" s="29"/>
      <c r="VR166" s="29"/>
      <c r="VS166" s="29"/>
      <c r="VT166" s="29"/>
      <c r="VU166" s="29"/>
      <c r="VV166" s="29"/>
      <c r="VW166" s="29"/>
      <c r="VX166" s="29"/>
      <c r="VY166" s="29"/>
      <c r="VZ166" s="29"/>
      <c r="WA166" s="29"/>
      <c r="WB166" s="29"/>
      <c r="WC166" s="29"/>
      <c r="WD166" s="29"/>
      <c r="WE166" s="29"/>
      <c r="WF166" s="29"/>
      <c r="WG166" s="29"/>
      <c r="WH166" s="29"/>
      <c r="WI166" s="29"/>
      <c r="WJ166" s="29"/>
      <c r="WK166" s="29"/>
      <c r="WL166" s="29"/>
      <c r="WM166" s="29"/>
      <c r="WN166" s="29"/>
      <c r="WO166" s="29"/>
      <c r="WP166" s="29"/>
      <c r="WQ166" s="29"/>
      <c r="WR166" s="29"/>
      <c r="WS166" s="29"/>
    </row>
    <row r="167" spans="1:617" s="3" customFormat="1" ht="23.1" customHeight="1" outlineLevel="1" thickBot="1">
      <c r="A167" s="33"/>
      <c r="B167" s="243" t="s">
        <v>215</v>
      </c>
      <c r="C167" s="243"/>
      <c r="D167" s="243"/>
      <c r="E167" s="243"/>
      <c r="F167" s="14"/>
      <c r="G167" s="14"/>
      <c r="H167" s="29"/>
      <c r="I167" s="29"/>
      <c r="J167" s="29"/>
      <c r="K167" s="29"/>
      <c r="L167" s="29"/>
      <c r="M167" s="29"/>
      <c r="N167" s="29"/>
      <c r="O167" s="29"/>
      <c r="P167" s="29"/>
      <c r="Q167" s="29"/>
      <c r="R167" s="29"/>
      <c r="S167" s="29"/>
      <c r="T167" s="29"/>
      <c r="U167" s="29"/>
      <c r="V167" s="29"/>
      <c r="W167" s="29"/>
      <c r="X167" s="29"/>
      <c r="Y167" s="29"/>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c r="MM167" s="29"/>
      <c r="MN167" s="29"/>
      <c r="MO167" s="29"/>
      <c r="MP167" s="29"/>
      <c r="MQ167" s="29"/>
      <c r="MR167" s="29"/>
      <c r="MS167" s="29"/>
      <c r="MT167" s="29"/>
      <c r="MU167" s="29"/>
      <c r="MV167" s="29"/>
      <c r="MW167" s="29"/>
      <c r="MX167" s="29"/>
      <c r="MY167" s="29"/>
      <c r="MZ167" s="29"/>
      <c r="NA167" s="29"/>
      <c r="NB167" s="29"/>
      <c r="NC167" s="29"/>
      <c r="ND167" s="29"/>
      <c r="NE167" s="29"/>
      <c r="NF167" s="29"/>
      <c r="NG167" s="29"/>
      <c r="NH167" s="29"/>
      <c r="NI167" s="29"/>
      <c r="NJ167" s="29"/>
      <c r="NK167" s="29"/>
      <c r="NL167" s="29"/>
      <c r="NM167" s="29"/>
      <c r="NN167" s="29"/>
      <c r="NO167" s="29"/>
      <c r="NP167" s="29"/>
      <c r="NQ167" s="29"/>
      <c r="NR167" s="29"/>
      <c r="NS167" s="29"/>
      <c r="NT167" s="29"/>
      <c r="NU167" s="29"/>
      <c r="NV167" s="29"/>
      <c r="NW167" s="29"/>
      <c r="NX167" s="29"/>
      <c r="NY167" s="29"/>
      <c r="NZ167" s="29"/>
      <c r="OA167" s="29"/>
      <c r="OB167" s="29"/>
      <c r="OC167" s="29"/>
      <c r="OD167" s="29"/>
      <c r="OE167" s="29"/>
      <c r="OF167" s="29"/>
      <c r="OG167" s="29"/>
      <c r="OH167" s="29"/>
      <c r="OI167" s="29"/>
      <c r="OJ167" s="29"/>
      <c r="OK167" s="29"/>
      <c r="OL167" s="29"/>
      <c r="OM167" s="29"/>
      <c r="ON167" s="29"/>
      <c r="OO167" s="29"/>
      <c r="OP167" s="29"/>
      <c r="OQ167" s="29"/>
      <c r="OR167" s="29"/>
      <c r="OS167" s="29"/>
      <c r="OT167" s="29"/>
      <c r="OU167" s="29"/>
      <c r="OV167" s="29"/>
      <c r="OW167" s="29"/>
      <c r="OX167" s="29"/>
      <c r="OY167" s="29"/>
      <c r="OZ167" s="29"/>
      <c r="PA167" s="29"/>
      <c r="PB167" s="29"/>
      <c r="PC167" s="29"/>
      <c r="PD167" s="29"/>
      <c r="PE167" s="29"/>
      <c r="PF167" s="29"/>
      <c r="PG167" s="29"/>
      <c r="PH167" s="29"/>
      <c r="PI167" s="29"/>
      <c r="PJ167" s="29"/>
      <c r="PK167" s="29"/>
      <c r="PL167" s="29"/>
      <c r="PM167" s="29"/>
      <c r="PN167" s="29"/>
      <c r="PO167" s="29"/>
      <c r="PP167" s="29"/>
      <c r="PQ167" s="29"/>
      <c r="PR167" s="29"/>
      <c r="PS167" s="29"/>
      <c r="PT167" s="29"/>
      <c r="PU167" s="29"/>
      <c r="PV167" s="29"/>
      <c r="PW167" s="29"/>
      <c r="PX167" s="29"/>
      <c r="PY167" s="29"/>
      <c r="PZ167" s="29"/>
      <c r="QA167" s="29"/>
      <c r="QB167" s="29"/>
      <c r="QC167" s="29"/>
      <c r="QD167" s="29"/>
      <c r="QE167" s="29"/>
      <c r="QF167" s="29"/>
      <c r="QG167" s="29"/>
      <c r="QH167" s="29"/>
      <c r="QI167" s="29"/>
      <c r="QJ167" s="29"/>
      <c r="QK167" s="29"/>
      <c r="QL167" s="29"/>
      <c r="QM167" s="29"/>
      <c r="QN167" s="29"/>
      <c r="QO167" s="29"/>
      <c r="QP167" s="29"/>
      <c r="QQ167" s="29"/>
      <c r="QR167" s="29"/>
      <c r="QS167" s="29"/>
      <c r="QT167" s="29"/>
      <c r="QU167" s="29"/>
      <c r="QV167" s="29"/>
      <c r="QW167" s="29"/>
      <c r="QX167" s="29"/>
      <c r="QY167" s="29"/>
      <c r="QZ167" s="29"/>
      <c r="RA167" s="29"/>
      <c r="RB167" s="29"/>
      <c r="RC167" s="29"/>
      <c r="RD167" s="29"/>
      <c r="RE167" s="29"/>
      <c r="RF167" s="29"/>
      <c r="RG167" s="29"/>
      <c r="RH167" s="29"/>
      <c r="RI167" s="29"/>
      <c r="RJ167" s="29"/>
      <c r="RK167" s="29"/>
      <c r="RL167" s="29"/>
      <c r="RM167" s="29"/>
      <c r="RN167" s="29"/>
      <c r="RO167" s="29"/>
      <c r="RP167" s="29"/>
      <c r="RQ167" s="29"/>
      <c r="RR167" s="29"/>
      <c r="RS167" s="29"/>
      <c r="RT167" s="29"/>
      <c r="RU167" s="29"/>
      <c r="RV167" s="29"/>
      <c r="RW167" s="29"/>
      <c r="RX167" s="29"/>
      <c r="RY167" s="29"/>
      <c r="RZ167" s="29"/>
      <c r="SA167" s="29"/>
      <c r="SB167" s="29"/>
      <c r="SC167" s="29"/>
      <c r="SD167" s="29"/>
      <c r="SE167" s="29"/>
      <c r="SF167" s="29"/>
      <c r="SG167" s="29"/>
      <c r="SH167" s="29"/>
      <c r="SI167" s="29"/>
      <c r="SJ167" s="29"/>
      <c r="SK167" s="29"/>
      <c r="SL167" s="29"/>
      <c r="SM167" s="29"/>
      <c r="SN167" s="29"/>
      <c r="SO167" s="29"/>
      <c r="SP167" s="29"/>
      <c r="SQ167" s="29"/>
      <c r="SR167" s="29"/>
      <c r="SS167" s="29"/>
      <c r="ST167" s="29"/>
      <c r="SU167" s="29"/>
      <c r="SV167" s="29"/>
      <c r="SW167" s="29"/>
      <c r="SX167" s="29"/>
      <c r="SY167" s="29"/>
      <c r="SZ167" s="29"/>
      <c r="TA167" s="29"/>
      <c r="TB167" s="29"/>
      <c r="TC167" s="29"/>
      <c r="TD167" s="29"/>
      <c r="TE167" s="29"/>
      <c r="TF167" s="29"/>
      <c r="TG167" s="29"/>
      <c r="TH167" s="29"/>
      <c r="TI167" s="29"/>
      <c r="TJ167" s="29"/>
      <c r="TK167" s="29"/>
      <c r="TL167" s="29"/>
      <c r="TM167" s="29"/>
      <c r="TN167" s="29"/>
      <c r="TO167" s="29"/>
      <c r="TP167" s="29"/>
      <c r="TQ167" s="29"/>
      <c r="TR167" s="29"/>
      <c r="TS167" s="29"/>
      <c r="TT167" s="29"/>
      <c r="TU167" s="29"/>
      <c r="TV167" s="29"/>
      <c r="TW167" s="29"/>
      <c r="TX167" s="29"/>
      <c r="TY167" s="29"/>
      <c r="TZ167" s="29"/>
      <c r="UA167" s="29"/>
      <c r="UB167" s="29"/>
      <c r="UC167" s="29"/>
      <c r="UD167" s="29"/>
      <c r="UE167" s="29"/>
      <c r="UF167" s="29"/>
      <c r="UG167" s="29"/>
      <c r="UH167" s="29"/>
      <c r="UI167" s="29"/>
      <c r="UJ167" s="29"/>
      <c r="UK167" s="29"/>
      <c r="UL167" s="29"/>
      <c r="UM167" s="29"/>
      <c r="UN167" s="29"/>
      <c r="UO167" s="29"/>
      <c r="UP167" s="29"/>
      <c r="UQ167" s="29"/>
      <c r="UR167" s="29"/>
      <c r="US167" s="29"/>
      <c r="UT167" s="29"/>
      <c r="UU167" s="29"/>
      <c r="UV167" s="29"/>
      <c r="UW167" s="29"/>
      <c r="UX167" s="29"/>
      <c r="UY167" s="29"/>
      <c r="UZ167" s="29"/>
      <c r="VA167" s="29"/>
      <c r="VB167" s="29"/>
      <c r="VC167" s="29"/>
      <c r="VD167" s="29"/>
      <c r="VE167" s="29"/>
      <c r="VF167" s="29"/>
      <c r="VG167" s="29"/>
      <c r="VH167" s="29"/>
      <c r="VI167" s="29"/>
      <c r="VJ167" s="29"/>
      <c r="VK167" s="29"/>
      <c r="VL167" s="29"/>
      <c r="VM167" s="29"/>
      <c r="VN167" s="29"/>
      <c r="VO167" s="29"/>
      <c r="VP167" s="29"/>
      <c r="VQ167" s="29"/>
      <c r="VR167" s="29"/>
      <c r="VS167" s="29"/>
      <c r="VT167" s="29"/>
      <c r="VU167" s="29"/>
      <c r="VV167" s="29"/>
      <c r="VW167" s="29"/>
      <c r="VX167" s="29"/>
      <c r="VY167" s="29"/>
      <c r="VZ167" s="29"/>
      <c r="WA167" s="29"/>
      <c r="WB167" s="29"/>
      <c r="WC167" s="29"/>
      <c r="WD167" s="29"/>
      <c r="WE167" s="29"/>
      <c r="WF167" s="29"/>
      <c r="WG167" s="29"/>
      <c r="WH167" s="29"/>
      <c r="WI167" s="29"/>
      <c r="WJ167" s="29"/>
      <c r="WK167" s="29"/>
      <c r="WL167" s="29"/>
      <c r="WM167" s="29"/>
      <c r="WN167" s="29"/>
      <c r="WO167" s="29"/>
      <c r="WP167" s="29"/>
      <c r="WQ167" s="29"/>
      <c r="WR167" s="29"/>
      <c r="WS167" s="29"/>
    </row>
    <row r="168" spans="1:617" s="3" customFormat="1" ht="15" thickBot="1">
      <c r="A168" s="33"/>
      <c r="B168" s="238" t="s">
        <v>274</v>
      </c>
      <c r="C168" s="238"/>
      <c r="D168" s="238"/>
      <c r="E168" s="238"/>
      <c r="F168" s="14"/>
      <c r="G168" s="14" t="str">
        <f t="shared" ca="1" si="586"/>
        <v/>
      </c>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c r="MM168" s="29"/>
      <c r="MN168" s="29"/>
      <c r="MO168" s="29"/>
      <c r="MP168" s="29"/>
      <c r="MQ168" s="29"/>
      <c r="MR168" s="29"/>
      <c r="MS168" s="29"/>
      <c r="MT168" s="29"/>
      <c r="MU168" s="29"/>
      <c r="MV168" s="29"/>
      <c r="MW168" s="29"/>
      <c r="MX168" s="29"/>
      <c r="MY168" s="29"/>
      <c r="MZ168" s="29"/>
      <c r="NA168" s="29"/>
      <c r="NB168" s="29"/>
      <c r="NC168" s="29"/>
      <c r="ND168" s="29"/>
      <c r="NE168" s="29"/>
      <c r="NF168" s="29"/>
      <c r="NG168" s="29"/>
      <c r="NH168" s="29"/>
      <c r="NI168" s="29"/>
      <c r="NJ168" s="29"/>
      <c r="NK168" s="29"/>
      <c r="NL168" s="29"/>
      <c r="NM168" s="29"/>
      <c r="NN168" s="29"/>
      <c r="NO168" s="29"/>
      <c r="NP168" s="29"/>
      <c r="NQ168" s="29"/>
      <c r="NR168" s="29"/>
      <c r="NS168" s="29"/>
      <c r="NT168" s="29"/>
      <c r="NU168" s="29"/>
      <c r="NV168" s="29"/>
      <c r="NW168" s="29"/>
      <c r="NX168" s="29"/>
      <c r="NY168" s="29"/>
      <c r="NZ168" s="29"/>
      <c r="OA168" s="29"/>
      <c r="OB168" s="29"/>
      <c r="OC168" s="29"/>
      <c r="OD168" s="29"/>
      <c r="OE168" s="29"/>
      <c r="OF168" s="29"/>
      <c r="OG168" s="29"/>
      <c r="OH168" s="29"/>
      <c r="OI168" s="29"/>
      <c r="OJ168" s="29"/>
      <c r="OK168" s="29"/>
      <c r="OL168" s="29"/>
      <c r="OM168" s="29"/>
      <c r="ON168" s="29"/>
      <c r="OO168" s="29"/>
      <c r="OP168" s="29"/>
      <c r="OQ168" s="29"/>
      <c r="OR168" s="29"/>
      <c r="OS168" s="29"/>
      <c r="OT168" s="29"/>
      <c r="OU168" s="29"/>
      <c r="OV168" s="29"/>
      <c r="OW168" s="29"/>
      <c r="OX168" s="29"/>
      <c r="OY168" s="29"/>
      <c r="OZ168" s="29"/>
      <c r="PA168" s="29"/>
      <c r="PB168" s="29"/>
      <c r="PC168" s="29"/>
      <c r="PD168" s="29"/>
      <c r="PE168" s="29"/>
      <c r="PF168" s="29"/>
      <c r="PG168" s="29"/>
      <c r="PH168" s="29"/>
      <c r="PI168" s="29"/>
      <c r="PJ168" s="29"/>
      <c r="PK168" s="29"/>
      <c r="PL168" s="29"/>
      <c r="PM168" s="29"/>
      <c r="PN168" s="29"/>
      <c r="PO168" s="29"/>
      <c r="PP168" s="29"/>
      <c r="PQ168" s="29"/>
      <c r="PR168" s="29"/>
      <c r="PS168" s="29"/>
      <c r="PT168" s="29"/>
      <c r="PU168" s="29"/>
      <c r="PV168" s="29"/>
      <c r="PW168" s="29"/>
      <c r="PX168" s="29"/>
      <c r="PY168" s="29"/>
      <c r="PZ168" s="29"/>
      <c r="QA168" s="29"/>
      <c r="QB168" s="29"/>
      <c r="QC168" s="29"/>
      <c r="QD168" s="29"/>
      <c r="QE168" s="29"/>
      <c r="QF168" s="29"/>
      <c r="QG168" s="29"/>
      <c r="QH168" s="29"/>
      <c r="QI168" s="29"/>
      <c r="QJ168" s="29"/>
      <c r="QK168" s="29"/>
      <c r="QL168" s="29"/>
      <c r="QM168" s="29"/>
      <c r="QN168" s="29"/>
      <c r="QO168" s="29"/>
      <c r="QP168" s="29"/>
      <c r="QQ168" s="29"/>
      <c r="QR168" s="29"/>
      <c r="QS168" s="29"/>
      <c r="QT168" s="29"/>
      <c r="QU168" s="29"/>
      <c r="QV168" s="29"/>
      <c r="QW168" s="29"/>
      <c r="QX168" s="29"/>
      <c r="QY168" s="29"/>
      <c r="QZ168" s="29"/>
      <c r="RA168" s="29"/>
      <c r="RB168" s="29"/>
      <c r="RC168" s="29"/>
      <c r="RD168" s="29"/>
      <c r="RE168" s="29"/>
      <c r="RF168" s="29"/>
      <c r="RG168" s="29"/>
      <c r="RH168" s="29"/>
      <c r="RI168" s="29"/>
      <c r="RJ168" s="29"/>
      <c r="RK168" s="29"/>
      <c r="RL168" s="29"/>
      <c r="RM168" s="29"/>
      <c r="RN168" s="29"/>
      <c r="RO168" s="29"/>
      <c r="RP168" s="29"/>
      <c r="RQ168" s="29"/>
      <c r="RR168" s="29"/>
      <c r="RS168" s="29"/>
      <c r="RT168" s="29"/>
      <c r="RU168" s="29"/>
      <c r="RV168" s="29"/>
      <c r="RW168" s="29"/>
      <c r="RX168" s="29"/>
      <c r="RY168" s="29"/>
      <c r="RZ168" s="29"/>
      <c r="SA168" s="29"/>
      <c r="SB168" s="29"/>
      <c r="SC168" s="29"/>
      <c r="SD168" s="29"/>
      <c r="SE168" s="29"/>
      <c r="SF168" s="29"/>
      <c r="SG168" s="29"/>
      <c r="SH168" s="29"/>
      <c r="SI168" s="29"/>
      <c r="SJ168" s="29"/>
      <c r="SK168" s="29"/>
      <c r="SL168" s="29"/>
      <c r="SM168" s="29"/>
      <c r="SN168" s="29"/>
      <c r="SO168" s="29"/>
      <c r="SP168" s="29"/>
      <c r="SQ168" s="29"/>
      <c r="SR168" s="29"/>
      <c r="SS168" s="29"/>
      <c r="ST168" s="29"/>
      <c r="SU168" s="29"/>
      <c r="SV168" s="29"/>
      <c r="SW168" s="29"/>
      <c r="SX168" s="29"/>
      <c r="SY168" s="29"/>
      <c r="SZ168" s="29"/>
      <c r="TA168" s="29"/>
      <c r="TB168" s="29"/>
      <c r="TC168" s="29"/>
      <c r="TD168" s="29"/>
      <c r="TE168" s="29"/>
      <c r="TF168" s="29"/>
      <c r="TG168" s="29"/>
      <c r="TH168" s="29"/>
      <c r="TI168" s="29"/>
      <c r="TJ168" s="29"/>
      <c r="TK168" s="29"/>
      <c r="TL168" s="29"/>
      <c r="TM168" s="29"/>
      <c r="TN168" s="29"/>
      <c r="TO168" s="29"/>
      <c r="TP168" s="29"/>
      <c r="TQ168" s="29"/>
      <c r="TR168" s="29"/>
      <c r="TS168" s="29"/>
      <c r="TT168" s="29"/>
      <c r="TU168" s="29"/>
      <c r="TV168" s="29"/>
      <c r="TW168" s="29"/>
      <c r="TX168" s="29"/>
      <c r="TY168" s="29"/>
      <c r="TZ168" s="29"/>
      <c r="UA168" s="29"/>
      <c r="UB168" s="29"/>
      <c r="UC168" s="29"/>
      <c r="UD168" s="29"/>
      <c r="UE168" s="29"/>
      <c r="UF168" s="29"/>
      <c r="UG168" s="29"/>
      <c r="UH168" s="29"/>
      <c r="UI168" s="29"/>
      <c r="UJ168" s="29"/>
      <c r="UK168" s="29"/>
      <c r="UL168" s="29"/>
      <c r="UM168" s="29"/>
      <c r="UN168" s="29"/>
      <c r="UO168" s="29"/>
      <c r="UP168" s="29"/>
      <c r="UQ168" s="29"/>
      <c r="UR168" s="29"/>
      <c r="US168" s="29"/>
      <c r="UT168" s="29"/>
      <c r="UU168" s="29"/>
      <c r="UV168" s="29"/>
      <c r="UW168" s="29"/>
      <c r="UX168" s="29"/>
      <c r="UY168" s="29"/>
      <c r="UZ168" s="29"/>
      <c r="VA168" s="29"/>
      <c r="VB168" s="29"/>
      <c r="VC168" s="29"/>
      <c r="VD168" s="29"/>
      <c r="VE168" s="29"/>
      <c r="VF168" s="29"/>
      <c r="VG168" s="29"/>
      <c r="VH168" s="29"/>
      <c r="VI168" s="29"/>
      <c r="VJ168" s="29"/>
      <c r="VK168" s="29"/>
      <c r="VL168" s="29"/>
      <c r="VM168" s="29"/>
      <c r="VN168" s="29"/>
      <c r="VO168" s="29"/>
      <c r="VP168" s="29"/>
      <c r="VQ168" s="29"/>
      <c r="VR168" s="29"/>
      <c r="VS168" s="29"/>
      <c r="VT168" s="29"/>
      <c r="VU168" s="29"/>
      <c r="VV168" s="29"/>
      <c r="VW168" s="29"/>
      <c r="VX168" s="29"/>
      <c r="VY168" s="29"/>
      <c r="VZ168" s="29"/>
      <c r="WA168" s="29"/>
      <c r="WB168" s="29"/>
      <c r="WC168" s="29"/>
      <c r="WD168" s="29"/>
      <c r="WE168" s="29"/>
      <c r="WF168" s="29"/>
      <c r="WG168" s="29"/>
      <c r="WH168" s="29"/>
      <c r="WI168" s="29"/>
      <c r="WJ168" s="29"/>
      <c r="WK168" s="29"/>
      <c r="WL168" s="29"/>
      <c r="WM168" s="29"/>
      <c r="WN168" s="29"/>
      <c r="WO168" s="29"/>
      <c r="WP168" s="29"/>
      <c r="WQ168" s="29"/>
      <c r="WR168" s="29"/>
      <c r="WS168" s="29"/>
    </row>
    <row r="169" spans="1:617" s="3" customFormat="1" ht="12.6" hidden="1" customHeight="1" outlineLevel="1" thickBot="1">
      <c r="A169" s="34" t="s">
        <v>225</v>
      </c>
      <c r="B169" s="47" t="s">
        <v>275</v>
      </c>
      <c r="C169" s="42" t="s">
        <v>104</v>
      </c>
      <c r="D169" s="116">
        <v>45964</v>
      </c>
      <c r="E169" s="116">
        <f t="shared" ref="E169:E172" si="605">D169+G169</f>
        <v>46050</v>
      </c>
      <c r="F169" s="14"/>
      <c r="G169" s="14">
        <v>86</v>
      </c>
      <c r="H169" s="29"/>
      <c r="I169" s="29"/>
      <c r="J169" s="29"/>
      <c r="K169" s="29"/>
      <c r="L169" s="29"/>
      <c r="M169" s="29"/>
      <c r="N169" s="29"/>
      <c r="O169" s="29"/>
      <c r="P169" s="29"/>
      <c r="Q169" s="29"/>
      <c r="R169" s="29"/>
      <c r="S169" s="29"/>
      <c r="T169" s="29"/>
      <c r="U169" s="29"/>
      <c r="V169" s="29"/>
      <c r="W169" s="29"/>
      <c r="X169" s="29"/>
      <c r="Y169" s="29"/>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c r="MM169" s="29"/>
      <c r="MN169" s="29"/>
      <c r="MO169" s="29"/>
      <c r="MP169" s="29"/>
      <c r="MQ169" s="29"/>
      <c r="MR169" s="29"/>
      <c r="MS169" s="29"/>
      <c r="MT169" s="29"/>
      <c r="MU169" s="29"/>
      <c r="MV169" s="29"/>
      <c r="MW169" s="29"/>
      <c r="MX169" s="29"/>
      <c r="MY169" s="29"/>
      <c r="MZ169" s="29"/>
      <c r="NA169" s="29"/>
      <c r="NB169" s="29"/>
      <c r="NC169" s="29"/>
      <c r="ND169" s="29"/>
      <c r="NE169" s="29"/>
      <c r="NF169" s="29"/>
      <c r="NG169" s="29"/>
      <c r="NH169" s="29"/>
      <c r="NI169" s="29"/>
      <c r="NJ169" s="29"/>
      <c r="NK169" s="29"/>
      <c r="NL169" s="29"/>
      <c r="NM169" s="29"/>
      <c r="NN169" s="29"/>
      <c r="NO169" s="29"/>
      <c r="NP169" s="29"/>
      <c r="NQ169" s="29"/>
      <c r="NR169" s="29"/>
      <c r="NS169" s="29"/>
      <c r="NT169" s="29"/>
      <c r="NU169" s="29"/>
      <c r="NV169" s="29"/>
      <c r="NW169" s="29"/>
      <c r="NX169" s="29"/>
      <c r="NY169" s="29"/>
      <c r="NZ169" s="29"/>
      <c r="OA169" s="29"/>
      <c r="OB169" s="29"/>
      <c r="OC169" s="29"/>
      <c r="OD169" s="29"/>
      <c r="OE169" s="29"/>
      <c r="OF169" s="29"/>
      <c r="OG169" s="29"/>
      <c r="OH169" s="29"/>
      <c r="OI169" s="29"/>
      <c r="OJ169" s="29"/>
      <c r="OK169" s="29"/>
      <c r="OL169" s="29"/>
      <c r="OM169" s="29"/>
      <c r="ON169" s="29"/>
      <c r="OO169" s="29"/>
      <c r="OP169" s="29"/>
      <c r="OQ169" s="29"/>
      <c r="OR169" s="29"/>
      <c r="OS169" s="29"/>
      <c r="OT169" s="29"/>
      <c r="OU169" s="29"/>
      <c r="OV169" s="29"/>
      <c r="OW169" s="29"/>
      <c r="OX169" s="29"/>
      <c r="OY169" s="29"/>
      <c r="OZ169" s="29"/>
      <c r="PA169" s="29"/>
      <c r="PB169" s="29"/>
      <c r="PC169" s="29"/>
      <c r="PD169" s="29"/>
      <c r="PE169" s="29"/>
      <c r="PF169" s="29"/>
      <c r="PG169" s="29"/>
      <c r="PH169" s="29"/>
      <c r="PI169" s="29"/>
      <c r="PJ169" s="29"/>
      <c r="PK169" s="29"/>
      <c r="PL169" s="29"/>
      <c r="PM169" s="29"/>
      <c r="PN169" s="29"/>
      <c r="PO169" s="29"/>
      <c r="PP169" s="29"/>
      <c r="PQ169" s="29"/>
      <c r="PR169" s="29"/>
      <c r="PS169" s="29"/>
      <c r="PT169" s="29"/>
      <c r="PU169" s="29"/>
      <c r="PV169" s="29"/>
      <c r="PW169" s="29"/>
      <c r="PX169" s="29"/>
      <c r="PY169" s="29"/>
      <c r="PZ169" s="29"/>
      <c r="QA169" s="29"/>
      <c r="QB169" s="29"/>
      <c r="QC169" s="29"/>
      <c r="QD169" s="29"/>
      <c r="QE169" s="29"/>
      <c r="QF169" s="29"/>
      <c r="QG169" s="29"/>
      <c r="QH169" s="29"/>
      <c r="QI169" s="29"/>
      <c r="QJ169" s="29"/>
      <c r="QK169" s="29"/>
      <c r="QL169" s="29"/>
      <c r="QM169" s="29"/>
      <c r="QN169" s="29"/>
      <c r="QO169" s="29"/>
      <c r="QP169" s="29"/>
      <c r="QQ169" s="29"/>
      <c r="QR169" s="29"/>
      <c r="QS169" s="29"/>
      <c r="QT169" s="29"/>
      <c r="QU169" s="29"/>
      <c r="QV169" s="29"/>
      <c r="QW169" s="29"/>
      <c r="QX169" s="29"/>
      <c r="QY169" s="29"/>
      <c r="QZ169" s="29"/>
      <c r="RA169" s="29"/>
      <c r="RB169" s="29"/>
      <c r="RC169" s="29"/>
      <c r="RD169" s="29"/>
      <c r="RE169" s="29"/>
      <c r="RF169" s="29"/>
      <c r="RG169" s="29"/>
      <c r="RH169" s="29"/>
      <c r="RI169" s="29"/>
      <c r="RJ169" s="29"/>
      <c r="RK169" s="29"/>
      <c r="RL169" s="29"/>
      <c r="RM169" s="29"/>
      <c r="RN169" s="29"/>
      <c r="RO169" s="29"/>
      <c r="RP169" s="29"/>
      <c r="RQ169" s="29"/>
      <c r="RR169" s="29"/>
      <c r="RS169" s="29"/>
      <c r="RT169" s="29"/>
      <c r="RU169" s="29"/>
      <c r="RV169" s="29"/>
      <c r="RW169" s="29"/>
      <c r="RX169" s="29"/>
      <c r="RY169" s="29"/>
      <c r="RZ169" s="29"/>
      <c r="SA169" s="29"/>
      <c r="SB169" s="29"/>
      <c r="SC169" s="29"/>
      <c r="SD169" s="29"/>
      <c r="SE169" s="29"/>
      <c r="SF169" s="29"/>
      <c r="SG169" s="29"/>
      <c r="SH169" s="29"/>
      <c r="SI169" s="29"/>
      <c r="SJ169" s="29"/>
      <c r="SK169" s="29"/>
      <c r="SL169" s="29"/>
      <c r="SM169" s="29"/>
      <c r="SN169" s="29"/>
      <c r="SO169" s="29"/>
      <c r="SP169" s="29"/>
      <c r="SQ169" s="29"/>
      <c r="SR169" s="29"/>
      <c r="SS169" s="29"/>
      <c r="ST169" s="29"/>
      <c r="SU169" s="29"/>
      <c r="SV169" s="29"/>
      <c r="SW169" s="29"/>
      <c r="SX169" s="29"/>
      <c r="SY169" s="29"/>
      <c r="SZ169" s="29"/>
      <c r="TA169" s="29"/>
      <c r="TB169" s="29"/>
      <c r="TC169" s="29"/>
      <c r="TD169" s="29"/>
      <c r="TE169" s="29"/>
      <c r="TF169" s="29"/>
      <c r="TG169" s="29"/>
      <c r="TH169" s="29"/>
      <c r="TI169" s="29"/>
      <c r="TJ169" s="29"/>
      <c r="TK169" s="29"/>
      <c r="TL169" s="29"/>
      <c r="TM169" s="29"/>
      <c r="TN169" s="29"/>
      <c r="TO169" s="29"/>
      <c r="TP169" s="29"/>
      <c r="TQ169" s="29"/>
      <c r="TR169" s="29"/>
      <c r="TS169" s="29"/>
      <c r="TT169" s="29"/>
      <c r="TU169" s="29"/>
      <c r="TV169" s="29"/>
      <c r="TW169" s="29"/>
      <c r="TX169" s="29"/>
      <c r="TY169" s="29"/>
      <c r="TZ169" s="29"/>
      <c r="UA169" s="29"/>
      <c r="UB169" s="29"/>
      <c r="UC169" s="29"/>
      <c r="UD169" s="29"/>
      <c r="UE169" s="29"/>
      <c r="UF169" s="29"/>
      <c r="UG169" s="29"/>
      <c r="UH169" s="29"/>
      <c r="UI169" s="29"/>
      <c r="UJ169" s="29"/>
      <c r="UK169" s="29"/>
      <c r="UL169" s="29"/>
      <c r="UM169" s="29"/>
      <c r="UN169" s="29"/>
      <c r="UO169" s="29"/>
      <c r="UP169" s="29"/>
      <c r="UQ169" s="29"/>
      <c r="UR169" s="29"/>
      <c r="US169" s="29"/>
      <c r="UT169" s="29"/>
      <c r="UU169" s="29"/>
      <c r="UV169" s="29"/>
      <c r="UW169" s="29"/>
      <c r="UX169" s="29"/>
      <c r="UY169" s="29"/>
      <c r="UZ169" s="29"/>
      <c r="VA169" s="29"/>
      <c r="VB169" s="29"/>
      <c r="VC169" s="29"/>
      <c r="VD169" s="29"/>
      <c r="VE169" s="29"/>
      <c r="VF169" s="29"/>
      <c r="VG169" s="29"/>
      <c r="VH169" s="29"/>
      <c r="VI169" s="29"/>
      <c r="VJ169" s="29"/>
      <c r="VK169" s="29"/>
      <c r="VL169" s="29"/>
      <c r="VM169" s="29"/>
      <c r="VN169" s="29"/>
      <c r="VO169" s="29"/>
      <c r="VP169" s="29"/>
      <c r="VQ169" s="29"/>
      <c r="VR169" s="29"/>
      <c r="VS169" s="29"/>
      <c r="VT169" s="29"/>
      <c r="VU169" s="29"/>
      <c r="VV169" s="29"/>
      <c r="VW169" s="29"/>
      <c r="VX169" s="29"/>
      <c r="VY169" s="29"/>
      <c r="VZ169" s="29"/>
      <c r="WA169" s="29"/>
      <c r="WB169" s="29"/>
      <c r="WC169" s="29"/>
      <c r="WD169" s="29"/>
      <c r="WE169" s="29"/>
      <c r="WF169" s="29"/>
      <c r="WG169" s="29"/>
      <c r="WH169" s="29"/>
      <c r="WI169" s="29"/>
      <c r="WJ169" s="29"/>
      <c r="WK169" s="29"/>
      <c r="WL169" s="29"/>
      <c r="WM169" s="29"/>
      <c r="WN169" s="29"/>
      <c r="WO169" s="29"/>
      <c r="WP169" s="29"/>
      <c r="WQ169" s="29"/>
      <c r="WR169" s="29"/>
      <c r="WS169" s="29"/>
    </row>
    <row r="170" spans="1:617" s="3" customFormat="1" ht="15" hidden="1" outlineLevel="1" thickBot="1">
      <c r="A170" s="33"/>
      <c r="B170" s="221" t="s">
        <v>276</v>
      </c>
      <c r="C170" s="222" t="s">
        <v>119</v>
      </c>
      <c r="D170" s="227">
        <v>46037</v>
      </c>
      <c r="E170" s="223">
        <f t="shared" si="605"/>
        <v>46204</v>
      </c>
      <c r="F170" s="14"/>
      <c r="G170" s="186">
        <v>167</v>
      </c>
      <c r="H170" s="29"/>
      <c r="I170" s="29"/>
      <c r="J170" s="29"/>
      <c r="K170" s="29"/>
      <c r="L170" s="29"/>
      <c r="M170" s="29"/>
      <c r="N170" s="29"/>
      <c r="O170" s="29"/>
      <c r="P170" s="29"/>
      <c r="Q170" s="29"/>
      <c r="R170" s="29"/>
      <c r="S170" s="29"/>
      <c r="T170" s="29"/>
      <c r="U170" s="30"/>
      <c r="V170" s="30"/>
      <c r="W170" s="29"/>
      <c r="X170" s="29"/>
      <c r="Y170" s="29"/>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c r="MM170" s="29"/>
      <c r="MN170" s="29"/>
      <c r="MO170" s="29"/>
      <c r="MP170" s="29"/>
      <c r="MQ170" s="29"/>
      <c r="MR170" s="29"/>
      <c r="MS170" s="29"/>
      <c r="MT170" s="29"/>
      <c r="MU170" s="29"/>
      <c r="MV170" s="29"/>
      <c r="MW170" s="29"/>
      <c r="MX170" s="29"/>
      <c r="MY170" s="29"/>
      <c r="MZ170" s="29"/>
      <c r="NA170" s="29"/>
      <c r="NB170" s="29"/>
      <c r="NC170" s="29"/>
      <c r="ND170" s="29"/>
      <c r="NE170" s="29"/>
      <c r="NF170" s="29"/>
      <c r="NG170" s="29"/>
      <c r="NH170" s="29"/>
      <c r="NI170" s="29"/>
      <c r="NJ170" s="29"/>
      <c r="NK170" s="29"/>
      <c r="NL170" s="29"/>
      <c r="NM170" s="29"/>
      <c r="NN170" s="29"/>
      <c r="NO170" s="29"/>
      <c r="NP170" s="29"/>
      <c r="NQ170" s="29"/>
      <c r="NR170" s="29"/>
      <c r="NS170" s="29"/>
      <c r="NT170" s="29"/>
      <c r="NU170" s="29"/>
      <c r="NV170" s="29"/>
      <c r="NW170" s="29"/>
      <c r="NX170" s="29"/>
      <c r="NY170" s="29"/>
      <c r="NZ170" s="29"/>
      <c r="OA170" s="29"/>
      <c r="OB170" s="29"/>
      <c r="OC170" s="29"/>
      <c r="OD170" s="29"/>
      <c r="OE170" s="29"/>
      <c r="OF170" s="29"/>
      <c r="OG170" s="29"/>
      <c r="OH170" s="29"/>
      <c r="OI170" s="29"/>
      <c r="OJ170" s="29"/>
      <c r="OK170" s="29"/>
      <c r="OL170" s="29"/>
      <c r="OM170" s="29"/>
      <c r="ON170" s="29"/>
      <c r="OO170" s="29"/>
      <c r="OP170" s="29"/>
      <c r="OQ170" s="29"/>
      <c r="OR170" s="29"/>
      <c r="OS170" s="29"/>
      <c r="OT170" s="29"/>
      <c r="OU170" s="29"/>
      <c r="OV170" s="29"/>
      <c r="OW170" s="29"/>
      <c r="OX170" s="29"/>
      <c r="OY170" s="29"/>
      <c r="OZ170" s="29"/>
      <c r="PA170" s="29"/>
      <c r="PB170" s="29"/>
      <c r="PC170" s="29"/>
      <c r="PD170" s="29"/>
      <c r="PE170" s="29"/>
      <c r="PF170" s="29"/>
      <c r="PG170" s="29"/>
      <c r="PH170" s="29"/>
      <c r="PI170" s="29"/>
      <c r="PJ170" s="29"/>
      <c r="PK170" s="29"/>
      <c r="PL170" s="29"/>
      <c r="PM170" s="29"/>
      <c r="PN170" s="29"/>
      <c r="PO170" s="29"/>
      <c r="PP170" s="29"/>
      <c r="PQ170" s="29"/>
      <c r="PR170" s="29"/>
      <c r="PS170" s="29"/>
      <c r="PT170" s="29"/>
      <c r="PU170" s="29"/>
      <c r="PV170" s="29"/>
      <c r="PW170" s="29"/>
      <c r="PX170" s="29"/>
      <c r="PY170" s="29"/>
      <c r="PZ170" s="29"/>
      <c r="QA170" s="29"/>
      <c r="QB170" s="29"/>
      <c r="QC170" s="29"/>
      <c r="QD170" s="29"/>
      <c r="QE170" s="29"/>
      <c r="QF170" s="29"/>
      <c r="QG170" s="29"/>
      <c r="QH170" s="29"/>
      <c r="QI170" s="29"/>
      <c r="QJ170" s="29"/>
      <c r="QK170" s="29"/>
      <c r="QL170" s="29"/>
      <c r="QM170" s="29"/>
      <c r="QN170" s="29"/>
      <c r="QO170" s="29"/>
      <c r="QP170" s="29"/>
      <c r="QQ170" s="29"/>
      <c r="QR170" s="29"/>
      <c r="QS170" s="29"/>
      <c r="QT170" s="29"/>
      <c r="QU170" s="29"/>
      <c r="QV170" s="29"/>
      <c r="QW170" s="29"/>
      <c r="QX170" s="29"/>
      <c r="QY170" s="29"/>
      <c r="QZ170" s="29"/>
      <c r="RA170" s="29"/>
      <c r="RB170" s="29"/>
      <c r="RC170" s="29"/>
      <c r="RD170" s="29"/>
      <c r="RE170" s="29"/>
      <c r="RF170" s="29"/>
      <c r="RG170" s="29"/>
      <c r="RH170" s="29"/>
      <c r="RI170" s="29"/>
      <c r="RJ170" s="29"/>
      <c r="RK170" s="29"/>
      <c r="RL170" s="29"/>
      <c r="RM170" s="29"/>
      <c r="RN170" s="29"/>
      <c r="RO170" s="29"/>
      <c r="RP170" s="29"/>
      <c r="RQ170" s="29"/>
      <c r="RR170" s="29"/>
      <c r="RS170" s="29"/>
      <c r="RT170" s="29"/>
      <c r="RU170" s="29"/>
      <c r="RV170" s="29"/>
      <c r="RW170" s="29"/>
      <c r="RX170" s="29"/>
      <c r="RY170" s="29"/>
      <c r="RZ170" s="29"/>
      <c r="SA170" s="29"/>
      <c r="SB170" s="29"/>
      <c r="SC170" s="29"/>
      <c r="SD170" s="29"/>
      <c r="SE170" s="29"/>
      <c r="SF170" s="29"/>
      <c r="SG170" s="29"/>
      <c r="SH170" s="29"/>
      <c r="SI170" s="29"/>
      <c r="SJ170" s="29"/>
      <c r="SK170" s="29"/>
      <c r="SL170" s="29"/>
      <c r="SM170" s="29"/>
      <c r="SN170" s="29"/>
      <c r="SO170" s="29"/>
      <c r="SP170" s="29"/>
      <c r="SQ170" s="29"/>
      <c r="SR170" s="29"/>
      <c r="SS170" s="29"/>
      <c r="ST170" s="29"/>
      <c r="SU170" s="29"/>
      <c r="SV170" s="29"/>
      <c r="SW170" s="29"/>
      <c r="SX170" s="29"/>
      <c r="SY170" s="29"/>
      <c r="SZ170" s="29"/>
      <c r="TA170" s="29"/>
      <c r="TB170" s="29"/>
      <c r="TC170" s="29"/>
      <c r="TD170" s="29"/>
      <c r="TE170" s="29"/>
      <c r="TF170" s="29"/>
      <c r="TG170" s="29"/>
      <c r="TH170" s="29"/>
      <c r="TI170" s="29"/>
      <c r="TJ170" s="29"/>
      <c r="TK170" s="29"/>
      <c r="TL170" s="29"/>
      <c r="TM170" s="29"/>
      <c r="TN170" s="29"/>
      <c r="TO170" s="29"/>
      <c r="TP170" s="29"/>
      <c r="TQ170" s="29"/>
      <c r="TR170" s="29"/>
      <c r="TS170" s="29"/>
      <c r="TT170" s="29"/>
      <c r="TU170" s="29"/>
      <c r="TV170" s="29"/>
      <c r="TW170" s="29"/>
      <c r="TX170" s="29"/>
      <c r="TY170" s="29"/>
      <c r="TZ170" s="29"/>
      <c r="UA170" s="29"/>
      <c r="UB170" s="29"/>
      <c r="UC170" s="29"/>
      <c r="UD170" s="29"/>
      <c r="UE170" s="29"/>
      <c r="UF170" s="29"/>
      <c r="UG170" s="29"/>
      <c r="UH170" s="29"/>
      <c r="UI170" s="29"/>
      <c r="UJ170" s="29"/>
      <c r="UK170" s="29"/>
      <c r="UL170" s="29"/>
      <c r="UM170" s="29"/>
      <c r="UN170" s="29"/>
      <c r="UO170" s="29"/>
      <c r="UP170" s="29"/>
      <c r="UQ170" s="29"/>
      <c r="UR170" s="29"/>
      <c r="US170" s="29"/>
      <c r="UT170" s="29"/>
      <c r="UU170" s="29"/>
      <c r="UV170" s="29"/>
      <c r="UW170" s="29"/>
      <c r="UX170" s="29"/>
      <c r="UY170" s="29"/>
      <c r="UZ170" s="29"/>
      <c r="VA170" s="29"/>
      <c r="VB170" s="29"/>
      <c r="VC170" s="29"/>
      <c r="VD170" s="29"/>
      <c r="VE170" s="29"/>
      <c r="VF170" s="29"/>
      <c r="VG170" s="29"/>
      <c r="VH170" s="29"/>
      <c r="VI170" s="29"/>
      <c r="VJ170" s="29"/>
      <c r="VK170" s="29"/>
      <c r="VL170" s="29"/>
      <c r="VM170" s="29"/>
      <c r="VN170" s="29"/>
      <c r="VO170" s="29"/>
      <c r="VP170" s="29"/>
      <c r="VQ170" s="29"/>
      <c r="VR170" s="29"/>
      <c r="VS170" s="29"/>
      <c r="VT170" s="29"/>
      <c r="VU170" s="29"/>
      <c r="VV170" s="29"/>
      <c r="VW170" s="29"/>
      <c r="VX170" s="29"/>
      <c r="VY170" s="29"/>
      <c r="VZ170" s="29"/>
      <c r="WA170" s="29"/>
      <c r="WB170" s="29"/>
      <c r="WC170" s="29"/>
      <c r="WD170" s="29"/>
      <c r="WE170" s="29"/>
      <c r="WF170" s="29"/>
      <c r="WG170" s="29"/>
      <c r="WH170" s="29"/>
      <c r="WI170" s="29"/>
      <c r="WJ170" s="29"/>
      <c r="WK170" s="29"/>
      <c r="WL170" s="29"/>
      <c r="WM170" s="29"/>
      <c r="WN170" s="29"/>
      <c r="WO170" s="29"/>
      <c r="WP170" s="29"/>
      <c r="WQ170" s="29"/>
      <c r="WR170" s="29"/>
      <c r="WS170" s="29"/>
    </row>
    <row r="171" spans="1:617" s="3" customFormat="1" ht="15" hidden="1" outlineLevel="1" thickBot="1">
      <c r="A171" s="33"/>
      <c r="B171" s="221" t="s">
        <v>275</v>
      </c>
      <c r="C171" s="222" t="s">
        <v>108</v>
      </c>
      <c r="D171" s="224">
        <v>46058</v>
      </c>
      <c r="E171" s="224">
        <f t="shared" si="605"/>
        <v>46114</v>
      </c>
      <c r="F171" s="14"/>
      <c r="G171" s="14">
        <v>56</v>
      </c>
      <c r="H171" s="29"/>
      <c r="I171" s="29"/>
      <c r="J171" s="29"/>
      <c r="K171" s="29"/>
      <c r="L171" s="29"/>
      <c r="M171" s="29"/>
      <c r="N171" s="29"/>
      <c r="O171" s="29"/>
      <c r="P171" s="29"/>
      <c r="Q171" s="29"/>
      <c r="R171" s="29"/>
      <c r="S171" s="29"/>
      <c r="T171" s="29"/>
      <c r="U171" s="29"/>
      <c r="V171" s="29"/>
      <c r="W171" s="29"/>
      <c r="X171" s="29"/>
      <c r="Y171" s="30"/>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c r="BO171" s="29"/>
      <c r="BP171" s="29"/>
      <c r="BQ171" s="29"/>
      <c r="BR171" s="29"/>
      <c r="BS171" s="29"/>
      <c r="BT171" s="29"/>
      <c r="BU171" s="29"/>
      <c r="BV171" s="29"/>
      <c r="BW171" s="29"/>
      <c r="BX171" s="29"/>
      <c r="BY171" s="29"/>
      <c r="BZ171" s="29"/>
      <c r="CA171" s="29"/>
      <c r="CB171" s="29"/>
      <c r="CC171" s="29"/>
      <c r="CD171" s="29"/>
      <c r="CE171" s="29"/>
      <c r="CF171" s="29"/>
      <c r="CG171" s="29"/>
      <c r="CH171" s="29"/>
      <c r="CI171" s="29"/>
      <c r="CJ171" s="29"/>
      <c r="CK171" s="29"/>
      <c r="CL171" s="29"/>
      <c r="CM171" s="29"/>
      <c r="CN171" s="29"/>
      <c r="CO171" s="29"/>
      <c r="CP171" s="29"/>
      <c r="CQ171" s="29"/>
      <c r="CR171" s="29"/>
      <c r="CS171" s="29"/>
      <c r="CT171" s="29"/>
      <c r="CU171" s="29"/>
      <c r="CV171" s="29"/>
      <c r="CW171" s="29"/>
      <c r="CX171" s="29"/>
      <c r="CY171" s="29"/>
      <c r="CZ171" s="29"/>
      <c r="DA171" s="29"/>
      <c r="DB171" s="29"/>
      <c r="DC171" s="29"/>
      <c r="DD171" s="29"/>
      <c r="DE171" s="29"/>
      <c r="DF171" s="29"/>
      <c r="DG171" s="29"/>
      <c r="DH171" s="29"/>
      <c r="DI171" s="29"/>
      <c r="DJ171" s="29"/>
      <c r="DK171" s="29"/>
      <c r="DL171" s="29"/>
      <c r="DM171" s="29"/>
      <c r="DN171" s="29"/>
      <c r="DO171" s="29"/>
      <c r="DP171" s="29"/>
      <c r="DQ171" s="29"/>
      <c r="DR171" s="29"/>
      <c r="DS171" s="29"/>
      <c r="DT171" s="29"/>
      <c r="DU171" s="29"/>
      <c r="DV171" s="29"/>
      <c r="DW171" s="29"/>
      <c r="DX171" s="29"/>
      <c r="DY171" s="29"/>
      <c r="DZ171" s="29"/>
      <c r="EA171" s="29"/>
      <c r="EB171" s="29"/>
      <c r="EC171" s="29"/>
      <c r="ED171" s="29"/>
      <c r="EE171" s="29"/>
      <c r="EF171" s="29"/>
      <c r="EG171" s="29"/>
      <c r="EH171" s="29"/>
      <c r="EI171" s="29"/>
      <c r="EJ171" s="29"/>
      <c r="EK171" s="29"/>
      <c r="EL171" s="29"/>
      <c r="EM171" s="29"/>
      <c r="EN171" s="29"/>
      <c r="EO171" s="29"/>
      <c r="EP171" s="29"/>
      <c r="EQ171" s="29"/>
      <c r="ER171" s="29"/>
      <c r="ES171" s="29"/>
      <c r="ET171" s="29"/>
      <c r="EU171" s="29"/>
      <c r="EV171" s="29"/>
      <c r="EW171" s="29"/>
      <c r="EX171" s="29"/>
      <c r="EY171" s="29"/>
      <c r="EZ171" s="29"/>
      <c r="FA171" s="29"/>
      <c r="FB171" s="29"/>
      <c r="FC171" s="29"/>
      <c r="FD171" s="29"/>
      <c r="FE171" s="29"/>
      <c r="FF171" s="29"/>
      <c r="FG171" s="29"/>
      <c r="FH171" s="29"/>
      <c r="FI171" s="29"/>
      <c r="FJ171" s="29"/>
      <c r="FK171" s="29"/>
      <c r="FL171" s="29"/>
      <c r="FM171" s="29"/>
      <c r="FN171" s="29"/>
      <c r="FO171" s="29"/>
      <c r="FP171" s="29"/>
      <c r="FQ171" s="29"/>
      <c r="FR171" s="29"/>
      <c r="FS171" s="29"/>
      <c r="FT171" s="29"/>
      <c r="FU171" s="29"/>
      <c r="FV171" s="29"/>
      <c r="FW171" s="29"/>
      <c r="FX171" s="29"/>
      <c r="FY171" s="29"/>
      <c r="FZ171" s="29"/>
      <c r="GA171" s="29"/>
      <c r="GB171" s="29"/>
      <c r="GC171" s="29"/>
      <c r="GD171" s="29"/>
      <c r="GE171" s="29"/>
      <c r="GF171" s="29"/>
      <c r="GG171" s="29"/>
      <c r="GH171" s="29"/>
      <c r="GI171" s="29"/>
      <c r="GJ171" s="29"/>
      <c r="GK171" s="29"/>
      <c r="GL171" s="29"/>
      <c r="GM171" s="29"/>
      <c r="GN171" s="29"/>
      <c r="GO171" s="29"/>
      <c r="GP171" s="29"/>
      <c r="GQ171" s="29"/>
      <c r="GR171" s="29"/>
      <c r="GS171" s="29"/>
      <c r="GT171" s="29"/>
      <c r="GU171" s="29"/>
      <c r="GV171" s="29"/>
      <c r="GW171" s="29"/>
      <c r="GX171" s="29"/>
      <c r="GY171" s="29"/>
      <c r="GZ171" s="29"/>
      <c r="HA171" s="29"/>
      <c r="HB171" s="29"/>
      <c r="HC171" s="29"/>
      <c r="HD171" s="29"/>
      <c r="HE171" s="29"/>
      <c r="HF171" s="29"/>
      <c r="HG171" s="29"/>
      <c r="HH171" s="29"/>
      <c r="HI171" s="29"/>
      <c r="HJ171" s="29"/>
      <c r="HK171" s="29"/>
      <c r="HL171" s="29"/>
      <c r="HM171" s="29"/>
      <c r="HN171" s="29"/>
      <c r="HO171" s="29"/>
      <c r="HP171" s="29"/>
      <c r="HQ171" s="29"/>
      <c r="HR171" s="29"/>
      <c r="HS171" s="29"/>
      <c r="HT171" s="29"/>
      <c r="HU171" s="29"/>
      <c r="HV171" s="29"/>
      <c r="HW171" s="29"/>
      <c r="HX171" s="29"/>
      <c r="HY171" s="29"/>
      <c r="HZ171" s="29"/>
      <c r="IA171" s="29"/>
      <c r="IB171" s="29"/>
      <c r="IC171" s="29"/>
      <c r="ID171" s="29"/>
      <c r="IE171" s="29"/>
      <c r="IF171" s="29"/>
      <c r="IG171" s="29"/>
      <c r="IH171" s="29"/>
      <c r="II171" s="29"/>
      <c r="IJ171" s="29"/>
      <c r="IK171" s="29"/>
      <c r="IL171" s="29"/>
      <c r="IM171" s="29"/>
      <c r="IN171" s="29"/>
      <c r="IO171" s="29"/>
      <c r="IP171" s="29"/>
      <c r="IQ171" s="29"/>
      <c r="IR171" s="29"/>
      <c r="IS171" s="29"/>
      <c r="IT171" s="29"/>
      <c r="IU171" s="29"/>
      <c r="IV171" s="29"/>
      <c r="IW171" s="29"/>
      <c r="IX171" s="29"/>
      <c r="IY171" s="29"/>
      <c r="IZ171" s="29"/>
      <c r="JA171" s="29"/>
      <c r="JB171" s="29"/>
      <c r="JC171" s="29"/>
      <c r="JD171" s="29"/>
      <c r="JE171" s="29"/>
      <c r="JF171" s="29"/>
      <c r="JG171" s="29"/>
      <c r="JH171" s="29"/>
      <c r="JI171" s="29"/>
      <c r="JJ171" s="29"/>
      <c r="JK171" s="29"/>
      <c r="JL171" s="29"/>
      <c r="JM171" s="29"/>
      <c r="JN171" s="29"/>
      <c r="JO171" s="29"/>
      <c r="JP171" s="29"/>
      <c r="JQ171" s="29"/>
      <c r="JR171" s="29"/>
      <c r="JS171" s="29"/>
      <c r="JT171" s="29"/>
      <c r="JU171" s="29"/>
      <c r="JV171" s="29"/>
      <c r="JW171" s="29"/>
      <c r="JX171" s="29"/>
      <c r="JY171" s="29"/>
      <c r="JZ171" s="29"/>
      <c r="KA171" s="29"/>
      <c r="KB171" s="29"/>
      <c r="KC171" s="29"/>
      <c r="KD171" s="29"/>
      <c r="KE171" s="29"/>
      <c r="KF171" s="29"/>
      <c r="KG171" s="29"/>
      <c r="KH171" s="29"/>
      <c r="KI171" s="29"/>
      <c r="KJ171" s="29"/>
      <c r="KK171" s="29"/>
      <c r="KL171" s="29"/>
      <c r="KM171" s="29"/>
      <c r="KN171" s="29"/>
      <c r="KO171" s="29"/>
      <c r="KP171" s="29"/>
      <c r="KQ171" s="29"/>
      <c r="KR171" s="29"/>
      <c r="KS171" s="29"/>
      <c r="KT171" s="29"/>
      <c r="KU171" s="29"/>
      <c r="KV171" s="29"/>
      <c r="KW171" s="29"/>
      <c r="KX171" s="29"/>
      <c r="KY171" s="29"/>
      <c r="KZ171" s="29"/>
      <c r="LA171" s="29"/>
      <c r="LB171" s="29"/>
      <c r="LC171" s="29"/>
      <c r="LD171" s="29"/>
      <c r="LE171" s="29"/>
      <c r="LF171" s="29"/>
      <c r="LG171" s="29"/>
      <c r="LH171" s="29"/>
      <c r="LI171" s="29"/>
      <c r="LJ171" s="29"/>
      <c r="LK171" s="29"/>
      <c r="LL171" s="29"/>
      <c r="LM171" s="29"/>
      <c r="LN171" s="29"/>
      <c r="LO171" s="29"/>
      <c r="LP171" s="29"/>
      <c r="LQ171" s="29"/>
      <c r="LR171" s="29"/>
      <c r="LS171" s="29"/>
      <c r="LT171" s="29"/>
      <c r="LU171" s="29"/>
      <c r="LV171" s="29"/>
      <c r="LW171" s="29"/>
      <c r="LX171" s="29"/>
      <c r="LY171" s="29"/>
      <c r="LZ171" s="29"/>
      <c r="MA171" s="29"/>
      <c r="MB171" s="29"/>
      <c r="MC171" s="29"/>
      <c r="MD171" s="29"/>
      <c r="ME171" s="29"/>
      <c r="MF171" s="29"/>
      <c r="MG171" s="29"/>
      <c r="MH171" s="29"/>
      <c r="MI171" s="29"/>
      <c r="MJ171" s="29"/>
      <c r="MK171" s="29"/>
      <c r="ML171" s="29"/>
      <c r="MM171" s="29"/>
      <c r="MN171" s="29"/>
      <c r="MO171" s="29"/>
      <c r="MP171" s="29"/>
      <c r="MQ171" s="29"/>
      <c r="MR171" s="29"/>
      <c r="MS171" s="29"/>
      <c r="MT171" s="29"/>
      <c r="MU171" s="29"/>
      <c r="MV171" s="29"/>
      <c r="MW171" s="29"/>
      <c r="MX171" s="29"/>
      <c r="MY171" s="29"/>
      <c r="MZ171" s="29"/>
      <c r="NA171" s="29"/>
      <c r="NB171" s="29"/>
      <c r="NC171" s="29"/>
      <c r="ND171" s="29"/>
      <c r="NE171" s="29"/>
      <c r="NF171" s="29"/>
      <c r="NG171" s="29"/>
      <c r="NH171" s="29"/>
      <c r="NI171" s="29"/>
      <c r="NJ171" s="29"/>
      <c r="NK171" s="29"/>
      <c r="NL171" s="29"/>
      <c r="NM171" s="29"/>
      <c r="NN171" s="29"/>
      <c r="NO171" s="29"/>
      <c r="NP171" s="29"/>
      <c r="NQ171" s="29"/>
      <c r="NR171" s="29"/>
      <c r="NS171" s="29"/>
      <c r="NT171" s="29"/>
      <c r="NU171" s="29"/>
      <c r="NV171" s="29"/>
      <c r="NW171" s="29"/>
      <c r="NX171" s="29"/>
      <c r="NY171" s="29"/>
      <c r="NZ171" s="29"/>
      <c r="OA171" s="29"/>
      <c r="OB171" s="29"/>
      <c r="OC171" s="29"/>
      <c r="OD171" s="29"/>
      <c r="OE171" s="29"/>
      <c r="OF171" s="29"/>
      <c r="OG171" s="29"/>
      <c r="OH171" s="29"/>
      <c r="OI171" s="29"/>
      <c r="OJ171" s="29"/>
      <c r="OK171" s="29"/>
      <c r="OL171" s="29"/>
      <c r="OM171" s="29"/>
      <c r="ON171" s="29"/>
      <c r="OO171" s="29"/>
      <c r="OP171" s="29"/>
      <c r="OQ171" s="29"/>
      <c r="OR171" s="29"/>
      <c r="OS171" s="29"/>
      <c r="OT171" s="29"/>
      <c r="OU171" s="29"/>
      <c r="OV171" s="29"/>
      <c r="OW171" s="29"/>
      <c r="OX171" s="29"/>
      <c r="OY171" s="29"/>
      <c r="OZ171" s="29"/>
      <c r="PA171" s="29"/>
      <c r="PB171" s="29"/>
      <c r="PC171" s="29"/>
      <c r="PD171" s="29"/>
      <c r="PE171" s="29"/>
      <c r="PF171" s="29"/>
      <c r="PG171" s="29"/>
      <c r="PH171" s="29"/>
      <c r="PI171" s="29"/>
      <c r="PJ171" s="29"/>
      <c r="PK171" s="29"/>
      <c r="PL171" s="29"/>
      <c r="PM171" s="29"/>
      <c r="PN171" s="29"/>
      <c r="PO171" s="29"/>
      <c r="PP171" s="29"/>
      <c r="PQ171" s="29"/>
      <c r="PR171" s="29"/>
      <c r="PS171" s="29"/>
      <c r="PT171" s="29"/>
      <c r="PU171" s="29"/>
      <c r="PV171" s="29"/>
      <c r="PW171" s="29"/>
      <c r="PX171" s="29"/>
      <c r="PY171" s="29"/>
      <c r="PZ171" s="29"/>
      <c r="QA171" s="29"/>
      <c r="QB171" s="29"/>
      <c r="QC171" s="29"/>
      <c r="QD171" s="29"/>
      <c r="QE171" s="29"/>
      <c r="QF171" s="29"/>
      <c r="QG171" s="29"/>
      <c r="QH171" s="29"/>
      <c r="QI171" s="29"/>
      <c r="QJ171" s="29"/>
      <c r="QK171" s="29"/>
      <c r="QL171" s="29"/>
      <c r="QM171" s="29"/>
      <c r="QN171" s="29"/>
      <c r="QO171" s="29"/>
      <c r="QP171" s="29"/>
      <c r="QQ171" s="29"/>
      <c r="QR171" s="29"/>
      <c r="QS171" s="29"/>
      <c r="QT171" s="29"/>
      <c r="QU171" s="29"/>
      <c r="QV171" s="29"/>
      <c r="QW171" s="29"/>
      <c r="QX171" s="29"/>
      <c r="QY171" s="29"/>
      <c r="QZ171" s="29"/>
      <c r="RA171" s="29"/>
      <c r="RB171" s="29"/>
      <c r="RC171" s="29"/>
      <c r="RD171" s="29"/>
      <c r="RE171" s="29"/>
      <c r="RF171" s="29"/>
      <c r="RG171" s="29"/>
      <c r="RH171" s="29"/>
      <c r="RI171" s="29"/>
      <c r="RJ171" s="29"/>
      <c r="RK171" s="29"/>
      <c r="RL171" s="29"/>
      <c r="RM171" s="29"/>
      <c r="RN171" s="29"/>
      <c r="RO171" s="29"/>
      <c r="RP171" s="29"/>
      <c r="RQ171" s="29"/>
      <c r="RR171" s="29"/>
      <c r="RS171" s="29"/>
      <c r="RT171" s="29"/>
      <c r="RU171" s="29"/>
      <c r="RV171" s="29"/>
      <c r="RW171" s="29"/>
      <c r="RX171" s="29"/>
      <c r="RY171" s="29"/>
      <c r="RZ171" s="29"/>
      <c r="SA171" s="29"/>
      <c r="SB171" s="29"/>
      <c r="SC171" s="29"/>
      <c r="SD171" s="29"/>
      <c r="SE171" s="29"/>
      <c r="SF171" s="29"/>
      <c r="SG171" s="29"/>
      <c r="SH171" s="29"/>
      <c r="SI171" s="29"/>
      <c r="SJ171" s="29"/>
      <c r="SK171" s="29"/>
      <c r="SL171" s="29"/>
      <c r="SM171" s="29"/>
      <c r="SN171" s="29"/>
      <c r="SO171" s="29"/>
      <c r="SP171" s="29"/>
      <c r="SQ171" s="29"/>
      <c r="SR171" s="29"/>
      <c r="SS171" s="29"/>
      <c r="ST171" s="29"/>
      <c r="SU171" s="29"/>
      <c r="SV171" s="29"/>
      <c r="SW171" s="29"/>
      <c r="SX171" s="29"/>
      <c r="SY171" s="29"/>
      <c r="SZ171" s="29"/>
      <c r="TA171" s="29"/>
      <c r="TB171" s="29"/>
      <c r="TC171" s="29"/>
      <c r="TD171" s="29"/>
      <c r="TE171" s="29"/>
      <c r="TF171" s="29"/>
      <c r="TG171" s="29"/>
      <c r="TH171" s="29"/>
      <c r="TI171" s="29"/>
      <c r="TJ171" s="29"/>
      <c r="TK171" s="29"/>
      <c r="TL171" s="29"/>
      <c r="TM171" s="29"/>
      <c r="TN171" s="29"/>
      <c r="TO171" s="29"/>
      <c r="TP171" s="29"/>
      <c r="TQ171" s="29"/>
      <c r="TR171" s="29"/>
      <c r="TS171" s="29"/>
      <c r="TT171" s="29"/>
      <c r="TU171" s="29"/>
      <c r="TV171" s="29"/>
      <c r="TW171" s="29"/>
      <c r="TX171" s="29"/>
      <c r="TY171" s="29"/>
      <c r="TZ171" s="29"/>
      <c r="UA171" s="29"/>
      <c r="UB171" s="29"/>
      <c r="UC171" s="29"/>
      <c r="UD171" s="29"/>
      <c r="UE171" s="29"/>
      <c r="UF171" s="29"/>
      <c r="UG171" s="29"/>
      <c r="UH171" s="29"/>
      <c r="UI171" s="29"/>
      <c r="UJ171" s="29"/>
      <c r="UK171" s="29"/>
      <c r="UL171" s="29"/>
      <c r="UM171" s="29"/>
      <c r="UN171" s="29"/>
      <c r="UO171" s="29"/>
      <c r="UP171" s="29"/>
      <c r="UQ171" s="29"/>
      <c r="UR171" s="29"/>
      <c r="US171" s="29"/>
      <c r="UT171" s="29"/>
      <c r="UU171" s="29"/>
      <c r="UV171" s="29"/>
      <c r="UW171" s="29"/>
      <c r="UX171" s="29"/>
      <c r="UY171" s="29"/>
      <c r="UZ171" s="29"/>
      <c r="VA171" s="29"/>
      <c r="VB171" s="29"/>
      <c r="VC171" s="29"/>
      <c r="VD171" s="29"/>
      <c r="VE171" s="29"/>
      <c r="VF171" s="29"/>
      <c r="VG171" s="29"/>
      <c r="VH171" s="29"/>
      <c r="VI171" s="29"/>
      <c r="VJ171" s="29"/>
      <c r="VK171" s="29"/>
      <c r="VL171" s="29"/>
      <c r="VM171" s="29"/>
      <c r="VN171" s="29"/>
      <c r="VO171" s="29"/>
      <c r="VP171" s="29"/>
      <c r="VQ171" s="29"/>
      <c r="VR171" s="29"/>
      <c r="VS171" s="29"/>
      <c r="VT171" s="29"/>
      <c r="VU171" s="29"/>
      <c r="VV171" s="29"/>
      <c r="VW171" s="29"/>
      <c r="VX171" s="29"/>
      <c r="VY171" s="29"/>
      <c r="VZ171" s="29"/>
      <c r="WA171" s="29"/>
      <c r="WB171" s="29"/>
      <c r="WC171" s="29"/>
      <c r="WD171" s="29"/>
      <c r="WE171" s="29"/>
      <c r="WF171" s="29"/>
      <c r="WG171" s="29"/>
      <c r="WH171" s="29"/>
      <c r="WI171" s="29"/>
      <c r="WJ171" s="29"/>
      <c r="WK171" s="29"/>
      <c r="WL171" s="29"/>
      <c r="WM171" s="29"/>
      <c r="WN171" s="29"/>
      <c r="WO171" s="29"/>
      <c r="WP171" s="29"/>
      <c r="WQ171" s="29"/>
      <c r="WR171" s="29"/>
      <c r="WS171" s="29"/>
    </row>
    <row r="172" spans="1:617" s="3" customFormat="1" ht="15" outlineLevel="1" thickBot="1">
      <c r="A172" s="33"/>
      <c r="B172" s="221" t="s">
        <v>276</v>
      </c>
      <c r="C172" s="222" t="s">
        <v>277</v>
      </c>
      <c r="D172" s="223">
        <f>E170</f>
        <v>46204</v>
      </c>
      <c r="E172" s="224">
        <f t="shared" si="605"/>
        <v>46287</v>
      </c>
      <c r="F172" s="14"/>
      <c r="G172" s="14">
        <v>83</v>
      </c>
      <c r="H172" s="29"/>
      <c r="I172" s="29"/>
      <c r="J172" s="29"/>
      <c r="K172" s="29"/>
      <c r="L172" s="29"/>
      <c r="M172" s="29"/>
      <c r="N172" s="29"/>
      <c r="O172" s="29"/>
      <c r="P172" s="29"/>
      <c r="Q172" s="29"/>
      <c r="R172" s="29"/>
      <c r="S172" s="29"/>
      <c r="T172" s="29"/>
      <c r="U172" s="29"/>
      <c r="V172" s="29"/>
      <c r="W172" s="29"/>
      <c r="X172" s="29"/>
      <c r="Y172" s="30"/>
      <c r="Z172" s="29"/>
      <c r="AA172" s="29"/>
      <c r="AB172" s="29"/>
      <c r="AC172" s="29"/>
      <c r="AD172" s="29"/>
      <c r="AE172" s="29"/>
      <c r="AF172" s="29"/>
      <c r="AG172" s="29"/>
      <c r="AH172" s="29"/>
      <c r="AI172" s="29"/>
      <c r="AJ172" s="29"/>
      <c r="AK172" s="29"/>
      <c r="AL172" s="29"/>
      <c r="AM172" s="29"/>
      <c r="AN172" s="29"/>
      <c r="AO172" s="29"/>
      <c r="AP172" s="29"/>
      <c r="AQ172" s="29"/>
      <c r="AR172" s="29"/>
      <c r="AS172" s="29"/>
      <c r="AT172" s="29"/>
      <c r="AU172" s="29"/>
      <c r="AV172" s="29"/>
      <c r="AW172" s="29"/>
      <c r="AX172" s="29"/>
      <c r="AY172" s="29"/>
      <c r="AZ172" s="29"/>
      <c r="BA172" s="29"/>
      <c r="BB172" s="29"/>
      <c r="BC172" s="29"/>
      <c r="BD172" s="29"/>
      <c r="BE172" s="29"/>
      <c r="BF172" s="29"/>
      <c r="BG172" s="29"/>
      <c r="BH172" s="29"/>
      <c r="BI172" s="29"/>
      <c r="BJ172" s="29"/>
      <c r="BK172" s="29"/>
      <c r="BL172" s="29"/>
      <c r="BM172" s="29"/>
      <c r="BN172" s="29"/>
      <c r="BO172" s="29"/>
      <c r="BP172" s="29"/>
      <c r="BQ172" s="29"/>
      <c r="BR172" s="29"/>
      <c r="BS172" s="29"/>
      <c r="BT172" s="29"/>
      <c r="BU172" s="29"/>
      <c r="BV172" s="29"/>
      <c r="BW172" s="29"/>
      <c r="BX172" s="29"/>
      <c r="BY172" s="29"/>
      <c r="BZ172" s="29"/>
      <c r="CA172" s="29"/>
      <c r="CB172" s="29"/>
      <c r="CC172" s="29"/>
      <c r="CD172" s="29"/>
      <c r="CE172" s="29"/>
      <c r="CF172" s="29"/>
      <c r="CG172" s="29"/>
      <c r="CH172" s="29"/>
      <c r="CI172" s="29"/>
      <c r="CJ172" s="29"/>
      <c r="CK172" s="29"/>
      <c r="CL172" s="29"/>
      <c r="CM172" s="29"/>
      <c r="CN172" s="29"/>
      <c r="CO172" s="29"/>
      <c r="CP172" s="29"/>
      <c r="CQ172" s="29"/>
      <c r="CR172" s="29"/>
      <c r="CS172" s="29"/>
      <c r="CT172" s="29"/>
      <c r="CU172" s="29"/>
      <c r="CV172" s="29"/>
      <c r="CW172" s="29"/>
      <c r="CX172" s="29"/>
      <c r="CY172" s="29"/>
      <c r="CZ172" s="29"/>
      <c r="DA172" s="29"/>
      <c r="DB172" s="29"/>
      <c r="DC172" s="29"/>
      <c r="DD172" s="29"/>
      <c r="DE172" s="29"/>
      <c r="DF172" s="29"/>
      <c r="DG172" s="29"/>
      <c r="DH172" s="29"/>
      <c r="DI172" s="29"/>
      <c r="DJ172" s="29"/>
      <c r="DK172" s="29"/>
      <c r="DL172" s="29"/>
      <c r="DM172" s="29"/>
      <c r="DN172" s="29"/>
      <c r="DO172" s="29"/>
      <c r="DP172" s="29"/>
      <c r="DQ172" s="29"/>
      <c r="DR172" s="29"/>
      <c r="DS172" s="29"/>
      <c r="DT172" s="29"/>
      <c r="DU172" s="29"/>
      <c r="DV172" s="29"/>
      <c r="DW172" s="29"/>
      <c r="DX172" s="29"/>
      <c r="DY172" s="29"/>
      <c r="DZ172" s="29"/>
      <c r="EA172" s="29"/>
      <c r="EB172" s="29"/>
      <c r="EC172" s="29"/>
      <c r="ED172" s="29"/>
      <c r="EE172" s="29"/>
      <c r="EF172" s="29"/>
      <c r="EG172" s="29"/>
      <c r="EH172" s="29"/>
      <c r="EI172" s="29"/>
      <c r="EJ172" s="29"/>
      <c r="EK172" s="29"/>
      <c r="EL172" s="29"/>
      <c r="EM172" s="29"/>
      <c r="EN172" s="29"/>
      <c r="EO172" s="29"/>
      <c r="EP172" s="29"/>
      <c r="EQ172" s="29"/>
      <c r="ER172" s="29"/>
      <c r="ES172" s="29"/>
      <c r="ET172" s="29"/>
      <c r="EU172" s="29"/>
      <c r="EV172" s="29"/>
      <c r="EW172" s="29"/>
      <c r="EX172" s="29"/>
      <c r="EY172" s="29"/>
      <c r="EZ172" s="29"/>
      <c r="FA172" s="29"/>
      <c r="FB172" s="29"/>
      <c r="FC172" s="29"/>
      <c r="FD172" s="29"/>
      <c r="FE172" s="29"/>
      <c r="FF172" s="29"/>
      <c r="FG172" s="29"/>
      <c r="FH172" s="29"/>
      <c r="FI172" s="29"/>
      <c r="FJ172" s="29"/>
      <c r="FK172" s="29"/>
      <c r="FL172" s="29"/>
      <c r="FM172" s="29"/>
      <c r="FN172" s="29"/>
      <c r="FO172" s="29"/>
      <c r="FP172" s="29"/>
      <c r="FQ172" s="29"/>
      <c r="FR172" s="29"/>
      <c r="FS172" s="29"/>
      <c r="FT172" s="29"/>
      <c r="FU172" s="29"/>
      <c r="FV172" s="29"/>
      <c r="FW172" s="29"/>
      <c r="FX172" s="29"/>
      <c r="FY172" s="29"/>
      <c r="FZ172" s="29"/>
      <c r="GA172" s="29"/>
      <c r="GB172" s="29"/>
      <c r="GC172" s="29"/>
      <c r="GD172" s="29"/>
      <c r="GE172" s="29"/>
      <c r="GF172" s="29"/>
      <c r="GG172" s="29"/>
      <c r="GH172" s="29"/>
      <c r="GI172" s="29"/>
      <c r="GJ172" s="29"/>
      <c r="GK172" s="29"/>
      <c r="GL172" s="29"/>
      <c r="GM172" s="29"/>
      <c r="GN172" s="29"/>
      <c r="GO172" s="29"/>
      <c r="GP172" s="29"/>
      <c r="GQ172" s="29"/>
      <c r="GR172" s="29"/>
      <c r="GS172" s="29"/>
      <c r="GT172" s="29"/>
      <c r="GU172" s="29"/>
      <c r="GV172" s="29"/>
      <c r="GW172" s="29"/>
      <c r="GX172" s="29"/>
      <c r="GY172" s="29"/>
      <c r="GZ172" s="29"/>
      <c r="HA172" s="29"/>
      <c r="HB172" s="29"/>
      <c r="HC172" s="29"/>
      <c r="HD172" s="29"/>
      <c r="HE172" s="29"/>
      <c r="HF172" s="29"/>
      <c r="HG172" s="29"/>
      <c r="HH172" s="29"/>
      <c r="HI172" s="29"/>
      <c r="HJ172" s="29"/>
      <c r="HK172" s="29"/>
      <c r="HL172" s="29"/>
      <c r="HM172" s="29"/>
      <c r="HN172" s="29"/>
      <c r="HO172" s="29"/>
      <c r="HP172" s="29"/>
      <c r="HQ172" s="29"/>
      <c r="HR172" s="29"/>
      <c r="HS172" s="29"/>
      <c r="HT172" s="29"/>
      <c r="HU172" s="29"/>
      <c r="HV172" s="29"/>
      <c r="HW172" s="29"/>
      <c r="HX172" s="29"/>
      <c r="HY172" s="29"/>
      <c r="HZ172" s="29"/>
      <c r="IA172" s="29"/>
      <c r="IB172" s="29"/>
      <c r="IC172" s="29"/>
      <c r="ID172" s="29"/>
      <c r="IE172" s="29"/>
      <c r="IF172" s="29"/>
      <c r="IG172" s="29"/>
      <c r="IH172" s="29"/>
      <c r="II172" s="29"/>
      <c r="IJ172" s="29"/>
      <c r="IK172" s="29"/>
      <c r="IL172" s="29"/>
      <c r="IM172" s="29"/>
      <c r="IN172" s="29"/>
      <c r="IO172" s="29"/>
      <c r="IP172" s="29"/>
      <c r="IQ172" s="29"/>
      <c r="IR172" s="29"/>
      <c r="IS172" s="29"/>
      <c r="IT172" s="29"/>
      <c r="IU172" s="29"/>
      <c r="IV172" s="29"/>
      <c r="IW172" s="29"/>
      <c r="IX172" s="29"/>
      <c r="IY172" s="29"/>
      <c r="IZ172" s="29"/>
      <c r="JA172" s="29"/>
      <c r="JB172" s="29"/>
      <c r="JC172" s="29"/>
      <c r="JD172" s="29"/>
      <c r="JE172" s="29"/>
      <c r="JF172" s="29"/>
      <c r="JG172" s="29"/>
      <c r="JH172" s="29"/>
      <c r="JI172" s="29"/>
      <c r="JJ172" s="29"/>
      <c r="JK172" s="29"/>
      <c r="JL172" s="29"/>
      <c r="JM172" s="29"/>
      <c r="JN172" s="29"/>
      <c r="JO172" s="29"/>
      <c r="JP172" s="29"/>
      <c r="JQ172" s="29"/>
      <c r="JR172" s="29"/>
      <c r="JS172" s="29"/>
      <c r="JT172" s="29"/>
      <c r="JU172" s="29"/>
      <c r="JV172" s="29"/>
      <c r="JW172" s="29"/>
      <c r="JX172" s="29"/>
      <c r="JY172" s="29"/>
      <c r="JZ172" s="29"/>
      <c r="KA172" s="29"/>
      <c r="KB172" s="29"/>
      <c r="KC172" s="29"/>
      <c r="KD172" s="29"/>
      <c r="KE172" s="29"/>
      <c r="KF172" s="29"/>
      <c r="KG172" s="29"/>
      <c r="KH172" s="29"/>
      <c r="KI172" s="29"/>
      <c r="KJ172" s="29"/>
      <c r="KK172" s="29"/>
      <c r="KL172" s="29"/>
      <c r="KM172" s="29"/>
      <c r="KN172" s="29"/>
      <c r="KO172" s="29"/>
      <c r="KP172" s="29"/>
      <c r="KQ172" s="29"/>
      <c r="KR172" s="29"/>
      <c r="KS172" s="29"/>
      <c r="KT172" s="29"/>
      <c r="KU172" s="29"/>
      <c r="KV172" s="29"/>
      <c r="KW172" s="29"/>
      <c r="KX172" s="29"/>
      <c r="KY172" s="29"/>
      <c r="KZ172" s="29"/>
      <c r="LA172" s="29"/>
      <c r="LB172" s="29"/>
      <c r="LC172" s="29"/>
      <c r="LD172" s="29"/>
      <c r="LE172" s="29"/>
      <c r="LF172" s="29"/>
      <c r="LG172" s="29"/>
      <c r="LH172" s="29"/>
      <c r="LI172" s="29"/>
      <c r="LJ172" s="29"/>
      <c r="LK172" s="29"/>
      <c r="LL172" s="29"/>
      <c r="LM172" s="29"/>
      <c r="LN172" s="29"/>
      <c r="LO172" s="29"/>
      <c r="LP172" s="29"/>
      <c r="LQ172" s="29"/>
      <c r="LR172" s="29"/>
      <c r="LS172" s="29"/>
      <c r="LT172" s="29"/>
      <c r="LU172" s="29"/>
      <c r="LV172" s="29"/>
      <c r="LW172" s="29"/>
      <c r="LX172" s="29"/>
      <c r="LY172" s="29"/>
      <c r="LZ172" s="29"/>
      <c r="MA172" s="29"/>
      <c r="MB172" s="29"/>
      <c r="MC172" s="29"/>
      <c r="MD172" s="29"/>
      <c r="ME172" s="29"/>
      <c r="MF172" s="29"/>
      <c r="MG172" s="29"/>
      <c r="MH172" s="29"/>
      <c r="MI172" s="29"/>
      <c r="MJ172" s="29"/>
      <c r="MK172" s="29"/>
      <c r="ML172" s="29"/>
      <c r="MM172" s="29"/>
      <c r="MN172" s="29"/>
      <c r="MO172" s="29"/>
      <c r="MP172" s="29"/>
      <c r="MQ172" s="29"/>
      <c r="MR172" s="29"/>
      <c r="MS172" s="29"/>
      <c r="MT172" s="29"/>
      <c r="MU172" s="29"/>
      <c r="MV172" s="29"/>
      <c r="MW172" s="29"/>
      <c r="MX172" s="29"/>
      <c r="MY172" s="29"/>
      <c r="MZ172" s="29"/>
      <c r="NA172" s="29"/>
      <c r="NB172" s="29"/>
      <c r="NC172" s="29"/>
      <c r="ND172" s="29"/>
      <c r="NE172" s="29"/>
      <c r="NF172" s="29"/>
      <c r="NG172" s="29"/>
      <c r="NH172" s="29"/>
      <c r="NI172" s="29"/>
      <c r="NJ172" s="29"/>
      <c r="NK172" s="29"/>
      <c r="NL172" s="29"/>
      <c r="NM172" s="29"/>
      <c r="NN172" s="29"/>
      <c r="NO172" s="29"/>
      <c r="NP172" s="29"/>
      <c r="NQ172" s="29"/>
      <c r="NR172" s="29"/>
      <c r="NS172" s="29"/>
      <c r="NT172" s="29"/>
      <c r="NU172" s="29"/>
      <c r="NV172" s="29"/>
      <c r="NW172" s="29"/>
      <c r="NX172" s="29"/>
      <c r="NY172" s="29"/>
      <c r="NZ172" s="29"/>
      <c r="OA172" s="29"/>
      <c r="OB172" s="29"/>
      <c r="OC172" s="29"/>
      <c r="OD172" s="29"/>
      <c r="OE172" s="29"/>
      <c r="OF172" s="29"/>
      <c r="OG172" s="29"/>
      <c r="OH172" s="29"/>
      <c r="OI172" s="29"/>
      <c r="OJ172" s="29"/>
      <c r="OK172" s="29"/>
      <c r="OL172" s="29"/>
      <c r="OM172" s="29"/>
      <c r="ON172" s="29"/>
      <c r="OO172" s="29"/>
      <c r="OP172" s="29"/>
      <c r="OQ172" s="29"/>
      <c r="OR172" s="29"/>
      <c r="OS172" s="29"/>
      <c r="OT172" s="29"/>
      <c r="OU172" s="29"/>
      <c r="OV172" s="29"/>
      <c r="OW172" s="29"/>
      <c r="OX172" s="29"/>
      <c r="OY172" s="29"/>
      <c r="OZ172" s="29"/>
      <c r="PA172" s="29"/>
      <c r="PB172" s="29"/>
      <c r="PC172" s="29"/>
      <c r="PD172" s="29"/>
      <c r="PE172" s="29"/>
      <c r="PF172" s="29"/>
      <c r="PG172" s="29"/>
      <c r="PH172" s="29"/>
      <c r="PI172" s="29"/>
      <c r="PJ172" s="29"/>
      <c r="PK172" s="29"/>
      <c r="PL172" s="29"/>
      <c r="PM172" s="29"/>
      <c r="PN172" s="29"/>
      <c r="PO172" s="29"/>
      <c r="PP172" s="29"/>
      <c r="PQ172" s="29"/>
      <c r="PR172" s="29"/>
      <c r="PS172" s="29"/>
      <c r="PT172" s="29"/>
      <c r="PU172" s="29"/>
      <c r="PV172" s="29"/>
      <c r="PW172" s="29"/>
      <c r="PX172" s="29"/>
      <c r="PY172" s="29"/>
      <c r="PZ172" s="29"/>
      <c r="QA172" s="29"/>
      <c r="QB172" s="29"/>
      <c r="QC172" s="29"/>
      <c r="QD172" s="29"/>
      <c r="QE172" s="29"/>
      <c r="QF172" s="29"/>
      <c r="QG172" s="29"/>
      <c r="QH172" s="29"/>
      <c r="QI172" s="29"/>
      <c r="QJ172" s="29"/>
      <c r="QK172" s="29"/>
      <c r="QL172" s="29"/>
      <c r="QM172" s="29"/>
      <c r="QN172" s="29"/>
      <c r="QO172" s="29"/>
      <c r="QP172" s="29"/>
      <c r="QQ172" s="29"/>
      <c r="QR172" s="29"/>
      <c r="QS172" s="29"/>
      <c r="QT172" s="29"/>
      <c r="QU172" s="29"/>
      <c r="QV172" s="29"/>
      <c r="QW172" s="29"/>
      <c r="QX172" s="29"/>
      <c r="QY172" s="29"/>
      <c r="QZ172" s="29"/>
      <c r="RA172" s="29"/>
      <c r="RB172" s="29"/>
      <c r="RC172" s="29"/>
      <c r="RD172" s="29"/>
      <c r="RE172" s="29"/>
      <c r="RF172" s="29"/>
      <c r="RG172" s="29"/>
      <c r="RH172" s="29"/>
      <c r="RI172" s="29"/>
      <c r="RJ172" s="29"/>
      <c r="RK172" s="29"/>
      <c r="RL172" s="29"/>
      <c r="RM172" s="29"/>
      <c r="RN172" s="29"/>
      <c r="RO172" s="29"/>
      <c r="RP172" s="29"/>
      <c r="RQ172" s="29"/>
      <c r="RR172" s="29"/>
      <c r="RS172" s="29"/>
      <c r="RT172" s="29"/>
      <c r="RU172" s="29"/>
      <c r="RV172" s="29"/>
      <c r="RW172" s="29"/>
      <c r="RX172" s="29"/>
      <c r="RY172" s="29"/>
      <c r="RZ172" s="29"/>
      <c r="SA172" s="29"/>
      <c r="SB172" s="29"/>
      <c r="SC172" s="29"/>
      <c r="SD172" s="29"/>
      <c r="SE172" s="29"/>
      <c r="SF172" s="29"/>
      <c r="SG172" s="29"/>
      <c r="SH172" s="29"/>
      <c r="SI172" s="29"/>
      <c r="SJ172" s="29"/>
      <c r="SK172" s="29"/>
      <c r="SL172" s="29"/>
      <c r="SM172" s="29"/>
      <c r="SN172" s="29"/>
      <c r="SO172" s="29"/>
      <c r="SP172" s="29"/>
      <c r="SQ172" s="29"/>
      <c r="SR172" s="29"/>
      <c r="SS172" s="29"/>
      <c r="ST172" s="29"/>
      <c r="SU172" s="29"/>
      <c r="SV172" s="29"/>
      <c r="SW172" s="29"/>
      <c r="SX172" s="29"/>
      <c r="SY172" s="29"/>
      <c r="SZ172" s="29"/>
      <c r="TA172" s="29"/>
      <c r="TB172" s="29"/>
      <c r="TC172" s="29"/>
      <c r="TD172" s="29"/>
      <c r="TE172" s="29"/>
      <c r="TF172" s="29"/>
      <c r="TG172" s="29"/>
      <c r="TH172" s="29"/>
      <c r="TI172" s="29"/>
      <c r="TJ172" s="29"/>
      <c r="TK172" s="29"/>
      <c r="TL172" s="29"/>
      <c r="TM172" s="29"/>
      <c r="TN172" s="29"/>
      <c r="TO172" s="29"/>
      <c r="TP172" s="29"/>
      <c r="TQ172" s="29"/>
      <c r="TR172" s="29"/>
      <c r="TS172" s="29"/>
      <c r="TT172" s="29"/>
      <c r="TU172" s="29"/>
      <c r="TV172" s="29"/>
      <c r="TW172" s="29"/>
      <c r="TX172" s="29"/>
      <c r="TY172" s="29"/>
      <c r="TZ172" s="29"/>
      <c r="UA172" s="29"/>
      <c r="UB172" s="29"/>
      <c r="UC172" s="29"/>
      <c r="UD172" s="29"/>
      <c r="UE172" s="29"/>
      <c r="UF172" s="29"/>
      <c r="UG172" s="29"/>
      <c r="UH172" s="29"/>
      <c r="UI172" s="29"/>
      <c r="UJ172" s="29"/>
      <c r="UK172" s="29"/>
      <c r="UL172" s="29"/>
      <c r="UM172" s="29"/>
      <c r="UN172" s="29"/>
      <c r="UO172" s="29"/>
      <c r="UP172" s="29"/>
      <c r="UQ172" s="29"/>
      <c r="UR172" s="29"/>
      <c r="US172" s="29"/>
      <c r="UT172" s="29"/>
      <c r="UU172" s="29"/>
      <c r="UV172" s="29"/>
      <c r="UW172" s="29"/>
      <c r="UX172" s="29"/>
      <c r="UY172" s="29"/>
      <c r="UZ172" s="29"/>
      <c r="VA172" s="29"/>
      <c r="VB172" s="29"/>
      <c r="VC172" s="29"/>
      <c r="VD172" s="29"/>
      <c r="VE172" s="29"/>
      <c r="VF172" s="29"/>
      <c r="VG172" s="29"/>
      <c r="VH172" s="29"/>
      <c r="VI172" s="29"/>
      <c r="VJ172" s="29"/>
      <c r="VK172" s="29"/>
      <c r="VL172" s="29"/>
      <c r="VM172" s="29"/>
      <c r="VN172" s="29"/>
      <c r="VO172" s="29"/>
      <c r="VP172" s="29"/>
      <c r="VQ172" s="29"/>
      <c r="VR172" s="29"/>
      <c r="VS172" s="29"/>
      <c r="VT172" s="29"/>
      <c r="VU172" s="29"/>
      <c r="VV172" s="29"/>
      <c r="VW172" s="29"/>
      <c r="VX172" s="29"/>
      <c r="VY172" s="29"/>
      <c r="VZ172" s="29"/>
      <c r="WA172" s="29"/>
      <c r="WB172" s="29"/>
      <c r="WC172" s="29"/>
      <c r="WD172" s="29"/>
      <c r="WE172" s="29"/>
      <c r="WF172" s="29"/>
      <c r="WG172" s="29"/>
      <c r="WH172" s="29"/>
      <c r="WI172" s="29"/>
      <c r="WJ172" s="29"/>
      <c r="WK172" s="29"/>
      <c r="WL172" s="29"/>
      <c r="WM172" s="29"/>
      <c r="WN172" s="29"/>
      <c r="WO172" s="29"/>
      <c r="WP172" s="29"/>
      <c r="WQ172" s="29"/>
      <c r="WR172" s="29"/>
      <c r="WS172" s="29"/>
    </row>
    <row r="173" spans="1:617" s="3" customFormat="1" ht="15" outlineLevel="1" thickBot="1">
      <c r="A173" s="33"/>
      <c r="B173" s="47" t="s">
        <v>276</v>
      </c>
      <c r="C173" s="42" t="s">
        <v>180</v>
      </c>
      <c r="D173" s="116">
        <f>E172</f>
        <v>46287</v>
      </c>
      <c r="E173" s="116">
        <f t="shared" ref="E173:E178" si="606">D173+G173</f>
        <v>46343</v>
      </c>
      <c r="F173" s="14"/>
      <c r="G173" s="186">
        <v>56</v>
      </c>
      <c r="H173" s="29"/>
      <c r="I173" s="29"/>
      <c r="J173" s="29"/>
      <c r="K173" s="29"/>
      <c r="L173" s="29"/>
      <c r="M173" s="29"/>
      <c r="N173" s="29"/>
      <c r="O173" s="29"/>
      <c r="P173" s="29"/>
      <c r="Q173" s="29"/>
      <c r="R173" s="29"/>
      <c r="S173" s="29"/>
      <c r="T173" s="29"/>
      <c r="U173" s="29"/>
      <c r="V173" s="29"/>
      <c r="W173" s="29"/>
      <c r="X173" s="29"/>
      <c r="Y173" s="30"/>
      <c r="Z173" s="29"/>
      <c r="AA173" s="29"/>
      <c r="AB173" s="29"/>
      <c r="AC173" s="29"/>
      <c r="AD173" s="29"/>
      <c r="AE173" s="29"/>
      <c r="AF173" s="29"/>
      <c r="AG173" s="29"/>
      <c r="AH173" s="29"/>
      <c r="AI173" s="29"/>
      <c r="AJ173" s="29"/>
      <c r="AK173" s="29"/>
      <c r="AL173" s="29"/>
      <c r="AM173" s="29"/>
      <c r="AN173" s="29"/>
      <c r="AO173" s="29"/>
      <c r="AP173" s="29"/>
      <c r="AQ173" s="29"/>
      <c r="AR173" s="29"/>
      <c r="AS173" s="29"/>
      <c r="AT173" s="29"/>
      <c r="AU173" s="29"/>
      <c r="AV173" s="29"/>
      <c r="AW173" s="29"/>
      <c r="AX173" s="29"/>
      <c r="AY173" s="29"/>
      <c r="AZ173" s="29"/>
      <c r="BA173" s="29"/>
      <c r="BB173" s="29"/>
      <c r="BC173" s="29"/>
      <c r="BD173" s="29"/>
      <c r="BE173" s="29"/>
      <c r="BF173" s="29"/>
      <c r="BG173" s="29"/>
      <c r="BH173" s="29"/>
      <c r="BI173" s="29"/>
      <c r="BJ173" s="29"/>
      <c r="BK173" s="29"/>
      <c r="BL173" s="29"/>
      <c r="BM173" s="29"/>
      <c r="BN173" s="29"/>
      <c r="BO173" s="29"/>
      <c r="BP173" s="29"/>
      <c r="BQ173" s="29"/>
      <c r="BR173" s="29"/>
      <c r="BS173" s="29"/>
      <c r="BT173" s="29"/>
      <c r="BU173" s="29"/>
      <c r="BV173" s="29"/>
      <c r="BW173" s="29"/>
      <c r="BX173" s="29"/>
      <c r="BY173" s="29"/>
      <c r="BZ173" s="29"/>
      <c r="CA173" s="29"/>
      <c r="CB173" s="29"/>
      <c r="CC173" s="29"/>
      <c r="CD173" s="29"/>
      <c r="CE173" s="29"/>
      <c r="CF173" s="29"/>
      <c r="CG173" s="29"/>
      <c r="CH173" s="29"/>
      <c r="CI173" s="29"/>
      <c r="CJ173" s="29"/>
      <c r="CK173" s="29"/>
      <c r="CL173" s="29"/>
      <c r="CM173" s="29"/>
      <c r="CN173" s="29"/>
      <c r="CO173" s="29"/>
      <c r="CP173" s="29"/>
      <c r="CQ173" s="29"/>
      <c r="CR173" s="29"/>
      <c r="CS173" s="29"/>
      <c r="CT173" s="29"/>
      <c r="CU173" s="29"/>
      <c r="CV173" s="29"/>
      <c r="CW173" s="29"/>
      <c r="CX173" s="29"/>
      <c r="CY173" s="29"/>
      <c r="CZ173" s="29"/>
      <c r="DA173" s="29"/>
      <c r="DB173" s="29"/>
      <c r="DC173" s="29"/>
      <c r="DD173" s="29"/>
      <c r="DE173" s="29"/>
      <c r="DF173" s="29"/>
      <c r="DG173" s="29"/>
      <c r="DH173" s="29"/>
      <c r="DI173" s="29"/>
      <c r="DJ173" s="29"/>
      <c r="DK173" s="29"/>
      <c r="DL173" s="29"/>
      <c r="DM173" s="29"/>
      <c r="DN173" s="29"/>
      <c r="DO173" s="29"/>
      <c r="DP173" s="29"/>
      <c r="DQ173" s="29"/>
      <c r="DR173" s="29"/>
      <c r="DS173" s="29"/>
      <c r="DT173" s="29"/>
      <c r="DU173" s="29"/>
      <c r="DV173" s="29"/>
      <c r="DW173" s="29"/>
      <c r="DX173" s="29"/>
      <c r="DY173" s="29"/>
      <c r="DZ173" s="29"/>
      <c r="EA173" s="29"/>
      <c r="EB173" s="29"/>
      <c r="EC173" s="29"/>
      <c r="ED173" s="29"/>
      <c r="EE173" s="29"/>
      <c r="EF173" s="29"/>
      <c r="EG173" s="29"/>
      <c r="EH173" s="29"/>
      <c r="EI173" s="29"/>
      <c r="EJ173" s="29"/>
      <c r="EK173" s="29"/>
      <c r="EL173" s="29"/>
      <c r="EM173" s="29"/>
      <c r="EN173" s="29"/>
      <c r="EO173" s="29"/>
      <c r="EP173" s="29"/>
      <c r="EQ173" s="29"/>
      <c r="ER173" s="29"/>
      <c r="ES173" s="29"/>
      <c r="ET173" s="29"/>
      <c r="EU173" s="29"/>
      <c r="EV173" s="29"/>
      <c r="EW173" s="29"/>
      <c r="EX173" s="29"/>
      <c r="EY173" s="29"/>
      <c r="EZ173" s="29"/>
      <c r="FA173" s="29"/>
      <c r="FB173" s="29"/>
      <c r="FC173" s="29"/>
      <c r="FD173" s="29"/>
      <c r="FE173" s="29"/>
      <c r="FF173" s="29"/>
      <c r="FG173" s="29"/>
      <c r="FH173" s="29"/>
      <c r="FI173" s="29"/>
      <c r="FJ173" s="29"/>
      <c r="FK173" s="29"/>
      <c r="FL173" s="29"/>
      <c r="FM173" s="29"/>
      <c r="FN173" s="29"/>
      <c r="FO173" s="29"/>
      <c r="FP173" s="29"/>
      <c r="FQ173" s="29"/>
      <c r="FR173" s="29"/>
      <c r="FS173" s="29"/>
      <c r="FT173" s="29"/>
      <c r="FU173" s="29"/>
      <c r="FV173" s="29"/>
      <c r="FW173" s="29"/>
      <c r="FX173" s="29"/>
      <c r="FY173" s="29"/>
      <c r="FZ173" s="29"/>
      <c r="GA173" s="29"/>
      <c r="GB173" s="29"/>
      <c r="GC173" s="29"/>
      <c r="GD173" s="29"/>
      <c r="GE173" s="29"/>
      <c r="GF173" s="29"/>
      <c r="GG173" s="29"/>
      <c r="GH173" s="29"/>
      <c r="GI173" s="29"/>
      <c r="GJ173" s="29"/>
      <c r="GK173" s="29"/>
      <c r="GL173" s="29"/>
      <c r="GM173" s="29"/>
      <c r="GN173" s="29"/>
      <c r="GO173" s="29"/>
      <c r="GP173" s="29"/>
      <c r="GQ173" s="29"/>
      <c r="GR173" s="29"/>
      <c r="GS173" s="29"/>
      <c r="GT173" s="29"/>
      <c r="GU173" s="29"/>
      <c r="GV173" s="29"/>
      <c r="GW173" s="29"/>
      <c r="GX173" s="29"/>
      <c r="GY173" s="29"/>
      <c r="GZ173" s="29"/>
      <c r="HA173" s="29"/>
      <c r="HB173" s="29"/>
      <c r="HC173" s="29"/>
      <c r="HD173" s="29"/>
      <c r="HE173" s="29"/>
      <c r="HF173" s="29"/>
      <c r="HG173" s="29"/>
      <c r="HH173" s="29"/>
      <c r="HI173" s="29"/>
      <c r="HJ173" s="29"/>
      <c r="HK173" s="29"/>
      <c r="HL173" s="29"/>
      <c r="HM173" s="29"/>
      <c r="HN173" s="29"/>
      <c r="HO173" s="29"/>
      <c r="HP173" s="29"/>
      <c r="HQ173" s="29"/>
      <c r="HR173" s="29"/>
      <c r="HS173" s="29"/>
      <c r="HT173" s="29"/>
      <c r="HU173" s="29"/>
      <c r="HV173" s="29"/>
      <c r="HW173" s="29"/>
      <c r="HX173" s="29"/>
      <c r="HY173" s="29"/>
      <c r="HZ173" s="29"/>
      <c r="IA173" s="29"/>
      <c r="IB173" s="29"/>
      <c r="IC173" s="29"/>
      <c r="ID173" s="29"/>
      <c r="IE173" s="29"/>
      <c r="IF173" s="29"/>
      <c r="IG173" s="29"/>
      <c r="IH173" s="29"/>
      <c r="II173" s="29"/>
      <c r="IJ173" s="29"/>
      <c r="IK173" s="29"/>
      <c r="IL173" s="29"/>
      <c r="IM173" s="29"/>
      <c r="IN173" s="29"/>
      <c r="IO173" s="29"/>
      <c r="IP173" s="29"/>
      <c r="IQ173" s="29"/>
      <c r="IR173" s="29"/>
      <c r="IS173" s="29"/>
      <c r="IT173" s="29"/>
      <c r="IU173" s="29"/>
      <c r="IV173" s="29"/>
      <c r="IW173" s="29"/>
      <c r="IX173" s="29"/>
      <c r="IY173" s="29"/>
      <c r="IZ173" s="29"/>
      <c r="JA173" s="29"/>
      <c r="JB173" s="29"/>
      <c r="JC173" s="29"/>
      <c r="JD173" s="29"/>
      <c r="JE173" s="29"/>
      <c r="JF173" s="29"/>
      <c r="JG173" s="29"/>
      <c r="JH173" s="29"/>
      <c r="JI173" s="29"/>
      <c r="JJ173" s="29"/>
      <c r="JK173" s="29"/>
      <c r="JL173" s="29"/>
      <c r="JM173" s="29"/>
      <c r="JN173" s="29"/>
      <c r="JO173" s="29"/>
      <c r="JP173" s="29"/>
      <c r="JQ173" s="29"/>
      <c r="JR173" s="29"/>
      <c r="JS173" s="29"/>
      <c r="JT173" s="29"/>
      <c r="JU173" s="29"/>
      <c r="JV173" s="29"/>
      <c r="JW173" s="29"/>
      <c r="JX173" s="29"/>
      <c r="JY173" s="29"/>
      <c r="JZ173" s="29"/>
      <c r="KA173" s="29"/>
      <c r="KB173" s="29"/>
      <c r="KC173" s="29"/>
      <c r="KD173" s="29"/>
      <c r="KE173" s="29"/>
      <c r="KF173" s="29"/>
      <c r="KG173" s="29"/>
      <c r="KH173" s="29"/>
      <c r="KI173" s="29"/>
      <c r="KJ173" s="29"/>
      <c r="KK173" s="29"/>
      <c r="KL173" s="29"/>
      <c r="KM173" s="29"/>
      <c r="KN173" s="29"/>
      <c r="KO173" s="29"/>
      <c r="KP173" s="29"/>
      <c r="KQ173" s="29"/>
      <c r="KR173" s="29"/>
      <c r="KS173" s="29"/>
      <c r="KT173" s="29"/>
      <c r="KU173" s="29"/>
      <c r="KV173" s="29"/>
      <c r="KW173" s="29"/>
      <c r="KX173" s="29"/>
      <c r="KY173" s="29"/>
      <c r="KZ173" s="29"/>
      <c r="LA173" s="29"/>
      <c r="LB173" s="29"/>
      <c r="LC173" s="29"/>
      <c r="LD173" s="29"/>
      <c r="LE173" s="29"/>
      <c r="LF173" s="29"/>
      <c r="LG173" s="29"/>
      <c r="LH173" s="29"/>
      <c r="LI173" s="29"/>
      <c r="LJ173" s="29"/>
      <c r="LK173" s="29"/>
      <c r="LL173" s="29"/>
      <c r="LM173" s="29"/>
      <c r="LN173" s="29"/>
      <c r="LO173" s="29"/>
      <c r="LP173" s="29"/>
      <c r="LQ173" s="29"/>
      <c r="LR173" s="29"/>
      <c r="LS173" s="29"/>
      <c r="LT173" s="29"/>
      <c r="LU173" s="29"/>
      <c r="LV173" s="29"/>
      <c r="LW173" s="29"/>
      <c r="LX173" s="29"/>
      <c r="LY173" s="29"/>
      <c r="LZ173" s="29"/>
      <c r="MA173" s="29"/>
      <c r="MB173" s="29"/>
      <c r="MC173" s="29"/>
      <c r="MD173" s="29"/>
      <c r="ME173" s="29"/>
      <c r="MF173" s="29"/>
      <c r="MG173" s="29"/>
      <c r="MH173" s="29"/>
      <c r="MI173" s="29"/>
      <c r="MJ173" s="29"/>
      <c r="MK173" s="29"/>
      <c r="ML173" s="29"/>
      <c r="MM173" s="29"/>
      <c r="MN173" s="29"/>
      <c r="MO173" s="29"/>
      <c r="MP173" s="29"/>
      <c r="MQ173" s="29"/>
      <c r="MR173" s="29"/>
      <c r="MS173" s="29"/>
      <c r="MT173" s="29"/>
      <c r="MU173" s="29"/>
      <c r="MV173" s="29"/>
      <c r="MW173" s="29"/>
      <c r="MX173" s="29"/>
      <c r="MY173" s="29"/>
      <c r="MZ173" s="29"/>
      <c r="NA173" s="29"/>
      <c r="NB173" s="29"/>
      <c r="NC173" s="29"/>
      <c r="ND173" s="29"/>
      <c r="NE173" s="29"/>
      <c r="NF173" s="29"/>
      <c r="NG173" s="29"/>
      <c r="NH173" s="29"/>
      <c r="NI173" s="29"/>
      <c r="NJ173" s="29"/>
      <c r="NK173" s="29"/>
      <c r="NL173" s="29"/>
      <c r="NM173" s="29"/>
      <c r="NN173" s="29"/>
      <c r="NO173" s="29"/>
      <c r="NP173" s="29"/>
      <c r="NQ173" s="29"/>
      <c r="NR173" s="29"/>
      <c r="NS173" s="29"/>
      <c r="NT173" s="29"/>
      <c r="NU173" s="29"/>
      <c r="NV173" s="29"/>
      <c r="NW173" s="29"/>
      <c r="NX173" s="29"/>
      <c r="NY173" s="29"/>
      <c r="NZ173" s="29"/>
      <c r="OA173" s="29"/>
      <c r="OB173" s="29"/>
      <c r="OC173" s="29"/>
      <c r="OD173" s="29"/>
      <c r="OE173" s="29"/>
      <c r="OF173" s="29"/>
      <c r="OG173" s="29"/>
      <c r="OH173" s="29"/>
      <c r="OI173" s="29"/>
      <c r="OJ173" s="29"/>
      <c r="OK173" s="29"/>
      <c r="OL173" s="29"/>
      <c r="OM173" s="29"/>
      <c r="ON173" s="29"/>
      <c r="OO173" s="29"/>
      <c r="OP173" s="29"/>
      <c r="OQ173" s="29"/>
      <c r="OR173" s="29"/>
      <c r="OS173" s="29"/>
      <c r="OT173" s="29"/>
      <c r="OU173" s="29"/>
      <c r="OV173" s="29"/>
      <c r="OW173" s="29"/>
      <c r="OX173" s="29"/>
      <c r="OY173" s="29"/>
      <c r="OZ173" s="29"/>
      <c r="PA173" s="29"/>
      <c r="PB173" s="29"/>
      <c r="PC173" s="29"/>
      <c r="PD173" s="29"/>
      <c r="PE173" s="29"/>
      <c r="PF173" s="29"/>
      <c r="PG173" s="29"/>
      <c r="PH173" s="29"/>
      <c r="PI173" s="29"/>
      <c r="PJ173" s="29"/>
      <c r="PK173" s="29"/>
      <c r="PL173" s="29"/>
      <c r="PM173" s="29"/>
      <c r="PN173" s="29"/>
      <c r="PO173" s="29"/>
      <c r="PP173" s="29"/>
      <c r="PQ173" s="29"/>
      <c r="PR173" s="29"/>
      <c r="PS173" s="29"/>
      <c r="PT173" s="29"/>
      <c r="PU173" s="29"/>
      <c r="PV173" s="29"/>
      <c r="PW173" s="29"/>
      <c r="PX173" s="29"/>
      <c r="PY173" s="29"/>
      <c r="PZ173" s="29"/>
      <c r="QA173" s="29"/>
      <c r="QB173" s="29"/>
      <c r="QC173" s="29"/>
      <c r="QD173" s="29"/>
      <c r="QE173" s="29"/>
      <c r="QF173" s="29"/>
      <c r="QG173" s="29"/>
      <c r="QH173" s="29"/>
      <c r="QI173" s="29"/>
      <c r="QJ173" s="29"/>
      <c r="QK173" s="29"/>
      <c r="QL173" s="29"/>
      <c r="QM173" s="29"/>
      <c r="QN173" s="29"/>
      <c r="QO173" s="29"/>
      <c r="QP173" s="29"/>
      <c r="QQ173" s="29"/>
      <c r="QR173" s="29"/>
      <c r="QS173" s="29"/>
      <c r="QT173" s="29"/>
      <c r="QU173" s="29"/>
      <c r="QV173" s="29"/>
      <c r="QW173" s="29"/>
      <c r="QX173" s="29"/>
      <c r="QY173" s="29"/>
      <c r="QZ173" s="29"/>
      <c r="RA173" s="29"/>
      <c r="RB173" s="29"/>
      <c r="RC173" s="29"/>
      <c r="RD173" s="29"/>
      <c r="RE173" s="29"/>
      <c r="RF173" s="29"/>
      <c r="RG173" s="29"/>
      <c r="RH173" s="29"/>
      <c r="RI173" s="29"/>
      <c r="RJ173" s="29"/>
      <c r="RK173" s="29"/>
      <c r="RL173" s="29"/>
      <c r="RM173" s="29"/>
      <c r="RN173" s="29"/>
      <c r="RO173" s="29"/>
      <c r="RP173" s="29"/>
      <c r="RQ173" s="29"/>
      <c r="RR173" s="29"/>
      <c r="RS173" s="29"/>
      <c r="RT173" s="29"/>
      <c r="RU173" s="29"/>
      <c r="RV173" s="29"/>
      <c r="RW173" s="29"/>
      <c r="RX173" s="29"/>
      <c r="RY173" s="29"/>
      <c r="RZ173" s="29"/>
      <c r="SA173" s="29"/>
      <c r="SB173" s="29"/>
      <c r="SC173" s="29"/>
      <c r="SD173" s="29"/>
      <c r="SE173" s="29"/>
      <c r="SF173" s="29"/>
      <c r="SG173" s="29"/>
      <c r="SH173" s="29"/>
      <c r="SI173" s="29"/>
      <c r="SJ173" s="29"/>
      <c r="SK173" s="29"/>
      <c r="SL173" s="29"/>
      <c r="SM173" s="29"/>
      <c r="SN173" s="29"/>
      <c r="SO173" s="29"/>
      <c r="SP173" s="29"/>
      <c r="SQ173" s="29"/>
      <c r="SR173" s="29"/>
      <c r="SS173" s="29"/>
      <c r="ST173" s="29"/>
      <c r="SU173" s="29"/>
      <c r="SV173" s="29"/>
      <c r="SW173" s="29"/>
      <c r="SX173" s="29"/>
      <c r="SY173" s="29"/>
      <c r="SZ173" s="29"/>
      <c r="TA173" s="29"/>
      <c r="TB173" s="29"/>
      <c r="TC173" s="29"/>
      <c r="TD173" s="29"/>
      <c r="TE173" s="29"/>
      <c r="TF173" s="29"/>
      <c r="TG173" s="29"/>
      <c r="TH173" s="29"/>
      <c r="TI173" s="29"/>
      <c r="TJ173" s="29"/>
      <c r="TK173" s="29"/>
      <c r="TL173" s="29"/>
      <c r="TM173" s="29"/>
      <c r="TN173" s="29"/>
      <c r="TO173" s="29"/>
      <c r="TP173" s="29"/>
      <c r="TQ173" s="29"/>
      <c r="TR173" s="29"/>
      <c r="TS173" s="29"/>
      <c r="TT173" s="29"/>
      <c r="TU173" s="29"/>
      <c r="TV173" s="29"/>
      <c r="TW173" s="29"/>
      <c r="TX173" s="29"/>
      <c r="TY173" s="29"/>
      <c r="TZ173" s="29"/>
      <c r="UA173" s="29"/>
      <c r="UB173" s="29"/>
      <c r="UC173" s="29"/>
      <c r="UD173" s="29"/>
      <c r="UE173" s="29"/>
      <c r="UF173" s="29"/>
      <c r="UG173" s="29"/>
      <c r="UH173" s="29"/>
      <c r="UI173" s="29"/>
      <c r="UJ173" s="29"/>
      <c r="UK173" s="29"/>
      <c r="UL173" s="29"/>
      <c r="UM173" s="29"/>
      <c r="UN173" s="29"/>
      <c r="UO173" s="29"/>
      <c r="UP173" s="29"/>
      <c r="UQ173" s="29"/>
      <c r="UR173" s="29"/>
      <c r="US173" s="29"/>
      <c r="UT173" s="29"/>
      <c r="UU173" s="29"/>
      <c r="UV173" s="29"/>
      <c r="UW173" s="29"/>
      <c r="UX173" s="29"/>
      <c r="UY173" s="29"/>
      <c r="UZ173" s="29"/>
      <c r="VA173" s="29"/>
      <c r="VB173" s="29"/>
      <c r="VC173" s="29"/>
      <c r="VD173" s="29"/>
      <c r="VE173" s="29"/>
      <c r="VF173" s="29"/>
      <c r="VG173" s="29"/>
      <c r="VH173" s="29"/>
      <c r="VI173" s="29"/>
      <c r="VJ173" s="29"/>
      <c r="VK173" s="29"/>
      <c r="VL173" s="29"/>
      <c r="VM173" s="29"/>
      <c r="VN173" s="29"/>
      <c r="VO173" s="29"/>
      <c r="VP173" s="29"/>
      <c r="VQ173" s="29"/>
      <c r="VR173" s="29"/>
      <c r="VS173" s="29"/>
      <c r="VT173" s="29"/>
      <c r="VU173" s="29"/>
      <c r="VV173" s="29"/>
      <c r="VW173" s="29"/>
      <c r="VX173" s="29"/>
      <c r="VY173" s="29"/>
      <c r="VZ173" s="29"/>
      <c r="WA173" s="29"/>
      <c r="WB173" s="29"/>
      <c r="WC173" s="29"/>
      <c r="WD173" s="29"/>
      <c r="WE173" s="29"/>
      <c r="WF173" s="29"/>
      <c r="WG173" s="29"/>
      <c r="WH173" s="29"/>
      <c r="WI173" s="29"/>
      <c r="WJ173" s="29"/>
      <c r="WK173" s="29"/>
      <c r="WL173" s="29"/>
      <c r="WM173" s="29"/>
      <c r="WN173" s="29"/>
      <c r="WO173" s="29"/>
      <c r="WP173" s="29"/>
      <c r="WQ173" s="29"/>
      <c r="WR173" s="29"/>
      <c r="WS173" s="29"/>
    </row>
    <row r="174" spans="1:617" s="3" customFormat="1" ht="15" outlineLevel="1" thickBot="1">
      <c r="A174" s="33"/>
      <c r="B174" s="47" t="s">
        <v>276</v>
      </c>
      <c r="C174" s="42" t="s">
        <v>183</v>
      </c>
      <c r="D174" s="116">
        <f>E173</f>
        <v>46343</v>
      </c>
      <c r="E174" s="116">
        <f t="shared" si="606"/>
        <v>46408</v>
      </c>
      <c r="F174" s="14"/>
      <c r="G174" s="186">
        <v>65</v>
      </c>
      <c r="H174" s="29"/>
      <c r="I174" s="29"/>
      <c r="J174" s="29"/>
      <c r="K174" s="29"/>
      <c r="L174" s="29"/>
      <c r="M174" s="29"/>
      <c r="N174" s="29"/>
      <c r="O174" s="29"/>
      <c r="P174" s="29"/>
      <c r="Q174" s="29"/>
      <c r="R174" s="29"/>
      <c r="S174" s="29"/>
      <c r="T174" s="29"/>
      <c r="U174" s="29"/>
      <c r="V174" s="29"/>
      <c r="W174" s="29"/>
      <c r="X174" s="29"/>
      <c r="Y174" s="30"/>
      <c r="Z174" s="29"/>
      <c r="AA174" s="29"/>
      <c r="AB174" s="29"/>
      <c r="AC174" s="29"/>
      <c r="AD174" s="29"/>
      <c r="AE174" s="29"/>
      <c r="AF174" s="29"/>
      <c r="AG174" s="29"/>
      <c r="AH174" s="29"/>
      <c r="AI174" s="29"/>
      <c r="AJ174" s="29"/>
      <c r="AK174" s="29"/>
      <c r="AL174" s="29"/>
      <c r="AM174" s="29"/>
      <c r="AN174" s="29"/>
      <c r="AO174" s="29"/>
      <c r="AP174" s="29"/>
      <c r="AQ174" s="29"/>
      <c r="AR174" s="29"/>
      <c r="AS174" s="29"/>
      <c r="AT174" s="29"/>
      <c r="AU174" s="29"/>
      <c r="AV174" s="29"/>
      <c r="AW174" s="29"/>
      <c r="AX174" s="29"/>
      <c r="AY174" s="29"/>
      <c r="AZ174" s="29"/>
      <c r="BA174" s="29"/>
      <c r="BB174" s="29"/>
      <c r="BC174" s="29"/>
      <c r="BD174" s="29"/>
      <c r="BE174" s="29"/>
      <c r="BF174" s="29"/>
      <c r="BG174" s="29"/>
      <c r="BH174" s="29"/>
      <c r="BI174" s="29"/>
      <c r="BJ174" s="29"/>
      <c r="BK174" s="29"/>
      <c r="BL174" s="29"/>
      <c r="BM174" s="29"/>
      <c r="BN174" s="29"/>
      <c r="BO174" s="29"/>
      <c r="BP174" s="29"/>
      <c r="BQ174" s="29"/>
      <c r="BR174" s="29"/>
      <c r="BS174" s="29"/>
      <c r="BT174" s="29"/>
      <c r="BU174" s="29"/>
      <c r="BV174" s="29"/>
      <c r="BW174" s="29"/>
      <c r="BX174" s="29"/>
      <c r="BY174" s="29"/>
      <c r="BZ174" s="29"/>
      <c r="CA174" s="29"/>
      <c r="CB174" s="29"/>
      <c r="CC174" s="29"/>
      <c r="CD174" s="29"/>
      <c r="CE174" s="29"/>
      <c r="CF174" s="29"/>
      <c r="CG174" s="29"/>
      <c r="CH174" s="29"/>
      <c r="CI174" s="29"/>
      <c r="CJ174" s="29"/>
      <c r="CK174" s="29"/>
      <c r="CL174" s="29"/>
      <c r="CM174" s="29"/>
      <c r="CN174" s="29"/>
      <c r="CO174" s="29"/>
      <c r="CP174" s="29"/>
      <c r="CQ174" s="29"/>
      <c r="CR174" s="29"/>
      <c r="CS174" s="29"/>
      <c r="CT174" s="29"/>
      <c r="CU174" s="29"/>
      <c r="CV174" s="29"/>
      <c r="CW174" s="29"/>
      <c r="CX174" s="29"/>
      <c r="CY174" s="29"/>
      <c r="CZ174" s="29"/>
      <c r="DA174" s="29"/>
      <c r="DB174" s="29"/>
      <c r="DC174" s="29"/>
      <c r="DD174" s="29"/>
      <c r="DE174" s="29"/>
      <c r="DF174" s="29"/>
      <c r="DG174" s="29"/>
      <c r="DH174" s="29"/>
      <c r="DI174" s="29"/>
      <c r="DJ174" s="29"/>
      <c r="DK174" s="29"/>
      <c r="DL174" s="29"/>
      <c r="DM174" s="29"/>
      <c r="DN174" s="29"/>
      <c r="DO174" s="29"/>
      <c r="DP174" s="29"/>
      <c r="DQ174" s="29"/>
      <c r="DR174" s="29"/>
      <c r="DS174" s="29"/>
      <c r="DT174" s="29"/>
      <c r="DU174" s="29"/>
      <c r="DV174" s="29"/>
      <c r="DW174" s="29"/>
      <c r="DX174" s="29"/>
      <c r="DY174" s="29"/>
      <c r="DZ174" s="29"/>
      <c r="EA174" s="29"/>
      <c r="EB174" s="29"/>
      <c r="EC174" s="29"/>
      <c r="ED174" s="29"/>
      <c r="EE174" s="29"/>
      <c r="EF174" s="29"/>
      <c r="EG174" s="29"/>
      <c r="EH174" s="29"/>
      <c r="EI174" s="29"/>
      <c r="EJ174" s="29"/>
      <c r="EK174" s="29"/>
      <c r="EL174" s="29"/>
      <c r="EM174" s="29"/>
      <c r="EN174" s="29"/>
      <c r="EO174" s="29"/>
      <c r="EP174" s="29"/>
      <c r="EQ174" s="29"/>
      <c r="ER174" s="29"/>
      <c r="ES174" s="29"/>
      <c r="ET174" s="29"/>
      <c r="EU174" s="29"/>
      <c r="EV174" s="29"/>
      <c r="EW174" s="29"/>
      <c r="EX174" s="29"/>
      <c r="EY174" s="29"/>
      <c r="EZ174" s="29"/>
      <c r="FA174" s="29"/>
      <c r="FB174" s="29"/>
      <c r="FC174" s="29"/>
      <c r="FD174" s="29"/>
      <c r="FE174" s="29"/>
      <c r="FF174" s="29"/>
      <c r="FG174" s="29"/>
      <c r="FH174" s="29"/>
      <c r="FI174" s="29"/>
      <c r="FJ174" s="29"/>
      <c r="FK174" s="29"/>
      <c r="FL174" s="29"/>
      <c r="FM174" s="29"/>
      <c r="FN174" s="29"/>
      <c r="FO174" s="29"/>
      <c r="FP174" s="29"/>
      <c r="FQ174" s="29"/>
      <c r="FR174" s="29"/>
      <c r="FS174" s="29"/>
      <c r="FT174" s="29"/>
      <c r="FU174" s="29"/>
      <c r="FV174" s="29"/>
      <c r="FW174" s="29"/>
      <c r="FX174" s="29"/>
      <c r="FY174" s="29"/>
      <c r="FZ174" s="29"/>
      <c r="GA174" s="29"/>
      <c r="GB174" s="29"/>
      <c r="GC174" s="29"/>
      <c r="GD174" s="29"/>
      <c r="GE174" s="29"/>
      <c r="GF174" s="29"/>
      <c r="GG174" s="29"/>
      <c r="GH174" s="29"/>
      <c r="GI174" s="29"/>
      <c r="GJ174" s="29"/>
      <c r="GK174" s="29"/>
      <c r="GL174" s="29"/>
      <c r="GM174" s="29"/>
      <c r="GN174" s="29"/>
      <c r="GO174" s="29"/>
      <c r="GP174" s="29"/>
      <c r="GQ174" s="29"/>
      <c r="GR174" s="29"/>
      <c r="GS174" s="29"/>
      <c r="GT174" s="29"/>
      <c r="GU174" s="29"/>
      <c r="GV174" s="29"/>
      <c r="GW174" s="29"/>
      <c r="GX174" s="29"/>
      <c r="GY174" s="29"/>
      <c r="GZ174" s="29"/>
      <c r="HA174" s="29"/>
      <c r="HB174" s="29"/>
      <c r="HC174" s="29"/>
      <c r="HD174" s="29"/>
      <c r="HE174" s="29"/>
      <c r="HF174" s="29"/>
      <c r="HG174" s="29"/>
      <c r="HH174" s="29"/>
      <c r="HI174" s="29"/>
      <c r="HJ174" s="29"/>
      <c r="HK174" s="29"/>
      <c r="HL174" s="29"/>
      <c r="HM174" s="29"/>
      <c r="HN174" s="29"/>
      <c r="HO174" s="29"/>
      <c r="HP174" s="29"/>
      <c r="HQ174" s="29"/>
      <c r="HR174" s="29"/>
      <c r="HS174" s="29"/>
      <c r="HT174" s="29"/>
      <c r="HU174" s="29"/>
      <c r="HV174" s="29"/>
      <c r="HW174" s="29"/>
      <c r="HX174" s="29"/>
      <c r="HY174" s="29"/>
      <c r="HZ174" s="29"/>
      <c r="IA174" s="29"/>
      <c r="IB174" s="29"/>
      <c r="IC174" s="29"/>
      <c r="ID174" s="29"/>
      <c r="IE174" s="29"/>
      <c r="IF174" s="29"/>
      <c r="IG174" s="29"/>
      <c r="IH174" s="29"/>
      <c r="II174" s="29"/>
      <c r="IJ174" s="29"/>
      <c r="IK174" s="29"/>
      <c r="IL174" s="29"/>
      <c r="IM174" s="29"/>
      <c r="IN174" s="29"/>
      <c r="IO174" s="29"/>
      <c r="IP174" s="29"/>
      <c r="IQ174" s="29"/>
      <c r="IR174" s="29"/>
      <c r="IS174" s="29"/>
      <c r="IT174" s="29"/>
      <c r="IU174" s="29"/>
      <c r="IV174" s="29"/>
      <c r="IW174" s="29"/>
      <c r="IX174" s="29"/>
      <c r="IY174" s="29"/>
      <c r="IZ174" s="29"/>
      <c r="JA174" s="29"/>
      <c r="JB174" s="29"/>
      <c r="JC174" s="29"/>
      <c r="JD174" s="29"/>
      <c r="JE174" s="29"/>
      <c r="JF174" s="29"/>
      <c r="JG174" s="29"/>
      <c r="JH174" s="29"/>
      <c r="JI174" s="29"/>
      <c r="JJ174" s="29"/>
      <c r="JK174" s="29"/>
      <c r="JL174" s="29"/>
      <c r="JM174" s="29"/>
      <c r="JN174" s="29"/>
      <c r="JO174" s="29"/>
      <c r="JP174" s="29"/>
      <c r="JQ174" s="29"/>
      <c r="JR174" s="29"/>
      <c r="JS174" s="29"/>
      <c r="JT174" s="29"/>
      <c r="JU174" s="29"/>
      <c r="JV174" s="29"/>
      <c r="JW174" s="29"/>
      <c r="JX174" s="29"/>
      <c r="JY174" s="29"/>
      <c r="JZ174" s="29"/>
      <c r="KA174" s="29"/>
      <c r="KB174" s="29"/>
      <c r="KC174" s="29"/>
      <c r="KD174" s="29"/>
      <c r="KE174" s="29"/>
      <c r="KF174" s="29"/>
      <c r="KG174" s="29"/>
      <c r="KH174" s="29"/>
      <c r="KI174" s="29"/>
      <c r="KJ174" s="29"/>
      <c r="KK174" s="29"/>
      <c r="KL174" s="29"/>
      <c r="KM174" s="29"/>
      <c r="KN174" s="29"/>
      <c r="KO174" s="29"/>
      <c r="KP174" s="29"/>
      <c r="KQ174" s="29"/>
      <c r="KR174" s="29"/>
      <c r="KS174" s="29"/>
      <c r="KT174" s="29"/>
      <c r="KU174" s="29"/>
      <c r="KV174" s="29"/>
      <c r="KW174" s="29"/>
      <c r="KX174" s="29"/>
      <c r="KY174" s="29"/>
      <c r="KZ174" s="29"/>
      <c r="LA174" s="29"/>
      <c r="LB174" s="29"/>
      <c r="LC174" s="29"/>
      <c r="LD174" s="29"/>
      <c r="LE174" s="29"/>
      <c r="LF174" s="29"/>
      <c r="LG174" s="29"/>
      <c r="LH174" s="29"/>
      <c r="LI174" s="29"/>
      <c r="LJ174" s="29"/>
      <c r="LK174" s="29"/>
      <c r="LL174" s="29"/>
      <c r="LM174" s="29"/>
      <c r="LN174" s="29"/>
      <c r="LO174" s="29"/>
      <c r="LP174" s="29"/>
      <c r="LQ174" s="29"/>
      <c r="LR174" s="29"/>
      <c r="LS174" s="29"/>
      <c r="LT174" s="29"/>
      <c r="LU174" s="29"/>
      <c r="LV174" s="29"/>
      <c r="LW174" s="29"/>
      <c r="LX174" s="29"/>
      <c r="LY174" s="29"/>
      <c r="LZ174" s="29"/>
      <c r="MA174" s="29"/>
      <c r="MB174" s="29"/>
      <c r="MC174" s="29"/>
      <c r="MD174" s="29"/>
      <c r="ME174" s="29"/>
      <c r="MF174" s="29"/>
      <c r="MG174" s="29"/>
      <c r="MH174" s="29"/>
      <c r="MI174" s="29"/>
      <c r="MJ174" s="29"/>
      <c r="MK174" s="29"/>
      <c r="ML174" s="29"/>
      <c r="MM174" s="29"/>
      <c r="MN174" s="29"/>
      <c r="MO174" s="29"/>
      <c r="MP174" s="29"/>
      <c r="MQ174" s="29"/>
      <c r="MR174" s="29"/>
      <c r="MS174" s="29"/>
      <c r="MT174" s="29"/>
      <c r="MU174" s="29"/>
      <c r="MV174" s="29"/>
      <c r="MW174" s="29"/>
      <c r="MX174" s="29"/>
      <c r="MY174" s="29"/>
      <c r="MZ174" s="29"/>
      <c r="NA174" s="29"/>
      <c r="NB174" s="29"/>
      <c r="NC174" s="29"/>
      <c r="ND174" s="29"/>
      <c r="NE174" s="29"/>
      <c r="NF174" s="29"/>
      <c r="NG174" s="29"/>
      <c r="NH174" s="29"/>
      <c r="NI174" s="29"/>
      <c r="NJ174" s="29"/>
      <c r="NK174" s="29"/>
      <c r="NL174" s="29"/>
      <c r="NM174" s="29"/>
      <c r="NN174" s="29"/>
      <c r="NO174" s="29"/>
      <c r="NP174" s="29"/>
      <c r="NQ174" s="29"/>
      <c r="NR174" s="29"/>
      <c r="NS174" s="29"/>
      <c r="NT174" s="29"/>
      <c r="NU174" s="29"/>
      <c r="NV174" s="29"/>
      <c r="NW174" s="29"/>
      <c r="NX174" s="29"/>
      <c r="NY174" s="29"/>
      <c r="NZ174" s="29"/>
      <c r="OA174" s="29"/>
      <c r="OB174" s="29"/>
      <c r="OC174" s="29"/>
      <c r="OD174" s="29"/>
      <c r="OE174" s="29"/>
      <c r="OF174" s="29"/>
      <c r="OG174" s="29"/>
      <c r="OH174" s="29"/>
      <c r="OI174" s="29"/>
      <c r="OJ174" s="29"/>
      <c r="OK174" s="29"/>
      <c r="OL174" s="29"/>
      <c r="OM174" s="29"/>
      <c r="ON174" s="29"/>
      <c r="OO174" s="29"/>
      <c r="OP174" s="29"/>
      <c r="OQ174" s="29"/>
      <c r="OR174" s="29"/>
      <c r="OS174" s="29"/>
      <c r="OT174" s="29"/>
      <c r="OU174" s="29"/>
      <c r="OV174" s="29"/>
      <c r="OW174" s="29"/>
      <c r="OX174" s="29"/>
      <c r="OY174" s="29"/>
      <c r="OZ174" s="29"/>
      <c r="PA174" s="29"/>
      <c r="PB174" s="29"/>
      <c r="PC174" s="29"/>
      <c r="PD174" s="29"/>
      <c r="PE174" s="29"/>
      <c r="PF174" s="29"/>
      <c r="PG174" s="29"/>
      <c r="PH174" s="29"/>
      <c r="PI174" s="29"/>
      <c r="PJ174" s="29"/>
      <c r="PK174" s="29"/>
      <c r="PL174" s="29"/>
      <c r="PM174" s="29"/>
      <c r="PN174" s="29"/>
      <c r="PO174" s="29"/>
      <c r="PP174" s="29"/>
      <c r="PQ174" s="29"/>
      <c r="PR174" s="29"/>
      <c r="PS174" s="29"/>
      <c r="PT174" s="29"/>
      <c r="PU174" s="29"/>
      <c r="PV174" s="29"/>
      <c r="PW174" s="29"/>
      <c r="PX174" s="29"/>
      <c r="PY174" s="29"/>
      <c r="PZ174" s="29"/>
      <c r="QA174" s="29"/>
      <c r="QB174" s="29"/>
      <c r="QC174" s="29"/>
      <c r="QD174" s="29"/>
      <c r="QE174" s="29"/>
      <c r="QF174" s="29"/>
      <c r="QG174" s="29"/>
      <c r="QH174" s="29"/>
      <c r="QI174" s="29"/>
      <c r="QJ174" s="29"/>
      <c r="QK174" s="29"/>
      <c r="QL174" s="29"/>
      <c r="QM174" s="29"/>
      <c r="QN174" s="29"/>
      <c r="QO174" s="29"/>
      <c r="QP174" s="29"/>
      <c r="QQ174" s="29"/>
      <c r="QR174" s="29"/>
      <c r="QS174" s="29"/>
      <c r="QT174" s="29"/>
      <c r="QU174" s="29"/>
      <c r="QV174" s="29"/>
      <c r="QW174" s="29"/>
      <c r="QX174" s="29"/>
      <c r="QY174" s="29"/>
      <c r="QZ174" s="29"/>
      <c r="RA174" s="29"/>
      <c r="RB174" s="29"/>
      <c r="RC174" s="29"/>
      <c r="RD174" s="29"/>
      <c r="RE174" s="29"/>
      <c r="RF174" s="29"/>
      <c r="RG174" s="29"/>
      <c r="RH174" s="29"/>
      <c r="RI174" s="29"/>
      <c r="RJ174" s="29"/>
      <c r="RK174" s="29"/>
      <c r="RL174" s="29"/>
      <c r="RM174" s="29"/>
      <c r="RN174" s="29"/>
      <c r="RO174" s="29"/>
      <c r="RP174" s="29"/>
      <c r="RQ174" s="29"/>
      <c r="RR174" s="29"/>
      <c r="RS174" s="29"/>
      <c r="RT174" s="29"/>
      <c r="RU174" s="29"/>
      <c r="RV174" s="29"/>
      <c r="RW174" s="29"/>
      <c r="RX174" s="29"/>
      <c r="RY174" s="29"/>
      <c r="RZ174" s="29"/>
      <c r="SA174" s="29"/>
      <c r="SB174" s="29"/>
      <c r="SC174" s="29"/>
      <c r="SD174" s="29"/>
      <c r="SE174" s="29"/>
      <c r="SF174" s="29"/>
      <c r="SG174" s="29"/>
      <c r="SH174" s="29"/>
      <c r="SI174" s="29"/>
      <c r="SJ174" s="29"/>
      <c r="SK174" s="29"/>
      <c r="SL174" s="29"/>
      <c r="SM174" s="29"/>
      <c r="SN174" s="29"/>
      <c r="SO174" s="29"/>
      <c r="SP174" s="29"/>
      <c r="SQ174" s="29"/>
      <c r="SR174" s="29"/>
      <c r="SS174" s="29"/>
      <c r="ST174" s="29"/>
      <c r="SU174" s="29"/>
      <c r="SV174" s="29"/>
      <c r="SW174" s="29"/>
      <c r="SX174" s="29"/>
      <c r="SY174" s="29"/>
      <c r="SZ174" s="29"/>
      <c r="TA174" s="29"/>
      <c r="TB174" s="29"/>
      <c r="TC174" s="29"/>
      <c r="TD174" s="29"/>
      <c r="TE174" s="29"/>
      <c r="TF174" s="29"/>
      <c r="TG174" s="29"/>
      <c r="TH174" s="29"/>
      <c r="TI174" s="29"/>
      <c r="TJ174" s="29"/>
      <c r="TK174" s="29"/>
      <c r="TL174" s="29"/>
      <c r="TM174" s="29"/>
      <c r="TN174" s="29"/>
      <c r="TO174" s="29"/>
      <c r="TP174" s="29"/>
      <c r="TQ174" s="29"/>
      <c r="TR174" s="29"/>
      <c r="TS174" s="29"/>
      <c r="TT174" s="29"/>
      <c r="TU174" s="29"/>
      <c r="TV174" s="29"/>
      <c r="TW174" s="29"/>
      <c r="TX174" s="29"/>
      <c r="TY174" s="29"/>
      <c r="TZ174" s="29"/>
      <c r="UA174" s="29"/>
      <c r="UB174" s="29"/>
      <c r="UC174" s="29"/>
      <c r="UD174" s="29"/>
      <c r="UE174" s="29"/>
      <c r="UF174" s="29"/>
      <c r="UG174" s="29"/>
      <c r="UH174" s="29"/>
      <c r="UI174" s="29"/>
      <c r="UJ174" s="29"/>
      <c r="UK174" s="29"/>
      <c r="UL174" s="29"/>
      <c r="UM174" s="29"/>
      <c r="UN174" s="29"/>
      <c r="UO174" s="29"/>
      <c r="UP174" s="29"/>
      <c r="UQ174" s="29"/>
      <c r="UR174" s="29"/>
      <c r="US174" s="29"/>
      <c r="UT174" s="29"/>
      <c r="UU174" s="29"/>
      <c r="UV174" s="29"/>
      <c r="UW174" s="29"/>
      <c r="UX174" s="29"/>
      <c r="UY174" s="29"/>
      <c r="UZ174" s="29"/>
      <c r="VA174" s="29"/>
      <c r="VB174" s="29"/>
      <c r="VC174" s="29"/>
      <c r="VD174" s="29"/>
      <c r="VE174" s="29"/>
      <c r="VF174" s="29"/>
      <c r="VG174" s="29"/>
      <c r="VH174" s="29"/>
      <c r="VI174" s="29"/>
      <c r="VJ174" s="29"/>
      <c r="VK174" s="29"/>
      <c r="VL174" s="29"/>
      <c r="VM174" s="29"/>
      <c r="VN174" s="29"/>
      <c r="VO174" s="29"/>
      <c r="VP174" s="29"/>
      <c r="VQ174" s="29"/>
      <c r="VR174" s="29"/>
      <c r="VS174" s="29"/>
      <c r="VT174" s="29"/>
      <c r="VU174" s="29"/>
      <c r="VV174" s="29"/>
      <c r="VW174" s="29"/>
      <c r="VX174" s="29"/>
      <c r="VY174" s="29"/>
      <c r="VZ174" s="29"/>
      <c r="WA174" s="29"/>
      <c r="WB174" s="29"/>
      <c r="WC174" s="29"/>
      <c r="WD174" s="29"/>
      <c r="WE174" s="29"/>
      <c r="WF174" s="29"/>
      <c r="WG174" s="29"/>
      <c r="WH174" s="29"/>
      <c r="WI174" s="29"/>
      <c r="WJ174" s="29"/>
      <c r="WK174" s="29"/>
      <c r="WL174" s="29"/>
      <c r="WM174" s="29"/>
      <c r="WN174" s="29"/>
      <c r="WO174" s="29"/>
      <c r="WP174" s="29"/>
      <c r="WQ174" s="29"/>
      <c r="WR174" s="29"/>
      <c r="WS174" s="29"/>
    </row>
    <row r="175" spans="1:617" s="3" customFormat="1" ht="15" outlineLevel="1" thickBot="1">
      <c r="A175" s="33"/>
      <c r="B175" s="221" t="s">
        <v>275</v>
      </c>
      <c r="C175" s="222" t="s">
        <v>104</v>
      </c>
      <c r="D175" s="227">
        <v>46118</v>
      </c>
      <c r="E175" s="223">
        <f t="shared" si="606"/>
        <v>46204</v>
      </c>
      <c r="F175" s="14"/>
      <c r="G175" s="14">
        <v>86</v>
      </c>
      <c r="H175" s="29"/>
      <c r="I175" s="29"/>
      <c r="J175" s="29"/>
      <c r="K175" s="29"/>
      <c r="L175" s="29"/>
      <c r="M175" s="29"/>
      <c r="N175" s="29"/>
      <c r="O175" s="29"/>
      <c r="P175" s="29"/>
      <c r="Q175" s="29"/>
      <c r="R175" s="29"/>
      <c r="S175" s="29"/>
      <c r="T175" s="29"/>
      <c r="U175" s="29"/>
      <c r="V175" s="29"/>
      <c r="W175" s="29"/>
      <c r="X175" s="29"/>
      <c r="Y175" s="30"/>
      <c r="Z175" s="29"/>
      <c r="AA175" s="29"/>
      <c r="AB175" s="29"/>
      <c r="AC175" s="29"/>
      <c r="AD175" s="29"/>
      <c r="AE175" s="29"/>
      <c r="AF175" s="29"/>
      <c r="AG175" s="29"/>
      <c r="AH175" s="29"/>
      <c r="AI175" s="29"/>
      <c r="AJ175" s="29"/>
      <c r="AK175" s="29"/>
      <c r="AL175" s="29"/>
      <c r="AM175" s="29"/>
      <c r="AN175" s="29"/>
      <c r="AO175" s="29"/>
      <c r="AP175" s="29"/>
      <c r="AQ175" s="29"/>
      <c r="AR175" s="29"/>
      <c r="AS175" s="29"/>
      <c r="AT175" s="29"/>
      <c r="AU175" s="29"/>
      <c r="AV175" s="29"/>
      <c r="AW175" s="29"/>
      <c r="AX175" s="29"/>
      <c r="AY175" s="29"/>
      <c r="AZ175" s="29"/>
      <c r="BA175" s="29"/>
      <c r="BB175" s="29"/>
      <c r="BC175" s="29"/>
      <c r="BD175" s="29"/>
      <c r="BE175" s="29"/>
      <c r="BF175" s="29"/>
      <c r="BG175" s="29"/>
      <c r="BH175" s="29"/>
      <c r="BI175" s="29"/>
      <c r="BJ175" s="29"/>
      <c r="BK175" s="29"/>
      <c r="BL175" s="29"/>
      <c r="BM175" s="29"/>
      <c r="BN175" s="29"/>
      <c r="BO175" s="29"/>
      <c r="BP175" s="29"/>
      <c r="BQ175" s="29"/>
      <c r="BR175" s="29"/>
      <c r="BS175" s="29"/>
      <c r="BT175" s="29"/>
      <c r="BU175" s="29"/>
      <c r="BV175" s="29"/>
      <c r="BW175" s="29"/>
      <c r="BX175" s="29"/>
      <c r="BY175" s="29"/>
      <c r="BZ175" s="29"/>
      <c r="CA175" s="29"/>
      <c r="CB175" s="29"/>
      <c r="CC175" s="29"/>
      <c r="CD175" s="29"/>
      <c r="CE175" s="29"/>
      <c r="CF175" s="29"/>
      <c r="CG175" s="29"/>
      <c r="CH175" s="29"/>
      <c r="CI175" s="29"/>
      <c r="CJ175" s="29"/>
      <c r="CK175" s="29"/>
      <c r="CL175" s="29"/>
      <c r="CM175" s="29"/>
      <c r="CN175" s="29"/>
      <c r="CO175" s="29"/>
      <c r="CP175" s="29"/>
      <c r="CQ175" s="29"/>
      <c r="CR175" s="29"/>
      <c r="CS175" s="29"/>
      <c r="CT175" s="29"/>
      <c r="CU175" s="29"/>
      <c r="CV175" s="29"/>
      <c r="CW175" s="29"/>
      <c r="CX175" s="29"/>
      <c r="CY175" s="29"/>
      <c r="CZ175" s="29"/>
      <c r="DA175" s="29"/>
      <c r="DB175" s="29"/>
      <c r="DC175" s="29"/>
      <c r="DD175" s="29"/>
      <c r="DE175" s="29"/>
      <c r="DF175" s="29"/>
      <c r="DG175" s="29"/>
      <c r="DH175" s="29"/>
      <c r="DI175" s="29"/>
      <c r="DJ175" s="29"/>
      <c r="DK175" s="29"/>
      <c r="DL175" s="29"/>
      <c r="DM175" s="29"/>
      <c r="DN175" s="29"/>
      <c r="DO175" s="29"/>
      <c r="DP175" s="29"/>
      <c r="DQ175" s="29"/>
      <c r="DR175" s="29"/>
      <c r="DS175" s="29"/>
      <c r="DT175" s="29"/>
      <c r="DU175" s="29"/>
      <c r="DV175" s="29"/>
      <c r="DW175" s="29"/>
      <c r="DX175" s="29"/>
      <c r="DY175" s="29"/>
      <c r="DZ175" s="29"/>
      <c r="EA175" s="29"/>
      <c r="EB175" s="29"/>
      <c r="EC175" s="29"/>
      <c r="ED175" s="29"/>
      <c r="EE175" s="29"/>
      <c r="EF175" s="29"/>
      <c r="EG175" s="29"/>
      <c r="EH175" s="29"/>
      <c r="EI175" s="29"/>
      <c r="EJ175" s="29"/>
      <c r="EK175" s="29"/>
      <c r="EL175" s="29"/>
      <c r="EM175" s="29"/>
      <c r="EN175" s="29"/>
      <c r="EO175" s="29"/>
      <c r="EP175" s="29"/>
      <c r="EQ175" s="29"/>
      <c r="ER175" s="29"/>
      <c r="ES175" s="29"/>
      <c r="ET175" s="29"/>
      <c r="EU175" s="29"/>
      <c r="EV175" s="29"/>
      <c r="EW175" s="29"/>
      <c r="EX175" s="29"/>
      <c r="EY175" s="29"/>
      <c r="EZ175" s="29"/>
      <c r="FA175" s="29"/>
      <c r="FB175" s="29"/>
      <c r="FC175" s="29"/>
      <c r="FD175" s="29"/>
      <c r="FE175" s="29"/>
      <c r="FF175" s="29"/>
      <c r="FG175" s="29"/>
      <c r="FH175" s="29"/>
      <c r="FI175" s="29"/>
      <c r="FJ175" s="29"/>
      <c r="FK175" s="29"/>
      <c r="FL175" s="29"/>
      <c r="FM175" s="29"/>
      <c r="FN175" s="29"/>
      <c r="FO175" s="29"/>
      <c r="FP175" s="29"/>
      <c r="FQ175" s="29"/>
      <c r="FR175" s="29"/>
      <c r="FS175" s="29"/>
      <c r="FT175" s="29"/>
      <c r="FU175" s="29"/>
      <c r="FV175" s="29"/>
      <c r="FW175" s="29"/>
      <c r="FX175" s="29"/>
      <c r="FY175" s="29"/>
      <c r="FZ175" s="29"/>
      <c r="GA175" s="29"/>
      <c r="GB175" s="29"/>
      <c r="GC175" s="29"/>
      <c r="GD175" s="29"/>
      <c r="GE175" s="29"/>
      <c r="GF175" s="29"/>
      <c r="GG175" s="29"/>
      <c r="GH175" s="29"/>
      <c r="GI175" s="29"/>
      <c r="GJ175" s="29"/>
      <c r="GK175" s="29"/>
      <c r="GL175" s="29"/>
      <c r="GM175" s="29"/>
      <c r="GN175" s="29"/>
      <c r="GO175" s="29"/>
      <c r="GP175" s="29"/>
      <c r="GQ175" s="29"/>
      <c r="GR175" s="29"/>
      <c r="GS175" s="29"/>
      <c r="GT175" s="29"/>
      <c r="GU175" s="29"/>
      <c r="GV175" s="29"/>
      <c r="GW175" s="29"/>
      <c r="GX175" s="29"/>
      <c r="GY175" s="29"/>
      <c r="GZ175" s="29"/>
      <c r="HA175" s="29"/>
      <c r="HB175" s="29"/>
      <c r="HC175" s="29"/>
      <c r="HD175" s="29"/>
      <c r="HE175" s="29"/>
      <c r="HF175" s="29"/>
      <c r="HG175" s="29"/>
      <c r="HH175" s="29"/>
      <c r="HI175" s="29"/>
      <c r="HJ175" s="29"/>
      <c r="HK175" s="29"/>
      <c r="HL175" s="29"/>
      <c r="HM175" s="29"/>
      <c r="HN175" s="29"/>
      <c r="HO175" s="29"/>
      <c r="HP175" s="29"/>
      <c r="HQ175" s="29"/>
      <c r="HR175" s="29"/>
      <c r="HS175" s="29"/>
      <c r="HT175" s="29"/>
      <c r="HU175" s="29"/>
      <c r="HV175" s="29"/>
      <c r="HW175" s="29"/>
      <c r="HX175" s="29"/>
      <c r="HY175" s="29"/>
      <c r="HZ175" s="29"/>
      <c r="IA175" s="29"/>
      <c r="IB175" s="29"/>
      <c r="IC175" s="29"/>
      <c r="ID175" s="29"/>
      <c r="IE175" s="29"/>
      <c r="IF175" s="29"/>
      <c r="IG175" s="29"/>
      <c r="IH175" s="29"/>
      <c r="II175" s="29"/>
      <c r="IJ175" s="29"/>
      <c r="IK175" s="29"/>
      <c r="IL175" s="29"/>
      <c r="IM175" s="29"/>
      <c r="IN175" s="29"/>
      <c r="IO175" s="29"/>
      <c r="IP175" s="29"/>
      <c r="IQ175" s="29"/>
      <c r="IR175" s="29"/>
      <c r="IS175" s="29"/>
      <c r="IT175" s="29"/>
      <c r="IU175" s="29"/>
      <c r="IV175" s="29"/>
      <c r="IW175" s="29"/>
      <c r="IX175" s="29"/>
      <c r="IY175" s="29"/>
      <c r="IZ175" s="29"/>
      <c r="JA175" s="29"/>
      <c r="JB175" s="29"/>
      <c r="JC175" s="29"/>
      <c r="JD175" s="29"/>
      <c r="JE175" s="29"/>
      <c r="JF175" s="29"/>
      <c r="JG175" s="29"/>
      <c r="JH175" s="29"/>
      <c r="JI175" s="29"/>
      <c r="JJ175" s="29"/>
      <c r="JK175" s="29"/>
      <c r="JL175" s="29"/>
      <c r="JM175" s="29"/>
      <c r="JN175" s="29"/>
      <c r="JO175" s="29"/>
      <c r="JP175" s="29"/>
      <c r="JQ175" s="29"/>
      <c r="JR175" s="29"/>
      <c r="JS175" s="29"/>
      <c r="JT175" s="29"/>
      <c r="JU175" s="29"/>
      <c r="JV175" s="29"/>
      <c r="JW175" s="29"/>
      <c r="JX175" s="29"/>
      <c r="JY175" s="29"/>
      <c r="JZ175" s="29"/>
      <c r="KA175" s="29"/>
      <c r="KB175" s="29"/>
      <c r="KC175" s="29"/>
      <c r="KD175" s="29"/>
      <c r="KE175" s="29"/>
      <c r="KF175" s="29"/>
      <c r="KG175" s="29"/>
      <c r="KH175" s="29"/>
      <c r="KI175" s="29"/>
      <c r="KJ175" s="29"/>
      <c r="KK175" s="29"/>
      <c r="KL175" s="29"/>
      <c r="KM175" s="29"/>
      <c r="KN175" s="29"/>
      <c r="KO175" s="29"/>
      <c r="KP175" s="29"/>
      <c r="KQ175" s="29"/>
      <c r="KR175" s="29"/>
      <c r="KS175" s="29"/>
      <c r="KT175" s="29"/>
      <c r="KU175" s="29"/>
      <c r="KV175" s="29"/>
      <c r="KW175" s="29"/>
      <c r="KX175" s="29"/>
      <c r="KY175" s="29"/>
      <c r="KZ175" s="29"/>
      <c r="LA175" s="29"/>
      <c r="LB175" s="29"/>
      <c r="LC175" s="29"/>
      <c r="LD175" s="29"/>
      <c r="LE175" s="29"/>
      <c r="LF175" s="29"/>
      <c r="LG175" s="29"/>
      <c r="LH175" s="29"/>
      <c r="LI175" s="29"/>
      <c r="LJ175" s="29"/>
      <c r="LK175" s="29"/>
      <c r="LL175" s="29"/>
      <c r="LM175" s="29"/>
      <c r="LN175" s="29"/>
      <c r="LO175" s="29"/>
      <c r="LP175" s="29"/>
      <c r="LQ175" s="29"/>
      <c r="LR175" s="29"/>
      <c r="LS175" s="29"/>
      <c r="LT175" s="29"/>
      <c r="LU175" s="29"/>
      <c r="LV175" s="29"/>
      <c r="LW175" s="29"/>
      <c r="LX175" s="29"/>
      <c r="LY175" s="29"/>
      <c r="LZ175" s="29"/>
      <c r="MA175" s="29"/>
      <c r="MB175" s="29"/>
      <c r="MC175" s="29"/>
      <c r="MD175" s="29"/>
      <c r="ME175" s="29"/>
      <c r="MF175" s="29"/>
      <c r="MG175" s="29"/>
      <c r="MH175" s="29"/>
      <c r="MI175" s="29"/>
      <c r="MJ175" s="29"/>
      <c r="MK175" s="29"/>
      <c r="ML175" s="29"/>
      <c r="MM175" s="29"/>
      <c r="MN175" s="29"/>
      <c r="MO175" s="29"/>
      <c r="MP175" s="29"/>
      <c r="MQ175" s="29"/>
      <c r="MR175" s="29"/>
      <c r="MS175" s="29"/>
      <c r="MT175" s="29"/>
      <c r="MU175" s="29"/>
      <c r="MV175" s="29"/>
      <c r="MW175" s="29"/>
      <c r="MX175" s="29"/>
      <c r="MY175" s="29"/>
      <c r="MZ175" s="29"/>
      <c r="NA175" s="29"/>
      <c r="NB175" s="29"/>
      <c r="NC175" s="29"/>
      <c r="ND175" s="29"/>
      <c r="NE175" s="29"/>
      <c r="NF175" s="29"/>
      <c r="NG175" s="29"/>
      <c r="NH175" s="29"/>
      <c r="NI175" s="29"/>
      <c r="NJ175" s="29"/>
      <c r="NK175" s="29"/>
      <c r="NL175" s="29"/>
      <c r="NM175" s="29"/>
      <c r="NN175" s="29"/>
      <c r="NO175" s="29"/>
      <c r="NP175" s="29"/>
      <c r="NQ175" s="29"/>
      <c r="NR175" s="29"/>
      <c r="NS175" s="29"/>
      <c r="NT175" s="29"/>
      <c r="NU175" s="29"/>
      <c r="NV175" s="29"/>
      <c r="NW175" s="29"/>
      <c r="NX175" s="29"/>
      <c r="NY175" s="29"/>
      <c r="NZ175" s="29"/>
      <c r="OA175" s="29"/>
      <c r="OB175" s="29"/>
      <c r="OC175" s="29"/>
      <c r="OD175" s="29"/>
      <c r="OE175" s="29"/>
      <c r="OF175" s="29"/>
      <c r="OG175" s="29"/>
      <c r="OH175" s="29"/>
      <c r="OI175" s="29"/>
      <c r="OJ175" s="29"/>
      <c r="OK175" s="29"/>
      <c r="OL175" s="29"/>
      <c r="OM175" s="29"/>
      <c r="ON175" s="29"/>
      <c r="OO175" s="29"/>
      <c r="OP175" s="29"/>
      <c r="OQ175" s="29"/>
      <c r="OR175" s="29"/>
      <c r="OS175" s="29"/>
      <c r="OT175" s="29"/>
      <c r="OU175" s="29"/>
      <c r="OV175" s="29"/>
      <c r="OW175" s="29"/>
      <c r="OX175" s="29"/>
      <c r="OY175" s="29"/>
      <c r="OZ175" s="29"/>
      <c r="PA175" s="29"/>
      <c r="PB175" s="29"/>
      <c r="PC175" s="29"/>
      <c r="PD175" s="29"/>
      <c r="PE175" s="29"/>
      <c r="PF175" s="29"/>
      <c r="PG175" s="29"/>
      <c r="PH175" s="29"/>
      <c r="PI175" s="29"/>
      <c r="PJ175" s="29"/>
      <c r="PK175" s="29"/>
      <c r="PL175" s="29"/>
      <c r="PM175" s="29"/>
      <c r="PN175" s="29"/>
      <c r="PO175" s="29"/>
      <c r="PP175" s="29"/>
      <c r="PQ175" s="29"/>
      <c r="PR175" s="29"/>
      <c r="PS175" s="29"/>
      <c r="PT175" s="29"/>
      <c r="PU175" s="29"/>
      <c r="PV175" s="29"/>
      <c r="PW175" s="29"/>
      <c r="PX175" s="29"/>
      <c r="PY175" s="29"/>
      <c r="PZ175" s="29"/>
      <c r="QA175" s="29"/>
      <c r="QB175" s="29"/>
      <c r="QC175" s="29"/>
      <c r="QD175" s="29"/>
      <c r="QE175" s="29"/>
      <c r="QF175" s="29"/>
      <c r="QG175" s="29"/>
      <c r="QH175" s="29"/>
      <c r="QI175" s="29"/>
      <c r="QJ175" s="29"/>
      <c r="QK175" s="29"/>
      <c r="QL175" s="29"/>
      <c r="QM175" s="29"/>
      <c r="QN175" s="29"/>
      <c r="QO175" s="29"/>
      <c r="QP175" s="29"/>
      <c r="QQ175" s="29"/>
      <c r="QR175" s="29"/>
      <c r="QS175" s="29"/>
      <c r="QT175" s="29"/>
      <c r="QU175" s="29"/>
      <c r="QV175" s="29"/>
      <c r="QW175" s="29"/>
      <c r="QX175" s="29"/>
      <c r="QY175" s="29"/>
      <c r="QZ175" s="29"/>
      <c r="RA175" s="29"/>
      <c r="RB175" s="29"/>
      <c r="RC175" s="29"/>
      <c r="RD175" s="29"/>
      <c r="RE175" s="29"/>
      <c r="RF175" s="29"/>
      <c r="RG175" s="29"/>
      <c r="RH175" s="29"/>
      <c r="RI175" s="29"/>
      <c r="RJ175" s="29"/>
      <c r="RK175" s="29"/>
      <c r="RL175" s="29"/>
      <c r="RM175" s="29"/>
      <c r="RN175" s="29"/>
      <c r="RO175" s="29"/>
      <c r="RP175" s="29"/>
      <c r="RQ175" s="29"/>
      <c r="RR175" s="29"/>
      <c r="RS175" s="29"/>
      <c r="RT175" s="29"/>
      <c r="RU175" s="29"/>
      <c r="RV175" s="29"/>
      <c r="RW175" s="29"/>
      <c r="RX175" s="29"/>
      <c r="RY175" s="29"/>
      <c r="RZ175" s="29"/>
      <c r="SA175" s="29"/>
      <c r="SB175" s="29"/>
      <c r="SC175" s="29"/>
      <c r="SD175" s="29"/>
      <c r="SE175" s="29"/>
      <c r="SF175" s="29"/>
      <c r="SG175" s="29"/>
      <c r="SH175" s="29"/>
      <c r="SI175" s="29"/>
      <c r="SJ175" s="29"/>
      <c r="SK175" s="29"/>
      <c r="SL175" s="29"/>
      <c r="SM175" s="29"/>
      <c r="SN175" s="29"/>
      <c r="SO175" s="29"/>
      <c r="SP175" s="29"/>
      <c r="SQ175" s="29"/>
      <c r="SR175" s="29"/>
      <c r="SS175" s="29"/>
      <c r="ST175" s="29"/>
      <c r="SU175" s="29"/>
      <c r="SV175" s="29"/>
      <c r="SW175" s="29"/>
      <c r="SX175" s="29"/>
      <c r="SY175" s="29"/>
      <c r="SZ175" s="29"/>
      <c r="TA175" s="29"/>
      <c r="TB175" s="29"/>
      <c r="TC175" s="29"/>
      <c r="TD175" s="29"/>
      <c r="TE175" s="29"/>
      <c r="TF175" s="29"/>
      <c r="TG175" s="29"/>
      <c r="TH175" s="29"/>
      <c r="TI175" s="29"/>
      <c r="TJ175" s="29"/>
      <c r="TK175" s="29"/>
      <c r="TL175" s="29"/>
      <c r="TM175" s="29"/>
      <c r="TN175" s="29"/>
      <c r="TO175" s="29"/>
      <c r="TP175" s="29"/>
      <c r="TQ175" s="29"/>
      <c r="TR175" s="29"/>
      <c r="TS175" s="29"/>
      <c r="TT175" s="29"/>
      <c r="TU175" s="29"/>
      <c r="TV175" s="29"/>
      <c r="TW175" s="29"/>
      <c r="TX175" s="29"/>
      <c r="TY175" s="29"/>
      <c r="TZ175" s="29"/>
      <c r="UA175" s="29"/>
      <c r="UB175" s="29"/>
      <c r="UC175" s="29"/>
      <c r="UD175" s="29"/>
      <c r="UE175" s="29"/>
      <c r="UF175" s="29"/>
      <c r="UG175" s="29"/>
      <c r="UH175" s="29"/>
      <c r="UI175" s="29"/>
      <c r="UJ175" s="29"/>
      <c r="UK175" s="29"/>
      <c r="UL175" s="29"/>
      <c r="UM175" s="29"/>
      <c r="UN175" s="29"/>
      <c r="UO175" s="29"/>
      <c r="UP175" s="29"/>
      <c r="UQ175" s="29"/>
      <c r="UR175" s="29"/>
      <c r="US175" s="29"/>
      <c r="UT175" s="29"/>
      <c r="UU175" s="29"/>
      <c r="UV175" s="29"/>
      <c r="UW175" s="29"/>
      <c r="UX175" s="29"/>
      <c r="UY175" s="29"/>
      <c r="UZ175" s="29"/>
      <c r="VA175" s="29"/>
      <c r="VB175" s="29"/>
      <c r="VC175" s="29"/>
      <c r="VD175" s="29"/>
      <c r="VE175" s="29"/>
      <c r="VF175" s="29"/>
      <c r="VG175" s="29"/>
      <c r="VH175" s="29"/>
      <c r="VI175" s="29"/>
      <c r="VJ175" s="29"/>
      <c r="VK175" s="29"/>
      <c r="VL175" s="29"/>
      <c r="VM175" s="29"/>
      <c r="VN175" s="29"/>
      <c r="VO175" s="29"/>
      <c r="VP175" s="29"/>
      <c r="VQ175" s="29"/>
      <c r="VR175" s="29"/>
      <c r="VS175" s="29"/>
      <c r="VT175" s="29"/>
      <c r="VU175" s="29"/>
      <c r="VV175" s="29"/>
      <c r="VW175" s="29"/>
      <c r="VX175" s="29"/>
      <c r="VY175" s="29"/>
      <c r="VZ175" s="29"/>
      <c r="WA175" s="29"/>
      <c r="WB175" s="29"/>
      <c r="WC175" s="29"/>
      <c r="WD175" s="29"/>
      <c r="WE175" s="29"/>
      <c r="WF175" s="29"/>
      <c r="WG175" s="29"/>
      <c r="WH175" s="29"/>
      <c r="WI175" s="29"/>
      <c r="WJ175" s="29"/>
      <c r="WK175" s="29"/>
      <c r="WL175" s="29"/>
      <c r="WM175" s="29"/>
      <c r="WN175" s="29"/>
      <c r="WO175" s="29"/>
      <c r="WP175" s="29"/>
      <c r="WQ175" s="29"/>
      <c r="WR175" s="29"/>
      <c r="WS175" s="29"/>
    </row>
    <row r="176" spans="1:617" s="3" customFormat="1" ht="15" outlineLevel="1" thickBot="1">
      <c r="A176" s="33"/>
      <c r="B176" s="221" t="s">
        <v>275</v>
      </c>
      <c r="C176" s="222" t="s">
        <v>108</v>
      </c>
      <c r="D176" s="223">
        <f>E175</f>
        <v>46204</v>
      </c>
      <c r="E176" s="224">
        <f t="shared" si="606"/>
        <v>46287</v>
      </c>
      <c r="F176" s="14"/>
      <c r="G176" s="14">
        <v>83</v>
      </c>
      <c r="H176" s="29"/>
      <c r="I176" s="29"/>
      <c r="J176" s="29"/>
      <c r="K176" s="29"/>
      <c r="L176" s="29"/>
      <c r="M176" s="29"/>
      <c r="N176" s="29"/>
      <c r="O176" s="29"/>
      <c r="P176" s="29"/>
      <c r="Q176" s="29"/>
      <c r="R176" s="29"/>
      <c r="S176" s="29"/>
      <c r="T176" s="29"/>
      <c r="U176" s="29"/>
      <c r="V176" s="29"/>
      <c r="W176" s="29"/>
      <c r="X176" s="29"/>
      <c r="Y176" s="30"/>
      <c r="Z176" s="29"/>
      <c r="AA176" s="29"/>
      <c r="AB176" s="29"/>
      <c r="AC176" s="29"/>
      <c r="AD176" s="29"/>
      <c r="AE176" s="29"/>
      <c r="AF176" s="29"/>
      <c r="AG176" s="29"/>
      <c r="AH176" s="29"/>
      <c r="AI176" s="29"/>
      <c r="AJ176" s="29"/>
      <c r="AK176" s="29"/>
      <c r="AL176" s="29"/>
      <c r="AM176" s="29"/>
      <c r="AN176" s="29"/>
      <c r="AO176" s="29"/>
      <c r="AP176" s="29"/>
      <c r="AQ176" s="29"/>
      <c r="AR176" s="29"/>
      <c r="AS176" s="29"/>
      <c r="AT176" s="29"/>
      <c r="AU176" s="29"/>
      <c r="AV176" s="29"/>
      <c r="AW176" s="29"/>
      <c r="AX176" s="29"/>
      <c r="AY176" s="29"/>
      <c r="AZ176" s="29"/>
      <c r="BA176" s="29"/>
      <c r="BB176" s="29"/>
      <c r="BC176" s="29"/>
      <c r="BD176" s="29"/>
      <c r="BE176" s="29"/>
      <c r="BF176" s="29"/>
      <c r="BG176" s="29"/>
      <c r="BH176" s="29"/>
      <c r="BI176" s="29"/>
      <c r="BJ176" s="29"/>
      <c r="BK176" s="29"/>
      <c r="BL176" s="29"/>
      <c r="BM176" s="29"/>
      <c r="BN176" s="29"/>
      <c r="BO176" s="29"/>
      <c r="BP176" s="29"/>
      <c r="BQ176" s="29"/>
      <c r="BR176" s="29"/>
      <c r="BS176" s="29"/>
      <c r="BT176" s="29"/>
      <c r="BU176" s="29"/>
      <c r="BV176" s="29"/>
      <c r="BW176" s="29"/>
      <c r="BX176" s="29"/>
      <c r="BY176" s="29"/>
      <c r="BZ176" s="29"/>
      <c r="CA176" s="29"/>
      <c r="CB176" s="29"/>
      <c r="CC176" s="29"/>
      <c r="CD176" s="29"/>
      <c r="CE176" s="29"/>
      <c r="CF176" s="29"/>
      <c r="CG176" s="29"/>
      <c r="CH176" s="29"/>
      <c r="CI176" s="29"/>
      <c r="CJ176" s="29"/>
      <c r="CK176" s="29"/>
      <c r="CL176" s="29"/>
      <c r="CM176" s="29"/>
      <c r="CN176" s="29"/>
      <c r="CO176" s="29"/>
      <c r="CP176" s="29"/>
      <c r="CQ176" s="29"/>
      <c r="CR176" s="29"/>
      <c r="CS176" s="29"/>
      <c r="CT176" s="29"/>
      <c r="CU176" s="29"/>
      <c r="CV176" s="29"/>
      <c r="CW176" s="29"/>
      <c r="CX176" s="29"/>
      <c r="CY176" s="29"/>
      <c r="CZ176" s="29"/>
      <c r="DA176" s="29"/>
      <c r="DB176" s="29"/>
      <c r="DC176" s="29"/>
      <c r="DD176" s="29"/>
      <c r="DE176" s="29"/>
      <c r="DF176" s="29"/>
      <c r="DG176" s="29"/>
      <c r="DH176" s="29"/>
      <c r="DI176" s="29"/>
      <c r="DJ176" s="29"/>
      <c r="DK176" s="29"/>
      <c r="DL176" s="29"/>
      <c r="DM176" s="29"/>
      <c r="DN176" s="29"/>
      <c r="DO176" s="29"/>
      <c r="DP176" s="29"/>
      <c r="DQ176" s="29"/>
      <c r="DR176" s="29"/>
      <c r="DS176" s="29"/>
      <c r="DT176" s="29"/>
      <c r="DU176" s="29"/>
      <c r="DV176" s="29"/>
      <c r="DW176" s="29"/>
      <c r="DX176" s="29"/>
      <c r="DY176" s="29"/>
      <c r="DZ176" s="29"/>
      <c r="EA176" s="29"/>
      <c r="EB176" s="29"/>
      <c r="EC176" s="29"/>
      <c r="ED176" s="29"/>
      <c r="EE176" s="29"/>
      <c r="EF176" s="29"/>
      <c r="EG176" s="29"/>
      <c r="EH176" s="29"/>
      <c r="EI176" s="29"/>
      <c r="EJ176" s="29"/>
      <c r="EK176" s="29"/>
      <c r="EL176" s="29"/>
      <c r="EM176" s="29"/>
      <c r="EN176" s="29"/>
      <c r="EO176" s="29"/>
      <c r="EP176" s="29"/>
      <c r="EQ176" s="29"/>
      <c r="ER176" s="29"/>
      <c r="ES176" s="29"/>
      <c r="ET176" s="29"/>
      <c r="EU176" s="29"/>
      <c r="EV176" s="29"/>
      <c r="EW176" s="29"/>
      <c r="EX176" s="29"/>
      <c r="EY176" s="29"/>
      <c r="EZ176" s="29"/>
      <c r="FA176" s="29"/>
      <c r="FB176" s="29"/>
      <c r="FC176" s="29"/>
      <c r="FD176" s="29"/>
      <c r="FE176" s="29"/>
      <c r="FF176" s="29"/>
      <c r="FG176" s="29"/>
      <c r="FH176" s="29"/>
      <c r="FI176" s="29"/>
      <c r="FJ176" s="29"/>
      <c r="FK176" s="29"/>
      <c r="FL176" s="29"/>
      <c r="FM176" s="29"/>
      <c r="FN176" s="29"/>
      <c r="FO176" s="29"/>
      <c r="FP176" s="29"/>
      <c r="FQ176" s="29"/>
      <c r="FR176" s="29"/>
      <c r="FS176" s="29"/>
      <c r="FT176" s="29"/>
      <c r="FU176" s="29"/>
      <c r="FV176" s="29"/>
      <c r="FW176" s="29"/>
      <c r="FX176" s="29"/>
      <c r="FY176" s="29"/>
      <c r="FZ176" s="29"/>
      <c r="GA176" s="29"/>
      <c r="GB176" s="29"/>
      <c r="GC176" s="29"/>
      <c r="GD176" s="29"/>
      <c r="GE176" s="29"/>
      <c r="GF176" s="29"/>
      <c r="GG176" s="29"/>
      <c r="GH176" s="29"/>
      <c r="GI176" s="29"/>
      <c r="GJ176" s="29"/>
      <c r="GK176" s="29"/>
      <c r="GL176" s="29"/>
      <c r="GM176" s="29"/>
      <c r="GN176" s="29"/>
      <c r="GO176" s="29"/>
      <c r="GP176" s="29"/>
      <c r="GQ176" s="29"/>
      <c r="GR176" s="29"/>
      <c r="GS176" s="29"/>
      <c r="GT176" s="29"/>
      <c r="GU176" s="29"/>
      <c r="GV176" s="29"/>
      <c r="GW176" s="29"/>
      <c r="GX176" s="29"/>
      <c r="GY176" s="29"/>
      <c r="GZ176" s="29"/>
      <c r="HA176" s="29"/>
      <c r="HB176" s="29"/>
      <c r="HC176" s="29"/>
      <c r="HD176" s="29"/>
      <c r="HE176" s="29"/>
      <c r="HF176" s="29"/>
      <c r="HG176" s="29"/>
      <c r="HH176" s="29"/>
      <c r="HI176" s="29"/>
      <c r="HJ176" s="29"/>
      <c r="HK176" s="29"/>
      <c r="HL176" s="29"/>
      <c r="HM176" s="29"/>
      <c r="HN176" s="29"/>
      <c r="HO176" s="29"/>
      <c r="HP176" s="29"/>
      <c r="HQ176" s="29"/>
      <c r="HR176" s="29"/>
      <c r="HS176" s="29"/>
      <c r="HT176" s="29"/>
      <c r="HU176" s="29"/>
      <c r="HV176" s="29"/>
      <c r="HW176" s="29"/>
      <c r="HX176" s="29"/>
      <c r="HY176" s="29"/>
      <c r="HZ176" s="29"/>
      <c r="IA176" s="29"/>
      <c r="IB176" s="29"/>
      <c r="IC176" s="29"/>
      <c r="ID176" s="29"/>
      <c r="IE176" s="29"/>
      <c r="IF176" s="29"/>
      <c r="IG176" s="29"/>
      <c r="IH176" s="29"/>
      <c r="II176" s="29"/>
      <c r="IJ176" s="29"/>
      <c r="IK176" s="29"/>
      <c r="IL176" s="29"/>
      <c r="IM176" s="29"/>
      <c r="IN176" s="29"/>
      <c r="IO176" s="29"/>
      <c r="IP176" s="29"/>
      <c r="IQ176" s="29"/>
      <c r="IR176" s="29"/>
      <c r="IS176" s="29"/>
      <c r="IT176" s="29"/>
      <c r="IU176" s="29"/>
      <c r="IV176" s="29"/>
      <c r="IW176" s="29"/>
      <c r="IX176" s="29"/>
      <c r="IY176" s="29"/>
      <c r="IZ176" s="29"/>
      <c r="JA176" s="29"/>
      <c r="JB176" s="29"/>
      <c r="JC176" s="29"/>
      <c r="JD176" s="29"/>
      <c r="JE176" s="29"/>
      <c r="JF176" s="29"/>
      <c r="JG176" s="29"/>
      <c r="JH176" s="29"/>
      <c r="JI176" s="29"/>
      <c r="JJ176" s="29"/>
      <c r="JK176" s="29"/>
      <c r="JL176" s="29"/>
      <c r="JM176" s="29"/>
      <c r="JN176" s="29"/>
      <c r="JO176" s="29"/>
      <c r="JP176" s="29"/>
      <c r="JQ176" s="29"/>
      <c r="JR176" s="29"/>
      <c r="JS176" s="29"/>
      <c r="JT176" s="29"/>
      <c r="JU176" s="29"/>
      <c r="JV176" s="29"/>
      <c r="JW176" s="29"/>
      <c r="JX176" s="29"/>
      <c r="JY176" s="29"/>
      <c r="JZ176" s="29"/>
      <c r="KA176" s="29"/>
      <c r="KB176" s="29"/>
      <c r="KC176" s="29"/>
      <c r="KD176" s="29"/>
      <c r="KE176" s="29"/>
      <c r="KF176" s="29"/>
      <c r="KG176" s="29"/>
      <c r="KH176" s="29"/>
      <c r="KI176" s="29"/>
      <c r="KJ176" s="29"/>
      <c r="KK176" s="29"/>
      <c r="KL176" s="29"/>
      <c r="KM176" s="29"/>
      <c r="KN176" s="29"/>
      <c r="KO176" s="29"/>
      <c r="KP176" s="29"/>
      <c r="KQ176" s="29"/>
      <c r="KR176" s="29"/>
      <c r="KS176" s="29"/>
      <c r="KT176" s="29"/>
      <c r="KU176" s="29"/>
      <c r="KV176" s="29"/>
      <c r="KW176" s="29"/>
      <c r="KX176" s="29"/>
      <c r="KY176" s="29"/>
      <c r="KZ176" s="29"/>
      <c r="LA176" s="29"/>
      <c r="LB176" s="29"/>
      <c r="LC176" s="29"/>
      <c r="LD176" s="29"/>
      <c r="LE176" s="29"/>
      <c r="LF176" s="29"/>
      <c r="LG176" s="29"/>
      <c r="LH176" s="29"/>
      <c r="LI176" s="29"/>
      <c r="LJ176" s="29"/>
      <c r="LK176" s="29"/>
      <c r="LL176" s="29"/>
      <c r="LM176" s="29"/>
      <c r="LN176" s="29"/>
      <c r="LO176" s="29"/>
      <c r="LP176" s="29"/>
      <c r="LQ176" s="29"/>
      <c r="LR176" s="29"/>
      <c r="LS176" s="29"/>
      <c r="LT176" s="29"/>
      <c r="LU176" s="29"/>
      <c r="LV176" s="29"/>
      <c r="LW176" s="29"/>
      <c r="LX176" s="29"/>
      <c r="LY176" s="29"/>
      <c r="LZ176" s="29"/>
      <c r="MA176" s="29"/>
      <c r="MB176" s="29"/>
      <c r="MC176" s="29"/>
      <c r="MD176" s="29"/>
      <c r="ME176" s="29"/>
      <c r="MF176" s="29"/>
      <c r="MG176" s="29"/>
      <c r="MH176" s="29"/>
      <c r="MI176" s="29"/>
      <c r="MJ176" s="29"/>
      <c r="MK176" s="29"/>
      <c r="ML176" s="29"/>
      <c r="MM176" s="29"/>
      <c r="MN176" s="29"/>
      <c r="MO176" s="29"/>
      <c r="MP176" s="29"/>
      <c r="MQ176" s="29"/>
      <c r="MR176" s="29"/>
      <c r="MS176" s="29"/>
      <c r="MT176" s="29"/>
      <c r="MU176" s="29"/>
      <c r="MV176" s="29"/>
      <c r="MW176" s="29"/>
      <c r="MX176" s="29"/>
      <c r="MY176" s="29"/>
      <c r="MZ176" s="29"/>
      <c r="NA176" s="29"/>
      <c r="NB176" s="29"/>
      <c r="NC176" s="29"/>
      <c r="ND176" s="29"/>
      <c r="NE176" s="29"/>
      <c r="NF176" s="29"/>
      <c r="NG176" s="29"/>
      <c r="NH176" s="29"/>
      <c r="NI176" s="29"/>
      <c r="NJ176" s="29"/>
      <c r="NK176" s="29"/>
      <c r="NL176" s="29"/>
      <c r="NM176" s="29"/>
      <c r="NN176" s="29"/>
      <c r="NO176" s="29"/>
      <c r="NP176" s="29"/>
      <c r="NQ176" s="29"/>
      <c r="NR176" s="29"/>
      <c r="NS176" s="29"/>
      <c r="NT176" s="29"/>
      <c r="NU176" s="29"/>
      <c r="NV176" s="29"/>
      <c r="NW176" s="29"/>
      <c r="NX176" s="29"/>
      <c r="NY176" s="29"/>
      <c r="NZ176" s="29"/>
      <c r="OA176" s="29"/>
      <c r="OB176" s="29"/>
      <c r="OC176" s="29"/>
      <c r="OD176" s="29"/>
      <c r="OE176" s="29"/>
      <c r="OF176" s="29"/>
      <c r="OG176" s="29"/>
      <c r="OH176" s="29"/>
      <c r="OI176" s="29"/>
      <c r="OJ176" s="29"/>
      <c r="OK176" s="29"/>
      <c r="OL176" s="29"/>
      <c r="OM176" s="29"/>
      <c r="ON176" s="29"/>
      <c r="OO176" s="29"/>
      <c r="OP176" s="29"/>
      <c r="OQ176" s="29"/>
      <c r="OR176" s="29"/>
      <c r="OS176" s="29"/>
      <c r="OT176" s="29"/>
      <c r="OU176" s="29"/>
      <c r="OV176" s="29"/>
      <c r="OW176" s="29"/>
      <c r="OX176" s="29"/>
      <c r="OY176" s="29"/>
      <c r="OZ176" s="29"/>
      <c r="PA176" s="29"/>
      <c r="PB176" s="29"/>
      <c r="PC176" s="29"/>
      <c r="PD176" s="29"/>
      <c r="PE176" s="29"/>
      <c r="PF176" s="29"/>
      <c r="PG176" s="29"/>
      <c r="PH176" s="29"/>
      <c r="PI176" s="29"/>
      <c r="PJ176" s="29"/>
      <c r="PK176" s="29"/>
      <c r="PL176" s="29"/>
      <c r="PM176" s="29"/>
      <c r="PN176" s="29"/>
      <c r="PO176" s="29"/>
      <c r="PP176" s="29"/>
      <c r="PQ176" s="29"/>
      <c r="PR176" s="29"/>
      <c r="PS176" s="29"/>
      <c r="PT176" s="29"/>
      <c r="PU176" s="29"/>
      <c r="PV176" s="29"/>
      <c r="PW176" s="29"/>
      <c r="PX176" s="29"/>
      <c r="PY176" s="29"/>
      <c r="PZ176" s="29"/>
      <c r="QA176" s="29"/>
      <c r="QB176" s="29"/>
      <c r="QC176" s="29"/>
      <c r="QD176" s="29"/>
      <c r="QE176" s="29"/>
      <c r="QF176" s="29"/>
      <c r="QG176" s="29"/>
      <c r="QH176" s="29"/>
      <c r="QI176" s="29"/>
      <c r="QJ176" s="29"/>
      <c r="QK176" s="29"/>
      <c r="QL176" s="29"/>
      <c r="QM176" s="29"/>
      <c r="QN176" s="29"/>
      <c r="QO176" s="29"/>
      <c r="QP176" s="29"/>
      <c r="QQ176" s="29"/>
      <c r="QR176" s="29"/>
      <c r="QS176" s="29"/>
      <c r="QT176" s="29"/>
      <c r="QU176" s="29"/>
      <c r="QV176" s="29"/>
      <c r="QW176" s="29"/>
      <c r="QX176" s="29"/>
      <c r="QY176" s="29"/>
      <c r="QZ176" s="29"/>
      <c r="RA176" s="29"/>
      <c r="RB176" s="29"/>
      <c r="RC176" s="29"/>
      <c r="RD176" s="29"/>
      <c r="RE176" s="29"/>
      <c r="RF176" s="29"/>
      <c r="RG176" s="29"/>
      <c r="RH176" s="29"/>
      <c r="RI176" s="29"/>
      <c r="RJ176" s="29"/>
      <c r="RK176" s="29"/>
      <c r="RL176" s="29"/>
      <c r="RM176" s="29"/>
      <c r="RN176" s="29"/>
      <c r="RO176" s="29"/>
      <c r="RP176" s="29"/>
      <c r="RQ176" s="29"/>
      <c r="RR176" s="29"/>
      <c r="RS176" s="29"/>
      <c r="RT176" s="29"/>
      <c r="RU176" s="29"/>
      <c r="RV176" s="29"/>
      <c r="RW176" s="29"/>
      <c r="RX176" s="29"/>
      <c r="RY176" s="29"/>
      <c r="RZ176" s="29"/>
      <c r="SA176" s="29"/>
      <c r="SB176" s="29"/>
      <c r="SC176" s="29"/>
      <c r="SD176" s="29"/>
      <c r="SE176" s="29"/>
      <c r="SF176" s="29"/>
      <c r="SG176" s="29"/>
      <c r="SH176" s="29"/>
      <c r="SI176" s="29"/>
      <c r="SJ176" s="29"/>
      <c r="SK176" s="29"/>
      <c r="SL176" s="29"/>
      <c r="SM176" s="29"/>
      <c r="SN176" s="29"/>
      <c r="SO176" s="29"/>
      <c r="SP176" s="29"/>
      <c r="SQ176" s="29"/>
      <c r="SR176" s="29"/>
      <c r="SS176" s="29"/>
      <c r="ST176" s="29"/>
      <c r="SU176" s="29"/>
      <c r="SV176" s="29"/>
      <c r="SW176" s="29"/>
      <c r="SX176" s="29"/>
      <c r="SY176" s="29"/>
      <c r="SZ176" s="29"/>
      <c r="TA176" s="29"/>
      <c r="TB176" s="29"/>
      <c r="TC176" s="29"/>
      <c r="TD176" s="29"/>
      <c r="TE176" s="29"/>
      <c r="TF176" s="29"/>
      <c r="TG176" s="29"/>
      <c r="TH176" s="29"/>
      <c r="TI176" s="29"/>
      <c r="TJ176" s="29"/>
      <c r="TK176" s="29"/>
      <c r="TL176" s="29"/>
      <c r="TM176" s="29"/>
      <c r="TN176" s="29"/>
      <c r="TO176" s="29"/>
      <c r="TP176" s="29"/>
      <c r="TQ176" s="29"/>
      <c r="TR176" s="29"/>
      <c r="TS176" s="29"/>
      <c r="TT176" s="29"/>
      <c r="TU176" s="29"/>
      <c r="TV176" s="29"/>
      <c r="TW176" s="29"/>
      <c r="TX176" s="29"/>
      <c r="TY176" s="29"/>
      <c r="TZ176" s="29"/>
      <c r="UA176" s="29"/>
      <c r="UB176" s="29"/>
      <c r="UC176" s="29"/>
      <c r="UD176" s="29"/>
      <c r="UE176" s="29"/>
      <c r="UF176" s="29"/>
      <c r="UG176" s="29"/>
      <c r="UH176" s="29"/>
      <c r="UI176" s="29"/>
      <c r="UJ176" s="29"/>
      <c r="UK176" s="29"/>
      <c r="UL176" s="29"/>
      <c r="UM176" s="29"/>
      <c r="UN176" s="29"/>
      <c r="UO176" s="29"/>
      <c r="UP176" s="29"/>
      <c r="UQ176" s="29"/>
      <c r="UR176" s="29"/>
      <c r="US176" s="29"/>
      <c r="UT176" s="29"/>
      <c r="UU176" s="29"/>
      <c r="UV176" s="29"/>
      <c r="UW176" s="29"/>
      <c r="UX176" s="29"/>
      <c r="UY176" s="29"/>
      <c r="UZ176" s="29"/>
      <c r="VA176" s="29"/>
      <c r="VB176" s="29"/>
      <c r="VC176" s="29"/>
      <c r="VD176" s="29"/>
      <c r="VE176" s="29"/>
      <c r="VF176" s="29"/>
      <c r="VG176" s="29"/>
      <c r="VH176" s="29"/>
      <c r="VI176" s="29"/>
      <c r="VJ176" s="29"/>
      <c r="VK176" s="29"/>
      <c r="VL176" s="29"/>
      <c r="VM176" s="29"/>
      <c r="VN176" s="29"/>
      <c r="VO176" s="29"/>
      <c r="VP176" s="29"/>
      <c r="VQ176" s="29"/>
      <c r="VR176" s="29"/>
      <c r="VS176" s="29"/>
      <c r="VT176" s="29"/>
      <c r="VU176" s="29"/>
      <c r="VV176" s="29"/>
      <c r="VW176" s="29"/>
      <c r="VX176" s="29"/>
      <c r="VY176" s="29"/>
      <c r="VZ176" s="29"/>
      <c r="WA176" s="29"/>
      <c r="WB176" s="29"/>
      <c r="WC176" s="29"/>
      <c r="WD176" s="29"/>
      <c r="WE176" s="29"/>
      <c r="WF176" s="29"/>
      <c r="WG176" s="29"/>
      <c r="WH176" s="29"/>
      <c r="WI176" s="29"/>
      <c r="WJ176" s="29"/>
      <c r="WK176" s="29"/>
      <c r="WL176" s="29"/>
      <c r="WM176" s="29"/>
      <c r="WN176" s="29"/>
      <c r="WO176" s="29"/>
      <c r="WP176" s="29"/>
      <c r="WQ176" s="29"/>
      <c r="WR176" s="29"/>
      <c r="WS176" s="29"/>
    </row>
    <row r="177" spans="1:617" s="3" customFormat="1" ht="15" outlineLevel="1" thickBot="1">
      <c r="A177" s="33"/>
      <c r="B177" s="47" t="s">
        <v>275</v>
      </c>
      <c r="C177" s="42" t="s">
        <v>62</v>
      </c>
      <c r="D177" s="116">
        <f>E176</f>
        <v>46287</v>
      </c>
      <c r="E177" s="116">
        <f t="shared" si="606"/>
        <v>46343</v>
      </c>
      <c r="F177" s="14"/>
      <c r="G177" s="14">
        <v>56</v>
      </c>
      <c r="H177" s="29"/>
      <c r="I177" s="29"/>
      <c r="J177" s="29"/>
      <c r="K177" s="29"/>
      <c r="L177" s="29"/>
      <c r="M177" s="29"/>
      <c r="N177" s="29"/>
      <c r="O177" s="29"/>
      <c r="P177" s="29"/>
      <c r="Q177" s="29"/>
      <c r="R177" s="29"/>
      <c r="S177" s="29"/>
      <c r="T177" s="29"/>
      <c r="U177" s="29"/>
      <c r="V177" s="29"/>
      <c r="W177" s="29"/>
      <c r="X177" s="29"/>
      <c r="Y177" s="30"/>
      <c r="Z177" s="29"/>
      <c r="AA177" s="29"/>
      <c r="AB177" s="29"/>
      <c r="AC177" s="29"/>
      <c r="AD177" s="29"/>
      <c r="AE177" s="29"/>
      <c r="AF177" s="29"/>
      <c r="AG177" s="29"/>
      <c r="AH177" s="29"/>
      <c r="AI177" s="29"/>
      <c r="AJ177" s="29"/>
      <c r="AK177" s="29"/>
      <c r="AL177" s="29"/>
      <c r="AM177" s="29"/>
      <c r="AN177" s="29"/>
      <c r="AO177" s="29"/>
      <c r="AP177" s="29"/>
      <c r="AQ177" s="29"/>
      <c r="AR177" s="29"/>
      <c r="AS177" s="29"/>
      <c r="AT177" s="29"/>
      <c r="AU177" s="29"/>
      <c r="AV177" s="29"/>
      <c r="AW177" s="29"/>
      <c r="AX177" s="29"/>
      <c r="AY177" s="29"/>
      <c r="AZ177" s="29"/>
      <c r="BA177" s="29"/>
      <c r="BB177" s="29"/>
      <c r="BC177" s="29"/>
      <c r="BD177" s="29"/>
      <c r="BE177" s="29"/>
      <c r="BF177" s="29"/>
      <c r="BG177" s="29"/>
      <c r="BH177" s="29"/>
      <c r="BI177" s="29"/>
      <c r="BJ177" s="29"/>
      <c r="BK177" s="29"/>
      <c r="BL177" s="29"/>
      <c r="BM177" s="29"/>
      <c r="BN177" s="29"/>
      <c r="BO177" s="29"/>
      <c r="BP177" s="29"/>
      <c r="BQ177" s="29"/>
      <c r="BR177" s="29"/>
      <c r="BS177" s="29"/>
      <c r="BT177" s="29"/>
      <c r="BU177" s="29"/>
      <c r="BV177" s="29"/>
      <c r="BW177" s="29"/>
      <c r="BX177" s="29"/>
      <c r="BY177" s="29"/>
      <c r="BZ177" s="29"/>
      <c r="CA177" s="29"/>
      <c r="CB177" s="29"/>
      <c r="CC177" s="29"/>
      <c r="CD177" s="29"/>
      <c r="CE177" s="29"/>
      <c r="CF177" s="29"/>
      <c r="CG177" s="29"/>
      <c r="CH177" s="29"/>
      <c r="CI177" s="29"/>
      <c r="CJ177" s="29"/>
      <c r="CK177" s="29"/>
      <c r="CL177" s="29"/>
      <c r="CM177" s="29"/>
      <c r="CN177" s="29"/>
      <c r="CO177" s="29"/>
      <c r="CP177" s="29"/>
      <c r="CQ177" s="29"/>
      <c r="CR177" s="29"/>
      <c r="CS177" s="29"/>
      <c r="CT177" s="29"/>
      <c r="CU177" s="29"/>
      <c r="CV177" s="29"/>
      <c r="CW177" s="29"/>
      <c r="CX177" s="29"/>
      <c r="CY177" s="29"/>
      <c r="CZ177" s="29"/>
      <c r="DA177" s="29"/>
      <c r="DB177" s="29"/>
      <c r="DC177" s="29"/>
      <c r="DD177" s="29"/>
      <c r="DE177" s="29"/>
      <c r="DF177" s="29"/>
      <c r="DG177" s="29"/>
      <c r="DH177" s="29"/>
      <c r="DI177" s="29"/>
      <c r="DJ177" s="29"/>
      <c r="DK177" s="29"/>
      <c r="DL177" s="29"/>
      <c r="DM177" s="29"/>
      <c r="DN177" s="29"/>
      <c r="DO177" s="29"/>
      <c r="DP177" s="29"/>
      <c r="DQ177" s="29"/>
      <c r="DR177" s="29"/>
      <c r="DS177" s="29"/>
      <c r="DT177" s="29"/>
      <c r="DU177" s="29"/>
      <c r="DV177" s="29"/>
      <c r="DW177" s="29"/>
      <c r="DX177" s="29"/>
      <c r="DY177" s="29"/>
      <c r="DZ177" s="29"/>
      <c r="EA177" s="29"/>
      <c r="EB177" s="29"/>
      <c r="EC177" s="29"/>
      <c r="ED177" s="29"/>
      <c r="EE177" s="29"/>
      <c r="EF177" s="29"/>
      <c r="EG177" s="29"/>
      <c r="EH177" s="29"/>
      <c r="EI177" s="29"/>
      <c r="EJ177" s="29"/>
      <c r="EK177" s="29"/>
      <c r="EL177" s="29"/>
      <c r="EM177" s="29"/>
      <c r="EN177" s="29"/>
      <c r="EO177" s="29"/>
      <c r="EP177" s="29"/>
      <c r="EQ177" s="29"/>
      <c r="ER177" s="29"/>
      <c r="ES177" s="29"/>
      <c r="ET177" s="29"/>
      <c r="EU177" s="29"/>
      <c r="EV177" s="29"/>
      <c r="EW177" s="29"/>
      <c r="EX177" s="29"/>
      <c r="EY177" s="29"/>
      <c r="EZ177" s="29"/>
      <c r="FA177" s="29"/>
      <c r="FB177" s="29"/>
      <c r="FC177" s="29"/>
      <c r="FD177" s="29"/>
      <c r="FE177" s="29"/>
      <c r="FF177" s="29"/>
      <c r="FG177" s="29"/>
      <c r="FH177" s="29"/>
      <c r="FI177" s="29"/>
      <c r="FJ177" s="29"/>
      <c r="FK177" s="29"/>
      <c r="FL177" s="29"/>
      <c r="FM177" s="29"/>
      <c r="FN177" s="29"/>
      <c r="FO177" s="29"/>
      <c r="FP177" s="29"/>
      <c r="FQ177" s="29"/>
      <c r="FR177" s="29"/>
      <c r="FS177" s="29"/>
      <c r="FT177" s="29"/>
      <c r="FU177" s="29"/>
      <c r="FV177" s="29"/>
      <c r="FW177" s="29"/>
      <c r="FX177" s="29"/>
      <c r="FY177" s="29"/>
      <c r="FZ177" s="29"/>
      <c r="GA177" s="29"/>
      <c r="GB177" s="29"/>
      <c r="GC177" s="29"/>
      <c r="GD177" s="29"/>
      <c r="GE177" s="29"/>
      <c r="GF177" s="29"/>
      <c r="GG177" s="29"/>
      <c r="GH177" s="29"/>
      <c r="GI177" s="29"/>
      <c r="GJ177" s="29"/>
      <c r="GK177" s="29"/>
      <c r="GL177" s="29"/>
      <c r="GM177" s="29"/>
      <c r="GN177" s="29"/>
      <c r="GO177" s="29"/>
      <c r="GP177" s="29"/>
      <c r="GQ177" s="29"/>
      <c r="GR177" s="29"/>
      <c r="GS177" s="29"/>
      <c r="GT177" s="29"/>
      <c r="GU177" s="29"/>
      <c r="GV177" s="29"/>
      <c r="GW177" s="29"/>
      <c r="GX177" s="29"/>
      <c r="GY177" s="29"/>
      <c r="GZ177" s="29"/>
      <c r="HA177" s="29"/>
      <c r="HB177" s="29"/>
      <c r="HC177" s="29"/>
      <c r="HD177" s="29"/>
      <c r="HE177" s="29"/>
      <c r="HF177" s="29"/>
      <c r="HG177" s="29"/>
      <c r="HH177" s="29"/>
      <c r="HI177" s="29"/>
      <c r="HJ177" s="29"/>
      <c r="HK177" s="29"/>
      <c r="HL177" s="29"/>
      <c r="HM177" s="29"/>
      <c r="HN177" s="29"/>
      <c r="HO177" s="29"/>
      <c r="HP177" s="29"/>
      <c r="HQ177" s="29"/>
      <c r="HR177" s="29"/>
      <c r="HS177" s="29"/>
      <c r="HT177" s="29"/>
      <c r="HU177" s="29"/>
      <c r="HV177" s="29"/>
      <c r="HW177" s="29"/>
      <c r="HX177" s="29"/>
      <c r="HY177" s="29"/>
      <c r="HZ177" s="29"/>
      <c r="IA177" s="29"/>
      <c r="IB177" s="29"/>
      <c r="IC177" s="29"/>
      <c r="ID177" s="29"/>
      <c r="IE177" s="29"/>
      <c r="IF177" s="29"/>
      <c r="IG177" s="29"/>
      <c r="IH177" s="29"/>
      <c r="II177" s="29"/>
      <c r="IJ177" s="29"/>
      <c r="IK177" s="29"/>
      <c r="IL177" s="29"/>
      <c r="IM177" s="29"/>
      <c r="IN177" s="29"/>
      <c r="IO177" s="29"/>
      <c r="IP177" s="29"/>
      <c r="IQ177" s="29"/>
      <c r="IR177" s="29"/>
      <c r="IS177" s="29"/>
      <c r="IT177" s="29"/>
      <c r="IU177" s="29"/>
      <c r="IV177" s="29"/>
      <c r="IW177" s="29"/>
      <c r="IX177" s="29"/>
      <c r="IY177" s="29"/>
      <c r="IZ177" s="29"/>
      <c r="JA177" s="29"/>
      <c r="JB177" s="29"/>
      <c r="JC177" s="29"/>
      <c r="JD177" s="29"/>
      <c r="JE177" s="29"/>
      <c r="JF177" s="29"/>
      <c r="JG177" s="29"/>
      <c r="JH177" s="29"/>
      <c r="JI177" s="29"/>
      <c r="JJ177" s="29"/>
      <c r="JK177" s="29"/>
      <c r="JL177" s="29"/>
      <c r="JM177" s="29"/>
      <c r="JN177" s="29"/>
      <c r="JO177" s="29"/>
      <c r="JP177" s="29"/>
      <c r="JQ177" s="29"/>
      <c r="JR177" s="29"/>
      <c r="JS177" s="29"/>
      <c r="JT177" s="29"/>
      <c r="JU177" s="29"/>
      <c r="JV177" s="29"/>
      <c r="JW177" s="29"/>
      <c r="JX177" s="29"/>
      <c r="JY177" s="29"/>
      <c r="JZ177" s="29"/>
      <c r="KA177" s="29"/>
      <c r="KB177" s="29"/>
      <c r="KC177" s="29"/>
      <c r="KD177" s="29"/>
      <c r="KE177" s="29"/>
      <c r="KF177" s="29"/>
      <c r="KG177" s="29"/>
      <c r="KH177" s="29"/>
      <c r="KI177" s="29"/>
      <c r="KJ177" s="29"/>
      <c r="KK177" s="29"/>
      <c r="KL177" s="29"/>
      <c r="KM177" s="29"/>
      <c r="KN177" s="29"/>
      <c r="KO177" s="29"/>
      <c r="KP177" s="29"/>
      <c r="KQ177" s="29"/>
      <c r="KR177" s="29"/>
      <c r="KS177" s="29"/>
      <c r="KT177" s="29"/>
      <c r="KU177" s="29"/>
      <c r="KV177" s="29"/>
      <c r="KW177" s="29"/>
      <c r="KX177" s="29"/>
      <c r="KY177" s="29"/>
      <c r="KZ177" s="29"/>
      <c r="LA177" s="29"/>
      <c r="LB177" s="29"/>
      <c r="LC177" s="29"/>
      <c r="LD177" s="29"/>
      <c r="LE177" s="29"/>
      <c r="LF177" s="29"/>
      <c r="LG177" s="29"/>
      <c r="LH177" s="29"/>
      <c r="LI177" s="29"/>
      <c r="LJ177" s="29"/>
      <c r="LK177" s="29"/>
      <c r="LL177" s="29"/>
      <c r="LM177" s="29"/>
      <c r="LN177" s="29"/>
      <c r="LO177" s="29"/>
      <c r="LP177" s="29"/>
      <c r="LQ177" s="29"/>
      <c r="LR177" s="29"/>
      <c r="LS177" s="29"/>
      <c r="LT177" s="29"/>
      <c r="LU177" s="29"/>
      <c r="LV177" s="29"/>
      <c r="LW177" s="29"/>
      <c r="LX177" s="29"/>
      <c r="LY177" s="29"/>
      <c r="LZ177" s="29"/>
      <c r="MA177" s="29"/>
      <c r="MB177" s="29"/>
      <c r="MC177" s="29"/>
      <c r="MD177" s="29"/>
      <c r="ME177" s="29"/>
      <c r="MF177" s="29"/>
      <c r="MG177" s="29"/>
      <c r="MH177" s="29"/>
      <c r="MI177" s="29"/>
      <c r="MJ177" s="29"/>
      <c r="MK177" s="29"/>
      <c r="ML177" s="29"/>
      <c r="MM177" s="29"/>
      <c r="MN177" s="29"/>
      <c r="MO177" s="29"/>
      <c r="MP177" s="29"/>
      <c r="MQ177" s="29"/>
      <c r="MR177" s="29"/>
      <c r="MS177" s="29"/>
      <c r="MT177" s="29"/>
      <c r="MU177" s="29"/>
      <c r="MV177" s="29"/>
      <c r="MW177" s="29"/>
      <c r="MX177" s="29"/>
      <c r="MY177" s="29"/>
      <c r="MZ177" s="29"/>
      <c r="NA177" s="29"/>
      <c r="NB177" s="29"/>
      <c r="NC177" s="29"/>
      <c r="ND177" s="29"/>
      <c r="NE177" s="29"/>
      <c r="NF177" s="29"/>
      <c r="NG177" s="29"/>
      <c r="NH177" s="29"/>
      <c r="NI177" s="29"/>
      <c r="NJ177" s="29"/>
      <c r="NK177" s="29"/>
      <c r="NL177" s="29"/>
      <c r="NM177" s="29"/>
      <c r="NN177" s="29"/>
      <c r="NO177" s="29"/>
      <c r="NP177" s="29"/>
      <c r="NQ177" s="29"/>
      <c r="NR177" s="29"/>
      <c r="NS177" s="29"/>
      <c r="NT177" s="29"/>
      <c r="NU177" s="29"/>
      <c r="NV177" s="29"/>
      <c r="NW177" s="29"/>
      <c r="NX177" s="29"/>
      <c r="NY177" s="29"/>
      <c r="NZ177" s="29"/>
      <c r="OA177" s="29"/>
      <c r="OB177" s="29"/>
      <c r="OC177" s="29"/>
      <c r="OD177" s="29"/>
      <c r="OE177" s="29"/>
      <c r="OF177" s="29"/>
      <c r="OG177" s="29"/>
      <c r="OH177" s="29"/>
      <c r="OI177" s="29"/>
      <c r="OJ177" s="29"/>
      <c r="OK177" s="29"/>
      <c r="OL177" s="29"/>
      <c r="OM177" s="29"/>
      <c r="ON177" s="29"/>
      <c r="OO177" s="29"/>
      <c r="OP177" s="29"/>
      <c r="OQ177" s="29"/>
      <c r="OR177" s="29"/>
      <c r="OS177" s="29"/>
      <c r="OT177" s="29"/>
      <c r="OU177" s="29"/>
      <c r="OV177" s="29"/>
      <c r="OW177" s="29"/>
      <c r="OX177" s="29"/>
      <c r="OY177" s="29"/>
      <c r="OZ177" s="29"/>
      <c r="PA177" s="29"/>
      <c r="PB177" s="29"/>
      <c r="PC177" s="29"/>
      <c r="PD177" s="29"/>
      <c r="PE177" s="29"/>
      <c r="PF177" s="29"/>
      <c r="PG177" s="29"/>
      <c r="PH177" s="29"/>
      <c r="PI177" s="29"/>
      <c r="PJ177" s="29"/>
      <c r="PK177" s="29"/>
      <c r="PL177" s="29"/>
      <c r="PM177" s="29"/>
      <c r="PN177" s="29"/>
      <c r="PO177" s="29"/>
      <c r="PP177" s="29"/>
      <c r="PQ177" s="29"/>
      <c r="PR177" s="29"/>
      <c r="PS177" s="29"/>
      <c r="PT177" s="29"/>
      <c r="PU177" s="29"/>
      <c r="PV177" s="29"/>
      <c r="PW177" s="29"/>
      <c r="PX177" s="29"/>
      <c r="PY177" s="29"/>
      <c r="PZ177" s="29"/>
      <c r="QA177" s="29"/>
      <c r="QB177" s="29"/>
      <c r="QC177" s="29"/>
      <c r="QD177" s="29"/>
      <c r="QE177" s="29"/>
      <c r="QF177" s="29"/>
      <c r="QG177" s="29"/>
      <c r="QH177" s="29"/>
      <c r="QI177" s="29"/>
      <c r="QJ177" s="29"/>
      <c r="QK177" s="29"/>
      <c r="QL177" s="29"/>
      <c r="QM177" s="29"/>
      <c r="QN177" s="29"/>
      <c r="QO177" s="29"/>
      <c r="QP177" s="29"/>
      <c r="QQ177" s="29"/>
      <c r="QR177" s="29"/>
      <c r="QS177" s="29"/>
      <c r="QT177" s="29"/>
      <c r="QU177" s="29"/>
      <c r="QV177" s="29"/>
      <c r="QW177" s="29"/>
      <c r="QX177" s="29"/>
      <c r="QY177" s="29"/>
      <c r="QZ177" s="29"/>
      <c r="RA177" s="29"/>
      <c r="RB177" s="29"/>
      <c r="RC177" s="29"/>
      <c r="RD177" s="29"/>
      <c r="RE177" s="29"/>
      <c r="RF177" s="29"/>
      <c r="RG177" s="29"/>
      <c r="RH177" s="29"/>
      <c r="RI177" s="29"/>
      <c r="RJ177" s="29"/>
      <c r="RK177" s="29"/>
      <c r="RL177" s="29"/>
      <c r="RM177" s="29"/>
      <c r="RN177" s="29"/>
      <c r="RO177" s="29"/>
      <c r="RP177" s="29"/>
      <c r="RQ177" s="29"/>
      <c r="RR177" s="29"/>
      <c r="RS177" s="29"/>
      <c r="RT177" s="29"/>
      <c r="RU177" s="29"/>
      <c r="RV177" s="29"/>
      <c r="RW177" s="29"/>
      <c r="RX177" s="29"/>
      <c r="RY177" s="29"/>
      <c r="RZ177" s="29"/>
      <c r="SA177" s="29"/>
      <c r="SB177" s="29"/>
      <c r="SC177" s="29"/>
      <c r="SD177" s="29"/>
      <c r="SE177" s="29"/>
      <c r="SF177" s="29"/>
      <c r="SG177" s="29"/>
      <c r="SH177" s="29"/>
      <c r="SI177" s="29"/>
      <c r="SJ177" s="29"/>
      <c r="SK177" s="29"/>
      <c r="SL177" s="29"/>
      <c r="SM177" s="29"/>
      <c r="SN177" s="29"/>
      <c r="SO177" s="29"/>
      <c r="SP177" s="29"/>
      <c r="SQ177" s="29"/>
      <c r="SR177" s="29"/>
      <c r="SS177" s="29"/>
      <c r="ST177" s="29"/>
      <c r="SU177" s="29"/>
      <c r="SV177" s="29"/>
      <c r="SW177" s="29"/>
      <c r="SX177" s="29"/>
      <c r="SY177" s="29"/>
      <c r="SZ177" s="29"/>
      <c r="TA177" s="29"/>
      <c r="TB177" s="29"/>
      <c r="TC177" s="29"/>
      <c r="TD177" s="29"/>
      <c r="TE177" s="29"/>
      <c r="TF177" s="29"/>
      <c r="TG177" s="29"/>
      <c r="TH177" s="29"/>
      <c r="TI177" s="29"/>
      <c r="TJ177" s="29"/>
      <c r="TK177" s="29"/>
      <c r="TL177" s="29"/>
      <c r="TM177" s="29"/>
      <c r="TN177" s="29"/>
      <c r="TO177" s="29"/>
      <c r="TP177" s="29"/>
      <c r="TQ177" s="29"/>
      <c r="TR177" s="29"/>
      <c r="TS177" s="29"/>
      <c r="TT177" s="29"/>
      <c r="TU177" s="29"/>
      <c r="TV177" s="29"/>
      <c r="TW177" s="29"/>
      <c r="TX177" s="29"/>
      <c r="TY177" s="29"/>
      <c r="TZ177" s="29"/>
      <c r="UA177" s="29"/>
      <c r="UB177" s="29"/>
      <c r="UC177" s="29"/>
      <c r="UD177" s="29"/>
      <c r="UE177" s="29"/>
      <c r="UF177" s="29"/>
      <c r="UG177" s="29"/>
      <c r="UH177" s="29"/>
      <c r="UI177" s="29"/>
      <c r="UJ177" s="29"/>
      <c r="UK177" s="29"/>
      <c r="UL177" s="29"/>
      <c r="UM177" s="29"/>
      <c r="UN177" s="29"/>
      <c r="UO177" s="29"/>
      <c r="UP177" s="29"/>
      <c r="UQ177" s="29"/>
      <c r="UR177" s="29"/>
      <c r="US177" s="29"/>
      <c r="UT177" s="29"/>
      <c r="UU177" s="29"/>
      <c r="UV177" s="29"/>
      <c r="UW177" s="29"/>
      <c r="UX177" s="29"/>
      <c r="UY177" s="29"/>
      <c r="UZ177" s="29"/>
      <c r="VA177" s="29"/>
      <c r="VB177" s="29"/>
      <c r="VC177" s="29"/>
      <c r="VD177" s="29"/>
      <c r="VE177" s="29"/>
      <c r="VF177" s="29"/>
      <c r="VG177" s="29"/>
      <c r="VH177" s="29"/>
      <c r="VI177" s="29"/>
      <c r="VJ177" s="29"/>
      <c r="VK177" s="29"/>
      <c r="VL177" s="29"/>
      <c r="VM177" s="29"/>
      <c r="VN177" s="29"/>
      <c r="VO177" s="29"/>
      <c r="VP177" s="29"/>
      <c r="VQ177" s="29"/>
      <c r="VR177" s="29"/>
      <c r="VS177" s="29"/>
      <c r="VT177" s="29"/>
      <c r="VU177" s="29"/>
      <c r="VV177" s="29"/>
      <c r="VW177" s="29"/>
      <c r="VX177" s="29"/>
      <c r="VY177" s="29"/>
      <c r="VZ177" s="29"/>
      <c r="WA177" s="29"/>
      <c r="WB177" s="29"/>
      <c r="WC177" s="29"/>
      <c r="WD177" s="29"/>
      <c r="WE177" s="29"/>
      <c r="WF177" s="29"/>
      <c r="WG177" s="29"/>
      <c r="WH177" s="29"/>
      <c r="WI177" s="29"/>
      <c r="WJ177" s="29"/>
      <c r="WK177" s="29"/>
      <c r="WL177" s="29"/>
      <c r="WM177" s="29"/>
      <c r="WN177" s="29"/>
      <c r="WO177" s="29"/>
      <c r="WP177" s="29"/>
      <c r="WQ177" s="29"/>
      <c r="WR177" s="29"/>
      <c r="WS177" s="29"/>
    </row>
    <row r="178" spans="1:617" s="3" customFormat="1" ht="15" outlineLevel="1" thickBot="1">
      <c r="A178" s="33"/>
      <c r="B178" s="47" t="s">
        <v>275</v>
      </c>
      <c r="C178" s="42" t="s">
        <v>108</v>
      </c>
      <c r="D178" s="116">
        <f>E177</f>
        <v>46343</v>
      </c>
      <c r="E178" s="116">
        <f t="shared" si="606"/>
        <v>46433</v>
      </c>
      <c r="F178" s="14"/>
      <c r="G178" s="186">
        <v>90</v>
      </c>
      <c r="H178" s="29"/>
      <c r="I178" s="29"/>
      <c r="J178" s="29"/>
      <c r="K178" s="29"/>
      <c r="L178" s="29"/>
      <c r="M178" s="29"/>
      <c r="N178" s="29"/>
      <c r="O178" s="29"/>
      <c r="P178" s="29"/>
      <c r="Q178" s="29"/>
      <c r="R178" s="29"/>
      <c r="S178" s="29"/>
      <c r="T178" s="29"/>
      <c r="U178" s="29"/>
      <c r="V178" s="29"/>
      <c r="W178" s="29"/>
      <c r="X178" s="29"/>
      <c r="Y178" s="30"/>
      <c r="Z178" s="29"/>
      <c r="AA178" s="29"/>
      <c r="AB178" s="29"/>
      <c r="AC178" s="29"/>
      <c r="AD178" s="29"/>
      <c r="AE178" s="29"/>
      <c r="AF178" s="29"/>
      <c r="AG178" s="29"/>
      <c r="AH178" s="29"/>
      <c r="AI178" s="29"/>
      <c r="AJ178" s="29"/>
      <c r="AK178" s="29"/>
      <c r="AL178" s="29"/>
      <c r="AM178" s="29"/>
      <c r="AN178" s="29"/>
      <c r="AO178" s="29"/>
      <c r="AP178" s="29"/>
      <c r="AQ178" s="29"/>
      <c r="AR178" s="29"/>
      <c r="AS178" s="29"/>
      <c r="AT178" s="29"/>
      <c r="AU178" s="29"/>
      <c r="AV178" s="29"/>
      <c r="AW178" s="29"/>
      <c r="AX178" s="29"/>
      <c r="AY178" s="29"/>
      <c r="AZ178" s="29"/>
      <c r="BA178" s="29"/>
      <c r="BB178" s="29"/>
      <c r="BC178" s="29"/>
      <c r="BD178" s="29"/>
      <c r="BE178" s="29"/>
      <c r="BF178" s="29"/>
      <c r="BG178" s="29"/>
      <c r="BH178" s="29"/>
      <c r="BI178" s="29"/>
      <c r="BJ178" s="29"/>
      <c r="BK178" s="29"/>
      <c r="BL178" s="29"/>
      <c r="BM178" s="29"/>
      <c r="BN178" s="29"/>
      <c r="BO178" s="29"/>
      <c r="BP178" s="29"/>
      <c r="BQ178" s="29"/>
      <c r="BR178" s="29"/>
      <c r="BS178" s="29"/>
      <c r="BT178" s="29"/>
      <c r="BU178" s="29"/>
      <c r="BV178" s="29"/>
      <c r="BW178" s="29"/>
      <c r="BX178" s="29"/>
      <c r="BY178" s="29"/>
      <c r="BZ178" s="29"/>
      <c r="CA178" s="29"/>
      <c r="CB178" s="29"/>
      <c r="CC178" s="29"/>
      <c r="CD178" s="29"/>
      <c r="CE178" s="29"/>
      <c r="CF178" s="29"/>
      <c r="CG178" s="29"/>
      <c r="CH178" s="29"/>
      <c r="CI178" s="29"/>
      <c r="CJ178" s="29"/>
      <c r="CK178" s="29"/>
      <c r="CL178" s="29"/>
      <c r="CM178" s="29"/>
      <c r="CN178" s="29"/>
      <c r="CO178" s="29"/>
      <c r="CP178" s="29"/>
      <c r="CQ178" s="29"/>
      <c r="CR178" s="29"/>
      <c r="CS178" s="29"/>
      <c r="CT178" s="29"/>
      <c r="CU178" s="29"/>
      <c r="CV178" s="29"/>
      <c r="CW178" s="29"/>
      <c r="CX178" s="29"/>
      <c r="CY178" s="29"/>
      <c r="CZ178" s="29"/>
      <c r="DA178" s="29"/>
      <c r="DB178" s="29"/>
      <c r="DC178" s="29"/>
      <c r="DD178" s="29"/>
      <c r="DE178" s="29"/>
      <c r="DF178" s="29"/>
      <c r="DG178" s="29"/>
      <c r="DH178" s="29"/>
      <c r="DI178" s="29"/>
      <c r="DJ178" s="29"/>
      <c r="DK178" s="29"/>
      <c r="DL178" s="29"/>
      <c r="DM178" s="29"/>
      <c r="DN178" s="29"/>
      <c r="DO178" s="29"/>
      <c r="DP178" s="29"/>
      <c r="DQ178" s="29"/>
      <c r="DR178" s="29"/>
      <c r="DS178" s="29"/>
      <c r="DT178" s="29"/>
      <c r="DU178" s="29"/>
      <c r="DV178" s="29"/>
      <c r="DW178" s="29"/>
      <c r="DX178" s="29"/>
      <c r="DY178" s="29"/>
      <c r="DZ178" s="29"/>
      <c r="EA178" s="29"/>
      <c r="EB178" s="29"/>
      <c r="EC178" s="29"/>
      <c r="ED178" s="29"/>
      <c r="EE178" s="29"/>
      <c r="EF178" s="29"/>
      <c r="EG178" s="29"/>
      <c r="EH178" s="29"/>
      <c r="EI178" s="29"/>
      <c r="EJ178" s="29"/>
      <c r="EK178" s="29"/>
      <c r="EL178" s="29"/>
      <c r="EM178" s="29"/>
      <c r="EN178" s="29"/>
      <c r="EO178" s="29"/>
      <c r="EP178" s="29"/>
      <c r="EQ178" s="29"/>
      <c r="ER178" s="29"/>
      <c r="ES178" s="29"/>
      <c r="ET178" s="29"/>
      <c r="EU178" s="29"/>
      <c r="EV178" s="29"/>
      <c r="EW178" s="29"/>
      <c r="EX178" s="29"/>
      <c r="EY178" s="29"/>
      <c r="EZ178" s="29"/>
      <c r="FA178" s="29"/>
      <c r="FB178" s="29"/>
      <c r="FC178" s="29"/>
      <c r="FD178" s="29"/>
      <c r="FE178" s="29"/>
      <c r="FF178" s="29"/>
      <c r="FG178" s="29"/>
      <c r="FH178" s="29"/>
      <c r="FI178" s="29"/>
      <c r="FJ178" s="29"/>
      <c r="FK178" s="29"/>
      <c r="FL178" s="29"/>
      <c r="FM178" s="29"/>
      <c r="FN178" s="29"/>
      <c r="FO178" s="29"/>
      <c r="FP178" s="29"/>
      <c r="FQ178" s="29"/>
      <c r="FR178" s="29"/>
      <c r="FS178" s="29"/>
      <c r="FT178" s="29"/>
      <c r="FU178" s="29"/>
      <c r="FV178" s="29"/>
      <c r="FW178" s="29"/>
      <c r="FX178" s="29"/>
      <c r="FY178" s="29"/>
      <c r="FZ178" s="29"/>
      <c r="GA178" s="29"/>
      <c r="GB178" s="29"/>
      <c r="GC178" s="29"/>
      <c r="GD178" s="29"/>
      <c r="GE178" s="29"/>
      <c r="GF178" s="29"/>
      <c r="GG178" s="29"/>
      <c r="GH178" s="29"/>
      <c r="GI178" s="29"/>
      <c r="GJ178" s="29"/>
      <c r="GK178" s="29"/>
      <c r="GL178" s="29"/>
      <c r="GM178" s="29"/>
      <c r="GN178" s="29"/>
      <c r="GO178" s="29"/>
      <c r="GP178" s="29"/>
      <c r="GQ178" s="29"/>
      <c r="GR178" s="29"/>
      <c r="GS178" s="29"/>
      <c r="GT178" s="29"/>
      <c r="GU178" s="29"/>
      <c r="GV178" s="29"/>
      <c r="GW178" s="29"/>
      <c r="GX178" s="29"/>
      <c r="GY178" s="29"/>
      <c r="GZ178" s="29"/>
      <c r="HA178" s="29"/>
      <c r="HB178" s="29"/>
      <c r="HC178" s="29"/>
      <c r="HD178" s="29"/>
      <c r="HE178" s="29"/>
      <c r="HF178" s="29"/>
      <c r="HG178" s="29"/>
      <c r="HH178" s="29"/>
      <c r="HI178" s="29"/>
      <c r="HJ178" s="29"/>
      <c r="HK178" s="29"/>
      <c r="HL178" s="29"/>
      <c r="HM178" s="29"/>
      <c r="HN178" s="29"/>
      <c r="HO178" s="29"/>
      <c r="HP178" s="29"/>
      <c r="HQ178" s="29"/>
      <c r="HR178" s="29"/>
      <c r="HS178" s="29"/>
      <c r="HT178" s="29"/>
      <c r="HU178" s="29"/>
      <c r="HV178" s="29"/>
      <c r="HW178" s="29"/>
      <c r="HX178" s="29"/>
      <c r="HY178" s="29"/>
      <c r="HZ178" s="29"/>
      <c r="IA178" s="29"/>
      <c r="IB178" s="29"/>
      <c r="IC178" s="29"/>
      <c r="ID178" s="29"/>
      <c r="IE178" s="29"/>
      <c r="IF178" s="29"/>
      <c r="IG178" s="29"/>
      <c r="IH178" s="29"/>
      <c r="II178" s="29"/>
      <c r="IJ178" s="29"/>
      <c r="IK178" s="29"/>
      <c r="IL178" s="29"/>
      <c r="IM178" s="29"/>
      <c r="IN178" s="29"/>
      <c r="IO178" s="29"/>
      <c r="IP178" s="29"/>
      <c r="IQ178" s="29"/>
      <c r="IR178" s="29"/>
      <c r="IS178" s="29"/>
      <c r="IT178" s="29"/>
      <c r="IU178" s="29"/>
      <c r="IV178" s="29"/>
      <c r="IW178" s="29"/>
      <c r="IX178" s="29"/>
      <c r="IY178" s="29"/>
      <c r="IZ178" s="29"/>
      <c r="JA178" s="29"/>
      <c r="JB178" s="29"/>
      <c r="JC178" s="29"/>
      <c r="JD178" s="29"/>
      <c r="JE178" s="29"/>
      <c r="JF178" s="29"/>
      <c r="JG178" s="29"/>
      <c r="JH178" s="29"/>
      <c r="JI178" s="29"/>
      <c r="JJ178" s="29"/>
      <c r="JK178" s="29"/>
      <c r="JL178" s="29"/>
      <c r="JM178" s="29"/>
      <c r="JN178" s="29"/>
      <c r="JO178" s="29"/>
      <c r="JP178" s="29"/>
      <c r="JQ178" s="29"/>
      <c r="JR178" s="29"/>
      <c r="JS178" s="29"/>
      <c r="JT178" s="29"/>
      <c r="JU178" s="29"/>
      <c r="JV178" s="29"/>
      <c r="JW178" s="29"/>
      <c r="JX178" s="29"/>
      <c r="JY178" s="29"/>
      <c r="JZ178" s="29"/>
      <c r="KA178" s="29"/>
      <c r="KB178" s="29"/>
      <c r="KC178" s="29"/>
      <c r="KD178" s="29"/>
      <c r="KE178" s="29"/>
      <c r="KF178" s="29"/>
      <c r="KG178" s="29"/>
      <c r="KH178" s="29"/>
      <c r="KI178" s="29"/>
      <c r="KJ178" s="29"/>
      <c r="KK178" s="29"/>
      <c r="KL178" s="29"/>
      <c r="KM178" s="29"/>
      <c r="KN178" s="29"/>
      <c r="KO178" s="29"/>
      <c r="KP178" s="29"/>
      <c r="KQ178" s="29"/>
      <c r="KR178" s="29"/>
      <c r="KS178" s="29"/>
      <c r="KT178" s="29"/>
      <c r="KU178" s="29"/>
      <c r="KV178" s="29"/>
      <c r="KW178" s="29"/>
      <c r="KX178" s="29"/>
      <c r="KY178" s="29"/>
      <c r="KZ178" s="29"/>
      <c r="LA178" s="29"/>
      <c r="LB178" s="29"/>
      <c r="LC178" s="29"/>
      <c r="LD178" s="29"/>
      <c r="LE178" s="29"/>
      <c r="LF178" s="29"/>
      <c r="LG178" s="29"/>
      <c r="LH178" s="29"/>
      <c r="LI178" s="29"/>
      <c r="LJ178" s="29"/>
      <c r="LK178" s="29"/>
      <c r="LL178" s="29"/>
      <c r="LM178" s="29"/>
      <c r="LN178" s="29"/>
      <c r="LO178" s="29"/>
      <c r="LP178" s="29"/>
      <c r="LQ178" s="29"/>
      <c r="LR178" s="29"/>
      <c r="LS178" s="29"/>
      <c r="LT178" s="29"/>
      <c r="LU178" s="29"/>
      <c r="LV178" s="29"/>
      <c r="LW178" s="29"/>
      <c r="LX178" s="29"/>
      <c r="LY178" s="29"/>
      <c r="LZ178" s="29"/>
      <c r="MA178" s="29"/>
      <c r="MB178" s="29"/>
      <c r="MC178" s="29"/>
      <c r="MD178" s="29"/>
      <c r="ME178" s="29"/>
      <c r="MF178" s="29"/>
      <c r="MG178" s="29"/>
      <c r="MH178" s="29"/>
      <c r="MI178" s="29"/>
      <c r="MJ178" s="29"/>
      <c r="MK178" s="29"/>
      <c r="ML178" s="29"/>
      <c r="MM178" s="29"/>
      <c r="MN178" s="29"/>
      <c r="MO178" s="29"/>
      <c r="MP178" s="29"/>
      <c r="MQ178" s="29"/>
      <c r="MR178" s="29"/>
      <c r="MS178" s="29"/>
      <c r="MT178" s="29"/>
      <c r="MU178" s="29"/>
      <c r="MV178" s="29"/>
      <c r="MW178" s="29"/>
      <c r="MX178" s="29"/>
      <c r="MY178" s="29"/>
      <c r="MZ178" s="29"/>
      <c r="NA178" s="29"/>
      <c r="NB178" s="29"/>
      <c r="NC178" s="29"/>
      <c r="ND178" s="29"/>
      <c r="NE178" s="29"/>
      <c r="NF178" s="29"/>
      <c r="NG178" s="29"/>
      <c r="NH178" s="29"/>
      <c r="NI178" s="29"/>
      <c r="NJ178" s="29"/>
      <c r="NK178" s="29"/>
      <c r="NL178" s="29"/>
      <c r="NM178" s="29"/>
      <c r="NN178" s="29"/>
      <c r="NO178" s="29"/>
      <c r="NP178" s="29"/>
      <c r="NQ178" s="29"/>
      <c r="NR178" s="29"/>
      <c r="NS178" s="29"/>
      <c r="NT178" s="29"/>
      <c r="NU178" s="29"/>
      <c r="NV178" s="29"/>
      <c r="NW178" s="29"/>
      <c r="NX178" s="29"/>
      <c r="NY178" s="29"/>
      <c r="NZ178" s="29"/>
      <c r="OA178" s="29"/>
      <c r="OB178" s="29"/>
      <c r="OC178" s="29"/>
      <c r="OD178" s="29"/>
      <c r="OE178" s="29"/>
      <c r="OF178" s="29"/>
      <c r="OG178" s="29"/>
      <c r="OH178" s="29"/>
      <c r="OI178" s="29"/>
      <c r="OJ178" s="29"/>
      <c r="OK178" s="29"/>
      <c r="OL178" s="29"/>
      <c r="OM178" s="29"/>
      <c r="ON178" s="29"/>
      <c r="OO178" s="29"/>
      <c r="OP178" s="29"/>
      <c r="OQ178" s="29"/>
      <c r="OR178" s="29"/>
      <c r="OS178" s="29"/>
      <c r="OT178" s="29"/>
      <c r="OU178" s="29"/>
      <c r="OV178" s="29"/>
      <c r="OW178" s="29"/>
      <c r="OX178" s="29"/>
      <c r="OY178" s="29"/>
      <c r="OZ178" s="29"/>
      <c r="PA178" s="29"/>
      <c r="PB178" s="29"/>
      <c r="PC178" s="29"/>
      <c r="PD178" s="29"/>
      <c r="PE178" s="29"/>
      <c r="PF178" s="29"/>
      <c r="PG178" s="29"/>
      <c r="PH178" s="29"/>
      <c r="PI178" s="29"/>
      <c r="PJ178" s="29"/>
      <c r="PK178" s="29"/>
      <c r="PL178" s="29"/>
      <c r="PM178" s="29"/>
      <c r="PN178" s="29"/>
      <c r="PO178" s="29"/>
      <c r="PP178" s="29"/>
      <c r="PQ178" s="29"/>
      <c r="PR178" s="29"/>
      <c r="PS178" s="29"/>
      <c r="PT178" s="29"/>
      <c r="PU178" s="29"/>
      <c r="PV178" s="29"/>
      <c r="PW178" s="29"/>
      <c r="PX178" s="29"/>
      <c r="PY178" s="29"/>
      <c r="PZ178" s="29"/>
      <c r="QA178" s="29"/>
      <c r="QB178" s="29"/>
      <c r="QC178" s="29"/>
      <c r="QD178" s="29"/>
      <c r="QE178" s="29"/>
      <c r="QF178" s="29"/>
      <c r="QG178" s="29"/>
      <c r="QH178" s="29"/>
      <c r="QI178" s="29"/>
      <c r="QJ178" s="29"/>
      <c r="QK178" s="29"/>
      <c r="QL178" s="29"/>
      <c r="QM178" s="29"/>
      <c r="QN178" s="29"/>
      <c r="QO178" s="29"/>
      <c r="QP178" s="29"/>
      <c r="QQ178" s="29"/>
      <c r="QR178" s="29"/>
      <c r="QS178" s="29"/>
      <c r="QT178" s="29"/>
      <c r="QU178" s="29"/>
      <c r="QV178" s="29"/>
      <c r="QW178" s="29"/>
      <c r="QX178" s="29"/>
      <c r="QY178" s="29"/>
      <c r="QZ178" s="29"/>
      <c r="RA178" s="29"/>
      <c r="RB178" s="29"/>
      <c r="RC178" s="29"/>
      <c r="RD178" s="29"/>
      <c r="RE178" s="29"/>
      <c r="RF178" s="29"/>
      <c r="RG178" s="29"/>
      <c r="RH178" s="29"/>
      <c r="RI178" s="29"/>
      <c r="RJ178" s="29"/>
      <c r="RK178" s="29"/>
      <c r="RL178" s="29"/>
      <c r="RM178" s="29"/>
      <c r="RN178" s="29"/>
      <c r="RO178" s="29"/>
      <c r="RP178" s="29"/>
      <c r="RQ178" s="29"/>
      <c r="RR178" s="29"/>
      <c r="RS178" s="29"/>
      <c r="RT178" s="29"/>
      <c r="RU178" s="29"/>
      <c r="RV178" s="29"/>
      <c r="RW178" s="29"/>
      <c r="RX178" s="29"/>
      <c r="RY178" s="29"/>
      <c r="RZ178" s="29"/>
      <c r="SA178" s="29"/>
      <c r="SB178" s="29"/>
      <c r="SC178" s="29"/>
      <c r="SD178" s="29"/>
      <c r="SE178" s="29"/>
      <c r="SF178" s="29"/>
      <c r="SG178" s="29"/>
      <c r="SH178" s="29"/>
      <c r="SI178" s="29"/>
      <c r="SJ178" s="29"/>
      <c r="SK178" s="29"/>
      <c r="SL178" s="29"/>
      <c r="SM178" s="29"/>
      <c r="SN178" s="29"/>
      <c r="SO178" s="29"/>
      <c r="SP178" s="29"/>
      <c r="SQ178" s="29"/>
      <c r="SR178" s="29"/>
      <c r="SS178" s="29"/>
      <c r="ST178" s="29"/>
      <c r="SU178" s="29"/>
      <c r="SV178" s="29"/>
      <c r="SW178" s="29"/>
      <c r="SX178" s="29"/>
      <c r="SY178" s="29"/>
      <c r="SZ178" s="29"/>
      <c r="TA178" s="29"/>
      <c r="TB178" s="29"/>
      <c r="TC178" s="29"/>
      <c r="TD178" s="29"/>
      <c r="TE178" s="29"/>
      <c r="TF178" s="29"/>
      <c r="TG178" s="29"/>
      <c r="TH178" s="29"/>
      <c r="TI178" s="29"/>
      <c r="TJ178" s="29"/>
      <c r="TK178" s="29"/>
      <c r="TL178" s="29"/>
      <c r="TM178" s="29"/>
      <c r="TN178" s="29"/>
      <c r="TO178" s="29"/>
      <c r="TP178" s="29"/>
      <c r="TQ178" s="29"/>
      <c r="TR178" s="29"/>
      <c r="TS178" s="29"/>
      <c r="TT178" s="29"/>
      <c r="TU178" s="29"/>
      <c r="TV178" s="29"/>
      <c r="TW178" s="29"/>
      <c r="TX178" s="29"/>
      <c r="TY178" s="29"/>
      <c r="TZ178" s="29"/>
      <c r="UA178" s="29"/>
      <c r="UB178" s="29"/>
      <c r="UC178" s="29"/>
      <c r="UD178" s="29"/>
      <c r="UE178" s="29"/>
      <c r="UF178" s="29"/>
      <c r="UG178" s="29"/>
      <c r="UH178" s="29"/>
      <c r="UI178" s="29"/>
      <c r="UJ178" s="29"/>
      <c r="UK178" s="29"/>
      <c r="UL178" s="29"/>
      <c r="UM178" s="29"/>
      <c r="UN178" s="29"/>
      <c r="UO178" s="29"/>
      <c r="UP178" s="29"/>
      <c r="UQ178" s="29"/>
      <c r="UR178" s="29"/>
      <c r="US178" s="29"/>
      <c r="UT178" s="29"/>
      <c r="UU178" s="29"/>
      <c r="UV178" s="29"/>
      <c r="UW178" s="29"/>
      <c r="UX178" s="29"/>
      <c r="UY178" s="29"/>
      <c r="UZ178" s="29"/>
      <c r="VA178" s="29"/>
      <c r="VB178" s="29"/>
      <c r="VC178" s="29"/>
      <c r="VD178" s="29"/>
      <c r="VE178" s="29"/>
      <c r="VF178" s="29"/>
      <c r="VG178" s="29"/>
      <c r="VH178" s="29"/>
      <c r="VI178" s="29"/>
      <c r="VJ178" s="29"/>
      <c r="VK178" s="29"/>
      <c r="VL178" s="29"/>
      <c r="VM178" s="29"/>
      <c r="VN178" s="29"/>
      <c r="VO178" s="29"/>
      <c r="VP178" s="29"/>
      <c r="VQ178" s="29"/>
      <c r="VR178" s="29"/>
      <c r="VS178" s="29"/>
      <c r="VT178" s="29"/>
      <c r="VU178" s="29"/>
      <c r="VV178" s="29"/>
      <c r="VW178" s="29"/>
      <c r="VX178" s="29"/>
      <c r="VY178" s="29"/>
      <c r="VZ178" s="29"/>
      <c r="WA178" s="29"/>
      <c r="WB178" s="29"/>
      <c r="WC178" s="29"/>
      <c r="WD178" s="29"/>
      <c r="WE178" s="29"/>
      <c r="WF178" s="29"/>
      <c r="WG178" s="29"/>
      <c r="WH178" s="29"/>
      <c r="WI178" s="29"/>
      <c r="WJ178" s="29"/>
      <c r="WK178" s="29"/>
      <c r="WL178" s="29"/>
      <c r="WM178" s="29"/>
      <c r="WN178" s="29"/>
      <c r="WO178" s="29"/>
      <c r="WP178" s="29"/>
      <c r="WQ178" s="29"/>
      <c r="WR178" s="29"/>
      <c r="WS178" s="29"/>
    </row>
    <row r="179" spans="1:617" s="3" customFormat="1" ht="15" hidden="1" outlineLevel="1" thickBot="1">
      <c r="A179" s="33"/>
      <c r="B179" s="146" t="s">
        <v>278</v>
      </c>
      <c r="C179" s="147" t="s">
        <v>279</v>
      </c>
      <c r="D179" s="206">
        <v>46132</v>
      </c>
      <c r="E179" s="206">
        <v>46192</v>
      </c>
      <c r="F179" s="14"/>
      <c r="G179" s="14">
        <v>56</v>
      </c>
      <c r="H179" s="29"/>
      <c r="I179" s="29"/>
      <c r="J179" s="29"/>
      <c r="K179" s="29"/>
      <c r="L179" s="29"/>
      <c r="M179" s="29"/>
      <c r="N179" s="29"/>
      <c r="O179" s="29"/>
      <c r="P179" s="29"/>
      <c r="Q179" s="29"/>
      <c r="R179" s="29"/>
      <c r="S179" s="29"/>
      <c r="T179" s="29"/>
      <c r="U179" s="29"/>
      <c r="V179" s="29"/>
      <c r="W179" s="29"/>
      <c r="X179" s="29"/>
      <c r="Y179" s="30"/>
      <c r="Z179" s="29"/>
      <c r="AA179" s="29"/>
      <c r="AB179" s="29"/>
      <c r="AC179" s="29"/>
      <c r="AD179" s="29"/>
      <c r="AE179" s="29"/>
      <c r="AF179" s="29"/>
      <c r="AG179" s="29"/>
      <c r="AH179" s="29"/>
      <c r="AI179" s="29"/>
      <c r="AJ179" s="29"/>
      <c r="AK179" s="29"/>
      <c r="AL179" s="29"/>
      <c r="AM179" s="29"/>
      <c r="AN179" s="29"/>
      <c r="AO179" s="29"/>
      <c r="AP179" s="29"/>
      <c r="AQ179" s="29"/>
      <c r="AR179" s="29"/>
      <c r="AS179" s="29"/>
      <c r="AT179" s="29"/>
      <c r="AU179" s="29"/>
      <c r="AV179" s="29"/>
      <c r="AW179" s="29"/>
      <c r="AX179" s="29"/>
      <c r="AY179" s="29"/>
      <c r="AZ179" s="29"/>
      <c r="BA179" s="29"/>
      <c r="BB179" s="29"/>
      <c r="BC179" s="29"/>
      <c r="BD179" s="29"/>
      <c r="BE179" s="29"/>
      <c r="BF179" s="29"/>
      <c r="BG179" s="29"/>
      <c r="BH179" s="29"/>
      <c r="BI179" s="29"/>
      <c r="BJ179" s="29"/>
      <c r="BK179" s="29"/>
      <c r="BL179" s="29"/>
      <c r="BM179" s="29"/>
      <c r="BN179" s="29"/>
      <c r="BO179" s="29"/>
      <c r="BP179" s="29"/>
      <c r="BQ179" s="29"/>
      <c r="BR179" s="29"/>
      <c r="BS179" s="29"/>
      <c r="BT179" s="29"/>
      <c r="BU179" s="29"/>
      <c r="BV179" s="29"/>
      <c r="BW179" s="29"/>
      <c r="BX179" s="29"/>
      <c r="BY179" s="29"/>
      <c r="BZ179" s="29"/>
      <c r="CA179" s="29"/>
      <c r="CB179" s="29"/>
      <c r="CC179" s="29"/>
      <c r="CD179" s="29"/>
      <c r="CE179" s="29"/>
      <c r="CF179" s="29"/>
      <c r="CG179" s="29"/>
      <c r="CH179" s="29"/>
      <c r="CI179" s="29"/>
      <c r="CJ179" s="29"/>
      <c r="CK179" s="29"/>
      <c r="CL179" s="29"/>
      <c r="CM179" s="29"/>
      <c r="CN179" s="29"/>
      <c r="CO179" s="29"/>
      <c r="CP179" s="29"/>
      <c r="CQ179" s="29"/>
      <c r="CR179" s="29"/>
      <c r="CS179" s="29"/>
      <c r="CT179" s="29"/>
      <c r="CU179" s="29"/>
      <c r="CV179" s="29"/>
      <c r="CW179" s="29"/>
      <c r="CX179" s="29"/>
      <c r="CY179" s="29"/>
      <c r="CZ179" s="29"/>
      <c r="DA179" s="29"/>
      <c r="DB179" s="29"/>
      <c r="DC179" s="29"/>
      <c r="DD179" s="29"/>
      <c r="DE179" s="29"/>
      <c r="DF179" s="29"/>
      <c r="DG179" s="29"/>
      <c r="DH179" s="29"/>
      <c r="DI179" s="29"/>
      <c r="DJ179" s="29"/>
      <c r="DK179" s="29"/>
      <c r="DL179" s="29"/>
      <c r="DM179" s="29"/>
      <c r="DN179" s="29"/>
      <c r="DO179" s="29"/>
      <c r="DP179" s="29"/>
      <c r="DQ179" s="29"/>
      <c r="DR179" s="29"/>
      <c r="DS179" s="29"/>
      <c r="DT179" s="29"/>
      <c r="DU179" s="29"/>
      <c r="DV179" s="29"/>
      <c r="DW179" s="29"/>
      <c r="DX179" s="29"/>
      <c r="DY179" s="29"/>
      <c r="DZ179" s="29"/>
      <c r="EA179" s="29"/>
      <c r="EB179" s="29"/>
      <c r="EC179" s="29"/>
      <c r="ED179" s="29"/>
      <c r="EE179" s="29"/>
      <c r="EF179" s="29"/>
      <c r="EG179" s="29"/>
      <c r="EH179" s="29"/>
      <c r="EI179" s="29"/>
      <c r="EJ179" s="29"/>
      <c r="EK179" s="29"/>
      <c r="EL179" s="29"/>
      <c r="EM179" s="29"/>
      <c r="EN179" s="29"/>
      <c r="EO179" s="29"/>
      <c r="EP179" s="29"/>
      <c r="EQ179" s="29"/>
      <c r="ER179" s="29"/>
      <c r="ES179" s="29"/>
      <c r="ET179" s="29"/>
      <c r="EU179" s="29"/>
      <c r="EV179" s="29"/>
      <c r="EW179" s="29"/>
      <c r="EX179" s="29"/>
      <c r="EY179" s="29"/>
      <c r="EZ179" s="29"/>
      <c r="FA179" s="29"/>
      <c r="FB179" s="29"/>
      <c r="FC179" s="29"/>
      <c r="FD179" s="29"/>
      <c r="FE179" s="29"/>
      <c r="FF179" s="29"/>
      <c r="FG179" s="29"/>
      <c r="FH179" s="29"/>
      <c r="FI179" s="29"/>
      <c r="FJ179" s="29"/>
      <c r="FK179" s="29"/>
      <c r="FL179" s="29"/>
      <c r="FM179" s="29"/>
      <c r="FN179" s="29"/>
      <c r="FO179" s="29"/>
      <c r="FP179" s="29"/>
      <c r="FQ179" s="29"/>
      <c r="FR179" s="29"/>
      <c r="FS179" s="29"/>
      <c r="FT179" s="29"/>
      <c r="FU179" s="29"/>
      <c r="FV179" s="29"/>
      <c r="FW179" s="29"/>
      <c r="FX179" s="29"/>
      <c r="FY179" s="29"/>
      <c r="FZ179" s="29"/>
      <c r="GA179" s="29"/>
      <c r="GB179" s="29"/>
      <c r="GC179" s="29"/>
      <c r="GD179" s="29"/>
      <c r="GE179" s="29"/>
      <c r="GF179" s="29"/>
      <c r="GG179" s="29"/>
      <c r="GH179" s="29"/>
      <c r="GI179" s="29"/>
      <c r="GJ179" s="29"/>
      <c r="GK179" s="29"/>
      <c r="GL179" s="29"/>
      <c r="GM179" s="29"/>
      <c r="GN179" s="29"/>
      <c r="GO179" s="29"/>
      <c r="GP179" s="29"/>
      <c r="GQ179" s="29"/>
      <c r="GR179" s="29"/>
      <c r="GS179" s="29"/>
      <c r="GT179" s="29"/>
      <c r="GU179" s="29"/>
      <c r="GV179" s="29"/>
      <c r="GW179" s="29"/>
      <c r="GX179" s="29"/>
      <c r="GY179" s="29"/>
      <c r="GZ179" s="29"/>
      <c r="HA179" s="29"/>
      <c r="HB179" s="29"/>
      <c r="HC179" s="29"/>
      <c r="HD179" s="29"/>
      <c r="HE179" s="29"/>
      <c r="HF179" s="29"/>
      <c r="HG179" s="29"/>
      <c r="HH179" s="29"/>
      <c r="HI179" s="29"/>
      <c r="HJ179" s="29"/>
      <c r="HK179" s="29"/>
      <c r="HL179" s="29"/>
      <c r="HM179" s="29"/>
      <c r="HN179" s="29"/>
      <c r="HO179" s="29"/>
      <c r="HP179" s="29"/>
      <c r="HQ179" s="29"/>
      <c r="HR179" s="29"/>
      <c r="HS179" s="29"/>
      <c r="HT179" s="29"/>
      <c r="HU179" s="29"/>
      <c r="HV179" s="29"/>
      <c r="HW179" s="29"/>
      <c r="HX179" s="29"/>
      <c r="HY179" s="29"/>
      <c r="HZ179" s="29"/>
      <c r="IA179" s="29"/>
      <c r="IB179" s="29"/>
      <c r="IC179" s="29"/>
      <c r="ID179" s="29"/>
      <c r="IE179" s="29"/>
      <c r="IF179" s="29"/>
      <c r="IG179" s="29"/>
      <c r="IH179" s="29"/>
      <c r="II179" s="29"/>
      <c r="IJ179" s="29"/>
      <c r="IK179" s="29"/>
      <c r="IL179" s="29"/>
      <c r="IM179" s="29"/>
      <c r="IN179" s="29"/>
      <c r="IO179" s="29"/>
      <c r="IP179" s="29"/>
      <c r="IQ179" s="29"/>
      <c r="IR179" s="29"/>
      <c r="IS179" s="29"/>
      <c r="IT179" s="29"/>
      <c r="IU179" s="29"/>
      <c r="IV179" s="29"/>
      <c r="IW179" s="29"/>
      <c r="IX179" s="29"/>
      <c r="IY179" s="29"/>
      <c r="IZ179" s="29"/>
      <c r="JA179" s="29"/>
      <c r="JB179" s="29"/>
      <c r="JC179" s="29"/>
      <c r="JD179" s="29"/>
      <c r="JE179" s="29"/>
      <c r="JF179" s="29"/>
      <c r="JG179" s="29"/>
      <c r="JH179" s="29"/>
      <c r="JI179" s="29"/>
      <c r="JJ179" s="29"/>
      <c r="JK179" s="29"/>
      <c r="JL179" s="29"/>
      <c r="JM179" s="29"/>
      <c r="JN179" s="29"/>
      <c r="JO179" s="29"/>
      <c r="JP179" s="29"/>
      <c r="JQ179" s="29"/>
      <c r="JR179" s="29"/>
      <c r="JS179" s="29"/>
      <c r="JT179" s="29"/>
      <c r="JU179" s="29"/>
      <c r="JV179" s="29"/>
      <c r="JW179" s="29"/>
      <c r="JX179" s="29"/>
      <c r="JY179" s="29"/>
      <c r="JZ179" s="29"/>
      <c r="KA179" s="29"/>
      <c r="KB179" s="29"/>
      <c r="KC179" s="29"/>
      <c r="KD179" s="29"/>
      <c r="KE179" s="29"/>
      <c r="KF179" s="29"/>
      <c r="KG179" s="29"/>
      <c r="KH179" s="29"/>
      <c r="KI179" s="29"/>
      <c r="KJ179" s="29"/>
      <c r="KK179" s="29"/>
      <c r="KL179" s="29"/>
      <c r="KM179" s="29"/>
      <c r="KN179" s="29"/>
      <c r="KO179" s="29"/>
      <c r="KP179" s="29"/>
      <c r="KQ179" s="29"/>
      <c r="KR179" s="29"/>
      <c r="KS179" s="29"/>
      <c r="KT179" s="29"/>
      <c r="KU179" s="29"/>
      <c r="KV179" s="29"/>
      <c r="KW179" s="29"/>
      <c r="KX179" s="29"/>
      <c r="KY179" s="29"/>
      <c r="KZ179" s="29"/>
      <c r="LA179" s="29"/>
      <c r="LB179" s="29"/>
      <c r="LC179" s="29"/>
      <c r="LD179" s="29"/>
      <c r="LE179" s="29"/>
      <c r="LF179" s="29"/>
      <c r="LG179" s="29"/>
      <c r="LH179" s="29"/>
      <c r="LI179" s="29"/>
      <c r="LJ179" s="29"/>
      <c r="LK179" s="29"/>
      <c r="LL179" s="29"/>
      <c r="LM179" s="29"/>
      <c r="LN179" s="29"/>
      <c r="LO179" s="29"/>
      <c r="LP179" s="29"/>
      <c r="LQ179" s="29"/>
      <c r="LR179" s="29"/>
      <c r="LS179" s="29"/>
      <c r="LT179" s="29"/>
      <c r="LU179" s="29"/>
      <c r="LV179" s="29"/>
      <c r="LW179" s="29"/>
      <c r="LX179" s="29"/>
      <c r="LY179" s="29"/>
      <c r="LZ179" s="29"/>
      <c r="MA179" s="29"/>
      <c r="MB179" s="29"/>
      <c r="MC179" s="29"/>
      <c r="MD179" s="29"/>
      <c r="ME179" s="29"/>
      <c r="MF179" s="29"/>
      <c r="MG179" s="29"/>
      <c r="MH179" s="29"/>
      <c r="MI179" s="29"/>
      <c r="MJ179" s="29"/>
      <c r="MK179" s="29"/>
      <c r="ML179" s="29"/>
      <c r="MM179" s="29"/>
      <c r="MN179" s="29"/>
      <c r="MO179" s="29"/>
      <c r="MP179" s="29"/>
      <c r="MQ179" s="29"/>
      <c r="MR179" s="29"/>
      <c r="MS179" s="29"/>
      <c r="MT179" s="29"/>
      <c r="MU179" s="29"/>
      <c r="MV179" s="29"/>
      <c r="MW179" s="29"/>
      <c r="MX179" s="29"/>
      <c r="MY179" s="29"/>
      <c r="MZ179" s="29"/>
      <c r="NA179" s="29"/>
      <c r="NB179" s="29"/>
      <c r="NC179" s="29"/>
      <c r="ND179" s="29"/>
      <c r="NE179" s="29"/>
      <c r="NF179" s="29"/>
      <c r="NG179" s="29"/>
      <c r="NH179" s="29"/>
      <c r="NI179" s="29"/>
      <c r="NJ179" s="29"/>
      <c r="NK179" s="29"/>
      <c r="NL179" s="29"/>
      <c r="NM179" s="29"/>
      <c r="NN179" s="29"/>
      <c r="NO179" s="29"/>
      <c r="NP179" s="29"/>
      <c r="NQ179" s="29"/>
      <c r="NR179" s="29"/>
      <c r="NS179" s="29"/>
      <c r="NT179" s="29"/>
      <c r="NU179" s="29"/>
      <c r="NV179" s="29"/>
      <c r="NW179" s="29"/>
      <c r="NX179" s="29"/>
      <c r="NY179" s="29"/>
      <c r="NZ179" s="29"/>
      <c r="OA179" s="29"/>
      <c r="OB179" s="29"/>
      <c r="OC179" s="29"/>
      <c r="OD179" s="29"/>
      <c r="OE179" s="29"/>
      <c r="OF179" s="29"/>
      <c r="OG179" s="29"/>
      <c r="OH179" s="29"/>
      <c r="OI179" s="29"/>
      <c r="OJ179" s="29"/>
      <c r="OK179" s="29"/>
      <c r="OL179" s="29"/>
      <c r="OM179" s="29"/>
      <c r="ON179" s="29"/>
      <c r="OO179" s="29"/>
      <c r="OP179" s="29"/>
      <c r="OQ179" s="29"/>
      <c r="OR179" s="29"/>
      <c r="OS179" s="29"/>
      <c r="OT179" s="29"/>
      <c r="OU179" s="29"/>
      <c r="OV179" s="29"/>
      <c r="OW179" s="29"/>
      <c r="OX179" s="29"/>
      <c r="OY179" s="29"/>
      <c r="OZ179" s="29"/>
      <c r="PA179" s="29"/>
      <c r="PB179" s="29"/>
      <c r="PC179" s="29"/>
      <c r="PD179" s="29"/>
      <c r="PE179" s="29"/>
      <c r="PF179" s="29"/>
      <c r="PG179" s="29"/>
      <c r="PH179" s="29"/>
      <c r="PI179" s="29"/>
      <c r="PJ179" s="29"/>
      <c r="PK179" s="29"/>
      <c r="PL179" s="29"/>
      <c r="PM179" s="29"/>
      <c r="PN179" s="29"/>
      <c r="PO179" s="29"/>
      <c r="PP179" s="29"/>
      <c r="PQ179" s="29"/>
      <c r="PR179" s="29"/>
      <c r="PS179" s="29"/>
      <c r="PT179" s="29"/>
      <c r="PU179" s="29"/>
      <c r="PV179" s="29"/>
      <c r="PW179" s="29"/>
      <c r="PX179" s="29"/>
      <c r="PY179" s="29"/>
      <c r="PZ179" s="29"/>
      <c r="QA179" s="29"/>
      <c r="QB179" s="29"/>
      <c r="QC179" s="29"/>
      <c r="QD179" s="29"/>
      <c r="QE179" s="29"/>
      <c r="QF179" s="29"/>
      <c r="QG179" s="29"/>
      <c r="QH179" s="29"/>
      <c r="QI179" s="29"/>
      <c r="QJ179" s="29"/>
      <c r="QK179" s="29"/>
      <c r="QL179" s="29"/>
      <c r="QM179" s="29"/>
      <c r="QN179" s="29"/>
      <c r="QO179" s="29"/>
      <c r="QP179" s="29"/>
      <c r="QQ179" s="29"/>
      <c r="QR179" s="29"/>
      <c r="QS179" s="29"/>
      <c r="QT179" s="29"/>
      <c r="QU179" s="29"/>
      <c r="QV179" s="29"/>
      <c r="QW179" s="29"/>
      <c r="QX179" s="29"/>
      <c r="QY179" s="29"/>
      <c r="QZ179" s="29"/>
      <c r="RA179" s="29"/>
      <c r="RB179" s="29"/>
      <c r="RC179" s="29"/>
      <c r="RD179" s="29"/>
      <c r="RE179" s="29"/>
      <c r="RF179" s="29"/>
      <c r="RG179" s="29"/>
      <c r="RH179" s="29"/>
      <c r="RI179" s="29"/>
      <c r="RJ179" s="29"/>
      <c r="RK179" s="29"/>
      <c r="RL179" s="29"/>
      <c r="RM179" s="29"/>
      <c r="RN179" s="29"/>
      <c r="RO179" s="29"/>
      <c r="RP179" s="29"/>
      <c r="RQ179" s="29"/>
      <c r="RR179" s="29"/>
      <c r="RS179" s="29"/>
      <c r="RT179" s="29"/>
      <c r="RU179" s="29"/>
      <c r="RV179" s="29"/>
      <c r="RW179" s="29"/>
      <c r="RX179" s="29"/>
      <c r="RY179" s="29"/>
      <c r="RZ179" s="29"/>
      <c r="SA179" s="29"/>
      <c r="SB179" s="29"/>
      <c r="SC179" s="29"/>
      <c r="SD179" s="29"/>
      <c r="SE179" s="29"/>
      <c r="SF179" s="29"/>
      <c r="SG179" s="29"/>
      <c r="SH179" s="29"/>
      <c r="SI179" s="29"/>
      <c r="SJ179" s="29"/>
      <c r="SK179" s="29"/>
      <c r="SL179" s="29"/>
      <c r="SM179" s="29"/>
      <c r="SN179" s="29"/>
      <c r="SO179" s="29"/>
      <c r="SP179" s="29"/>
      <c r="SQ179" s="29"/>
      <c r="SR179" s="29"/>
      <c r="SS179" s="29"/>
      <c r="ST179" s="29"/>
      <c r="SU179" s="29"/>
      <c r="SV179" s="29"/>
      <c r="SW179" s="29"/>
      <c r="SX179" s="29"/>
      <c r="SY179" s="29"/>
      <c r="SZ179" s="29"/>
      <c r="TA179" s="29"/>
      <c r="TB179" s="29"/>
      <c r="TC179" s="29"/>
      <c r="TD179" s="29"/>
      <c r="TE179" s="29"/>
      <c r="TF179" s="29"/>
      <c r="TG179" s="29"/>
      <c r="TH179" s="29"/>
      <c r="TI179" s="29"/>
      <c r="TJ179" s="29"/>
      <c r="TK179" s="29"/>
      <c r="TL179" s="29"/>
      <c r="TM179" s="29"/>
      <c r="TN179" s="29"/>
      <c r="TO179" s="29"/>
      <c r="TP179" s="29"/>
      <c r="TQ179" s="29"/>
      <c r="TR179" s="29"/>
      <c r="TS179" s="29"/>
      <c r="TT179" s="29"/>
      <c r="TU179" s="29"/>
      <c r="TV179" s="29"/>
      <c r="TW179" s="29"/>
      <c r="TX179" s="29"/>
      <c r="TY179" s="29"/>
      <c r="TZ179" s="29"/>
      <c r="UA179" s="29"/>
      <c r="UB179" s="29"/>
      <c r="UC179" s="29"/>
      <c r="UD179" s="29"/>
      <c r="UE179" s="29"/>
      <c r="UF179" s="29"/>
      <c r="UG179" s="29"/>
      <c r="UH179" s="29"/>
      <c r="UI179" s="29"/>
      <c r="UJ179" s="29"/>
      <c r="UK179" s="29"/>
      <c r="UL179" s="29"/>
      <c r="UM179" s="29"/>
      <c r="UN179" s="29"/>
      <c r="UO179" s="29"/>
      <c r="UP179" s="29"/>
      <c r="UQ179" s="29"/>
      <c r="UR179" s="29"/>
      <c r="US179" s="29"/>
      <c r="UT179" s="29"/>
      <c r="UU179" s="29"/>
      <c r="UV179" s="29"/>
      <c r="UW179" s="29"/>
      <c r="UX179" s="29"/>
      <c r="UY179" s="29"/>
      <c r="UZ179" s="29"/>
      <c r="VA179" s="29"/>
      <c r="VB179" s="29"/>
      <c r="VC179" s="29"/>
      <c r="VD179" s="29"/>
      <c r="VE179" s="29"/>
      <c r="VF179" s="29"/>
      <c r="VG179" s="29"/>
      <c r="VH179" s="29"/>
      <c r="VI179" s="29"/>
      <c r="VJ179" s="29"/>
      <c r="VK179" s="29"/>
      <c r="VL179" s="29"/>
      <c r="VM179" s="29"/>
      <c r="VN179" s="29"/>
      <c r="VO179" s="29"/>
      <c r="VP179" s="29"/>
      <c r="VQ179" s="29"/>
      <c r="VR179" s="29"/>
      <c r="VS179" s="29"/>
      <c r="VT179" s="29"/>
      <c r="VU179" s="29"/>
      <c r="VV179" s="29"/>
      <c r="VW179" s="29"/>
      <c r="VX179" s="29"/>
      <c r="VY179" s="29"/>
      <c r="VZ179" s="29"/>
      <c r="WA179" s="29"/>
      <c r="WB179" s="29"/>
      <c r="WC179" s="29"/>
      <c r="WD179" s="29"/>
      <c r="WE179" s="29"/>
      <c r="WF179" s="29"/>
      <c r="WG179" s="29"/>
      <c r="WH179" s="29"/>
      <c r="WI179" s="29"/>
      <c r="WJ179" s="29"/>
      <c r="WK179" s="29"/>
      <c r="WL179" s="29"/>
      <c r="WM179" s="29"/>
      <c r="WN179" s="29"/>
      <c r="WO179" s="29"/>
      <c r="WP179" s="29"/>
      <c r="WQ179" s="29"/>
      <c r="WR179" s="29"/>
      <c r="WS179" s="29"/>
    </row>
    <row r="180" spans="1:617" s="3" customFormat="1" ht="15" outlineLevel="1" thickBot="1">
      <c r="A180" s="33"/>
      <c r="B180" s="221" t="s">
        <v>278</v>
      </c>
      <c r="C180" s="222" t="s">
        <v>196</v>
      </c>
      <c r="D180" s="223">
        <v>46191</v>
      </c>
      <c r="E180" s="224">
        <f t="shared" ref="E180" si="607">D180+G180-1</f>
        <v>46246</v>
      </c>
      <c r="F180" s="14"/>
      <c r="G180" s="14">
        <v>56</v>
      </c>
      <c r="H180" s="29"/>
      <c r="I180" s="29"/>
      <c r="J180" s="29"/>
      <c r="K180" s="29"/>
      <c r="L180" s="29"/>
      <c r="M180" s="29"/>
      <c r="N180" s="29"/>
      <c r="O180" s="29"/>
      <c r="P180" s="29"/>
      <c r="Q180" s="29"/>
      <c r="R180" s="29"/>
      <c r="S180" s="29"/>
      <c r="T180" s="29"/>
      <c r="U180" s="29"/>
      <c r="V180" s="29"/>
      <c r="W180" s="29"/>
      <c r="X180" s="29"/>
      <c r="Y180" s="30"/>
      <c r="Z180" s="29"/>
      <c r="AA180" s="29"/>
      <c r="AB180" s="29"/>
      <c r="AC180" s="29"/>
      <c r="AD180" s="29"/>
      <c r="AE180" s="29"/>
      <c r="AF180" s="29"/>
      <c r="AG180" s="29"/>
      <c r="AH180" s="29"/>
      <c r="AI180" s="29"/>
      <c r="AJ180" s="29"/>
      <c r="AK180" s="29"/>
      <c r="AL180" s="29"/>
      <c r="AM180" s="29"/>
      <c r="AN180" s="29"/>
      <c r="AO180" s="29"/>
      <c r="AP180" s="29"/>
      <c r="AQ180" s="29"/>
      <c r="AR180" s="29"/>
      <c r="AS180" s="29"/>
      <c r="AT180" s="29"/>
      <c r="AU180" s="29"/>
      <c r="AV180" s="29"/>
      <c r="AW180" s="29"/>
      <c r="AX180" s="29"/>
      <c r="AY180" s="29"/>
      <c r="AZ180" s="29"/>
      <c r="BA180" s="29"/>
      <c r="BB180" s="29"/>
      <c r="BC180" s="29"/>
      <c r="BD180" s="29"/>
      <c r="BE180" s="29"/>
      <c r="BF180" s="29"/>
      <c r="BG180" s="29"/>
      <c r="BH180" s="29"/>
      <c r="BI180" s="29"/>
      <c r="BJ180" s="29"/>
      <c r="BK180" s="29"/>
      <c r="BL180" s="29"/>
      <c r="BM180" s="29"/>
      <c r="BN180" s="29"/>
      <c r="BO180" s="29"/>
      <c r="BP180" s="29"/>
      <c r="BQ180" s="29"/>
      <c r="BR180" s="29"/>
      <c r="BS180" s="29"/>
      <c r="BT180" s="29"/>
      <c r="BU180" s="29"/>
      <c r="BV180" s="29"/>
      <c r="BW180" s="29"/>
      <c r="BX180" s="29"/>
      <c r="BY180" s="29"/>
      <c r="BZ180" s="29"/>
      <c r="CA180" s="29"/>
      <c r="CB180" s="29"/>
      <c r="CC180" s="29"/>
      <c r="CD180" s="29"/>
      <c r="CE180" s="29"/>
      <c r="CF180" s="29"/>
      <c r="CG180" s="29"/>
      <c r="CH180" s="29"/>
      <c r="CI180" s="29"/>
      <c r="CJ180" s="29"/>
      <c r="CK180" s="29"/>
      <c r="CL180" s="29"/>
      <c r="CM180" s="29"/>
      <c r="CN180" s="29"/>
      <c r="CO180" s="29"/>
      <c r="CP180" s="29"/>
      <c r="CQ180" s="29"/>
      <c r="CR180" s="29"/>
      <c r="CS180" s="29"/>
      <c r="CT180" s="29"/>
      <c r="CU180" s="29"/>
      <c r="CV180" s="29"/>
      <c r="CW180" s="29"/>
      <c r="CX180" s="29"/>
      <c r="CY180" s="29"/>
      <c r="CZ180" s="29"/>
      <c r="DA180" s="29"/>
      <c r="DB180" s="29"/>
      <c r="DC180" s="29"/>
      <c r="DD180" s="29"/>
      <c r="DE180" s="29"/>
      <c r="DF180" s="29"/>
      <c r="DG180" s="29"/>
      <c r="DH180" s="29"/>
      <c r="DI180" s="29"/>
      <c r="DJ180" s="29"/>
      <c r="DK180" s="29"/>
      <c r="DL180" s="29"/>
      <c r="DM180" s="29"/>
      <c r="DN180" s="29"/>
      <c r="DO180" s="29"/>
      <c r="DP180" s="29"/>
      <c r="DQ180" s="29"/>
      <c r="DR180" s="29"/>
      <c r="DS180" s="29"/>
      <c r="DT180" s="29"/>
      <c r="DU180" s="29"/>
      <c r="DV180" s="29"/>
      <c r="DW180" s="29"/>
      <c r="DX180" s="29"/>
      <c r="DY180" s="29"/>
      <c r="DZ180" s="29"/>
      <c r="EA180" s="29"/>
      <c r="EB180" s="29"/>
      <c r="EC180" s="29"/>
      <c r="ED180" s="29"/>
      <c r="EE180" s="29"/>
      <c r="EF180" s="29"/>
      <c r="EG180" s="29"/>
      <c r="EH180" s="29"/>
      <c r="EI180" s="29"/>
      <c r="EJ180" s="29"/>
      <c r="EK180" s="29"/>
      <c r="EL180" s="29"/>
      <c r="EM180" s="29"/>
      <c r="EN180" s="29"/>
      <c r="EO180" s="29"/>
      <c r="EP180" s="29"/>
      <c r="EQ180" s="29"/>
      <c r="ER180" s="29"/>
      <c r="ES180" s="29"/>
      <c r="ET180" s="29"/>
      <c r="EU180" s="29"/>
      <c r="EV180" s="29"/>
      <c r="EW180" s="29"/>
      <c r="EX180" s="29"/>
      <c r="EY180" s="29"/>
      <c r="EZ180" s="29"/>
      <c r="FA180" s="29"/>
      <c r="FB180" s="29"/>
      <c r="FC180" s="29"/>
      <c r="FD180" s="29"/>
      <c r="FE180" s="29"/>
      <c r="FF180" s="29"/>
      <c r="FG180" s="29"/>
      <c r="FH180" s="29"/>
      <c r="FI180" s="29"/>
      <c r="FJ180" s="29"/>
      <c r="FK180" s="29"/>
      <c r="FL180" s="29"/>
      <c r="FM180" s="29"/>
      <c r="FN180" s="29"/>
      <c r="FO180" s="29"/>
      <c r="FP180" s="29"/>
      <c r="FQ180" s="29"/>
      <c r="FR180" s="29"/>
      <c r="FS180" s="29"/>
      <c r="FT180" s="29"/>
      <c r="FU180" s="29"/>
      <c r="FV180" s="29"/>
      <c r="FW180" s="29"/>
      <c r="FX180" s="29"/>
      <c r="FY180" s="29"/>
      <c r="FZ180" s="29"/>
      <c r="GA180" s="29"/>
      <c r="GB180" s="29"/>
      <c r="GC180" s="29"/>
      <c r="GD180" s="29"/>
      <c r="GE180" s="29"/>
      <c r="GF180" s="29"/>
      <c r="GG180" s="29"/>
      <c r="GH180" s="29"/>
      <c r="GI180" s="29"/>
      <c r="GJ180" s="29"/>
      <c r="GK180" s="29"/>
      <c r="GL180" s="29"/>
      <c r="GM180" s="29"/>
      <c r="GN180" s="29"/>
      <c r="GO180" s="29"/>
      <c r="GP180" s="29"/>
      <c r="GQ180" s="29"/>
      <c r="GR180" s="29"/>
      <c r="GS180" s="29"/>
      <c r="GT180" s="29"/>
      <c r="GU180" s="29"/>
      <c r="GV180" s="29"/>
      <c r="GW180" s="29"/>
      <c r="GX180" s="29"/>
      <c r="GY180" s="29"/>
      <c r="GZ180" s="29"/>
      <c r="HA180" s="29"/>
      <c r="HB180" s="29"/>
      <c r="HC180" s="29"/>
      <c r="HD180" s="29"/>
      <c r="HE180" s="29"/>
      <c r="HF180" s="29"/>
      <c r="HG180" s="29"/>
      <c r="HH180" s="29"/>
      <c r="HI180" s="29"/>
      <c r="HJ180" s="29"/>
      <c r="HK180" s="29"/>
      <c r="HL180" s="29"/>
      <c r="HM180" s="29"/>
      <c r="HN180" s="29"/>
      <c r="HO180" s="29"/>
      <c r="HP180" s="29"/>
      <c r="HQ180" s="29"/>
      <c r="HR180" s="29"/>
      <c r="HS180" s="29"/>
      <c r="HT180" s="29"/>
      <c r="HU180" s="29"/>
      <c r="HV180" s="29"/>
      <c r="HW180" s="29"/>
      <c r="HX180" s="29"/>
      <c r="HY180" s="29"/>
      <c r="HZ180" s="29"/>
      <c r="IA180" s="29"/>
      <c r="IB180" s="29"/>
      <c r="IC180" s="29"/>
      <c r="ID180" s="29"/>
      <c r="IE180" s="29"/>
      <c r="IF180" s="29"/>
      <c r="IG180" s="29"/>
      <c r="IH180" s="29"/>
      <c r="II180" s="29"/>
      <c r="IJ180" s="29"/>
      <c r="IK180" s="29"/>
      <c r="IL180" s="29"/>
      <c r="IM180" s="29"/>
      <c r="IN180" s="29"/>
      <c r="IO180" s="29"/>
      <c r="IP180" s="29"/>
      <c r="IQ180" s="29"/>
      <c r="IR180" s="29"/>
      <c r="IS180" s="29"/>
      <c r="IT180" s="29"/>
      <c r="IU180" s="29"/>
      <c r="IV180" s="29"/>
      <c r="IW180" s="29"/>
      <c r="IX180" s="29"/>
      <c r="IY180" s="29"/>
      <c r="IZ180" s="29"/>
      <c r="JA180" s="29"/>
      <c r="JB180" s="29"/>
      <c r="JC180" s="29"/>
      <c r="JD180" s="29"/>
      <c r="JE180" s="29"/>
      <c r="JF180" s="29"/>
      <c r="JG180" s="29"/>
      <c r="JH180" s="29"/>
      <c r="JI180" s="29"/>
      <c r="JJ180" s="29"/>
      <c r="JK180" s="29"/>
      <c r="JL180" s="29"/>
      <c r="JM180" s="29"/>
      <c r="JN180" s="29"/>
      <c r="JO180" s="29"/>
      <c r="JP180" s="29"/>
      <c r="JQ180" s="29"/>
      <c r="JR180" s="29"/>
      <c r="JS180" s="29"/>
      <c r="JT180" s="29"/>
      <c r="JU180" s="29"/>
      <c r="JV180" s="29"/>
      <c r="JW180" s="29"/>
      <c r="JX180" s="29"/>
      <c r="JY180" s="29"/>
      <c r="JZ180" s="29"/>
      <c r="KA180" s="29"/>
      <c r="KB180" s="29"/>
      <c r="KC180" s="29"/>
      <c r="KD180" s="29"/>
      <c r="KE180" s="29"/>
      <c r="KF180" s="29"/>
      <c r="KG180" s="29"/>
      <c r="KH180" s="29"/>
      <c r="KI180" s="29"/>
      <c r="KJ180" s="29"/>
      <c r="KK180" s="29"/>
      <c r="KL180" s="29"/>
      <c r="KM180" s="29"/>
      <c r="KN180" s="29"/>
      <c r="KO180" s="29"/>
      <c r="KP180" s="29"/>
      <c r="KQ180" s="29"/>
      <c r="KR180" s="29"/>
      <c r="KS180" s="29"/>
      <c r="KT180" s="29"/>
      <c r="KU180" s="29"/>
      <c r="KV180" s="29"/>
      <c r="KW180" s="29"/>
      <c r="KX180" s="29"/>
      <c r="KY180" s="29"/>
      <c r="KZ180" s="29"/>
      <c r="LA180" s="29"/>
      <c r="LB180" s="29"/>
      <c r="LC180" s="29"/>
      <c r="LD180" s="29"/>
      <c r="LE180" s="29"/>
      <c r="LF180" s="29"/>
      <c r="LG180" s="29"/>
      <c r="LH180" s="29"/>
      <c r="LI180" s="29"/>
      <c r="LJ180" s="29"/>
      <c r="LK180" s="29"/>
      <c r="LL180" s="29"/>
      <c r="LM180" s="29"/>
      <c r="LN180" s="29"/>
      <c r="LO180" s="29"/>
      <c r="LP180" s="29"/>
      <c r="LQ180" s="29"/>
      <c r="LR180" s="29"/>
      <c r="LS180" s="29"/>
      <c r="LT180" s="29"/>
      <c r="LU180" s="29"/>
      <c r="LV180" s="29"/>
      <c r="LW180" s="29"/>
      <c r="LX180" s="29"/>
      <c r="LY180" s="29"/>
      <c r="LZ180" s="29"/>
      <c r="MA180" s="29"/>
      <c r="MB180" s="29"/>
      <c r="MC180" s="29"/>
      <c r="MD180" s="29"/>
      <c r="ME180" s="29"/>
      <c r="MF180" s="29"/>
      <c r="MG180" s="29"/>
      <c r="MH180" s="29"/>
      <c r="MI180" s="29"/>
      <c r="MJ180" s="29"/>
      <c r="MK180" s="29"/>
      <c r="ML180" s="29"/>
      <c r="MM180" s="29"/>
      <c r="MN180" s="29"/>
      <c r="MO180" s="29"/>
      <c r="MP180" s="29"/>
      <c r="MQ180" s="29"/>
      <c r="MR180" s="29"/>
      <c r="MS180" s="29"/>
      <c r="MT180" s="29"/>
      <c r="MU180" s="29"/>
      <c r="MV180" s="29"/>
      <c r="MW180" s="29"/>
      <c r="MX180" s="29"/>
      <c r="MY180" s="29"/>
      <c r="MZ180" s="29"/>
      <c r="NA180" s="29"/>
      <c r="NB180" s="29"/>
      <c r="NC180" s="29"/>
      <c r="ND180" s="29"/>
      <c r="NE180" s="29"/>
      <c r="NF180" s="29"/>
      <c r="NG180" s="29"/>
      <c r="NH180" s="29"/>
      <c r="NI180" s="29"/>
      <c r="NJ180" s="29"/>
      <c r="NK180" s="29"/>
      <c r="NL180" s="29"/>
      <c r="NM180" s="29"/>
      <c r="NN180" s="29"/>
      <c r="NO180" s="29"/>
      <c r="NP180" s="29"/>
      <c r="NQ180" s="29"/>
      <c r="NR180" s="29"/>
      <c r="NS180" s="29"/>
      <c r="NT180" s="29"/>
      <c r="NU180" s="29"/>
      <c r="NV180" s="29"/>
      <c r="NW180" s="29"/>
      <c r="NX180" s="29"/>
      <c r="NY180" s="29"/>
      <c r="NZ180" s="29"/>
      <c r="OA180" s="29"/>
      <c r="OB180" s="29"/>
      <c r="OC180" s="29"/>
      <c r="OD180" s="29"/>
      <c r="OE180" s="29"/>
      <c r="OF180" s="29"/>
      <c r="OG180" s="29"/>
      <c r="OH180" s="29"/>
      <c r="OI180" s="29"/>
      <c r="OJ180" s="29"/>
      <c r="OK180" s="29"/>
      <c r="OL180" s="29"/>
      <c r="OM180" s="29"/>
      <c r="ON180" s="29"/>
      <c r="OO180" s="29"/>
      <c r="OP180" s="29"/>
      <c r="OQ180" s="29"/>
      <c r="OR180" s="29"/>
      <c r="OS180" s="29"/>
      <c r="OT180" s="29"/>
      <c r="OU180" s="29"/>
      <c r="OV180" s="29"/>
      <c r="OW180" s="29"/>
      <c r="OX180" s="29"/>
      <c r="OY180" s="29"/>
      <c r="OZ180" s="29"/>
      <c r="PA180" s="29"/>
      <c r="PB180" s="29"/>
      <c r="PC180" s="29"/>
      <c r="PD180" s="29"/>
      <c r="PE180" s="29"/>
      <c r="PF180" s="29"/>
      <c r="PG180" s="29"/>
      <c r="PH180" s="29"/>
      <c r="PI180" s="29"/>
      <c r="PJ180" s="29"/>
      <c r="PK180" s="29"/>
      <c r="PL180" s="29"/>
      <c r="PM180" s="29"/>
      <c r="PN180" s="29"/>
      <c r="PO180" s="29"/>
      <c r="PP180" s="29"/>
      <c r="PQ180" s="29"/>
      <c r="PR180" s="29"/>
      <c r="PS180" s="29"/>
      <c r="PT180" s="29"/>
      <c r="PU180" s="29"/>
      <c r="PV180" s="29"/>
      <c r="PW180" s="29"/>
      <c r="PX180" s="29"/>
      <c r="PY180" s="29"/>
      <c r="PZ180" s="29"/>
      <c r="QA180" s="29"/>
      <c r="QB180" s="29"/>
      <c r="QC180" s="29"/>
      <c r="QD180" s="29"/>
      <c r="QE180" s="29"/>
      <c r="QF180" s="29"/>
      <c r="QG180" s="29"/>
      <c r="QH180" s="29"/>
      <c r="QI180" s="29"/>
      <c r="QJ180" s="29"/>
      <c r="QK180" s="29"/>
      <c r="QL180" s="29"/>
      <c r="QM180" s="29"/>
      <c r="QN180" s="29"/>
      <c r="QO180" s="29"/>
      <c r="QP180" s="29"/>
      <c r="QQ180" s="29"/>
      <c r="QR180" s="29"/>
      <c r="QS180" s="29"/>
      <c r="QT180" s="29"/>
      <c r="QU180" s="29"/>
      <c r="QV180" s="29"/>
      <c r="QW180" s="29"/>
      <c r="QX180" s="29"/>
      <c r="QY180" s="29"/>
      <c r="QZ180" s="29"/>
      <c r="RA180" s="29"/>
      <c r="RB180" s="29"/>
      <c r="RC180" s="29"/>
      <c r="RD180" s="29"/>
      <c r="RE180" s="29"/>
      <c r="RF180" s="29"/>
      <c r="RG180" s="29"/>
      <c r="RH180" s="29"/>
      <c r="RI180" s="29"/>
      <c r="RJ180" s="29"/>
      <c r="RK180" s="29"/>
      <c r="RL180" s="29"/>
      <c r="RM180" s="29"/>
      <c r="RN180" s="29"/>
      <c r="RO180" s="29"/>
      <c r="RP180" s="29"/>
      <c r="RQ180" s="29"/>
      <c r="RR180" s="29"/>
      <c r="RS180" s="29"/>
      <c r="RT180" s="29"/>
      <c r="RU180" s="29"/>
      <c r="RV180" s="29"/>
      <c r="RW180" s="29"/>
      <c r="RX180" s="29"/>
      <c r="RY180" s="29"/>
      <c r="RZ180" s="29"/>
      <c r="SA180" s="29"/>
      <c r="SB180" s="29"/>
      <c r="SC180" s="29"/>
      <c r="SD180" s="29"/>
      <c r="SE180" s="29"/>
      <c r="SF180" s="29"/>
      <c r="SG180" s="29"/>
      <c r="SH180" s="29"/>
      <c r="SI180" s="29"/>
      <c r="SJ180" s="29"/>
      <c r="SK180" s="29"/>
      <c r="SL180" s="29"/>
      <c r="SM180" s="29"/>
      <c r="SN180" s="29"/>
      <c r="SO180" s="29"/>
      <c r="SP180" s="29"/>
      <c r="SQ180" s="29"/>
      <c r="SR180" s="29"/>
      <c r="SS180" s="29"/>
      <c r="ST180" s="29"/>
      <c r="SU180" s="29"/>
      <c r="SV180" s="29"/>
      <c r="SW180" s="29"/>
      <c r="SX180" s="29"/>
      <c r="SY180" s="29"/>
      <c r="SZ180" s="29"/>
      <c r="TA180" s="29"/>
      <c r="TB180" s="29"/>
      <c r="TC180" s="29"/>
      <c r="TD180" s="29"/>
      <c r="TE180" s="29"/>
      <c r="TF180" s="29"/>
      <c r="TG180" s="29"/>
      <c r="TH180" s="29"/>
      <c r="TI180" s="29"/>
      <c r="TJ180" s="29"/>
      <c r="TK180" s="29"/>
      <c r="TL180" s="29"/>
      <c r="TM180" s="29"/>
      <c r="TN180" s="29"/>
      <c r="TO180" s="29"/>
      <c r="TP180" s="29"/>
      <c r="TQ180" s="29"/>
      <c r="TR180" s="29"/>
      <c r="TS180" s="29"/>
      <c r="TT180" s="29"/>
      <c r="TU180" s="29"/>
      <c r="TV180" s="29"/>
      <c r="TW180" s="29"/>
      <c r="TX180" s="29"/>
      <c r="TY180" s="29"/>
      <c r="TZ180" s="29"/>
      <c r="UA180" s="29"/>
      <c r="UB180" s="29"/>
      <c r="UC180" s="29"/>
      <c r="UD180" s="29"/>
      <c r="UE180" s="29"/>
      <c r="UF180" s="29"/>
      <c r="UG180" s="29"/>
      <c r="UH180" s="29"/>
      <c r="UI180" s="29"/>
      <c r="UJ180" s="29"/>
      <c r="UK180" s="29"/>
      <c r="UL180" s="29"/>
      <c r="UM180" s="29"/>
      <c r="UN180" s="29"/>
      <c r="UO180" s="29"/>
      <c r="UP180" s="29"/>
      <c r="UQ180" s="29"/>
      <c r="UR180" s="29"/>
      <c r="US180" s="29"/>
      <c r="UT180" s="29"/>
      <c r="UU180" s="29"/>
      <c r="UV180" s="29"/>
      <c r="UW180" s="29"/>
      <c r="UX180" s="29"/>
      <c r="UY180" s="29"/>
      <c r="UZ180" s="29"/>
      <c r="VA180" s="29"/>
      <c r="VB180" s="29"/>
      <c r="VC180" s="29"/>
      <c r="VD180" s="29"/>
      <c r="VE180" s="29"/>
      <c r="VF180" s="29"/>
      <c r="VG180" s="29"/>
      <c r="VH180" s="29"/>
      <c r="VI180" s="29"/>
      <c r="VJ180" s="29"/>
      <c r="VK180" s="29"/>
      <c r="VL180" s="29"/>
      <c r="VM180" s="29"/>
      <c r="VN180" s="29"/>
      <c r="VO180" s="29"/>
      <c r="VP180" s="29"/>
      <c r="VQ180" s="29"/>
      <c r="VR180" s="29"/>
      <c r="VS180" s="29"/>
      <c r="VT180" s="29"/>
      <c r="VU180" s="29"/>
      <c r="VV180" s="29"/>
      <c r="VW180" s="29"/>
      <c r="VX180" s="29"/>
      <c r="VY180" s="29"/>
      <c r="VZ180" s="29"/>
      <c r="WA180" s="29"/>
      <c r="WB180" s="29"/>
      <c r="WC180" s="29"/>
      <c r="WD180" s="29"/>
      <c r="WE180" s="29"/>
      <c r="WF180" s="29"/>
      <c r="WG180" s="29"/>
      <c r="WH180" s="29"/>
      <c r="WI180" s="29"/>
      <c r="WJ180" s="29"/>
      <c r="WK180" s="29"/>
      <c r="WL180" s="29"/>
      <c r="WM180" s="29"/>
      <c r="WN180" s="29"/>
      <c r="WO180" s="29"/>
      <c r="WP180" s="29"/>
      <c r="WQ180" s="29"/>
      <c r="WR180" s="29"/>
      <c r="WS180" s="29"/>
    </row>
    <row r="181" spans="1:617" s="3" customFormat="1" ht="15" outlineLevel="1" thickBot="1">
      <c r="A181" s="33"/>
      <c r="B181" s="47" t="s">
        <v>280</v>
      </c>
      <c r="C181" s="42" t="s">
        <v>138</v>
      </c>
      <c r="D181" s="116">
        <v>46262</v>
      </c>
      <c r="E181" s="116">
        <f t="shared" ref="E181" si="608">D181+G181-1</f>
        <v>46317</v>
      </c>
      <c r="F181" s="14"/>
      <c r="G181" s="14">
        <v>56</v>
      </c>
      <c r="H181" s="29"/>
      <c r="I181" s="29"/>
      <c r="J181" s="29"/>
      <c r="K181" s="29"/>
      <c r="L181" s="29"/>
      <c r="M181" s="29"/>
      <c r="N181" s="29"/>
      <c r="O181" s="29"/>
      <c r="P181" s="29"/>
      <c r="Q181" s="29"/>
      <c r="R181" s="29"/>
      <c r="S181" s="29"/>
      <c r="T181" s="29"/>
      <c r="U181" s="29"/>
      <c r="V181" s="29"/>
      <c r="W181" s="29"/>
      <c r="X181" s="29"/>
      <c r="Y181" s="30"/>
      <c r="Z181" s="29"/>
      <c r="AA181" s="29"/>
      <c r="AB181" s="29"/>
      <c r="AC181" s="29"/>
      <c r="AD181" s="29"/>
      <c r="AE181" s="29"/>
      <c r="AF181" s="29"/>
      <c r="AG181" s="29"/>
      <c r="AH181" s="29"/>
      <c r="AI181" s="29"/>
      <c r="AJ181" s="29"/>
      <c r="AK181" s="29"/>
      <c r="AL181" s="29"/>
      <c r="AM181" s="29"/>
      <c r="AN181" s="29"/>
      <c r="AO181" s="29"/>
      <c r="AP181" s="29"/>
      <c r="AQ181" s="29"/>
      <c r="AR181" s="29"/>
      <c r="AS181" s="29"/>
      <c r="AT181" s="29"/>
      <c r="AU181" s="29"/>
      <c r="AV181" s="29"/>
      <c r="AW181" s="29"/>
      <c r="AX181" s="29"/>
      <c r="AY181" s="29"/>
      <c r="AZ181" s="29"/>
      <c r="BA181" s="29"/>
      <c r="BB181" s="29"/>
      <c r="BC181" s="29"/>
      <c r="BD181" s="29"/>
      <c r="BE181" s="29"/>
      <c r="BF181" s="29"/>
      <c r="BG181" s="29"/>
      <c r="BH181" s="29"/>
      <c r="BI181" s="29"/>
      <c r="BJ181" s="29"/>
      <c r="BK181" s="29"/>
      <c r="BL181" s="29"/>
      <c r="BM181" s="29"/>
      <c r="BN181" s="29"/>
      <c r="BO181" s="29"/>
      <c r="BP181" s="29"/>
      <c r="BQ181" s="29"/>
      <c r="BR181" s="29"/>
      <c r="BS181" s="29"/>
      <c r="BT181" s="29"/>
      <c r="BU181" s="29"/>
      <c r="BV181" s="29"/>
      <c r="BW181" s="29"/>
      <c r="BX181" s="29"/>
      <c r="BY181" s="29"/>
      <c r="BZ181" s="29"/>
      <c r="CA181" s="29"/>
      <c r="CB181" s="29"/>
      <c r="CC181" s="29"/>
      <c r="CD181" s="29"/>
      <c r="CE181" s="29"/>
      <c r="CF181" s="29"/>
      <c r="CG181" s="29"/>
      <c r="CH181" s="29"/>
      <c r="CI181" s="29"/>
      <c r="CJ181" s="29"/>
      <c r="CK181" s="29"/>
      <c r="CL181" s="29"/>
      <c r="CM181" s="29"/>
      <c r="CN181" s="29"/>
      <c r="CO181" s="29"/>
      <c r="CP181" s="29"/>
      <c r="CQ181" s="29"/>
      <c r="CR181" s="29"/>
      <c r="CS181" s="29"/>
      <c r="CT181" s="29"/>
      <c r="CU181" s="29"/>
      <c r="CV181" s="29"/>
      <c r="CW181" s="29"/>
      <c r="CX181" s="29"/>
      <c r="CY181" s="29"/>
      <c r="CZ181" s="29"/>
      <c r="DA181" s="29"/>
      <c r="DB181" s="29"/>
      <c r="DC181" s="29"/>
      <c r="DD181" s="29"/>
      <c r="DE181" s="29"/>
      <c r="DF181" s="29"/>
      <c r="DG181" s="29"/>
      <c r="DH181" s="29"/>
      <c r="DI181" s="29"/>
      <c r="DJ181" s="29"/>
      <c r="DK181" s="29"/>
      <c r="DL181" s="29"/>
      <c r="DM181" s="29"/>
      <c r="DN181" s="29"/>
      <c r="DO181" s="29"/>
      <c r="DP181" s="29"/>
      <c r="DQ181" s="29"/>
      <c r="DR181" s="29"/>
      <c r="DS181" s="29"/>
      <c r="DT181" s="29"/>
      <c r="DU181" s="29"/>
      <c r="DV181" s="29"/>
      <c r="DW181" s="29"/>
      <c r="DX181" s="29"/>
      <c r="DY181" s="29"/>
      <c r="DZ181" s="29"/>
      <c r="EA181" s="29"/>
      <c r="EB181" s="29"/>
      <c r="EC181" s="29"/>
      <c r="ED181" s="29"/>
      <c r="EE181" s="29"/>
      <c r="EF181" s="29"/>
      <c r="EG181" s="29"/>
      <c r="EH181" s="29"/>
      <c r="EI181" s="29"/>
      <c r="EJ181" s="29"/>
      <c r="EK181" s="29"/>
      <c r="EL181" s="29"/>
      <c r="EM181" s="29"/>
      <c r="EN181" s="29"/>
      <c r="EO181" s="29"/>
      <c r="EP181" s="29"/>
      <c r="EQ181" s="29"/>
      <c r="ER181" s="29"/>
      <c r="ES181" s="29"/>
      <c r="ET181" s="29"/>
      <c r="EU181" s="29"/>
      <c r="EV181" s="29"/>
      <c r="EW181" s="29"/>
      <c r="EX181" s="29"/>
      <c r="EY181" s="29"/>
      <c r="EZ181" s="29"/>
      <c r="FA181" s="29"/>
      <c r="FB181" s="29"/>
      <c r="FC181" s="29"/>
      <c r="FD181" s="29"/>
      <c r="FE181" s="29"/>
      <c r="FF181" s="29"/>
      <c r="FG181" s="29"/>
      <c r="FH181" s="29"/>
      <c r="FI181" s="29"/>
      <c r="FJ181" s="29"/>
      <c r="FK181" s="29"/>
      <c r="FL181" s="29"/>
      <c r="FM181" s="29"/>
      <c r="FN181" s="29"/>
      <c r="FO181" s="29"/>
      <c r="FP181" s="29"/>
      <c r="FQ181" s="29"/>
      <c r="FR181" s="29"/>
      <c r="FS181" s="29"/>
      <c r="FT181" s="29"/>
      <c r="FU181" s="29"/>
      <c r="FV181" s="29"/>
      <c r="FW181" s="29"/>
      <c r="FX181" s="29"/>
      <c r="FY181" s="29"/>
      <c r="FZ181" s="29"/>
      <c r="GA181" s="29"/>
      <c r="GB181" s="29"/>
      <c r="GC181" s="29"/>
      <c r="GD181" s="29"/>
      <c r="GE181" s="29"/>
      <c r="GF181" s="29"/>
      <c r="GG181" s="29"/>
      <c r="GH181" s="29"/>
      <c r="GI181" s="29"/>
      <c r="GJ181" s="29"/>
      <c r="GK181" s="29"/>
      <c r="GL181" s="29"/>
      <c r="GM181" s="29"/>
      <c r="GN181" s="29"/>
      <c r="GO181" s="29"/>
      <c r="GP181" s="29"/>
      <c r="GQ181" s="29"/>
      <c r="GR181" s="29"/>
      <c r="GS181" s="29"/>
      <c r="GT181" s="29"/>
      <c r="GU181" s="29"/>
      <c r="GV181" s="29"/>
      <c r="GW181" s="29"/>
      <c r="GX181" s="29"/>
      <c r="GY181" s="29"/>
      <c r="GZ181" s="29"/>
      <c r="HA181" s="29"/>
      <c r="HB181" s="29"/>
      <c r="HC181" s="29"/>
      <c r="HD181" s="29"/>
      <c r="HE181" s="29"/>
      <c r="HF181" s="29"/>
      <c r="HG181" s="29"/>
      <c r="HH181" s="29"/>
      <c r="HI181" s="29"/>
      <c r="HJ181" s="29"/>
      <c r="HK181" s="29"/>
      <c r="HL181" s="29"/>
      <c r="HM181" s="29"/>
      <c r="HN181" s="29"/>
      <c r="HO181" s="29"/>
      <c r="HP181" s="29"/>
      <c r="HQ181" s="29"/>
      <c r="HR181" s="29"/>
      <c r="HS181" s="29"/>
      <c r="HT181" s="29"/>
      <c r="HU181" s="29"/>
      <c r="HV181" s="29"/>
      <c r="HW181" s="29"/>
      <c r="HX181" s="29"/>
      <c r="HY181" s="29"/>
      <c r="HZ181" s="29"/>
      <c r="IA181" s="29"/>
      <c r="IB181" s="29"/>
      <c r="IC181" s="29"/>
      <c r="ID181" s="29"/>
      <c r="IE181" s="29"/>
      <c r="IF181" s="29"/>
      <c r="IG181" s="29"/>
      <c r="IH181" s="29"/>
      <c r="II181" s="29"/>
      <c r="IJ181" s="29"/>
      <c r="IK181" s="29"/>
      <c r="IL181" s="29"/>
      <c r="IM181" s="29"/>
      <c r="IN181" s="29"/>
      <c r="IO181" s="29"/>
      <c r="IP181" s="29"/>
      <c r="IQ181" s="29"/>
      <c r="IR181" s="29"/>
      <c r="IS181" s="29"/>
      <c r="IT181" s="29"/>
      <c r="IU181" s="29"/>
      <c r="IV181" s="29"/>
      <c r="IW181" s="29"/>
      <c r="IX181" s="29"/>
      <c r="IY181" s="29"/>
      <c r="IZ181" s="29"/>
      <c r="JA181" s="29"/>
      <c r="JB181" s="29"/>
      <c r="JC181" s="29"/>
      <c r="JD181" s="29"/>
      <c r="JE181" s="29"/>
      <c r="JF181" s="29"/>
      <c r="JG181" s="29"/>
      <c r="JH181" s="29"/>
      <c r="JI181" s="29"/>
      <c r="JJ181" s="29"/>
      <c r="JK181" s="29"/>
      <c r="JL181" s="29"/>
      <c r="JM181" s="29"/>
      <c r="JN181" s="29"/>
      <c r="JO181" s="29"/>
      <c r="JP181" s="29"/>
      <c r="JQ181" s="29"/>
      <c r="JR181" s="29"/>
      <c r="JS181" s="29"/>
      <c r="JT181" s="29"/>
      <c r="JU181" s="29"/>
      <c r="JV181" s="29"/>
      <c r="JW181" s="29"/>
      <c r="JX181" s="29"/>
      <c r="JY181" s="29"/>
      <c r="JZ181" s="29"/>
      <c r="KA181" s="29"/>
      <c r="KB181" s="29"/>
      <c r="KC181" s="29"/>
      <c r="KD181" s="29"/>
      <c r="KE181" s="29"/>
      <c r="KF181" s="29"/>
      <c r="KG181" s="29"/>
      <c r="KH181" s="29"/>
      <c r="KI181" s="29"/>
      <c r="KJ181" s="29"/>
      <c r="KK181" s="29"/>
      <c r="KL181" s="29"/>
      <c r="KM181" s="29"/>
      <c r="KN181" s="29"/>
      <c r="KO181" s="29"/>
      <c r="KP181" s="29"/>
      <c r="KQ181" s="29"/>
      <c r="KR181" s="29"/>
      <c r="KS181" s="29"/>
      <c r="KT181" s="29"/>
      <c r="KU181" s="29"/>
      <c r="KV181" s="29"/>
      <c r="KW181" s="29"/>
      <c r="KX181" s="29"/>
      <c r="KY181" s="29"/>
      <c r="KZ181" s="29"/>
      <c r="LA181" s="29"/>
      <c r="LB181" s="29"/>
      <c r="LC181" s="29"/>
      <c r="LD181" s="29"/>
      <c r="LE181" s="29"/>
      <c r="LF181" s="29"/>
      <c r="LG181" s="29"/>
      <c r="LH181" s="29"/>
      <c r="LI181" s="29"/>
      <c r="LJ181" s="29"/>
      <c r="LK181" s="29"/>
      <c r="LL181" s="29"/>
      <c r="LM181" s="29"/>
      <c r="LN181" s="29"/>
      <c r="LO181" s="29"/>
      <c r="LP181" s="29"/>
      <c r="LQ181" s="29"/>
      <c r="LR181" s="29"/>
      <c r="LS181" s="29"/>
      <c r="LT181" s="29"/>
      <c r="LU181" s="29"/>
      <c r="LV181" s="29"/>
      <c r="LW181" s="29"/>
      <c r="LX181" s="29"/>
      <c r="LY181" s="29"/>
      <c r="LZ181" s="29"/>
      <c r="MA181" s="29"/>
      <c r="MB181" s="29"/>
      <c r="MC181" s="29"/>
      <c r="MD181" s="29"/>
      <c r="ME181" s="29"/>
      <c r="MF181" s="29"/>
      <c r="MG181" s="29"/>
      <c r="MH181" s="29"/>
      <c r="MI181" s="29"/>
      <c r="MJ181" s="29"/>
      <c r="MK181" s="29"/>
      <c r="ML181" s="29"/>
      <c r="MM181" s="29"/>
      <c r="MN181" s="29"/>
      <c r="MO181" s="29"/>
      <c r="MP181" s="29"/>
      <c r="MQ181" s="29"/>
      <c r="MR181" s="29"/>
      <c r="MS181" s="29"/>
      <c r="MT181" s="29"/>
      <c r="MU181" s="29"/>
      <c r="MV181" s="29"/>
      <c r="MW181" s="29"/>
      <c r="MX181" s="29"/>
      <c r="MY181" s="29"/>
      <c r="MZ181" s="29"/>
      <c r="NA181" s="29"/>
      <c r="NB181" s="29"/>
      <c r="NC181" s="29"/>
      <c r="ND181" s="29"/>
      <c r="NE181" s="29"/>
      <c r="NF181" s="29"/>
      <c r="NG181" s="29"/>
      <c r="NH181" s="29"/>
      <c r="NI181" s="29"/>
      <c r="NJ181" s="29"/>
      <c r="NK181" s="29"/>
      <c r="NL181" s="29"/>
      <c r="NM181" s="29"/>
      <c r="NN181" s="29"/>
      <c r="NO181" s="29"/>
      <c r="NP181" s="29"/>
      <c r="NQ181" s="29"/>
      <c r="NR181" s="29"/>
      <c r="NS181" s="29"/>
      <c r="NT181" s="29"/>
      <c r="NU181" s="29"/>
      <c r="NV181" s="29"/>
      <c r="NW181" s="29"/>
      <c r="NX181" s="29"/>
      <c r="NY181" s="29"/>
      <c r="NZ181" s="29"/>
      <c r="OA181" s="29"/>
      <c r="OB181" s="29"/>
      <c r="OC181" s="29"/>
      <c r="OD181" s="29"/>
      <c r="OE181" s="29"/>
      <c r="OF181" s="29"/>
      <c r="OG181" s="29"/>
      <c r="OH181" s="29"/>
      <c r="OI181" s="29"/>
      <c r="OJ181" s="29"/>
      <c r="OK181" s="29"/>
      <c r="OL181" s="29"/>
      <c r="OM181" s="29"/>
      <c r="ON181" s="29"/>
      <c r="OO181" s="29"/>
      <c r="OP181" s="29"/>
      <c r="OQ181" s="29"/>
      <c r="OR181" s="29"/>
      <c r="OS181" s="29"/>
      <c r="OT181" s="29"/>
      <c r="OU181" s="29"/>
      <c r="OV181" s="29"/>
      <c r="OW181" s="29"/>
      <c r="OX181" s="29"/>
      <c r="OY181" s="29"/>
      <c r="OZ181" s="29"/>
      <c r="PA181" s="29"/>
      <c r="PB181" s="29"/>
      <c r="PC181" s="29"/>
      <c r="PD181" s="29"/>
      <c r="PE181" s="29"/>
      <c r="PF181" s="29"/>
      <c r="PG181" s="29"/>
      <c r="PH181" s="29"/>
      <c r="PI181" s="29"/>
      <c r="PJ181" s="29"/>
      <c r="PK181" s="29"/>
      <c r="PL181" s="29"/>
      <c r="PM181" s="29"/>
      <c r="PN181" s="29"/>
      <c r="PO181" s="29"/>
      <c r="PP181" s="29"/>
      <c r="PQ181" s="29"/>
      <c r="PR181" s="29"/>
      <c r="PS181" s="29"/>
      <c r="PT181" s="29"/>
      <c r="PU181" s="29"/>
      <c r="PV181" s="29"/>
      <c r="PW181" s="29"/>
      <c r="PX181" s="29"/>
      <c r="PY181" s="29"/>
      <c r="PZ181" s="29"/>
      <c r="QA181" s="29"/>
      <c r="QB181" s="29"/>
      <c r="QC181" s="29"/>
      <c r="QD181" s="29"/>
      <c r="QE181" s="29"/>
      <c r="QF181" s="29"/>
      <c r="QG181" s="29"/>
      <c r="QH181" s="29"/>
      <c r="QI181" s="29"/>
      <c r="QJ181" s="29"/>
      <c r="QK181" s="29"/>
      <c r="QL181" s="29"/>
      <c r="QM181" s="29"/>
      <c r="QN181" s="29"/>
      <c r="QO181" s="29"/>
      <c r="QP181" s="29"/>
      <c r="QQ181" s="29"/>
      <c r="QR181" s="29"/>
      <c r="QS181" s="29"/>
      <c r="QT181" s="29"/>
      <c r="QU181" s="29"/>
      <c r="QV181" s="29"/>
      <c r="QW181" s="29"/>
      <c r="QX181" s="29"/>
      <c r="QY181" s="29"/>
      <c r="QZ181" s="29"/>
      <c r="RA181" s="29"/>
      <c r="RB181" s="29"/>
      <c r="RC181" s="29"/>
      <c r="RD181" s="29"/>
      <c r="RE181" s="29"/>
      <c r="RF181" s="29"/>
      <c r="RG181" s="29"/>
      <c r="RH181" s="29"/>
      <c r="RI181" s="29"/>
      <c r="RJ181" s="29"/>
      <c r="RK181" s="29"/>
      <c r="RL181" s="29"/>
      <c r="RM181" s="29"/>
      <c r="RN181" s="29"/>
      <c r="RO181" s="29"/>
      <c r="RP181" s="29"/>
      <c r="RQ181" s="29"/>
      <c r="RR181" s="29"/>
      <c r="RS181" s="29"/>
      <c r="RT181" s="29"/>
      <c r="RU181" s="29"/>
      <c r="RV181" s="29"/>
      <c r="RW181" s="29"/>
      <c r="RX181" s="29"/>
      <c r="RY181" s="29"/>
      <c r="RZ181" s="29"/>
      <c r="SA181" s="29"/>
      <c r="SB181" s="29"/>
      <c r="SC181" s="29"/>
      <c r="SD181" s="29"/>
      <c r="SE181" s="29"/>
      <c r="SF181" s="29"/>
      <c r="SG181" s="29"/>
      <c r="SH181" s="29"/>
      <c r="SI181" s="29"/>
      <c r="SJ181" s="29"/>
      <c r="SK181" s="29"/>
      <c r="SL181" s="29"/>
      <c r="SM181" s="29"/>
      <c r="SN181" s="29"/>
      <c r="SO181" s="29"/>
      <c r="SP181" s="29"/>
      <c r="SQ181" s="29"/>
      <c r="SR181" s="29"/>
      <c r="SS181" s="29"/>
      <c r="ST181" s="29"/>
      <c r="SU181" s="29"/>
      <c r="SV181" s="29"/>
      <c r="SW181" s="29"/>
      <c r="SX181" s="29"/>
      <c r="SY181" s="29"/>
      <c r="SZ181" s="29"/>
      <c r="TA181" s="29"/>
      <c r="TB181" s="29"/>
      <c r="TC181" s="29"/>
      <c r="TD181" s="29"/>
      <c r="TE181" s="29"/>
      <c r="TF181" s="29"/>
      <c r="TG181" s="29"/>
      <c r="TH181" s="29"/>
      <c r="TI181" s="29"/>
      <c r="TJ181" s="29"/>
      <c r="TK181" s="29"/>
      <c r="TL181" s="29"/>
      <c r="TM181" s="29"/>
      <c r="TN181" s="29"/>
      <c r="TO181" s="29"/>
      <c r="TP181" s="29"/>
      <c r="TQ181" s="29"/>
      <c r="TR181" s="29"/>
      <c r="TS181" s="29"/>
      <c r="TT181" s="29"/>
      <c r="TU181" s="29"/>
      <c r="TV181" s="29"/>
      <c r="TW181" s="29"/>
      <c r="TX181" s="29"/>
      <c r="TY181" s="29"/>
      <c r="TZ181" s="29"/>
      <c r="UA181" s="29"/>
      <c r="UB181" s="29"/>
      <c r="UC181" s="29"/>
      <c r="UD181" s="29"/>
      <c r="UE181" s="29"/>
      <c r="UF181" s="29"/>
      <c r="UG181" s="29"/>
      <c r="UH181" s="29"/>
      <c r="UI181" s="29"/>
      <c r="UJ181" s="29"/>
      <c r="UK181" s="29"/>
      <c r="UL181" s="29"/>
      <c r="UM181" s="29"/>
      <c r="UN181" s="29"/>
      <c r="UO181" s="29"/>
      <c r="UP181" s="29"/>
      <c r="UQ181" s="29"/>
      <c r="UR181" s="29"/>
      <c r="US181" s="29"/>
      <c r="UT181" s="29"/>
      <c r="UU181" s="29"/>
      <c r="UV181" s="29"/>
      <c r="UW181" s="29"/>
      <c r="UX181" s="29"/>
      <c r="UY181" s="29"/>
      <c r="UZ181" s="29"/>
      <c r="VA181" s="29"/>
      <c r="VB181" s="29"/>
      <c r="VC181" s="29"/>
      <c r="VD181" s="29"/>
      <c r="VE181" s="29"/>
      <c r="VF181" s="29"/>
      <c r="VG181" s="29"/>
      <c r="VH181" s="29"/>
      <c r="VI181" s="29"/>
      <c r="VJ181" s="29"/>
      <c r="VK181" s="29"/>
      <c r="VL181" s="29"/>
      <c r="VM181" s="29"/>
      <c r="VN181" s="29"/>
      <c r="VO181" s="29"/>
      <c r="VP181" s="29"/>
      <c r="VQ181" s="29"/>
      <c r="VR181" s="29"/>
      <c r="VS181" s="29"/>
      <c r="VT181" s="29"/>
      <c r="VU181" s="29"/>
      <c r="VV181" s="29"/>
      <c r="VW181" s="29"/>
      <c r="VX181" s="29"/>
      <c r="VY181" s="29"/>
      <c r="VZ181" s="29"/>
      <c r="WA181" s="29"/>
      <c r="WB181" s="29"/>
      <c r="WC181" s="29"/>
      <c r="WD181" s="29"/>
      <c r="WE181" s="29"/>
      <c r="WF181" s="29"/>
      <c r="WG181" s="29"/>
      <c r="WH181" s="29"/>
      <c r="WI181" s="29"/>
      <c r="WJ181" s="29"/>
      <c r="WK181" s="29"/>
      <c r="WL181" s="29"/>
      <c r="WM181" s="29"/>
      <c r="WN181" s="29"/>
      <c r="WO181" s="29"/>
      <c r="WP181" s="29"/>
      <c r="WQ181" s="29"/>
      <c r="WR181" s="29"/>
      <c r="WS181" s="29"/>
    </row>
    <row r="182" spans="1:617" s="3" customFormat="1" ht="15" outlineLevel="1" thickBot="1">
      <c r="A182" s="33"/>
      <c r="B182" s="146" t="s">
        <v>280</v>
      </c>
      <c r="C182" s="147" t="s">
        <v>131</v>
      </c>
      <c r="D182" s="148">
        <v>46318</v>
      </c>
      <c r="E182" s="148">
        <f>D182+G182</f>
        <v>46436</v>
      </c>
      <c r="F182" s="14"/>
      <c r="G182" s="186">
        <v>118</v>
      </c>
      <c r="H182" s="29"/>
      <c r="I182" s="29"/>
      <c r="J182" s="29"/>
      <c r="K182" s="29"/>
      <c r="L182" s="29"/>
      <c r="M182" s="29"/>
      <c r="N182" s="29"/>
      <c r="O182" s="29"/>
      <c r="P182" s="29"/>
      <c r="Q182" s="29"/>
      <c r="R182" s="29"/>
      <c r="S182" s="29"/>
      <c r="T182" s="29"/>
      <c r="U182" s="29"/>
      <c r="V182" s="29"/>
      <c r="W182" s="29"/>
      <c r="X182" s="29"/>
      <c r="Y182" s="30"/>
      <c r="Z182" s="29"/>
      <c r="AA182" s="29"/>
      <c r="AB182" s="29"/>
      <c r="AC182" s="29"/>
      <c r="AD182" s="29"/>
      <c r="AE182" s="29"/>
      <c r="AF182" s="29"/>
      <c r="AG182" s="29"/>
      <c r="AH182" s="29"/>
      <c r="AI182" s="29"/>
      <c r="AJ182" s="29"/>
      <c r="AK182" s="29"/>
      <c r="AL182" s="29"/>
      <c r="AM182" s="29"/>
      <c r="AN182" s="29"/>
      <c r="AO182" s="29"/>
      <c r="AP182" s="29"/>
      <c r="AQ182" s="29"/>
      <c r="AR182" s="29"/>
      <c r="AS182" s="29"/>
      <c r="AT182" s="29"/>
      <c r="AU182" s="29"/>
      <c r="AV182" s="29"/>
      <c r="AW182" s="29"/>
      <c r="AX182" s="29"/>
      <c r="AY182" s="29"/>
      <c r="AZ182" s="29"/>
      <c r="BA182" s="29"/>
      <c r="BB182" s="29"/>
      <c r="BC182" s="29"/>
      <c r="BD182" s="29"/>
      <c r="BE182" s="29"/>
      <c r="BF182" s="29"/>
      <c r="BG182" s="29"/>
      <c r="BH182" s="29"/>
      <c r="BI182" s="29"/>
      <c r="BJ182" s="29"/>
      <c r="BK182" s="29"/>
      <c r="BL182" s="29"/>
      <c r="BM182" s="29"/>
      <c r="BN182" s="29"/>
      <c r="BO182" s="29"/>
      <c r="BP182" s="29"/>
      <c r="BQ182" s="29"/>
      <c r="BR182" s="29"/>
      <c r="BS182" s="29"/>
      <c r="BT182" s="29"/>
      <c r="BU182" s="29"/>
      <c r="BV182" s="29"/>
      <c r="BW182" s="29"/>
      <c r="BX182" s="29"/>
      <c r="BY182" s="29"/>
      <c r="BZ182" s="29"/>
      <c r="CA182" s="29"/>
      <c r="CB182" s="29"/>
      <c r="CC182" s="29"/>
      <c r="CD182" s="29"/>
      <c r="CE182" s="29"/>
      <c r="CF182" s="29"/>
      <c r="CG182" s="29"/>
      <c r="CH182" s="29"/>
      <c r="CI182" s="29"/>
      <c r="CJ182" s="29"/>
      <c r="CK182" s="29"/>
      <c r="CL182" s="29"/>
      <c r="CM182" s="29"/>
      <c r="CN182" s="29"/>
      <c r="CO182" s="29"/>
      <c r="CP182" s="29"/>
      <c r="CQ182" s="29"/>
      <c r="CR182" s="29"/>
      <c r="CS182" s="29"/>
      <c r="CT182" s="29"/>
      <c r="CU182" s="29"/>
      <c r="CV182" s="29"/>
      <c r="CW182" s="29"/>
      <c r="CX182" s="29"/>
      <c r="CY182" s="29"/>
      <c r="CZ182" s="29"/>
      <c r="DA182" s="29"/>
      <c r="DB182" s="29"/>
      <c r="DC182" s="29"/>
      <c r="DD182" s="29"/>
      <c r="DE182" s="29"/>
      <c r="DF182" s="29"/>
      <c r="DG182" s="29"/>
      <c r="DH182" s="29"/>
      <c r="DI182" s="29"/>
      <c r="DJ182" s="29"/>
      <c r="DK182" s="29"/>
      <c r="DL182" s="29"/>
      <c r="DM182" s="29"/>
      <c r="DN182" s="29"/>
      <c r="DO182" s="29"/>
      <c r="DP182" s="29"/>
      <c r="DQ182" s="29"/>
      <c r="DR182" s="29"/>
      <c r="DS182" s="29"/>
      <c r="DT182" s="29"/>
      <c r="DU182" s="29"/>
      <c r="DV182" s="29"/>
      <c r="DW182" s="29"/>
      <c r="DX182" s="29"/>
      <c r="DY182" s="29"/>
      <c r="DZ182" s="29"/>
      <c r="EA182" s="29"/>
      <c r="EB182" s="29"/>
      <c r="EC182" s="29"/>
      <c r="ED182" s="29"/>
      <c r="EE182" s="29"/>
      <c r="EF182" s="29"/>
      <c r="EG182" s="29"/>
      <c r="EH182" s="29"/>
      <c r="EI182" s="29"/>
      <c r="EJ182" s="29"/>
      <c r="EK182" s="29"/>
      <c r="EL182" s="29"/>
      <c r="EM182" s="29"/>
      <c r="EN182" s="29"/>
      <c r="EO182" s="29"/>
      <c r="EP182" s="29"/>
      <c r="EQ182" s="29"/>
      <c r="ER182" s="29"/>
      <c r="ES182" s="29"/>
      <c r="ET182" s="29"/>
      <c r="EU182" s="29"/>
      <c r="EV182" s="29"/>
      <c r="EW182" s="29"/>
      <c r="EX182" s="29"/>
      <c r="EY182" s="29"/>
      <c r="EZ182" s="29"/>
      <c r="FA182" s="29"/>
      <c r="FB182" s="29"/>
      <c r="FC182" s="29"/>
      <c r="FD182" s="29"/>
      <c r="FE182" s="29"/>
      <c r="FF182" s="29"/>
      <c r="FG182" s="29"/>
      <c r="FH182" s="29"/>
      <c r="FI182" s="29"/>
      <c r="FJ182" s="29"/>
      <c r="FK182" s="29"/>
      <c r="FL182" s="29"/>
      <c r="FM182" s="29"/>
      <c r="FN182" s="29"/>
      <c r="FO182" s="29"/>
      <c r="FP182" s="29"/>
      <c r="FQ182" s="29"/>
      <c r="FR182" s="29"/>
      <c r="FS182" s="29"/>
      <c r="FT182" s="29"/>
      <c r="FU182" s="29"/>
      <c r="FV182" s="29"/>
      <c r="FW182" s="29"/>
      <c r="FX182" s="29"/>
      <c r="FY182" s="29"/>
      <c r="FZ182" s="29"/>
      <c r="GA182" s="29"/>
      <c r="GB182" s="29"/>
      <c r="GC182" s="29"/>
      <c r="GD182" s="29"/>
      <c r="GE182" s="29"/>
      <c r="GF182" s="29"/>
      <c r="GG182" s="29"/>
      <c r="GH182" s="29"/>
      <c r="GI182" s="29"/>
      <c r="GJ182" s="29"/>
      <c r="GK182" s="29"/>
      <c r="GL182" s="29"/>
      <c r="GM182" s="29"/>
      <c r="GN182" s="29"/>
      <c r="GO182" s="29"/>
      <c r="GP182" s="29"/>
      <c r="GQ182" s="29"/>
      <c r="GR182" s="29"/>
      <c r="GS182" s="29"/>
      <c r="GT182" s="29"/>
      <c r="GU182" s="29"/>
      <c r="GV182" s="29"/>
      <c r="GW182" s="29"/>
      <c r="GX182" s="29"/>
      <c r="GY182" s="29"/>
      <c r="GZ182" s="29"/>
      <c r="HA182" s="29"/>
      <c r="HB182" s="29"/>
      <c r="HC182" s="29"/>
      <c r="HD182" s="29"/>
      <c r="HE182" s="29"/>
      <c r="HF182" s="29"/>
      <c r="HG182" s="29"/>
      <c r="HH182" s="29"/>
      <c r="HI182" s="29"/>
      <c r="HJ182" s="29"/>
      <c r="HK182" s="29"/>
      <c r="HL182" s="29"/>
      <c r="HM182" s="29"/>
      <c r="HN182" s="29"/>
      <c r="HO182" s="29"/>
      <c r="HP182" s="29"/>
      <c r="HQ182" s="29"/>
      <c r="HR182" s="29"/>
      <c r="HS182" s="29"/>
      <c r="HT182" s="29"/>
      <c r="HU182" s="29"/>
      <c r="HV182" s="29"/>
      <c r="HW182" s="29"/>
      <c r="HX182" s="29"/>
      <c r="HY182" s="29"/>
      <c r="HZ182" s="29"/>
      <c r="IA182" s="29"/>
      <c r="IB182" s="29"/>
      <c r="IC182" s="29"/>
      <c r="ID182" s="29"/>
      <c r="IE182" s="29"/>
      <c r="IF182" s="29"/>
      <c r="IG182" s="29"/>
      <c r="IH182" s="29"/>
      <c r="II182" s="29"/>
      <c r="IJ182" s="29"/>
      <c r="IK182" s="29"/>
      <c r="IL182" s="29"/>
      <c r="IM182" s="29"/>
      <c r="IN182" s="29"/>
      <c r="IO182" s="29"/>
      <c r="IP182" s="29"/>
      <c r="IQ182" s="29"/>
      <c r="IR182" s="29"/>
      <c r="IS182" s="29"/>
      <c r="IT182" s="29"/>
      <c r="IU182" s="29"/>
      <c r="IV182" s="29"/>
      <c r="IW182" s="29"/>
      <c r="IX182" s="29"/>
      <c r="IY182" s="29"/>
      <c r="IZ182" s="29"/>
      <c r="JA182" s="29"/>
      <c r="JB182" s="29"/>
      <c r="JC182" s="29"/>
      <c r="JD182" s="29"/>
      <c r="JE182" s="29"/>
      <c r="JF182" s="29"/>
      <c r="JG182" s="29"/>
      <c r="JH182" s="29"/>
      <c r="JI182" s="29"/>
      <c r="JJ182" s="29"/>
      <c r="JK182" s="29"/>
      <c r="JL182" s="29"/>
      <c r="JM182" s="29"/>
      <c r="JN182" s="29"/>
      <c r="JO182" s="29"/>
      <c r="JP182" s="29"/>
      <c r="JQ182" s="29"/>
      <c r="JR182" s="29"/>
      <c r="JS182" s="29"/>
      <c r="JT182" s="29"/>
      <c r="JU182" s="29"/>
      <c r="JV182" s="29"/>
      <c r="JW182" s="29"/>
      <c r="JX182" s="29"/>
      <c r="JY182" s="29"/>
      <c r="JZ182" s="29"/>
      <c r="KA182" s="29"/>
      <c r="KB182" s="29"/>
      <c r="KC182" s="29"/>
      <c r="KD182" s="29"/>
      <c r="KE182" s="29"/>
      <c r="KF182" s="29"/>
      <c r="KG182" s="29"/>
      <c r="KH182" s="29"/>
      <c r="KI182" s="29"/>
      <c r="KJ182" s="29"/>
      <c r="KK182" s="29"/>
      <c r="KL182" s="29"/>
      <c r="KM182" s="29"/>
      <c r="KN182" s="29"/>
      <c r="KO182" s="29"/>
      <c r="KP182" s="29"/>
      <c r="KQ182" s="29"/>
      <c r="KR182" s="29"/>
      <c r="KS182" s="29"/>
      <c r="KT182" s="29"/>
      <c r="KU182" s="29"/>
      <c r="KV182" s="29"/>
      <c r="KW182" s="29"/>
      <c r="KX182" s="29"/>
      <c r="KY182" s="29"/>
      <c r="KZ182" s="29"/>
      <c r="LA182" s="29"/>
      <c r="LB182" s="29"/>
      <c r="LC182" s="29"/>
      <c r="LD182" s="29"/>
      <c r="LE182" s="29"/>
      <c r="LF182" s="29"/>
      <c r="LG182" s="29"/>
      <c r="LH182" s="29"/>
      <c r="LI182" s="29"/>
      <c r="LJ182" s="29"/>
      <c r="LK182" s="29"/>
      <c r="LL182" s="29"/>
      <c r="LM182" s="29"/>
      <c r="LN182" s="29"/>
      <c r="LO182" s="29"/>
      <c r="LP182" s="29"/>
      <c r="LQ182" s="29"/>
      <c r="LR182" s="29"/>
      <c r="LS182" s="29"/>
      <c r="LT182" s="29"/>
      <c r="LU182" s="29"/>
      <c r="LV182" s="29"/>
      <c r="LW182" s="29"/>
      <c r="LX182" s="29"/>
      <c r="LY182" s="29"/>
      <c r="LZ182" s="29"/>
      <c r="MA182" s="29"/>
      <c r="MB182" s="29"/>
      <c r="MC182" s="29"/>
      <c r="MD182" s="29"/>
      <c r="ME182" s="29"/>
      <c r="MF182" s="29"/>
      <c r="MG182" s="29"/>
      <c r="MH182" s="29"/>
      <c r="MI182" s="29"/>
      <c r="MJ182" s="29"/>
      <c r="MK182" s="29"/>
      <c r="ML182" s="29"/>
      <c r="MM182" s="29"/>
      <c r="MN182" s="29"/>
      <c r="MO182" s="29"/>
      <c r="MP182" s="29"/>
      <c r="MQ182" s="29"/>
      <c r="MR182" s="29"/>
      <c r="MS182" s="29"/>
      <c r="MT182" s="29"/>
      <c r="MU182" s="29"/>
      <c r="MV182" s="29"/>
      <c r="MW182" s="29"/>
      <c r="MX182" s="29"/>
      <c r="MY182" s="29"/>
      <c r="MZ182" s="29"/>
      <c r="NA182" s="29"/>
      <c r="NB182" s="29"/>
      <c r="NC182" s="29"/>
      <c r="ND182" s="29"/>
      <c r="NE182" s="29"/>
      <c r="NF182" s="29"/>
      <c r="NG182" s="29"/>
      <c r="NH182" s="29"/>
      <c r="NI182" s="29"/>
      <c r="NJ182" s="29"/>
      <c r="NK182" s="29"/>
      <c r="NL182" s="29"/>
      <c r="NM182" s="29"/>
      <c r="NN182" s="29"/>
      <c r="NO182" s="29"/>
      <c r="NP182" s="29"/>
      <c r="NQ182" s="29"/>
      <c r="NR182" s="29"/>
      <c r="NS182" s="29"/>
      <c r="NT182" s="29"/>
      <c r="NU182" s="29"/>
      <c r="NV182" s="29"/>
      <c r="NW182" s="29"/>
      <c r="NX182" s="29"/>
      <c r="NY182" s="29"/>
      <c r="NZ182" s="29"/>
      <c r="OA182" s="29"/>
      <c r="OB182" s="29"/>
      <c r="OC182" s="29"/>
      <c r="OD182" s="29"/>
      <c r="OE182" s="29"/>
      <c r="OF182" s="29"/>
      <c r="OG182" s="29"/>
      <c r="OH182" s="29"/>
      <c r="OI182" s="29"/>
      <c r="OJ182" s="29"/>
      <c r="OK182" s="29"/>
      <c r="OL182" s="29"/>
      <c r="OM182" s="29"/>
      <c r="ON182" s="29"/>
      <c r="OO182" s="29"/>
      <c r="OP182" s="29"/>
      <c r="OQ182" s="29"/>
      <c r="OR182" s="29"/>
      <c r="OS182" s="29"/>
      <c r="OT182" s="29"/>
      <c r="OU182" s="29"/>
      <c r="OV182" s="29"/>
      <c r="OW182" s="29"/>
      <c r="OX182" s="29"/>
      <c r="OY182" s="29"/>
      <c r="OZ182" s="29"/>
      <c r="PA182" s="29"/>
      <c r="PB182" s="29"/>
      <c r="PC182" s="29"/>
      <c r="PD182" s="29"/>
      <c r="PE182" s="29"/>
      <c r="PF182" s="29"/>
      <c r="PG182" s="29"/>
      <c r="PH182" s="29"/>
      <c r="PI182" s="29"/>
      <c r="PJ182" s="29"/>
      <c r="PK182" s="29"/>
      <c r="PL182" s="29"/>
      <c r="PM182" s="29"/>
      <c r="PN182" s="29"/>
      <c r="PO182" s="29"/>
      <c r="PP182" s="29"/>
      <c r="PQ182" s="29"/>
      <c r="PR182" s="29"/>
      <c r="PS182" s="29"/>
      <c r="PT182" s="29"/>
      <c r="PU182" s="29"/>
      <c r="PV182" s="29"/>
      <c r="PW182" s="29"/>
      <c r="PX182" s="29"/>
      <c r="PY182" s="29"/>
      <c r="PZ182" s="29"/>
      <c r="QA182" s="29"/>
      <c r="QB182" s="29"/>
      <c r="QC182" s="29"/>
      <c r="QD182" s="29"/>
      <c r="QE182" s="29"/>
      <c r="QF182" s="29"/>
      <c r="QG182" s="29"/>
      <c r="QH182" s="29"/>
      <c r="QI182" s="29"/>
      <c r="QJ182" s="29"/>
      <c r="QK182" s="29"/>
      <c r="QL182" s="29"/>
      <c r="QM182" s="29"/>
      <c r="QN182" s="29"/>
      <c r="QO182" s="29"/>
      <c r="QP182" s="29"/>
      <c r="QQ182" s="29"/>
      <c r="QR182" s="29"/>
      <c r="QS182" s="29"/>
      <c r="QT182" s="29"/>
      <c r="QU182" s="29"/>
      <c r="QV182" s="29"/>
      <c r="QW182" s="29"/>
      <c r="QX182" s="29"/>
      <c r="QY182" s="29"/>
      <c r="QZ182" s="29"/>
      <c r="RA182" s="29"/>
      <c r="RB182" s="29"/>
      <c r="RC182" s="29"/>
      <c r="RD182" s="29"/>
      <c r="RE182" s="29"/>
      <c r="RF182" s="29"/>
      <c r="RG182" s="29"/>
      <c r="RH182" s="29"/>
      <c r="RI182" s="29"/>
      <c r="RJ182" s="29"/>
      <c r="RK182" s="29"/>
      <c r="RL182" s="29"/>
      <c r="RM182" s="29"/>
      <c r="RN182" s="29"/>
      <c r="RO182" s="29"/>
      <c r="RP182" s="29"/>
      <c r="RQ182" s="29"/>
      <c r="RR182" s="29"/>
      <c r="RS182" s="29"/>
      <c r="RT182" s="29"/>
      <c r="RU182" s="29"/>
      <c r="RV182" s="29"/>
      <c r="RW182" s="29"/>
      <c r="RX182" s="29"/>
      <c r="RY182" s="29"/>
      <c r="RZ182" s="29"/>
      <c r="SA182" s="29"/>
      <c r="SB182" s="29"/>
      <c r="SC182" s="29"/>
      <c r="SD182" s="29"/>
      <c r="SE182" s="29"/>
      <c r="SF182" s="29"/>
      <c r="SG182" s="29"/>
      <c r="SH182" s="29"/>
      <c r="SI182" s="29"/>
      <c r="SJ182" s="29"/>
      <c r="SK182" s="29"/>
      <c r="SL182" s="29"/>
      <c r="SM182" s="29"/>
      <c r="SN182" s="29"/>
      <c r="SO182" s="29"/>
      <c r="SP182" s="29"/>
      <c r="SQ182" s="29"/>
      <c r="SR182" s="29"/>
      <c r="SS182" s="29"/>
      <c r="ST182" s="29"/>
      <c r="SU182" s="29"/>
      <c r="SV182" s="29"/>
      <c r="SW182" s="29"/>
      <c r="SX182" s="29"/>
      <c r="SY182" s="29"/>
      <c r="SZ182" s="29"/>
      <c r="TA182" s="29"/>
      <c r="TB182" s="29"/>
      <c r="TC182" s="29"/>
      <c r="TD182" s="29"/>
      <c r="TE182" s="29"/>
      <c r="TF182" s="29"/>
      <c r="TG182" s="29"/>
      <c r="TH182" s="29"/>
      <c r="TI182" s="29"/>
      <c r="TJ182" s="29"/>
      <c r="TK182" s="29"/>
      <c r="TL182" s="29"/>
      <c r="TM182" s="29"/>
      <c r="TN182" s="29"/>
      <c r="TO182" s="29"/>
      <c r="TP182" s="29"/>
      <c r="TQ182" s="29"/>
      <c r="TR182" s="29"/>
      <c r="TS182" s="29"/>
      <c r="TT182" s="29"/>
      <c r="TU182" s="29"/>
      <c r="TV182" s="29"/>
      <c r="TW182" s="29"/>
      <c r="TX182" s="29"/>
      <c r="TY182" s="29"/>
      <c r="TZ182" s="29"/>
      <c r="UA182" s="29"/>
      <c r="UB182" s="29"/>
      <c r="UC182" s="29"/>
      <c r="UD182" s="29"/>
      <c r="UE182" s="29"/>
      <c r="UF182" s="29"/>
      <c r="UG182" s="29"/>
      <c r="UH182" s="29"/>
      <c r="UI182" s="29"/>
      <c r="UJ182" s="29"/>
      <c r="UK182" s="29"/>
      <c r="UL182" s="29"/>
      <c r="UM182" s="29"/>
      <c r="UN182" s="29"/>
      <c r="UO182" s="29"/>
      <c r="UP182" s="29"/>
      <c r="UQ182" s="29"/>
      <c r="UR182" s="29"/>
      <c r="US182" s="29"/>
      <c r="UT182" s="29"/>
      <c r="UU182" s="29"/>
      <c r="UV182" s="29"/>
      <c r="UW182" s="29"/>
      <c r="UX182" s="29"/>
      <c r="UY182" s="29"/>
      <c r="UZ182" s="29"/>
      <c r="VA182" s="29"/>
      <c r="VB182" s="29"/>
      <c r="VC182" s="29"/>
      <c r="VD182" s="29"/>
      <c r="VE182" s="29"/>
      <c r="VF182" s="29"/>
      <c r="VG182" s="29"/>
      <c r="VH182" s="29"/>
      <c r="VI182" s="29"/>
      <c r="VJ182" s="29"/>
      <c r="VK182" s="29"/>
      <c r="VL182" s="29"/>
      <c r="VM182" s="29"/>
      <c r="VN182" s="29"/>
      <c r="VO182" s="29"/>
      <c r="VP182" s="29"/>
      <c r="VQ182" s="29"/>
      <c r="VR182" s="29"/>
      <c r="VS182" s="29"/>
      <c r="VT182" s="29"/>
      <c r="VU182" s="29"/>
      <c r="VV182" s="29"/>
      <c r="VW182" s="29"/>
      <c r="VX182" s="29"/>
      <c r="VY182" s="29"/>
      <c r="VZ182" s="29"/>
      <c r="WA182" s="29"/>
      <c r="WB182" s="29"/>
      <c r="WC182" s="29"/>
      <c r="WD182" s="29"/>
      <c r="WE182" s="29"/>
      <c r="WF182" s="29"/>
      <c r="WG182" s="29"/>
      <c r="WH182" s="29"/>
      <c r="WI182" s="29"/>
      <c r="WJ182" s="29"/>
      <c r="WK182" s="29"/>
      <c r="WL182" s="29"/>
      <c r="WM182" s="29"/>
      <c r="WN182" s="29"/>
      <c r="WO182" s="29"/>
      <c r="WP182" s="29"/>
      <c r="WQ182" s="29"/>
      <c r="WR182" s="29"/>
      <c r="WS182" s="29"/>
    </row>
    <row r="183" spans="1:617" s="3" customFormat="1" ht="15" outlineLevel="1" thickBot="1">
      <c r="A183" s="33"/>
      <c r="B183" s="215" t="s">
        <v>281</v>
      </c>
      <c r="C183" s="216" t="s">
        <v>119</v>
      </c>
      <c r="D183" s="217">
        <v>46275</v>
      </c>
      <c r="E183" s="217">
        <f>D183+G183</f>
        <v>46436</v>
      </c>
      <c r="F183" s="14"/>
      <c r="G183" s="186">
        <v>161</v>
      </c>
      <c r="H183" s="29"/>
      <c r="I183" s="29"/>
      <c r="J183" s="29"/>
      <c r="K183" s="29"/>
      <c r="L183" s="29"/>
      <c r="M183" s="29"/>
      <c r="N183" s="29"/>
      <c r="O183" s="29"/>
      <c r="P183" s="29"/>
      <c r="Q183" s="29"/>
      <c r="R183" s="29"/>
      <c r="S183" s="29"/>
      <c r="T183" s="29"/>
      <c r="U183" s="29"/>
      <c r="V183" s="29"/>
      <c r="W183" s="29"/>
      <c r="X183" s="29"/>
      <c r="Y183" s="30"/>
      <c r="Z183" s="29"/>
      <c r="AA183" s="29"/>
      <c r="AB183" s="29"/>
      <c r="AC183" s="29"/>
      <c r="AD183" s="29"/>
      <c r="AE183" s="29"/>
      <c r="AF183" s="29"/>
      <c r="AG183" s="29"/>
      <c r="AH183" s="29"/>
      <c r="AI183" s="29"/>
      <c r="AJ183" s="29"/>
      <c r="AK183" s="29"/>
      <c r="AL183" s="29"/>
      <c r="AM183" s="29"/>
      <c r="AN183" s="29"/>
      <c r="AO183" s="29"/>
      <c r="AP183" s="29"/>
      <c r="AQ183" s="29"/>
      <c r="AR183" s="29"/>
      <c r="AS183" s="29"/>
      <c r="AT183" s="29"/>
      <c r="AU183" s="29"/>
      <c r="AV183" s="29"/>
      <c r="AW183" s="29"/>
      <c r="AX183" s="29"/>
      <c r="AY183" s="29"/>
      <c r="AZ183" s="29"/>
      <c r="BA183" s="29"/>
      <c r="BB183" s="29"/>
      <c r="BC183" s="29"/>
      <c r="BD183" s="29"/>
      <c r="BE183" s="29"/>
      <c r="BF183" s="29"/>
      <c r="BG183" s="29"/>
      <c r="BH183" s="29"/>
      <c r="BI183" s="29"/>
      <c r="BJ183" s="29"/>
      <c r="BK183" s="29"/>
      <c r="BL183" s="29"/>
      <c r="BM183" s="29"/>
      <c r="BN183" s="29"/>
      <c r="BO183" s="29"/>
      <c r="BP183" s="29"/>
      <c r="BQ183" s="29"/>
      <c r="BR183" s="29"/>
      <c r="BS183" s="29"/>
      <c r="BT183" s="29"/>
      <c r="BU183" s="29"/>
      <c r="BV183" s="29"/>
      <c r="BW183" s="29"/>
      <c r="BX183" s="29"/>
      <c r="BY183" s="29"/>
      <c r="BZ183" s="29"/>
      <c r="CA183" s="29"/>
      <c r="CB183" s="29"/>
      <c r="CC183" s="29"/>
      <c r="CD183" s="29"/>
      <c r="CE183" s="29"/>
      <c r="CF183" s="29"/>
      <c r="CG183" s="29"/>
      <c r="CH183" s="29"/>
      <c r="CI183" s="29"/>
      <c r="CJ183" s="29"/>
      <c r="CK183" s="29"/>
      <c r="CL183" s="29"/>
      <c r="CM183" s="29"/>
      <c r="CN183" s="29"/>
      <c r="CO183" s="29"/>
      <c r="CP183" s="29"/>
      <c r="CQ183" s="29"/>
      <c r="CR183" s="29"/>
      <c r="CS183" s="29"/>
      <c r="CT183" s="29"/>
      <c r="CU183" s="29"/>
      <c r="CV183" s="29"/>
      <c r="CW183" s="29"/>
      <c r="CX183" s="29"/>
      <c r="CY183" s="29"/>
      <c r="CZ183" s="29"/>
      <c r="DA183" s="29"/>
      <c r="DB183" s="29"/>
      <c r="DC183" s="29"/>
      <c r="DD183" s="29"/>
      <c r="DE183" s="29"/>
      <c r="DF183" s="29"/>
      <c r="DG183" s="29"/>
      <c r="DH183" s="29"/>
      <c r="DI183" s="29"/>
      <c r="DJ183" s="29"/>
      <c r="DK183" s="29"/>
      <c r="DL183" s="29"/>
      <c r="DM183" s="29"/>
      <c r="DN183" s="29"/>
      <c r="DO183" s="29"/>
      <c r="DP183" s="29"/>
      <c r="DQ183" s="29"/>
      <c r="DR183" s="29"/>
      <c r="DS183" s="29"/>
      <c r="DT183" s="29"/>
      <c r="DU183" s="29"/>
      <c r="DV183" s="29"/>
      <c r="DW183" s="29"/>
      <c r="DX183" s="29"/>
      <c r="DY183" s="29"/>
      <c r="DZ183" s="29"/>
      <c r="EA183" s="29"/>
      <c r="EB183" s="29"/>
      <c r="EC183" s="29"/>
      <c r="ED183" s="29"/>
      <c r="EE183" s="29"/>
      <c r="EF183" s="29"/>
      <c r="EG183" s="29"/>
      <c r="EH183" s="29"/>
      <c r="EI183" s="29"/>
      <c r="EJ183" s="29"/>
      <c r="EK183" s="29"/>
      <c r="EL183" s="29"/>
      <c r="EM183" s="29"/>
      <c r="EN183" s="29"/>
      <c r="EO183" s="29"/>
      <c r="EP183" s="29"/>
      <c r="EQ183" s="29"/>
      <c r="ER183" s="29"/>
      <c r="ES183" s="29"/>
      <c r="ET183" s="29"/>
      <c r="EU183" s="29"/>
      <c r="EV183" s="29"/>
      <c r="EW183" s="29"/>
      <c r="EX183" s="29"/>
      <c r="EY183" s="29"/>
      <c r="EZ183" s="29"/>
      <c r="FA183" s="29"/>
      <c r="FB183" s="29"/>
      <c r="FC183" s="29"/>
      <c r="FD183" s="29"/>
      <c r="FE183" s="29"/>
      <c r="FF183" s="29"/>
      <c r="FG183" s="29"/>
      <c r="FH183" s="29"/>
      <c r="FI183" s="29"/>
      <c r="FJ183" s="29"/>
      <c r="FK183" s="29"/>
      <c r="FL183" s="29"/>
      <c r="FM183" s="29"/>
      <c r="FN183" s="29"/>
      <c r="FO183" s="29"/>
      <c r="FP183" s="29"/>
      <c r="FQ183" s="29"/>
      <c r="FR183" s="29"/>
      <c r="FS183" s="29"/>
      <c r="FT183" s="29"/>
      <c r="FU183" s="29"/>
      <c r="FV183" s="29"/>
      <c r="FW183" s="29"/>
      <c r="FX183" s="29"/>
      <c r="FY183" s="29"/>
      <c r="FZ183" s="29"/>
      <c r="GA183" s="29"/>
      <c r="GB183" s="29"/>
      <c r="GC183" s="29"/>
      <c r="GD183" s="29"/>
      <c r="GE183" s="29"/>
      <c r="GF183" s="29"/>
      <c r="GG183" s="29"/>
      <c r="GH183" s="29"/>
      <c r="GI183" s="29"/>
      <c r="GJ183" s="29"/>
      <c r="GK183" s="29"/>
      <c r="GL183" s="29"/>
      <c r="GM183" s="29"/>
      <c r="GN183" s="29"/>
      <c r="GO183" s="29"/>
      <c r="GP183" s="29"/>
      <c r="GQ183" s="29"/>
      <c r="GR183" s="29"/>
      <c r="GS183" s="29"/>
      <c r="GT183" s="29"/>
      <c r="GU183" s="29"/>
      <c r="GV183" s="29"/>
      <c r="GW183" s="29"/>
      <c r="GX183" s="29"/>
      <c r="GY183" s="29"/>
      <c r="GZ183" s="29"/>
      <c r="HA183" s="29"/>
      <c r="HB183" s="29"/>
      <c r="HC183" s="29"/>
      <c r="HD183" s="29"/>
      <c r="HE183" s="29"/>
      <c r="HF183" s="29"/>
      <c r="HG183" s="29"/>
      <c r="HH183" s="29"/>
      <c r="HI183" s="29"/>
      <c r="HJ183" s="29"/>
      <c r="HK183" s="29"/>
      <c r="HL183" s="29"/>
      <c r="HM183" s="29"/>
      <c r="HN183" s="29"/>
      <c r="HO183" s="29"/>
      <c r="HP183" s="29"/>
      <c r="HQ183" s="29"/>
      <c r="HR183" s="29"/>
      <c r="HS183" s="29"/>
      <c r="HT183" s="29"/>
      <c r="HU183" s="29"/>
      <c r="HV183" s="29"/>
      <c r="HW183" s="29"/>
      <c r="HX183" s="29"/>
      <c r="HY183" s="29"/>
      <c r="HZ183" s="29"/>
      <c r="IA183" s="29"/>
      <c r="IB183" s="29"/>
      <c r="IC183" s="29"/>
      <c r="ID183" s="29"/>
      <c r="IE183" s="29"/>
      <c r="IF183" s="29"/>
      <c r="IG183" s="29"/>
      <c r="IH183" s="29"/>
      <c r="II183" s="29"/>
      <c r="IJ183" s="29"/>
      <c r="IK183" s="29"/>
      <c r="IL183" s="29"/>
      <c r="IM183" s="29"/>
      <c r="IN183" s="29"/>
      <c r="IO183" s="29"/>
      <c r="IP183" s="29"/>
      <c r="IQ183" s="29"/>
      <c r="IR183" s="29"/>
      <c r="IS183" s="29"/>
      <c r="IT183" s="29"/>
      <c r="IU183" s="29"/>
      <c r="IV183" s="29"/>
      <c r="IW183" s="29"/>
      <c r="IX183" s="29"/>
      <c r="IY183" s="29"/>
      <c r="IZ183" s="29"/>
      <c r="JA183" s="29"/>
      <c r="JB183" s="29"/>
      <c r="JC183" s="29"/>
      <c r="JD183" s="29"/>
      <c r="JE183" s="29"/>
      <c r="JF183" s="29"/>
      <c r="JG183" s="29"/>
      <c r="JH183" s="29"/>
      <c r="JI183" s="29"/>
      <c r="JJ183" s="29"/>
      <c r="JK183" s="29"/>
      <c r="JL183" s="29"/>
      <c r="JM183" s="29"/>
      <c r="JN183" s="29"/>
      <c r="JO183" s="29"/>
      <c r="JP183" s="29"/>
      <c r="JQ183" s="29"/>
      <c r="JR183" s="29"/>
      <c r="JS183" s="29"/>
      <c r="JT183" s="29"/>
      <c r="JU183" s="29"/>
      <c r="JV183" s="29"/>
      <c r="JW183" s="29"/>
      <c r="JX183" s="29"/>
      <c r="JY183" s="29"/>
      <c r="JZ183" s="29"/>
      <c r="KA183" s="29"/>
      <c r="KB183" s="29"/>
      <c r="KC183" s="29"/>
      <c r="KD183" s="29"/>
      <c r="KE183" s="29"/>
      <c r="KF183" s="29"/>
      <c r="KG183" s="29"/>
      <c r="KH183" s="29"/>
      <c r="KI183" s="29"/>
      <c r="KJ183" s="29"/>
      <c r="KK183" s="29"/>
      <c r="KL183" s="29"/>
      <c r="KM183" s="29"/>
      <c r="KN183" s="29"/>
      <c r="KO183" s="29"/>
      <c r="KP183" s="29"/>
      <c r="KQ183" s="29"/>
      <c r="KR183" s="29"/>
      <c r="KS183" s="29"/>
      <c r="KT183" s="29"/>
      <c r="KU183" s="29"/>
      <c r="KV183" s="29"/>
      <c r="KW183" s="29"/>
      <c r="KX183" s="29"/>
      <c r="KY183" s="29"/>
      <c r="KZ183" s="29"/>
      <c r="LA183" s="29"/>
      <c r="LB183" s="29"/>
      <c r="LC183" s="29"/>
      <c r="LD183" s="29"/>
      <c r="LE183" s="29"/>
      <c r="LF183" s="29"/>
      <c r="LG183" s="29"/>
      <c r="LH183" s="29"/>
      <c r="LI183" s="29"/>
      <c r="LJ183" s="29"/>
      <c r="LK183" s="29"/>
      <c r="LL183" s="29"/>
      <c r="LM183" s="29"/>
      <c r="LN183" s="29"/>
      <c r="LO183" s="29"/>
      <c r="LP183" s="29"/>
      <c r="LQ183" s="29"/>
      <c r="LR183" s="29"/>
      <c r="LS183" s="29"/>
      <c r="LT183" s="29"/>
      <c r="LU183" s="29"/>
      <c r="LV183" s="29"/>
      <c r="LW183" s="29"/>
      <c r="LX183" s="29"/>
      <c r="LY183" s="29"/>
      <c r="LZ183" s="29"/>
      <c r="MA183" s="29"/>
      <c r="MB183" s="29"/>
      <c r="MC183" s="29"/>
      <c r="MD183" s="29"/>
      <c r="ME183" s="29"/>
      <c r="MF183" s="29"/>
      <c r="MG183" s="29"/>
      <c r="MH183" s="29"/>
      <c r="MI183" s="29"/>
      <c r="MJ183" s="29"/>
      <c r="MK183" s="29"/>
      <c r="ML183" s="29"/>
      <c r="MM183" s="29"/>
      <c r="MN183" s="29"/>
      <c r="MO183" s="29"/>
      <c r="MP183" s="29"/>
      <c r="MQ183" s="29"/>
      <c r="MR183" s="29"/>
      <c r="MS183" s="29"/>
      <c r="MT183" s="29"/>
      <c r="MU183" s="29"/>
      <c r="MV183" s="29"/>
      <c r="MW183" s="29"/>
      <c r="MX183" s="29"/>
      <c r="MY183" s="29"/>
      <c r="MZ183" s="29"/>
      <c r="NA183" s="29"/>
      <c r="NB183" s="29"/>
      <c r="NC183" s="29"/>
      <c r="ND183" s="29"/>
      <c r="NE183" s="29"/>
      <c r="NF183" s="29"/>
      <c r="NG183" s="29"/>
      <c r="NH183" s="29"/>
      <c r="NI183" s="29"/>
      <c r="NJ183" s="29"/>
      <c r="NK183" s="29"/>
      <c r="NL183" s="29"/>
      <c r="NM183" s="29"/>
      <c r="NN183" s="29"/>
      <c r="NO183" s="29"/>
      <c r="NP183" s="29"/>
      <c r="NQ183" s="29"/>
      <c r="NR183" s="29"/>
      <c r="NS183" s="29"/>
      <c r="NT183" s="29"/>
      <c r="NU183" s="29"/>
      <c r="NV183" s="29"/>
      <c r="NW183" s="29"/>
      <c r="NX183" s="29"/>
      <c r="NY183" s="29"/>
      <c r="NZ183" s="29"/>
      <c r="OA183" s="29"/>
      <c r="OB183" s="29"/>
      <c r="OC183" s="29"/>
      <c r="OD183" s="29"/>
      <c r="OE183" s="29"/>
      <c r="OF183" s="29"/>
      <c r="OG183" s="29"/>
      <c r="OH183" s="29"/>
      <c r="OI183" s="29"/>
      <c r="OJ183" s="29"/>
      <c r="OK183" s="29"/>
      <c r="OL183" s="29"/>
      <c r="OM183" s="29"/>
      <c r="ON183" s="29"/>
      <c r="OO183" s="29"/>
      <c r="OP183" s="29"/>
      <c r="OQ183" s="29"/>
      <c r="OR183" s="29"/>
      <c r="OS183" s="29"/>
      <c r="OT183" s="29"/>
      <c r="OU183" s="29"/>
      <c r="OV183" s="29"/>
      <c r="OW183" s="29"/>
      <c r="OX183" s="29"/>
      <c r="OY183" s="29"/>
      <c r="OZ183" s="29"/>
      <c r="PA183" s="29"/>
      <c r="PB183" s="29"/>
      <c r="PC183" s="29"/>
      <c r="PD183" s="29"/>
      <c r="PE183" s="29"/>
      <c r="PF183" s="29"/>
      <c r="PG183" s="29"/>
      <c r="PH183" s="29"/>
      <c r="PI183" s="29"/>
      <c r="PJ183" s="29"/>
      <c r="PK183" s="29"/>
      <c r="PL183" s="29"/>
      <c r="PM183" s="29"/>
      <c r="PN183" s="29"/>
      <c r="PO183" s="29"/>
      <c r="PP183" s="29"/>
      <c r="PQ183" s="29"/>
      <c r="PR183" s="29"/>
      <c r="PS183" s="29"/>
      <c r="PT183" s="29"/>
      <c r="PU183" s="29"/>
      <c r="PV183" s="29"/>
      <c r="PW183" s="29"/>
      <c r="PX183" s="29"/>
      <c r="PY183" s="29"/>
      <c r="PZ183" s="29"/>
      <c r="QA183" s="29"/>
      <c r="QB183" s="29"/>
      <c r="QC183" s="29"/>
      <c r="QD183" s="29"/>
      <c r="QE183" s="29"/>
      <c r="QF183" s="29"/>
      <c r="QG183" s="29"/>
      <c r="QH183" s="29"/>
      <c r="QI183" s="29"/>
      <c r="QJ183" s="29"/>
      <c r="QK183" s="29"/>
      <c r="QL183" s="29"/>
      <c r="QM183" s="29"/>
      <c r="QN183" s="29"/>
      <c r="QO183" s="29"/>
      <c r="QP183" s="29"/>
      <c r="QQ183" s="29"/>
      <c r="QR183" s="29"/>
      <c r="QS183" s="29"/>
      <c r="QT183" s="29"/>
      <c r="QU183" s="29"/>
      <c r="QV183" s="29"/>
      <c r="QW183" s="29"/>
      <c r="QX183" s="29"/>
      <c r="QY183" s="29"/>
      <c r="QZ183" s="29"/>
      <c r="RA183" s="29"/>
      <c r="RB183" s="29"/>
      <c r="RC183" s="29"/>
      <c r="RD183" s="29"/>
      <c r="RE183" s="29"/>
      <c r="RF183" s="29"/>
      <c r="RG183" s="29"/>
      <c r="RH183" s="29"/>
      <c r="RI183" s="29"/>
      <c r="RJ183" s="29"/>
      <c r="RK183" s="29"/>
      <c r="RL183" s="29"/>
      <c r="RM183" s="29"/>
      <c r="RN183" s="29"/>
      <c r="RO183" s="29"/>
      <c r="RP183" s="29"/>
      <c r="RQ183" s="29"/>
      <c r="RR183" s="29"/>
      <c r="RS183" s="29"/>
      <c r="RT183" s="29"/>
      <c r="RU183" s="29"/>
      <c r="RV183" s="29"/>
      <c r="RW183" s="29"/>
      <c r="RX183" s="29"/>
      <c r="RY183" s="29"/>
      <c r="RZ183" s="29"/>
      <c r="SA183" s="29"/>
      <c r="SB183" s="29"/>
      <c r="SC183" s="29"/>
      <c r="SD183" s="29"/>
      <c r="SE183" s="29"/>
      <c r="SF183" s="29"/>
      <c r="SG183" s="29"/>
      <c r="SH183" s="29"/>
      <c r="SI183" s="29"/>
      <c r="SJ183" s="29"/>
      <c r="SK183" s="29"/>
      <c r="SL183" s="29"/>
      <c r="SM183" s="29"/>
      <c r="SN183" s="29"/>
      <c r="SO183" s="29"/>
      <c r="SP183" s="29"/>
      <c r="SQ183" s="29"/>
      <c r="SR183" s="29"/>
      <c r="SS183" s="29"/>
      <c r="ST183" s="29"/>
      <c r="SU183" s="29"/>
      <c r="SV183" s="29"/>
      <c r="SW183" s="29"/>
      <c r="SX183" s="29"/>
      <c r="SY183" s="29"/>
      <c r="SZ183" s="29"/>
      <c r="TA183" s="29"/>
      <c r="TB183" s="29"/>
      <c r="TC183" s="29"/>
      <c r="TD183" s="29"/>
      <c r="TE183" s="29"/>
      <c r="TF183" s="29"/>
      <c r="TG183" s="29"/>
      <c r="TH183" s="29"/>
      <c r="TI183" s="29"/>
      <c r="TJ183" s="29"/>
      <c r="TK183" s="29"/>
      <c r="TL183" s="29"/>
      <c r="TM183" s="29"/>
      <c r="TN183" s="29"/>
      <c r="TO183" s="29"/>
      <c r="TP183" s="29"/>
      <c r="TQ183" s="29"/>
      <c r="TR183" s="29"/>
      <c r="TS183" s="29"/>
      <c r="TT183" s="29"/>
      <c r="TU183" s="29"/>
      <c r="TV183" s="29"/>
      <c r="TW183" s="29"/>
      <c r="TX183" s="29"/>
      <c r="TY183" s="29"/>
      <c r="TZ183" s="29"/>
      <c r="UA183" s="29"/>
      <c r="UB183" s="29"/>
      <c r="UC183" s="29"/>
      <c r="UD183" s="29"/>
      <c r="UE183" s="29"/>
      <c r="UF183" s="29"/>
      <c r="UG183" s="29"/>
      <c r="UH183" s="29"/>
      <c r="UI183" s="29"/>
      <c r="UJ183" s="29"/>
      <c r="UK183" s="29"/>
      <c r="UL183" s="29"/>
      <c r="UM183" s="29"/>
      <c r="UN183" s="29"/>
      <c r="UO183" s="29"/>
      <c r="UP183" s="29"/>
      <c r="UQ183" s="29"/>
      <c r="UR183" s="29"/>
      <c r="US183" s="29"/>
      <c r="UT183" s="29"/>
      <c r="UU183" s="29"/>
      <c r="UV183" s="29"/>
      <c r="UW183" s="29"/>
      <c r="UX183" s="29"/>
      <c r="UY183" s="29"/>
      <c r="UZ183" s="29"/>
      <c r="VA183" s="29"/>
      <c r="VB183" s="29"/>
      <c r="VC183" s="29"/>
      <c r="VD183" s="29"/>
      <c r="VE183" s="29"/>
      <c r="VF183" s="29"/>
      <c r="VG183" s="29"/>
      <c r="VH183" s="29"/>
      <c r="VI183" s="29"/>
      <c r="VJ183" s="29"/>
      <c r="VK183" s="29"/>
      <c r="VL183" s="29"/>
      <c r="VM183" s="29"/>
      <c r="VN183" s="29"/>
      <c r="VO183" s="29"/>
      <c r="VP183" s="29"/>
      <c r="VQ183" s="29"/>
      <c r="VR183" s="29"/>
      <c r="VS183" s="29"/>
      <c r="VT183" s="29"/>
      <c r="VU183" s="29"/>
      <c r="VV183" s="29"/>
      <c r="VW183" s="29"/>
      <c r="VX183" s="29"/>
      <c r="VY183" s="29"/>
      <c r="VZ183" s="29"/>
      <c r="WA183" s="29"/>
      <c r="WB183" s="29"/>
      <c r="WC183" s="29"/>
      <c r="WD183" s="29"/>
      <c r="WE183" s="29"/>
      <c r="WF183" s="29"/>
      <c r="WG183" s="29"/>
      <c r="WH183" s="29"/>
      <c r="WI183" s="29"/>
      <c r="WJ183" s="29"/>
      <c r="WK183" s="29"/>
      <c r="WL183" s="29"/>
      <c r="WM183" s="29"/>
      <c r="WN183" s="29"/>
      <c r="WO183" s="29"/>
      <c r="WP183" s="29"/>
      <c r="WQ183" s="29"/>
      <c r="WR183" s="29"/>
      <c r="WS183" s="29"/>
    </row>
    <row r="184" spans="1:617" s="3" customFormat="1" ht="15" outlineLevel="1" thickBot="1">
      <c r="A184" s="33"/>
      <c r="B184" s="218" t="s">
        <v>275</v>
      </c>
      <c r="C184" s="219" t="s">
        <v>104</v>
      </c>
      <c r="D184" s="220">
        <v>46268</v>
      </c>
      <c r="E184" s="220">
        <f>D184+G184</f>
        <v>46436</v>
      </c>
      <c r="F184" s="14"/>
      <c r="G184" s="186">
        <v>168</v>
      </c>
      <c r="H184" s="29"/>
      <c r="I184" s="29"/>
      <c r="J184" s="29"/>
      <c r="K184" s="29"/>
      <c r="L184" s="29"/>
      <c r="M184" s="29"/>
      <c r="N184" s="29"/>
      <c r="O184" s="29"/>
      <c r="P184" s="29"/>
      <c r="Q184" s="29"/>
      <c r="R184" s="29"/>
      <c r="S184" s="29"/>
      <c r="T184" s="29"/>
      <c r="U184" s="29"/>
      <c r="V184" s="29"/>
      <c r="W184" s="29"/>
      <c r="X184" s="29"/>
      <c r="Y184" s="30"/>
      <c r="Z184" s="29"/>
      <c r="AA184" s="29"/>
      <c r="AB184" s="29"/>
      <c r="AC184" s="29"/>
      <c r="AD184" s="29"/>
      <c r="AE184" s="29"/>
      <c r="AF184" s="29"/>
      <c r="AG184" s="29"/>
      <c r="AH184" s="29"/>
      <c r="AI184" s="29"/>
      <c r="AJ184" s="29"/>
      <c r="AK184" s="29"/>
      <c r="AL184" s="29"/>
      <c r="AM184" s="29"/>
      <c r="AN184" s="29"/>
      <c r="AO184" s="29"/>
      <c r="AP184" s="29"/>
      <c r="AQ184" s="29"/>
      <c r="AR184" s="29"/>
      <c r="AS184" s="29"/>
      <c r="AT184" s="29"/>
      <c r="AU184" s="29"/>
      <c r="AV184" s="29"/>
      <c r="AW184" s="29"/>
      <c r="AX184" s="29"/>
      <c r="AY184" s="29"/>
      <c r="AZ184" s="29"/>
      <c r="BA184" s="29"/>
      <c r="BB184" s="29"/>
      <c r="BC184" s="29"/>
      <c r="BD184" s="29"/>
      <c r="BE184" s="29"/>
      <c r="BF184" s="29"/>
      <c r="BG184" s="29"/>
      <c r="BH184" s="29"/>
      <c r="BI184" s="29"/>
      <c r="BJ184" s="29"/>
      <c r="BK184" s="29"/>
      <c r="BL184" s="29"/>
      <c r="BM184" s="29"/>
      <c r="BN184" s="29"/>
      <c r="BO184" s="29"/>
      <c r="BP184" s="29"/>
      <c r="BQ184" s="29"/>
      <c r="BR184" s="29"/>
      <c r="BS184" s="29"/>
      <c r="BT184" s="29"/>
      <c r="BU184" s="29"/>
      <c r="BV184" s="29"/>
      <c r="BW184" s="29"/>
      <c r="BX184" s="29"/>
      <c r="BY184" s="29"/>
      <c r="BZ184" s="29"/>
      <c r="CA184" s="29"/>
      <c r="CB184" s="29"/>
      <c r="CC184" s="29"/>
      <c r="CD184" s="29"/>
      <c r="CE184" s="29"/>
      <c r="CF184" s="29"/>
      <c r="CG184" s="29"/>
      <c r="CH184" s="29"/>
      <c r="CI184" s="29"/>
      <c r="CJ184" s="29"/>
      <c r="CK184" s="29"/>
      <c r="CL184" s="29"/>
      <c r="CM184" s="29"/>
      <c r="CN184" s="29"/>
      <c r="CO184" s="29"/>
      <c r="CP184" s="29"/>
      <c r="CQ184" s="29"/>
      <c r="CR184" s="29"/>
      <c r="CS184" s="29"/>
      <c r="CT184" s="29"/>
      <c r="CU184" s="29"/>
      <c r="CV184" s="29"/>
      <c r="CW184" s="29"/>
      <c r="CX184" s="29"/>
      <c r="CY184" s="29"/>
      <c r="CZ184" s="29"/>
      <c r="DA184" s="29"/>
      <c r="DB184" s="29"/>
      <c r="DC184" s="29"/>
      <c r="DD184" s="29"/>
      <c r="DE184" s="29"/>
      <c r="DF184" s="29"/>
      <c r="DG184" s="29"/>
      <c r="DH184" s="29"/>
      <c r="DI184" s="29"/>
      <c r="DJ184" s="29"/>
      <c r="DK184" s="29"/>
      <c r="DL184" s="29"/>
      <c r="DM184" s="29"/>
      <c r="DN184" s="29"/>
      <c r="DO184" s="29"/>
      <c r="DP184" s="29"/>
      <c r="DQ184" s="29"/>
      <c r="DR184" s="29"/>
      <c r="DS184" s="29"/>
      <c r="DT184" s="29"/>
      <c r="DU184" s="29"/>
      <c r="DV184" s="29"/>
      <c r="DW184" s="29"/>
      <c r="DX184" s="29"/>
      <c r="DY184" s="29"/>
      <c r="DZ184" s="29"/>
      <c r="EA184" s="29"/>
      <c r="EB184" s="29"/>
      <c r="EC184" s="29"/>
      <c r="ED184" s="29"/>
      <c r="EE184" s="29"/>
      <c r="EF184" s="29"/>
      <c r="EG184" s="29"/>
      <c r="EH184" s="29"/>
      <c r="EI184" s="29"/>
      <c r="EJ184" s="29"/>
      <c r="EK184" s="29"/>
      <c r="EL184" s="29"/>
      <c r="EM184" s="29"/>
      <c r="EN184" s="29"/>
      <c r="EO184" s="29"/>
      <c r="EP184" s="29"/>
      <c r="EQ184" s="29"/>
      <c r="ER184" s="29"/>
      <c r="ES184" s="29"/>
      <c r="ET184" s="29"/>
      <c r="EU184" s="29"/>
      <c r="EV184" s="29"/>
      <c r="EW184" s="29"/>
      <c r="EX184" s="29"/>
      <c r="EY184" s="29"/>
      <c r="EZ184" s="29"/>
      <c r="FA184" s="29"/>
      <c r="FB184" s="29"/>
      <c r="FC184" s="29"/>
      <c r="FD184" s="29"/>
      <c r="FE184" s="29"/>
      <c r="FF184" s="29"/>
      <c r="FG184" s="29"/>
      <c r="FH184" s="29"/>
      <c r="FI184" s="29"/>
      <c r="FJ184" s="29"/>
      <c r="FK184" s="29"/>
      <c r="FL184" s="29"/>
      <c r="FM184" s="29"/>
      <c r="FN184" s="29"/>
      <c r="FO184" s="29"/>
      <c r="FP184" s="29"/>
      <c r="FQ184" s="29"/>
      <c r="FR184" s="29"/>
      <c r="FS184" s="29"/>
      <c r="FT184" s="29"/>
      <c r="FU184" s="29"/>
      <c r="FV184" s="29"/>
      <c r="FW184" s="29"/>
      <c r="FX184" s="29"/>
      <c r="FY184" s="29"/>
      <c r="FZ184" s="29"/>
      <c r="GA184" s="29"/>
      <c r="GB184" s="29"/>
      <c r="GC184" s="29"/>
      <c r="GD184" s="29"/>
      <c r="GE184" s="29"/>
      <c r="GF184" s="29"/>
      <c r="GG184" s="29"/>
      <c r="GH184" s="29"/>
      <c r="GI184" s="29"/>
      <c r="GJ184" s="29"/>
      <c r="GK184" s="29"/>
      <c r="GL184" s="29"/>
      <c r="GM184" s="29"/>
      <c r="GN184" s="29"/>
      <c r="GO184" s="29"/>
      <c r="GP184" s="29"/>
      <c r="GQ184" s="29"/>
      <c r="GR184" s="29"/>
      <c r="GS184" s="29"/>
      <c r="GT184" s="29"/>
      <c r="GU184" s="29"/>
      <c r="GV184" s="29"/>
      <c r="GW184" s="29"/>
      <c r="GX184" s="29"/>
      <c r="GY184" s="29"/>
      <c r="GZ184" s="29"/>
      <c r="HA184" s="29"/>
      <c r="HB184" s="29"/>
      <c r="HC184" s="29"/>
      <c r="HD184" s="29"/>
      <c r="HE184" s="29"/>
      <c r="HF184" s="29"/>
      <c r="HG184" s="29"/>
      <c r="HH184" s="29"/>
      <c r="HI184" s="29"/>
      <c r="HJ184" s="29"/>
      <c r="HK184" s="29"/>
      <c r="HL184" s="29"/>
      <c r="HM184" s="29"/>
      <c r="HN184" s="29"/>
      <c r="HO184" s="29"/>
      <c r="HP184" s="29"/>
      <c r="HQ184" s="29"/>
      <c r="HR184" s="29"/>
      <c r="HS184" s="29"/>
      <c r="HT184" s="29"/>
      <c r="HU184" s="29"/>
      <c r="HV184" s="29"/>
      <c r="HW184" s="29"/>
      <c r="HX184" s="29"/>
      <c r="HY184" s="29"/>
      <c r="HZ184" s="29"/>
      <c r="IA184" s="29"/>
      <c r="IB184" s="29"/>
      <c r="IC184" s="29"/>
      <c r="ID184" s="29"/>
      <c r="IE184" s="29"/>
      <c r="IF184" s="29"/>
      <c r="IG184" s="29"/>
      <c r="IH184" s="29"/>
      <c r="II184" s="29"/>
      <c r="IJ184" s="29"/>
      <c r="IK184" s="29"/>
      <c r="IL184" s="29"/>
      <c r="IM184" s="29"/>
      <c r="IN184" s="29"/>
      <c r="IO184" s="29"/>
      <c r="IP184" s="29"/>
      <c r="IQ184" s="29"/>
      <c r="IR184" s="29"/>
      <c r="IS184" s="29"/>
      <c r="IT184" s="29"/>
      <c r="IU184" s="29"/>
      <c r="IV184" s="29"/>
      <c r="IW184" s="29"/>
      <c r="IX184" s="29"/>
      <c r="IY184" s="29"/>
      <c r="IZ184" s="29"/>
      <c r="JA184" s="29"/>
      <c r="JB184" s="29"/>
      <c r="JC184" s="29"/>
      <c r="JD184" s="29"/>
      <c r="JE184" s="29"/>
      <c r="JF184" s="29"/>
      <c r="JG184" s="29"/>
      <c r="JH184" s="29"/>
      <c r="JI184" s="29"/>
      <c r="JJ184" s="29"/>
      <c r="JK184" s="29"/>
      <c r="JL184" s="29"/>
      <c r="JM184" s="29"/>
      <c r="JN184" s="29"/>
      <c r="JO184" s="29"/>
      <c r="JP184" s="29"/>
      <c r="JQ184" s="29"/>
      <c r="JR184" s="29"/>
      <c r="JS184" s="29"/>
      <c r="JT184" s="29"/>
      <c r="JU184" s="29"/>
      <c r="JV184" s="29"/>
      <c r="JW184" s="29"/>
      <c r="JX184" s="29"/>
      <c r="JY184" s="29"/>
      <c r="JZ184" s="29"/>
      <c r="KA184" s="29"/>
      <c r="KB184" s="29"/>
      <c r="KC184" s="29"/>
      <c r="KD184" s="29"/>
      <c r="KE184" s="29"/>
      <c r="KF184" s="29"/>
      <c r="KG184" s="29"/>
      <c r="KH184" s="29"/>
      <c r="KI184" s="29"/>
      <c r="KJ184" s="29"/>
      <c r="KK184" s="29"/>
      <c r="KL184" s="29"/>
      <c r="KM184" s="29"/>
      <c r="KN184" s="29"/>
      <c r="KO184" s="29"/>
      <c r="KP184" s="29"/>
      <c r="KQ184" s="29"/>
      <c r="KR184" s="29"/>
      <c r="KS184" s="29"/>
      <c r="KT184" s="29"/>
      <c r="KU184" s="29"/>
      <c r="KV184" s="29"/>
      <c r="KW184" s="29"/>
      <c r="KX184" s="29"/>
      <c r="KY184" s="29"/>
      <c r="KZ184" s="29"/>
      <c r="LA184" s="29"/>
      <c r="LB184" s="29"/>
      <c r="LC184" s="29"/>
      <c r="LD184" s="29"/>
      <c r="LE184" s="29"/>
      <c r="LF184" s="29"/>
      <c r="LG184" s="29"/>
      <c r="LH184" s="29"/>
      <c r="LI184" s="29"/>
      <c r="LJ184" s="29"/>
      <c r="LK184" s="29"/>
      <c r="LL184" s="29"/>
      <c r="LM184" s="29"/>
      <c r="LN184" s="29"/>
      <c r="LO184" s="29"/>
      <c r="LP184" s="29"/>
      <c r="LQ184" s="29"/>
      <c r="LR184" s="29"/>
      <c r="LS184" s="29"/>
      <c r="LT184" s="29"/>
      <c r="LU184" s="29"/>
      <c r="LV184" s="29"/>
      <c r="LW184" s="29"/>
      <c r="LX184" s="29"/>
      <c r="LY184" s="29"/>
      <c r="LZ184" s="29"/>
      <c r="MA184" s="29"/>
      <c r="MB184" s="29"/>
      <c r="MC184" s="29"/>
      <c r="MD184" s="29"/>
      <c r="ME184" s="29"/>
      <c r="MF184" s="29"/>
      <c r="MG184" s="29"/>
      <c r="MH184" s="29"/>
      <c r="MI184" s="29"/>
      <c r="MJ184" s="29"/>
      <c r="MK184" s="29"/>
      <c r="ML184" s="29"/>
      <c r="MM184" s="29"/>
      <c r="MN184" s="29"/>
      <c r="MO184" s="29"/>
      <c r="MP184" s="29"/>
      <c r="MQ184" s="29"/>
      <c r="MR184" s="29"/>
      <c r="MS184" s="29"/>
      <c r="MT184" s="29"/>
      <c r="MU184" s="29"/>
      <c r="MV184" s="29"/>
      <c r="MW184" s="29"/>
      <c r="MX184" s="29"/>
      <c r="MY184" s="29"/>
      <c r="MZ184" s="29"/>
      <c r="NA184" s="29"/>
      <c r="NB184" s="29"/>
      <c r="NC184" s="29"/>
      <c r="ND184" s="29"/>
      <c r="NE184" s="29"/>
      <c r="NF184" s="29"/>
      <c r="NG184" s="29"/>
      <c r="NH184" s="29"/>
      <c r="NI184" s="29"/>
      <c r="NJ184" s="29"/>
      <c r="NK184" s="29"/>
      <c r="NL184" s="29"/>
      <c r="NM184" s="29"/>
      <c r="NN184" s="29"/>
      <c r="NO184" s="29"/>
      <c r="NP184" s="29"/>
      <c r="NQ184" s="29"/>
      <c r="NR184" s="29"/>
      <c r="NS184" s="29"/>
      <c r="NT184" s="29"/>
      <c r="NU184" s="29"/>
      <c r="NV184" s="29"/>
      <c r="NW184" s="29"/>
      <c r="NX184" s="29"/>
      <c r="NY184" s="29"/>
      <c r="NZ184" s="29"/>
      <c r="OA184" s="29"/>
      <c r="OB184" s="29"/>
      <c r="OC184" s="29"/>
      <c r="OD184" s="29"/>
      <c r="OE184" s="29"/>
      <c r="OF184" s="29"/>
      <c r="OG184" s="29"/>
      <c r="OH184" s="29"/>
      <c r="OI184" s="29"/>
      <c r="OJ184" s="29"/>
      <c r="OK184" s="29"/>
      <c r="OL184" s="29"/>
      <c r="OM184" s="29"/>
      <c r="ON184" s="29"/>
      <c r="OO184" s="29"/>
      <c r="OP184" s="29"/>
      <c r="OQ184" s="29"/>
      <c r="OR184" s="29"/>
      <c r="OS184" s="29"/>
      <c r="OT184" s="29"/>
      <c r="OU184" s="29"/>
      <c r="OV184" s="29"/>
      <c r="OW184" s="29"/>
      <c r="OX184" s="29"/>
      <c r="OY184" s="29"/>
      <c r="OZ184" s="29"/>
      <c r="PA184" s="29"/>
      <c r="PB184" s="29"/>
      <c r="PC184" s="29"/>
      <c r="PD184" s="29"/>
      <c r="PE184" s="29"/>
      <c r="PF184" s="29"/>
      <c r="PG184" s="29"/>
      <c r="PH184" s="29"/>
      <c r="PI184" s="29"/>
      <c r="PJ184" s="29"/>
      <c r="PK184" s="29"/>
      <c r="PL184" s="29"/>
      <c r="PM184" s="29"/>
      <c r="PN184" s="29"/>
      <c r="PO184" s="29"/>
      <c r="PP184" s="29"/>
      <c r="PQ184" s="29"/>
      <c r="PR184" s="29"/>
      <c r="PS184" s="29"/>
      <c r="PT184" s="29"/>
      <c r="PU184" s="29"/>
      <c r="PV184" s="29"/>
      <c r="PW184" s="29"/>
      <c r="PX184" s="29"/>
      <c r="PY184" s="29"/>
      <c r="PZ184" s="29"/>
      <c r="QA184" s="29"/>
      <c r="QB184" s="29"/>
      <c r="QC184" s="29"/>
      <c r="QD184" s="29"/>
      <c r="QE184" s="29"/>
      <c r="QF184" s="29"/>
      <c r="QG184" s="29"/>
      <c r="QH184" s="29"/>
      <c r="QI184" s="29"/>
      <c r="QJ184" s="29"/>
      <c r="QK184" s="29"/>
      <c r="QL184" s="29"/>
      <c r="QM184" s="29"/>
      <c r="QN184" s="29"/>
      <c r="QO184" s="29"/>
      <c r="QP184" s="29"/>
      <c r="QQ184" s="29"/>
      <c r="QR184" s="29"/>
      <c r="QS184" s="29"/>
      <c r="QT184" s="29"/>
      <c r="QU184" s="29"/>
      <c r="QV184" s="29"/>
      <c r="QW184" s="29"/>
      <c r="QX184" s="29"/>
      <c r="QY184" s="29"/>
      <c r="QZ184" s="29"/>
      <c r="RA184" s="29"/>
      <c r="RB184" s="29"/>
      <c r="RC184" s="29"/>
      <c r="RD184" s="29"/>
      <c r="RE184" s="29"/>
      <c r="RF184" s="29"/>
      <c r="RG184" s="29"/>
      <c r="RH184" s="29"/>
      <c r="RI184" s="29"/>
      <c r="RJ184" s="29"/>
      <c r="RK184" s="29"/>
      <c r="RL184" s="29"/>
      <c r="RM184" s="29"/>
      <c r="RN184" s="29"/>
      <c r="RO184" s="29"/>
      <c r="RP184" s="29"/>
      <c r="RQ184" s="29"/>
      <c r="RR184" s="29"/>
      <c r="RS184" s="29"/>
      <c r="RT184" s="29"/>
      <c r="RU184" s="29"/>
      <c r="RV184" s="29"/>
      <c r="RW184" s="29"/>
      <c r="RX184" s="29"/>
      <c r="RY184" s="29"/>
      <c r="RZ184" s="29"/>
      <c r="SA184" s="29"/>
      <c r="SB184" s="29"/>
      <c r="SC184" s="29"/>
      <c r="SD184" s="29"/>
      <c r="SE184" s="29"/>
      <c r="SF184" s="29"/>
      <c r="SG184" s="29"/>
      <c r="SH184" s="29"/>
      <c r="SI184" s="29"/>
      <c r="SJ184" s="29"/>
      <c r="SK184" s="29"/>
      <c r="SL184" s="29"/>
      <c r="SM184" s="29"/>
      <c r="SN184" s="29"/>
      <c r="SO184" s="29"/>
      <c r="SP184" s="29"/>
      <c r="SQ184" s="29"/>
      <c r="SR184" s="29"/>
      <c r="SS184" s="29"/>
      <c r="ST184" s="29"/>
      <c r="SU184" s="29"/>
      <c r="SV184" s="29"/>
      <c r="SW184" s="29"/>
      <c r="SX184" s="29"/>
      <c r="SY184" s="29"/>
      <c r="SZ184" s="29"/>
      <c r="TA184" s="29"/>
      <c r="TB184" s="29"/>
      <c r="TC184" s="29"/>
      <c r="TD184" s="29"/>
      <c r="TE184" s="29"/>
      <c r="TF184" s="29"/>
      <c r="TG184" s="29"/>
      <c r="TH184" s="29"/>
      <c r="TI184" s="29"/>
      <c r="TJ184" s="29"/>
      <c r="TK184" s="29"/>
      <c r="TL184" s="29"/>
      <c r="TM184" s="29"/>
      <c r="TN184" s="29"/>
      <c r="TO184" s="29"/>
      <c r="TP184" s="29"/>
      <c r="TQ184" s="29"/>
      <c r="TR184" s="29"/>
      <c r="TS184" s="29"/>
      <c r="TT184" s="29"/>
      <c r="TU184" s="29"/>
      <c r="TV184" s="29"/>
      <c r="TW184" s="29"/>
      <c r="TX184" s="29"/>
      <c r="TY184" s="29"/>
      <c r="TZ184" s="29"/>
      <c r="UA184" s="29"/>
      <c r="UB184" s="29"/>
      <c r="UC184" s="29"/>
      <c r="UD184" s="29"/>
      <c r="UE184" s="29"/>
      <c r="UF184" s="29"/>
      <c r="UG184" s="29"/>
      <c r="UH184" s="29"/>
      <c r="UI184" s="29"/>
      <c r="UJ184" s="29"/>
      <c r="UK184" s="29"/>
      <c r="UL184" s="29"/>
      <c r="UM184" s="29"/>
      <c r="UN184" s="29"/>
      <c r="UO184" s="29"/>
      <c r="UP184" s="29"/>
      <c r="UQ184" s="29"/>
      <c r="UR184" s="29"/>
      <c r="US184" s="29"/>
      <c r="UT184" s="29"/>
      <c r="UU184" s="29"/>
      <c r="UV184" s="29"/>
      <c r="UW184" s="29"/>
      <c r="UX184" s="29"/>
      <c r="UY184" s="29"/>
      <c r="UZ184" s="29"/>
      <c r="VA184" s="29"/>
      <c r="VB184" s="29"/>
      <c r="VC184" s="29"/>
      <c r="VD184" s="29"/>
      <c r="VE184" s="29"/>
      <c r="VF184" s="29"/>
      <c r="VG184" s="29"/>
      <c r="VH184" s="29"/>
      <c r="VI184" s="29"/>
      <c r="VJ184" s="29"/>
      <c r="VK184" s="29"/>
      <c r="VL184" s="29"/>
      <c r="VM184" s="29"/>
      <c r="VN184" s="29"/>
      <c r="VO184" s="29"/>
      <c r="VP184" s="29"/>
      <c r="VQ184" s="29"/>
      <c r="VR184" s="29"/>
      <c r="VS184" s="29"/>
      <c r="VT184" s="29"/>
      <c r="VU184" s="29"/>
      <c r="VV184" s="29"/>
      <c r="VW184" s="29"/>
      <c r="VX184" s="29"/>
      <c r="VY184" s="29"/>
      <c r="VZ184" s="29"/>
      <c r="WA184" s="29"/>
      <c r="WB184" s="29"/>
      <c r="WC184" s="29"/>
      <c r="WD184" s="29"/>
      <c r="WE184" s="29"/>
      <c r="WF184" s="29"/>
      <c r="WG184" s="29"/>
      <c r="WH184" s="29"/>
      <c r="WI184" s="29"/>
      <c r="WJ184" s="29"/>
      <c r="WK184" s="29"/>
      <c r="WL184" s="29"/>
      <c r="WM184" s="29"/>
      <c r="WN184" s="29"/>
      <c r="WO184" s="29"/>
      <c r="WP184" s="29"/>
      <c r="WQ184" s="29"/>
      <c r="WR184" s="29"/>
      <c r="WS184" s="29"/>
    </row>
    <row r="185" spans="1:617" s="3" customFormat="1" ht="15" hidden="1" outlineLevel="1" thickBot="1">
      <c r="A185" s="33"/>
      <c r="B185" s="83" t="s">
        <v>282</v>
      </c>
      <c r="C185" s="141"/>
      <c r="D185" s="124"/>
      <c r="E185" s="125"/>
      <c r="F185" s="14"/>
      <c r="G185" s="14" t="str">
        <f t="shared" ca="1" si="586"/>
        <v/>
      </c>
      <c r="H185" s="29"/>
      <c r="I185" s="29"/>
      <c r="J185" s="29"/>
      <c r="K185" s="29"/>
      <c r="L185" s="29"/>
      <c r="M185" s="29"/>
      <c r="N185" s="29"/>
      <c r="O185" s="29"/>
      <c r="P185" s="29"/>
      <c r="Q185" s="29"/>
      <c r="R185" s="29"/>
      <c r="S185" s="29"/>
      <c r="T185" s="29"/>
      <c r="U185" s="29"/>
      <c r="V185" s="29"/>
      <c r="W185" s="29"/>
      <c r="X185" s="29"/>
      <c r="Y185" s="30"/>
      <c r="Z185" s="29"/>
      <c r="AA185" s="29"/>
      <c r="AB185" s="29"/>
      <c r="AC185" s="29"/>
      <c r="AD185" s="29"/>
      <c r="AE185" s="29"/>
      <c r="AF185" s="29"/>
      <c r="AG185" s="29"/>
      <c r="AH185" s="29"/>
      <c r="AI185" s="29"/>
      <c r="AJ185" s="29"/>
      <c r="AK185" s="29"/>
      <c r="AL185" s="29"/>
      <c r="AM185" s="29"/>
      <c r="AN185" s="29"/>
      <c r="AO185" s="29"/>
      <c r="AP185" s="29"/>
      <c r="AQ185" s="29"/>
      <c r="AR185" s="29"/>
      <c r="AS185" s="29"/>
      <c r="AT185" s="29"/>
      <c r="AU185" s="29"/>
      <c r="AV185" s="29"/>
      <c r="AW185" s="29"/>
      <c r="AX185" s="29"/>
      <c r="AY185" s="29"/>
      <c r="AZ185" s="29"/>
      <c r="BA185" s="29"/>
      <c r="BB185" s="29"/>
      <c r="BC185" s="29"/>
      <c r="BD185" s="29"/>
      <c r="BE185" s="29"/>
      <c r="BF185" s="29"/>
      <c r="BG185" s="29"/>
      <c r="BH185" s="29"/>
      <c r="BI185" s="29"/>
      <c r="BJ185" s="29"/>
      <c r="BK185" s="29"/>
      <c r="BL185" s="29"/>
      <c r="BM185" s="29"/>
      <c r="BN185" s="29"/>
      <c r="BO185" s="29"/>
      <c r="BP185" s="29"/>
      <c r="BQ185" s="29"/>
      <c r="BR185" s="29"/>
      <c r="BS185" s="29"/>
      <c r="BT185" s="29"/>
      <c r="BU185" s="29"/>
      <c r="BV185" s="29"/>
      <c r="BW185" s="29"/>
      <c r="BX185" s="29"/>
      <c r="BY185" s="29"/>
      <c r="BZ185" s="29"/>
      <c r="CA185" s="29"/>
      <c r="CB185" s="29"/>
      <c r="CC185" s="29"/>
      <c r="CD185" s="29"/>
      <c r="CE185" s="29"/>
      <c r="CF185" s="29"/>
      <c r="CG185" s="29"/>
      <c r="CH185" s="29"/>
      <c r="CI185" s="29"/>
      <c r="CJ185" s="29"/>
      <c r="CK185" s="29"/>
      <c r="CL185" s="29"/>
      <c r="CM185" s="29"/>
      <c r="CN185" s="29"/>
      <c r="CO185" s="29"/>
      <c r="CP185" s="29"/>
      <c r="CQ185" s="29"/>
      <c r="CR185" s="29"/>
      <c r="CS185" s="29"/>
      <c r="CT185" s="29"/>
      <c r="CU185" s="29"/>
      <c r="CV185" s="29"/>
      <c r="CW185" s="29"/>
      <c r="CX185" s="29"/>
      <c r="CY185" s="29"/>
      <c r="CZ185" s="29"/>
      <c r="DA185" s="29"/>
      <c r="DB185" s="29"/>
      <c r="DC185" s="29"/>
      <c r="DD185" s="29"/>
      <c r="DE185" s="29"/>
      <c r="DF185" s="29"/>
      <c r="DG185" s="29"/>
      <c r="DH185" s="29"/>
      <c r="DI185" s="29"/>
      <c r="DJ185" s="29"/>
      <c r="DK185" s="29"/>
      <c r="DL185" s="29"/>
      <c r="DM185" s="29"/>
      <c r="DN185" s="29"/>
      <c r="DO185" s="29"/>
      <c r="DP185" s="29"/>
      <c r="DQ185" s="29"/>
      <c r="DR185" s="29"/>
      <c r="DS185" s="29"/>
      <c r="DT185" s="29"/>
      <c r="DU185" s="29"/>
      <c r="DV185" s="29"/>
      <c r="DW185" s="29"/>
      <c r="DX185" s="29"/>
      <c r="DY185" s="29"/>
      <c r="DZ185" s="29"/>
      <c r="EA185" s="29"/>
      <c r="EB185" s="29"/>
      <c r="EC185" s="29"/>
      <c r="ED185" s="29"/>
      <c r="EE185" s="29"/>
      <c r="EF185" s="29"/>
      <c r="EG185" s="29"/>
      <c r="EH185" s="29"/>
      <c r="EI185" s="29"/>
      <c r="EJ185" s="29"/>
      <c r="EK185" s="29"/>
      <c r="EL185" s="29"/>
      <c r="EM185" s="29"/>
      <c r="EN185" s="29"/>
      <c r="EO185" s="29"/>
      <c r="EP185" s="29"/>
      <c r="EQ185" s="29"/>
      <c r="ER185" s="29"/>
      <c r="ES185" s="29"/>
      <c r="ET185" s="29"/>
      <c r="EU185" s="29"/>
      <c r="EV185" s="29"/>
      <c r="EW185" s="29"/>
      <c r="EX185" s="29"/>
      <c r="EY185" s="29"/>
      <c r="EZ185" s="29"/>
      <c r="FA185" s="29"/>
      <c r="FB185" s="29"/>
      <c r="FC185" s="29"/>
      <c r="FD185" s="29"/>
      <c r="FE185" s="29"/>
      <c r="FF185" s="29"/>
      <c r="FG185" s="29"/>
      <c r="FH185" s="29"/>
      <c r="FI185" s="29"/>
      <c r="FJ185" s="29"/>
      <c r="FK185" s="29"/>
      <c r="FL185" s="29"/>
      <c r="FM185" s="29"/>
      <c r="FN185" s="29"/>
      <c r="FO185" s="29"/>
      <c r="FP185" s="29"/>
      <c r="FQ185" s="29"/>
      <c r="FR185" s="29"/>
      <c r="FS185" s="29"/>
      <c r="FT185" s="29"/>
      <c r="FU185" s="29"/>
      <c r="FV185" s="29"/>
      <c r="FW185" s="29"/>
      <c r="FX185" s="29"/>
      <c r="FY185" s="29"/>
      <c r="FZ185" s="29"/>
      <c r="GA185" s="29"/>
      <c r="GB185" s="29"/>
      <c r="GC185" s="29"/>
      <c r="GD185" s="29"/>
      <c r="GE185" s="29"/>
      <c r="GF185" s="29"/>
      <c r="GG185" s="29"/>
      <c r="GH185" s="29"/>
      <c r="GI185" s="29"/>
      <c r="GJ185" s="29"/>
      <c r="GK185" s="29"/>
      <c r="GL185" s="29"/>
      <c r="GM185" s="29"/>
      <c r="GN185" s="29"/>
      <c r="GO185" s="29"/>
      <c r="GP185" s="29"/>
      <c r="GQ185" s="29"/>
      <c r="GR185" s="29"/>
      <c r="GS185" s="29"/>
      <c r="GT185" s="29"/>
      <c r="GU185" s="29"/>
      <c r="GV185" s="29"/>
      <c r="GW185" s="29"/>
      <c r="GX185" s="29"/>
      <c r="GY185" s="29"/>
      <c r="GZ185" s="29"/>
      <c r="HA185" s="29"/>
      <c r="HB185" s="29"/>
      <c r="HC185" s="29"/>
      <c r="HD185" s="29"/>
      <c r="HE185" s="29"/>
      <c r="HF185" s="29"/>
      <c r="HG185" s="29"/>
      <c r="HH185" s="29"/>
      <c r="HI185" s="29"/>
      <c r="HJ185" s="29"/>
      <c r="HK185" s="29"/>
      <c r="HL185" s="29"/>
      <c r="HM185" s="29"/>
      <c r="HN185" s="29"/>
      <c r="HO185" s="29"/>
      <c r="HP185" s="29"/>
      <c r="HQ185" s="29"/>
      <c r="HR185" s="29"/>
      <c r="HS185" s="29"/>
      <c r="HT185" s="29"/>
      <c r="HU185" s="29"/>
      <c r="HV185" s="29"/>
      <c r="HW185" s="29"/>
      <c r="HX185" s="29"/>
      <c r="HY185" s="29"/>
      <c r="HZ185" s="29"/>
      <c r="IA185" s="29"/>
      <c r="IB185" s="29"/>
      <c r="IC185" s="29"/>
      <c r="ID185" s="29"/>
      <c r="IE185" s="29"/>
      <c r="IF185" s="29"/>
      <c r="IG185" s="29"/>
      <c r="IH185" s="29"/>
      <c r="II185" s="29"/>
      <c r="IJ185" s="29"/>
      <c r="IK185" s="29"/>
      <c r="IL185" s="29"/>
      <c r="IM185" s="29"/>
      <c r="IN185" s="29"/>
      <c r="IO185" s="29"/>
      <c r="IP185" s="29"/>
      <c r="IQ185" s="29"/>
      <c r="IR185" s="29"/>
      <c r="IS185" s="29"/>
      <c r="IT185" s="29"/>
      <c r="IU185" s="29"/>
      <c r="IV185" s="29"/>
      <c r="IW185" s="29"/>
      <c r="IX185" s="29"/>
      <c r="IY185" s="29"/>
      <c r="IZ185" s="29"/>
      <c r="JA185" s="29"/>
      <c r="JB185" s="29"/>
      <c r="JC185" s="29"/>
      <c r="JD185" s="29"/>
      <c r="JE185" s="29"/>
      <c r="JF185" s="29"/>
      <c r="JG185" s="29"/>
      <c r="JH185" s="29"/>
      <c r="JI185" s="29"/>
      <c r="JJ185" s="29"/>
      <c r="JK185" s="29"/>
      <c r="JL185" s="29"/>
      <c r="JM185" s="29"/>
      <c r="JN185" s="29"/>
      <c r="JO185" s="29"/>
      <c r="JP185" s="29"/>
      <c r="JQ185" s="29"/>
      <c r="JR185" s="29"/>
      <c r="JS185" s="29"/>
      <c r="JT185" s="29"/>
      <c r="JU185" s="29"/>
      <c r="JV185" s="29"/>
      <c r="JW185" s="29"/>
      <c r="JX185" s="29"/>
      <c r="JY185" s="29"/>
      <c r="JZ185" s="29"/>
      <c r="KA185" s="29"/>
      <c r="KB185" s="29"/>
      <c r="KC185" s="29"/>
      <c r="KD185" s="29"/>
      <c r="KE185" s="29"/>
      <c r="KF185" s="29"/>
      <c r="KG185" s="29"/>
      <c r="KH185" s="29"/>
      <c r="KI185" s="29"/>
      <c r="KJ185" s="29"/>
      <c r="KK185" s="29"/>
      <c r="KL185" s="29"/>
      <c r="KM185" s="29"/>
      <c r="KN185" s="29"/>
      <c r="KO185" s="29"/>
      <c r="KP185" s="29"/>
      <c r="KQ185" s="29"/>
      <c r="KR185" s="29"/>
      <c r="KS185" s="29"/>
      <c r="KT185" s="29"/>
      <c r="KU185" s="29"/>
      <c r="KV185" s="29"/>
      <c r="KW185" s="29"/>
      <c r="KX185" s="29"/>
      <c r="KY185" s="29"/>
      <c r="KZ185" s="29"/>
      <c r="LA185" s="29"/>
      <c r="LB185" s="29"/>
      <c r="LC185" s="29"/>
      <c r="LD185" s="29"/>
      <c r="LE185" s="29"/>
      <c r="LF185" s="29"/>
      <c r="LG185" s="29"/>
      <c r="LH185" s="29"/>
      <c r="LI185" s="29"/>
      <c r="LJ185" s="29"/>
      <c r="LK185" s="29"/>
      <c r="LL185" s="29"/>
      <c r="LM185" s="29"/>
      <c r="LN185" s="29"/>
      <c r="LO185" s="29"/>
      <c r="LP185" s="29"/>
      <c r="LQ185" s="29"/>
      <c r="LR185" s="29"/>
      <c r="LS185" s="29"/>
      <c r="LT185" s="29"/>
      <c r="LU185" s="29"/>
      <c r="LV185" s="29"/>
      <c r="LW185" s="29"/>
      <c r="LX185" s="29"/>
      <c r="LY185" s="29"/>
      <c r="LZ185" s="29"/>
      <c r="MA185" s="29"/>
      <c r="MB185" s="29"/>
      <c r="MC185" s="29"/>
      <c r="MD185" s="29"/>
      <c r="ME185" s="29"/>
      <c r="MF185" s="29"/>
      <c r="MG185" s="29"/>
      <c r="MH185" s="29"/>
      <c r="MI185" s="29"/>
      <c r="MJ185" s="29"/>
      <c r="MK185" s="29"/>
      <c r="ML185" s="29"/>
      <c r="MM185" s="29"/>
      <c r="MN185" s="29"/>
      <c r="MO185" s="29"/>
      <c r="MP185" s="29"/>
      <c r="MQ185" s="29"/>
      <c r="MR185" s="29"/>
      <c r="MS185" s="29"/>
      <c r="MT185" s="29"/>
      <c r="MU185" s="29"/>
      <c r="MV185" s="29"/>
      <c r="MW185" s="29"/>
      <c r="MX185" s="29"/>
      <c r="MY185" s="29"/>
      <c r="MZ185" s="29"/>
      <c r="NA185" s="29"/>
      <c r="NB185" s="29"/>
      <c r="NC185" s="29"/>
      <c r="ND185" s="29"/>
      <c r="NE185" s="29"/>
      <c r="NF185" s="29"/>
      <c r="NG185" s="29"/>
      <c r="NH185" s="29"/>
      <c r="NI185" s="29"/>
      <c r="NJ185" s="29"/>
      <c r="NK185" s="29"/>
      <c r="NL185" s="29"/>
      <c r="NM185" s="29"/>
      <c r="NN185" s="29"/>
      <c r="NO185" s="29"/>
      <c r="NP185" s="29"/>
      <c r="NQ185" s="29"/>
      <c r="NR185" s="29"/>
      <c r="NS185" s="29"/>
      <c r="NT185" s="29"/>
      <c r="NU185" s="29"/>
      <c r="NV185" s="29"/>
      <c r="NW185" s="29"/>
      <c r="NX185" s="29"/>
      <c r="NY185" s="29"/>
      <c r="NZ185" s="29"/>
      <c r="OA185" s="29"/>
      <c r="OB185" s="29"/>
      <c r="OC185" s="29"/>
      <c r="OD185" s="29"/>
      <c r="OE185" s="29"/>
      <c r="OF185" s="29"/>
      <c r="OG185" s="29"/>
      <c r="OH185" s="29"/>
      <c r="OI185" s="29"/>
      <c r="OJ185" s="29"/>
      <c r="OK185" s="29"/>
      <c r="OL185" s="29"/>
      <c r="OM185" s="29"/>
      <c r="ON185" s="29"/>
      <c r="OO185" s="29"/>
      <c r="OP185" s="29"/>
      <c r="OQ185" s="29"/>
      <c r="OR185" s="29"/>
      <c r="OS185" s="29"/>
      <c r="OT185" s="29"/>
      <c r="OU185" s="29"/>
      <c r="OV185" s="29"/>
      <c r="OW185" s="29"/>
      <c r="OX185" s="29"/>
      <c r="OY185" s="29"/>
      <c r="OZ185" s="29"/>
      <c r="PA185" s="29"/>
      <c r="PB185" s="29"/>
      <c r="PC185" s="29"/>
      <c r="PD185" s="29"/>
      <c r="PE185" s="29"/>
      <c r="PF185" s="29"/>
      <c r="PG185" s="29"/>
      <c r="PH185" s="29"/>
      <c r="PI185" s="29"/>
      <c r="PJ185" s="29"/>
      <c r="PK185" s="29"/>
      <c r="PL185" s="29"/>
      <c r="PM185" s="29"/>
      <c r="PN185" s="29"/>
      <c r="PO185" s="29"/>
      <c r="PP185" s="29"/>
      <c r="PQ185" s="29"/>
      <c r="PR185" s="29"/>
      <c r="PS185" s="29"/>
      <c r="PT185" s="29"/>
      <c r="PU185" s="29"/>
      <c r="PV185" s="29"/>
      <c r="PW185" s="29"/>
      <c r="PX185" s="29"/>
      <c r="PY185" s="29"/>
      <c r="PZ185" s="29"/>
      <c r="QA185" s="29"/>
      <c r="QB185" s="29"/>
      <c r="QC185" s="29"/>
      <c r="QD185" s="29"/>
      <c r="QE185" s="29"/>
      <c r="QF185" s="29"/>
      <c r="QG185" s="29"/>
      <c r="QH185" s="29"/>
      <c r="QI185" s="29"/>
      <c r="QJ185" s="29"/>
      <c r="QK185" s="29"/>
      <c r="QL185" s="29"/>
      <c r="QM185" s="29"/>
      <c r="QN185" s="29"/>
      <c r="QO185" s="29"/>
      <c r="QP185" s="29"/>
      <c r="QQ185" s="29"/>
      <c r="QR185" s="29"/>
      <c r="QS185" s="29"/>
      <c r="QT185" s="29"/>
      <c r="QU185" s="29"/>
      <c r="QV185" s="29"/>
      <c r="QW185" s="29"/>
      <c r="QX185" s="29"/>
      <c r="QY185" s="29"/>
      <c r="QZ185" s="29"/>
      <c r="RA185" s="29"/>
      <c r="RB185" s="29"/>
      <c r="RC185" s="29"/>
      <c r="RD185" s="29"/>
      <c r="RE185" s="29"/>
      <c r="RF185" s="29"/>
      <c r="RG185" s="29"/>
      <c r="RH185" s="29"/>
      <c r="RI185" s="29"/>
      <c r="RJ185" s="29"/>
      <c r="RK185" s="29"/>
      <c r="RL185" s="29"/>
      <c r="RM185" s="29"/>
      <c r="RN185" s="29"/>
      <c r="RO185" s="29"/>
      <c r="RP185" s="29"/>
      <c r="RQ185" s="29"/>
      <c r="RR185" s="29"/>
      <c r="RS185" s="29"/>
      <c r="RT185" s="29"/>
      <c r="RU185" s="29"/>
      <c r="RV185" s="29"/>
      <c r="RW185" s="29"/>
      <c r="RX185" s="29"/>
      <c r="RY185" s="29"/>
      <c r="RZ185" s="29"/>
      <c r="SA185" s="29"/>
      <c r="SB185" s="29"/>
      <c r="SC185" s="29"/>
      <c r="SD185" s="29"/>
      <c r="SE185" s="29"/>
      <c r="SF185" s="29"/>
      <c r="SG185" s="29"/>
      <c r="SH185" s="29"/>
      <c r="SI185" s="29"/>
      <c r="SJ185" s="29"/>
      <c r="SK185" s="29"/>
      <c r="SL185" s="29"/>
      <c r="SM185" s="29"/>
      <c r="SN185" s="29"/>
      <c r="SO185" s="29"/>
      <c r="SP185" s="29"/>
      <c r="SQ185" s="29"/>
      <c r="SR185" s="29"/>
      <c r="SS185" s="29"/>
      <c r="ST185" s="29"/>
      <c r="SU185" s="29"/>
      <c r="SV185" s="29"/>
      <c r="SW185" s="29"/>
      <c r="SX185" s="29"/>
      <c r="SY185" s="29"/>
      <c r="SZ185" s="29"/>
      <c r="TA185" s="29"/>
      <c r="TB185" s="29"/>
      <c r="TC185" s="29"/>
      <c r="TD185" s="29"/>
      <c r="TE185" s="29"/>
      <c r="TF185" s="29"/>
      <c r="TG185" s="29"/>
      <c r="TH185" s="29"/>
      <c r="TI185" s="29"/>
      <c r="TJ185" s="29"/>
      <c r="TK185" s="29"/>
      <c r="TL185" s="29"/>
      <c r="TM185" s="29"/>
      <c r="TN185" s="29"/>
      <c r="TO185" s="29"/>
      <c r="TP185" s="29"/>
      <c r="TQ185" s="29"/>
      <c r="TR185" s="29"/>
      <c r="TS185" s="29"/>
      <c r="TT185" s="29"/>
      <c r="TU185" s="29"/>
      <c r="TV185" s="29"/>
      <c r="TW185" s="29"/>
      <c r="TX185" s="29"/>
      <c r="TY185" s="29"/>
      <c r="TZ185" s="29"/>
      <c r="UA185" s="29"/>
      <c r="UB185" s="29"/>
      <c r="UC185" s="29"/>
      <c r="UD185" s="29"/>
      <c r="UE185" s="29"/>
      <c r="UF185" s="29"/>
      <c r="UG185" s="29"/>
      <c r="UH185" s="29"/>
      <c r="UI185" s="29"/>
      <c r="UJ185" s="29"/>
      <c r="UK185" s="29"/>
      <c r="UL185" s="29"/>
      <c r="UM185" s="29"/>
      <c r="UN185" s="29"/>
      <c r="UO185" s="29"/>
      <c r="UP185" s="29"/>
      <c r="UQ185" s="29"/>
      <c r="UR185" s="29"/>
      <c r="US185" s="29"/>
      <c r="UT185" s="29"/>
      <c r="UU185" s="29"/>
      <c r="UV185" s="29"/>
      <c r="UW185" s="29"/>
      <c r="UX185" s="29"/>
      <c r="UY185" s="29"/>
      <c r="UZ185" s="29"/>
      <c r="VA185" s="29"/>
      <c r="VB185" s="29"/>
      <c r="VC185" s="29"/>
      <c r="VD185" s="29"/>
      <c r="VE185" s="29"/>
      <c r="VF185" s="29"/>
      <c r="VG185" s="29"/>
      <c r="VH185" s="29"/>
      <c r="VI185" s="29"/>
      <c r="VJ185" s="29"/>
      <c r="VK185" s="29"/>
      <c r="VL185" s="29"/>
      <c r="VM185" s="29"/>
      <c r="VN185" s="29"/>
      <c r="VO185" s="29"/>
      <c r="VP185" s="29"/>
      <c r="VQ185" s="29"/>
      <c r="VR185" s="29"/>
      <c r="VS185" s="29"/>
      <c r="VT185" s="29"/>
      <c r="VU185" s="29"/>
      <c r="VV185" s="29"/>
      <c r="VW185" s="29"/>
      <c r="VX185" s="29"/>
      <c r="VY185" s="29"/>
      <c r="VZ185" s="29"/>
      <c r="WA185" s="29"/>
      <c r="WB185" s="29"/>
      <c r="WC185" s="29"/>
      <c r="WD185" s="29"/>
      <c r="WE185" s="29"/>
      <c r="WF185" s="29"/>
      <c r="WG185" s="29"/>
      <c r="WH185" s="29"/>
      <c r="WI185" s="29"/>
      <c r="WJ185" s="29"/>
      <c r="WK185" s="29"/>
      <c r="WL185" s="29"/>
      <c r="WM185" s="29"/>
      <c r="WN185" s="29"/>
      <c r="WO185" s="29"/>
      <c r="WP185" s="29"/>
      <c r="WQ185" s="29"/>
      <c r="WR185" s="29"/>
      <c r="WS185" s="29"/>
    </row>
    <row r="186" spans="1:617" s="3" customFormat="1" ht="15" hidden="1" outlineLevel="1" thickBot="1">
      <c r="A186" s="33" t="s">
        <v>237</v>
      </c>
      <c r="B186" s="84" t="s">
        <v>275</v>
      </c>
      <c r="C186" s="137" t="s">
        <v>62</v>
      </c>
      <c r="D186" s="117">
        <f>E186-G186</f>
        <v>45853</v>
      </c>
      <c r="E186" s="117">
        <v>45898</v>
      </c>
      <c r="F186" s="14"/>
      <c r="G186" s="14">
        <v>45</v>
      </c>
      <c r="H186" s="29"/>
      <c r="I186" s="29"/>
      <c r="J186" s="29"/>
      <c r="K186" s="29"/>
      <c r="L186" s="29"/>
      <c r="M186" s="29"/>
      <c r="N186" s="29"/>
      <c r="O186" s="29"/>
      <c r="P186" s="29"/>
      <c r="Q186" s="29"/>
      <c r="R186" s="29"/>
      <c r="S186" s="29"/>
      <c r="T186" s="29"/>
      <c r="U186" s="29"/>
      <c r="V186" s="29"/>
      <c r="W186" s="29"/>
      <c r="X186" s="29"/>
      <c r="Y186" s="29"/>
      <c r="Z186" s="29"/>
      <c r="AA186" s="29"/>
      <c r="AB186" s="29"/>
      <c r="AC186" s="29"/>
      <c r="AD186" s="29"/>
      <c r="AE186" s="29"/>
      <c r="AF186" s="29"/>
      <c r="AG186" s="29"/>
      <c r="AH186" s="29"/>
      <c r="AI186" s="29"/>
      <c r="AJ186" s="29"/>
      <c r="AK186" s="29"/>
      <c r="AL186" s="29"/>
      <c r="AM186" s="29"/>
      <c r="AN186" s="29"/>
      <c r="AO186" s="29"/>
      <c r="AP186" s="29"/>
      <c r="AQ186" s="29"/>
      <c r="AR186" s="29"/>
      <c r="AS186" s="29"/>
      <c r="AT186" s="29"/>
      <c r="AU186" s="29"/>
      <c r="AV186" s="29"/>
      <c r="AW186" s="29"/>
      <c r="AX186" s="29"/>
      <c r="AY186" s="29"/>
      <c r="AZ186" s="29"/>
      <c r="BA186" s="29"/>
      <c r="BB186" s="29"/>
      <c r="BC186" s="29"/>
      <c r="BD186" s="29"/>
      <c r="BE186" s="29"/>
      <c r="BF186" s="29"/>
      <c r="BG186" s="29"/>
      <c r="BH186" s="29"/>
      <c r="BI186" s="29"/>
      <c r="BJ186" s="29"/>
      <c r="BK186" s="29"/>
      <c r="BL186" s="29"/>
      <c r="BM186" s="29"/>
      <c r="BN186" s="29"/>
      <c r="BO186" s="29"/>
      <c r="BP186" s="29"/>
      <c r="BQ186" s="29"/>
      <c r="BR186" s="29"/>
      <c r="BS186" s="29"/>
      <c r="BT186" s="29"/>
      <c r="BU186" s="29"/>
      <c r="BV186" s="29"/>
      <c r="BW186" s="29"/>
      <c r="BX186" s="29"/>
      <c r="BY186" s="29"/>
      <c r="BZ186" s="29"/>
      <c r="CA186" s="29"/>
      <c r="CB186" s="29"/>
      <c r="CC186" s="29"/>
      <c r="CD186" s="29"/>
      <c r="CE186" s="29"/>
      <c r="CF186" s="29"/>
      <c r="CG186" s="29"/>
      <c r="CH186" s="29"/>
      <c r="CI186" s="29"/>
      <c r="CJ186" s="29"/>
      <c r="CK186" s="29"/>
      <c r="CL186" s="29"/>
      <c r="CM186" s="29"/>
      <c r="CN186" s="29"/>
      <c r="CO186" s="29"/>
      <c r="CP186" s="29"/>
      <c r="CQ186" s="29"/>
      <c r="CR186" s="29"/>
      <c r="CS186" s="29"/>
      <c r="CT186" s="29"/>
      <c r="CU186" s="29"/>
      <c r="CV186" s="29"/>
      <c r="CW186" s="29"/>
      <c r="CX186" s="29"/>
      <c r="CY186" s="29"/>
      <c r="CZ186" s="29"/>
      <c r="DA186" s="29"/>
      <c r="DB186" s="29"/>
      <c r="DC186" s="29"/>
      <c r="DD186" s="29"/>
      <c r="DE186" s="29"/>
      <c r="DF186" s="29"/>
      <c r="DG186" s="29"/>
      <c r="DH186" s="29"/>
      <c r="DI186" s="29"/>
      <c r="DJ186" s="29"/>
      <c r="DK186" s="29"/>
      <c r="DL186" s="29"/>
      <c r="DM186" s="29"/>
      <c r="DN186" s="29"/>
      <c r="DO186" s="29"/>
      <c r="DP186" s="29"/>
      <c r="DQ186" s="29"/>
      <c r="DR186" s="29"/>
      <c r="DS186" s="29"/>
      <c r="DT186" s="29"/>
      <c r="DU186" s="29"/>
      <c r="DV186" s="29"/>
      <c r="DW186" s="29"/>
      <c r="DX186" s="29"/>
      <c r="DY186" s="29"/>
      <c r="DZ186" s="29"/>
      <c r="EA186" s="29"/>
      <c r="EB186" s="29"/>
      <c r="EC186" s="29"/>
      <c r="ED186" s="29"/>
      <c r="EE186" s="29"/>
      <c r="EF186" s="29"/>
      <c r="EG186" s="29"/>
      <c r="EH186" s="29"/>
      <c r="EI186" s="29"/>
      <c r="EJ186" s="29"/>
      <c r="EK186" s="29"/>
      <c r="EL186" s="29"/>
      <c r="EM186" s="29"/>
      <c r="EN186" s="29"/>
      <c r="EO186" s="29"/>
      <c r="EP186" s="29"/>
      <c r="EQ186" s="29"/>
      <c r="ER186" s="29"/>
      <c r="ES186" s="29"/>
      <c r="ET186" s="29"/>
      <c r="EU186" s="29"/>
      <c r="EV186" s="29"/>
      <c r="EW186" s="29"/>
      <c r="EX186" s="29"/>
      <c r="EY186" s="29"/>
      <c r="EZ186" s="29"/>
      <c r="FA186" s="29"/>
      <c r="FB186" s="29"/>
      <c r="FC186" s="29"/>
      <c r="FD186" s="29"/>
      <c r="FE186" s="29"/>
      <c r="FF186" s="29"/>
      <c r="FG186" s="29"/>
      <c r="FH186" s="29"/>
      <c r="FI186" s="29"/>
      <c r="FJ186" s="29"/>
      <c r="FK186" s="29"/>
      <c r="FL186" s="29"/>
      <c r="FM186" s="29"/>
      <c r="FN186" s="29"/>
      <c r="FO186" s="29"/>
      <c r="FP186" s="29"/>
      <c r="FQ186" s="29"/>
      <c r="FR186" s="29"/>
      <c r="FS186" s="29"/>
      <c r="FT186" s="29"/>
      <c r="FU186" s="29"/>
      <c r="FV186" s="29"/>
      <c r="FW186" s="29"/>
      <c r="FX186" s="29"/>
      <c r="FY186" s="29"/>
      <c r="FZ186" s="29"/>
      <c r="GA186" s="29"/>
      <c r="GB186" s="29"/>
      <c r="GC186" s="29"/>
      <c r="GD186" s="29"/>
      <c r="GE186" s="29"/>
      <c r="GF186" s="29"/>
      <c r="GG186" s="29"/>
      <c r="GH186" s="29"/>
      <c r="GI186" s="29"/>
      <c r="GJ186" s="29"/>
      <c r="GK186" s="29"/>
      <c r="GL186" s="29"/>
      <c r="GM186" s="29"/>
      <c r="GN186" s="29"/>
      <c r="GO186" s="29"/>
      <c r="GP186" s="29"/>
      <c r="GQ186" s="29"/>
      <c r="GR186" s="29"/>
      <c r="GS186" s="29"/>
      <c r="GT186" s="29"/>
      <c r="GU186" s="29"/>
      <c r="GV186" s="29"/>
      <c r="GW186" s="29"/>
      <c r="GX186" s="29"/>
      <c r="GY186" s="29"/>
      <c r="GZ186" s="29"/>
      <c r="HA186" s="29"/>
      <c r="HB186" s="29"/>
      <c r="HC186" s="29"/>
      <c r="HD186" s="29"/>
      <c r="HE186" s="29"/>
      <c r="HF186" s="29"/>
      <c r="HG186" s="29"/>
      <c r="HH186" s="29"/>
      <c r="HI186" s="29"/>
      <c r="HJ186" s="29"/>
      <c r="HK186" s="29"/>
      <c r="HL186" s="29"/>
      <c r="HM186" s="29"/>
      <c r="HN186" s="29"/>
      <c r="HO186" s="29"/>
      <c r="HP186" s="29"/>
      <c r="HQ186" s="29"/>
      <c r="HR186" s="29"/>
      <c r="HS186" s="29"/>
      <c r="HT186" s="29"/>
      <c r="HU186" s="29"/>
      <c r="HV186" s="29"/>
      <c r="HW186" s="29"/>
      <c r="HX186" s="29"/>
      <c r="HY186" s="29"/>
      <c r="HZ186" s="29"/>
      <c r="IA186" s="29"/>
      <c r="IB186" s="29"/>
      <c r="IC186" s="29"/>
      <c r="ID186" s="29"/>
      <c r="IE186" s="29"/>
      <c r="IF186" s="29"/>
      <c r="IG186" s="29"/>
      <c r="IH186" s="29"/>
      <c r="II186" s="29"/>
      <c r="IJ186" s="29"/>
      <c r="IK186" s="29"/>
      <c r="IL186" s="29"/>
      <c r="IM186" s="29"/>
      <c r="IN186" s="29"/>
      <c r="IO186" s="29"/>
      <c r="IP186" s="29"/>
      <c r="IQ186" s="29"/>
      <c r="IR186" s="29"/>
      <c r="IS186" s="29"/>
      <c r="IT186" s="29"/>
      <c r="IU186" s="29"/>
      <c r="IV186" s="29"/>
      <c r="IW186" s="29"/>
      <c r="IX186" s="29"/>
      <c r="IY186" s="29"/>
      <c r="IZ186" s="29"/>
      <c r="JA186" s="29"/>
      <c r="JB186" s="29"/>
      <c r="JC186" s="29"/>
      <c r="JD186" s="29"/>
      <c r="JE186" s="29"/>
      <c r="JF186" s="29"/>
      <c r="JG186" s="29"/>
      <c r="JH186" s="29"/>
      <c r="JI186" s="29"/>
      <c r="JJ186" s="29"/>
      <c r="JK186" s="29"/>
      <c r="JL186" s="29"/>
      <c r="JM186" s="29"/>
      <c r="JN186" s="29"/>
      <c r="JO186" s="29"/>
      <c r="JP186" s="29"/>
      <c r="JQ186" s="29"/>
      <c r="JR186" s="29"/>
      <c r="JS186" s="29"/>
      <c r="JT186" s="29"/>
      <c r="JU186" s="29"/>
      <c r="JV186" s="29"/>
      <c r="JW186" s="29"/>
      <c r="JX186" s="29"/>
      <c r="JY186" s="29"/>
      <c r="JZ186" s="29"/>
      <c r="KA186" s="29"/>
      <c r="KB186" s="29"/>
      <c r="KC186" s="29"/>
      <c r="KD186" s="29"/>
      <c r="KE186" s="29"/>
      <c r="KF186" s="29"/>
      <c r="KG186" s="29"/>
      <c r="KH186" s="29"/>
      <c r="KI186" s="29"/>
      <c r="KJ186" s="29"/>
      <c r="KK186" s="29"/>
      <c r="KL186" s="29"/>
      <c r="KM186" s="29"/>
      <c r="KN186" s="29"/>
      <c r="KO186" s="29"/>
      <c r="KP186" s="29"/>
      <c r="KQ186" s="29"/>
      <c r="KR186" s="29"/>
      <c r="KS186" s="29"/>
      <c r="KT186" s="29"/>
      <c r="KU186" s="29"/>
      <c r="KV186" s="29"/>
      <c r="KW186" s="29"/>
      <c r="KX186" s="29"/>
      <c r="KY186" s="29"/>
      <c r="KZ186" s="29"/>
      <c r="LA186" s="29"/>
      <c r="LB186" s="29"/>
      <c r="LC186" s="29"/>
      <c r="LD186" s="29"/>
      <c r="LE186" s="29"/>
      <c r="LF186" s="29"/>
      <c r="LG186" s="29"/>
      <c r="LH186" s="29"/>
      <c r="LI186" s="29"/>
      <c r="LJ186" s="29"/>
      <c r="LK186" s="29"/>
      <c r="LL186" s="29"/>
      <c r="LM186" s="29"/>
      <c r="LN186" s="29"/>
      <c r="LO186" s="29"/>
      <c r="LP186" s="29"/>
      <c r="LQ186" s="29"/>
      <c r="LR186" s="29"/>
      <c r="LS186" s="29"/>
      <c r="LT186" s="29"/>
      <c r="LU186" s="29"/>
      <c r="LV186" s="29"/>
      <c r="LW186" s="29"/>
      <c r="LX186" s="29"/>
      <c r="LY186" s="29"/>
      <c r="LZ186" s="29"/>
      <c r="MA186" s="29"/>
      <c r="MB186" s="29"/>
      <c r="MC186" s="29"/>
      <c r="MD186" s="29"/>
      <c r="ME186" s="29"/>
      <c r="MF186" s="29"/>
      <c r="MG186" s="29"/>
      <c r="MH186" s="29"/>
      <c r="MI186" s="29"/>
      <c r="MJ186" s="29"/>
      <c r="MK186" s="29"/>
      <c r="ML186" s="29"/>
      <c r="MM186" s="29"/>
      <c r="MN186" s="29"/>
      <c r="MO186" s="29"/>
      <c r="MP186" s="29"/>
      <c r="MQ186" s="29"/>
      <c r="MR186" s="29"/>
      <c r="MS186" s="29"/>
      <c r="MT186" s="29"/>
      <c r="MU186" s="29"/>
      <c r="MV186" s="29"/>
      <c r="MW186" s="29"/>
      <c r="MX186" s="29"/>
      <c r="MY186" s="29"/>
      <c r="MZ186" s="29"/>
      <c r="NA186" s="29"/>
      <c r="NB186" s="29"/>
      <c r="NC186" s="29"/>
      <c r="ND186" s="29"/>
      <c r="NE186" s="29"/>
      <c r="NF186" s="29"/>
      <c r="NG186" s="29"/>
      <c r="NH186" s="29"/>
      <c r="NI186" s="29"/>
      <c r="NJ186" s="29"/>
      <c r="NK186" s="29"/>
      <c r="NL186" s="29"/>
      <c r="NM186" s="29"/>
      <c r="NN186" s="29"/>
      <c r="NO186" s="29"/>
      <c r="NP186" s="29"/>
      <c r="NQ186" s="29"/>
      <c r="NR186" s="29"/>
      <c r="NS186" s="29"/>
      <c r="NT186" s="29"/>
      <c r="NU186" s="29"/>
      <c r="NV186" s="29"/>
      <c r="NW186" s="29"/>
      <c r="NX186" s="29"/>
      <c r="NY186" s="29"/>
      <c r="NZ186" s="29"/>
      <c r="OA186" s="29"/>
      <c r="OB186" s="29"/>
      <c r="OC186" s="29"/>
      <c r="OD186" s="29"/>
      <c r="OE186" s="29"/>
      <c r="OF186" s="29"/>
      <c r="OG186" s="29"/>
      <c r="OH186" s="29"/>
      <c r="OI186" s="29"/>
      <c r="OJ186" s="29"/>
      <c r="OK186" s="29"/>
      <c r="OL186" s="29"/>
      <c r="OM186" s="29"/>
      <c r="ON186" s="29"/>
      <c r="OO186" s="29"/>
      <c r="OP186" s="29"/>
      <c r="OQ186" s="29"/>
      <c r="OR186" s="29"/>
      <c r="OS186" s="29"/>
      <c r="OT186" s="29"/>
      <c r="OU186" s="29"/>
      <c r="OV186" s="29"/>
      <c r="OW186" s="29"/>
      <c r="OX186" s="29"/>
      <c r="OY186" s="29"/>
      <c r="OZ186" s="29"/>
      <c r="PA186" s="29"/>
      <c r="PB186" s="29"/>
      <c r="PC186" s="29"/>
      <c r="PD186" s="29"/>
      <c r="PE186" s="29"/>
      <c r="PF186" s="29"/>
      <c r="PG186" s="29"/>
      <c r="PH186" s="29"/>
      <c r="PI186" s="29"/>
      <c r="PJ186" s="29"/>
      <c r="PK186" s="29"/>
      <c r="PL186" s="29"/>
      <c r="PM186" s="29"/>
      <c r="PN186" s="29"/>
      <c r="PO186" s="29"/>
      <c r="PP186" s="29"/>
      <c r="PQ186" s="29"/>
      <c r="PR186" s="29"/>
      <c r="PS186" s="29"/>
      <c r="PT186" s="29"/>
      <c r="PU186" s="29"/>
      <c r="PV186" s="29"/>
      <c r="PW186" s="29"/>
      <c r="PX186" s="29"/>
      <c r="PY186" s="29"/>
      <c r="PZ186" s="29"/>
      <c r="QA186" s="29"/>
      <c r="QB186" s="29"/>
      <c r="QC186" s="29"/>
      <c r="QD186" s="29"/>
      <c r="QE186" s="29"/>
      <c r="QF186" s="29"/>
      <c r="QG186" s="29"/>
      <c r="QH186" s="29"/>
      <c r="QI186" s="29"/>
      <c r="QJ186" s="29"/>
      <c r="QK186" s="29"/>
      <c r="QL186" s="29"/>
      <c r="QM186" s="29"/>
      <c r="QN186" s="29"/>
      <c r="QO186" s="29"/>
      <c r="QP186" s="29"/>
      <c r="QQ186" s="29"/>
      <c r="QR186" s="29"/>
      <c r="QS186" s="29"/>
      <c r="QT186" s="29"/>
      <c r="QU186" s="29"/>
      <c r="QV186" s="29"/>
      <c r="QW186" s="29"/>
      <c r="QX186" s="29"/>
      <c r="QY186" s="29"/>
      <c r="QZ186" s="29"/>
      <c r="RA186" s="29"/>
      <c r="RB186" s="29"/>
      <c r="RC186" s="29"/>
      <c r="RD186" s="29"/>
      <c r="RE186" s="29"/>
      <c r="RF186" s="29"/>
      <c r="RG186" s="29"/>
      <c r="RH186" s="29"/>
      <c r="RI186" s="29"/>
      <c r="RJ186" s="29"/>
      <c r="RK186" s="29"/>
      <c r="RL186" s="29"/>
      <c r="RM186" s="29"/>
      <c r="RN186" s="29"/>
      <c r="RO186" s="29"/>
      <c r="RP186" s="29"/>
      <c r="RQ186" s="29"/>
      <c r="RR186" s="29"/>
      <c r="RS186" s="29"/>
      <c r="RT186" s="29"/>
      <c r="RU186" s="29"/>
      <c r="RV186" s="29"/>
      <c r="RW186" s="29"/>
      <c r="RX186" s="29"/>
      <c r="RY186" s="29"/>
      <c r="RZ186" s="29"/>
      <c r="SA186" s="29"/>
      <c r="SB186" s="29"/>
      <c r="SC186" s="29"/>
      <c r="SD186" s="29"/>
      <c r="SE186" s="29"/>
      <c r="SF186" s="29"/>
      <c r="SG186" s="29"/>
      <c r="SH186" s="29"/>
      <c r="SI186" s="29"/>
      <c r="SJ186" s="29"/>
      <c r="SK186" s="29"/>
      <c r="SL186" s="29"/>
      <c r="SM186" s="29"/>
      <c r="SN186" s="29"/>
      <c r="SO186" s="29"/>
      <c r="SP186" s="29"/>
      <c r="SQ186" s="29"/>
      <c r="SR186" s="29"/>
      <c r="SS186" s="29"/>
      <c r="ST186" s="29"/>
      <c r="SU186" s="29"/>
      <c r="SV186" s="29"/>
      <c r="SW186" s="29"/>
      <c r="SX186" s="29"/>
      <c r="SY186" s="29"/>
      <c r="SZ186" s="29"/>
      <c r="TA186" s="29"/>
      <c r="TB186" s="29"/>
      <c r="TC186" s="29"/>
      <c r="TD186" s="29"/>
      <c r="TE186" s="29"/>
      <c r="TF186" s="29"/>
      <c r="TG186" s="29"/>
      <c r="TH186" s="29"/>
      <c r="TI186" s="29"/>
      <c r="TJ186" s="29"/>
      <c r="TK186" s="29"/>
      <c r="TL186" s="29"/>
      <c r="TM186" s="29"/>
      <c r="TN186" s="29"/>
      <c r="TO186" s="29"/>
      <c r="TP186" s="29"/>
      <c r="TQ186" s="29"/>
      <c r="TR186" s="29"/>
      <c r="TS186" s="29"/>
      <c r="TT186" s="29"/>
      <c r="TU186" s="29"/>
      <c r="TV186" s="29"/>
      <c r="TW186" s="29"/>
      <c r="TX186" s="29"/>
      <c r="TY186" s="29"/>
      <c r="TZ186" s="29"/>
      <c r="UA186" s="29"/>
      <c r="UB186" s="29"/>
      <c r="UC186" s="29"/>
      <c r="UD186" s="29"/>
      <c r="UE186" s="29"/>
      <c r="UF186" s="29"/>
      <c r="UG186" s="29"/>
      <c r="UH186" s="29"/>
      <c r="UI186" s="29"/>
      <c r="UJ186" s="29"/>
      <c r="UK186" s="29"/>
      <c r="UL186" s="29"/>
      <c r="UM186" s="29"/>
      <c r="UN186" s="29"/>
      <c r="UO186" s="29"/>
      <c r="UP186" s="29"/>
      <c r="UQ186" s="29"/>
      <c r="UR186" s="29"/>
      <c r="US186" s="29"/>
      <c r="UT186" s="29"/>
      <c r="UU186" s="29"/>
      <c r="UV186" s="29"/>
      <c r="UW186" s="29"/>
      <c r="UX186" s="29"/>
      <c r="UY186" s="29"/>
      <c r="UZ186" s="29"/>
      <c r="VA186" s="29"/>
      <c r="VB186" s="29"/>
      <c r="VC186" s="29"/>
      <c r="VD186" s="29"/>
      <c r="VE186" s="29"/>
      <c r="VF186" s="29"/>
      <c r="VG186" s="29"/>
      <c r="VH186" s="29"/>
      <c r="VI186" s="29"/>
      <c r="VJ186" s="29"/>
      <c r="VK186" s="29"/>
      <c r="VL186" s="29"/>
      <c r="VM186" s="29"/>
      <c r="VN186" s="29"/>
      <c r="VO186" s="29"/>
      <c r="VP186" s="29"/>
      <c r="VQ186" s="29"/>
      <c r="VR186" s="29"/>
      <c r="VS186" s="29"/>
      <c r="VT186" s="29"/>
      <c r="VU186" s="29"/>
      <c r="VV186" s="29"/>
      <c r="VW186" s="29"/>
      <c r="VX186" s="29"/>
      <c r="VY186" s="29"/>
      <c r="VZ186" s="29"/>
      <c r="WA186" s="29"/>
      <c r="WB186" s="29"/>
      <c r="WC186" s="29"/>
      <c r="WD186" s="29"/>
      <c r="WE186" s="29"/>
      <c r="WF186" s="29"/>
      <c r="WG186" s="29"/>
      <c r="WH186" s="29"/>
      <c r="WI186" s="29"/>
      <c r="WJ186" s="29"/>
      <c r="WK186" s="29"/>
      <c r="WL186" s="29"/>
      <c r="WM186" s="29"/>
      <c r="WN186" s="29"/>
      <c r="WO186" s="29"/>
      <c r="WP186" s="29"/>
      <c r="WQ186" s="29"/>
      <c r="WR186" s="29"/>
      <c r="WS186" s="29"/>
    </row>
    <row r="187" spans="1:617" s="3" customFormat="1" ht="15" hidden="1" outlineLevel="1" thickBot="1">
      <c r="A187" s="33"/>
      <c r="B187" s="21" t="s">
        <v>283</v>
      </c>
      <c r="C187" s="143"/>
      <c r="D187" s="127"/>
      <c r="E187" s="128"/>
      <c r="F187" s="14"/>
      <c r="G187" s="14"/>
      <c r="H187" s="29"/>
      <c r="I187" s="29"/>
      <c r="J187" s="29"/>
      <c r="K187" s="29"/>
      <c r="L187" s="29"/>
      <c r="M187" s="29"/>
      <c r="N187" s="29"/>
      <c r="O187" s="29"/>
      <c r="P187" s="29"/>
      <c r="Q187" s="29"/>
      <c r="R187" s="29"/>
      <c r="S187" s="29"/>
      <c r="T187" s="29"/>
      <c r="U187" s="29"/>
      <c r="V187" s="29"/>
      <c r="W187" s="29"/>
      <c r="X187" s="29"/>
      <c r="Y187" s="29"/>
      <c r="Z187" s="29"/>
      <c r="AA187" s="29"/>
      <c r="AB187" s="29"/>
      <c r="AC187" s="29"/>
      <c r="AD187" s="29"/>
      <c r="AE187" s="29"/>
      <c r="AF187" s="29"/>
      <c r="AG187" s="29"/>
      <c r="AH187" s="29"/>
      <c r="AI187" s="29"/>
      <c r="AJ187" s="29"/>
      <c r="AK187" s="29"/>
      <c r="AL187" s="29"/>
      <c r="AM187" s="29"/>
      <c r="AN187" s="29"/>
      <c r="AO187" s="29"/>
      <c r="AP187" s="29"/>
      <c r="AQ187" s="29"/>
      <c r="AR187" s="29"/>
      <c r="AS187" s="29"/>
      <c r="AT187" s="29"/>
      <c r="AU187" s="29"/>
      <c r="AV187" s="29"/>
      <c r="AW187" s="29"/>
      <c r="AX187" s="29"/>
      <c r="AY187" s="29"/>
      <c r="AZ187" s="29"/>
      <c r="BA187" s="29"/>
      <c r="BB187" s="29"/>
      <c r="BC187" s="29"/>
      <c r="BD187" s="29"/>
      <c r="BE187" s="29"/>
      <c r="BF187" s="29"/>
      <c r="BG187" s="29"/>
      <c r="BH187" s="29"/>
      <c r="BI187" s="29"/>
      <c r="BJ187" s="29"/>
      <c r="BK187" s="29"/>
      <c r="BL187" s="29"/>
      <c r="BM187" s="29"/>
      <c r="BN187" s="29"/>
      <c r="BO187" s="29"/>
      <c r="BP187" s="29"/>
      <c r="BQ187" s="29"/>
      <c r="BR187" s="29"/>
      <c r="BS187" s="29"/>
      <c r="BT187" s="29"/>
      <c r="BU187" s="29"/>
      <c r="BV187" s="29"/>
      <c r="BW187" s="29"/>
      <c r="BX187" s="29"/>
      <c r="BY187" s="29"/>
      <c r="BZ187" s="29"/>
      <c r="CA187" s="29"/>
      <c r="CB187" s="29"/>
      <c r="CC187" s="29"/>
      <c r="CD187" s="29"/>
      <c r="CE187" s="29"/>
      <c r="CF187" s="29"/>
      <c r="CG187" s="29"/>
      <c r="CH187" s="29"/>
      <c r="CI187" s="29"/>
      <c r="CJ187" s="29"/>
      <c r="CK187" s="29"/>
      <c r="CL187" s="29"/>
      <c r="CM187" s="29"/>
      <c r="CN187" s="29"/>
      <c r="CO187" s="29"/>
      <c r="CP187" s="29"/>
      <c r="CQ187" s="29"/>
      <c r="CR187" s="29"/>
      <c r="CS187" s="29"/>
      <c r="CT187" s="29"/>
      <c r="CU187" s="29"/>
      <c r="CV187" s="29"/>
      <c r="CW187" s="29"/>
      <c r="CX187" s="29"/>
      <c r="CY187" s="29"/>
      <c r="CZ187" s="29"/>
      <c r="DA187" s="29"/>
      <c r="DB187" s="29"/>
      <c r="DC187" s="29"/>
      <c r="DD187" s="29"/>
      <c r="DE187" s="29"/>
      <c r="DF187" s="29"/>
      <c r="DG187" s="29"/>
      <c r="DH187" s="29"/>
      <c r="DI187" s="29"/>
      <c r="DJ187" s="29"/>
      <c r="DK187" s="29"/>
      <c r="DL187" s="29"/>
      <c r="DM187" s="29"/>
      <c r="DN187" s="29"/>
      <c r="DO187" s="29"/>
      <c r="DP187" s="29"/>
      <c r="DQ187" s="29"/>
      <c r="DR187" s="29"/>
      <c r="DS187" s="29"/>
      <c r="DT187" s="29"/>
      <c r="DU187" s="29"/>
      <c r="DV187" s="29"/>
      <c r="DW187" s="29"/>
      <c r="DX187" s="29"/>
      <c r="DY187" s="29"/>
      <c r="DZ187" s="29"/>
      <c r="EA187" s="29"/>
      <c r="EB187" s="29"/>
      <c r="EC187" s="29"/>
      <c r="ED187" s="29"/>
      <c r="EE187" s="29"/>
      <c r="EF187" s="29"/>
      <c r="EG187" s="29"/>
      <c r="EH187" s="29"/>
      <c r="EI187" s="29"/>
      <c r="EJ187" s="29"/>
      <c r="EK187" s="29"/>
      <c r="EL187" s="29"/>
      <c r="EM187" s="29"/>
      <c r="EN187" s="29"/>
      <c r="EO187" s="29"/>
      <c r="EP187" s="29"/>
      <c r="EQ187" s="29"/>
      <c r="ER187" s="29"/>
      <c r="ES187" s="29"/>
      <c r="ET187" s="29"/>
      <c r="EU187" s="29"/>
      <c r="EV187" s="29"/>
      <c r="EW187" s="29"/>
      <c r="EX187" s="29"/>
      <c r="EY187" s="29"/>
      <c r="EZ187" s="29"/>
      <c r="FA187" s="29"/>
      <c r="FB187" s="29"/>
      <c r="FC187" s="29"/>
      <c r="FD187" s="29"/>
      <c r="FE187" s="29"/>
      <c r="FF187" s="29"/>
      <c r="FG187" s="29"/>
      <c r="FH187" s="29"/>
      <c r="FI187" s="29"/>
      <c r="FJ187" s="29"/>
      <c r="FK187" s="29"/>
      <c r="FL187" s="29"/>
      <c r="FM187" s="29"/>
      <c r="FN187" s="29"/>
      <c r="FO187" s="29"/>
      <c r="FP187" s="29"/>
      <c r="FQ187" s="29"/>
      <c r="FR187" s="29"/>
      <c r="FS187" s="29"/>
      <c r="FT187" s="29"/>
      <c r="FU187" s="29"/>
      <c r="FV187" s="29"/>
      <c r="FW187" s="29"/>
      <c r="FX187" s="29"/>
      <c r="FY187" s="29"/>
      <c r="FZ187" s="29"/>
      <c r="GA187" s="29"/>
      <c r="GB187" s="29"/>
      <c r="GC187" s="29"/>
      <c r="GD187" s="29"/>
      <c r="GE187" s="29"/>
      <c r="GF187" s="29"/>
      <c r="GG187" s="29"/>
      <c r="GH187" s="29"/>
      <c r="GI187" s="29"/>
      <c r="GJ187" s="29"/>
      <c r="GK187" s="29"/>
      <c r="GL187" s="29"/>
      <c r="GM187" s="29"/>
      <c r="GN187" s="29"/>
      <c r="GO187" s="29"/>
      <c r="GP187" s="29"/>
      <c r="GQ187" s="29"/>
      <c r="GR187" s="29"/>
      <c r="GS187" s="29"/>
      <c r="GT187" s="29"/>
      <c r="GU187" s="29"/>
      <c r="GV187" s="29"/>
      <c r="GW187" s="29"/>
      <c r="GX187" s="29"/>
      <c r="GY187" s="29"/>
      <c r="GZ187" s="29"/>
      <c r="HA187" s="29"/>
      <c r="HB187" s="29"/>
      <c r="HC187" s="29"/>
      <c r="HD187" s="29"/>
      <c r="HE187" s="29"/>
      <c r="HF187" s="29"/>
      <c r="HG187" s="29"/>
      <c r="HH187" s="29"/>
      <c r="HI187" s="29"/>
      <c r="HJ187" s="29"/>
      <c r="HK187" s="29"/>
      <c r="HL187" s="29"/>
      <c r="HM187" s="29"/>
      <c r="HN187" s="29"/>
      <c r="HO187" s="29"/>
      <c r="HP187" s="29"/>
      <c r="HQ187" s="29"/>
      <c r="HR187" s="29"/>
      <c r="HS187" s="29"/>
      <c r="HT187" s="29"/>
      <c r="HU187" s="29"/>
      <c r="HV187" s="29"/>
      <c r="HW187" s="29"/>
      <c r="HX187" s="29"/>
      <c r="HY187" s="29"/>
      <c r="HZ187" s="29"/>
      <c r="IA187" s="29"/>
      <c r="IB187" s="29"/>
      <c r="IC187" s="29"/>
      <c r="ID187" s="29"/>
      <c r="IE187" s="29"/>
      <c r="IF187" s="29"/>
      <c r="IG187" s="29"/>
      <c r="IH187" s="29"/>
      <c r="II187" s="29"/>
      <c r="IJ187" s="29"/>
      <c r="IK187" s="29"/>
      <c r="IL187" s="29"/>
      <c r="IM187" s="29"/>
      <c r="IN187" s="29"/>
      <c r="IO187" s="29"/>
      <c r="IP187" s="29"/>
      <c r="IQ187" s="29"/>
      <c r="IR187" s="29"/>
      <c r="IS187" s="29"/>
      <c r="IT187" s="29"/>
      <c r="IU187" s="29"/>
      <c r="IV187" s="29"/>
      <c r="IW187" s="29"/>
      <c r="IX187" s="29"/>
      <c r="IY187" s="29"/>
      <c r="IZ187" s="29"/>
      <c r="JA187" s="29"/>
      <c r="JB187" s="29"/>
      <c r="JC187" s="29"/>
      <c r="JD187" s="29"/>
      <c r="JE187" s="29"/>
      <c r="JF187" s="29"/>
      <c r="JG187" s="29"/>
      <c r="JH187" s="29"/>
      <c r="JI187" s="29"/>
      <c r="JJ187" s="29"/>
      <c r="JK187" s="29"/>
      <c r="JL187" s="29"/>
      <c r="JM187" s="29"/>
      <c r="JN187" s="29"/>
      <c r="JO187" s="29"/>
      <c r="JP187" s="29"/>
      <c r="JQ187" s="29"/>
      <c r="JR187" s="29"/>
      <c r="JS187" s="29"/>
      <c r="JT187" s="29"/>
      <c r="JU187" s="29"/>
      <c r="JV187" s="29"/>
      <c r="JW187" s="29"/>
      <c r="JX187" s="29"/>
      <c r="JY187" s="29"/>
      <c r="JZ187" s="29"/>
      <c r="KA187" s="29"/>
      <c r="KB187" s="29"/>
      <c r="KC187" s="29"/>
      <c r="KD187" s="29"/>
      <c r="KE187" s="29"/>
      <c r="KF187" s="29"/>
      <c r="KG187" s="29"/>
      <c r="KH187" s="29"/>
      <c r="KI187" s="29"/>
      <c r="KJ187" s="29"/>
      <c r="KK187" s="29"/>
      <c r="KL187" s="29"/>
      <c r="KM187" s="29"/>
      <c r="KN187" s="29"/>
      <c r="KO187" s="29"/>
      <c r="KP187" s="29"/>
      <c r="KQ187" s="29"/>
      <c r="KR187" s="29"/>
      <c r="KS187" s="29"/>
      <c r="KT187" s="29"/>
      <c r="KU187" s="29"/>
      <c r="KV187" s="29"/>
      <c r="KW187" s="29"/>
      <c r="KX187" s="29"/>
      <c r="KY187" s="29"/>
      <c r="KZ187" s="29"/>
      <c r="LA187" s="29"/>
      <c r="LB187" s="29"/>
      <c r="LC187" s="29"/>
      <c r="LD187" s="29"/>
      <c r="LE187" s="29"/>
      <c r="LF187" s="29"/>
      <c r="LG187" s="29"/>
      <c r="LH187" s="29"/>
      <c r="LI187" s="29"/>
      <c r="LJ187" s="29"/>
      <c r="LK187" s="29"/>
      <c r="LL187" s="29"/>
      <c r="LM187" s="29"/>
      <c r="LN187" s="29"/>
      <c r="LO187" s="29"/>
      <c r="LP187" s="29"/>
      <c r="LQ187" s="29"/>
      <c r="LR187" s="29"/>
      <c r="LS187" s="29"/>
      <c r="LT187" s="29"/>
      <c r="LU187" s="29"/>
      <c r="LV187" s="29"/>
      <c r="LW187" s="29"/>
      <c r="LX187" s="29"/>
      <c r="LY187" s="29"/>
      <c r="LZ187" s="29"/>
      <c r="MA187" s="29"/>
      <c r="MB187" s="29"/>
      <c r="MC187" s="29"/>
      <c r="MD187" s="29"/>
      <c r="ME187" s="29"/>
      <c r="MF187" s="29"/>
      <c r="MG187" s="29"/>
      <c r="MH187" s="29"/>
      <c r="MI187" s="29"/>
      <c r="MJ187" s="29"/>
      <c r="MK187" s="29"/>
      <c r="ML187" s="29"/>
      <c r="MM187" s="29"/>
      <c r="MN187" s="29"/>
      <c r="MO187" s="29"/>
      <c r="MP187" s="29"/>
      <c r="MQ187" s="29"/>
      <c r="MR187" s="29"/>
      <c r="MS187" s="29"/>
      <c r="MT187" s="29"/>
      <c r="MU187" s="29"/>
      <c r="MV187" s="29"/>
      <c r="MW187" s="29"/>
      <c r="MX187" s="29"/>
      <c r="MY187" s="29"/>
      <c r="MZ187" s="29"/>
      <c r="NA187" s="29"/>
      <c r="NB187" s="29"/>
      <c r="NC187" s="29"/>
      <c r="ND187" s="29"/>
      <c r="NE187" s="29"/>
      <c r="NF187" s="29"/>
      <c r="NG187" s="29"/>
      <c r="NH187" s="29"/>
      <c r="NI187" s="29"/>
      <c r="NJ187" s="29"/>
      <c r="NK187" s="29"/>
      <c r="NL187" s="29"/>
      <c r="NM187" s="29"/>
      <c r="NN187" s="29"/>
      <c r="NO187" s="29"/>
      <c r="NP187" s="29"/>
      <c r="NQ187" s="29"/>
      <c r="NR187" s="29"/>
      <c r="NS187" s="29"/>
      <c r="NT187" s="29"/>
      <c r="NU187" s="29"/>
      <c r="NV187" s="29"/>
      <c r="NW187" s="29"/>
      <c r="NX187" s="29"/>
      <c r="NY187" s="29"/>
      <c r="NZ187" s="29"/>
      <c r="OA187" s="29"/>
      <c r="OB187" s="29"/>
      <c r="OC187" s="29"/>
      <c r="OD187" s="29"/>
      <c r="OE187" s="29"/>
      <c r="OF187" s="29"/>
      <c r="OG187" s="29"/>
      <c r="OH187" s="29"/>
      <c r="OI187" s="29"/>
      <c r="OJ187" s="29"/>
      <c r="OK187" s="29"/>
      <c r="OL187" s="29"/>
      <c r="OM187" s="29"/>
      <c r="ON187" s="29"/>
      <c r="OO187" s="29"/>
      <c r="OP187" s="29"/>
      <c r="OQ187" s="29"/>
      <c r="OR187" s="29"/>
      <c r="OS187" s="29"/>
      <c r="OT187" s="29"/>
      <c r="OU187" s="29"/>
      <c r="OV187" s="29"/>
      <c r="OW187" s="29"/>
      <c r="OX187" s="29"/>
      <c r="OY187" s="29"/>
      <c r="OZ187" s="29"/>
      <c r="PA187" s="29"/>
      <c r="PB187" s="29"/>
      <c r="PC187" s="29"/>
      <c r="PD187" s="29"/>
      <c r="PE187" s="29"/>
      <c r="PF187" s="29"/>
      <c r="PG187" s="29"/>
      <c r="PH187" s="29"/>
      <c r="PI187" s="29"/>
      <c r="PJ187" s="29"/>
      <c r="PK187" s="29"/>
      <c r="PL187" s="29"/>
      <c r="PM187" s="29"/>
      <c r="PN187" s="29"/>
      <c r="PO187" s="29"/>
      <c r="PP187" s="29"/>
      <c r="PQ187" s="29"/>
      <c r="PR187" s="29"/>
      <c r="PS187" s="29"/>
      <c r="PT187" s="29"/>
      <c r="PU187" s="29"/>
      <c r="PV187" s="29"/>
      <c r="PW187" s="29"/>
      <c r="PX187" s="29"/>
      <c r="PY187" s="29"/>
      <c r="PZ187" s="29"/>
      <c r="QA187" s="29"/>
      <c r="QB187" s="29"/>
      <c r="QC187" s="29"/>
      <c r="QD187" s="29"/>
      <c r="QE187" s="29"/>
      <c r="QF187" s="29"/>
      <c r="QG187" s="29"/>
      <c r="QH187" s="29"/>
      <c r="QI187" s="29"/>
      <c r="QJ187" s="29"/>
      <c r="QK187" s="29"/>
      <c r="QL187" s="29"/>
      <c r="QM187" s="29"/>
      <c r="QN187" s="29"/>
      <c r="QO187" s="29"/>
      <c r="QP187" s="29"/>
      <c r="QQ187" s="29"/>
      <c r="QR187" s="29"/>
      <c r="QS187" s="29"/>
      <c r="QT187" s="29"/>
      <c r="QU187" s="29"/>
      <c r="QV187" s="29"/>
      <c r="QW187" s="29"/>
      <c r="QX187" s="29"/>
      <c r="QY187" s="29"/>
      <c r="QZ187" s="29"/>
      <c r="RA187" s="29"/>
      <c r="RB187" s="29"/>
      <c r="RC187" s="29"/>
      <c r="RD187" s="29"/>
      <c r="RE187" s="29"/>
      <c r="RF187" s="29"/>
      <c r="RG187" s="29"/>
      <c r="RH187" s="29"/>
      <c r="RI187" s="29"/>
      <c r="RJ187" s="29"/>
      <c r="RK187" s="29"/>
      <c r="RL187" s="29"/>
      <c r="RM187" s="29"/>
      <c r="RN187" s="29"/>
      <c r="RO187" s="29"/>
      <c r="RP187" s="29"/>
      <c r="RQ187" s="29"/>
      <c r="RR187" s="29"/>
      <c r="RS187" s="29"/>
      <c r="RT187" s="29"/>
      <c r="RU187" s="29"/>
      <c r="RV187" s="29"/>
      <c r="RW187" s="29"/>
      <c r="RX187" s="29"/>
      <c r="RY187" s="29"/>
      <c r="RZ187" s="29"/>
      <c r="SA187" s="29"/>
      <c r="SB187" s="29"/>
      <c r="SC187" s="29"/>
      <c r="SD187" s="29"/>
      <c r="SE187" s="29"/>
      <c r="SF187" s="29"/>
      <c r="SG187" s="29"/>
      <c r="SH187" s="29"/>
      <c r="SI187" s="29"/>
      <c r="SJ187" s="29"/>
      <c r="SK187" s="29"/>
      <c r="SL187" s="29"/>
      <c r="SM187" s="29"/>
      <c r="SN187" s="29"/>
      <c r="SO187" s="29"/>
      <c r="SP187" s="29"/>
      <c r="SQ187" s="29"/>
      <c r="SR187" s="29"/>
      <c r="SS187" s="29"/>
      <c r="ST187" s="29"/>
      <c r="SU187" s="29"/>
      <c r="SV187" s="29"/>
      <c r="SW187" s="29"/>
      <c r="SX187" s="29"/>
      <c r="SY187" s="29"/>
      <c r="SZ187" s="29"/>
      <c r="TA187" s="29"/>
      <c r="TB187" s="29"/>
      <c r="TC187" s="29"/>
      <c r="TD187" s="29"/>
      <c r="TE187" s="29"/>
      <c r="TF187" s="29"/>
      <c r="TG187" s="29"/>
      <c r="TH187" s="29"/>
      <c r="TI187" s="29"/>
      <c r="TJ187" s="29"/>
      <c r="TK187" s="29"/>
      <c r="TL187" s="29"/>
      <c r="TM187" s="29"/>
      <c r="TN187" s="29"/>
      <c r="TO187" s="29"/>
      <c r="TP187" s="29"/>
      <c r="TQ187" s="29"/>
      <c r="TR187" s="29"/>
      <c r="TS187" s="29"/>
      <c r="TT187" s="29"/>
      <c r="TU187" s="29"/>
      <c r="TV187" s="29"/>
      <c r="TW187" s="29"/>
      <c r="TX187" s="29"/>
      <c r="TY187" s="29"/>
      <c r="TZ187" s="29"/>
      <c r="UA187" s="29"/>
      <c r="UB187" s="29"/>
      <c r="UC187" s="29"/>
      <c r="UD187" s="29"/>
      <c r="UE187" s="29"/>
      <c r="UF187" s="29"/>
      <c r="UG187" s="29"/>
      <c r="UH187" s="29"/>
      <c r="UI187" s="29"/>
      <c r="UJ187" s="29"/>
      <c r="UK187" s="29"/>
      <c r="UL187" s="29"/>
      <c r="UM187" s="29"/>
      <c r="UN187" s="29"/>
      <c r="UO187" s="29"/>
      <c r="UP187" s="29"/>
      <c r="UQ187" s="29"/>
      <c r="UR187" s="29"/>
      <c r="US187" s="29"/>
      <c r="UT187" s="29"/>
      <c r="UU187" s="29"/>
      <c r="UV187" s="29"/>
      <c r="UW187" s="29"/>
      <c r="UX187" s="29"/>
      <c r="UY187" s="29"/>
      <c r="UZ187" s="29"/>
      <c r="VA187" s="29"/>
      <c r="VB187" s="29"/>
      <c r="VC187" s="29"/>
      <c r="VD187" s="29"/>
      <c r="VE187" s="29"/>
      <c r="VF187" s="29"/>
      <c r="VG187" s="29"/>
      <c r="VH187" s="29"/>
      <c r="VI187" s="29"/>
      <c r="VJ187" s="29"/>
      <c r="VK187" s="29"/>
      <c r="VL187" s="29"/>
      <c r="VM187" s="29"/>
      <c r="VN187" s="29"/>
      <c r="VO187" s="29"/>
      <c r="VP187" s="29"/>
      <c r="VQ187" s="29"/>
      <c r="VR187" s="29"/>
      <c r="VS187" s="29"/>
      <c r="VT187" s="29"/>
      <c r="VU187" s="29"/>
      <c r="VV187" s="29"/>
      <c r="VW187" s="29"/>
      <c r="VX187" s="29"/>
      <c r="VY187" s="29"/>
      <c r="VZ187" s="29"/>
      <c r="WA187" s="29"/>
      <c r="WB187" s="29"/>
      <c r="WC187" s="29"/>
      <c r="WD187" s="29"/>
      <c r="WE187" s="29"/>
      <c r="WF187" s="29"/>
      <c r="WG187" s="29"/>
      <c r="WH187" s="29"/>
      <c r="WI187" s="29"/>
      <c r="WJ187" s="29"/>
      <c r="WK187" s="29"/>
      <c r="WL187" s="29"/>
      <c r="WM187" s="29"/>
      <c r="WN187" s="29"/>
      <c r="WO187" s="29"/>
      <c r="WP187" s="29"/>
      <c r="WQ187" s="29"/>
      <c r="WR187" s="29"/>
      <c r="WS187" s="29"/>
    </row>
    <row r="188" spans="1:617" s="3" customFormat="1" ht="15" hidden="1" outlineLevel="1" thickBot="1">
      <c r="A188" s="33"/>
      <c r="B188" s="82" t="s">
        <v>247</v>
      </c>
      <c r="C188" s="138" t="s">
        <v>284</v>
      </c>
      <c r="D188" s="119">
        <v>45735</v>
      </c>
      <c r="E188" s="119">
        <v>45814</v>
      </c>
      <c r="F188" s="14"/>
      <c r="G188" s="14">
        <v>79</v>
      </c>
      <c r="H188" s="29"/>
      <c r="I188" s="29"/>
      <c r="J188" s="29"/>
      <c r="K188" s="29"/>
      <c r="L188" s="29"/>
      <c r="M188" s="29"/>
      <c r="N188" s="29"/>
      <c r="O188" s="29"/>
      <c r="P188" s="29"/>
      <c r="Q188" s="29"/>
      <c r="R188" s="29"/>
      <c r="S188" s="29"/>
      <c r="T188" s="29"/>
      <c r="U188" s="29"/>
      <c r="V188" s="29"/>
      <c r="W188" s="29"/>
      <c r="X188" s="29"/>
      <c r="Y188" s="29"/>
      <c r="Z188" s="29"/>
      <c r="AA188" s="29"/>
      <c r="AB188" s="29"/>
      <c r="AC188" s="29"/>
      <c r="AD188" s="29"/>
      <c r="AE188" s="29"/>
      <c r="AF188" s="29"/>
      <c r="AG188" s="29"/>
      <c r="AH188" s="29"/>
      <c r="AI188" s="29"/>
      <c r="AJ188" s="29"/>
      <c r="AK188" s="29"/>
      <c r="AL188" s="29"/>
      <c r="AM188" s="29"/>
      <c r="AN188" s="29"/>
      <c r="AO188" s="29"/>
      <c r="AP188" s="29"/>
      <c r="AQ188" s="29"/>
      <c r="AR188" s="29"/>
      <c r="AS188" s="29"/>
      <c r="AT188" s="29"/>
      <c r="AU188" s="29"/>
      <c r="AV188" s="29"/>
      <c r="AW188" s="29"/>
      <c r="AX188" s="29"/>
      <c r="AY188" s="29"/>
      <c r="AZ188" s="29"/>
      <c r="BA188" s="29"/>
      <c r="BB188" s="29"/>
      <c r="BC188" s="29"/>
      <c r="BD188" s="29"/>
      <c r="BE188" s="29"/>
      <c r="BF188" s="29"/>
      <c r="BG188" s="29"/>
      <c r="BH188" s="29"/>
      <c r="BI188" s="29"/>
      <c r="BJ188" s="29"/>
      <c r="BK188" s="29"/>
      <c r="BL188" s="29"/>
      <c r="BM188" s="29"/>
      <c r="BN188" s="29"/>
      <c r="BO188" s="29"/>
      <c r="BP188" s="29"/>
      <c r="BQ188" s="29"/>
      <c r="BR188" s="29"/>
      <c r="BS188" s="29"/>
      <c r="BT188" s="29"/>
      <c r="BU188" s="29"/>
      <c r="BV188" s="29"/>
      <c r="BW188" s="29"/>
      <c r="BX188" s="29"/>
      <c r="BY188" s="29"/>
      <c r="BZ188" s="29"/>
      <c r="CA188" s="29"/>
      <c r="CB188" s="29"/>
      <c r="CC188" s="29"/>
      <c r="CD188" s="29"/>
      <c r="CE188" s="29"/>
      <c r="CF188" s="29"/>
      <c r="CG188" s="29"/>
      <c r="CH188" s="29"/>
      <c r="CI188" s="29"/>
      <c r="CJ188" s="29"/>
      <c r="CK188" s="29"/>
      <c r="CL188" s="29"/>
      <c r="CM188" s="29"/>
      <c r="CN188" s="29"/>
      <c r="CO188" s="29"/>
      <c r="CP188" s="29"/>
      <c r="CQ188" s="29"/>
      <c r="CR188" s="29"/>
      <c r="CS188" s="29"/>
      <c r="CT188" s="29"/>
      <c r="CU188" s="29"/>
      <c r="CV188" s="29"/>
      <c r="CW188" s="29"/>
      <c r="CX188" s="29"/>
      <c r="CY188" s="29"/>
      <c r="CZ188" s="29"/>
      <c r="DA188" s="29"/>
      <c r="DB188" s="29"/>
      <c r="DC188" s="29"/>
      <c r="DD188" s="29"/>
      <c r="DE188" s="29"/>
      <c r="DF188" s="29"/>
      <c r="DG188" s="29"/>
      <c r="DH188" s="29"/>
      <c r="DI188" s="29"/>
      <c r="DJ188" s="29"/>
      <c r="DK188" s="29"/>
      <c r="DL188" s="29"/>
      <c r="DM188" s="29"/>
      <c r="DN188" s="29"/>
      <c r="DO188" s="29"/>
      <c r="DP188" s="29"/>
      <c r="DQ188" s="29"/>
      <c r="DR188" s="29"/>
      <c r="DS188" s="29"/>
      <c r="DT188" s="29"/>
      <c r="DU188" s="29"/>
      <c r="DV188" s="29"/>
      <c r="DW188" s="29"/>
      <c r="DX188" s="29"/>
      <c r="DY188" s="29"/>
      <c r="DZ188" s="29"/>
      <c r="EA188" s="29"/>
      <c r="EB188" s="29"/>
      <c r="EC188" s="29"/>
      <c r="ED188" s="29"/>
      <c r="EE188" s="29"/>
      <c r="EF188" s="29"/>
      <c r="EG188" s="29"/>
      <c r="EH188" s="29"/>
      <c r="EI188" s="29"/>
      <c r="EJ188" s="29"/>
      <c r="EK188" s="29"/>
      <c r="EL188" s="29"/>
      <c r="EM188" s="29"/>
      <c r="EN188" s="29"/>
      <c r="EO188" s="29"/>
      <c r="EP188" s="29"/>
      <c r="EQ188" s="29"/>
      <c r="ER188" s="29"/>
      <c r="ES188" s="29"/>
      <c r="ET188" s="29"/>
      <c r="EU188" s="29"/>
      <c r="EV188" s="29"/>
      <c r="EW188" s="29"/>
      <c r="EX188" s="29"/>
      <c r="EY188" s="29"/>
      <c r="EZ188" s="29"/>
      <c r="FA188" s="29"/>
      <c r="FB188" s="29"/>
      <c r="FC188" s="29"/>
      <c r="FD188" s="29"/>
      <c r="FE188" s="29"/>
      <c r="FF188" s="29"/>
      <c r="FG188" s="29"/>
      <c r="FH188" s="29"/>
      <c r="FI188" s="29"/>
      <c r="FJ188" s="29"/>
      <c r="FK188" s="29"/>
      <c r="FL188" s="29"/>
      <c r="FM188" s="29"/>
      <c r="FN188" s="29"/>
      <c r="FO188" s="29"/>
      <c r="FP188" s="29"/>
      <c r="FQ188" s="29"/>
      <c r="FR188" s="29"/>
      <c r="FS188" s="29"/>
      <c r="FT188" s="29"/>
      <c r="FU188" s="29"/>
      <c r="FV188" s="29"/>
      <c r="FW188" s="29"/>
      <c r="FX188" s="29"/>
      <c r="FY188" s="29"/>
      <c r="FZ188" s="29"/>
      <c r="GA188" s="29"/>
      <c r="GB188" s="29"/>
      <c r="GC188" s="29"/>
      <c r="GD188" s="29"/>
      <c r="GE188" s="29"/>
      <c r="GF188" s="29"/>
      <c r="GG188" s="29"/>
      <c r="GH188" s="29"/>
      <c r="GI188" s="29"/>
      <c r="GJ188" s="29"/>
      <c r="GK188" s="29"/>
      <c r="GL188" s="29"/>
      <c r="GM188" s="29"/>
      <c r="GN188" s="29"/>
      <c r="GO188" s="29"/>
      <c r="GP188" s="29"/>
      <c r="GQ188" s="29"/>
      <c r="GR188" s="29"/>
      <c r="GS188" s="29"/>
      <c r="GT188" s="29"/>
      <c r="GU188" s="29"/>
      <c r="GV188" s="29"/>
      <c r="GW188" s="29"/>
      <c r="GX188" s="29"/>
      <c r="GY188" s="29"/>
      <c r="GZ188" s="29"/>
      <c r="HA188" s="29"/>
      <c r="HB188" s="29"/>
      <c r="HC188" s="29"/>
      <c r="HD188" s="29"/>
      <c r="HE188" s="29"/>
      <c r="HF188" s="29"/>
      <c r="HG188" s="29"/>
      <c r="HH188" s="29"/>
      <c r="HI188" s="29"/>
      <c r="HJ188" s="29"/>
      <c r="HK188" s="29"/>
      <c r="HL188" s="29"/>
      <c r="HM188" s="29"/>
      <c r="HN188" s="29"/>
      <c r="HO188" s="29"/>
      <c r="HP188" s="29"/>
      <c r="HQ188" s="29"/>
      <c r="HR188" s="29"/>
      <c r="HS188" s="29"/>
      <c r="HT188" s="29"/>
      <c r="HU188" s="29"/>
      <c r="HV188" s="29"/>
      <c r="HW188" s="29"/>
      <c r="HX188" s="29"/>
      <c r="HY188" s="29"/>
      <c r="HZ188" s="29"/>
      <c r="IA188" s="29"/>
      <c r="IB188" s="29"/>
      <c r="IC188" s="29"/>
      <c r="ID188" s="29"/>
      <c r="IE188" s="29"/>
      <c r="IF188" s="29"/>
      <c r="IG188" s="29"/>
      <c r="IH188" s="29"/>
      <c r="II188" s="29"/>
      <c r="IJ188" s="29"/>
      <c r="IK188" s="29"/>
      <c r="IL188" s="29"/>
      <c r="IM188" s="29"/>
      <c r="IN188" s="29"/>
      <c r="IO188" s="29"/>
      <c r="IP188" s="29"/>
      <c r="IQ188" s="29"/>
      <c r="IR188" s="29"/>
      <c r="IS188" s="29"/>
      <c r="IT188" s="29"/>
      <c r="IU188" s="29"/>
      <c r="IV188" s="29"/>
      <c r="IW188" s="29"/>
      <c r="IX188" s="29"/>
      <c r="IY188" s="29"/>
      <c r="IZ188" s="29"/>
      <c r="JA188" s="29"/>
      <c r="JB188" s="29"/>
      <c r="JC188" s="29"/>
      <c r="JD188" s="29"/>
      <c r="JE188" s="29"/>
      <c r="JF188" s="29"/>
      <c r="JG188" s="29"/>
      <c r="JH188" s="29"/>
      <c r="JI188" s="29"/>
      <c r="JJ188" s="29"/>
      <c r="JK188" s="29"/>
      <c r="JL188" s="29"/>
      <c r="JM188" s="29"/>
      <c r="JN188" s="29"/>
      <c r="JO188" s="29"/>
      <c r="JP188" s="29"/>
      <c r="JQ188" s="29"/>
      <c r="JR188" s="29"/>
      <c r="JS188" s="29"/>
      <c r="JT188" s="29"/>
      <c r="JU188" s="29"/>
      <c r="JV188" s="29"/>
      <c r="JW188" s="29"/>
      <c r="JX188" s="29"/>
      <c r="JY188" s="29"/>
      <c r="JZ188" s="29"/>
      <c r="KA188" s="29"/>
      <c r="KB188" s="29"/>
      <c r="KC188" s="29"/>
      <c r="KD188" s="29"/>
      <c r="KE188" s="29"/>
      <c r="KF188" s="29"/>
      <c r="KG188" s="29"/>
      <c r="KH188" s="29"/>
      <c r="KI188" s="29"/>
      <c r="KJ188" s="29"/>
      <c r="KK188" s="29"/>
      <c r="KL188" s="29"/>
      <c r="KM188" s="29"/>
      <c r="KN188" s="29"/>
      <c r="KO188" s="29"/>
      <c r="KP188" s="29"/>
      <c r="KQ188" s="29"/>
      <c r="KR188" s="29"/>
      <c r="KS188" s="29"/>
      <c r="KT188" s="29"/>
      <c r="KU188" s="29"/>
      <c r="KV188" s="29"/>
      <c r="KW188" s="29"/>
      <c r="KX188" s="29"/>
      <c r="KY188" s="29"/>
      <c r="KZ188" s="29"/>
      <c r="LA188" s="29"/>
      <c r="LB188" s="29"/>
      <c r="LC188" s="29"/>
      <c r="LD188" s="29"/>
      <c r="LE188" s="29"/>
      <c r="LF188" s="29"/>
      <c r="LG188" s="29"/>
      <c r="LH188" s="29"/>
      <c r="LI188" s="29"/>
      <c r="LJ188" s="29"/>
      <c r="LK188" s="29"/>
      <c r="LL188" s="29"/>
      <c r="LM188" s="29"/>
      <c r="LN188" s="29"/>
      <c r="LO188" s="29"/>
      <c r="LP188" s="29"/>
      <c r="LQ188" s="29"/>
      <c r="LR188" s="29"/>
      <c r="LS188" s="29"/>
      <c r="LT188" s="29"/>
      <c r="LU188" s="29"/>
      <c r="LV188" s="29"/>
      <c r="LW188" s="29"/>
      <c r="LX188" s="29"/>
      <c r="LY188" s="29"/>
      <c r="LZ188" s="29"/>
      <c r="MA188" s="29"/>
      <c r="MB188" s="29"/>
      <c r="MC188" s="29"/>
      <c r="MD188" s="29"/>
      <c r="ME188" s="29"/>
      <c r="MF188" s="29"/>
      <c r="MG188" s="29"/>
      <c r="MH188" s="29"/>
      <c r="MI188" s="29"/>
      <c r="MJ188" s="29"/>
      <c r="MK188" s="29"/>
      <c r="ML188" s="29"/>
      <c r="MM188" s="29"/>
      <c r="MN188" s="29"/>
      <c r="MO188" s="29"/>
      <c r="MP188" s="29"/>
      <c r="MQ188" s="29"/>
      <c r="MR188" s="29"/>
      <c r="MS188" s="29"/>
      <c r="MT188" s="29"/>
      <c r="MU188" s="29"/>
      <c r="MV188" s="29"/>
      <c r="MW188" s="29"/>
      <c r="MX188" s="29"/>
      <c r="MY188" s="29"/>
      <c r="MZ188" s="29"/>
      <c r="NA188" s="29"/>
      <c r="NB188" s="29"/>
      <c r="NC188" s="29"/>
      <c r="ND188" s="29"/>
      <c r="NE188" s="29"/>
      <c r="NF188" s="29"/>
      <c r="NG188" s="29"/>
      <c r="NH188" s="29"/>
      <c r="NI188" s="29"/>
      <c r="NJ188" s="29"/>
      <c r="NK188" s="29"/>
      <c r="NL188" s="29"/>
      <c r="NM188" s="29"/>
      <c r="NN188" s="29"/>
      <c r="NO188" s="29"/>
      <c r="NP188" s="29"/>
      <c r="NQ188" s="29"/>
      <c r="NR188" s="29"/>
      <c r="NS188" s="29"/>
      <c r="NT188" s="29"/>
      <c r="NU188" s="29"/>
      <c r="NV188" s="29"/>
      <c r="NW188" s="29"/>
      <c r="NX188" s="29"/>
      <c r="NY188" s="29"/>
      <c r="NZ188" s="29"/>
      <c r="OA188" s="29"/>
      <c r="OB188" s="29"/>
      <c r="OC188" s="29"/>
      <c r="OD188" s="29"/>
      <c r="OE188" s="29"/>
      <c r="OF188" s="29"/>
      <c r="OG188" s="29"/>
      <c r="OH188" s="29"/>
      <c r="OI188" s="29"/>
      <c r="OJ188" s="29"/>
      <c r="OK188" s="29"/>
      <c r="OL188" s="29"/>
      <c r="OM188" s="29"/>
      <c r="ON188" s="29"/>
      <c r="OO188" s="29"/>
      <c r="OP188" s="29"/>
      <c r="OQ188" s="29"/>
      <c r="OR188" s="29"/>
      <c r="OS188" s="29"/>
      <c r="OT188" s="29"/>
      <c r="OU188" s="29"/>
      <c r="OV188" s="29"/>
      <c r="OW188" s="29"/>
      <c r="OX188" s="29"/>
      <c r="OY188" s="29"/>
      <c r="OZ188" s="29"/>
      <c r="PA188" s="29"/>
      <c r="PB188" s="29"/>
      <c r="PC188" s="29"/>
      <c r="PD188" s="29"/>
      <c r="PE188" s="29"/>
      <c r="PF188" s="29"/>
      <c r="PG188" s="29"/>
      <c r="PH188" s="29"/>
      <c r="PI188" s="29"/>
      <c r="PJ188" s="29"/>
      <c r="PK188" s="29"/>
      <c r="PL188" s="29"/>
      <c r="PM188" s="29"/>
      <c r="PN188" s="29"/>
      <c r="PO188" s="29"/>
      <c r="PP188" s="29"/>
      <c r="PQ188" s="29"/>
      <c r="PR188" s="29"/>
      <c r="PS188" s="29"/>
      <c r="PT188" s="29"/>
      <c r="PU188" s="29"/>
      <c r="PV188" s="29"/>
      <c r="PW188" s="29"/>
      <c r="PX188" s="29"/>
      <c r="PY188" s="29"/>
      <c r="PZ188" s="29"/>
      <c r="QA188" s="29"/>
      <c r="QB188" s="29"/>
      <c r="QC188" s="29"/>
      <c r="QD188" s="29"/>
      <c r="QE188" s="29"/>
      <c r="QF188" s="29"/>
      <c r="QG188" s="29"/>
      <c r="QH188" s="29"/>
      <c r="QI188" s="29"/>
      <c r="QJ188" s="29"/>
      <c r="QK188" s="29"/>
      <c r="QL188" s="29"/>
      <c r="QM188" s="29"/>
      <c r="QN188" s="29"/>
      <c r="QO188" s="29"/>
      <c r="QP188" s="29"/>
      <c r="QQ188" s="29"/>
      <c r="QR188" s="29"/>
      <c r="QS188" s="29"/>
      <c r="QT188" s="29"/>
      <c r="QU188" s="29"/>
      <c r="QV188" s="29"/>
      <c r="QW188" s="29"/>
      <c r="QX188" s="29"/>
      <c r="QY188" s="29"/>
      <c r="QZ188" s="29"/>
      <c r="RA188" s="29"/>
      <c r="RB188" s="29"/>
      <c r="RC188" s="29"/>
      <c r="RD188" s="29"/>
      <c r="RE188" s="29"/>
      <c r="RF188" s="29"/>
      <c r="RG188" s="29"/>
      <c r="RH188" s="29"/>
      <c r="RI188" s="29"/>
      <c r="RJ188" s="29"/>
      <c r="RK188" s="29"/>
      <c r="RL188" s="29"/>
      <c r="RM188" s="29"/>
      <c r="RN188" s="29"/>
      <c r="RO188" s="29"/>
      <c r="RP188" s="29"/>
      <c r="RQ188" s="29"/>
      <c r="RR188" s="29"/>
      <c r="RS188" s="29"/>
      <c r="RT188" s="29"/>
      <c r="RU188" s="29"/>
      <c r="RV188" s="29"/>
      <c r="RW188" s="29"/>
      <c r="RX188" s="29"/>
      <c r="RY188" s="29"/>
      <c r="RZ188" s="29"/>
      <c r="SA188" s="29"/>
      <c r="SB188" s="29"/>
      <c r="SC188" s="29"/>
      <c r="SD188" s="29"/>
      <c r="SE188" s="29"/>
      <c r="SF188" s="29"/>
      <c r="SG188" s="29"/>
      <c r="SH188" s="29"/>
      <c r="SI188" s="29"/>
      <c r="SJ188" s="29"/>
      <c r="SK188" s="29"/>
      <c r="SL188" s="29"/>
      <c r="SM188" s="29"/>
      <c r="SN188" s="29"/>
      <c r="SO188" s="29"/>
      <c r="SP188" s="29"/>
      <c r="SQ188" s="29"/>
      <c r="SR188" s="29"/>
      <c r="SS188" s="29"/>
      <c r="ST188" s="29"/>
      <c r="SU188" s="29"/>
      <c r="SV188" s="29"/>
      <c r="SW188" s="29"/>
      <c r="SX188" s="29"/>
      <c r="SY188" s="29"/>
      <c r="SZ188" s="29"/>
      <c r="TA188" s="29"/>
      <c r="TB188" s="29"/>
      <c r="TC188" s="29"/>
      <c r="TD188" s="29"/>
      <c r="TE188" s="29"/>
      <c r="TF188" s="29"/>
      <c r="TG188" s="29"/>
      <c r="TH188" s="29"/>
      <c r="TI188" s="29"/>
      <c r="TJ188" s="29"/>
      <c r="TK188" s="29"/>
      <c r="TL188" s="29"/>
      <c r="TM188" s="29"/>
      <c r="TN188" s="29"/>
      <c r="TO188" s="29"/>
      <c r="TP188" s="29"/>
      <c r="TQ188" s="29"/>
      <c r="TR188" s="29"/>
      <c r="TS188" s="29"/>
      <c r="TT188" s="29"/>
      <c r="TU188" s="29"/>
      <c r="TV188" s="29"/>
      <c r="TW188" s="29"/>
      <c r="TX188" s="29"/>
      <c r="TY188" s="29"/>
      <c r="TZ188" s="29"/>
      <c r="UA188" s="29"/>
      <c r="UB188" s="29"/>
      <c r="UC188" s="29"/>
      <c r="UD188" s="29"/>
      <c r="UE188" s="29"/>
      <c r="UF188" s="29"/>
      <c r="UG188" s="29"/>
      <c r="UH188" s="29"/>
      <c r="UI188" s="29"/>
      <c r="UJ188" s="29"/>
      <c r="UK188" s="29"/>
      <c r="UL188" s="29"/>
      <c r="UM188" s="29"/>
      <c r="UN188" s="29"/>
      <c r="UO188" s="29"/>
      <c r="UP188" s="29"/>
      <c r="UQ188" s="29"/>
      <c r="UR188" s="29"/>
      <c r="US188" s="29"/>
      <c r="UT188" s="29"/>
      <c r="UU188" s="29"/>
      <c r="UV188" s="29"/>
      <c r="UW188" s="29"/>
      <c r="UX188" s="29"/>
      <c r="UY188" s="29"/>
      <c r="UZ188" s="29"/>
      <c r="VA188" s="29"/>
      <c r="VB188" s="29"/>
      <c r="VC188" s="29"/>
      <c r="VD188" s="29"/>
      <c r="VE188" s="29"/>
      <c r="VF188" s="29"/>
      <c r="VG188" s="29"/>
      <c r="VH188" s="29"/>
      <c r="VI188" s="29"/>
      <c r="VJ188" s="29"/>
      <c r="VK188" s="29"/>
      <c r="VL188" s="29"/>
      <c r="VM188" s="29"/>
      <c r="VN188" s="29"/>
      <c r="VO188" s="29"/>
      <c r="VP188" s="29"/>
      <c r="VQ188" s="29"/>
      <c r="VR188" s="29"/>
      <c r="VS188" s="29"/>
      <c r="VT188" s="29"/>
      <c r="VU188" s="29"/>
      <c r="VV188" s="29"/>
      <c r="VW188" s="29"/>
      <c r="VX188" s="29"/>
      <c r="VY188" s="29"/>
      <c r="VZ188" s="29"/>
      <c r="WA188" s="29"/>
      <c r="WB188" s="29"/>
      <c r="WC188" s="29"/>
      <c r="WD188" s="29"/>
      <c r="WE188" s="29"/>
      <c r="WF188" s="29"/>
      <c r="WG188" s="29"/>
      <c r="WH188" s="29"/>
      <c r="WI188" s="29"/>
      <c r="WJ188" s="29"/>
      <c r="WK188" s="29"/>
      <c r="WL188" s="29"/>
      <c r="WM188" s="29"/>
      <c r="WN188" s="29"/>
      <c r="WO188" s="29"/>
      <c r="WP188" s="29"/>
      <c r="WQ188" s="29"/>
      <c r="WR188" s="29"/>
      <c r="WS188" s="29"/>
    </row>
    <row r="189" spans="1:617" s="3" customFormat="1" ht="15" hidden="1" outlineLevel="1" thickBot="1">
      <c r="A189" s="33"/>
      <c r="B189" s="82" t="s">
        <v>247</v>
      </c>
      <c r="C189" s="138" t="s">
        <v>271</v>
      </c>
      <c r="D189" s="119">
        <v>45817</v>
      </c>
      <c r="E189" s="119">
        <v>45870</v>
      </c>
      <c r="F189" s="14"/>
      <c r="G189" s="14">
        <v>53</v>
      </c>
      <c r="H189" s="29"/>
      <c r="I189" s="29"/>
      <c r="J189" s="29"/>
      <c r="K189" s="29"/>
      <c r="L189" s="29"/>
      <c r="M189" s="29"/>
      <c r="N189" s="29"/>
      <c r="O189" s="29"/>
      <c r="P189" s="29"/>
      <c r="Q189" s="29"/>
      <c r="R189" s="29"/>
      <c r="S189" s="29"/>
      <c r="T189" s="29"/>
      <c r="U189" s="29"/>
      <c r="V189" s="29"/>
      <c r="W189" s="29"/>
      <c r="X189" s="29"/>
      <c r="Y189" s="29"/>
      <c r="Z189" s="29"/>
      <c r="AA189" s="29"/>
      <c r="AB189" s="29"/>
      <c r="AC189" s="29"/>
      <c r="AD189" s="29"/>
      <c r="AE189" s="29"/>
      <c r="AF189" s="29"/>
      <c r="AG189" s="29"/>
      <c r="AH189" s="29"/>
      <c r="AI189" s="29"/>
      <c r="AJ189" s="29"/>
      <c r="AK189" s="29"/>
      <c r="AL189" s="29"/>
      <c r="AM189" s="29"/>
      <c r="AN189" s="29"/>
      <c r="AO189" s="29"/>
      <c r="AP189" s="29"/>
      <c r="AQ189" s="29"/>
      <c r="AR189" s="29"/>
      <c r="AS189" s="29"/>
      <c r="AT189" s="29"/>
      <c r="AU189" s="29"/>
      <c r="AV189" s="29"/>
      <c r="AW189" s="29"/>
      <c r="AX189" s="29"/>
      <c r="AY189" s="29"/>
      <c r="AZ189" s="29"/>
      <c r="BA189" s="29"/>
      <c r="BB189" s="29"/>
      <c r="BC189" s="29"/>
      <c r="BD189" s="29"/>
      <c r="BE189" s="29"/>
      <c r="BF189" s="29"/>
      <c r="BG189" s="29"/>
      <c r="BH189" s="29"/>
      <c r="BI189" s="29"/>
      <c r="BJ189" s="29"/>
      <c r="BK189" s="29"/>
      <c r="BL189" s="29"/>
      <c r="BM189" s="29"/>
      <c r="BN189" s="29"/>
      <c r="BO189" s="29"/>
      <c r="BP189" s="29"/>
      <c r="BQ189" s="29"/>
      <c r="BR189" s="29"/>
      <c r="BS189" s="29"/>
      <c r="BT189" s="29"/>
      <c r="BU189" s="29"/>
      <c r="BV189" s="29"/>
      <c r="BW189" s="29"/>
      <c r="BX189" s="29"/>
      <c r="BY189" s="29"/>
      <c r="BZ189" s="29"/>
      <c r="CA189" s="29"/>
      <c r="CB189" s="29"/>
      <c r="CC189" s="29"/>
      <c r="CD189" s="29"/>
      <c r="CE189" s="29"/>
      <c r="CF189" s="29"/>
      <c r="CG189" s="29"/>
      <c r="CH189" s="29"/>
      <c r="CI189" s="29"/>
      <c r="CJ189" s="29"/>
      <c r="CK189" s="29"/>
      <c r="CL189" s="29"/>
      <c r="CM189" s="29"/>
      <c r="CN189" s="29"/>
      <c r="CO189" s="29"/>
      <c r="CP189" s="29"/>
      <c r="CQ189" s="29"/>
      <c r="CR189" s="29"/>
      <c r="CS189" s="29"/>
      <c r="CT189" s="29"/>
      <c r="CU189" s="29"/>
      <c r="CV189" s="29"/>
      <c r="CW189" s="29"/>
      <c r="CX189" s="29"/>
      <c r="CY189" s="29"/>
      <c r="CZ189" s="29"/>
      <c r="DA189" s="29"/>
      <c r="DB189" s="29"/>
      <c r="DC189" s="29"/>
      <c r="DD189" s="29"/>
      <c r="DE189" s="29"/>
      <c r="DF189" s="29"/>
      <c r="DG189" s="29"/>
      <c r="DH189" s="29"/>
      <c r="DI189" s="29"/>
      <c r="DJ189" s="29"/>
      <c r="DK189" s="29"/>
      <c r="DL189" s="29"/>
      <c r="DM189" s="29"/>
      <c r="DN189" s="29"/>
      <c r="DO189" s="29"/>
      <c r="DP189" s="29"/>
      <c r="DQ189" s="29"/>
      <c r="DR189" s="29"/>
      <c r="DS189" s="29"/>
      <c r="DT189" s="29"/>
      <c r="DU189" s="29"/>
      <c r="DV189" s="29"/>
      <c r="DW189" s="29"/>
      <c r="DX189" s="29"/>
      <c r="DY189" s="29"/>
      <c r="DZ189" s="29"/>
      <c r="EA189" s="29"/>
      <c r="EB189" s="29"/>
      <c r="EC189" s="29"/>
      <c r="ED189" s="29"/>
      <c r="EE189" s="29"/>
      <c r="EF189" s="29"/>
      <c r="EG189" s="29"/>
      <c r="EH189" s="29"/>
      <c r="EI189" s="29"/>
      <c r="EJ189" s="29"/>
      <c r="EK189" s="29"/>
      <c r="EL189" s="29"/>
      <c r="EM189" s="29"/>
      <c r="EN189" s="29"/>
      <c r="EO189" s="29"/>
      <c r="EP189" s="29"/>
      <c r="EQ189" s="29"/>
      <c r="ER189" s="29"/>
      <c r="ES189" s="29"/>
      <c r="ET189" s="29"/>
      <c r="EU189" s="29"/>
      <c r="EV189" s="29"/>
      <c r="EW189" s="29"/>
      <c r="EX189" s="29"/>
      <c r="EY189" s="29"/>
      <c r="EZ189" s="29"/>
      <c r="FA189" s="29"/>
      <c r="FB189" s="29"/>
      <c r="FC189" s="29"/>
      <c r="FD189" s="29"/>
      <c r="FE189" s="29"/>
      <c r="FF189" s="29"/>
      <c r="FG189" s="29"/>
      <c r="FH189" s="29"/>
      <c r="FI189" s="29"/>
      <c r="FJ189" s="29"/>
      <c r="FK189" s="29"/>
      <c r="FL189" s="29"/>
      <c r="FM189" s="29"/>
      <c r="FN189" s="29"/>
      <c r="FO189" s="29"/>
      <c r="FP189" s="29"/>
      <c r="FQ189" s="29"/>
      <c r="FR189" s="29"/>
      <c r="FS189" s="29"/>
      <c r="FT189" s="29"/>
      <c r="FU189" s="29"/>
      <c r="FV189" s="29"/>
      <c r="FW189" s="29"/>
      <c r="FX189" s="29"/>
      <c r="FY189" s="29"/>
      <c r="FZ189" s="29"/>
      <c r="GA189" s="29"/>
      <c r="GB189" s="29"/>
      <c r="GC189" s="29"/>
      <c r="GD189" s="29"/>
      <c r="GE189" s="29"/>
      <c r="GF189" s="29"/>
      <c r="GG189" s="29"/>
      <c r="GH189" s="29"/>
      <c r="GI189" s="29"/>
      <c r="GJ189" s="29"/>
      <c r="GK189" s="29"/>
      <c r="GL189" s="29"/>
      <c r="GM189" s="29"/>
      <c r="GN189" s="29"/>
      <c r="GO189" s="29"/>
      <c r="GP189" s="29"/>
      <c r="GQ189" s="29"/>
      <c r="GR189" s="29"/>
      <c r="GS189" s="29"/>
      <c r="GT189" s="29"/>
      <c r="GU189" s="29"/>
      <c r="GV189" s="29"/>
      <c r="GW189" s="29"/>
      <c r="GX189" s="29"/>
      <c r="GY189" s="29"/>
      <c r="GZ189" s="29"/>
      <c r="HA189" s="29"/>
      <c r="HB189" s="29"/>
      <c r="HC189" s="29"/>
      <c r="HD189" s="29"/>
      <c r="HE189" s="29"/>
      <c r="HF189" s="29"/>
      <c r="HG189" s="29"/>
      <c r="HH189" s="29"/>
      <c r="HI189" s="29"/>
      <c r="HJ189" s="29"/>
      <c r="HK189" s="29"/>
      <c r="HL189" s="29"/>
      <c r="HM189" s="29"/>
      <c r="HN189" s="29"/>
      <c r="HO189" s="29"/>
      <c r="HP189" s="29"/>
      <c r="HQ189" s="29"/>
      <c r="HR189" s="29"/>
      <c r="HS189" s="29"/>
      <c r="HT189" s="29"/>
      <c r="HU189" s="29"/>
      <c r="HV189" s="29"/>
      <c r="HW189" s="29"/>
      <c r="HX189" s="29"/>
      <c r="HY189" s="29"/>
      <c r="HZ189" s="29"/>
      <c r="IA189" s="29"/>
      <c r="IB189" s="29"/>
      <c r="IC189" s="29"/>
      <c r="ID189" s="29"/>
      <c r="IE189" s="29"/>
      <c r="IF189" s="29"/>
      <c r="IG189" s="29"/>
      <c r="IH189" s="29"/>
      <c r="II189" s="29"/>
      <c r="IJ189" s="29"/>
      <c r="IK189" s="29"/>
      <c r="IL189" s="29"/>
      <c r="IM189" s="29"/>
      <c r="IN189" s="29"/>
      <c r="IO189" s="29"/>
      <c r="IP189" s="29"/>
      <c r="IQ189" s="29"/>
      <c r="IR189" s="29"/>
      <c r="IS189" s="29"/>
      <c r="IT189" s="29"/>
      <c r="IU189" s="29"/>
      <c r="IV189" s="29"/>
      <c r="IW189" s="29"/>
      <c r="IX189" s="29"/>
      <c r="IY189" s="29"/>
      <c r="IZ189" s="29"/>
      <c r="JA189" s="29"/>
      <c r="JB189" s="29"/>
      <c r="JC189" s="29"/>
      <c r="JD189" s="29"/>
      <c r="JE189" s="29"/>
      <c r="JF189" s="29"/>
      <c r="JG189" s="29"/>
      <c r="JH189" s="29"/>
      <c r="JI189" s="29"/>
      <c r="JJ189" s="29"/>
      <c r="JK189" s="29"/>
      <c r="JL189" s="29"/>
      <c r="JM189" s="29"/>
      <c r="JN189" s="29"/>
      <c r="JO189" s="29"/>
      <c r="JP189" s="29"/>
      <c r="JQ189" s="29"/>
      <c r="JR189" s="29"/>
      <c r="JS189" s="29"/>
      <c r="JT189" s="29"/>
      <c r="JU189" s="29"/>
      <c r="JV189" s="29"/>
      <c r="JW189" s="29"/>
      <c r="JX189" s="29"/>
      <c r="JY189" s="29"/>
      <c r="JZ189" s="29"/>
      <c r="KA189" s="29"/>
      <c r="KB189" s="29"/>
      <c r="KC189" s="29"/>
      <c r="KD189" s="29"/>
      <c r="KE189" s="29"/>
      <c r="KF189" s="29"/>
      <c r="KG189" s="29"/>
      <c r="KH189" s="29"/>
      <c r="KI189" s="29"/>
      <c r="KJ189" s="29"/>
      <c r="KK189" s="29"/>
      <c r="KL189" s="29"/>
      <c r="KM189" s="29"/>
      <c r="KN189" s="29"/>
      <c r="KO189" s="29"/>
      <c r="KP189" s="29"/>
      <c r="KQ189" s="29"/>
      <c r="KR189" s="29"/>
      <c r="KS189" s="29"/>
      <c r="KT189" s="29"/>
      <c r="KU189" s="29"/>
      <c r="KV189" s="29"/>
      <c r="KW189" s="29"/>
      <c r="KX189" s="29"/>
      <c r="KY189" s="29"/>
      <c r="KZ189" s="29"/>
      <c r="LA189" s="29"/>
      <c r="LB189" s="29"/>
      <c r="LC189" s="29"/>
      <c r="LD189" s="29"/>
      <c r="LE189" s="29"/>
      <c r="LF189" s="29"/>
      <c r="LG189" s="29"/>
      <c r="LH189" s="29"/>
      <c r="LI189" s="29"/>
      <c r="LJ189" s="29"/>
      <c r="LK189" s="29"/>
      <c r="LL189" s="29"/>
      <c r="LM189" s="29"/>
      <c r="LN189" s="29"/>
      <c r="LO189" s="29"/>
      <c r="LP189" s="29"/>
      <c r="LQ189" s="29"/>
      <c r="LR189" s="29"/>
      <c r="LS189" s="29"/>
      <c r="LT189" s="29"/>
      <c r="LU189" s="29"/>
      <c r="LV189" s="29"/>
      <c r="LW189" s="29"/>
      <c r="LX189" s="29"/>
      <c r="LY189" s="29"/>
      <c r="LZ189" s="29"/>
      <c r="MA189" s="29"/>
      <c r="MB189" s="29"/>
      <c r="MC189" s="29"/>
      <c r="MD189" s="29"/>
      <c r="ME189" s="29"/>
      <c r="MF189" s="29"/>
      <c r="MG189" s="29"/>
      <c r="MH189" s="29"/>
      <c r="MI189" s="29"/>
      <c r="MJ189" s="29"/>
      <c r="MK189" s="29"/>
      <c r="ML189" s="29"/>
      <c r="MM189" s="29"/>
      <c r="MN189" s="29"/>
      <c r="MO189" s="29"/>
      <c r="MP189" s="29"/>
      <c r="MQ189" s="29"/>
      <c r="MR189" s="29"/>
      <c r="MS189" s="29"/>
      <c r="MT189" s="29"/>
      <c r="MU189" s="29"/>
      <c r="MV189" s="29"/>
      <c r="MW189" s="29"/>
      <c r="MX189" s="29"/>
      <c r="MY189" s="29"/>
      <c r="MZ189" s="29"/>
      <c r="NA189" s="29"/>
      <c r="NB189" s="29"/>
      <c r="NC189" s="29"/>
      <c r="ND189" s="29"/>
      <c r="NE189" s="29"/>
      <c r="NF189" s="29"/>
      <c r="NG189" s="29"/>
      <c r="NH189" s="29"/>
      <c r="NI189" s="29"/>
      <c r="NJ189" s="29"/>
      <c r="NK189" s="29"/>
      <c r="NL189" s="29"/>
      <c r="NM189" s="29"/>
      <c r="NN189" s="29"/>
      <c r="NO189" s="29"/>
      <c r="NP189" s="29"/>
      <c r="NQ189" s="29"/>
      <c r="NR189" s="29"/>
      <c r="NS189" s="29"/>
      <c r="NT189" s="29"/>
      <c r="NU189" s="29"/>
      <c r="NV189" s="29"/>
      <c r="NW189" s="29"/>
      <c r="NX189" s="29"/>
      <c r="NY189" s="29"/>
      <c r="NZ189" s="29"/>
      <c r="OA189" s="29"/>
      <c r="OB189" s="29"/>
      <c r="OC189" s="29"/>
      <c r="OD189" s="29"/>
      <c r="OE189" s="29"/>
      <c r="OF189" s="29"/>
      <c r="OG189" s="29"/>
      <c r="OH189" s="29"/>
      <c r="OI189" s="29"/>
      <c r="OJ189" s="29"/>
      <c r="OK189" s="29"/>
      <c r="OL189" s="29"/>
      <c r="OM189" s="29"/>
      <c r="ON189" s="29"/>
      <c r="OO189" s="29"/>
      <c r="OP189" s="29"/>
      <c r="OQ189" s="29"/>
      <c r="OR189" s="29"/>
      <c r="OS189" s="29"/>
      <c r="OT189" s="29"/>
      <c r="OU189" s="29"/>
      <c r="OV189" s="29"/>
      <c r="OW189" s="29"/>
      <c r="OX189" s="29"/>
      <c r="OY189" s="29"/>
      <c r="OZ189" s="29"/>
      <c r="PA189" s="29"/>
      <c r="PB189" s="29"/>
      <c r="PC189" s="29"/>
      <c r="PD189" s="29"/>
      <c r="PE189" s="29"/>
      <c r="PF189" s="29"/>
      <c r="PG189" s="29"/>
      <c r="PH189" s="29"/>
      <c r="PI189" s="29"/>
      <c r="PJ189" s="29"/>
      <c r="PK189" s="29"/>
      <c r="PL189" s="29"/>
      <c r="PM189" s="29"/>
      <c r="PN189" s="29"/>
      <c r="PO189" s="29"/>
      <c r="PP189" s="29"/>
      <c r="PQ189" s="29"/>
      <c r="PR189" s="29"/>
      <c r="PS189" s="29"/>
      <c r="PT189" s="29"/>
      <c r="PU189" s="29"/>
      <c r="PV189" s="29"/>
      <c r="PW189" s="29"/>
      <c r="PX189" s="29"/>
      <c r="PY189" s="29"/>
      <c r="PZ189" s="29"/>
      <c r="QA189" s="29"/>
      <c r="QB189" s="29"/>
      <c r="QC189" s="29"/>
      <c r="QD189" s="29"/>
      <c r="QE189" s="29"/>
      <c r="QF189" s="29"/>
      <c r="QG189" s="29"/>
      <c r="QH189" s="29"/>
      <c r="QI189" s="29"/>
      <c r="QJ189" s="29"/>
      <c r="QK189" s="29"/>
      <c r="QL189" s="29"/>
      <c r="QM189" s="29"/>
      <c r="QN189" s="29"/>
      <c r="QO189" s="29"/>
      <c r="QP189" s="29"/>
      <c r="QQ189" s="29"/>
      <c r="QR189" s="29"/>
      <c r="QS189" s="29"/>
      <c r="QT189" s="29"/>
      <c r="QU189" s="29"/>
      <c r="QV189" s="29"/>
      <c r="QW189" s="29"/>
      <c r="QX189" s="29"/>
      <c r="QY189" s="29"/>
      <c r="QZ189" s="29"/>
      <c r="RA189" s="29"/>
      <c r="RB189" s="29"/>
      <c r="RC189" s="29"/>
      <c r="RD189" s="29"/>
      <c r="RE189" s="29"/>
      <c r="RF189" s="29"/>
      <c r="RG189" s="29"/>
      <c r="RH189" s="29"/>
      <c r="RI189" s="29"/>
      <c r="RJ189" s="29"/>
      <c r="RK189" s="29"/>
      <c r="RL189" s="29"/>
      <c r="RM189" s="29"/>
      <c r="RN189" s="29"/>
      <c r="RO189" s="29"/>
      <c r="RP189" s="29"/>
      <c r="RQ189" s="29"/>
      <c r="RR189" s="29"/>
      <c r="RS189" s="29"/>
      <c r="RT189" s="29"/>
      <c r="RU189" s="29"/>
      <c r="RV189" s="29"/>
      <c r="RW189" s="29"/>
      <c r="RX189" s="29"/>
      <c r="RY189" s="29"/>
      <c r="RZ189" s="29"/>
      <c r="SA189" s="29"/>
      <c r="SB189" s="29"/>
      <c r="SC189" s="29"/>
      <c r="SD189" s="29"/>
      <c r="SE189" s="29"/>
      <c r="SF189" s="29"/>
      <c r="SG189" s="29"/>
      <c r="SH189" s="29"/>
      <c r="SI189" s="29"/>
      <c r="SJ189" s="29"/>
      <c r="SK189" s="29"/>
      <c r="SL189" s="29"/>
      <c r="SM189" s="29"/>
      <c r="SN189" s="29"/>
      <c r="SO189" s="29"/>
      <c r="SP189" s="29"/>
      <c r="SQ189" s="29"/>
      <c r="SR189" s="29"/>
      <c r="SS189" s="29"/>
      <c r="ST189" s="29"/>
      <c r="SU189" s="29"/>
      <c r="SV189" s="29"/>
      <c r="SW189" s="29"/>
      <c r="SX189" s="29"/>
      <c r="SY189" s="29"/>
      <c r="SZ189" s="29"/>
      <c r="TA189" s="29"/>
      <c r="TB189" s="29"/>
      <c r="TC189" s="29"/>
      <c r="TD189" s="29"/>
      <c r="TE189" s="29"/>
      <c r="TF189" s="29"/>
      <c r="TG189" s="29"/>
      <c r="TH189" s="29"/>
      <c r="TI189" s="29"/>
      <c r="TJ189" s="29"/>
      <c r="TK189" s="29"/>
      <c r="TL189" s="29"/>
      <c r="TM189" s="29"/>
      <c r="TN189" s="29"/>
      <c r="TO189" s="29"/>
      <c r="TP189" s="29"/>
      <c r="TQ189" s="29"/>
      <c r="TR189" s="29"/>
      <c r="TS189" s="29"/>
      <c r="TT189" s="29"/>
      <c r="TU189" s="29"/>
      <c r="TV189" s="29"/>
      <c r="TW189" s="29"/>
      <c r="TX189" s="29"/>
      <c r="TY189" s="29"/>
      <c r="TZ189" s="29"/>
      <c r="UA189" s="29"/>
      <c r="UB189" s="29"/>
      <c r="UC189" s="29"/>
      <c r="UD189" s="29"/>
      <c r="UE189" s="29"/>
      <c r="UF189" s="29"/>
      <c r="UG189" s="29"/>
      <c r="UH189" s="29"/>
      <c r="UI189" s="29"/>
      <c r="UJ189" s="29"/>
      <c r="UK189" s="29"/>
      <c r="UL189" s="29"/>
      <c r="UM189" s="29"/>
      <c r="UN189" s="29"/>
      <c r="UO189" s="29"/>
      <c r="UP189" s="29"/>
      <c r="UQ189" s="29"/>
      <c r="UR189" s="29"/>
      <c r="US189" s="29"/>
      <c r="UT189" s="29"/>
      <c r="UU189" s="29"/>
      <c r="UV189" s="29"/>
      <c r="UW189" s="29"/>
      <c r="UX189" s="29"/>
      <c r="UY189" s="29"/>
      <c r="UZ189" s="29"/>
      <c r="VA189" s="29"/>
      <c r="VB189" s="29"/>
      <c r="VC189" s="29"/>
      <c r="VD189" s="29"/>
      <c r="VE189" s="29"/>
      <c r="VF189" s="29"/>
      <c r="VG189" s="29"/>
      <c r="VH189" s="29"/>
      <c r="VI189" s="29"/>
      <c r="VJ189" s="29"/>
      <c r="VK189" s="29"/>
      <c r="VL189" s="29"/>
      <c r="VM189" s="29"/>
      <c r="VN189" s="29"/>
      <c r="VO189" s="29"/>
      <c r="VP189" s="29"/>
      <c r="VQ189" s="29"/>
      <c r="VR189" s="29"/>
      <c r="VS189" s="29"/>
      <c r="VT189" s="29"/>
      <c r="VU189" s="29"/>
      <c r="VV189" s="29"/>
      <c r="VW189" s="29"/>
      <c r="VX189" s="29"/>
      <c r="VY189" s="29"/>
      <c r="VZ189" s="29"/>
      <c r="WA189" s="29"/>
      <c r="WB189" s="29"/>
      <c r="WC189" s="29"/>
      <c r="WD189" s="29"/>
      <c r="WE189" s="29"/>
      <c r="WF189" s="29"/>
      <c r="WG189" s="29"/>
      <c r="WH189" s="29"/>
      <c r="WI189" s="29"/>
      <c r="WJ189" s="29"/>
      <c r="WK189" s="29"/>
      <c r="WL189" s="29"/>
      <c r="WM189" s="29"/>
      <c r="WN189" s="29"/>
      <c r="WO189" s="29"/>
      <c r="WP189" s="29"/>
      <c r="WQ189" s="29"/>
      <c r="WR189" s="29"/>
      <c r="WS189" s="29"/>
    </row>
    <row r="190" spans="1:617" s="3" customFormat="1" ht="15" hidden="1" outlineLevel="1" thickBot="1">
      <c r="A190" s="33"/>
      <c r="B190" s="82" t="s">
        <v>243</v>
      </c>
      <c r="C190" s="138" t="s">
        <v>285</v>
      </c>
      <c r="D190" s="119">
        <v>45873</v>
      </c>
      <c r="E190" s="119">
        <v>45898</v>
      </c>
      <c r="F190" s="14"/>
      <c r="G190" s="14">
        <v>25</v>
      </c>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c r="AF190" s="29"/>
      <c r="AG190" s="29"/>
      <c r="AH190" s="29"/>
      <c r="AI190" s="29"/>
      <c r="AJ190" s="29"/>
      <c r="AK190" s="29"/>
      <c r="AL190" s="29"/>
      <c r="AM190" s="29"/>
      <c r="AN190" s="29"/>
      <c r="AO190" s="29"/>
      <c r="AP190" s="29"/>
      <c r="AQ190" s="29"/>
      <c r="AR190" s="29"/>
      <c r="AS190" s="29"/>
      <c r="AT190" s="29"/>
      <c r="AU190" s="29"/>
      <c r="AV190" s="29"/>
      <c r="AW190" s="29"/>
      <c r="AX190" s="29"/>
      <c r="AY190" s="29"/>
      <c r="AZ190" s="29"/>
      <c r="BA190" s="29"/>
      <c r="BB190" s="29"/>
      <c r="BC190" s="29"/>
      <c r="BD190" s="29"/>
      <c r="BE190" s="29"/>
      <c r="BF190" s="29"/>
      <c r="BG190" s="29"/>
      <c r="BH190" s="29"/>
      <c r="BI190" s="29"/>
      <c r="BJ190" s="29"/>
      <c r="BK190" s="29"/>
      <c r="BL190" s="29"/>
      <c r="BM190" s="29"/>
      <c r="BN190" s="29"/>
      <c r="BO190" s="29"/>
      <c r="BP190" s="29"/>
      <c r="BQ190" s="29"/>
      <c r="BR190" s="29"/>
      <c r="BS190" s="29"/>
      <c r="BT190" s="29"/>
      <c r="BU190" s="29"/>
      <c r="BV190" s="29"/>
      <c r="BW190" s="29"/>
      <c r="BX190" s="29"/>
      <c r="BY190" s="29"/>
      <c r="BZ190" s="29"/>
      <c r="CA190" s="29"/>
      <c r="CB190" s="29"/>
      <c r="CC190" s="29"/>
      <c r="CD190" s="29"/>
      <c r="CE190" s="29"/>
      <c r="CF190" s="29"/>
      <c r="CG190" s="29"/>
      <c r="CH190" s="29"/>
      <c r="CI190" s="29"/>
      <c r="CJ190" s="29"/>
      <c r="CK190" s="29"/>
      <c r="CL190" s="29"/>
      <c r="CM190" s="29"/>
      <c r="CN190" s="29"/>
      <c r="CO190" s="29"/>
      <c r="CP190" s="29"/>
      <c r="CQ190" s="29"/>
      <c r="CR190" s="29"/>
      <c r="CS190" s="29"/>
      <c r="CT190" s="29"/>
      <c r="CU190" s="29"/>
      <c r="CV190" s="29"/>
      <c r="CW190" s="29"/>
      <c r="CX190" s="29"/>
      <c r="CY190" s="29"/>
      <c r="CZ190" s="29"/>
      <c r="DA190" s="29"/>
      <c r="DB190" s="29"/>
      <c r="DC190" s="29"/>
      <c r="DD190" s="29"/>
      <c r="DE190" s="29"/>
      <c r="DF190" s="29"/>
      <c r="DG190" s="29"/>
      <c r="DH190" s="29"/>
      <c r="DI190" s="29"/>
      <c r="DJ190" s="29"/>
      <c r="DK190" s="29"/>
      <c r="DL190" s="29"/>
      <c r="DM190" s="29"/>
      <c r="DN190" s="29"/>
      <c r="DO190" s="29"/>
      <c r="DP190" s="29"/>
      <c r="DQ190" s="29"/>
      <c r="DR190" s="29"/>
      <c r="DS190" s="29"/>
      <c r="DT190" s="29"/>
      <c r="DU190" s="29"/>
      <c r="DV190" s="29"/>
      <c r="DW190" s="29"/>
      <c r="DX190" s="29"/>
      <c r="DY190" s="29"/>
      <c r="DZ190" s="29"/>
      <c r="EA190" s="29"/>
      <c r="EB190" s="29"/>
      <c r="EC190" s="29"/>
      <c r="ED190" s="29"/>
      <c r="EE190" s="29"/>
      <c r="EF190" s="29"/>
      <c r="EG190" s="29"/>
      <c r="EH190" s="29"/>
      <c r="EI190" s="29"/>
      <c r="EJ190" s="29"/>
      <c r="EK190" s="29"/>
      <c r="EL190" s="29"/>
      <c r="EM190" s="29"/>
      <c r="EN190" s="29"/>
      <c r="EO190" s="29"/>
      <c r="EP190" s="29"/>
      <c r="EQ190" s="29"/>
      <c r="ER190" s="29"/>
      <c r="ES190" s="29"/>
      <c r="ET190" s="29"/>
      <c r="EU190" s="29"/>
      <c r="EV190" s="29"/>
      <c r="EW190" s="29"/>
      <c r="EX190" s="29"/>
      <c r="EY190" s="29"/>
      <c r="EZ190" s="29"/>
      <c r="FA190" s="29"/>
      <c r="FB190" s="29"/>
      <c r="FC190" s="29"/>
      <c r="FD190" s="29"/>
      <c r="FE190" s="29"/>
      <c r="FF190" s="29"/>
      <c r="FG190" s="29"/>
      <c r="FH190" s="29"/>
      <c r="FI190" s="29"/>
      <c r="FJ190" s="29"/>
      <c r="FK190" s="29"/>
      <c r="FL190" s="29"/>
      <c r="FM190" s="29"/>
      <c r="FN190" s="29"/>
      <c r="FO190" s="29"/>
      <c r="FP190" s="29"/>
      <c r="FQ190" s="29"/>
      <c r="FR190" s="29"/>
      <c r="FS190" s="29"/>
      <c r="FT190" s="29"/>
      <c r="FU190" s="29"/>
      <c r="FV190" s="29"/>
      <c r="FW190" s="29"/>
      <c r="FX190" s="29"/>
      <c r="FY190" s="29"/>
      <c r="FZ190" s="29"/>
      <c r="GA190" s="29"/>
      <c r="GB190" s="29"/>
      <c r="GC190" s="29"/>
      <c r="GD190" s="29"/>
      <c r="GE190" s="29"/>
      <c r="GF190" s="29"/>
      <c r="GG190" s="29"/>
      <c r="GH190" s="29"/>
      <c r="GI190" s="29"/>
      <c r="GJ190" s="29"/>
      <c r="GK190" s="29"/>
      <c r="GL190" s="29"/>
      <c r="GM190" s="29"/>
      <c r="GN190" s="29"/>
      <c r="GO190" s="29"/>
      <c r="GP190" s="29"/>
      <c r="GQ190" s="29"/>
      <c r="GR190" s="29"/>
      <c r="GS190" s="29"/>
      <c r="GT190" s="29"/>
      <c r="GU190" s="29"/>
      <c r="GV190" s="29"/>
      <c r="GW190" s="29"/>
      <c r="GX190" s="29"/>
      <c r="GY190" s="29"/>
      <c r="GZ190" s="29"/>
      <c r="HA190" s="29"/>
      <c r="HB190" s="29"/>
      <c r="HC190" s="29"/>
      <c r="HD190" s="29"/>
      <c r="HE190" s="29"/>
      <c r="HF190" s="29"/>
      <c r="HG190" s="29"/>
      <c r="HH190" s="29"/>
      <c r="HI190" s="29"/>
      <c r="HJ190" s="29"/>
      <c r="HK190" s="29"/>
      <c r="HL190" s="29"/>
      <c r="HM190" s="29"/>
      <c r="HN190" s="29"/>
      <c r="HO190" s="29"/>
      <c r="HP190" s="29"/>
      <c r="HQ190" s="29"/>
      <c r="HR190" s="29"/>
      <c r="HS190" s="29"/>
      <c r="HT190" s="29"/>
      <c r="HU190" s="29"/>
      <c r="HV190" s="29"/>
      <c r="HW190" s="29"/>
      <c r="HX190" s="29"/>
      <c r="HY190" s="29"/>
      <c r="HZ190" s="29"/>
      <c r="IA190" s="29"/>
      <c r="IB190" s="29"/>
      <c r="IC190" s="29"/>
      <c r="ID190" s="29"/>
      <c r="IE190" s="29"/>
      <c r="IF190" s="29"/>
      <c r="IG190" s="29"/>
      <c r="IH190" s="29"/>
      <c r="II190" s="29"/>
      <c r="IJ190" s="29"/>
      <c r="IK190" s="29"/>
      <c r="IL190" s="29"/>
      <c r="IM190" s="29"/>
      <c r="IN190" s="29"/>
      <c r="IO190" s="29"/>
      <c r="IP190" s="29"/>
      <c r="IQ190" s="29"/>
      <c r="IR190" s="29"/>
      <c r="IS190" s="29"/>
      <c r="IT190" s="29"/>
      <c r="IU190" s="29"/>
      <c r="IV190" s="29"/>
      <c r="IW190" s="29"/>
      <c r="IX190" s="29"/>
      <c r="IY190" s="29"/>
      <c r="IZ190" s="29"/>
      <c r="JA190" s="29"/>
      <c r="JB190" s="29"/>
      <c r="JC190" s="29"/>
      <c r="JD190" s="29"/>
      <c r="JE190" s="29"/>
      <c r="JF190" s="29"/>
      <c r="JG190" s="29"/>
      <c r="JH190" s="29"/>
      <c r="JI190" s="29"/>
      <c r="JJ190" s="29"/>
      <c r="JK190" s="29"/>
      <c r="JL190" s="29"/>
      <c r="JM190" s="29"/>
      <c r="JN190" s="29"/>
      <c r="JO190" s="29"/>
      <c r="JP190" s="29"/>
      <c r="JQ190" s="29"/>
      <c r="JR190" s="29"/>
      <c r="JS190" s="29"/>
      <c r="JT190" s="29"/>
      <c r="JU190" s="29"/>
      <c r="JV190" s="29"/>
      <c r="JW190" s="29"/>
      <c r="JX190" s="29"/>
      <c r="JY190" s="29"/>
      <c r="JZ190" s="29"/>
      <c r="KA190" s="29"/>
      <c r="KB190" s="29"/>
      <c r="KC190" s="29"/>
      <c r="KD190" s="29"/>
      <c r="KE190" s="29"/>
      <c r="KF190" s="29"/>
      <c r="KG190" s="29"/>
      <c r="KH190" s="29"/>
      <c r="KI190" s="29"/>
      <c r="KJ190" s="29"/>
      <c r="KK190" s="29"/>
      <c r="KL190" s="29"/>
      <c r="KM190" s="29"/>
      <c r="KN190" s="29"/>
      <c r="KO190" s="29"/>
      <c r="KP190" s="29"/>
      <c r="KQ190" s="29"/>
      <c r="KR190" s="29"/>
      <c r="KS190" s="29"/>
      <c r="KT190" s="29"/>
      <c r="KU190" s="29"/>
      <c r="KV190" s="29"/>
      <c r="KW190" s="29"/>
      <c r="KX190" s="29"/>
      <c r="KY190" s="29"/>
      <c r="KZ190" s="29"/>
      <c r="LA190" s="29"/>
      <c r="LB190" s="29"/>
      <c r="LC190" s="29"/>
      <c r="LD190" s="29"/>
      <c r="LE190" s="29"/>
      <c r="LF190" s="29"/>
      <c r="LG190" s="29"/>
      <c r="LH190" s="29"/>
      <c r="LI190" s="29"/>
      <c r="LJ190" s="29"/>
      <c r="LK190" s="29"/>
      <c r="LL190" s="29"/>
      <c r="LM190" s="29"/>
      <c r="LN190" s="29"/>
      <c r="LO190" s="29"/>
      <c r="LP190" s="29"/>
      <c r="LQ190" s="29"/>
      <c r="LR190" s="29"/>
      <c r="LS190" s="29"/>
      <c r="LT190" s="29"/>
      <c r="LU190" s="29"/>
      <c r="LV190" s="29"/>
      <c r="LW190" s="29"/>
      <c r="LX190" s="29"/>
      <c r="LY190" s="29"/>
      <c r="LZ190" s="29"/>
      <c r="MA190" s="29"/>
      <c r="MB190" s="29"/>
      <c r="MC190" s="29"/>
      <c r="MD190" s="29"/>
      <c r="ME190" s="29"/>
      <c r="MF190" s="29"/>
      <c r="MG190" s="29"/>
      <c r="MH190" s="29"/>
      <c r="MI190" s="29"/>
      <c r="MJ190" s="29"/>
      <c r="MK190" s="29"/>
      <c r="ML190" s="29"/>
      <c r="MM190" s="29"/>
      <c r="MN190" s="29"/>
      <c r="MO190" s="29"/>
      <c r="MP190" s="29"/>
      <c r="MQ190" s="29"/>
      <c r="MR190" s="29"/>
      <c r="MS190" s="29"/>
      <c r="MT190" s="29"/>
      <c r="MU190" s="29"/>
      <c r="MV190" s="29"/>
      <c r="MW190" s="29"/>
      <c r="MX190" s="29"/>
      <c r="MY190" s="29"/>
      <c r="MZ190" s="29"/>
      <c r="NA190" s="29"/>
      <c r="NB190" s="29"/>
      <c r="NC190" s="29"/>
      <c r="ND190" s="29"/>
      <c r="NE190" s="29"/>
      <c r="NF190" s="29"/>
      <c r="NG190" s="29"/>
      <c r="NH190" s="29"/>
      <c r="NI190" s="29"/>
      <c r="NJ190" s="29"/>
      <c r="NK190" s="29"/>
      <c r="NL190" s="29"/>
      <c r="NM190" s="29"/>
      <c r="NN190" s="29"/>
      <c r="NO190" s="29"/>
      <c r="NP190" s="29"/>
      <c r="NQ190" s="29"/>
      <c r="NR190" s="29"/>
      <c r="NS190" s="29"/>
      <c r="NT190" s="29"/>
      <c r="NU190" s="29"/>
      <c r="NV190" s="29"/>
      <c r="NW190" s="29"/>
      <c r="NX190" s="29"/>
      <c r="NY190" s="29"/>
      <c r="NZ190" s="29"/>
      <c r="OA190" s="29"/>
      <c r="OB190" s="29"/>
      <c r="OC190" s="29"/>
      <c r="OD190" s="29"/>
      <c r="OE190" s="29"/>
      <c r="OF190" s="29"/>
      <c r="OG190" s="29"/>
      <c r="OH190" s="29"/>
      <c r="OI190" s="29"/>
      <c r="OJ190" s="29"/>
      <c r="OK190" s="29"/>
      <c r="OL190" s="29"/>
      <c r="OM190" s="29"/>
      <c r="ON190" s="29"/>
      <c r="OO190" s="29"/>
      <c r="OP190" s="29"/>
      <c r="OQ190" s="29"/>
      <c r="OR190" s="29"/>
      <c r="OS190" s="29"/>
      <c r="OT190" s="29"/>
      <c r="OU190" s="29"/>
      <c r="OV190" s="29"/>
      <c r="OW190" s="29"/>
      <c r="OX190" s="29"/>
      <c r="OY190" s="29"/>
      <c r="OZ190" s="29"/>
      <c r="PA190" s="29"/>
      <c r="PB190" s="29"/>
      <c r="PC190" s="29"/>
      <c r="PD190" s="29"/>
      <c r="PE190" s="29"/>
      <c r="PF190" s="29"/>
      <c r="PG190" s="29"/>
      <c r="PH190" s="29"/>
      <c r="PI190" s="29"/>
      <c r="PJ190" s="29"/>
      <c r="PK190" s="29"/>
      <c r="PL190" s="29"/>
      <c r="PM190" s="29"/>
      <c r="PN190" s="29"/>
      <c r="PO190" s="29"/>
      <c r="PP190" s="29"/>
      <c r="PQ190" s="29"/>
      <c r="PR190" s="29"/>
      <c r="PS190" s="29"/>
      <c r="PT190" s="29"/>
      <c r="PU190" s="29"/>
      <c r="PV190" s="29"/>
      <c r="PW190" s="29"/>
      <c r="PX190" s="29"/>
      <c r="PY190" s="29"/>
      <c r="PZ190" s="29"/>
      <c r="QA190" s="29"/>
      <c r="QB190" s="29"/>
      <c r="QC190" s="29"/>
      <c r="QD190" s="29"/>
      <c r="QE190" s="29"/>
      <c r="QF190" s="29"/>
      <c r="QG190" s="29"/>
      <c r="QH190" s="29"/>
      <c r="QI190" s="29"/>
      <c r="QJ190" s="29"/>
      <c r="QK190" s="29"/>
      <c r="QL190" s="29"/>
      <c r="QM190" s="29"/>
      <c r="QN190" s="29"/>
      <c r="QO190" s="29"/>
      <c r="QP190" s="29"/>
      <c r="QQ190" s="29"/>
      <c r="QR190" s="29"/>
      <c r="QS190" s="29"/>
      <c r="QT190" s="29"/>
      <c r="QU190" s="29"/>
      <c r="QV190" s="29"/>
      <c r="QW190" s="29"/>
      <c r="QX190" s="29"/>
      <c r="QY190" s="29"/>
      <c r="QZ190" s="29"/>
      <c r="RA190" s="29"/>
      <c r="RB190" s="29"/>
      <c r="RC190" s="29"/>
      <c r="RD190" s="29"/>
      <c r="RE190" s="29"/>
      <c r="RF190" s="29"/>
      <c r="RG190" s="29"/>
      <c r="RH190" s="29"/>
      <c r="RI190" s="29"/>
      <c r="RJ190" s="29"/>
      <c r="RK190" s="29"/>
      <c r="RL190" s="29"/>
      <c r="RM190" s="29"/>
      <c r="RN190" s="29"/>
      <c r="RO190" s="29"/>
      <c r="RP190" s="29"/>
      <c r="RQ190" s="29"/>
      <c r="RR190" s="29"/>
      <c r="RS190" s="29"/>
      <c r="RT190" s="29"/>
      <c r="RU190" s="29"/>
      <c r="RV190" s="29"/>
      <c r="RW190" s="29"/>
      <c r="RX190" s="29"/>
      <c r="RY190" s="29"/>
      <c r="RZ190" s="29"/>
      <c r="SA190" s="29"/>
      <c r="SB190" s="29"/>
      <c r="SC190" s="29"/>
      <c r="SD190" s="29"/>
      <c r="SE190" s="29"/>
      <c r="SF190" s="29"/>
      <c r="SG190" s="29"/>
      <c r="SH190" s="29"/>
      <c r="SI190" s="29"/>
      <c r="SJ190" s="29"/>
      <c r="SK190" s="29"/>
      <c r="SL190" s="29"/>
      <c r="SM190" s="29"/>
      <c r="SN190" s="29"/>
      <c r="SO190" s="29"/>
      <c r="SP190" s="29"/>
      <c r="SQ190" s="29"/>
      <c r="SR190" s="29"/>
      <c r="SS190" s="29"/>
      <c r="ST190" s="29"/>
      <c r="SU190" s="29"/>
      <c r="SV190" s="29"/>
      <c r="SW190" s="29"/>
      <c r="SX190" s="29"/>
      <c r="SY190" s="29"/>
      <c r="SZ190" s="29"/>
      <c r="TA190" s="29"/>
      <c r="TB190" s="29"/>
      <c r="TC190" s="29"/>
      <c r="TD190" s="29"/>
      <c r="TE190" s="29"/>
      <c r="TF190" s="29"/>
      <c r="TG190" s="29"/>
      <c r="TH190" s="29"/>
      <c r="TI190" s="29"/>
      <c r="TJ190" s="29"/>
      <c r="TK190" s="29"/>
      <c r="TL190" s="29"/>
      <c r="TM190" s="29"/>
      <c r="TN190" s="29"/>
      <c r="TO190" s="29"/>
      <c r="TP190" s="29"/>
      <c r="TQ190" s="29"/>
      <c r="TR190" s="29"/>
      <c r="TS190" s="29"/>
      <c r="TT190" s="29"/>
      <c r="TU190" s="29"/>
      <c r="TV190" s="29"/>
      <c r="TW190" s="29"/>
      <c r="TX190" s="29"/>
      <c r="TY190" s="29"/>
      <c r="TZ190" s="29"/>
      <c r="UA190" s="29"/>
      <c r="UB190" s="29"/>
      <c r="UC190" s="29"/>
      <c r="UD190" s="29"/>
      <c r="UE190" s="29"/>
      <c r="UF190" s="29"/>
      <c r="UG190" s="29"/>
      <c r="UH190" s="29"/>
      <c r="UI190" s="29"/>
      <c r="UJ190" s="29"/>
      <c r="UK190" s="29"/>
      <c r="UL190" s="29"/>
      <c r="UM190" s="29"/>
      <c r="UN190" s="29"/>
      <c r="UO190" s="29"/>
      <c r="UP190" s="29"/>
      <c r="UQ190" s="29"/>
      <c r="UR190" s="29"/>
      <c r="US190" s="29"/>
      <c r="UT190" s="29"/>
      <c r="UU190" s="29"/>
      <c r="UV190" s="29"/>
      <c r="UW190" s="29"/>
      <c r="UX190" s="29"/>
      <c r="UY190" s="29"/>
      <c r="UZ190" s="29"/>
      <c r="VA190" s="29"/>
      <c r="VB190" s="29"/>
      <c r="VC190" s="29"/>
      <c r="VD190" s="29"/>
      <c r="VE190" s="29"/>
      <c r="VF190" s="29"/>
      <c r="VG190" s="29"/>
      <c r="VH190" s="29"/>
      <c r="VI190" s="29"/>
      <c r="VJ190" s="29"/>
      <c r="VK190" s="29"/>
      <c r="VL190" s="29"/>
      <c r="VM190" s="29"/>
      <c r="VN190" s="29"/>
      <c r="VO190" s="29"/>
      <c r="VP190" s="29"/>
      <c r="VQ190" s="29"/>
      <c r="VR190" s="29"/>
      <c r="VS190" s="29"/>
      <c r="VT190" s="29"/>
      <c r="VU190" s="29"/>
      <c r="VV190" s="29"/>
      <c r="VW190" s="29"/>
      <c r="VX190" s="29"/>
      <c r="VY190" s="29"/>
      <c r="VZ190" s="29"/>
      <c r="WA190" s="29"/>
      <c r="WB190" s="29"/>
      <c r="WC190" s="29"/>
      <c r="WD190" s="29"/>
      <c r="WE190" s="29"/>
      <c r="WF190" s="29"/>
      <c r="WG190" s="29"/>
      <c r="WH190" s="29"/>
      <c r="WI190" s="29"/>
      <c r="WJ190" s="29"/>
      <c r="WK190" s="29"/>
      <c r="WL190" s="29"/>
      <c r="WM190" s="29"/>
      <c r="WN190" s="29"/>
      <c r="WO190" s="29"/>
      <c r="WP190" s="29"/>
      <c r="WQ190" s="29"/>
      <c r="WR190" s="29"/>
      <c r="WS190" s="29"/>
    </row>
    <row r="191" spans="1:617" s="3" customFormat="1" ht="15" hidden="1" outlineLevel="1" thickBot="1">
      <c r="A191" s="33"/>
      <c r="B191" s="82"/>
      <c r="C191" s="138"/>
      <c r="D191" s="119"/>
      <c r="E191" s="119"/>
      <c r="F191" s="14"/>
      <c r="G191" s="14">
        <v>25</v>
      </c>
      <c r="H191" s="29"/>
      <c r="I191" s="29"/>
      <c r="J191" s="29"/>
      <c r="K191" s="29"/>
      <c r="L191" s="29"/>
      <c r="M191" s="29"/>
      <c r="N191" s="29"/>
      <c r="O191" s="29"/>
      <c r="P191" s="29"/>
      <c r="Q191" s="29"/>
      <c r="R191" s="29"/>
      <c r="S191" s="29"/>
      <c r="T191" s="29"/>
      <c r="U191" s="29"/>
      <c r="V191" s="29"/>
      <c r="W191" s="29"/>
      <c r="X191" s="29"/>
      <c r="Y191" s="29"/>
      <c r="Z191" s="29"/>
      <c r="AA191" s="29"/>
      <c r="AB191" s="29"/>
      <c r="AC191" s="29"/>
      <c r="AD191" s="29"/>
      <c r="AE191" s="29"/>
      <c r="AF191" s="29"/>
      <c r="AG191" s="29"/>
      <c r="AH191" s="29"/>
      <c r="AI191" s="29"/>
      <c r="AJ191" s="29"/>
      <c r="AK191" s="29"/>
      <c r="AL191" s="29"/>
      <c r="AM191" s="29"/>
      <c r="AN191" s="29"/>
      <c r="AO191" s="29"/>
      <c r="AP191" s="29"/>
      <c r="AQ191" s="29"/>
      <c r="AR191" s="29"/>
      <c r="AS191" s="29"/>
      <c r="AT191" s="29"/>
      <c r="AU191" s="29"/>
      <c r="AV191" s="29"/>
      <c r="AW191" s="29"/>
      <c r="AX191" s="29"/>
      <c r="AY191" s="29"/>
      <c r="AZ191" s="29"/>
      <c r="BA191" s="29"/>
      <c r="BB191" s="29"/>
      <c r="BC191" s="29"/>
      <c r="BD191" s="29"/>
      <c r="BE191" s="29"/>
      <c r="BF191" s="29"/>
      <c r="BG191" s="29"/>
      <c r="BH191" s="29"/>
      <c r="BI191" s="29"/>
      <c r="BJ191" s="29"/>
      <c r="BK191" s="29"/>
      <c r="BL191" s="29"/>
      <c r="BM191" s="29"/>
      <c r="BN191" s="29"/>
      <c r="BO191" s="29"/>
      <c r="BP191" s="29"/>
      <c r="BQ191" s="29"/>
      <c r="BR191" s="29"/>
      <c r="BS191" s="29"/>
      <c r="BT191" s="29"/>
      <c r="BU191" s="29"/>
      <c r="BV191" s="29"/>
      <c r="BW191" s="29"/>
      <c r="BX191" s="29"/>
      <c r="BY191" s="29"/>
      <c r="BZ191" s="29"/>
      <c r="CA191" s="29"/>
      <c r="CB191" s="29"/>
      <c r="CC191" s="29"/>
      <c r="CD191" s="29"/>
      <c r="CE191" s="29"/>
      <c r="CF191" s="29"/>
      <c r="CG191" s="29"/>
      <c r="CH191" s="29"/>
      <c r="CI191" s="29"/>
      <c r="CJ191" s="29"/>
      <c r="CK191" s="29"/>
      <c r="CL191" s="29"/>
      <c r="CM191" s="29"/>
      <c r="CN191" s="29"/>
      <c r="CO191" s="29"/>
      <c r="CP191" s="29"/>
      <c r="CQ191" s="29"/>
      <c r="CR191" s="29"/>
      <c r="CS191" s="29"/>
      <c r="CT191" s="29"/>
      <c r="CU191" s="29"/>
      <c r="CV191" s="29"/>
      <c r="CW191" s="29"/>
      <c r="CX191" s="29"/>
      <c r="CY191" s="29"/>
      <c r="CZ191" s="29"/>
      <c r="DA191" s="29"/>
      <c r="DB191" s="29"/>
      <c r="DC191" s="29"/>
      <c r="DD191" s="29"/>
      <c r="DE191" s="29"/>
      <c r="DF191" s="29"/>
      <c r="DG191" s="29"/>
      <c r="DH191" s="29"/>
      <c r="DI191" s="29"/>
      <c r="DJ191" s="29"/>
      <c r="DK191" s="29"/>
      <c r="DL191" s="29"/>
      <c r="DM191" s="29"/>
      <c r="DN191" s="29"/>
      <c r="DO191" s="29"/>
      <c r="DP191" s="29"/>
      <c r="DQ191" s="29"/>
      <c r="DR191" s="29"/>
      <c r="DS191" s="29"/>
      <c r="DT191" s="29"/>
      <c r="DU191" s="29"/>
      <c r="DV191" s="29"/>
      <c r="DW191" s="29"/>
      <c r="DX191" s="29"/>
      <c r="DY191" s="29"/>
      <c r="DZ191" s="29"/>
      <c r="EA191" s="29"/>
      <c r="EB191" s="29"/>
      <c r="EC191" s="29"/>
      <c r="ED191" s="29"/>
      <c r="EE191" s="29"/>
      <c r="EF191" s="29"/>
      <c r="EG191" s="29"/>
      <c r="EH191" s="29"/>
      <c r="EI191" s="29"/>
      <c r="EJ191" s="29"/>
      <c r="EK191" s="29"/>
      <c r="EL191" s="29"/>
      <c r="EM191" s="29"/>
      <c r="EN191" s="29"/>
      <c r="EO191" s="29"/>
      <c r="EP191" s="29"/>
      <c r="EQ191" s="29"/>
      <c r="ER191" s="29"/>
      <c r="ES191" s="29"/>
      <c r="ET191" s="29"/>
      <c r="EU191" s="29"/>
      <c r="EV191" s="29"/>
      <c r="EW191" s="29"/>
      <c r="EX191" s="29"/>
      <c r="EY191" s="29"/>
      <c r="EZ191" s="29"/>
      <c r="FA191" s="29"/>
      <c r="FB191" s="29"/>
      <c r="FC191" s="29"/>
      <c r="FD191" s="29"/>
      <c r="FE191" s="29"/>
      <c r="FF191" s="29"/>
      <c r="FG191" s="29"/>
      <c r="FH191" s="29"/>
      <c r="FI191" s="29"/>
      <c r="FJ191" s="29"/>
      <c r="FK191" s="29"/>
      <c r="FL191" s="29"/>
      <c r="FM191" s="29"/>
      <c r="FN191" s="29"/>
      <c r="FO191" s="29"/>
      <c r="FP191" s="29"/>
      <c r="FQ191" s="29"/>
      <c r="FR191" s="29"/>
      <c r="FS191" s="29"/>
      <c r="FT191" s="29"/>
      <c r="FU191" s="29"/>
      <c r="FV191" s="29"/>
      <c r="FW191" s="29"/>
      <c r="FX191" s="29"/>
      <c r="FY191" s="29"/>
      <c r="FZ191" s="29"/>
      <c r="GA191" s="29"/>
      <c r="GB191" s="29"/>
      <c r="GC191" s="29"/>
      <c r="GD191" s="29"/>
      <c r="GE191" s="29"/>
      <c r="GF191" s="29"/>
      <c r="GG191" s="29"/>
      <c r="GH191" s="29"/>
      <c r="GI191" s="29"/>
      <c r="GJ191" s="29"/>
      <c r="GK191" s="29"/>
      <c r="GL191" s="29"/>
      <c r="GM191" s="29"/>
      <c r="GN191" s="29"/>
      <c r="GO191" s="29"/>
      <c r="GP191" s="29"/>
      <c r="GQ191" s="29"/>
      <c r="GR191" s="29"/>
      <c r="GS191" s="29"/>
      <c r="GT191" s="29"/>
      <c r="GU191" s="29"/>
      <c r="GV191" s="29"/>
      <c r="GW191" s="29"/>
      <c r="GX191" s="29"/>
      <c r="GY191" s="29"/>
      <c r="GZ191" s="29"/>
      <c r="HA191" s="29"/>
      <c r="HB191" s="29"/>
      <c r="HC191" s="29"/>
      <c r="HD191" s="29"/>
      <c r="HE191" s="29"/>
      <c r="HF191" s="29"/>
      <c r="HG191" s="29"/>
      <c r="HH191" s="29"/>
      <c r="HI191" s="29"/>
      <c r="HJ191" s="29"/>
      <c r="HK191" s="29"/>
      <c r="HL191" s="29"/>
      <c r="HM191" s="29"/>
      <c r="HN191" s="29"/>
      <c r="HO191" s="29"/>
      <c r="HP191" s="29"/>
      <c r="HQ191" s="29"/>
      <c r="HR191" s="29"/>
      <c r="HS191" s="29"/>
      <c r="HT191" s="29"/>
      <c r="HU191" s="29"/>
      <c r="HV191" s="29"/>
      <c r="HW191" s="29"/>
      <c r="HX191" s="29"/>
      <c r="HY191" s="29"/>
      <c r="HZ191" s="29"/>
      <c r="IA191" s="29"/>
      <c r="IB191" s="29"/>
      <c r="IC191" s="29"/>
      <c r="ID191" s="29"/>
      <c r="IE191" s="29"/>
      <c r="IF191" s="29"/>
      <c r="IG191" s="29"/>
      <c r="IH191" s="29"/>
      <c r="II191" s="29"/>
      <c r="IJ191" s="29"/>
      <c r="IK191" s="29"/>
      <c r="IL191" s="29"/>
      <c r="IM191" s="29"/>
      <c r="IN191" s="29"/>
      <c r="IO191" s="29"/>
      <c r="IP191" s="29"/>
      <c r="IQ191" s="29"/>
      <c r="IR191" s="29"/>
      <c r="IS191" s="29"/>
      <c r="IT191" s="29"/>
      <c r="IU191" s="29"/>
      <c r="IV191" s="29"/>
      <c r="IW191" s="29"/>
      <c r="IX191" s="29"/>
      <c r="IY191" s="29"/>
      <c r="IZ191" s="29"/>
      <c r="JA191" s="29"/>
      <c r="JB191" s="29"/>
      <c r="JC191" s="29"/>
      <c r="JD191" s="29"/>
      <c r="JE191" s="29"/>
      <c r="JF191" s="29"/>
      <c r="JG191" s="29"/>
      <c r="JH191" s="29"/>
      <c r="JI191" s="29"/>
      <c r="JJ191" s="29"/>
      <c r="JK191" s="29"/>
      <c r="JL191" s="29"/>
      <c r="JM191" s="29"/>
      <c r="JN191" s="29"/>
      <c r="JO191" s="29"/>
      <c r="JP191" s="29"/>
      <c r="JQ191" s="29"/>
      <c r="JR191" s="29"/>
      <c r="JS191" s="29"/>
      <c r="JT191" s="29"/>
      <c r="JU191" s="29"/>
      <c r="JV191" s="29"/>
      <c r="JW191" s="29"/>
      <c r="JX191" s="29"/>
      <c r="JY191" s="29"/>
      <c r="JZ191" s="29"/>
      <c r="KA191" s="29"/>
      <c r="KB191" s="29"/>
      <c r="KC191" s="29"/>
      <c r="KD191" s="29"/>
      <c r="KE191" s="29"/>
      <c r="KF191" s="29"/>
      <c r="KG191" s="29"/>
      <c r="KH191" s="29"/>
      <c r="KI191" s="29"/>
      <c r="KJ191" s="29"/>
      <c r="KK191" s="29"/>
      <c r="KL191" s="29"/>
      <c r="KM191" s="29"/>
      <c r="KN191" s="29"/>
      <c r="KO191" s="29"/>
      <c r="KP191" s="29"/>
      <c r="KQ191" s="29"/>
      <c r="KR191" s="29"/>
      <c r="KS191" s="29"/>
      <c r="KT191" s="29"/>
      <c r="KU191" s="29"/>
      <c r="KV191" s="29"/>
      <c r="KW191" s="29"/>
      <c r="KX191" s="29"/>
      <c r="KY191" s="29"/>
      <c r="KZ191" s="29"/>
      <c r="LA191" s="29"/>
      <c r="LB191" s="29"/>
      <c r="LC191" s="29"/>
      <c r="LD191" s="29"/>
      <c r="LE191" s="29"/>
      <c r="LF191" s="29"/>
      <c r="LG191" s="29"/>
      <c r="LH191" s="29"/>
      <c r="LI191" s="29"/>
      <c r="LJ191" s="29"/>
      <c r="LK191" s="29"/>
      <c r="LL191" s="29"/>
      <c r="LM191" s="29"/>
      <c r="LN191" s="29"/>
      <c r="LO191" s="29"/>
      <c r="LP191" s="29"/>
      <c r="LQ191" s="29"/>
      <c r="LR191" s="29"/>
      <c r="LS191" s="29"/>
      <c r="LT191" s="29"/>
      <c r="LU191" s="29"/>
      <c r="LV191" s="29"/>
      <c r="LW191" s="29"/>
      <c r="LX191" s="29"/>
      <c r="LY191" s="29"/>
      <c r="LZ191" s="29"/>
      <c r="MA191" s="29"/>
      <c r="MB191" s="29"/>
      <c r="MC191" s="29"/>
      <c r="MD191" s="29"/>
      <c r="ME191" s="29"/>
      <c r="MF191" s="29"/>
      <c r="MG191" s="29"/>
      <c r="MH191" s="29"/>
      <c r="MI191" s="29"/>
      <c r="MJ191" s="29"/>
      <c r="MK191" s="29"/>
      <c r="ML191" s="29"/>
      <c r="MM191" s="29"/>
      <c r="MN191" s="29"/>
      <c r="MO191" s="29"/>
      <c r="MP191" s="29"/>
      <c r="MQ191" s="29"/>
      <c r="MR191" s="29"/>
      <c r="MS191" s="29"/>
      <c r="MT191" s="29"/>
      <c r="MU191" s="29"/>
      <c r="MV191" s="29"/>
      <c r="MW191" s="29"/>
      <c r="MX191" s="29"/>
      <c r="MY191" s="29"/>
      <c r="MZ191" s="29"/>
      <c r="NA191" s="29"/>
      <c r="NB191" s="29"/>
      <c r="NC191" s="29"/>
      <c r="ND191" s="29"/>
      <c r="NE191" s="29"/>
      <c r="NF191" s="29"/>
      <c r="NG191" s="29"/>
      <c r="NH191" s="29"/>
      <c r="NI191" s="29"/>
      <c r="NJ191" s="29"/>
      <c r="NK191" s="29"/>
      <c r="NL191" s="29"/>
      <c r="NM191" s="29"/>
      <c r="NN191" s="29"/>
      <c r="NO191" s="29"/>
      <c r="NP191" s="29"/>
      <c r="NQ191" s="29"/>
      <c r="NR191" s="29"/>
      <c r="NS191" s="29"/>
      <c r="NT191" s="29"/>
      <c r="NU191" s="29"/>
      <c r="NV191" s="29"/>
      <c r="NW191" s="29"/>
      <c r="NX191" s="29"/>
      <c r="NY191" s="29"/>
      <c r="NZ191" s="29"/>
      <c r="OA191" s="29"/>
      <c r="OB191" s="29"/>
      <c r="OC191" s="29"/>
      <c r="OD191" s="29"/>
      <c r="OE191" s="29"/>
      <c r="OF191" s="29"/>
      <c r="OG191" s="29"/>
      <c r="OH191" s="29"/>
      <c r="OI191" s="29"/>
      <c r="OJ191" s="29"/>
      <c r="OK191" s="29"/>
      <c r="OL191" s="29"/>
      <c r="OM191" s="29"/>
      <c r="ON191" s="29"/>
      <c r="OO191" s="29"/>
      <c r="OP191" s="29"/>
      <c r="OQ191" s="29"/>
      <c r="OR191" s="29"/>
      <c r="OS191" s="29"/>
      <c r="OT191" s="29"/>
      <c r="OU191" s="29"/>
      <c r="OV191" s="29"/>
      <c r="OW191" s="29"/>
      <c r="OX191" s="29"/>
      <c r="OY191" s="29"/>
      <c r="OZ191" s="29"/>
      <c r="PA191" s="29"/>
      <c r="PB191" s="29"/>
      <c r="PC191" s="29"/>
      <c r="PD191" s="29"/>
      <c r="PE191" s="29"/>
      <c r="PF191" s="29"/>
      <c r="PG191" s="29"/>
      <c r="PH191" s="29"/>
      <c r="PI191" s="29"/>
      <c r="PJ191" s="29"/>
      <c r="PK191" s="29"/>
      <c r="PL191" s="29"/>
      <c r="PM191" s="29"/>
      <c r="PN191" s="29"/>
      <c r="PO191" s="29"/>
      <c r="PP191" s="29"/>
      <c r="PQ191" s="29"/>
      <c r="PR191" s="29"/>
      <c r="PS191" s="29"/>
      <c r="PT191" s="29"/>
      <c r="PU191" s="29"/>
      <c r="PV191" s="29"/>
      <c r="PW191" s="29"/>
      <c r="PX191" s="29"/>
      <c r="PY191" s="29"/>
      <c r="PZ191" s="29"/>
      <c r="QA191" s="29"/>
      <c r="QB191" s="29"/>
      <c r="QC191" s="29"/>
      <c r="QD191" s="29"/>
      <c r="QE191" s="29"/>
      <c r="QF191" s="29"/>
      <c r="QG191" s="29"/>
      <c r="QH191" s="29"/>
      <c r="QI191" s="29"/>
      <c r="QJ191" s="29"/>
      <c r="QK191" s="29"/>
      <c r="QL191" s="29"/>
      <c r="QM191" s="29"/>
      <c r="QN191" s="29"/>
      <c r="QO191" s="29"/>
      <c r="QP191" s="29"/>
      <c r="QQ191" s="29"/>
      <c r="QR191" s="29"/>
      <c r="QS191" s="29"/>
      <c r="QT191" s="29"/>
      <c r="QU191" s="29"/>
      <c r="QV191" s="29"/>
      <c r="QW191" s="29"/>
      <c r="QX191" s="29"/>
      <c r="QY191" s="29"/>
      <c r="QZ191" s="29"/>
      <c r="RA191" s="29"/>
      <c r="RB191" s="29"/>
      <c r="RC191" s="29"/>
      <c r="RD191" s="29"/>
      <c r="RE191" s="29"/>
      <c r="RF191" s="29"/>
      <c r="RG191" s="29"/>
      <c r="RH191" s="29"/>
      <c r="RI191" s="29"/>
      <c r="RJ191" s="29"/>
      <c r="RK191" s="29"/>
      <c r="RL191" s="29"/>
      <c r="RM191" s="29"/>
      <c r="RN191" s="29"/>
      <c r="RO191" s="29"/>
      <c r="RP191" s="29"/>
      <c r="RQ191" s="29"/>
      <c r="RR191" s="29"/>
      <c r="RS191" s="29"/>
      <c r="RT191" s="29"/>
      <c r="RU191" s="29"/>
      <c r="RV191" s="29"/>
      <c r="RW191" s="29"/>
      <c r="RX191" s="29"/>
      <c r="RY191" s="29"/>
      <c r="RZ191" s="29"/>
      <c r="SA191" s="29"/>
      <c r="SB191" s="29"/>
      <c r="SC191" s="29"/>
      <c r="SD191" s="29"/>
      <c r="SE191" s="29"/>
      <c r="SF191" s="29"/>
      <c r="SG191" s="29"/>
      <c r="SH191" s="29"/>
      <c r="SI191" s="29"/>
      <c r="SJ191" s="29"/>
      <c r="SK191" s="29"/>
      <c r="SL191" s="29"/>
      <c r="SM191" s="29"/>
      <c r="SN191" s="29"/>
      <c r="SO191" s="29"/>
      <c r="SP191" s="29"/>
      <c r="SQ191" s="29"/>
      <c r="SR191" s="29"/>
      <c r="SS191" s="29"/>
      <c r="ST191" s="29"/>
      <c r="SU191" s="29"/>
      <c r="SV191" s="29"/>
      <c r="SW191" s="29"/>
      <c r="SX191" s="29"/>
      <c r="SY191" s="29"/>
      <c r="SZ191" s="29"/>
      <c r="TA191" s="29"/>
      <c r="TB191" s="29"/>
      <c r="TC191" s="29"/>
      <c r="TD191" s="29"/>
      <c r="TE191" s="29"/>
      <c r="TF191" s="29"/>
      <c r="TG191" s="29"/>
      <c r="TH191" s="29"/>
      <c r="TI191" s="29"/>
      <c r="TJ191" s="29"/>
      <c r="TK191" s="29"/>
      <c r="TL191" s="29"/>
      <c r="TM191" s="29"/>
      <c r="TN191" s="29"/>
      <c r="TO191" s="29"/>
      <c r="TP191" s="29"/>
      <c r="TQ191" s="29"/>
      <c r="TR191" s="29"/>
      <c r="TS191" s="29"/>
      <c r="TT191" s="29"/>
      <c r="TU191" s="29"/>
      <c r="TV191" s="29"/>
      <c r="TW191" s="29"/>
      <c r="TX191" s="29"/>
      <c r="TY191" s="29"/>
      <c r="TZ191" s="29"/>
      <c r="UA191" s="29"/>
      <c r="UB191" s="29"/>
      <c r="UC191" s="29"/>
      <c r="UD191" s="29"/>
      <c r="UE191" s="29"/>
      <c r="UF191" s="29"/>
      <c r="UG191" s="29"/>
      <c r="UH191" s="29"/>
      <c r="UI191" s="29"/>
      <c r="UJ191" s="29"/>
      <c r="UK191" s="29"/>
      <c r="UL191" s="29"/>
      <c r="UM191" s="29"/>
      <c r="UN191" s="29"/>
      <c r="UO191" s="29"/>
      <c r="UP191" s="29"/>
      <c r="UQ191" s="29"/>
      <c r="UR191" s="29"/>
      <c r="US191" s="29"/>
      <c r="UT191" s="29"/>
      <c r="UU191" s="29"/>
      <c r="UV191" s="29"/>
      <c r="UW191" s="29"/>
      <c r="UX191" s="29"/>
      <c r="UY191" s="29"/>
      <c r="UZ191" s="29"/>
      <c r="VA191" s="29"/>
      <c r="VB191" s="29"/>
      <c r="VC191" s="29"/>
      <c r="VD191" s="29"/>
      <c r="VE191" s="29"/>
      <c r="VF191" s="29"/>
      <c r="VG191" s="29"/>
      <c r="VH191" s="29"/>
      <c r="VI191" s="29"/>
      <c r="VJ191" s="29"/>
      <c r="VK191" s="29"/>
      <c r="VL191" s="29"/>
      <c r="VM191" s="29"/>
      <c r="VN191" s="29"/>
      <c r="VO191" s="29"/>
      <c r="VP191" s="29"/>
      <c r="VQ191" s="29"/>
      <c r="VR191" s="29"/>
      <c r="VS191" s="29"/>
      <c r="VT191" s="29"/>
      <c r="VU191" s="29"/>
      <c r="VV191" s="29"/>
      <c r="VW191" s="29"/>
      <c r="VX191" s="29"/>
      <c r="VY191" s="29"/>
      <c r="VZ191" s="29"/>
      <c r="WA191" s="29"/>
      <c r="WB191" s="29"/>
      <c r="WC191" s="29"/>
      <c r="WD191" s="29"/>
      <c r="WE191" s="29"/>
      <c r="WF191" s="29"/>
      <c r="WG191" s="29"/>
      <c r="WH191" s="29"/>
      <c r="WI191" s="29"/>
      <c r="WJ191" s="29"/>
      <c r="WK191" s="29"/>
      <c r="WL191" s="29"/>
      <c r="WM191" s="29"/>
      <c r="WN191" s="29"/>
      <c r="WO191" s="29"/>
      <c r="WP191" s="29"/>
      <c r="WQ191" s="29"/>
      <c r="WR191" s="29"/>
      <c r="WS191" s="29"/>
    </row>
    <row r="192" spans="1:617" s="3" customFormat="1" ht="15" hidden="1" outlineLevel="1" thickBot="1">
      <c r="A192" s="33"/>
      <c r="B192" s="103" t="s">
        <v>286</v>
      </c>
      <c r="C192" s="108"/>
      <c r="D192" s="129"/>
      <c r="E192" s="130"/>
      <c r="F192" s="104" t="s">
        <v>287</v>
      </c>
      <c r="G192" s="104" t="s">
        <v>287</v>
      </c>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c r="AF192" s="29"/>
      <c r="AG192" s="29"/>
      <c r="AH192" s="29"/>
      <c r="AI192" s="29"/>
      <c r="AJ192" s="29"/>
      <c r="AK192" s="29"/>
      <c r="AL192" s="29"/>
      <c r="AM192" s="29"/>
      <c r="AN192" s="29"/>
      <c r="AO192" s="29"/>
      <c r="AP192" s="29"/>
      <c r="AQ192" s="29"/>
      <c r="AR192" s="29"/>
      <c r="AS192" s="29"/>
      <c r="AT192" s="29"/>
      <c r="AU192" s="29"/>
      <c r="AV192" s="29"/>
      <c r="AW192" s="29"/>
      <c r="AX192" s="29"/>
      <c r="AY192" s="29"/>
      <c r="AZ192" s="29"/>
      <c r="BA192" s="29"/>
      <c r="BB192" s="29"/>
      <c r="BC192" s="29"/>
      <c r="BD192" s="29"/>
      <c r="BE192" s="29"/>
      <c r="BF192" s="29"/>
      <c r="BG192" s="29"/>
      <c r="BH192" s="29"/>
      <c r="BI192" s="29"/>
      <c r="BJ192" s="29"/>
      <c r="BK192" s="29"/>
      <c r="BL192" s="29"/>
      <c r="BM192" s="29"/>
      <c r="BN192" s="29"/>
      <c r="BO192" s="29"/>
      <c r="BP192" s="29"/>
      <c r="BQ192" s="29"/>
      <c r="BR192" s="29"/>
      <c r="BS192" s="29"/>
      <c r="BT192" s="29"/>
      <c r="BU192" s="29"/>
      <c r="BV192" s="29"/>
      <c r="BW192" s="29"/>
      <c r="BX192" s="29"/>
      <c r="BY192" s="29"/>
      <c r="BZ192" s="29"/>
      <c r="CA192" s="29"/>
      <c r="CB192" s="29"/>
      <c r="CC192" s="29"/>
      <c r="CD192" s="29"/>
      <c r="CE192" s="29"/>
      <c r="CF192" s="29"/>
      <c r="CG192" s="29"/>
      <c r="CH192" s="29"/>
      <c r="CI192" s="29"/>
      <c r="CJ192" s="29"/>
      <c r="CK192" s="29"/>
      <c r="CL192" s="29"/>
      <c r="CM192" s="29"/>
      <c r="CN192" s="29"/>
      <c r="CO192" s="29"/>
      <c r="CP192" s="29"/>
      <c r="CQ192" s="29"/>
      <c r="CR192" s="29"/>
      <c r="CS192" s="29"/>
      <c r="CT192" s="29"/>
      <c r="CU192" s="29"/>
      <c r="CV192" s="29"/>
      <c r="CW192" s="29"/>
      <c r="CX192" s="29"/>
      <c r="CY192" s="29"/>
      <c r="CZ192" s="29"/>
      <c r="DA192" s="29"/>
      <c r="DB192" s="29"/>
      <c r="DC192" s="29"/>
      <c r="DD192" s="29"/>
      <c r="DE192" s="29"/>
      <c r="DF192" s="29"/>
      <c r="DG192" s="29"/>
      <c r="DH192" s="29"/>
      <c r="DI192" s="29"/>
      <c r="DJ192" s="29"/>
      <c r="DK192" s="29"/>
      <c r="DL192" s="29"/>
      <c r="DM192" s="29"/>
      <c r="DN192" s="29"/>
      <c r="DO192" s="29"/>
      <c r="DP192" s="29"/>
      <c r="DQ192" s="29"/>
      <c r="DR192" s="29"/>
      <c r="DS192" s="29"/>
      <c r="DT192" s="29"/>
      <c r="DU192" s="29"/>
      <c r="DV192" s="29"/>
      <c r="DW192" s="29"/>
      <c r="DX192" s="29"/>
      <c r="DY192" s="29"/>
      <c r="DZ192" s="29"/>
      <c r="EA192" s="29"/>
      <c r="EB192" s="29"/>
      <c r="EC192" s="29"/>
      <c r="ED192" s="29"/>
      <c r="EE192" s="29"/>
      <c r="EF192" s="29"/>
      <c r="EG192" s="29"/>
      <c r="EH192" s="29"/>
      <c r="EI192" s="29"/>
      <c r="EJ192" s="29"/>
      <c r="EK192" s="29"/>
      <c r="EL192" s="29"/>
      <c r="EM192" s="29"/>
      <c r="EN192" s="29"/>
      <c r="EO192" s="29"/>
      <c r="EP192" s="29"/>
      <c r="EQ192" s="29"/>
      <c r="ER192" s="29"/>
      <c r="ES192" s="29"/>
      <c r="ET192" s="29"/>
      <c r="EU192" s="29"/>
      <c r="EV192" s="29"/>
      <c r="EW192" s="29"/>
      <c r="EX192" s="29"/>
      <c r="EY192" s="29"/>
      <c r="EZ192" s="29"/>
      <c r="FA192" s="29"/>
      <c r="FB192" s="29"/>
      <c r="FC192" s="29"/>
      <c r="FD192" s="29"/>
      <c r="FE192" s="29"/>
      <c r="FF192" s="29"/>
      <c r="FG192" s="29"/>
      <c r="FH192" s="29"/>
      <c r="FI192" s="29"/>
      <c r="FJ192" s="29"/>
      <c r="FK192" s="29"/>
      <c r="FL192" s="29"/>
      <c r="FM192" s="29"/>
      <c r="FN192" s="29"/>
      <c r="FO192" s="29"/>
      <c r="FP192" s="29"/>
      <c r="FQ192" s="29"/>
      <c r="FR192" s="29"/>
      <c r="FS192" s="29"/>
      <c r="FT192" s="29"/>
      <c r="FU192" s="29"/>
      <c r="FV192" s="29"/>
      <c r="FW192" s="29"/>
      <c r="FX192" s="29"/>
      <c r="FY192" s="29"/>
      <c r="FZ192" s="29"/>
      <c r="GA192" s="29"/>
      <c r="GB192" s="29"/>
      <c r="GC192" s="29"/>
      <c r="GD192" s="29"/>
      <c r="GE192" s="29"/>
      <c r="GF192" s="29"/>
      <c r="GG192" s="29"/>
      <c r="GH192" s="29"/>
      <c r="GI192" s="29"/>
      <c r="GJ192" s="29"/>
      <c r="GK192" s="29"/>
      <c r="GL192" s="29"/>
      <c r="GM192" s="29"/>
      <c r="GN192" s="29"/>
      <c r="GO192" s="29"/>
      <c r="GP192" s="29"/>
      <c r="GQ192" s="29"/>
      <c r="GR192" s="29"/>
      <c r="GS192" s="29"/>
      <c r="GT192" s="29"/>
      <c r="GU192" s="29"/>
      <c r="GV192" s="29"/>
      <c r="GW192" s="29"/>
      <c r="GX192" s="29"/>
      <c r="GY192" s="29"/>
      <c r="GZ192" s="29"/>
      <c r="HA192" s="29"/>
      <c r="HB192" s="29"/>
      <c r="HC192" s="29"/>
      <c r="HD192" s="29"/>
      <c r="HE192" s="29"/>
      <c r="HF192" s="29"/>
      <c r="HG192" s="29"/>
      <c r="HH192" s="29"/>
      <c r="HI192" s="29"/>
      <c r="HJ192" s="29"/>
      <c r="HK192" s="29"/>
      <c r="HL192" s="29"/>
      <c r="HM192" s="29"/>
      <c r="HN192" s="29"/>
      <c r="HO192" s="29"/>
      <c r="HP192" s="29"/>
      <c r="HQ192" s="29"/>
      <c r="HR192" s="29"/>
      <c r="HS192" s="29"/>
      <c r="HT192" s="29"/>
      <c r="HU192" s="29"/>
      <c r="HV192" s="29"/>
      <c r="HW192" s="29"/>
      <c r="HX192" s="29"/>
      <c r="HY192" s="29"/>
      <c r="HZ192" s="29"/>
      <c r="IA192" s="29"/>
      <c r="IB192" s="29"/>
      <c r="IC192" s="29"/>
      <c r="ID192" s="29"/>
      <c r="IE192" s="29"/>
      <c r="IF192" s="29"/>
      <c r="IG192" s="29"/>
      <c r="IH192" s="29"/>
      <c r="II192" s="29"/>
      <c r="IJ192" s="29"/>
      <c r="IK192" s="29"/>
      <c r="IL192" s="29"/>
      <c r="IM192" s="29"/>
      <c r="IN192" s="29"/>
      <c r="IO192" s="29"/>
      <c r="IP192" s="29"/>
      <c r="IQ192" s="29"/>
      <c r="IR192" s="29"/>
      <c r="IS192" s="29"/>
      <c r="IT192" s="29"/>
      <c r="IU192" s="29"/>
      <c r="IV192" s="29"/>
      <c r="IW192" s="29"/>
      <c r="IX192" s="29"/>
      <c r="IY192" s="29"/>
      <c r="IZ192" s="29"/>
      <c r="JA192" s="29"/>
      <c r="JB192" s="29"/>
      <c r="JC192" s="29"/>
      <c r="JD192" s="29"/>
      <c r="JE192" s="29"/>
      <c r="JF192" s="29"/>
      <c r="JG192" s="29"/>
      <c r="JH192" s="29"/>
      <c r="JI192" s="29"/>
      <c r="JJ192" s="29"/>
      <c r="JK192" s="29"/>
      <c r="JL192" s="29"/>
      <c r="JM192" s="29"/>
      <c r="JN192" s="29"/>
      <c r="JO192" s="29"/>
      <c r="JP192" s="29"/>
      <c r="JQ192" s="29"/>
      <c r="JR192" s="29"/>
      <c r="JS192" s="29"/>
      <c r="JT192" s="29"/>
      <c r="JU192" s="29"/>
      <c r="JV192" s="29"/>
      <c r="JW192" s="29"/>
      <c r="JX192" s="29"/>
      <c r="JY192" s="29"/>
      <c r="JZ192" s="29"/>
      <c r="KA192" s="29"/>
      <c r="KB192" s="29"/>
      <c r="KC192" s="29"/>
      <c r="KD192" s="29"/>
      <c r="KE192" s="29"/>
      <c r="KF192" s="29"/>
      <c r="KG192" s="29"/>
      <c r="KH192" s="29"/>
      <c r="KI192" s="29"/>
      <c r="KJ192" s="29"/>
      <c r="KK192" s="29"/>
      <c r="KL192" s="29"/>
      <c r="KM192" s="29"/>
      <c r="KN192" s="29"/>
      <c r="KO192" s="29"/>
      <c r="KP192" s="29"/>
      <c r="KQ192" s="29"/>
      <c r="KR192" s="29"/>
      <c r="KS192" s="29"/>
      <c r="KT192" s="29"/>
      <c r="KU192" s="29"/>
      <c r="KV192" s="29"/>
      <c r="KW192" s="29"/>
      <c r="KX192" s="29"/>
      <c r="KY192" s="29"/>
      <c r="KZ192" s="29"/>
      <c r="LA192" s="29"/>
      <c r="LB192" s="29"/>
      <c r="LC192" s="29"/>
      <c r="LD192" s="29"/>
      <c r="LE192" s="29"/>
      <c r="LF192" s="29"/>
      <c r="LG192" s="29"/>
      <c r="LH192" s="29"/>
      <c r="LI192" s="29"/>
      <c r="LJ192" s="29"/>
      <c r="LK192" s="29"/>
      <c r="LL192" s="29"/>
      <c r="LM192" s="29"/>
      <c r="LN192" s="29"/>
      <c r="LO192" s="29"/>
      <c r="LP192" s="29"/>
      <c r="LQ192" s="29"/>
      <c r="LR192" s="29"/>
      <c r="LS192" s="29"/>
      <c r="LT192" s="29"/>
      <c r="LU192" s="29"/>
      <c r="LV192" s="29"/>
      <c r="LW192" s="29"/>
      <c r="LX192" s="29"/>
      <c r="LY192" s="29"/>
      <c r="LZ192" s="29"/>
      <c r="MA192" s="29"/>
      <c r="MB192" s="29"/>
      <c r="MC192" s="29"/>
      <c r="MD192" s="29"/>
      <c r="ME192" s="29"/>
      <c r="MF192" s="29"/>
      <c r="MG192" s="29"/>
      <c r="MH192" s="29"/>
      <c r="MI192" s="29"/>
      <c r="MJ192" s="29"/>
      <c r="MK192" s="29"/>
      <c r="ML192" s="29"/>
      <c r="MM192" s="29"/>
      <c r="MN192" s="29"/>
      <c r="MO192" s="29"/>
      <c r="MP192" s="29"/>
      <c r="MQ192" s="29"/>
      <c r="MR192" s="29"/>
      <c r="MS192" s="29"/>
      <c r="MT192" s="29"/>
      <c r="MU192" s="29"/>
      <c r="MV192" s="29"/>
      <c r="MW192" s="29"/>
      <c r="MX192" s="29"/>
      <c r="MY192" s="29"/>
      <c r="MZ192" s="29"/>
      <c r="NA192" s="29"/>
      <c r="NB192" s="29"/>
      <c r="NC192" s="29"/>
      <c r="ND192" s="29"/>
      <c r="NE192" s="29"/>
      <c r="NF192" s="29"/>
      <c r="NG192" s="29"/>
      <c r="NH192" s="29"/>
      <c r="NI192" s="29"/>
      <c r="NJ192" s="29"/>
      <c r="NK192" s="29"/>
      <c r="NL192" s="29"/>
      <c r="NM192" s="29"/>
      <c r="NN192" s="29"/>
      <c r="NO192" s="29"/>
      <c r="NP192" s="29"/>
      <c r="NQ192" s="29"/>
      <c r="NR192" s="29"/>
      <c r="NS192" s="29"/>
      <c r="NT192" s="29"/>
      <c r="NU192" s="29"/>
      <c r="NV192" s="29"/>
      <c r="NW192" s="29"/>
      <c r="NX192" s="29"/>
      <c r="NY192" s="29"/>
      <c r="NZ192" s="29"/>
      <c r="OA192" s="29"/>
      <c r="OB192" s="29"/>
      <c r="OC192" s="29"/>
      <c r="OD192" s="29"/>
      <c r="OE192" s="29"/>
      <c r="OF192" s="29"/>
      <c r="OG192" s="29"/>
      <c r="OH192" s="29"/>
      <c r="OI192" s="29"/>
      <c r="OJ192" s="29"/>
      <c r="OK192" s="29"/>
      <c r="OL192" s="29"/>
      <c r="OM192" s="29"/>
      <c r="ON192" s="29"/>
      <c r="OO192" s="29"/>
      <c r="OP192" s="29"/>
      <c r="OQ192" s="29"/>
      <c r="OR192" s="29"/>
      <c r="OS192" s="29"/>
      <c r="OT192" s="29"/>
      <c r="OU192" s="29"/>
      <c r="OV192" s="29"/>
      <c r="OW192" s="29"/>
      <c r="OX192" s="29"/>
      <c r="OY192" s="29"/>
      <c r="OZ192" s="29"/>
      <c r="PA192" s="29"/>
      <c r="PB192" s="29"/>
      <c r="PC192" s="29"/>
      <c r="PD192" s="29"/>
      <c r="PE192" s="29"/>
      <c r="PF192" s="29"/>
      <c r="PG192" s="29"/>
      <c r="PH192" s="29"/>
      <c r="PI192" s="29"/>
      <c r="PJ192" s="29"/>
      <c r="PK192" s="29"/>
      <c r="PL192" s="29"/>
      <c r="PM192" s="29"/>
      <c r="PN192" s="29"/>
      <c r="PO192" s="29"/>
      <c r="PP192" s="29"/>
      <c r="PQ192" s="29"/>
      <c r="PR192" s="29"/>
      <c r="PS192" s="29"/>
      <c r="PT192" s="29"/>
      <c r="PU192" s="29"/>
      <c r="PV192" s="29"/>
      <c r="PW192" s="29"/>
      <c r="PX192" s="29"/>
      <c r="PY192" s="29"/>
      <c r="PZ192" s="29"/>
      <c r="QA192" s="29"/>
      <c r="QB192" s="29"/>
      <c r="QC192" s="29"/>
      <c r="QD192" s="29"/>
      <c r="QE192" s="29"/>
      <c r="QF192" s="29"/>
      <c r="QG192" s="29"/>
      <c r="QH192" s="29"/>
      <c r="QI192" s="29"/>
      <c r="QJ192" s="29"/>
      <c r="QK192" s="29"/>
      <c r="QL192" s="29"/>
      <c r="QM192" s="29"/>
      <c r="QN192" s="29"/>
      <c r="QO192" s="29"/>
      <c r="QP192" s="29"/>
      <c r="QQ192" s="29"/>
      <c r="QR192" s="29"/>
      <c r="QS192" s="29"/>
      <c r="QT192" s="29"/>
      <c r="QU192" s="29"/>
      <c r="QV192" s="29"/>
      <c r="QW192" s="29"/>
      <c r="QX192" s="29"/>
      <c r="QY192" s="29"/>
      <c r="QZ192" s="29"/>
      <c r="RA192" s="29"/>
      <c r="RB192" s="29"/>
      <c r="RC192" s="29"/>
      <c r="RD192" s="29"/>
      <c r="RE192" s="29"/>
      <c r="RF192" s="29"/>
      <c r="RG192" s="29"/>
      <c r="RH192" s="29"/>
      <c r="RI192" s="29"/>
      <c r="RJ192" s="29"/>
      <c r="RK192" s="29"/>
      <c r="RL192" s="29"/>
      <c r="RM192" s="29"/>
      <c r="RN192" s="29"/>
      <c r="RO192" s="29"/>
      <c r="RP192" s="29"/>
      <c r="RQ192" s="29"/>
      <c r="RR192" s="29"/>
      <c r="RS192" s="29"/>
      <c r="RT192" s="29"/>
      <c r="RU192" s="29"/>
      <c r="RV192" s="29"/>
      <c r="RW192" s="29"/>
      <c r="RX192" s="29"/>
      <c r="RY192" s="29"/>
      <c r="RZ192" s="29"/>
      <c r="SA192" s="29"/>
      <c r="SB192" s="29"/>
      <c r="SC192" s="29"/>
      <c r="SD192" s="29"/>
      <c r="SE192" s="29"/>
      <c r="SF192" s="29"/>
      <c r="SG192" s="29"/>
      <c r="SH192" s="29"/>
      <c r="SI192" s="29"/>
      <c r="SJ192" s="29"/>
      <c r="SK192" s="29"/>
      <c r="SL192" s="29"/>
      <c r="SM192" s="29"/>
      <c r="SN192" s="29"/>
      <c r="SO192" s="29"/>
      <c r="SP192" s="29"/>
      <c r="SQ192" s="29"/>
      <c r="SR192" s="29"/>
      <c r="SS192" s="29"/>
      <c r="ST192" s="29"/>
      <c r="SU192" s="29"/>
      <c r="SV192" s="29"/>
      <c r="SW192" s="29"/>
      <c r="SX192" s="29"/>
      <c r="SY192" s="29"/>
      <c r="SZ192" s="29"/>
      <c r="TA192" s="29"/>
      <c r="TB192" s="29"/>
      <c r="TC192" s="29"/>
      <c r="TD192" s="29"/>
      <c r="TE192" s="29"/>
      <c r="TF192" s="29"/>
      <c r="TG192" s="29"/>
      <c r="TH192" s="29"/>
      <c r="TI192" s="29"/>
      <c r="TJ192" s="29"/>
      <c r="TK192" s="29"/>
      <c r="TL192" s="29"/>
      <c r="TM192" s="29"/>
      <c r="TN192" s="29"/>
      <c r="TO192" s="29"/>
      <c r="TP192" s="29"/>
      <c r="TQ192" s="29"/>
      <c r="TR192" s="29"/>
      <c r="TS192" s="29"/>
      <c r="TT192" s="29"/>
      <c r="TU192" s="29"/>
      <c r="TV192" s="29"/>
      <c r="TW192" s="29"/>
      <c r="TX192" s="29"/>
      <c r="TY192" s="29"/>
      <c r="TZ192" s="29"/>
      <c r="UA192" s="29"/>
      <c r="UB192" s="29"/>
      <c r="UC192" s="29"/>
      <c r="UD192" s="29"/>
      <c r="UE192" s="29"/>
      <c r="UF192" s="29"/>
      <c r="UG192" s="29"/>
      <c r="UH192" s="29"/>
      <c r="UI192" s="29"/>
      <c r="UJ192" s="29"/>
      <c r="UK192" s="29"/>
      <c r="UL192" s="29"/>
      <c r="UM192" s="29"/>
      <c r="UN192" s="29"/>
      <c r="UO192" s="29"/>
      <c r="UP192" s="29"/>
      <c r="UQ192" s="29"/>
      <c r="UR192" s="29"/>
      <c r="US192" s="29"/>
      <c r="UT192" s="29"/>
      <c r="UU192" s="29"/>
      <c r="UV192" s="29"/>
      <c r="UW192" s="29"/>
      <c r="UX192" s="29"/>
      <c r="UY192" s="29"/>
      <c r="UZ192" s="29"/>
      <c r="VA192" s="29"/>
      <c r="VB192" s="29"/>
      <c r="VC192" s="29"/>
      <c r="VD192" s="29"/>
      <c r="VE192" s="29"/>
      <c r="VF192" s="29"/>
      <c r="VG192" s="29"/>
      <c r="VH192" s="29"/>
      <c r="VI192" s="29"/>
      <c r="VJ192" s="29"/>
      <c r="VK192" s="29"/>
      <c r="VL192" s="29"/>
      <c r="VM192" s="29"/>
      <c r="VN192" s="29"/>
      <c r="VO192" s="29"/>
      <c r="VP192" s="29"/>
      <c r="VQ192" s="29"/>
      <c r="VR192" s="29"/>
      <c r="VS192" s="29"/>
      <c r="VT192" s="29"/>
      <c r="VU192" s="29"/>
      <c r="VV192" s="29"/>
      <c r="VW192" s="29"/>
      <c r="VX192" s="29"/>
      <c r="VY192" s="29"/>
      <c r="VZ192" s="29"/>
      <c r="WA192" s="29"/>
      <c r="WB192" s="29"/>
      <c r="WC192" s="29"/>
      <c r="WD192" s="29"/>
      <c r="WE192" s="29"/>
      <c r="WF192" s="29"/>
      <c r="WG192" s="29"/>
      <c r="WH192" s="29"/>
      <c r="WI192" s="29"/>
      <c r="WJ192" s="29"/>
      <c r="WK192" s="29"/>
      <c r="WL192" s="29"/>
      <c r="WM192" s="29"/>
      <c r="WN192" s="29"/>
      <c r="WO192" s="29"/>
      <c r="WP192" s="29"/>
      <c r="WQ192" s="29"/>
      <c r="WR192" s="29"/>
      <c r="WS192" s="29"/>
    </row>
    <row r="193" spans="1:617" s="3" customFormat="1" ht="15" hidden="1" outlineLevel="1" thickBot="1">
      <c r="A193" s="33"/>
      <c r="B193" s="105" t="s">
        <v>246</v>
      </c>
      <c r="C193" s="144" t="s">
        <v>288</v>
      </c>
      <c r="D193" s="109">
        <v>45818</v>
      </c>
      <c r="E193" s="109">
        <v>45870</v>
      </c>
      <c r="F193" s="106" t="s">
        <v>287</v>
      </c>
      <c r="G193" s="106">
        <v>52</v>
      </c>
      <c r="H193" s="29"/>
      <c r="I193" s="29"/>
      <c r="J193" s="29"/>
      <c r="K193" s="29"/>
      <c r="L193" s="29"/>
      <c r="M193" s="29"/>
      <c r="N193" s="29"/>
      <c r="O193" s="29"/>
      <c r="P193" s="29"/>
      <c r="Q193" s="29"/>
      <c r="R193" s="29"/>
      <c r="S193" s="29"/>
      <c r="T193" s="29"/>
      <c r="U193" s="29"/>
      <c r="V193" s="29"/>
      <c r="W193" s="29"/>
      <c r="X193" s="29"/>
      <c r="Y193" s="29"/>
      <c r="Z193" s="29"/>
      <c r="AA193" s="29"/>
      <c r="AB193" s="29"/>
      <c r="AC193" s="29"/>
      <c r="AD193" s="29"/>
      <c r="AE193" s="29"/>
      <c r="AF193" s="29"/>
      <c r="AG193" s="29"/>
      <c r="AH193" s="29"/>
      <c r="AI193" s="29"/>
      <c r="AJ193" s="29"/>
      <c r="AK193" s="29"/>
      <c r="AL193" s="29"/>
      <c r="AM193" s="29"/>
      <c r="AN193" s="29"/>
      <c r="AO193" s="29"/>
      <c r="AP193" s="29"/>
      <c r="AQ193" s="29"/>
      <c r="AR193" s="29"/>
      <c r="AS193" s="29"/>
      <c r="AT193" s="29"/>
      <c r="AU193" s="29"/>
      <c r="AV193" s="29"/>
      <c r="AW193" s="29"/>
      <c r="AX193" s="29"/>
      <c r="AY193" s="29"/>
      <c r="AZ193" s="29"/>
      <c r="BA193" s="29"/>
      <c r="BB193" s="29"/>
      <c r="BC193" s="29"/>
      <c r="BD193" s="29"/>
      <c r="BE193" s="29"/>
      <c r="BF193" s="29"/>
      <c r="BG193" s="29"/>
      <c r="BH193" s="29"/>
      <c r="BI193" s="29"/>
      <c r="BJ193" s="29"/>
      <c r="BK193" s="29"/>
      <c r="BL193" s="29"/>
      <c r="BM193" s="29"/>
      <c r="BN193" s="29"/>
      <c r="BO193" s="29"/>
      <c r="BP193" s="29"/>
      <c r="BQ193" s="29"/>
      <c r="BR193" s="29"/>
      <c r="BS193" s="29"/>
      <c r="BT193" s="29"/>
      <c r="BU193" s="29"/>
      <c r="BV193" s="29"/>
      <c r="BW193" s="29"/>
      <c r="BX193" s="29"/>
      <c r="BY193" s="29"/>
      <c r="BZ193" s="29"/>
      <c r="CA193" s="29"/>
      <c r="CB193" s="29"/>
      <c r="CC193" s="29"/>
      <c r="CD193" s="29"/>
      <c r="CE193" s="29"/>
      <c r="CF193" s="29"/>
      <c r="CG193" s="29"/>
      <c r="CH193" s="29"/>
      <c r="CI193" s="29"/>
      <c r="CJ193" s="29"/>
      <c r="CK193" s="29"/>
      <c r="CL193" s="29"/>
      <c r="CM193" s="29"/>
      <c r="CN193" s="29"/>
      <c r="CO193" s="29"/>
      <c r="CP193" s="29"/>
      <c r="CQ193" s="29"/>
      <c r="CR193" s="29"/>
      <c r="CS193" s="29"/>
      <c r="CT193" s="29"/>
      <c r="CU193" s="29"/>
      <c r="CV193" s="29"/>
      <c r="CW193" s="29"/>
      <c r="CX193" s="29"/>
      <c r="CY193" s="29"/>
      <c r="CZ193" s="29"/>
      <c r="DA193" s="29"/>
      <c r="DB193" s="29"/>
      <c r="DC193" s="29"/>
      <c r="DD193" s="29"/>
      <c r="DE193" s="29"/>
      <c r="DF193" s="29"/>
      <c r="DG193" s="29"/>
      <c r="DH193" s="29"/>
      <c r="DI193" s="29"/>
      <c r="DJ193" s="29"/>
      <c r="DK193" s="29"/>
      <c r="DL193" s="29"/>
      <c r="DM193" s="29"/>
      <c r="DN193" s="29"/>
      <c r="DO193" s="29"/>
      <c r="DP193" s="29"/>
      <c r="DQ193" s="29"/>
      <c r="DR193" s="29"/>
      <c r="DS193" s="29"/>
      <c r="DT193" s="29"/>
      <c r="DU193" s="29"/>
      <c r="DV193" s="29"/>
      <c r="DW193" s="29"/>
      <c r="DX193" s="29"/>
      <c r="DY193" s="29"/>
      <c r="DZ193" s="29"/>
      <c r="EA193" s="29"/>
      <c r="EB193" s="29"/>
      <c r="EC193" s="29"/>
      <c r="ED193" s="29"/>
      <c r="EE193" s="29"/>
      <c r="EF193" s="29"/>
      <c r="EG193" s="29"/>
      <c r="EH193" s="29"/>
      <c r="EI193" s="29"/>
      <c r="EJ193" s="29"/>
      <c r="EK193" s="29"/>
      <c r="EL193" s="29"/>
      <c r="EM193" s="29"/>
      <c r="EN193" s="29"/>
      <c r="EO193" s="29"/>
      <c r="EP193" s="29"/>
      <c r="EQ193" s="29"/>
      <c r="ER193" s="29"/>
      <c r="ES193" s="29"/>
      <c r="ET193" s="29"/>
      <c r="EU193" s="29"/>
      <c r="EV193" s="29"/>
      <c r="EW193" s="29"/>
      <c r="EX193" s="29"/>
      <c r="EY193" s="29"/>
      <c r="EZ193" s="29"/>
      <c r="FA193" s="29"/>
      <c r="FB193" s="29"/>
      <c r="FC193" s="29"/>
      <c r="FD193" s="29"/>
      <c r="FE193" s="29"/>
      <c r="FF193" s="29"/>
      <c r="FG193" s="29"/>
      <c r="FH193" s="29"/>
      <c r="FI193" s="29"/>
      <c r="FJ193" s="29"/>
      <c r="FK193" s="29"/>
      <c r="FL193" s="29"/>
      <c r="FM193" s="29"/>
      <c r="FN193" s="29"/>
      <c r="FO193" s="29"/>
      <c r="FP193" s="29"/>
      <c r="FQ193" s="29"/>
      <c r="FR193" s="29"/>
      <c r="FS193" s="29"/>
      <c r="FT193" s="29"/>
      <c r="FU193" s="29"/>
      <c r="FV193" s="29"/>
      <c r="FW193" s="29"/>
      <c r="FX193" s="29"/>
      <c r="FY193" s="29"/>
      <c r="FZ193" s="29"/>
      <c r="GA193" s="29"/>
      <c r="GB193" s="29"/>
      <c r="GC193" s="29"/>
      <c r="GD193" s="29"/>
      <c r="GE193" s="29"/>
      <c r="GF193" s="29"/>
      <c r="GG193" s="29"/>
      <c r="GH193" s="29"/>
      <c r="GI193" s="29"/>
      <c r="GJ193" s="29"/>
      <c r="GK193" s="29"/>
      <c r="GL193" s="29"/>
      <c r="GM193" s="29"/>
      <c r="GN193" s="29"/>
      <c r="GO193" s="29"/>
      <c r="GP193" s="29"/>
      <c r="GQ193" s="29"/>
      <c r="GR193" s="29"/>
      <c r="GS193" s="29"/>
      <c r="GT193" s="29"/>
      <c r="GU193" s="29"/>
      <c r="GV193" s="29"/>
      <c r="GW193" s="29"/>
      <c r="GX193" s="29"/>
      <c r="GY193" s="29"/>
      <c r="GZ193" s="29"/>
      <c r="HA193" s="29"/>
      <c r="HB193" s="29"/>
      <c r="HC193" s="29"/>
      <c r="HD193" s="29"/>
      <c r="HE193" s="29"/>
      <c r="HF193" s="29"/>
      <c r="HG193" s="29"/>
      <c r="HH193" s="29"/>
      <c r="HI193" s="29"/>
      <c r="HJ193" s="29"/>
      <c r="HK193" s="29"/>
      <c r="HL193" s="29"/>
      <c r="HM193" s="29"/>
      <c r="HN193" s="29"/>
      <c r="HO193" s="29"/>
      <c r="HP193" s="29"/>
      <c r="HQ193" s="29"/>
      <c r="HR193" s="29"/>
      <c r="HS193" s="29"/>
      <c r="HT193" s="29"/>
      <c r="HU193" s="29"/>
      <c r="HV193" s="29"/>
      <c r="HW193" s="29"/>
      <c r="HX193" s="29"/>
      <c r="HY193" s="29"/>
      <c r="HZ193" s="29"/>
      <c r="IA193" s="29"/>
      <c r="IB193" s="29"/>
      <c r="IC193" s="29"/>
      <c r="ID193" s="29"/>
      <c r="IE193" s="29"/>
      <c r="IF193" s="29"/>
      <c r="IG193" s="29"/>
      <c r="IH193" s="29"/>
      <c r="II193" s="29"/>
      <c r="IJ193" s="29"/>
      <c r="IK193" s="29"/>
      <c r="IL193" s="29"/>
      <c r="IM193" s="29"/>
      <c r="IN193" s="29"/>
      <c r="IO193" s="29"/>
      <c r="IP193" s="29"/>
      <c r="IQ193" s="29"/>
      <c r="IR193" s="29"/>
      <c r="IS193" s="29"/>
      <c r="IT193" s="29"/>
      <c r="IU193" s="29"/>
      <c r="IV193" s="29"/>
      <c r="IW193" s="29"/>
      <c r="IX193" s="29"/>
      <c r="IY193" s="29"/>
      <c r="IZ193" s="29"/>
      <c r="JA193" s="29"/>
      <c r="JB193" s="29"/>
      <c r="JC193" s="29"/>
      <c r="JD193" s="29"/>
      <c r="JE193" s="29"/>
      <c r="JF193" s="29"/>
      <c r="JG193" s="29"/>
      <c r="JH193" s="29"/>
      <c r="JI193" s="29"/>
      <c r="JJ193" s="29"/>
      <c r="JK193" s="29"/>
      <c r="JL193" s="29"/>
      <c r="JM193" s="29"/>
      <c r="JN193" s="29"/>
      <c r="JO193" s="29"/>
      <c r="JP193" s="29"/>
      <c r="JQ193" s="29"/>
      <c r="JR193" s="29"/>
      <c r="JS193" s="29"/>
      <c r="JT193" s="29"/>
      <c r="JU193" s="29"/>
      <c r="JV193" s="29"/>
      <c r="JW193" s="29"/>
      <c r="JX193" s="29"/>
      <c r="JY193" s="29"/>
      <c r="JZ193" s="29"/>
      <c r="KA193" s="29"/>
      <c r="KB193" s="29"/>
      <c r="KC193" s="29"/>
      <c r="KD193" s="29"/>
      <c r="KE193" s="29"/>
      <c r="KF193" s="29"/>
      <c r="KG193" s="29"/>
      <c r="KH193" s="29"/>
      <c r="KI193" s="29"/>
      <c r="KJ193" s="29"/>
      <c r="KK193" s="29"/>
      <c r="KL193" s="29"/>
      <c r="KM193" s="29"/>
      <c r="KN193" s="29"/>
      <c r="KO193" s="29"/>
      <c r="KP193" s="29"/>
      <c r="KQ193" s="29"/>
      <c r="KR193" s="29"/>
      <c r="KS193" s="29"/>
      <c r="KT193" s="29"/>
      <c r="KU193" s="29"/>
      <c r="KV193" s="29"/>
      <c r="KW193" s="29"/>
      <c r="KX193" s="29"/>
      <c r="KY193" s="29"/>
      <c r="KZ193" s="29"/>
      <c r="LA193" s="29"/>
      <c r="LB193" s="29"/>
      <c r="LC193" s="29"/>
      <c r="LD193" s="29"/>
      <c r="LE193" s="29"/>
      <c r="LF193" s="29"/>
      <c r="LG193" s="29"/>
      <c r="LH193" s="29"/>
      <c r="LI193" s="29"/>
      <c r="LJ193" s="29"/>
      <c r="LK193" s="29"/>
      <c r="LL193" s="29"/>
      <c r="LM193" s="29"/>
      <c r="LN193" s="29"/>
      <c r="LO193" s="29"/>
      <c r="LP193" s="29"/>
      <c r="LQ193" s="29"/>
      <c r="LR193" s="29"/>
      <c r="LS193" s="29"/>
      <c r="LT193" s="29"/>
      <c r="LU193" s="29"/>
      <c r="LV193" s="29"/>
      <c r="LW193" s="29"/>
      <c r="LX193" s="29"/>
      <c r="LY193" s="29"/>
      <c r="LZ193" s="29"/>
      <c r="MA193" s="29"/>
      <c r="MB193" s="29"/>
      <c r="MC193" s="29"/>
      <c r="MD193" s="29"/>
      <c r="ME193" s="29"/>
      <c r="MF193" s="29"/>
      <c r="MG193" s="29"/>
      <c r="MH193" s="29"/>
      <c r="MI193" s="29"/>
      <c r="MJ193" s="29"/>
      <c r="MK193" s="29"/>
      <c r="ML193" s="29"/>
      <c r="MM193" s="29"/>
      <c r="MN193" s="29"/>
      <c r="MO193" s="29"/>
      <c r="MP193" s="29"/>
      <c r="MQ193" s="29"/>
      <c r="MR193" s="29"/>
      <c r="MS193" s="29"/>
      <c r="MT193" s="29"/>
      <c r="MU193" s="29"/>
      <c r="MV193" s="29"/>
      <c r="MW193" s="29"/>
      <c r="MX193" s="29"/>
      <c r="MY193" s="29"/>
      <c r="MZ193" s="29"/>
      <c r="NA193" s="29"/>
      <c r="NB193" s="29"/>
      <c r="NC193" s="29"/>
      <c r="ND193" s="29"/>
      <c r="NE193" s="29"/>
      <c r="NF193" s="29"/>
      <c r="NG193" s="29"/>
      <c r="NH193" s="29"/>
      <c r="NI193" s="29"/>
      <c r="NJ193" s="29"/>
      <c r="NK193" s="29"/>
      <c r="NL193" s="29"/>
      <c r="NM193" s="29"/>
      <c r="NN193" s="29"/>
      <c r="NO193" s="29"/>
      <c r="NP193" s="29"/>
      <c r="NQ193" s="29"/>
      <c r="NR193" s="29"/>
      <c r="NS193" s="29"/>
      <c r="NT193" s="29"/>
      <c r="NU193" s="29"/>
      <c r="NV193" s="29"/>
      <c r="NW193" s="29"/>
      <c r="NX193" s="29"/>
      <c r="NY193" s="29"/>
      <c r="NZ193" s="29"/>
      <c r="OA193" s="29"/>
      <c r="OB193" s="29"/>
      <c r="OC193" s="29"/>
      <c r="OD193" s="29"/>
      <c r="OE193" s="29"/>
      <c r="OF193" s="29"/>
      <c r="OG193" s="29"/>
      <c r="OH193" s="29"/>
      <c r="OI193" s="29"/>
      <c r="OJ193" s="29"/>
      <c r="OK193" s="29"/>
      <c r="OL193" s="29"/>
      <c r="OM193" s="29"/>
      <c r="ON193" s="29"/>
      <c r="OO193" s="29"/>
      <c r="OP193" s="29"/>
      <c r="OQ193" s="29"/>
      <c r="OR193" s="29"/>
      <c r="OS193" s="29"/>
      <c r="OT193" s="29"/>
      <c r="OU193" s="29"/>
      <c r="OV193" s="29"/>
      <c r="OW193" s="29"/>
      <c r="OX193" s="29"/>
      <c r="OY193" s="29"/>
      <c r="OZ193" s="29"/>
      <c r="PA193" s="29"/>
      <c r="PB193" s="29"/>
      <c r="PC193" s="29"/>
      <c r="PD193" s="29"/>
      <c r="PE193" s="29"/>
      <c r="PF193" s="29"/>
      <c r="PG193" s="29"/>
      <c r="PH193" s="29"/>
      <c r="PI193" s="29"/>
      <c r="PJ193" s="29"/>
      <c r="PK193" s="29"/>
      <c r="PL193" s="29"/>
      <c r="PM193" s="29"/>
      <c r="PN193" s="29"/>
      <c r="PO193" s="29"/>
      <c r="PP193" s="29"/>
      <c r="PQ193" s="29"/>
      <c r="PR193" s="29"/>
      <c r="PS193" s="29"/>
      <c r="PT193" s="29"/>
      <c r="PU193" s="29"/>
      <c r="PV193" s="29"/>
      <c r="PW193" s="29"/>
      <c r="PX193" s="29"/>
      <c r="PY193" s="29"/>
      <c r="PZ193" s="29"/>
      <c r="QA193" s="29"/>
      <c r="QB193" s="29"/>
      <c r="QC193" s="29"/>
      <c r="QD193" s="29"/>
      <c r="QE193" s="29"/>
      <c r="QF193" s="29"/>
      <c r="QG193" s="29"/>
      <c r="QH193" s="29"/>
      <c r="QI193" s="29"/>
      <c r="QJ193" s="29"/>
      <c r="QK193" s="29"/>
      <c r="QL193" s="29"/>
      <c r="QM193" s="29"/>
      <c r="QN193" s="29"/>
      <c r="QO193" s="29"/>
      <c r="QP193" s="29"/>
      <c r="QQ193" s="29"/>
      <c r="QR193" s="29"/>
      <c r="QS193" s="29"/>
      <c r="QT193" s="29"/>
      <c r="QU193" s="29"/>
      <c r="QV193" s="29"/>
      <c r="QW193" s="29"/>
      <c r="QX193" s="29"/>
      <c r="QY193" s="29"/>
      <c r="QZ193" s="29"/>
      <c r="RA193" s="29"/>
      <c r="RB193" s="29"/>
      <c r="RC193" s="29"/>
      <c r="RD193" s="29"/>
      <c r="RE193" s="29"/>
      <c r="RF193" s="29"/>
      <c r="RG193" s="29"/>
      <c r="RH193" s="29"/>
      <c r="RI193" s="29"/>
      <c r="RJ193" s="29"/>
      <c r="RK193" s="29"/>
      <c r="RL193" s="29"/>
      <c r="RM193" s="29"/>
      <c r="RN193" s="29"/>
      <c r="RO193" s="29"/>
      <c r="RP193" s="29"/>
      <c r="RQ193" s="29"/>
      <c r="RR193" s="29"/>
      <c r="RS193" s="29"/>
      <c r="RT193" s="29"/>
      <c r="RU193" s="29"/>
      <c r="RV193" s="29"/>
      <c r="RW193" s="29"/>
      <c r="RX193" s="29"/>
      <c r="RY193" s="29"/>
      <c r="RZ193" s="29"/>
      <c r="SA193" s="29"/>
      <c r="SB193" s="29"/>
      <c r="SC193" s="29"/>
      <c r="SD193" s="29"/>
      <c r="SE193" s="29"/>
      <c r="SF193" s="29"/>
      <c r="SG193" s="29"/>
      <c r="SH193" s="29"/>
      <c r="SI193" s="29"/>
      <c r="SJ193" s="29"/>
      <c r="SK193" s="29"/>
      <c r="SL193" s="29"/>
      <c r="SM193" s="29"/>
      <c r="SN193" s="29"/>
      <c r="SO193" s="29"/>
      <c r="SP193" s="29"/>
      <c r="SQ193" s="29"/>
      <c r="SR193" s="29"/>
      <c r="SS193" s="29"/>
      <c r="ST193" s="29"/>
      <c r="SU193" s="29"/>
      <c r="SV193" s="29"/>
      <c r="SW193" s="29"/>
      <c r="SX193" s="29"/>
      <c r="SY193" s="29"/>
      <c r="SZ193" s="29"/>
      <c r="TA193" s="29"/>
      <c r="TB193" s="29"/>
      <c r="TC193" s="29"/>
      <c r="TD193" s="29"/>
      <c r="TE193" s="29"/>
      <c r="TF193" s="29"/>
      <c r="TG193" s="29"/>
      <c r="TH193" s="29"/>
      <c r="TI193" s="29"/>
      <c r="TJ193" s="29"/>
      <c r="TK193" s="29"/>
      <c r="TL193" s="29"/>
      <c r="TM193" s="29"/>
      <c r="TN193" s="29"/>
      <c r="TO193" s="29"/>
      <c r="TP193" s="29"/>
      <c r="TQ193" s="29"/>
      <c r="TR193" s="29"/>
      <c r="TS193" s="29"/>
      <c r="TT193" s="29"/>
      <c r="TU193" s="29"/>
      <c r="TV193" s="29"/>
      <c r="TW193" s="29"/>
      <c r="TX193" s="29"/>
      <c r="TY193" s="29"/>
      <c r="TZ193" s="29"/>
      <c r="UA193" s="29"/>
      <c r="UB193" s="29"/>
      <c r="UC193" s="29"/>
      <c r="UD193" s="29"/>
      <c r="UE193" s="29"/>
      <c r="UF193" s="29"/>
      <c r="UG193" s="29"/>
      <c r="UH193" s="29"/>
      <c r="UI193" s="29"/>
      <c r="UJ193" s="29"/>
      <c r="UK193" s="29"/>
      <c r="UL193" s="29"/>
      <c r="UM193" s="29"/>
      <c r="UN193" s="29"/>
      <c r="UO193" s="29"/>
      <c r="UP193" s="29"/>
      <c r="UQ193" s="29"/>
      <c r="UR193" s="29"/>
      <c r="US193" s="29"/>
      <c r="UT193" s="29"/>
      <c r="UU193" s="29"/>
      <c r="UV193" s="29"/>
      <c r="UW193" s="29"/>
      <c r="UX193" s="29"/>
      <c r="UY193" s="29"/>
      <c r="UZ193" s="29"/>
      <c r="VA193" s="29"/>
      <c r="VB193" s="29"/>
      <c r="VC193" s="29"/>
      <c r="VD193" s="29"/>
      <c r="VE193" s="29"/>
      <c r="VF193" s="29"/>
      <c r="VG193" s="29"/>
      <c r="VH193" s="29"/>
      <c r="VI193" s="29"/>
      <c r="VJ193" s="29"/>
      <c r="VK193" s="29"/>
      <c r="VL193" s="29"/>
      <c r="VM193" s="29"/>
      <c r="VN193" s="29"/>
      <c r="VO193" s="29"/>
      <c r="VP193" s="29"/>
      <c r="VQ193" s="29"/>
      <c r="VR193" s="29"/>
      <c r="VS193" s="29"/>
      <c r="VT193" s="29"/>
      <c r="VU193" s="29"/>
      <c r="VV193" s="29"/>
      <c r="VW193" s="29"/>
      <c r="VX193" s="29"/>
      <c r="VY193" s="29"/>
      <c r="VZ193" s="29"/>
      <c r="WA193" s="29"/>
      <c r="WB193" s="29"/>
      <c r="WC193" s="29"/>
      <c r="WD193" s="29"/>
      <c r="WE193" s="29"/>
      <c r="WF193" s="29"/>
      <c r="WG193" s="29"/>
      <c r="WH193" s="29"/>
      <c r="WI193" s="29"/>
      <c r="WJ193" s="29"/>
      <c r="WK193" s="29"/>
      <c r="WL193" s="29"/>
      <c r="WM193" s="29"/>
      <c r="WN193" s="29"/>
      <c r="WO193" s="29"/>
      <c r="WP193" s="29"/>
      <c r="WQ193" s="29"/>
      <c r="WR193" s="29"/>
      <c r="WS193" s="29"/>
    </row>
    <row r="194" spans="1:617" s="3" customFormat="1" ht="15" hidden="1" outlineLevel="1" thickBot="1">
      <c r="A194" s="33"/>
      <c r="B194" s="105" t="s">
        <v>246</v>
      </c>
      <c r="C194" s="144" t="s">
        <v>241</v>
      </c>
      <c r="D194" s="109">
        <v>45873</v>
      </c>
      <c r="E194" s="109">
        <v>45929</v>
      </c>
      <c r="F194" s="106" t="s">
        <v>287</v>
      </c>
      <c r="G194" s="106">
        <v>56</v>
      </c>
      <c r="H194" s="29"/>
      <c r="I194" s="29"/>
      <c r="J194" s="29"/>
      <c r="K194" s="29"/>
      <c r="L194" s="29"/>
      <c r="M194" s="29"/>
      <c r="N194" s="29"/>
      <c r="O194" s="29"/>
      <c r="P194" s="29"/>
      <c r="Q194" s="29"/>
      <c r="R194" s="29"/>
      <c r="S194" s="29"/>
      <c r="T194" s="29"/>
      <c r="U194" s="29"/>
      <c r="V194" s="29"/>
      <c r="W194" s="29"/>
      <c r="X194" s="29"/>
      <c r="Y194" s="29"/>
      <c r="Z194" s="29"/>
      <c r="AA194" s="29"/>
      <c r="AB194" s="29"/>
      <c r="AC194" s="29"/>
      <c r="AD194" s="29"/>
      <c r="AE194" s="29"/>
      <c r="AF194" s="29"/>
      <c r="AG194" s="29"/>
      <c r="AH194" s="29"/>
      <c r="AI194" s="29"/>
      <c r="AJ194" s="29"/>
      <c r="AK194" s="29"/>
      <c r="AL194" s="29"/>
      <c r="AM194" s="29"/>
      <c r="AN194" s="29"/>
      <c r="AO194" s="29"/>
      <c r="AP194" s="29"/>
      <c r="AQ194" s="29"/>
      <c r="AR194" s="29"/>
      <c r="AS194" s="29"/>
      <c r="AT194" s="29"/>
      <c r="AU194" s="29"/>
      <c r="AV194" s="29"/>
      <c r="AW194" s="29"/>
      <c r="AX194" s="29"/>
      <c r="AY194" s="29"/>
      <c r="AZ194" s="29"/>
      <c r="BA194" s="29"/>
      <c r="BB194" s="29"/>
      <c r="BC194" s="29"/>
      <c r="BD194" s="29"/>
      <c r="BE194" s="29"/>
      <c r="BF194" s="29"/>
      <c r="BG194" s="29"/>
      <c r="BH194" s="29"/>
      <c r="BI194" s="29"/>
      <c r="BJ194" s="29"/>
      <c r="BK194" s="29"/>
      <c r="BL194" s="29"/>
      <c r="BM194" s="29"/>
      <c r="BN194" s="29"/>
      <c r="BO194" s="29"/>
      <c r="BP194" s="29"/>
      <c r="BQ194" s="29"/>
      <c r="BR194" s="29"/>
      <c r="BS194" s="29"/>
      <c r="BT194" s="29"/>
      <c r="BU194" s="29"/>
      <c r="BV194" s="29"/>
      <c r="BW194" s="29"/>
      <c r="BX194" s="29"/>
      <c r="BY194" s="29"/>
      <c r="BZ194" s="29"/>
      <c r="CA194" s="29"/>
      <c r="CB194" s="29"/>
      <c r="CC194" s="29"/>
      <c r="CD194" s="29"/>
      <c r="CE194" s="29"/>
      <c r="CF194" s="29"/>
      <c r="CG194" s="29"/>
      <c r="CH194" s="29"/>
      <c r="CI194" s="29"/>
      <c r="CJ194" s="29"/>
      <c r="CK194" s="29"/>
      <c r="CL194" s="29"/>
      <c r="CM194" s="29"/>
      <c r="CN194" s="29"/>
      <c r="CO194" s="29"/>
      <c r="CP194" s="29"/>
      <c r="CQ194" s="29"/>
      <c r="CR194" s="29"/>
      <c r="CS194" s="29"/>
      <c r="CT194" s="29"/>
      <c r="CU194" s="29"/>
      <c r="CV194" s="29"/>
      <c r="CW194" s="29"/>
      <c r="CX194" s="29"/>
      <c r="CY194" s="29"/>
      <c r="CZ194" s="29"/>
      <c r="DA194" s="29"/>
      <c r="DB194" s="29"/>
      <c r="DC194" s="29"/>
      <c r="DD194" s="29"/>
      <c r="DE194" s="29"/>
      <c r="DF194" s="29"/>
      <c r="DG194" s="29"/>
      <c r="DH194" s="29"/>
      <c r="DI194" s="29"/>
      <c r="DJ194" s="29"/>
      <c r="DK194" s="29"/>
      <c r="DL194" s="29"/>
      <c r="DM194" s="29"/>
      <c r="DN194" s="29"/>
      <c r="DO194" s="29"/>
      <c r="DP194" s="29"/>
      <c r="DQ194" s="29"/>
      <c r="DR194" s="29"/>
      <c r="DS194" s="29"/>
      <c r="DT194" s="29"/>
      <c r="DU194" s="29"/>
      <c r="DV194" s="29"/>
      <c r="DW194" s="29"/>
      <c r="DX194" s="29"/>
      <c r="DY194" s="29"/>
      <c r="DZ194" s="29"/>
      <c r="EA194" s="29"/>
      <c r="EB194" s="29"/>
      <c r="EC194" s="29"/>
      <c r="ED194" s="29"/>
      <c r="EE194" s="29"/>
      <c r="EF194" s="29"/>
      <c r="EG194" s="29"/>
      <c r="EH194" s="29"/>
      <c r="EI194" s="29"/>
      <c r="EJ194" s="29"/>
      <c r="EK194" s="29"/>
      <c r="EL194" s="29"/>
      <c r="EM194" s="29"/>
      <c r="EN194" s="29"/>
      <c r="EO194" s="29"/>
      <c r="EP194" s="29"/>
      <c r="EQ194" s="29"/>
      <c r="ER194" s="29"/>
      <c r="ES194" s="29"/>
      <c r="ET194" s="29"/>
      <c r="EU194" s="29"/>
      <c r="EV194" s="29"/>
      <c r="EW194" s="29"/>
      <c r="EX194" s="29"/>
      <c r="EY194" s="29"/>
      <c r="EZ194" s="29"/>
      <c r="FA194" s="29"/>
      <c r="FB194" s="29"/>
      <c r="FC194" s="29"/>
      <c r="FD194" s="29"/>
      <c r="FE194" s="29"/>
      <c r="FF194" s="29"/>
      <c r="FG194" s="29"/>
      <c r="FH194" s="29"/>
      <c r="FI194" s="29"/>
      <c r="FJ194" s="29"/>
      <c r="FK194" s="29"/>
      <c r="FL194" s="29"/>
      <c r="FM194" s="29"/>
      <c r="FN194" s="29"/>
      <c r="FO194" s="29"/>
      <c r="FP194" s="29"/>
      <c r="FQ194" s="29"/>
      <c r="FR194" s="29"/>
      <c r="FS194" s="29"/>
      <c r="FT194" s="29"/>
      <c r="FU194" s="29"/>
      <c r="FV194" s="29"/>
      <c r="FW194" s="29"/>
      <c r="FX194" s="29"/>
      <c r="FY194" s="29"/>
      <c r="FZ194" s="29"/>
      <c r="GA194" s="29"/>
      <c r="GB194" s="29"/>
      <c r="GC194" s="29"/>
      <c r="GD194" s="29"/>
      <c r="GE194" s="29"/>
      <c r="GF194" s="29"/>
      <c r="GG194" s="29"/>
      <c r="GH194" s="29"/>
      <c r="GI194" s="29"/>
      <c r="GJ194" s="29"/>
      <c r="GK194" s="29"/>
      <c r="GL194" s="29"/>
      <c r="GM194" s="29"/>
      <c r="GN194" s="29"/>
      <c r="GO194" s="29"/>
      <c r="GP194" s="29"/>
      <c r="GQ194" s="29"/>
      <c r="GR194" s="29"/>
      <c r="GS194" s="29"/>
      <c r="GT194" s="29"/>
      <c r="GU194" s="29"/>
      <c r="GV194" s="29"/>
      <c r="GW194" s="29"/>
      <c r="GX194" s="29"/>
      <c r="GY194" s="29"/>
      <c r="GZ194" s="29"/>
      <c r="HA194" s="29"/>
      <c r="HB194" s="29"/>
      <c r="HC194" s="29"/>
      <c r="HD194" s="29"/>
      <c r="HE194" s="29"/>
      <c r="HF194" s="29"/>
      <c r="HG194" s="29"/>
      <c r="HH194" s="29"/>
      <c r="HI194" s="29"/>
      <c r="HJ194" s="29"/>
      <c r="HK194" s="29"/>
      <c r="HL194" s="29"/>
      <c r="HM194" s="29"/>
      <c r="HN194" s="29"/>
      <c r="HO194" s="29"/>
      <c r="HP194" s="29"/>
      <c r="HQ194" s="29"/>
      <c r="HR194" s="29"/>
      <c r="HS194" s="29"/>
      <c r="HT194" s="29"/>
      <c r="HU194" s="29"/>
      <c r="HV194" s="29"/>
      <c r="HW194" s="29"/>
      <c r="HX194" s="29"/>
      <c r="HY194" s="29"/>
      <c r="HZ194" s="29"/>
      <c r="IA194" s="29"/>
      <c r="IB194" s="29"/>
      <c r="IC194" s="29"/>
      <c r="ID194" s="29"/>
      <c r="IE194" s="29"/>
      <c r="IF194" s="29"/>
      <c r="IG194" s="29"/>
      <c r="IH194" s="29"/>
      <c r="II194" s="29"/>
      <c r="IJ194" s="29"/>
      <c r="IK194" s="29"/>
      <c r="IL194" s="29"/>
      <c r="IM194" s="29"/>
      <c r="IN194" s="29"/>
      <c r="IO194" s="29"/>
      <c r="IP194" s="29"/>
      <c r="IQ194" s="29"/>
      <c r="IR194" s="29"/>
      <c r="IS194" s="29"/>
      <c r="IT194" s="29"/>
      <c r="IU194" s="29"/>
      <c r="IV194" s="29"/>
      <c r="IW194" s="29"/>
      <c r="IX194" s="29"/>
      <c r="IY194" s="29"/>
      <c r="IZ194" s="29"/>
      <c r="JA194" s="29"/>
      <c r="JB194" s="29"/>
      <c r="JC194" s="29"/>
      <c r="JD194" s="29"/>
      <c r="JE194" s="29"/>
      <c r="JF194" s="29"/>
      <c r="JG194" s="29"/>
      <c r="JH194" s="29"/>
      <c r="JI194" s="29"/>
      <c r="JJ194" s="29"/>
      <c r="JK194" s="29"/>
      <c r="JL194" s="29"/>
      <c r="JM194" s="29"/>
      <c r="JN194" s="29"/>
      <c r="JO194" s="29"/>
      <c r="JP194" s="29"/>
      <c r="JQ194" s="29"/>
      <c r="JR194" s="29"/>
      <c r="JS194" s="29"/>
      <c r="JT194" s="29"/>
      <c r="JU194" s="29"/>
      <c r="JV194" s="29"/>
      <c r="JW194" s="29"/>
      <c r="JX194" s="29"/>
      <c r="JY194" s="29"/>
      <c r="JZ194" s="29"/>
      <c r="KA194" s="29"/>
      <c r="KB194" s="29"/>
      <c r="KC194" s="29"/>
      <c r="KD194" s="29"/>
      <c r="KE194" s="29"/>
      <c r="KF194" s="29"/>
      <c r="KG194" s="29"/>
      <c r="KH194" s="29"/>
      <c r="KI194" s="29"/>
      <c r="KJ194" s="29"/>
      <c r="KK194" s="29"/>
      <c r="KL194" s="29"/>
      <c r="KM194" s="29"/>
      <c r="KN194" s="29"/>
      <c r="KO194" s="29"/>
      <c r="KP194" s="29"/>
      <c r="KQ194" s="29"/>
      <c r="KR194" s="29"/>
      <c r="KS194" s="29"/>
      <c r="KT194" s="29"/>
      <c r="KU194" s="29"/>
      <c r="KV194" s="29"/>
      <c r="KW194" s="29"/>
      <c r="KX194" s="29"/>
      <c r="KY194" s="29"/>
      <c r="KZ194" s="29"/>
      <c r="LA194" s="29"/>
      <c r="LB194" s="29"/>
      <c r="LC194" s="29"/>
      <c r="LD194" s="29"/>
      <c r="LE194" s="29"/>
      <c r="LF194" s="29"/>
      <c r="LG194" s="29"/>
      <c r="LH194" s="29"/>
      <c r="LI194" s="29"/>
      <c r="LJ194" s="29"/>
      <c r="LK194" s="29"/>
      <c r="LL194" s="29"/>
      <c r="LM194" s="29"/>
      <c r="LN194" s="29"/>
      <c r="LO194" s="29"/>
      <c r="LP194" s="29"/>
      <c r="LQ194" s="29"/>
      <c r="LR194" s="29"/>
      <c r="LS194" s="29"/>
      <c r="LT194" s="29"/>
      <c r="LU194" s="29"/>
      <c r="LV194" s="29"/>
      <c r="LW194" s="29"/>
      <c r="LX194" s="29"/>
      <c r="LY194" s="29"/>
      <c r="LZ194" s="29"/>
      <c r="MA194" s="29"/>
      <c r="MB194" s="29"/>
      <c r="MC194" s="29"/>
      <c r="MD194" s="29"/>
      <c r="ME194" s="29"/>
      <c r="MF194" s="29"/>
      <c r="MG194" s="29"/>
      <c r="MH194" s="29"/>
      <c r="MI194" s="29"/>
      <c r="MJ194" s="29"/>
      <c r="MK194" s="29"/>
      <c r="ML194" s="29"/>
      <c r="MM194" s="29"/>
      <c r="MN194" s="29"/>
      <c r="MO194" s="29"/>
      <c r="MP194" s="29"/>
      <c r="MQ194" s="29"/>
      <c r="MR194" s="29"/>
      <c r="MS194" s="29"/>
      <c r="MT194" s="29"/>
      <c r="MU194" s="29"/>
      <c r="MV194" s="29"/>
      <c r="MW194" s="29"/>
      <c r="MX194" s="29"/>
      <c r="MY194" s="29"/>
      <c r="MZ194" s="29"/>
      <c r="NA194" s="29"/>
      <c r="NB194" s="29"/>
      <c r="NC194" s="29"/>
      <c r="ND194" s="29"/>
      <c r="NE194" s="29"/>
      <c r="NF194" s="29"/>
      <c r="NG194" s="29"/>
      <c r="NH194" s="29"/>
      <c r="NI194" s="29"/>
      <c r="NJ194" s="29"/>
      <c r="NK194" s="29"/>
      <c r="NL194" s="29"/>
      <c r="NM194" s="29"/>
      <c r="NN194" s="29"/>
      <c r="NO194" s="29"/>
      <c r="NP194" s="29"/>
      <c r="NQ194" s="29"/>
      <c r="NR194" s="29"/>
      <c r="NS194" s="29"/>
      <c r="NT194" s="29"/>
      <c r="NU194" s="29"/>
      <c r="NV194" s="29"/>
      <c r="NW194" s="29"/>
      <c r="NX194" s="29"/>
      <c r="NY194" s="29"/>
      <c r="NZ194" s="29"/>
      <c r="OA194" s="29"/>
      <c r="OB194" s="29"/>
      <c r="OC194" s="29"/>
      <c r="OD194" s="29"/>
      <c r="OE194" s="29"/>
      <c r="OF194" s="29"/>
      <c r="OG194" s="29"/>
      <c r="OH194" s="29"/>
      <c r="OI194" s="29"/>
      <c r="OJ194" s="29"/>
      <c r="OK194" s="29"/>
      <c r="OL194" s="29"/>
      <c r="OM194" s="29"/>
      <c r="ON194" s="29"/>
      <c r="OO194" s="29"/>
      <c r="OP194" s="29"/>
      <c r="OQ194" s="29"/>
      <c r="OR194" s="29"/>
      <c r="OS194" s="29"/>
      <c r="OT194" s="29"/>
      <c r="OU194" s="29"/>
      <c r="OV194" s="29"/>
      <c r="OW194" s="29"/>
      <c r="OX194" s="29"/>
      <c r="OY194" s="29"/>
      <c r="OZ194" s="29"/>
      <c r="PA194" s="29"/>
      <c r="PB194" s="29"/>
      <c r="PC194" s="29"/>
      <c r="PD194" s="29"/>
      <c r="PE194" s="29"/>
      <c r="PF194" s="29"/>
      <c r="PG194" s="29"/>
      <c r="PH194" s="29"/>
      <c r="PI194" s="29"/>
      <c r="PJ194" s="29"/>
      <c r="PK194" s="29"/>
      <c r="PL194" s="29"/>
      <c r="PM194" s="29"/>
      <c r="PN194" s="29"/>
      <c r="PO194" s="29"/>
      <c r="PP194" s="29"/>
      <c r="PQ194" s="29"/>
      <c r="PR194" s="29"/>
      <c r="PS194" s="29"/>
      <c r="PT194" s="29"/>
      <c r="PU194" s="29"/>
      <c r="PV194" s="29"/>
      <c r="PW194" s="29"/>
      <c r="PX194" s="29"/>
      <c r="PY194" s="29"/>
      <c r="PZ194" s="29"/>
      <c r="QA194" s="29"/>
      <c r="QB194" s="29"/>
      <c r="QC194" s="29"/>
      <c r="QD194" s="29"/>
      <c r="QE194" s="29"/>
      <c r="QF194" s="29"/>
      <c r="QG194" s="29"/>
      <c r="QH194" s="29"/>
      <c r="QI194" s="29"/>
      <c r="QJ194" s="29"/>
      <c r="QK194" s="29"/>
      <c r="QL194" s="29"/>
      <c r="QM194" s="29"/>
      <c r="QN194" s="29"/>
      <c r="QO194" s="29"/>
      <c r="QP194" s="29"/>
      <c r="QQ194" s="29"/>
      <c r="QR194" s="29"/>
      <c r="QS194" s="29"/>
      <c r="QT194" s="29"/>
      <c r="QU194" s="29"/>
      <c r="QV194" s="29"/>
      <c r="QW194" s="29"/>
      <c r="QX194" s="29"/>
      <c r="QY194" s="29"/>
      <c r="QZ194" s="29"/>
      <c r="RA194" s="29"/>
      <c r="RB194" s="29"/>
      <c r="RC194" s="29"/>
      <c r="RD194" s="29"/>
      <c r="RE194" s="29"/>
      <c r="RF194" s="29"/>
      <c r="RG194" s="29"/>
      <c r="RH194" s="29"/>
      <c r="RI194" s="29"/>
      <c r="RJ194" s="29"/>
      <c r="RK194" s="29"/>
      <c r="RL194" s="29"/>
      <c r="RM194" s="29"/>
      <c r="RN194" s="29"/>
      <c r="RO194" s="29"/>
      <c r="RP194" s="29"/>
      <c r="RQ194" s="29"/>
      <c r="RR194" s="29"/>
      <c r="RS194" s="29"/>
      <c r="RT194" s="29"/>
      <c r="RU194" s="29"/>
      <c r="RV194" s="29"/>
      <c r="RW194" s="29"/>
      <c r="RX194" s="29"/>
      <c r="RY194" s="29"/>
      <c r="RZ194" s="29"/>
      <c r="SA194" s="29"/>
      <c r="SB194" s="29"/>
      <c r="SC194" s="29"/>
      <c r="SD194" s="29"/>
      <c r="SE194" s="29"/>
      <c r="SF194" s="29"/>
      <c r="SG194" s="29"/>
      <c r="SH194" s="29"/>
      <c r="SI194" s="29"/>
      <c r="SJ194" s="29"/>
      <c r="SK194" s="29"/>
      <c r="SL194" s="29"/>
      <c r="SM194" s="29"/>
      <c r="SN194" s="29"/>
      <c r="SO194" s="29"/>
      <c r="SP194" s="29"/>
      <c r="SQ194" s="29"/>
      <c r="SR194" s="29"/>
      <c r="SS194" s="29"/>
      <c r="ST194" s="29"/>
      <c r="SU194" s="29"/>
      <c r="SV194" s="29"/>
      <c r="SW194" s="29"/>
      <c r="SX194" s="29"/>
      <c r="SY194" s="29"/>
      <c r="SZ194" s="29"/>
      <c r="TA194" s="29"/>
      <c r="TB194" s="29"/>
      <c r="TC194" s="29"/>
      <c r="TD194" s="29"/>
      <c r="TE194" s="29"/>
      <c r="TF194" s="29"/>
      <c r="TG194" s="29"/>
      <c r="TH194" s="29"/>
      <c r="TI194" s="29"/>
      <c r="TJ194" s="29"/>
      <c r="TK194" s="29"/>
      <c r="TL194" s="29"/>
      <c r="TM194" s="29"/>
      <c r="TN194" s="29"/>
      <c r="TO194" s="29"/>
      <c r="TP194" s="29"/>
      <c r="TQ194" s="29"/>
      <c r="TR194" s="29"/>
      <c r="TS194" s="29"/>
      <c r="TT194" s="29"/>
      <c r="TU194" s="29"/>
      <c r="TV194" s="29"/>
      <c r="TW194" s="29"/>
      <c r="TX194" s="29"/>
      <c r="TY194" s="29"/>
      <c r="TZ194" s="29"/>
      <c r="UA194" s="29"/>
      <c r="UB194" s="29"/>
      <c r="UC194" s="29"/>
      <c r="UD194" s="29"/>
      <c r="UE194" s="29"/>
      <c r="UF194" s="29"/>
      <c r="UG194" s="29"/>
      <c r="UH194" s="29"/>
      <c r="UI194" s="29"/>
      <c r="UJ194" s="29"/>
      <c r="UK194" s="29"/>
      <c r="UL194" s="29"/>
      <c r="UM194" s="29"/>
      <c r="UN194" s="29"/>
      <c r="UO194" s="29"/>
      <c r="UP194" s="29"/>
      <c r="UQ194" s="29"/>
      <c r="UR194" s="29"/>
      <c r="US194" s="29"/>
      <c r="UT194" s="29"/>
      <c r="UU194" s="29"/>
      <c r="UV194" s="29"/>
      <c r="UW194" s="29"/>
      <c r="UX194" s="29"/>
      <c r="UY194" s="29"/>
      <c r="UZ194" s="29"/>
      <c r="VA194" s="29"/>
      <c r="VB194" s="29"/>
      <c r="VC194" s="29"/>
      <c r="VD194" s="29"/>
      <c r="VE194" s="29"/>
      <c r="VF194" s="29"/>
      <c r="VG194" s="29"/>
      <c r="VH194" s="29"/>
      <c r="VI194" s="29"/>
      <c r="VJ194" s="29"/>
      <c r="VK194" s="29"/>
      <c r="VL194" s="29"/>
      <c r="VM194" s="29"/>
      <c r="VN194" s="29"/>
      <c r="VO194" s="29"/>
      <c r="VP194" s="29"/>
      <c r="VQ194" s="29"/>
      <c r="VR194" s="29"/>
      <c r="VS194" s="29"/>
      <c r="VT194" s="29"/>
      <c r="VU194" s="29"/>
      <c r="VV194" s="29"/>
      <c r="VW194" s="29"/>
      <c r="VX194" s="29"/>
      <c r="VY194" s="29"/>
      <c r="VZ194" s="29"/>
      <c r="WA194" s="29"/>
      <c r="WB194" s="29"/>
      <c r="WC194" s="29"/>
      <c r="WD194" s="29"/>
      <c r="WE194" s="29"/>
      <c r="WF194" s="29"/>
      <c r="WG194" s="29"/>
      <c r="WH194" s="29"/>
      <c r="WI194" s="29"/>
      <c r="WJ194" s="29"/>
      <c r="WK194" s="29"/>
      <c r="WL194" s="29"/>
      <c r="WM194" s="29"/>
      <c r="WN194" s="29"/>
      <c r="WO194" s="29"/>
      <c r="WP194" s="29"/>
      <c r="WQ194" s="29"/>
      <c r="WR194" s="29"/>
      <c r="WS194" s="29"/>
    </row>
    <row r="195" spans="1:617" s="3" customFormat="1" ht="15" outlineLevel="1" thickBot="1">
      <c r="A195" s="33"/>
      <c r="B195" s="245" t="s">
        <v>289</v>
      </c>
      <c r="C195" s="245"/>
      <c r="D195" s="245"/>
      <c r="E195" s="245"/>
      <c r="F195" s="14"/>
      <c r="G195" s="14"/>
      <c r="H195" s="29"/>
      <c r="I195" s="29"/>
      <c r="J195" s="29"/>
      <c r="K195" s="29"/>
      <c r="L195" s="29"/>
      <c r="M195" s="29"/>
      <c r="N195" s="29"/>
      <c r="O195" s="29"/>
      <c r="P195" s="29"/>
      <c r="Q195" s="29"/>
      <c r="R195" s="29"/>
      <c r="S195" s="29"/>
      <c r="T195" s="29"/>
      <c r="U195" s="29"/>
      <c r="V195" s="29"/>
      <c r="W195" s="29"/>
      <c r="X195" s="29"/>
      <c r="Y195" s="29"/>
      <c r="Z195" s="29"/>
      <c r="AA195" s="29"/>
      <c r="AB195" s="29"/>
      <c r="AC195" s="29"/>
      <c r="AD195" s="29"/>
      <c r="AE195" s="29"/>
      <c r="AF195" s="29"/>
      <c r="AG195" s="29"/>
      <c r="AH195" s="29"/>
      <c r="AI195" s="29"/>
      <c r="AJ195" s="29"/>
      <c r="AK195" s="29"/>
      <c r="AL195" s="29"/>
      <c r="AM195" s="29"/>
      <c r="AN195" s="29"/>
      <c r="AO195" s="29"/>
      <c r="AP195" s="29"/>
      <c r="AQ195" s="29"/>
      <c r="AR195" s="29"/>
      <c r="AS195" s="29"/>
      <c r="AT195" s="29"/>
      <c r="AU195" s="29"/>
      <c r="AV195" s="29"/>
      <c r="AW195" s="29"/>
      <c r="AX195" s="29"/>
      <c r="AY195" s="29"/>
      <c r="AZ195" s="29"/>
      <c r="BA195" s="29"/>
      <c r="BB195" s="29"/>
      <c r="BC195" s="29"/>
      <c r="BD195" s="29"/>
      <c r="BE195" s="29"/>
      <c r="BF195" s="29"/>
      <c r="BG195" s="29"/>
      <c r="BH195" s="29"/>
      <c r="BI195" s="29"/>
      <c r="BJ195" s="29"/>
      <c r="BK195" s="29"/>
      <c r="BL195" s="29"/>
      <c r="BM195" s="29"/>
      <c r="BN195" s="29"/>
      <c r="BO195" s="29"/>
      <c r="BP195" s="29"/>
      <c r="BQ195" s="29"/>
      <c r="BR195" s="29"/>
      <c r="BS195" s="29"/>
      <c r="BT195" s="29"/>
      <c r="BU195" s="29"/>
      <c r="BV195" s="29"/>
      <c r="BW195" s="29"/>
      <c r="BX195" s="29"/>
      <c r="BY195" s="29"/>
      <c r="BZ195" s="29"/>
      <c r="CA195" s="29"/>
      <c r="CB195" s="29"/>
      <c r="CC195" s="29"/>
      <c r="CD195" s="29"/>
      <c r="CE195" s="29"/>
      <c r="CF195" s="29"/>
      <c r="CG195" s="29"/>
      <c r="CH195" s="29"/>
      <c r="CI195" s="29"/>
      <c r="CJ195" s="29"/>
      <c r="CK195" s="29"/>
      <c r="CL195" s="29"/>
      <c r="CM195" s="29"/>
      <c r="CN195" s="29"/>
      <c r="CO195" s="29"/>
      <c r="CP195" s="29"/>
      <c r="CQ195" s="29"/>
      <c r="CR195" s="29"/>
      <c r="CS195" s="29"/>
      <c r="CT195" s="29"/>
      <c r="CU195" s="29"/>
      <c r="CV195" s="29"/>
      <c r="CW195" s="29"/>
      <c r="CX195" s="29"/>
      <c r="CY195" s="29"/>
      <c r="CZ195" s="29"/>
      <c r="DA195" s="29"/>
      <c r="DB195" s="29"/>
      <c r="DC195" s="29"/>
      <c r="DD195" s="29"/>
      <c r="DE195" s="29"/>
      <c r="DF195" s="29"/>
      <c r="DG195" s="29"/>
      <c r="DH195" s="29"/>
      <c r="DI195" s="29"/>
      <c r="DJ195" s="29"/>
      <c r="DK195" s="29"/>
      <c r="DL195" s="29"/>
      <c r="DM195" s="29"/>
      <c r="DN195" s="29"/>
      <c r="DO195" s="29"/>
      <c r="DP195" s="29"/>
      <c r="DQ195" s="29"/>
      <c r="DR195" s="29"/>
      <c r="DS195" s="29"/>
      <c r="DT195" s="29"/>
      <c r="DU195" s="29"/>
      <c r="DV195" s="29"/>
      <c r="DW195" s="29"/>
      <c r="DX195" s="29"/>
      <c r="DY195" s="29"/>
      <c r="DZ195" s="29"/>
      <c r="EA195" s="29"/>
      <c r="EB195" s="29"/>
      <c r="EC195" s="29"/>
      <c r="ED195" s="29"/>
      <c r="EE195" s="29"/>
      <c r="EF195" s="29"/>
      <c r="EG195" s="29"/>
      <c r="EH195" s="29"/>
      <c r="EI195" s="29"/>
      <c r="EJ195" s="29"/>
      <c r="EK195" s="29"/>
      <c r="EL195" s="29"/>
      <c r="EM195" s="29"/>
      <c r="EN195" s="29"/>
      <c r="EO195" s="29"/>
      <c r="EP195" s="29"/>
      <c r="EQ195" s="29"/>
      <c r="ER195" s="29"/>
      <c r="ES195" s="29"/>
      <c r="ET195" s="29"/>
      <c r="EU195" s="29"/>
      <c r="EV195" s="29"/>
      <c r="EW195" s="29"/>
      <c r="EX195" s="29"/>
      <c r="EY195" s="29"/>
      <c r="EZ195" s="29"/>
      <c r="FA195" s="29"/>
      <c r="FB195" s="29"/>
      <c r="FC195" s="29"/>
      <c r="FD195" s="29"/>
      <c r="FE195" s="29"/>
      <c r="FF195" s="29"/>
      <c r="FG195" s="29"/>
      <c r="FH195" s="29"/>
      <c r="FI195" s="29"/>
      <c r="FJ195" s="29"/>
      <c r="FK195" s="29"/>
      <c r="FL195" s="29"/>
      <c r="FM195" s="29"/>
      <c r="FN195" s="29"/>
      <c r="FO195" s="29"/>
      <c r="FP195" s="29"/>
      <c r="FQ195" s="29"/>
      <c r="FR195" s="29"/>
      <c r="FS195" s="29"/>
      <c r="FT195" s="29"/>
      <c r="FU195" s="29"/>
      <c r="FV195" s="29"/>
      <c r="FW195" s="29"/>
      <c r="FX195" s="29"/>
      <c r="FY195" s="29"/>
      <c r="FZ195" s="29"/>
      <c r="GA195" s="29"/>
      <c r="GB195" s="29"/>
      <c r="GC195" s="29"/>
      <c r="GD195" s="29"/>
      <c r="GE195" s="29"/>
      <c r="GF195" s="29"/>
      <c r="GG195" s="29"/>
      <c r="GH195" s="29"/>
      <c r="GI195" s="29"/>
      <c r="GJ195" s="29"/>
      <c r="GK195" s="29"/>
      <c r="GL195" s="29"/>
      <c r="GM195" s="29"/>
      <c r="GN195" s="29"/>
      <c r="GO195" s="29"/>
      <c r="GP195" s="29"/>
      <c r="GQ195" s="29"/>
      <c r="GR195" s="29"/>
      <c r="GS195" s="29"/>
      <c r="GT195" s="29"/>
      <c r="GU195" s="29"/>
      <c r="GV195" s="29"/>
      <c r="GW195" s="29"/>
      <c r="GX195" s="29"/>
      <c r="GY195" s="29"/>
      <c r="GZ195" s="29"/>
      <c r="HA195" s="29"/>
      <c r="HB195" s="29"/>
      <c r="HC195" s="29"/>
      <c r="HD195" s="29"/>
      <c r="HE195" s="29"/>
      <c r="HF195" s="29"/>
      <c r="HG195" s="29"/>
      <c r="HH195" s="29"/>
      <c r="HI195" s="29"/>
      <c r="HJ195" s="29"/>
      <c r="HK195" s="29"/>
      <c r="HL195" s="29"/>
      <c r="HM195" s="29"/>
      <c r="HN195" s="29"/>
      <c r="HO195" s="29"/>
      <c r="HP195" s="29"/>
      <c r="HQ195" s="29"/>
      <c r="HR195" s="29"/>
      <c r="HS195" s="29"/>
      <c r="HT195" s="29"/>
      <c r="HU195" s="29"/>
      <c r="HV195" s="29"/>
      <c r="HW195" s="29"/>
      <c r="HX195" s="29"/>
      <c r="HY195" s="29"/>
      <c r="HZ195" s="29"/>
      <c r="IA195" s="29"/>
      <c r="IB195" s="29"/>
      <c r="IC195" s="29"/>
      <c r="ID195" s="29"/>
      <c r="IE195" s="29"/>
      <c r="IF195" s="29"/>
      <c r="IG195" s="29"/>
      <c r="IH195" s="29"/>
      <c r="II195" s="29"/>
      <c r="IJ195" s="29"/>
      <c r="IK195" s="29"/>
      <c r="IL195" s="29"/>
      <c r="IM195" s="29"/>
      <c r="IN195" s="29"/>
      <c r="IO195" s="29"/>
      <c r="IP195" s="29"/>
      <c r="IQ195" s="29"/>
      <c r="IR195" s="29"/>
      <c r="IS195" s="29"/>
      <c r="IT195" s="29"/>
      <c r="IU195" s="29"/>
      <c r="IV195" s="29"/>
      <c r="IW195" s="29"/>
      <c r="IX195" s="29"/>
      <c r="IY195" s="29"/>
      <c r="IZ195" s="29"/>
      <c r="JA195" s="29"/>
      <c r="JB195" s="29"/>
      <c r="JC195" s="29"/>
      <c r="JD195" s="29"/>
      <c r="JE195" s="29"/>
      <c r="JF195" s="29"/>
      <c r="JG195" s="29"/>
      <c r="JH195" s="29"/>
      <c r="JI195" s="29"/>
      <c r="JJ195" s="29"/>
      <c r="JK195" s="29"/>
      <c r="JL195" s="29"/>
      <c r="JM195" s="29"/>
      <c r="JN195" s="29"/>
      <c r="JO195" s="29"/>
      <c r="JP195" s="29"/>
      <c r="JQ195" s="29"/>
      <c r="JR195" s="29"/>
      <c r="JS195" s="29"/>
      <c r="JT195" s="29"/>
      <c r="JU195" s="29"/>
      <c r="JV195" s="29"/>
      <c r="JW195" s="29"/>
      <c r="JX195" s="29"/>
      <c r="JY195" s="29"/>
      <c r="JZ195" s="29"/>
      <c r="KA195" s="29"/>
      <c r="KB195" s="29"/>
      <c r="KC195" s="29"/>
      <c r="KD195" s="29"/>
      <c r="KE195" s="29"/>
      <c r="KF195" s="29"/>
      <c r="KG195" s="29"/>
      <c r="KH195" s="29"/>
      <c r="KI195" s="29"/>
      <c r="KJ195" s="29"/>
      <c r="KK195" s="29"/>
      <c r="KL195" s="29"/>
      <c r="KM195" s="29"/>
      <c r="KN195" s="29"/>
      <c r="KO195" s="29"/>
      <c r="KP195" s="29"/>
      <c r="KQ195" s="29"/>
      <c r="KR195" s="29"/>
      <c r="KS195" s="29"/>
      <c r="KT195" s="29"/>
      <c r="KU195" s="29"/>
      <c r="KV195" s="29"/>
      <c r="KW195" s="29"/>
      <c r="KX195" s="29"/>
      <c r="KY195" s="29"/>
      <c r="KZ195" s="29"/>
      <c r="LA195" s="29"/>
      <c r="LB195" s="29"/>
      <c r="LC195" s="29"/>
      <c r="LD195" s="29"/>
      <c r="LE195" s="29"/>
      <c r="LF195" s="29"/>
      <c r="LG195" s="29"/>
      <c r="LH195" s="29"/>
      <c r="LI195" s="29"/>
      <c r="LJ195" s="29"/>
      <c r="LK195" s="29"/>
      <c r="LL195" s="29"/>
      <c r="LM195" s="29"/>
      <c r="LN195" s="29"/>
      <c r="LO195" s="29"/>
      <c r="LP195" s="29"/>
      <c r="LQ195" s="29"/>
      <c r="LR195" s="29"/>
      <c r="LS195" s="29"/>
      <c r="LT195" s="29"/>
      <c r="LU195" s="29"/>
      <c r="LV195" s="29"/>
      <c r="LW195" s="29"/>
      <c r="LX195" s="29"/>
      <c r="LY195" s="29"/>
      <c r="LZ195" s="29"/>
      <c r="MA195" s="29"/>
      <c r="MB195" s="29"/>
      <c r="MC195" s="29"/>
      <c r="MD195" s="29"/>
      <c r="ME195" s="29"/>
      <c r="MF195" s="29"/>
      <c r="MG195" s="29"/>
      <c r="MH195" s="29"/>
      <c r="MI195" s="29"/>
      <c r="MJ195" s="29"/>
      <c r="MK195" s="29"/>
      <c r="ML195" s="29"/>
      <c r="MM195" s="29"/>
      <c r="MN195" s="29"/>
      <c r="MO195" s="29"/>
      <c r="MP195" s="29"/>
      <c r="MQ195" s="29"/>
      <c r="MR195" s="29"/>
      <c r="MS195" s="29"/>
      <c r="MT195" s="29"/>
      <c r="MU195" s="29"/>
      <c r="MV195" s="29"/>
      <c r="MW195" s="29"/>
      <c r="MX195" s="29"/>
      <c r="MY195" s="29"/>
      <c r="MZ195" s="29"/>
      <c r="NA195" s="29"/>
      <c r="NB195" s="29"/>
      <c r="NC195" s="29"/>
      <c r="ND195" s="29"/>
      <c r="NE195" s="29"/>
      <c r="NF195" s="29"/>
      <c r="NG195" s="29"/>
      <c r="NH195" s="29"/>
      <c r="NI195" s="29"/>
      <c r="NJ195" s="29"/>
      <c r="NK195" s="29"/>
      <c r="NL195" s="29"/>
      <c r="NM195" s="29"/>
      <c r="NN195" s="29"/>
      <c r="NO195" s="29"/>
      <c r="NP195" s="29"/>
      <c r="NQ195" s="29"/>
      <c r="NR195" s="29"/>
      <c r="NS195" s="29"/>
      <c r="NT195" s="29"/>
      <c r="NU195" s="29"/>
      <c r="NV195" s="29"/>
      <c r="NW195" s="29"/>
      <c r="NX195" s="29"/>
      <c r="NY195" s="29"/>
      <c r="NZ195" s="29"/>
      <c r="OA195" s="29"/>
      <c r="OB195" s="29"/>
      <c r="OC195" s="29"/>
      <c r="OD195" s="29"/>
      <c r="OE195" s="29"/>
      <c r="OF195" s="29"/>
      <c r="OG195" s="29"/>
      <c r="OH195" s="29"/>
      <c r="OI195" s="29"/>
      <c r="OJ195" s="29"/>
      <c r="OK195" s="29"/>
      <c r="OL195" s="29"/>
      <c r="OM195" s="29"/>
      <c r="ON195" s="29"/>
      <c r="OO195" s="29"/>
      <c r="OP195" s="29"/>
      <c r="OQ195" s="29"/>
      <c r="OR195" s="29"/>
      <c r="OS195" s="29"/>
      <c r="OT195" s="29"/>
      <c r="OU195" s="29"/>
      <c r="OV195" s="29"/>
      <c r="OW195" s="29"/>
      <c r="OX195" s="29"/>
      <c r="OY195" s="29"/>
      <c r="OZ195" s="29"/>
      <c r="PA195" s="29"/>
      <c r="PB195" s="29"/>
      <c r="PC195" s="29"/>
      <c r="PD195" s="29"/>
      <c r="PE195" s="29"/>
      <c r="PF195" s="29"/>
      <c r="PG195" s="29"/>
      <c r="PH195" s="29"/>
      <c r="PI195" s="29"/>
      <c r="PJ195" s="29"/>
      <c r="PK195" s="29"/>
      <c r="PL195" s="29"/>
      <c r="PM195" s="29"/>
      <c r="PN195" s="29"/>
      <c r="PO195" s="29"/>
      <c r="PP195" s="29"/>
      <c r="PQ195" s="29"/>
      <c r="PR195" s="29"/>
      <c r="PS195" s="29"/>
      <c r="PT195" s="29"/>
      <c r="PU195" s="29"/>
      <c r="PV195" s="29"/>
      <c r="PW195" s="29"/>
      <c r="PX195" s="29"/>
      <c r="PY195" s="29"/>
      <c r="PZ195" s="29"/>
      <c r="QA195" s="29"/>
      <c r="QB195" s="29"/>
      <c r="QC195" s="29"/>
      <c r="QD195" s="29"/>
      <c r="QE195" s="29"/>
      <c r="QF195" s="29"/>
      <c r="QG195" s="29"/>
      <c r="QH195" s="29"/>
      <c r="QI195" s="29"/>
      <c r="QJ195" s="29"/>
      <c r="QK195" s="29"/>
      <c r="QL195" s="29"/>
      <c r="QM195" s="29"/>
      <c r="QN195" s="29"/>
      <c r="QO195" s="29"/>
      <c r="QP195" s="29"/>
      <c r="QQ195" s="29"/>
      <c r="QR195" s="29"/>
      <c r="QS195" s="29"/>
      <c r="QT195" s="29"/>
      <c r="QU195" s="29"/>
      <c r="QV195" s="29"/>
      <c r="QW195" s="29"/>
      <c r="QX195" s="29"/>
      <c r="QY195" s="29"/>
      <c r="QZ195" s="29"/>
      <c r="RA195" s="29"/>
      <c r="RB195" s="29"/>
      <c r="RC195" s="29"/>
      <c r="RD195" s="29"/>
      <c r="RE195" s="29"/>
      <c r="RF195" s="29"/>
      <c r="RG195" s="29"/>
      <c r="RH195" s="29"/>
      <c r="RI195" s="29"/>
      <c r="RJ195" s="29"/>
      <c r="RK195" s="29"/>
      <c r="RL195" s="29"/>
      <c r="RM195" s="29"/>
      <c r="RN195" s="29"/>
      <c r="RO195" s="29"/>
      <c r="RP195" s="29"/>
      <c r="RQ195" s="29"/>
      <c r="RR195" s="29"/>
      <c r="RS195" s="29"/>
      <c r="RT195" s="29"/>
      <c r="RU195" s="29"/>
      <c r="RV195" s="29"/>
      <c r="RW195" s="29"/>
      <c r="RX195" s="29"/>
      <c r="RY195" s="29"/>
      <c r="RZ195" s="29"/>
      <c r="SA195" s="29"/>
      <c r="SB195" s="29"/>
      <c r="SC195" s="29"/>
      <c r="SD195" s="29"/>
      <c r="SE195" s="29"/>
      <c r="SF195" s="29"/>
      <c r="SG195" s="29"/>
      <c r="SH195" s="29"/>
      <c r="SI195" s="29"/>
      <c r="SJ195" s="29"/>
      <c r="SK195" s="29"/>
      <c r="SL195" s="29"/>
      <c r="SM195" s="29"/>
      <c r="SN195" s="29"/>
      <c r="SO195" s="29"/>
      <c r="SP195" s="29"/>
      <c r="SQ195" s="29"/>
      <c r="SR195" s="29"/>
      <c r="SS195" s="29"/>
      <c r="ST195" s="29"/>
      <c r="SU195" s="29"/>
      <c r="SV195" s="29"/>
      <c r="SW195" s="29"/>
      <c r="SX195" s="29"/>
      <c r="SY195" s="29"/>
      <c r="SZ195" s="29"/>
      <c r="TA195" s="29"/>
      <c r="TB195" s="29"/>
      <c r="TC195" s="29"/>
      <c r="TD195" s="29"/>
      <c r="TE195" s="29"/>
      <c r="TF195" s="29"/>
      <c r="TG195" s="29"/>
      <c r="TH195" s="29"/>
      <c r="TI195" s="29"/>
      <c r="TJ195" s="29"/>
      <c r="TK195" s="29"/>
      <c r="TL195" s="29"/>
      <c r="TM195" s="29"/>
      <c r="TN195" s="29"/>
      <c r="TO195" s="29"/>
      <c r="TP195" s="29"/>
      <c r="TQ195" s="29"/>
      <c r="TR195" s="29"/>
      <c r="TS195" s="29"/>
      <c r="TT195" s="29"/>
      <c r="TU195" s="29"/>
      <c r="TV195" s="29"/>
      <c r="TW195" s="29"/>
      <c r="TX195" s="29"/>
      <c r="TY195" s="29"/>
      <c r="TZ195" s="29"/>
      <c r="UA195" s="29"/>
      <c r="UB195" s="29"/>
      <c r="UC195" s="29"/>
      <c r="UD195" s="29"/>
      <c r="UE195" s="29"/>
      <c r="UF195" s="29"/>
      <c r="UG195" s="29"/>
      <c r="UH195" s="29"/>
      <c r="UI195" s="29"/>
      <c r="UJ195" s="29"/>
      <c r="UK195" s="29"/>
      <c r="UL195" s="29"/>
      <c r="UM195" s="29"/>
      <c r="UN195" s="29"/>
      <c r="UO195" s="29"/>
      <c r="UP195" s="29"/>
      <c r="UQ195" s="29"/>
      <c r="UR195" s="29"/>
      <c r="US195" s="29"/>
      <c r="UT195" s="29"/>
      <c r="UU195" s="29"/>
      <c r="UV195" s="29"/>
      <c r="UW195" s="29"/>
      <c r="UX195" s="29"/>
      <c r="UY195" s="29"/>
      <c r="UZ195" s="29"/>
      <c r="VA195" s="29"/>
      <c r="VB195" s="29"/>
      <c r="VC195" s="29"/>
      <c r="VD195" s="29"/>
      <c r="VE195" s="29"/>
      <c r="VF195" s="29"/>
      <c r="VG195" s="29"/>
      <c r="VH195" s="29"/>
      <c r="VI195" s="29"/>
      <c r="VJ195" s="29"/>
      <c r="VK195" s="29"/>
      <c r="VL195" s="29"/>
      <c r="VM195" s="29"/>
      <c r="VN195" s="29"/>
      <c r="VO195" s="29"/>
      <c r="VP195" s="29"/>
      <c r="VQ195" s="29"/>
      <c r="VR195" s="29"/>
      <c r="VS195" s="29"/>
      <c r="VT195" s="29"/>
      <c r="VU195" s="29"/>
      <c r="VV195" s="29"/>
      <c r="VW195" s="29"/>
      <c r="VX195" s="29"/>
      <c r="VY195" s="29"/>
      <c r="VZ195" s="29"/>
      <c r="WA195" s="29"/>
      <c r="WB195" s="29"/>
      <c r="WC195" s="29"/>
      <c r="WD195" s="29"/>
      <c r="WE195" s="29"/>
      <c r="WF195" s="29"/>
      <c r="WG195" s="29"/>
      <c r="WH195" s="29"/>
      <c r="WI195" s="29"/>
      <c r="WJ195" s="29"/>
      <c r="WK195" s="29"/>
      <c r="WL195" s="29"/>
      <c r="WM195" s="29"/>
      <c r="WN195" s="29"/>
      <c r="WO195" s="29"/>
      <c r="WP195" s="29"/>
      <c r="WQ195" s="29"/>
      <c r="WR195" s="29"/>
      <c r="WS195" s="29"/>
    </row>
    <row r="196" spans="1:617" s="3" customFormat="1" ht="15" hidden="1" outlineLevel="1" thickBot="1">
      <c r="A196" s="33"/>
      <c r="B196" s="85" t="s">
        <v>243</v>
      </c>
      <c r="C196" s="145" t="s">
        <v>268</v>
      </c>
      <c r="D196" s="123">
        <f>E161+3</f>
        <v>45999</v>
      </c>
      <c r="E196" s="123">
        <v>46028</v>
      </c>
      <c r="F196" s="14"/>
      <c r="G196" s="14">
        <f>E196-D196</f>
        <v>29</v>
      </c>
      <c r="H196" s="29"/>
      <c r="I196" s="29"/>
      <c r="J196" s="29"/>
      <c r="K196" s="29"/>
      <c r="L196" s="29"/>
      <c r="M196" s="29"/>
      <c r="N196" s="29"/>
      <c r="O196" s="29"/>
      <c r="P196" s="29"/>
      <c r="Q196" s="29"/>
      <c r="R196" s="29"/>
      <c r="S196" s="29"/>
      <c r="T196" s="29"/>
      <c r="U196" s="29"/>
      <c r="V196" s="29"/>
      <c r="W196" s="29"/>
      <c r="X196" s="29"/>
      <c r="Y196" s="29"/>
      <c r="Z196" s="29"/>
      <c r="AA196" s="29"/>
      <c r="AB196" s="29"/>
      <c r="AC196" s="29"/>
      <c r="AD196" s="29"/>
      <c r="AE196" s="29"/>
      <c r="AF196" s="29"/>
      <c r="AG196" s="29"/>
      <c r="AH196" s="29"/>
      <c r="AI196" s="29"/>
      <c r="AJ196" s="29"/>
      <c r="AK196" s="29"/>
      <c r="AL196" s="29"/>
      <c r="AM196" s="29"/>
      <c r="AN196" s="29"/>
      <c r="AO196" s="29"/>
      <c r="AP196" s="29"/>
      <c r="AQ196" s="29"/>
      <c r="AR196" s="29"/>
      <c r="AS196" s="29"/>
      <c r="AT196" s="29"/>
      <c r="AU196" s="29"/>
      <c r="AV196" s="29"/>
      <c r="AW196" s="29"/>
      <c r="AX196" s="29"/>
      <c r="AY196" s="29"/>
      <c r="AZ196" s="29"/>
      <c r="BA196" s="29"/>
      <c r="BB196" s="29"/>
      <c r="BC196" s="29"/>
      <c r="BD196" s="29"/>
      <c r="BE196" s="29"/>
      <c r="BF196" s="29"/>
      <c r="BG196" s="29"/>
      <c r="BH196" s="29"/>
      <c r="BI196" s="29"/>
      <c r="BJ196" s="29"/>
      <c r="BK196" s="29"/>
      <c r="BL196" s="29"/>
      <c r="BM196" s="29"/>
      <c r="BN196" s="29"/>
      <c r="BO196" s="29"/>
      <c r="BP196" s="29"/>
      <c r="BQ196" s="29"/>
      <c r="BR196" s="29"/>
      <c r="BS196" s="29"/>
      <c r="BT196" s="29"/>
      <c r="BU196" s="29"/>
      <c r="BV196" s="29"/>
      <c r="BW196" s="29"/>
      <c r="BX196" s="29"/>
      <c r="BY196" s="29"/>
      <c r="BZ196" s="29"/>
      <c r="CA196" s="29"/>
      <c r="CB196" s="29"/>
      <c r="CC196" s="29"/>
      <c r="CD196" s="29"/>
      <c r="CE196" s="29"/>
      <c r="CF196" s="29"/>
      <c r="CG196" s="29"/>
      <c r="CH196" s="29"/>
      <c r="CI196" s="29"/>
      <c r="CJ196" s="29"/>
      <c r="CK196" s="29"/>
      <c r="CL196" s="29"/>
      <c r="CM196" s="29"/>
      <c r="CN196" s="29"/>
      <c r="CO196" s="29"/>
      <c r="CP196" s="29"/>
      <c r="CQ196" s="29"/>
      <c r="CR196" s="29"/>
      <c r="CS196" s="29"/>
      <c r="CT196" s="29"/>
      <c r="CU196" s="29"/>
      <c r="CV196" s="29"/>
      <c r="CW196" s="29"/>
      <c r="CX196" s="29"/>
      <c r="CY196" s="29"/>
      <c r="CZ196" s="29"/>
      <c r="DA196" s="29"/>
      <c r="DB196" s="29"/>
      <c r="DC196" s="29"/>
      <c r="DD196" s="29"/>
      <c r="DE196" s="29"/>
      <c r="DF196" s="29"/>
      <c r="DG196" s="29"/>
      <c r="DH196" s="29"/>
      <c r="DI196" s="29"/>
      <c r="DJ196" s="29"/>
      <c r="DK196" s="29"/>
      <c r="DL196" s="29"/>
      <c r="DM196" s="29"/>
      <c r="DN196" s="29"/>
      <c r="DO196" s="29"/>
      <c r="DP196" s="29"/>
      <c r="DQ196" s="29"/>
      <c r="DR196" s="29"/>
      <c r="DS196" s="29"/>
      <c r="DT196" s="29"/>
      <c r="DU196" s="29"/>
      <c r="DV196" s="29"/>
      <c r="DW196" s="29"/>
      <c r="DX196" s="29"/>
      <c r="DY196" s="29"/>
      <c r="DZ196" s="29"/>
      <c r="EA196" s="29"/>
      <c r="EB196" s="29"/>
      <c r="EC196" s="29"/>
      <c r="ED196" s="29"/>
      <c r="EE196" s="29"/>
      <c r="EF196" s="29"/>
      <c r="EG196" s="29"/>
      <c r="EH196" s="29"/>
      <c r="EI196" s="29"/>
      <c r="EJ196" s="29"/>
      <c r="EK196" s="29"/>
      <c r="EL196" s="29"/>
      <c r="EM196" s="29"/>
      <c r="EN196" s="29"/>
      <c r="EO196" s="29"/>
      <c r="EP196" s="29"/>
      <c r="EQ196" s="29"/>
      <c r="ER196" s="29"/>
      <c r="ES196" s="29"/>
      <c r="ET196" s="29"/>
      <c r="EU196" s="29"/>
      <c r="EV196" s="29"/>
      <c r="EW196" s="29"/>
      <c r="EX196" s="29"/>
      <c r="EY196" s="29"/>
      <c r="EZ196" s="29"/>
      <c r="FA196" s="29"/>
      <c r="FB196" s="29"/>
      <c r="FC196" s="29"/>
      <c r="FD196" s="29"/>
      <c r="FE196" s="29"/>
      <c r="FF196" s="29"/>
      <c r="FG196" s="29"/>
      <c r="FH196" s="29"/>
      <c r="FI196" s="29"/>
      <c r="FJ196" s="29"/>
      <c r="FK196" s="29"/>
      <c r="FL196" s="29"/>
      <c r="FM196" s="29"/>
      <c r="FN196" s="29"/>
      <c r="FO196" s="29"/>
      <c r="FP196" s="29"/>
      <c r="FQ196" s="29"/>
      <c r="FR196" s="29"/>
      <c r="FS196" s="29"/>
      <c r="FT196" s="29"/>
      <c r="FU196" s="29"/>
      <c r="FV196" s="29"/>
      <c r="FW196" s="29"/>
      <c r="FX196" s="29"/>
      <c r="FY196" s="29"/>
      <c r="FZ196" s="29"/>
      <c r="GA196" s="29"/>
      <c r="GB196" s="29"/>
      <c r="GC196" s="29"/>
      <c r="GD196" s="29"/>
      <c r="GE196" s="29"/>
      <c r="GF196" s="29"/>
      <c r="GG196" s="29"/>
      <c r="GH196" s="29"/>
      <c r="GI196" s="29"/>
      <c r="GJ196" s="29"/>
      <c r="GK196" s="29"/>
      <c r="GL196" s="29"/>
      <c r="GM196" s="29"/>
      <c r="GN196" s="29"/>
      <c r="GO196" s="29"/>
      <c r="GP196" s="29"/>
      <c r="GQ196" s="29"/>
      <c r="GR196" s="29"/>
      <c r="GS196" s="29"/>
      <c r="GT196" s="29"/>
      <c r="GU196" s="29"/>
      <c r="GV196" s="29"/>
      <c r="GW196" s="29"/>
      <c r="GX196" s="29"/>
      <c r="GY196" s="29"/>
      <c r="GZ196" s="29"/>
      <c r="HA196" s="29"/>
      <c r="HB196" s="29"/>
      <c r="HC196" s="29"/>
      <c r="HD196" s="29"/>
      <c r="HE196" s="29"/>
      <c r="HF196" s="29"/>
      <c r="HG196" s="29"/>
      <c r="HH196" s="29"/>
      <c r="HI196" s="29"/>
      <c r="HJ196" s="29"/>
      <c r="HK196" s="29"/>
      <c r="HL196" s="29"/>
      <c r="HM196" s="29"/>
      <c r="HN196" s="29"/>
      <c r="HO196" s="29"/>
      <c r="HP196" s="29"/>
      <c r="HQ196" s="29"/>
      <c r="HR196" s="29"/>
      <c r="HS196" s="29"/>
      <c r="HT196" s="29"/>
      <c r="HU196" s="29"/>
      <c r="HV196" s="29"/>
      <c r="HW196" s="29"/>
      <c r="HX196" s="29"/>
      <c r="HY196" s="29"/>
      <c r="HZ196" s="29"/>
      <c r="IA196" s="29"/>
      <c r="IB196" s="29"/>
      <c r="IC196" s="29"/>
      <c r="ID196" s="29"/>
      <c r="IE196" s="29"/>
      <c r="IF196" s="29"/>
      <c r="IG196" s="29"/>
      <c r="IH196" s="29"/>
      <c r="II196" s="29"/>
      <c r="IJ196" s="29"/>
      <c r="IK196" s="29"/>
      <c r="IL196" s="29"/>
      <c r="IM196" s="29"/>
      <c r="IN196" s="29"/>
      <c r="IO196" s="29"/>
      <c r="IP196" s="29"/>
      <c r="IQ196" s="29"/>
      <c r="IR196" s="29"/>
      <c r="IS196" s="29"/>
      <c r="IT196" s="29"/>
      <c r="IU196" s="29"/>
      <c r="IV196" s="29"/>
      <c r="IW196" s="29"/>
      <c r="IX196" s="29"/>
      <c r="IY196" s="29"/>
      <c r="IZ196" s="29"/>
      <c r="JA196" s="29"/>
      <c r="JB196" s="29"/>
      <c r="JC196" s="29"/>
      <c r="JD196" s="29"/>
      <c r="JE196" s="29"/>
      <c r="JF196" s="29"/>
      <c r="JG196" s="29"/>
      <c r="JH196" s="29"/>
      <c r="JI196" s="29"/>
      <c r="JJ196" s="29"/>
      <c r="JK196" s="29"/>
      <c r="JL196" s="29"/>
      <c r="JM196" s="29"/>
      <c r="JN196" s="29"/>
      <c r="JO196" s="29"/>
      <c r="JP196" s="29"/>
      <c r="JQ196" s="29"/>
      <c r="JR196" s="29"/>
      <c r="JS196" s="29"/>
      <c r="JT196" s="29"/>
      <c r="JU196" s="29"/>
      <c r="JV196" s="29"/>
      <c r="JW196" s="29"/>
      <c r="JX196" s="29"/>
      <c r="JY196" s="29"/>
      <c r="JZ196" s="29"/>
      <c r="KA196" s="29"/>
      <c r="KB196" s="29"/>
      <c r="KC196" s="29"/>
      <c r="KD196" s="29"/>
      <c r="KE196" s="29"/>
      <c r="KF196" s="29"/>
      <c r="KG196" s="29"/>
      <c r="KH196" s="29"/>
      <c r="KI196" s="29"/>
      <c r="KJ196" s="29"/>
      <c r="KK196" s="29"/>
      <c r="KL196" s="29"/>
      <c r="KM196" s="29"/>
      <c r="KN196" s="29"/>
      <c r="KO196" s="29"/>
      <c r="KP196" s="29"/>
      <c r="KQ196" s="29"/>
      <c r="KR196" s="29"/>
      <c r="KS196" s="29"/>
      <c r="KT196" s="29"/>
      <c r="KU196" s="29"/>
      <c r="KV196" s="29"/>
      <c r="KW196" s="29"/>
      <c r="KX196" s="29"/>
      <c r="KY196" s="29"/>
      <c r="KZ196" s="29"/>
      <c r="LA196" s="29"/>
      <c r="LB196" s="29"/>
      <c r="LC196" s="29"/>
      <c r="LD196" s="29"/>
      <c r="LE196" s="29"/>
      <c r="LF196" s="29"/>
      <c r="LG196" s="29"/>
      <c r="LH196" s="29"/>
      <c r="LI196" s="29"/>
      <c r="LJ196" s="29"/>
      <c r="LK196" s="29"/>
      <c r="LL196" s="29"/>
      <c r="LM196" s="29"/>
      <c r="LN196" s="29"/>
      <c r="LO196" s="29"/>
      <c r="LP196" s="29"/>
      <c r="LQ196" s="29"/>
      <c r="LR196" s="29"/>
      <c r="LS196" s="29"/>
      <c r="LT196" s="29"/>
      <c r="LU196" s="29"/>
      <c r="LV196" s="29"/>
      <c r="LW196" s="29"/>
      <c r="LX196" s="29"/>
      <c r="LY196" s="29"/>
      <c r="LZ196" s="29"/>
      <c r="MA196" s="29"/>
      <c r="MB196" s="29"/>
      <c r="MC196" s="29"/>
      <c r="MD196" s="29"/>
      <c r="ME196" s="29"/>
      <c r="MF196" s="29"/>
      <c r="MG196" s="29"/>
      <c r="MH196" s="29"/>
      <c r="MI196" s="29"/>
      <c r="MJ196" s="29"/>
      <c r="MK196" s="29"/>
      <c r="ML196" s="29"/>
      <c r="MM196" s="29"/>
      <c r="MN196" s="29"/>
      <c r="MO196" s="29"/>
      <c r="MP196" s="29"/>
      <c r="MQ196" s="29"/>
      <c r="MR196" s="29"/>
      <c r="MS196" s="29"/>
      <c r="MT196" s="29"/>
      <c r="MU196" s="29"/>
      <c r="MV196" s="29"/>
      <c r="MW196" s="29"/>
      <c r="MX196" s="29"/>
      <c r="MY196" s="29"/>
      <c r="MZ196" s="29"/>
      <c r="NA196" s="29"/>
      <c r="NB196" s="29"/>
      <c r="NC196" s="29"/>
      <c r="ND196" s="29"/>
      <c r="NE196" s="29"/>
      <c r="NF196" s="29"/>
      <c r="NG196" s="29"/>
      <c r="NH196" s="29"/>
      <c r="NI196" s="29"/>
      <c r="NJ196" s="29"/>
      <c r="NK196" s="29"/>
      <c r="NL196" s="29"/>
      <c r="NM196" s="29"/>
      <c r="NN196" s="29"/>
      <c r="NO196" s="29"/>
      <c r="NP196" s="29"/>
      <c r="NQ196" s="29"/>
      <c r="NR196" s="29"/>
      <c r="NS196" s="29"/>
      <c r="NT196" s="29"/>
      <c r="NU196" s="29"/>
      <c r="NV196" s="29"/>
      <c r="NW196" s="29"/>
      <c r="NX196" s="29"/>
      <c r="NY196" s="29"/>
      <c r="NZ196" s="29"/>
      <c r="OA196" s="29"/>
      <c r="OB196" s="29"/>
      <c r="OC196" s="29"/>
      <c r="OD196" s="29"/>
      <c r="OE196" s="29"/>
      <c r="OF196" s="29"/>
      <c r="OG196" s="29"/>
      <c r="OH196" s="29"/>
      <c r="OI196" s="29"/>
      <c r="OJ196" s="29"/>
      <c r="OK196" s="29"/>
      <c r="OL196" s="29"/>
      <c r="OM196" s="29"/>
      <c r="ON196" s="29"/>
      <c r="OO196" s="29"/>
      <c r="OP196" s="29"/>
      <c r="OQ196" s="29"/>
      <c r="OR196" s="29"/>
      <c r="OS196" s="29"/>
      <c r="OT196" s="29"/>
      <c r="OU196" s="29"/>
      <c r="OV196" s="29"/>
      <c r="OW196" s="29"/>
      <c r="OX196" s="29"/>
      <c r="OY196" s="29"/>
      <c r="OZ196" s="29"/>
      <c r="PA196" s="29"/>
      <c r="PB196" s="29"/>
      <c r="PC196" s="29"/>
      <c r="PD196" s="29"/>
      <c r="PE196" s="29"/>
      <c r="PF196" s="29"/>
      <c r="PG196" s="29"/>
      <c r="PH196" s="29"/>
      <c r="PI196" s="29"/>
      <c r="PJ196" s="29"/>
      <c r="PK196" s="29"/>
      <c r="PL196" s="29"/>
      <c r="PM196" s="29"/>
      <c r="PN196" s="29"/>
      <c r="PO196" s="29"/>
      <c r="PP196" s="29"/>
      <c r="PQ196" s="29"/>
      <c r="PR196" s="29"/>
      <c r="PS196" s="29"/>
      <c r="PT196" s="29"/>
      <c r="PU196" s="29"/>
      <c r="PV196" s="29"/>
      <c r="PW196" s="29"/>
      <c r="PX196" s="29"/>
      <c r="PY196" s="29"/>
      <c r="PZ196" s="29"/>
      <c r="QA196" s="29"/>
      <c r="QB196" s="29"/>
      <c r="QC196" s="29"/>
      <c r="QD196" s="29"/>
      <c r="QE196" s="29"/>
      <c r="QF196" s="29"/>
      <c r="QG196" s="29"/>
      <c r="QH196" s="29"/>
      <c r="QI196" s="29"/>
      <c r="QJ196" s="29"/>
      <c r="QK196" s="29"/>
      <c r="QL196" s="29"/>
      <c r="QM196" s="29"/>
      <c r="QN196" s="29"/>
      <c r="QO196" s="29"/>
      <c r="QP196" s="29"/>
      <c r="QQ196" s="29"/>
      <c r="QR196" s="29"/>
      <c r="QS196" s="29"/>
      <c r="QT196" s="29"/>
      <c r="QU196" s="29"/>
      <c r="QV196" s="29"/>
      <c r="QW196" s="29"/>
      <c r="QX196" s="29"/>
      <c r="QY196" s="29"/>
      <c r="QZ196" s="29"/>
      <c r="RA196" s="29"/>
      <c r="RB196" s="29"/>
      <c r="RC196" s="29"/>
      <c r="RD196" s="29"/>
      <c r="RE196" s="29"/>
      <c r="RF196" s="29"/>
      <c r="RG196" s="29"/>
      <c r="RH196" s="29"/>
      <c r="RI196" s="29"/>
      <c r="RJ196" s="29"/>
      <c r="RK196" s="29"/>
      <c r="RL196" s="29"/>
      <c r="RM196" s="29"/>
      <c r="RN196" s="29"/>
      <c r="RO196" s="29"/>
      <c r="RP196" s="29"/>
      <c r="RQ196" s="29"/>
      <c r="RR196" s="29"/>
      <c r="RS196" s="29"/>
      <c r="RT196" s="29"/>
      <c r="RU196" s="29"/>
      <c r="RV196" s="29"/>
      <c r="RW196" s="29"/>
      <c r="RX196" s="29"/>
      <c r="RY196" s="29"/>
      <c r="RZ196" s="29"/>
      <c r="SA196" s="29"/>
      <c r="SB196" s="29"/>
      <c r="SC196" s="29"/>
      <c r="SD196" s="29"/>
      <c r="SE196" s="29"/>
      <c r="SF196" s="29"/>
      <c r="SG196" s="29"/>
      <c r="SH196" s="29"/>
      <c r="SI196" s="29"/>
      <c r="SJ196" s="29"/>
      <c r="SK196" s="29"/>
      <c r="SL196" s="29"/>
      <c r="SM196" s="29"/>
      <c r="SN196" s="29"/>
      <c r="SO196" s="29"/>
      <c r="SP196" s="29"/>
      <c r="SQ196" s="29"/>
      <c r="SR196" s="29"/>
      <c r="SS196" s="29"/>
      <c r="ST196" s="29"/>
      <c r="SU196" s="29"/>
      <c r="SV196" s="29"/>
      <c r="SW196" s="29"/>
      <c r="SX196" s="29"/>
      <c r="SY196" s="29"/>
      <c r="SZ196" s="29"/>
      <c r="TA196" s="29"/>
      <c r="TB196" s="29"/>
      <c r="TC196" s="29"/>
      <c r="TD196" s="29"/>
      <c r="TE196" s="29"/>
      <c r="TF196" s="29"/>
      <c r="TG196" s="29"/>
      <c r="TH196" s="29"/>
      <c r="TI196" s="29"/>
      <c r="TJ196" s="29"/>
      <c r="TK196" s="29"/>
      <c r="TL196" s="29"/>
      <c r="TM196" s="29"/>
      <c r="TN196" s="29"/>
      <c r="TO196" s="29"/>
      <c r="TP196" s="29"/>
      <c r="TQ196" s="29"/>
      <c r="TR196" s="29"/>
      <c r="TS196" s="29"/>
      <c r="TT196" s="29"/>
      <c r="TU196" s="29"/>
      <c r="TV196" s="29"/>
      <c r="TW196" s="29"/>
      <c r="TX196" s="29"/>
      <c r="TY196" s="29"/>
      <c r="TZ196" s="29"/>
      <c r="UA196" s="29"/>
      <c r="UB196" s="29"/>
      <c r="UC196" s="29"/>
      <c r="UD196" s="29"/>
      <c r="UE196" s="29"/>
      <c r="UF196" s="29"/>
      <c r="UG196" s="29"/>
      <c r="UH196" s="29"/>
      <c r="UI196" s="29"/>
      <c r="UJ196" s="29"/>
      <c r="UK196" s="29"/>
      <c r="UL196" s="29"/>
      <c r="UM196" s="29"/>
      <c r="UN196" s="29"/>
      <c r="UO196" s="29"/>
      <c r="UP196" s="29"/>
      <c r="UQ196" s="29"/>
      <c r="UR196" s="29"/>
      <c r="US196" s="29"/>
      <c r="UT196" s="29"/>
      <c r="UU196" s="29"/>
      <c r="UV196" s="29"/>
      <c r="UW196" s="29"/>
      <c r="UX196" s="29"/>
      <c r="UY196" s="29"/>
      <c r="UZ196" s="29"/>
      <c r="VA196" s="29"/>
      <c r="VB196" s="29"/>
      <c r="VC196" s="29"/>
      <c r="VD196" s="29"/>
      <c r="VE196" s="29"/>
      <c r="VF196" s="29"/>
      <c r="VG196" s="29"/>
      <c r="VH196" s="29"/>
      <c r="VI196" s="29"/>
      <c r="VJ196" s="29"/>
      <c r="VK196" s="29"/>
      <c r="VL196" s="29"/>
      <c r="VM196" s="29"/>
      <c r="VN196" s="29"/>
      <c r="VO196" s="29"/>
      <c r="VP196" s="29"/>
      <c r="VQ196" s="29"/>
      <c r="VR196" s="29"/>
      <c r="VS196" s="29"/>
      <c r="VT196" s="29"/>
      <c r="VU196" s="29"/>
      <c r="VV196" s="29"/>
      <c r="VW196" s="29"/>
      <c r="VX196" s="29"/>
      <c r="VY196" s="29"/>
      <c r="VZ196" s="29"/>
      <c r="WA196" s="29"/>
      <c r="WB196" s="29"/>
      <c r="WC196" s="29"/>
      <c r="WD196" s="29"/>
      <c r="WE196" s="29"/>
      <c r="WF196" s="29"/>
      <c r="WG196" s="29"/>
      <c r="WH196" s="29"/>
      <c r="WI196" s="29"/>
      <c r="WJ196" s="29"/>
      <c r="WK196" s="29"/>
      <c r="WL196" s="29"/>
      <c r="WM196" s="29"/>
      <c r="WN196" s="29"/>
      <c r="WO196" s="29"/>
      <c r="WP196" s="29"/>
      <c r="WQ196" s="29"/>
      <c r="WR196" s="29"/>
      <c r="WS196" s="29"/>
    </row>
    <row r="197" spans="1:617" s="3" customFormat="1" ht="15" hidden="1" outlineLevel="1" thickBot="1">
      <c r="A197" s="33"/>
      <c r="B197" s="85" t="s">
        <v>247</v>
      </c>
      <c r="C197" s="145" t="s">
        <v>284</v>
      </c>
      <c r="D197" s="123">
        <v>46048</v>
      </c>
      <c r="E197" s="123">
        <f>D197+53</f>
        <v>46101</v>
      </c>
      <c r="F197" s="14"/>
      <c r="G197" s="14">
        <f>E197-D197</f>
        <v>53</v>
      </c>
      <c r="H197" s="29"/>
      <c r="I197" s="29"/>
      <c r="J197" s="29"/>
      <c r="K197" s="29"/>
      <c r="L197" s="29"/>
      <c r="M197" s="29"/>
      <c r="N197" s="29"/>
      <c r="O197" s="29"/>
      <c r="P197" s="29"/>
      <c r="Q197" s="29"/>
      <c r="R197" s="29"/>
      <c r="S197" s="29"/>
      <c r="T197" s="29"/>
      <c r="U197" s="29"/>
      <c r="V197" s="29"/>
      <c r="W197" s="29"/>
      <c r="X197" s="29"/>
      <c r="Y197" s="29"/>
      <c r="Z197" s="29"/>
      <c r="AA197" s="29"/>
      <c r="AB197" s="29"/>
      <c r="AC197" s="29"/>
      <c r="AD197" s="29"/>
      <c r="AE197" s="29"/>
      <c r="AF197" s="29"/>
      <c r="AG197" s="29"/>
      <c r="AH197" s="29"/>
      <c r="AI197" s="29"/>
      <c r="AJ197" s="29"/>
      <c r="AK197" s="29"/>
      <c r="AL197" s="29"/>
      <c r="AM197" s="29"/>
      <c r="AN197" s="29"/>
      <c r="AO197" s="29"/>
      <c r="AP197" s="29"/>
      <c r="AQ197" s="29"/>
      <c r="AR197" s="29"/>
      <c r="AS197" s="29"/>
      <c r="AT197" s="29"/>
      <c r="AU197" s="29"/>
      <c r="AV197" s="29"/>
      <c r="AW197" s="29"/>
      <c r="AX197" s="29"/>
      <c r="AY197" s="29"/>
      <c r="AZ197" s="29"/>
      <c r="BA197" s="29"/>
      <c r="BB197" s="29"/>
      <c r="BC197" s="29"/>
      <c r="BD197" s="29"/>
      <c r="BE197" s="29"/>
      <c r="BF197" s="29"/>
      <c r="BG197" s="29"/>
      <c r="BH197" s="29"/>
      <c r="BI197" s="29"/>
      <c r="BJ197" s="29"/>
      <c r="BK197" s="29"/>
      <c r="BL197" s="29"/>
      <c r="BM197" s="29"/>
      <c r="BN197" s="29"/>
      <c r="BO197" s="29"/>
      <c r="BP197" s="29"/>
      <c r="BQ197" s="29"/>
      <c r="BR197" s="29"/>
      <c r="BS197" s="29"/>
      <c r="BT197" s="29"/>
      <c r="BU197" s="29"/>
      <c r="BV197" s="29"/>
      <c r="BW197" s="29"/>
      <c r="BX197" s="29"/>
      <c r="BY197" s="29"/>
      <c r="BZ197" s="29"/>
      <c r="CA197" s="29"/>
      <c r="CB197" s="29"/>
      <c r="CC197" s="29"/>
      <c r="CD197" s="29"/>
      <c r="CE197" s="29"/>
      <c r="CF197" s="29"/>
      <c r="CG197" s="29"/>
      <c r="CH197" s="29"/>
      <c r="CI197" s="29"/>
      <c r="CJ197" s="29"/>
      <c r="CK197" s="29"/>
      <c r="CL197" s="29"/>
      <c r="CM197" s="29"/>
      <c r="CN197" s="29"/>
      <c r="CO197" s="29"/>
      <c r="CP197" s="29"/>
      <c r="CQ197" s="29"/>
      <c r="CR197" s="29"/>
      <c r="CS197" s="29"/>
      <c r="CT197" s="29"/>
      <c r="CU197" s="29"/>
      <c r="CV197" s="29"/>
      <c r="CW197" s="29"/>
      <c r="CX197" s="29"/>
      <c r="CY197" s="29"/>
      <c r="CZ197" s="29"/>
      <c r="DA197" s="29"/>
      <c r="DB197" s="29"/>
      <c r="DC197" s="29"/>
      <c r="DD197" s="29"/>
      <c r="DE197" s="29"/>
      <c r="DF197" s="29"/>
      <c r="DG197" s="29"/>
      <c r="DH197" s="29"/>
      <c r="DI197" s="29"/>
      <c r="DJ197" s="29"/>
      <c r="DK197" s="29"/>
      <c r="DL197" s="29"/>
      <c r="DM197" s="29"/>
      <c r="DN197" s="29"/>
      <c r="DO197" s="29"/>
      <c r="DP197" s="29"/>
      <c r="DQ197" s="29"/>
      <c r="DR197" s="29"/>
      <c r="DS197" s="29"/>
      <c r="DT197" s="29"/>
      <c r="DU197" s="29"/>
      <c r="DV197" s="29"/>
      <c r="DW197" s="29"/>
      <c r="DX197" s="29"/>
      <c r="DY197" s="29"/>
      <c r="DZ197" s="29"/>
      <c r="EA197" s="29"/>
      <c r="EB197" s="29"/>
      <c r="EC197" s="29"/>
      <c r="ED197" s="29"/>
      <c r="EE197" s="29"/>
      <c r="EF197" s="29"/>
      <c r="EG197" s="29"/>
      <c r="EH197" s="29"/>
      <c r="EI197" s="29"/>
      <c r="EJ197" s="29"/>
      <c r="EK197" s="29"/>
      <c r="EL197" s="29"/>
      <c r="EM197" s="29"/>
      <c r="EN197" s="29"/>
      <c r="EO197" s="29"/>
      <c r="EP197" s="29"/>
      <c r="EQ197" s="29"/>
      <c r="ER197" s="29"/>
      <c r="ES197" s="29"/>
      <c r="ET197" s="29"/>
      <c r="EU197" s="29"/>
      <c r="EV197" s="29"/>
      <c r="EW197" s="29"/>
      <c r="EX197" s="29"/>
      <c r="EY197" s="29"/>
      <c r="EZ197" s="29"/>
      <c r="FA197" s="29"/>
      <c r="FB197" s="29"/>
      <c r="FC197" s="29"/>
      <c r="FD197" s="29"/>
      <c r="FE197" s="29"/>
      <c r="FF197" s="29"/>
      <c r="FG197" s="29"/>
      <c r="FH197" s="29"/>
      <c r="FI197" s="29"/>
      <c r="FJ197" s="29"/>
      <c r="FK197" s="29"/>
      <c r="FL197" s="29"/>
      <c r="FM197" s="29"/>
      <c r="FN197" s="29"/>
      <c r="FO197" s="29"/>
      <c r="FP197" s="29"/>
      <c r="FQ197" s="29"/>
      <c r="FR197" s="29"/>
      <c r="FS197" s="29"/>
      <c r="FT197" s="29"/>
      <c r="FU197" s="29"/>
      <c r="FV197" s="29"/>
      <c r="FW197" s="29"/>
      <c r="FX197" s="29"/>
      <c r="FY197" s="29"/>
      <c r="FZ197" s="29"/>
      <c r="GA197" s="29"/>
      <c r="GB197" s="29"/>
      <c r="GC197" s="29"/>
      <c r="GD197" s="29"/>
      <c r="GE197" s="29"/>
      <c r="GF197" s="29"/>
      <c r="GG197" s="29"/>
      <c r="GH197" s="29"/>
      <c r="GI197" s="29"/>
      <c r="GJ197" s="29"/>
      <c r="GK197" s="29"/>
      <c r="GL197" s="29"/>
      <c r="GM197" s="29"/>
      <c r="GN197" s="29"/>
      <c r="GO197" s="29"/>
      <c r="GP197" s="29"/>
      <c r="GQ197" s="29"/>
      <c r="GR197" s="29"/>
      <c r="GS197" s="29"/>
      <c r="GT197" s="29"/>
      <c r="GU197" s="29"/>
      <c r="GV197" s="29"/>
      <c r="GW197" s="29"/>
      <c r="GX197" s="29"/>
      <c r="GY197" s="29"/>
      <c r="GZ197" s="29"/>
      <c r="HA197" s="29"/>
      <c r="HB197" s="29"/>
      <c r="HC197" s="29"/>
      <c r="HD197" s="29"/>
      <c r="HE197" s="29"/>
      <c r="HF197" s="29"/>
      <c r="HG197" s="29"/>
      <c r="HH197" s="29"/>
      <c r="HI197" s="29"/>
      <c r="HJ197" s="29"/>
      <c r="HK197" s="29"/>
      <c r="HL197" s="29"/>
      <c r="HM197" s="29"/>
      <c r="HN197" s="29"/>
      <c r="HO197" s="29"/>
      <c r="HP197" s="29"/>
      <c r="HQ197" s="29"/>
      <c r="HR197" s="29"/>
      <c r="HS197" s="29"/>
      <c r="HT197" s="29"/>
      <c r="HU197" s="29"/>
      <c r="HV197" s="29"/>
      <c r="HW197" s="29"/>
      <c r="HX197" s="29"/>
      <c r="HY197" s="29"/>
      <c r="HZ197" s="29"/>
      <c r="IA197" s="29"/>
      <c r="IB197" s="29"/>
      <c r="IC197" s="29"/>
      <c r="ID197" s="29"/>
      <c r="IE197" s="29"/>
      <c r="IF197" s="29"/>
      <c r="IG197" s="29"/>
      <c r="IH197" s="29"/>
      <c r="II197" s="29"/>
      <c r="IJ197" s="29"/>
      <c r="IK197" s="29"/>
      <c r="IL197" s="29"/>
      <c r="IM197" s="29"/>
      <c r="IN197" s="29"/>
      <c r="IO197" s="29"/>
      <c r="IP197" s="29"/>
      <c r="IQ197" s="29"/>
      <c r="IR197" s="29"/>
      <c r="IS197" s="29"/>
      <c r="IT197" s="29"/>
      <c r="IU197" s="29"/>
      <c r="IV197" s="29"/>
      <c r="IW197" s="29"/>
      <c r="IX197" s="29"/>
      <c r="IY197" s="29"/>
      <c r="IZ197" s="29"/>
      <c r="JA197" s="29"/>
      <c r="JB197" s="29"/>
      <c r="JC197" s="29"/>
      <c r="JD197" s="29"/>
      <c r="JE197" s="29"/>
      <c r="JF197" s="29"/>
      <c r="JG197" s="29"/>
      <c r="JH197" s="29"/>
      <c r="JI197" s="29"/>
      <c r="JJ197" s="29"/>
      <c r="JK197" s="29"/>
      <c r="JL197" s="29"/>
      <c r="JM197" s="29"/>
      <c r="JN197" s="29"/>
      <c r="JO197" s="29"/>
      <c r="JP197" s="29"/>
      <c r="JQ197" s="29"/>
      <c r="JR197" s="29"/>
      <c r="JS197" s="29"/>
      <c r="JT197" s="29"/>
      <c r="JU197" s="29"/>
      <c r="JV197" s="29"/>
      <c r="JW197" s="29"/>
      <c r="JX197" s="29"/>
      <c r="JY197" s="29"/>
      <c r="JZ197" s="29"/>
      <c r="KA197" s="29"/>
      <c r="KB197" s="29"/>
      <c r="KC197" s="29"/>
      <c r="KD197" s="29"/>
      <c r="KE197" s="29"/>
      <c r="KF197" s="29"/>
      <c r="KG197" s="29"/>
      <c r="KH197" s="29"/>
      <c r="KI197" s="29"/>
      <c r="KJ197" s="29"/>
      <c r="KK197" s="29"/>
      <c r="KL197" s="29"/>
      <c r="KM197" s="29"/>
      <c r="KN197" s="29"/>
      <c r="KO197" s="29"/>
      <c r="KP197" s="29"/>
      <c r="KQ197" s="29"/>
      <c r="KR197" s="29"/>
      <c r="KS197" s="29"/>
      <c r="KT197" s="29"/>
      <c r="KU197" s="29"/>
      <c r="KV197" s="29"/>
      <c r="KW197" s="29"/>
      <c r="KX197" s="29"/>
      <c r="KY197" s="29"/>
      <c r="KZ197" s="29"/>
      <c r="LA197" s="29"/>
      <c r="LB197" s="29"/>
      <c r="LC197" s="29"/>
      <c r="LD197" s="29"/>
      <c r="LE197" s="29"/>
      <c r="LF197" s="29"/>
      <c r="LG197" s="29"/>
      <c r="LH197" s="29"/>
      <c r="LI197" s="29"/>
      <c r="LJ197" s="29"/>
      <c r="LK197" s="29"/>
      <c r="LL197" s="29"/>
      <c r="LM197" s="29"/>
      <c r="LN197" s="29"/>
      <c r="LO197" s="29"/>
      <c r="LP197" s="29"/>
      <c r="LQ197" s="29"/>
      <c r="LR197" s="29"/>
      <c r="LS197" s="29"/>
      <c r="LT197" s="29"/>
      <c r="LU197" s="29"/>
      <c r="LV197" s="29"/>
      <c r="LW197" s="29"/>
      <c r="LX197" s="29"/>
      <c r="LY197" s="29"/>
      <c r="LZ197" s="29"/>
      <c r="MA197" s="29"/>
      <c r="MB197" s="29"/>
      <c r="MC197" s="29"/>
      <c r="MD197" s="29"/>
      <c r="ME197" s="29"/>
      <c r="MF197" s="29"/>
      <c r="MG197" s="29"/>
      <c r="MH197" s="29"/>
      <c r="MI197" s="29"/>
      <c r="MJ197" s="29"/>
      <c r="MK197" s="29"/>
      <c r="ML197" s="29"/>
      <c r="MM197" s="29"/>
      <c r="MN197" s="29"/>
      <c r="MO197" s="29"/>
      <c r="MP197" s="29"/>
      <c r="MQ197" s="29"/>
      <c r="MR197" s="29"/>
      <c r="MS197" s="29"/>
      <c r="MT197" s="29"/>
      <c r="MU197" s="29"/>
      <c r="MV197" s="29"/>
      <c r="MW197" s="29"/>
      <c r="MX197" s="29"/>
      <c r="MY197" s="29"/>
      <c r="MZ197" s="29"/>
      <c r="NA197" s="29"/>
      <c r="NB197" s="29"/>
      <c r="NC197" s="29"/>
      <c r="ND197" s="29"/>
      <c r="NE197" s="29"/>
      <c r="NF197" s="29"/>
      <c r="NG197" s="29"/>
      <c r="NH197" s="29"/>
      <c r="NI197" s="29"/>
      <c r="NJ197" s="29"/>
      <c r="NK197" s="29"/>
      <c r="NL197" s="29"/>
      <c r="NM197" s="29"/>
      <c r="NN197" s="29"/>
      <c r="NO197" s="29"/>
      <c r="NP197" s="29"/>
      <c r="NQ197" s="29"/>
      <c r="NR197" s="29"/>
      <c r="NS197" s="29"/>
      <c r="NT197" s="29"/>
      <c r="NU197" s="29"/>
      <c r="NV197" s="29"/>
      <c r="NW197" s="29"/>
      <c r="NX197" s="29"/>
      <c r="NY197" s="29"/>
      <c r="NZ197" s="29"/>
      <c r="OA197" s="29"/>
      <c r="OB197" s="29"/>
      <c r="OC197" s="29"/>
      <c r="OD197" s="29"/>
      <c r="OE197" s="29"/>
      <c r="OF197" s="29"/>
      <c r="OG197" s="29"/>
      <c r="OH197" s="29"/>
      <c r="OI197" s="29"/>
      <c r="OJ197" s="29"/>
      <c r="OK197" s="29"/>
      <c r="OL197" s="29"/>
      <c r="OM197" s="29"/>
      <c r="ON197" s="29"/>
      <c r="OO197" s="29"/>
      <c r="OP197" s="29"/>
      <c r="OQ197" s="29"/>
      <c r="OR197" s="29"/>
      <c r="OS197" s="29"/>
      <c r="OT197" s="29"/>
      <c r="OU197" s="29"/>
      <c r="OV197" s="29"/>
      <c r="OW197" s="29"/>
      <c r="OX197" s="29"/>
      <c r="OY197" s="29"/>
      <c r="OZ197" s="29"/>
      <c r="PA197" s="29"/>
      <c r="PB197" s="29"/>
      <c r="PC197" s="29"/>
      <c r="PD197" s="29"/>
      <c r="PE197" s="29"/>
      <c r="PF197" s="29"/>
      <c r="PG197" s="29"/>
      <c r="PH197" s="29"/>
      <c r="PI197" s="29"/>
      <c r="PJ197" s="29"/>
      <c r="PK197" s="29"/>
      <c r="PL197" s="29"/>
      <c r="PM197" s="29"/>
      <c r="PN197" s="29"/>
      <c r="PO197" s="29"/>
      <c r="PP197" s="29"/>
      <c r="PQ197" s="29"/>
      <c r="PR197" s="29"/>
      <c r="PS197" s="29"/>
      <c r="PT197" s="29"/>
      <c r="PU197" s="29"/>
      <c r="PV197" s="29"/>
      <c r="PW197" s="29"/>
      <c r="PX197" s="29"/>
      <c r="PY197" s="29"/>
      <c r="PZ197" s="29"/>
      <c r="QA197" s="29"/>
      <c r="QB197" s="29"/>
      <c r="QC197" s="29"/>
      <c r="QD197" s="29"/>
      <c r="QE197" s="29"/>
      <c r="QF197" s="29"/>
      <c r="QG197" s="29"/>
      <c r="QH197" s="29"/>
      <c r="QI197" s="29"/>
      <c r="QJ197" s="29"/>
      <c r="QK197" s="29"/>
      <c r="QL197" s="29"/>
      <c r="QM197" s="29"/>
      <c r="QN197" s="29"/>
      <c r="QO197" s="29"/>
      <c r="QP197" s="29"/>
      <c r="QQ197" s="29"/>
      <c r="QR197" s="29"/>
      <c r="QS197" s="29"/>
      <c r="QT197" s="29"/>
      <c r="QU197" s="29"/>
      <c r="QV197" s="29"/>
      <c r="QW197" s="29"/>
      <c r="QX197" s="29"/>
      <c r="QY197" s="29"/>
      <c r="QZ197" s="29"/>
      <c r="RA197" s="29"/>
      <c r="RB197" s="29"/>
      <c r="RC197" s="29"/>
      <c r="RD197" s="29"/>
      <c r="RE197" s="29"/>
      <c r="RF197" s="29"/>
      <c r="RG197" s="29"/>
      <c r="RH197" s="29"/>
      <c r="RI197" s="29"/>
      <c r="RJ197" s="29"/>
      <c r="RK197" s="29"/>
      <c r="RL197" s="29"/>
      <c r="RM197" s="29"/>
      <c r="RN197" s="29"/>
      <c r="RO197" s="29"/>
      <c r="RP197" s="29"/>
      <c r="RQ197" s="29"/>
      <c r="RR197" s="29"/>
      <c r="RS197" s="29"/>
      <c r="RT197" s="29"/>
      <c r="RU197" s="29"/>
      <c r="RV197" s="29"/>
      <c r="RW197" s="29"/>
      <c r="RX197" s="29"/>
      <c r="RY197" s="29"/>
      <c r="RZ197" s="29"/>
      <c r="SA197" s="29"/>
      <c r="SB197" s="29"/>
      <c r="SC197" s="29"/>
      <c r="SD197" s="29"/>
      <c r="SE197" s="29"/>
      <c r="SF197" s="29"/>
      <c r="SG197" s="29"/>
      <c r="SH197" s="29"/>
      <c r="SI197" s="29"/>
      <c r="SJ197" s="29"/>
      <c r="SK197" s="29"/>
      <c r="SL197" s="29"/>
      <c r="SM197" s="29"/>
      <c r="SN197" s="29"/>
      <c r="SO197" s="29"/>
      <c r="SP197" s="29"/>
      <c r="SQ197" s="29"/>
      <c r="SR197" s="29"/>
      <c r="SS197" s="29"/>
      <c r="ST197" s="29"/>
      <c r="SU197" s="29"/>
      <c r="SV197" s="29"/>
      <c r="SW197" s="29"/>
      <c r="SX197" s="29"/>
      <c r="SY197" s="29"/>
      <c r="SZ197" s="29"/>
      <c r="TA197" s="29"/>
      <c r="TB197" s="29"/>
      <c r="TC197" s="29"/>
      <c r="TD197" s="29"/>
      <c r="TE197" s="29"/>
      <c r="TF197" s="29"/>
      <c r="TG197" s="29"/>
      <c r="TH197" s="29"/>
      <c r="TI197" s="29"/>
      <c r="TJ197" s="29"/>
      <c r="TK197" s="29"/>
      <c r="TL197" s="29"/>
      <c r="TM197" s="29"/>
      <c r="TN197" s="29"/>
      <c r="TO197" s="29"/>
      <c r="TP197" s="29"/>
      <c r="TQ197" s="29"/>
      <c r="TR197" s="29"/>
      <c r="TS197" s="29"/>
      <c r="TT197" s="29"/>
      <c r="TU197" s="29"/>
      <c r="TV197" s="29"/>
      <c r="TW197" s="29"/>
      <c r="TX197" s="29"/>
      <c r="TY197" s="29"/>
      <c r="TZ197" s="29"/>
      <c r="UA197" s="29"/>
      <c r="UB197" s="29"/>
      <c r="UC197" s="29"/>
      <c r="UD197" s="29"/>
      <c r="UE197" s="29"/>
      <c r="UF197" s="29"/>
      <c r="UG197" s="29"/>
      <c r="UH197" s="29"/>
      <c r="UI197" s="29"/>
      <c r="UJ197" s="29"/>
      <c r="UK197" s="29"/>
      <c r="UL197" s="29"/>
      <c r="UM197" s="29"/>
      <c r="UN197" s="29"/>
      <c r="UO197" s="29"/>
      <c r="UP197" s="29"/>
      <c r="UQ197" s="29"/>
      <c r="UR197" s="29"/>
      <c r="US197" s="29"/>
      <c r="UT197" s="29"/>
      <c r="UU197" s="29"/>
      <c r="UV197" s="29"/>
      <c r="UW197" s="29"/>
      <c r="UX197" s="29"/>
      <c r="UY197" s="29"/>
      <c r="UZ197" s="29"/>
      <c r="VA197" s="29"/>
      <c r="VB197" s="29"/>
      <c r="VC197" s="29"/>
      <c r="VD197" s="29"/>
      <c r="VE197" s="29"/>
      <c r="VF197" s="29"/>
      <c r="VG197" s="29"/>
      <c r="VH197" s="29"/>
      <c r="VI197" s="29"/>
      <c r="VJ197" s="29"/>
      <c r="VK197" s="29"/>
      <c r="VL197" s="29"/>
      <c r="VM197" s="29"/>
      <c r="VN197" s="29"/>
      <c r="VO197" s="29"/>
      <c r="VP197" s="29"/>
      <c r="VQ197" s="29"/>
      <c r="VR197" s="29"/>
      <c r="VS197" s="29"/>
      <c r="VT197" s="29"/>
      <c r="VU197" s="29"/>
      <c r="VV197" s="29"/>
      <c r="VW197" s="29"/>
      <c r="VX197" s="29"/>
      <c r="VY197" s="29"/>
      <c r="VZ197" s="29"/>
      <c r="WA197" s="29"/>
      <c r="WB197" s="29"/>
      <c r="WC197" s="29"/>
      <c r="WD197" s="29"/>
      <c r="WE197" s="29"/>
      <c r="WF197" s="29"/>
      <c r="WG197" s="29"/>
      <c r="WH197" s="29"/>
      <c r="WI197" s="29"/>
      <c r="WJ197" s="29"/>
      <c r="WK197" s="29"/>
      <c r="WL197" s="29"/>
      <c r="WM197" s="29"/>
      <c r="WN197" s="29"/>
      <c r="WO197" s="29"/>
      <c r="WP197" s="29"/>
      <c r="WQ197" s="29"/>
      <c r="WR197" s="29"/>
      <c r="WS197" s="29"/>
    </row>
    <row r="198" spans="1:617" s="3" customFormat="1" ht="15" hidden="1" outlineLevel="1" thickBot="1">
      <c r="A198" s="33"/>
      <c r="B198" s="85" t="s">
        <v>243</v>
      </c>
      <c r="C198" s="145" t="s">
        <v>290</v>
      </c>
      <c r="D198" s="123">
        <v>46090</v>
      </c>
      <c r="E198" s="205">
        <f>D198+53</f>
        <v>46143</v>
      </c>
      <c r="F198" s="14"/>
      <c r="G198" s="14">
        <f>E198-D198</f>
        <v>53</v>
      </c>
      <c r="H198" s="29"/>
      <c r="I198" s="29"/>
      <c r="J198" s="29"/>
      <c r="K198" s="29"/>
      <c r="L198" s="29"/>
      <c r="M198" s="29"/>
      <c r="N198" s="29"/>
      <c r="O198" s="29"/>
      <c r="P198" s="29"/>
      <c r="Q198" s="29"/>
      <c r="R198" s="29"/>
      <c r="S198" s="29"/>
      <c r="T198" s="29"/>
      <c r="U198" s="29"/>
      <c r="V198" s="29"/>
      <c r="W198" s="29"/>
      <c r="X198" s="29"/>
      <c r="Y198" s="29"/>
      <c r="Z198" s="29"/>
      <c r="AA198" s="29"/>
      <c r="AB198" s="29"/>
      <c r="AC198" s="29"/>
      <c r="AD198" s="29"/>
      <c r="AE198" s="29"/>
      <c r="AF198" s="29"/>
      <c r="AG198" s="29"/>
      <c r="AH198" s="29"/>
      <c r="AI198" s="29"/>
      <c r="AJ198" s="29"/>
      <c r="AK198" s="29"/>
      <c r="AL198" s="29"/>
      <c r="AM198" s="29"/>
      <c r="AN198" s="29"/>
      <c r="AO198" s="29"/>
      <c r="AP198" s="29"/>
      <c r="AQ198" s="29"/>
      <c r="AR198" s="29"/>
      <c r="AS198" s="29"/>
      <c r="AT198" s="29"/>
      <c r="AU198" s="29"/>
      <c r="AV198" s="29"/>
      <c r="AW198" s="29"/>
      <c r="AX198" s="29"/>
      <c r="AY198" s="29"/>
      <c r="AZ198" s="29"/>
      <c r="BA198" s="29"/>
      <c r="BB198" s="29"/>
      <c r="BC198" s="29"/>
      <c r="BD198" s="29"/>
      <c r="BE198" s="29"/>
      <c r="BF198" s="29"/>
      <c r="BG198" s="29"/>
      <c r="BH198" s="29"/>
      <c r="BI198" s="29"/>
      <c r="BJ198" s="29"/>
      <c r="BK198" s="29"/>
      <c r="BL198" s="29"/>
      <c r="BM198" s="29"/>
      <c r="BN198" s="29"/>
      <c r="BO198" s="29"/>
      <c r="BP198" s="29"/>
      <c r="BQ198" s="29"/>
      <c r="BR198" s="29"/>
      <c r="BS198" s="29"/>
      <c r="BT198" s="29"/>
      <c r="BU198" s="29"/>
      <c r="BV198" s="29"/>
      <c r="BW198" s="29"/>
      <c r="BX198" s="29"/>
      <c r="BY198" s="29"/>
      <c r="BZ198" s="29"/>
      <c r="CA198" s="29"/>
      <c r="CB198" s="29"/>
      <c r="CC198" s="29"/>
      <c r="CD198" s="29"/>
      <c r="CE198" s="29"/>
      <c r="CF198" s="29"/>
      <c r="CG198" s="29"/>
      <c r="CH198" s="29"/>
      <c r="CI198" s="29"/>
      <c r="CJ198" s="29"/>
      <c r="CK198" s="29"/>
      <c r="CL198" s="29"/>
      <c r="CM198" s="29"/>
      <c r="CN198" s="29"/>
      <c r="CO198" s="29"/>
      <c r="CP198" s="29"/>
      <c r="CQ198" s="29"/>
      <c r="CR198" s="29"/>
      <c r="CS198" s="29"/>
      <c r="CT198" s="29"/>
      <c r="CU198" s="29"/>
      <c r="CV198" s="29"/>
      <c r="CW198" s="29"/>
      <c r="CX198" s="29"/>
      <c r="CY198" s="29"/>
      <c r="CZ198" s="29"/>
      <c r="DA198" s="29"/>
      <c r="DB198" s="29"/>
      <c r="DC198" s="29"/>
      <c r="DD198" s="29"/>
      <c r="DE198" s="29"/>
      <c r="DF198" s="29"/>
      <c r="DG198" s="29"/>
      <c r="DH198" s="29"/>
      <c r="DI198" s="29"/>
      <c r="DJ198" s="29"/>
      <c r="DK198" s="29"/>
      <c r="DL198" s="29"/>
      <c r="DM198" s="29"/>
      <c r="DN198" s="29"/>
      <c r="DO198" s="29"/>
      <c r="DP198" s="29"/>
      <c r="DQ198" s="29"/>
      <c r="DR198" s="29"/>
      <c r="DS198" s="29"/>
      <c r="DT198" s="29"/>
      <c r="DU198" s="29"/>
      <c r="DV198" s="29"/>
      <c r="DW198" s="29"/>
      <c r="DX198" s="29"/>
      <c r="DY198" s="29"/>
      <c r="DZ198" s="29"/>
      <c r="EA198" s="29"/>
      <c r="EB198" s="29"/>
      <c r="EC198" s="29"/>
      <c r="ED198" s="29"/>
      <c r="EE198" s="29"/>
      <c r="EF198" s="29"/>
      <c r="EG198" s="29"/>
      <c r="EH198" s="29"/>
      <c r="EI198" s="29"/>
      <c r="EJ198" s="29"/>
      <c r="EK198" s="29"/>
      <c r="EL198" s="29"/>
      <c r="EM198" s="29"/>
      <c r="EN198" s="29"/>
      <c r="EO198" s="29"/>
      <c r="EP198" s="29"/>
      <c r="EQ198" s="29"/>
      <c r="ER198" s="29"/>
      <c r="ES198" s="29"/>
      <c r="ET198" s="29"/>
      <c r="EU198" s="29"/>
      <c r="EV198" s="29"/>
      <c r="EW198" s="29"/>
      <c r="EX198" s="29"/>
      <c r="EY198" s="29"/>
      <c r="EZ198" s="29"/>
      <c r="FA198" s="29"/>
      <c r="FB198" s="29"/>
      <c r="FC198" s="29"/>
      <c r="FD198" s="29"/>
      <c r="FE198" s="29"/>
      <c r="FF198" s="29"/>
      <c r="FG198" s="29"/>
      <c r="FH198" s="29"/>
      <c r="FI198" s="29"/>
      <c r="FJ198" s="29"/>
      <c r="FK198" s="29"/>
      <c r="FL198" s="29"/>
      <c r="FM198" s="29"/>
      <c r="FN198" s="29"/>
      <c r="FO198" s="29"/>
      <c r="FP198" s="29"/>
      <c r="FQ198" s="29"/>
      <c r="FR198" s="29"/>
      <c r="FS198" s="29"/>
      <c r="FT198" s="29"/>
      <c r="FU198" s="29"/>
      <c r="FV198" s="29"/>
      <c r="FW198" s="29"/>
      <c r="FX198" s="29"/>
      <c r="FY198" s="29"/>
      <c r="FZ198" s="29"/>
      <c r="GA198" s="29"/>
      <c r="GB198" s="29"/>
      <c r="GC198" s="29"/>
      <c r="GD198" s="29"/>
      <c r="GE198" s="29"/>
      <c r="GF198" s="29"/>
      <c r="GG198" s="29"/>
      <c r="GH198" s="29"/>
      <c r="GI198" s="29"/>
      <c r="GJ198" s="29"/>
      <c r="GK198" s="29"/>
      <c r="GL198" s="29"/>
      <c r="GM198" s="29"/>
      <c r="GN198" s="29"/>
      <c r="GO198" s="29"/>
      <c r="GP198" s="29"/>
      <c r="GQ198" s="29"/>
      <c r="GR198" s="29"/>
      <c r="GS198" s="29"/>
      <c r="GT198" s="29"/>
      <c r="GU198" s="29"/>
      <c r="GV198" s="29"/>
      <c r="GW198" s="29"/>
      <c r="GX198" s="29"/>
      <c r="GY198" s="29"/>
      <c r="GZ198" s="29"/>
      <c r="HA198" s="29"/>
      <c r="HB198" s="29"/>
      <c r="HC198" s="29"/>
      <c r="HD198" s="29"/>
      <c r="HE198" s="29"/>
      <c r="HF198" s="29"/>
      <c r="HG198" s="29"/>
      <c r="HH198" s="29"/>
      <c r="HI198" s="29"/>
      <c r="HJ198" s="29"/>
      <c r="HK198" s="29"/>
      <c r="HL198" s="29"/>
      <c r="HM198" s="29"/>
      <c r="HN198" s="29"/>
      <c r="HO198" s="29"/>
      <c r="HP198" s="29"/>
      <c r="HQ198" s="29"/>
      <c r="HR198" s="29"/>
      <c r="HS198" s="29"/>
      <c r="HT198" s="29"/>
      <c r="HU198" s="29"/>
      <c r="HV198" s="29"/>
      <c r="HW198" s="29"/>
      <c r="HX198" s="29"/>
      <c r="HY198" s="29"/>
      <c r="HZ198" s="29"/>
      <c r="IA198" s="29"/>
      <c r="IB198" s="29"/>
      <c r="IC198" s="29"/>
      <c r="ID198" s="29"/>
      <c r="IE198" s="29"/>
      <c r="IF198" s="29"/>
      <c r="IG198" s="29"/>
      <c r="IH198" s="29"/>
      <c r="II198" s="29"/>
      <c r="IJ198" s="29"/>
      <c r="IK198" s="29"/>
      <c r="IL198" s="29"/>
      <c r="IM198" s="29"/>
      <c r="IN198" s="29"/>
      <c r="IO198" s="29"/>
      <c r="IP198" s="29"/>
      <c r="IQ198" s="29"/>
      <c r="IR198" s="29"/>
      <c r="IS198" s="29"/>
      <c r="IT198" s="29"/>
      <c r="IU198" s="29"/>
      <c r="IV198" s="29"/>
      <c r="IW198" s="29"/>
      <c r="IX198" s="29"/>
      <c r="IY198" s="29"/>
      <c r="IZ198" s="29"/>
      <c r="JA198" s="29"/>
      <c r="JB198" s="29"/>
      <c r="JC198" s="29"/>
      <c r="JD198" s="29"/>
      <c r="JE198" s="29"/>
      <c r="JF198" s="29"/>
      <c r="JG198" s="29"/>
      <c r="JH198" s="29"/>
      <c r="JI198" s="29"/>
      <c r="JJ198" s="29"/>
      <c r="JK198" s="29"/>
      <c r="JL198" s="29"/>
      <c r="JM198" s="29"/>
      <c r="JN198" s="29"/>
      <c r="JO198" s="29"/>
      <c r="JP198" s="29"/>
      <c r="JQ198" s="29"/>
      <c r="JR198" s="29"/>
      <c r="JS198" s="29"/>
      <c r="JT198" s="29"/>
      <c r="JU198" s="29"/>
      <c r="JV198" s="29"/>
      <c r="JW198" s="29"/>
      <c r="JX198" s="29"/>
      <c r="JY198" s="29"/>
      <c r="JZ198" s="29"/>
      <c r="KA198" s="29"/>
      <c r="KB198" s="29"/>
      <c r="KC198" s="29"/>
      <c r="KD198" s="29"/>
      <c r="KE198" s="29"/>
      <c r="KF198" s="29"/>
      <c r="KG198" s="29"/>
      <c r="KH198" s="29"/>
      <c r="KI198" s="29"/>
      <c r="KJ198" s="29"/>
      <c r="KK198" s="29"/>
      <c r="KL198" s="29"/>
      <c r="KM198" s="29"/>
      <c r="KN198" s="29"/>
      <c r="KO198" s="29"/>
      <c r="KP198" s="29"/>
      <c r="KQ198" s="29"/>
      <c r="KR198" s="29"/>
      <c r="KS198" s="29"/>
      <c r="KT198" s="29"/>
      <c r="KU198" s="29"/>
      <c r="KV198" s="29"/>
      <c r="KW198" s="29"/>
      <c r="KX198" s="29"/>
      <c r="KY198" s="29"/>
      <c r="KZ198" s="29"/>
      <c r="LA198" s="29"/>
      <c r="LB198" s="29"/>
      <c r="LC198" s="29"/>
      <c r="LD198" s="29"/>
      <c r="LE198" s="29"/>
      <c r="LF198" s="29"/>
      <c r="LG198" s="29"/>
      <c r="LH198" s="29"/>
      <c r="LI198" s="29"/>
      <c r="LJ198" s="29"/>
      <c r="LK198" s="29"/>
      <c r="LL198" s="29"/>
      <c r="LM198" s="29"/>
      <c r="LN198" s="29"/>
      <c r="LO198" s="29"/>
      <c r="LP198" s="29"/>
      <c r="LQ198" s="29"/>
      <c r="LR198" s="29"/>
      <c r="LS198" s="29"/>
      <c r="LT198" s="29"/>
      <c r="LU198" s="29"/>
      <c r="LV198" s="29"/>
      <c r="LW198" s="29"/>
      <c r="LX198" s="29"/>
      <c r="LY198" s="29"/>
      <c r="LZ198" s="29"/>
      <c r="MA198" s="29"/>
      <c r="MB198" s="29"/>
      <c r="MC198" s="29"/>
      <c r="MD198" s="29"/>
      <c r="ME198" s="29"/>
      <c r="MF198" s="29"/>
      <c r="MG198" s="29"/>
      <c r="MH198" s="29"/>
      <c r="MI198" s="29"/>
      <c r="MJ198" s="29"/>
      <c r="MK198" s="29"/>
      <c r="ML198" s="29"/>
      <c r="MM198" s="29"/>
      <c r="MN198" s="29"/>
      <c r="MO198" s="29"/>
      <c r="MP198" s="29"/>
      <c r="MQ198" s="29"/>
      <c r="MR198" s="29"/>
      <c r="MS198" s="29"/>
      <c r="MT198" s="29"/>
      <c r="MU198" s="29"/>
      <c r="MV198" s="29"/>
      <c r="MW198" s="29"/>
      <c r="MX198" s="29"/>
      <c r="MY198" s="29"/>
      <c r="MZ198" s="29"/>
      <c r="NA198" s="29"/>
      <c r="NB198" s="29"/>
      <c r="NC198" s="29"/>
      <c r="ND198" s="29"/>
      <c r="NE198" s="29"/>
      <c r="NF198" s="29"/>
      <c r="NG198" s="29"/>
      <c r="NH198" s="29"/>
      <c r="NI198" s="29"/>
      <c r="NJ198" s="29"/>
      <c r="NK198" s="29"/>
      <c r="NL198" s="29"/>
      <c r="NM198" s="29"/>
      <c r="NN198" s="29"/>
      <c r="NO198" s="29"/>
      <c r="NP198" s="29"/>
      <c r="NQ198" s="29"/>
      <c r="NR198" s="29"/>
      <c r="NS198" s="29"/>
      <c r="NT198" s="29"/>
      <c r="NU198" s="29"/>
      <c r="NV198" s="29"/>
      <c r="NW198" s="29"/>
      <c r="NX198" s="29"/>
      <c r="NY198" s="29"/>
      <c r="NZ198" s="29"/>
      <c r="OA198" s="29"/>
      <c r="OB198" s="29"/>
      <c r="OC198" s="29"/>
      <c r="OD198" s="29"/>
      <c r="OE198" s="29"/>
      <c r="OF198" s="29"/>
      <c r="OG198" s="29"/>
      <c r="OH198" s="29"/>
      <c r="OI198" s="29"/>
      <c r="OJ198" s="29"/>
      <c r="OK198" s="29"/>
      <c r="OL198" s="29"/>
      <c r="OM198" s="29"/>
      <c r="ON198" s="29"/>
      <c r="OO198" s="29"/>
      <c r="OP198" s="29"/>
      <c r="OQ198" s="29"/>
      <c r="OR198" s="29"/>
      <c r="OS198" s="29"/>
      <c r="OT198" s="29"/>
      <c r="OU198" s="29"/>
      <c r="OV198" s="29"/>
      <c r="OW198" s="29"/>
      <c r="OX198" s="29"/>
      <c r="OY198" s="29"/>
      <c r="OZ198" s="29"/>
      <c r="PA198" s="29"/>
      <c r="PB198" s="29"/>
      <c r="PC198" s="29"/>
      <c r="PD198" s="29"/>
      <c r="PE198" s="29"/>
      <c r="PF198" s="29"/>
      <c r="PG198" s="29"/>
      <c r="PH198" s="29"/>
      <c r="PI198" s="29"/>
      <c r="PJ198" s="29"/>
      <c r="PK198" s="29"/>
      <c r="PL198" s="29"/>
      <c r="PM198" s="29"/>
      <c r="PN198" s="29"/>
      <c r="PO198" s="29"/>
      <c r="PP198" s="29"/>
      <c r="PQ198" s="29"/>
      <c r="PR198" s="29"/>
      <c r="PS198" s="29"/>
      <c r="PT198" s="29"/>
      <c r="PU198" s="29"/>
      <c r="PV198" s="29"/>
      <c r="PW198" s="29"/>
      <c r="PX198" s="29"/>
      <c r="PY198" s="29"/>
      <c r="PZ198" s="29"/>
      <c r="QA198" s="29"/>
      <c r="QB198" s="29"/>
      <c r="QC198" s="29"/>
      <c r="QD198" s="29"/>
      <c r="QE198" s="29"/>
      <c r="QF198" s="29"/>
      <c r="QG198" s="29"/>
      <c r="QH198" s="29"/>
      <c r="QI198" s="29"/>
      <c r="QJ198" s="29"/>
      <c r="QK198" s="29"/>
      <c r="QL198" s="29"/>
      <c r="QM198" s="29"/>
      <c r="QN198" s="29"/>
      <c r="QO198" s="29"/>
      <c r="QP198" s="29"/>
      <c r="QQ198" s="29"/>
      <c r="QR198" s="29"/>
      <c r="QS198" s="29"/>
      <c r="QT198" s="29"/>
      <c r="QU198" s="29"/>
      <c r="QV198" s="29"/>
      <c r="QW198" s="29"/>
      <c r="QX198" s="29"/>
      <c r="QY198" s="29"/>
      <c r="QZ198" s="29"/>
      <c r="RA198" s="29"/>
      <c r="RB198" s="29"/>
      <c r="RC198" s="29"/>
      <c r="RD198" s="29"/>
      <c r="RE198" s="29"/>
      <c r="RF198" s="29"/>
      <c r="RG198" s="29"/>
      <c r="RH198" s="29"/>
      <c r="RI198" s="29"/>
      <c r="RJ198" s="29"/>
      <c r="RK198" s="29"/>
      <c r="RL198" s="29"/>
      <c r="RM198" s="29"/>
      <c r="RN198" s="29"/>
      <c r="RO198" s="29"/>
      <c r="RP198" s="29"/>
      <c r="RQ198" s="29"/>
      <c r="RR198" s="29"/>
      <c r="RS198" s="29"/>
      <c r="RT198" s="29"/>
      <c r="RU198" s="29"/>
      <c r="RV198" s="29"/>
      <c r="RW198" s="29"/>
      <c r="RX198" s="29"/>
      <c r="RY198" s="29"/>
      <c r="RZ198" s="29"/>
      <c r="SA198" s="29"/>
      <c r="SB198" s="29"/>
      <c r="SC198" s="29"/>
      <c r="SD198" s="29"/>
      <c r="SE198" s="29"/>
      <c r="SF198" s="29"/>
      <c r="SG198" s="29"/>
      <c r="SH198" s="29"/>
      <c r="SI198" s="29"/>
      <c r="SJ198" s="29"/>
      <c r="SK198" s="29"/>
      <c r="SL198" s="29"/>
      <c r="SM198" s="29"/>
      <c r="SN198" s="29"/>
      <c r="SO198" s="29"/>
      <c r="SP198" s="29"/>
      <c r="SQ198" s="29"/>
      <c r="SR198" s="29"/>
      <c r="SS198" s="29"/>
      <c r="ST198" s="29"/>
      <c r="SU198" s="29"/>
      <c r="SV198" s="29"/>
      <c r="SW198" s="29"/>
      <c r="SX198" s="29"/>
      <c r="SY198" s="29"/>
      <c r="SZ198" s="29"/>
      <c r="TA198" s="29"/>
      <c r="TB198" s="29"/>
      <c r="TC198" s="29"/>
      <c r="TD198" s="29"/>
      <c r="TE198" s="29"/>
      <c r="TF198" s="29"/>
      <c r="TG198" s="29"/>
      <c r="TH198" s="29"/>
      <c r="TI198" s="29"/>
      <c r="TJ198" s="29"/>
      <c r="TK198" s="29"/>
      <c r="TL198" s="29"/>
      <c r="TM198" s="29"/>
      <c r="TN198" s="29"/>
      <c r="TO198" s="29"/>
      <c r="TP198" s="29"/>
      <c r="TQ198" s="29"/>
      <c r="TR198" s="29"/>
      <c r="TS198" s="29"/>
      <c r="TT198" s="29"/>
      <c r="TU198" s="29"/>
      <c r="TV198" s="29"/>
      <c r="TW198" s="29"/>
      <c r="TX198" s="29"/>
      <c r="TY198" s="29"/>
      <c r="TZ198" s="29"/>
      <c r="UA198" s="29"/>
      <c r="UB198" s="29"/>
      <c r="UC198" s="29"/>
      <c r="UD198" s="29"/>
      <c r="UE198" s="29"/>
      <c r="UF198" s="29"/>
      <c r="UG198" s="29"/>
      <c r="UH198" s="29"/>
      <c r="UI198" s="29"/>
      <c r="UJ198" s="29"/>
      <c r="UK198" s="29"/>
      <c r="UL198" s="29"/>
      <c r="UM198" s="29"/>
      <c r="UN198" s="29"/>
      <c r="UO198" s="29"/>
      <c r="UP198" s="29"/>
      <c r="UQ198" s="29"/>
      <c r="UR198" s="29"/>
      <c r="US198" s="29"/>
      <c r="UT198" s="29"/>
      <c r="UU198" s="29"/>
      <c r="UV198" s="29"/>
      <c r="UW198" s="29"/>
      <c r="UX198" s="29"/>
      <c r="UY198" s="29"/>
      <c r="UZ198" s="29"/>
      <c r="VA198" s="29"/>
      <c r="VB198" s="29"/>
      <c r="VC198" s="29"/>
      <c r="VD198" s="29"/>
      <c r="VE198" s="29"/>
      <c r="VF198" s="29"/>
      <c r="VG198" s="29"/>
      <c r="VH198" s="29"/>
      <c r="VI198" s="29"/>
      <c r="VJ198" s="29"/>
      <c r="VK198" s="29"/>
      <c r="VL198" s="29"/>
      <c r="VM198" s="29"/>
      <c r="VN198" s="29"/>
      <c r="VO198" s="29"/>
      <c r="VP198" s="29"/>
      <c r="VQ198" s="29"/>
      <c r="VR198" s="29"/>
      <c r="VS198" s="29"/>
      <c r="VT198" s="29"/>
      <c r="VU198" s="29"/>
      <c r="VV198" s="29"/>
      <c r="VW198" s="29"/>
      <c r="VX198" s="29"/>
      <c r="VY198" s="29"/>
      <c r="VZ198" s="29"/>
      <c r="WA198" s="29"/>
      <c r="WB198" s="29"/>
      <c r="WC198" s="29"/>
      <c r="WD198" s="29"/>
      <c r="WE198" s="29"/>
      <c r="WF198" s="29"/>
      <c r="WG198" s="29"/>
      <c r="WH198" s="29"/>
      <c r="WI198" s="29"/>
      <c r="WJ198" s="29"/>
      <c r="WK198" s="29"/>
      <c r="WL198" s="29"/>
      <c r="WM198" s="29"/>
      <c r="WN198" s="29"/>
      <c r="WO198" s="29"/>
      <c r="WP198" s="29"/>
      <c r="WQ198" s="29"/>
      <c r="WR198" s="29"/>
      <c r="WS198" s="29"/>
    </row>
    <row r="199" spans="1:617" s="3" customFormat="1" ht="15" hidden="1" outlineLevel="1" thickBot="1">
      <c r="A199" s="33"/>
      <c r="B199" s="225" t="s">
        <v>246</v>
      </c>
      <c r="C199" s="226" t="s">
        <v>288</v>
      </c>
      <c r="D199" s="227">
        <v>46153</v>
      </c>
      <c r="E199" s="223">
        <f>D199+53</f>
        <v>46206</v>
      </c>
      <c r="F199" s="14"/>
      <c r="G199" s="14">
        <f>E199-D199</f>
        <v>53</v>
      </c>
      <c r="H199" s="29"/>
      <c r="I199" s="29"/>
      <c r="J199" s="29"/>
      <c r="K199" s="29"/>
      <c r="L199" s="29"/>
      <c r="M199" s="29"/>
      <c r="N199" s="29"/>
      <c r="O199" s="29"/>
      <c r="P199" s="29"/>
      <c r="Q199" s="29"/>
      <c r="R199" s="29"/>
      <c r="S199" s="29"/>
      <c r="T199" s="29"/>
      <c r="U199" s="29"/>
      <c r="V199" s="29"/>
      <c r="W199" s="29"/>
      <c r="X199" s="29"/>
      <c r="Y199" s="29"/>
      <c r="Z199" s="29"/>
      <c r="AA199" s="29"/>
      <c r="AB199" s="29"/>
      <c r="AC199" s="29"/>
      <c r="AD199" s="29"/>
      <c r="AE199" s="29"/>
      <c r="AF199" s="29"/>
      <c r="AG199" s="29"/>
      <c r="AH199" s="29"/>
      <c r="AI199" s="29"/>
      <c r="AJ199" s="29"/>
      <c r="AK199" s="29"/>
      <c r="AL199" s="29"/>
      <c r="AM199" s="29"/>
      <c r="AN199" s="29"/>
      <c r="AO199" s="29"/>
      <c r="AP199" s="29"/>
      <c r="AQ199" s="29"/>
      <c r="AR199" s="29"/>
      <c r="AS199" s="29"/>
      <c r="AT199" s="29"/>
      <c r="AU199" s="29"/>
      <c r="AV199" s="29"/>
      <c r="AW199" s="29"/>
      <c r="AX199" s="29"/>
      <c r="AY199" s="29"/>
      <c r="AZ199" s="29"/>
      <c r="BA199" s="29"/>
      <c r="BB199" s="29"/>
      <c r="BC199" s="29"/>
      <c r="BD199" s="29"/>
      <c r="BE199" s="29"/>
      <c r="BF199" s="29"/>
      <c r="BG199" s="29"/>
      <c r="BH199" s="29"/>
      <c r="BI199" s="29"/>
      <c r="BJ199" s="29"/>
      <c r="BK199" s="29"/>
      <c r="BL199" s="29"/>
      <c r="BM199" s="29"/>
      <c r="BN199" s="29"/>
      <c r="BO199" s="29"/>
      <c r="BP199" s="29"/>
      <c r="BQ199" s="29"/>
      <c r="BR199" s="29"/>
      <c r="BS199" s="29"/>
      <c r="BT199" s="29"/>
      <c r="BU199" s="29"/>
      <c r="BV199" s="29"/>
      <c r="BW199" s="29"/>
      <c r="BX199" s="29"/>
      <c r="BY199" s="29"/>
      <c r="BZ199" s="29"/>
      <c r="CA199" s="29"/>
      <c r="CB199" s="29"/>
      <c r="CC199" s="29"/>
      <c r="CD199" s="29"/>
      <c r="CE199" s="29"/>
      <c r="CF199" s="29"/>
      <c r="CG199" s="29"/>
      <c r="CH199" s="29"/>
      <c r="CI199" s="29"/>
      <c r="CJ199" s="29"/>
      <c r="CK199" s="29"/>
      <c r="CL199" s="29"/>
      <c r="CM199" s="29"/>
      <c r="CN199" s="29"/>
      <c r="CO199" s="29"/>
      <c r="CP199" s="29"/>
      <c r="CQ199" s="29"/>
      <c r="CR199" s="29"/>
      <c r="CS199" s="29"/>
      <c r="CT199" s="29"/>
      <c r="CU199" s="29"/>
      <c r="CV199" s="29"/>
      <c r="CW199" s="29"/>
      <c r="CX199" s="29"/>
      <c r="CY199" s="29"/>
      <c r="CZ199" s="29"/>
      <c r="DA199" s="29"/>
      <c r="DB199" s="29"/>
      <c r="DC199" s="29"/>
      <c r="DD199" s="29"/>
      <c r="DE199" s="29"/>
      <c r="DF199" s="29"/>
      <c r="DG199" s="29"/>
      <c r="DH199" s="29"/>
      <c r="DI199" s="29"/>
      <c r="DJ199" s="29"/>
      <c r="DK199" s="29"/>
      <c r="DL199" s="29"/>
      <c r="DM199" s="29"/>
      <c r="DN199" s="29"/>
      <c r="DO199" s="29"/>
      <c r="DP199" s="29"/>
      <c r="DQ199" s="29"/>
      <c r="DR199" s="29"/>
      <c r="DS199" s="29"/>
      <c r="DT199" s="29"/>
      <c r="DU199" s="29"/>
      <c r="DV199" s="29"/>
      <c r="DW199" s="29"/>
      <c r="DX199" s="29"/>
      <c r="DY199" s="29"/>
      <c r="DZ199" s="29"/>
      <c r="EA199" s="29"/>
      <c r="EB199" s="29"/>
      <c r="EC199" s="29"/>
      <c r="ED199" s="29"/>
      <c r="EE199" s="29"/>
      <c r="EF199" s="29"/>
      <c r="EG199" s="29"/>
      <c r="EH199" s="29"/>
      <c r="EI199" s="29"/>
      <c r="EJ199" s="29"/>
      <c r="EK199" s="29"/>
      <c r="EL199" s="29"/>
      <c r="EM199" s="29"/>
      <c r="EN199" s="29"/>
      <c r="EO199" s="29"/>
      <c r="EP199" s="29"/>
      <c r="EQ199" s="29"/>
      <c r="ER199" s="29"/>
      <c r="ES199" s="29"/>
      <c r="ET199" s="29"/>
      <c r="EU199" s="29"/>
      <c r="EV199" s="29"/>
      <c r="EW199" s="29"/>
      <c r="EX199" s="29"/>
      <c r="EY199" s="29"/>
      <c r="EZ199" s="29"/>
      <c r="FA199" s="29"/>
      <c r="FB199" s="29"/>
      <c r="FC199" s="29"/>
      <c r="FD199" s="29"/>
      <c r="FE199" s="29"/>
      <c r="FF199" s="29"/>
      <c r="FG199" s="29"/>
      <c r="FH199" s="29"/>
      <c r="FI199" s="29"/>
      <c r="FJ199" s="29"/>
      <c r="FK199" s="29"/>
      <c r="FL199" s="29"/>
      <c r="FM199" s="29"/>
      <c r="FN199" s="29"/>
      <c r="FO199" s="29"/>
      <c r="FP199" s="29"/>
      <c r="FQ199" s="29"/>
      <c r="FR199" s="29"/>
      <c r="FS199" s="29"/>
      <c r="FT199" s="29"/>
      <c r="FU199" s="29"/>
      <c r="FV199" s="29"/>
      <c r="FW199" s="29"/>
      <c r="FX199" s="29"/>
      <c r="FY199" s="29"/>
      <c r="FZ199" s="29"/>
      <c r="GA199" s="29"/>
      <c r="GB199" s="29"/>
      <c r="GC199" s="29"/>
      <c r="GD199" s="29"/>
      <c r="GE199" s="29"/>
      <c r="GF199" s="29"/>
      <c r="GG199" s="29"/>
      <c r="GH199" s="29"/>
      <c r="GI199" s="29"/>
      <c r="GJ199" s="29"/>
      <c r="GK199" s="29"/>
      <c r="GL199" s="29"/>
      <c r="GM199" s="29"/>
      <c r="GN199" s="29"/>
      <c r="GO199" s="29"/>
      <c r="GP199" s="29"/>
      <c r="GQ199" s="29"/>
      <c r="GR199" s="29"/>
      <c r="GS199" s="29"/>
      <c r="GT199" s="29"/>
      <c r="GU199" s="29"/>
      <c r="GV199" s="29"/>
      <c r="GW199" s="29"/>
      <c r="GX199" s="29"/>
      <c r="GY199" s="29"/>
      <c r="GZ199" s="29"/>
      <c r="HA199" s="29"/>
      <c r="HB199" s="29"/>
      <c r="HC199" s="29"/>
      <c r="HD199" s="29"/>
      <c r="HE199" s="29"/>
      <c r="HF199" s="29"/>
      <c r="HG199" s="29"/>
      <c r="HH199" s="29"/>
      <c r="HI199" s="29"/>
      <c r="HJ199" s="29"/>
      <c r="HK199" s="29"/>
      <c r="HL199" s="29"/>
      <c r="HM199" s="29"/>
      <c r="HN199" s="29"/>
      <c r="HO199" s="29"/>
      <c r="HP199" s="29"/>
      <c r="HQ199" s="29"/>
      <c r="HR199" s="29"/>
      <c r="HS199" s="29"/>
      <c r="HT199" s="29"/>
      <c r="HU199" s="29"/>
      <c r="HV199" s="29"/>
      <c r="HW199" s="29"/>
      <c r="HX199" s="29"/>
      <c r="HY199" s="29"/>
      <c r="HZ199" s="29"/>
      <c r="IA199" s="29"/>
      <c r="IB199" s="29"/>
      <c r="IC199" s="29"/>
      <c r="ID199" s="29"/>
      <c r="IE199" s="29"/>
      <c r="IF199" s="29"/>
      <c r="IG199" s="29"/>
      <c r="IH199" s="29"/>
      <c r="II199" s="29"/>
      <c r="IJ199" s="29"/>
      <c r="IK199" s="29"/>
      <c r="IL199" s="29"/>
      <c r="IM199" s="29"/>
      <c r="IN199" s="29"/>
      <c r="IO199" s="29"/>
      <c r="IP199" s="29"/>
      <c r="IQ199" s="29"/>
      <c r="IR199" s="29"/>
      <c r="IS199" s="29"/>
      <c r="IT199" s="29"/>
      <c r="IU199" s="29"/>
      <c r="IV199" s="29"/>
      <c r="IW199" s="29"/>
      <c r="IX199" s="29"/>
      <c r="IY199" s="29"/>
      <c r="IZ199" s="29"/>
      <c r="JA199" s="29"/>
      <c r="JB199" s="29"/>
      <c r="JC199" s="29"/>
      <c r="JD199" s="29"/>
      <c r="JE199" s="29"/>
      <c r="JF199" s="29"/>
      <c r="JG199" s="29"/>
      <c r="JH199" s="29"/>
      <c r="JI199" s="29"/>
      <c r="JJ199" s="29"/>
      <c r="JK199" s="29"/>
      <c r="JL199" s="29"/>
      <c r="JM199" s="29"/>
      <c r="JN199" s="29"/>
      <c r="JO199" s="29"/>
      <c r="JP199" s="29"/>
      <c r="JQ199" s="29"/>
      <c r="JR199" s="29"/>
      <c r="JS199" s="29"/>
      <c r="JT199" s="29"/>
      <c r="JU199" s="29"/>
      <c r="JV199" s="29"/>
      <c r="JW199" s="29"/>
      <c r="JX199" s="29"/>
      <c r="JY199" s="29"/>
      <c r="JZ199" s="29"/>
      <c r="KA199" s="29"/>
      <c r="KB199" s="29"/>
      <c r="KC199" s="29"/>
      <c r="KD199" s="29"/>
      <c r="KE199" s="29"/>
      <c r="KF199" s="29"/>
      <c r="KG199" s="29"/>
      <c r="KH199" s="29"/>
      <c r="KI199" s="29"/>
      <c r="KJ199" s="29"/>
      <c r="KK199" s="29"/>
      <c r="KL199" s="29"/>
      <c r="KM199" s="29"/>
      <c r="KN199" s="29"/>
      <c r="KO199" s="29"/>
      <c r="KP199" s="29"/>
      <c r="KQ199" s="29"/>
      <c r="KR199" s="29"/>
      <c r="KS199" s="29"/>
      <c r="KT199" s="29"/>
      <c r="KU199" s="29"/>
      <c r="KV199" s="29"/>
      <c r="KW199" s="29"/>
      <c r="KX199" s="29"/>
      <c r="KY199" s="29"/>
      <c r="KZ199" s="29"/>
      <c r="LA199" s="29"/>
      <c r="LB199" s="29"/>
      <c r="LC199" s="29"/>
      <c r="LD199" s="29"/>
      <c r="LE199" s="29"/>
      <c r="LF199" s="29"/>
      <c r="LG199" s="29"/>
      <c r="LH199" s="29"/>
      <c r="LI199" s="29"/>
      <c r="LJ199" s="29"/>
      <c r="LK199" s="29"/>
      <c r="LL199" s="29"/>
      <c r="LM199" s="29"/>
      <c r="LN199" s="29"/>
      <c r="LO199" s="29"/>
      <c r="LP199" s="29"/>
      <c r="LQ199" s="29"/>
      <c r="LR199" s="29"/>
      <c r="LS199" s="29"/>
      <c r="LT199" s="29"/>
      <c r="LU199" s="29"/>
      <c r="LV199" s="29"/>
      <c r="LW199" s="29"/>
      <c r="LX199" s="29"/>
      <c r="LY199" s="29"/>
      <c r="LZ199" s="29"/>
      <c r="MA199" s="29"/>
      <c r="MB199" s="29"/>
      <c r="MC199" s="29"/>
      <c r="MD199" s="29"/>
      <c r="ME199" s="29"/>
      <c r="MF199" s="29"/>
      <c r="MG199" s="29"/>
      <c r="MH199" s="29"/>
      <c r="MI199" s="29"/>
      <c r="MJ199" s="29"/>
      <c r="MK199" s="29"/>
      <c r="ML199" s="29"/>
      <c r="MM199" s="29"/>
      <c r="MN199" s="29"/>
      <c r="MO199" s="29"/>
      <c r="MP199" s="29"/>
      <c r="MQ199" s="29"/>
      <c r="MR199" s="29"/>
      <c r="MS199" s="29"/>
      <c r="MT199" s="29"/>
      <c r="MU199" s="29"/>
      <c r="MV199" s="29"/>
      <c r="MW199" s="29"/>
      <c r="MX199" s="29"/>
      <c r="MY199" s="29"/>
      <c r="MZ199" s="29"/>
      <c r="NA199" s="29"/>
      <c r="NB199" s="29"/>
      <c r="NC199" s="29"/>
      <c r="ND199" s="29"/>
      <c r="NE199" s="29"/>
      <c r="NF199" s="29"/>
      <c r="NG199" s="29"/>
      <c r="NH199" s="29"/>
      <c r="NI199" s="29"/>
      <c r="NJ199" s="29"/>
      <c r="NK199" s="29"/>
      <c r="NL199" s="29"/>
      <c r="NM199" s="29"/>
      <c r="NN199" s="29"/>
      <c r="NO199" s="29"/>
      <c r="NP199" s="29"/>
      <c r="NQ199" s="29"/>
      <c r="NR199" s="29"/>
      <c r="NS199" s="29"/>
      <c r="NT199" s="29"/>
      <c r="NU199" s="29"/>
      <c r="NV199" s="29"/>
      <c r="NW199" s="29"/>
      <c r="NX199" s="29"/>
      <c r="NY199" s="29"/>
      <c r="NZ199" s="29"/>
      <c r="OA199" s="29"/>
      <c r="OB199" s="29"/>
      <c r="OC199" s="29"/>
      <c r="OD199" s="29"/>
      <c r="OE199" s="29"/>
      <c r="OF199" s="29"/>
      <c r="OG199" s="29"/>
      <c r="OH199" s="29"/>
      <c r="OI199" s="29"/>
      <c r="OJ199" s="29"/>
      <c r="OK199" s="29"/>
      <c r="OL199" s="29"/>
      <c r="OM199" s="29"/>
      <c r="ON199" s="29"/>
      <c r="OO199" s="29"/>
      <c r="OP199" s="29"/>
      <c r="OQ199" s="29"/>
      <c r="OR199" s="29"/>
      <c r="OS199" s="29"/>
      <c r="OT199" s="29"/>
      <c r="OU199" s="29"/>
      <c r="OV199" s="29"/>
      <c r="OW199" s="29"/>
      <c r="OX199" s="29"/>
      <c r="OY199" s="29"/>
      <c r="OZ199" s="29"/>
      <c r="PA199" s="29"/>
      <c r="PB199" s="29"/>
      <c r="PC199" s="29"/>
      <c r="PD199" s="29"/>
      <c r="PE199" s="29"/>
      <c r="PF199" s="29"/>
      <c r="PG199" s="29"/>
      <c r="PH199" s="29"/>
      <c r="PI199" s="29"/>
      <c r="PJ199" s="29"/>
      <c r="PK199" s="29"/>
      <c r="PL199" s="29"/>
      <c r="PM199" s="29"/>
      <c r="PN199" s="29"/>
      <c r="PO199" s="29"/>
      <c r="PP199" s="29"/>
      <c r="PQ199" s="29"/>
      <c r="PR199" s="29"/>
      <c r="PS199" s="29"/>
      <c r="PT199" s="29"/>
      <c r="PU199" s="29"/>
      <c r="PV199" s="29"/>
      <c r="PW199" s="29"/>
      <c r="PX199" s="29"/>
      <c r="PY199" s="29"/>
      <c r="PZ199" s="29"/>
      <c r="QA199" s="29"/>
      <c r="QB199" s="29"/>
      <c r="QC199" s="29"/>
      <c r="QD199" s="29"/>
      <c r="QE199" s="29"/>
      <c r="QF199" s="29"/>
      <c r="QG199" s="29"/>
      <c r="QH199" s="29"/>
      <c r="QI199" s="29"/>
      <c r="QJ199" s="29"/>
      <c r="QK199" s="29"/>
      <c r="QL199" s="29"/>
      <c r="QM199" s="29"/>
      <c r="QN199" s="29"/>
      <c r="QO199" s="29"/>
      <c r="QP199" s="29"/>
      <c r="QQ199" s="29"/>
      <c r="QR199" s="29"/>
      <c r="QS199" s="29"/>
      <c r="QT199" s="29"/>
      <c r="QU199" s="29"/>
      <c r="QV199" s="29"/>
      <c r="QW199" s="29"/>
      <c r="QX199" s="29"/>
      <c r="QY199" s="29"/>
      <c r="QZ199" s="29"/>
      <c r="RA199" s="29"/>
      <c r="RB199" s="29"/>
      <c r="RC199" s="29"/>
      <c r="RD199" s="29"/>
      <c r="RE199" s="29"/>
      <c r="RF199" s="29"/>
      <c r="RG199" s="29"/>
      <c r="RH199" s="29"/>
      <c r="RI199" s="29"/>
      <c r="RJ199" s="29"/>
      <c r="RK199" s="29"/>
      <c r="RL199" s="29"/>
      <c r="RM199" s="29"/>
      <c r="RN199" s="29"/>
      <c r="RO199" s="29"/>
      <c r="RP199" s="29"/>
      <c r="RQ199" s="29"/>
      <c r="RR199" s="29"/>
      <c r="RS199" s="29"/>
      <c r="RT199" s="29"/>
      <c r="RU199" s="29"/>
      <c r="RV199" s="29"/>
      <c r="RW199" s="29"/>
      <c r="RX199" s="29"/>
      <c r="RY199" s="29"/>
      <c r="RZ199" s="29"/>
      <c r="SA199" s="29"/>
      <c r="SB199" s="29"/>
      <c r="SC199" s="29"/>
      <c r="SD199" s="29"/>
      <c r="SE199" s="29"/>
      <c r="SF199" s="29"/>
      <c r="SG199" s="29"/>
      <c r="SH199" s="29"/>
      <c r="SI199" s="29"/>
      <c r="SJ199" s="29"/>
      <c r="SK199" s="29"/>
      <c r="SL199" s="29"/>
      <c r="SM199" s="29"/>
      <c r="SN199" s="29"/>
      <c r="SO199" s="29"/>
      <c r="SP199" s="29"/>
      <c r="SQ199" s="29"/>
      <c r="SR199" s="29"/>
      <c r="SS199" s="29"/>
      <c r="ST199" s="29"/>
      <c r="SU199" s="29"/>
      <c r="SV199" s="29"/>
      <c r="SW199" s="29"/>
      <c r="SX199" s="29"/>
      <c r="SY199" s="29"/>
      <c r="SZ199" s="29"/>
      <c r="TA199" s="29"/>
      <c r="TB199" s="29"/>
      <c r="TC199" s="29"/>
      <c r="TD199" s="29"/>
      <c r="TE199" s="29"/>
      <c r="TF199" s="29"/>
      <c r="TG199" s="29"/>
      <c r="TH199" s="29"/>
      <c r="TI199" s="29"/>
      <c r="TJ199" s="29"/>
      <c r="TK199" s="29"/>
      <c r="TL199" s="29"/>
      <c r="TM199" s="29"/>
      <c r="TN199" s="29"/>
      <c r="TO199" s="29"/>
      <c r="TP199" s="29"/>
      <c r="TQ199" s="29"/>
      <c r="TR199" s="29"/>
      <c r="TS199" s="29"/>
      <c r="TT199" s="29"/>
      <c r="TU199" s="29"/>
      <c r="TV199" s="29"/>
      <c r="TW199" s="29"/>
      <c r="TX199" s="29"/>
      <c r="TY199" s="29"/>
      <c r="TZ199" s="29"/>
      <c r="UA199" s="29"/>
      <c r="UB199" s="29"/>
      <c r="UC199" s="29"/>
      <c r="UD199" s="29"/>
      <c r="UE199" s="29"/>
      <c r="UF199" s="29"/>
      <c r="UG199" s="29"/>
      <c r="UH199" s="29"/>
      <c r="UI199" s="29"/>
      <c r="UJ199" s="29"/>
      <c r="UK199" s="29"/>
      <c r="UL199" s="29"/>
      <c r="UM199" s="29"/>
      <c r="UN199" s="29"/>
      <c r="UO199" s="29"/>
      <c r="UP199" s="29"/>
      <c r="UQ199" s="29"/>
      <c r="UR199" s="29"/>
      <c r="US199" s="29"/>
      <c r="UT199" s="29"/>
      <c r="UU199" s="29"/>
      <c r="UV199" s="29"/>
      <c r="UW199" s="29"/>
      <c r="UX199" s="29"/>
      <c r="UY199" s="29"/>
      <c r="UZ199" s="29"/>
      <c r="VA199" s="29"/>
      <c r="VB199" s="29"/>
      <c r="VC199" s="29"/>
      <c r="VD199" s="29"/>
      <c r="VE199" s="29"/>
      <c r="VF199" s="29"/>
      <c r="VG199" s="29"/>
      <c r="VH199" s="29"/>
      <c r="VI199" s="29"/>
      <c r="VJ199" s="29"/>
      <c r="VK199" s="29"/>
      <c r="VL199" s="29"/>
      <c r="VM199" s="29"/>
      <c r="VN199" s="29"/>
      <c r="VO199" s="29"/>
      <c r="VP199" s="29"/>
      <c r="VQ199" s="29"/>
      <c r="VR199" s="29"/>
      <c r="VS199" s="29"/>
      <c r="VT199" s="29"/>
      <c r="VU199" s="29"/>
      <c r="VV199" s="29"/>
      <c r="VW199" s="29"/>
      <c r="VX199" s="29"/>
      <c r="VY199" s="29"/>
      <c r="VZ199" s="29"/>
      <c r="WA199" s="29"/>
      <c r="WB199" s="29"/>
      <c r="WC199" s="29"/>
      <c r="WD199" s="29"/>
      <c r="WE199" s="29"/>
      <c r="WF199" s="29"/>
      <c r="WG199" s="29"/>
      <c r="WH199" s="29"/>
      <c r="WI199" s="29"/>
      <c r="WJ199" s="29"/>
      <c r="WK199" s="29"/>
      <c r="WL199" s="29"/>
      <c r="WM199" s="29"/>
      <c r="WN199" s="29"/>
      <c r="WO199" s="29"/>
      <c r="WP199" s="29"/>
      <c r="WQ199" s="29"/>
      <c r="WR199" s="29"/>
      <c r="WS199" s="29"/>
    </row>
    <row r="200" spans="1:617" s="3" customFormat="1" ht="15" outlineLevel="1" thickBot="1">
      <c r="A200" s="33"/>
      <c r="B200" s="225" t="s">
        <v>247</v>
      </c>
      <c r="C200" s="226" t="s">
        <v>291</v>
      </c>
      <c r="D200" s="223">
        <v>46209</v>
      </c>
      <c r="E200" s="227">
        <f>D200+G200</f>
        <v>46262</v>
      </c>
      <c r="F200" s="14"/>
      <c r="G200" s="14">
        <v>53</v>
      </c>
      <c r="H200" s="29"/>
      <c r="I200" s="29"/>
      <c r="J200" s="29"/>
      <c r="K200" s="29"/>
      <c r="L200" s="29"/>
      <c r="M200" s="29"/>
      <c r="N200" s="29"/>
      <c r="O200" s="29"/>
      <c r="P200" s="29"/>
      <c r="Q200" s="29"/>
      <c r="R200" s="29"/>
      <c r="S200" s="29"/>
      <c r="T200" s="29"/>
      <c r="U200" s="29"/>
      <c r="V200" s="29"/>
      <c r="W200" s="29"/>
      <c r="X200" s="29"/>
      <c r="Y200" s="29"/>
      <c r="Z200" s="29"/>
      <c r="AA200" s="29"/>
      <c r="AB200" s="29"/>
      <c r="AC200" s="29"/>
      <c r="AD200" s="29"/>
      <c r="AE200" s="29"/>
      <c r="AF200" s="29"/>
      <c r="AG200" s="29"/>
      <c r="AH200" s="29"/>
      <c r="AI200" s="29"/>
      <c r="AJ200" s="29"/>
      <c r="AK200" s="29"/>
      <c r="AL200" s="29"/>
      <c r="AM200" s="29"/>
      <c r="AN200" s="29"/>
      <c r="AO200" s="29"/>
      <c r="AP200" s="29"/>
      <c r="AQ200" s="29"/>
      <c r="AR200" s="29"/>
      <c r="AS200" s="29"/>
      <c r="AT200" s="29"/>
      <c r="AU200" s="29"/>
      <c r="AV200" s="29"/>
      <c r="AW200" s="29"/>
      <c r="AX200" s="29"/>
      <c r="AY200" s="29"/>
      <c r="AZ200" s="29"/>
      <c r="BA200" s="29"/>
      <c r="BB200" s="29"/>
      <c r="BC200" s="29"/>
      <c r="BD200" s="29"/>
      <c r="BE200" s="29"/>
      <c r="BF200" s="29"/>
      <c r="BG200" s="29"/>
      <c r="BH200" s="29"/>
      <c r="BI200" s="29"/>
      <c r="BJ200" s="29"/>
      <c r="BK200" s="29"/>
      <c r="BL200" s="29"/>
      <c r="BM200" s="29"/>
      <c r="BN200" s="29"/>
      <c r="BO200" s="29"/>
      <c r="BP200" s="29"/>
      <c r="BQ200" s="29"/>
      <c r="BR200" s="29"/>
      <c r="BS200" s="29"/>
      <c r="BT200" s="29"/>
      <c r="BU200" s="29"/>
      <c r="BV200" s="29"/>
      <c r="BW200" s="29"/>
      <c r="BX200" s="29"/>
      <c r="BY200" s="29"/>
      <c r="BZ200" s="29"/>
      <c r="CA200" s="29"/>
      <c r="CB200" s="29"/>
      <c r="CC200" s="29"/>
      <c r="CD200" s="29"/>
      <c r="CE200" s="29"/>
      <c r="CF200" s="29"/>
      <c r="CG200" s="29"/>
      <c r="CH200" s="29"/>
      <c r="CI200" s="29"/>
      <c r="CJ200" s="29"/>
      <c r="CK200" s="29"/>
      <c r="CL200" s="29"/>
      <c r="CM200" s="29"/>
      <c r="CN200" s="29"/>
      <c r="CO200" s="29"/>
      <c r="CP200" s="29"/>
      <c r="CQ200" s="29"/>
      <c r="CR200" s="29"/>
      <c r="CS200" s="29"/>
      <c r="CT200" s="29"/>
      <c r="CU200" s="29"/>
      <c r="CV200" s="29"/>
      <c r="CW200" s="29"/>
      <c r="CX200" s="29"/>
      <c r="CY200" s="29"/>
      <c r="CZ200" s="29"/>
      <c r="DA200" s="29"/>
      <c r="DB200" s="29"/>
      <c r="DC200" s="29"/>
      <c r="DD200" s="29"/>
      <c r="DE200" s="29"/>
      <c r="DF200" s="29"/>
      <c r="DG200" s="29"/>
      <c r="DH200" s="29"/>
      <c r="DI200" s="29"/>
      <c r="DJ200" s="29"/>
      <c r="DK200" s="29"/>
      <c r="DL200" s="29"/>
      <c r="DM200" s="29"/>
      <c r="DN200" s="29"/>
      <c r="DO200" s="29"/>
      <c r="DP200" s="29"/>
      <c r="DQ200" s="29"/>
      <c r="DR200" s="29"/>
      <c r="DS200" s="29"/>
      <c r="DT200" s="29"/>
      <c r="DU200" s="29"/>
      <c r="DV200" s="29"/>
      <c r="DW200" s="29"/>
      <c r="DX200" s="29"/>
      <c r="DY200" s="29"/>
      <c r="DZ200" s="29"/>
      <c r="EA200" s="29"/>
      <c r="EB200" s="29"/>
      <c r="EC200" s="29"/>
      <c r="ED200" s="29"/>
      <c r="EE200" s="29"/>
      <c r="EF200" s="29"/>
      <c r="EG200" s="29"/>
      <c r="EH200" s="29"/>
      <c r="EI200" s="29"/>
      <c r="EJ200" s="29"/>
      <c r="EK200" s="29"/>
      <c r="EL200" s="29"/>
      <c r="EM200" s="29"/>
      <c r="EN200" s="29"/>
      <c r="EO200" s="29"/>
      <c r="EP200" s="29"/>
      <c r="EQ200" s="29"/>
      <c r="ER200" s="29"/>
      <c r="ES200" s="29"/>
      <c r="ET200" s="29"/>
      <c r="EU200" s="29"/>
      <c r="EV200" s="29"/>
      <c r="EW200" s="29"/>
      <c r="EX200" s="29"/>
      <c r="EY200" s="29"/>
      <c r="EZ200" s="29"/>
      <c r="FA200" s="29"/>
      <c r="FB200" s="29"/>
      <c r="FC200" s="29"/>
      <c r="FD200" s="29"/>
      <c r="FE200" s="29"/>
      <c r="FF200" s="29"/>
      <c r="FG200" s="29"/>
      <c r="FH200" s="29"/>
      <c r="FI200" s="29"/>
      <c r="FJ200" s="29"/>
      <c r="FK200" s="29"/>
      <c r="FL200" s="29"/>
      <c r="FM200" s="29"/>
      <c r="FN200" s="29"/>
      <c r="FO200" s="29"/>
      <c r="FP200" s="29"/>
      <c r="FQ200" s="29"/>
      <c r="FR200" s="29"/>
      <c r="FS200" s="29"/>
      <c r="FT200" s="29"/>
      <c r="FU200" s="29"/>
      <c r="FV200" s="29"/>
      <c r="FW200" s="29"/>
      <c r="FX200" s="29"/>
      <c r="FY200" s="29"/>
      <c r="FZ200" s="29"/>
      <c r="GA200" s="29"/>
      <c r="GB200" s="29"/>
      <c r="GC200" s="29"/>
      <c r="GD200" s="29"/>
      <c r="GE200" s="29"/>
      <c r="GF200" s="29"/>
      <c r="GG200" s="29"/>
      <c r="GH200" s="29"/>
      <c r="GI200" s="29"/>
      <c r="GJ200" s="29"/>
      <c r="GK200" s="29"/>
      <c r="GL200" s="29"/>
      <c r="GM200" s="29"/>
      <c r="GN200" s="29"/>
      <c r="GO200" s="29"/>
      <c r="GP200" s="29"/>
      <c r="GQ200" s="29"/>
      <c r="GR200" s="29"/>
      <c r="GS200" s="29"/>
      <c r="GT200" s="29"/>
      <c r="GU200" s="29"/>
      <c r="GV200" s="29"/>
      <c r="GW200" s="29"/>
      <c r="GX200" s="29"/>
      <c r="GY200" s="29"/>
      <c r="GZ200" s="29"/>
      <c r="HA200" s="29"/>
      <c r="HB200" s="29"/>
      <c r="HC200" s="29"/>
      <c r="HD200" s="29"/>
      <c r="HE200" s="29"/>
      <c r="HF200" s="29"/>
      <c r="HG200" s="29"/>
      <c r="HH200" s="29"/>
      <c r="HI200" s="29"/>
      <c r="HJ200" s="29"/>
      <c r="HK200" s="29"/>
      <c r="HL200" s="29"/>
      <c r="HM200" s="29"/>
      <c r="HN200" s="29"/>
      <c r="HO200" s="29"/>
      <c r="HP200" s="29"/>
      <c r="HQ200" s="29"/>
      <c r="HR200" s="29"/>
      <c r="HS200" s="29"/>
      <c r="HT200" s="29"/>
      <c r="HU200" s="29"/>
      <c r="HV200" s="29"/>
      <c r="HW200" s="29"/>
      <c r="HX200" s="29"/>
      <c r="HY200" s="29"/>
      <c r="HZ200" s="29"/>
      <c r="IA200" s="29"/>
      <c r="IB200" s="29"/>
      <c r="IC200" s="29"/>
      <c r="ID200" s="29"/>
      <c r="IE200" s="29"/>
      <c r="IF200" s="29"/>
      <c r="IG200" s="29"/>
      <c r="IH200" s="29"/>
      <c r="II200" s="29"/>
      <c r="IJ200" s="29"/>
      <c r="IK200" s="29"/>
      <c r="IL200" s="29"/>
      <c r="IM200" s="29"/>
      <c r="IN200" s="29"/>
      <c r="IO200" s="29"/>
      <c r="IP200" s="29"/>
      <c r="IQ200" s="29"/>
      <c r="IR200" s="29"/>
      <c r="IS200" s="29"/>
      <c r="IT200" s="29"/>
      <c r="IU200" s="29"/>
      <c r="IV200" s="29"/>
      <c r="IW200" s="29"/>
      <c r="IX200" s="29"/>
      <c r="IY200" s="29"/>
      <c r="IZ200" s="29"/>
      <c r="JA200" s="29"/>
      <c r="JB200" s="29"/>
      <c r="JC200" s="29"/>
      <c r="JD200" s="29"/>
      <c r="JE200" s="29"/>
      <c r="JF200" s="29"/>
      <c r="JG200" s="29"/>
      <c r="JH200" s="29"/>
      <c r="JI200" s="29"/>
      <c r="JJ200" s="29"/>
      <c r="JK200" s="29"/>
      <c r="JL200" s="29"/>
      <c r="JM200" s="29"/>
      <c r="JN200" s="29"/>
      <c r="JO200" s="29"/>
      <c r="JP200" s="29"/>
      <c r="JQ200" s="29"/>
      <c r="JR200" s="29"/>
      <c r="JS200" s="29"/>
      <c r="JT200" s="29"/>
      <c r="JU200" s="29"/>
      <c r="JV200" s="29"/>
      <c r="JW200" s="29"/>
      <c r="JX200" s="29"/>
      <c r="JY200" s="29"/>
      <c r="JZ200" s="29"/>
      <c r="KA200" s="29"/>
      <c r="KB200" s="29"/>
      <c r="KC200" s="29"/>
      <c r="KD200" s="29"/>
      <c r="KE200" s="29"/>
      <c r="KF200" s="29"/>
      <c r="KG200" s="29"/>
      <c r="KH200" s="29"/>
      <c r="KI200" s="29"/>
      <c r="KJ200" s="29"/>
      <c r="KK200" s="29"/>
      <c r="KL200" s="29"/>
      <c r="KM200" s="29"/>
      <c r="KN200" s="29"/>
      <c r="KO200" s="29"/>
      <c r="KP200" s="29"/>
      <c r="KQ200" s="29"/>
      <c r="KR200" s="29"/>
      <c r="KS200" s="29"/>
      <c r="KT200" s="29"/>
      <c r="KU200" s="29"/>
      <c r="KV200" s="29"/>
      <c r="KW200" s="29"/>
      <c r="KX200" s="29"/>
      <c r="KY200" s="29"/>
      <c r="KZ200" s="29"/>
      <c r="LA200" s="29"/>
      <c r="LB200" s="29"/>
      <c r="LC200" s="29"/>
      <c r="LD200" s="29"/>
      <c r="LE200" s="29"/>
      <c r="LF200" s="29"/>
      <c r="LG200" s="29"/>
      <c r="LH200" s="29"/>
      <c r="LI200" s="29"/>
      <c r="LJ200" s="29"/>
      <c r="LK200" s="29"/>
      <c r="LL200" s="29"/>
      <c r="LM200" s="29"/>
      <c r="LN200" s="29"/>
      <c r="LO200" s="29"/>
      <c r="LP200" s="29"/>
      <c r="LQ200" s="29"/>
      <c r="LR200" s="29"/>
      <c r="LS200" s="29"/>
      <c r="LT200" s="29"/>
      <c r="LU200" s="29"/>
      <c r="LV200" s="29"/>
      <c r="LW200" s="29"/>
      <c r="LX200" s="29"/>
      <c r="LY200" s="29"/>
      <c r="LZ200" s="29"/>
      <c r="MA200" s="29"/>
      <c r="MB200" s="29"/>
      <c r="MC200" s="29"/>
      <c r="MD200" s="29"/>
      <c r="ME200" s="29"/>
      <c r="MF200" s="29"/>
      <c r="MG200" s="29"/>
      <c r="MH200" s="29"/>
      <c r="MI200" s="29"/>
      <c r="MJ200" s="29"/>
      <c r="MK200" s="29"/>
      <c r="ML200" s="29"/>
      <c r="MM200" s="29"/>
      <c r="MN200" s="29"/>
      <c r="MO200" s="29"/>
      <c r="MP200" s="29"/>
      <c r="MQ200" s="29"/>
      <c r="MR200" s="29"/>
      <c r="MS200" s="29"/>
      <c r="MT200" s="29"/>
      <c r="MU200" s="29"/>
      <c r="MV200" s="29"/>
      <c r="MW200" s="29"/>
      <c r="MX200" s="29"/>
      <c r="MY200" s="29"/>
      <c r="MZ200" s="29"/>
      <c r="NA200" s="29"/>
      <c r="NB200" s="29"/>
      <c r="NC200" s="29"/>
      <c r="ND200" s="29"/>
      <c r="NE200" s="29"/>
      <c r="NF200" s="29"/>
      <c r="NG200" s="29"/>
      <c r="NH200" s="29"/>
      <c r="NI200" s="29"/>
      <c r="NJ200" s="29"/>
      <c r="NK200" s="29"/>
      <c r="NL200" s="29"/>
      <c r="NM200" s="29"/>
      <c r="NN200" s="29"/>
      <c r="NO200" s="29"/>
      <c r="NP200" s="29"/>
      <c r="NQ200" s="29"/>
      <c r="NR200" s="29"/>
      <c r="NS200" s="29"/>
      <c r="NT200" s="29"/>
      <c r="NU200" s="29"/>
      <c r="NV200" s="29"/>
      <c r="NW200" s="29"/>
      <c r="NX200" s="29"/>
      <c r="NY200" s="29"/>
      <c r="NZ200" s="29"/>
      <c r="OA200" s="29"/>
      <c r="OB200" s="29"/>
      <c r="OC200" s="29"/>
      <c r="OD200" s="29"/>
      <c r="OE200" s="29"/>
      <c r="OF200" s="29"/>
      <c r="OG200" s="29"/>
      <c r="OH200" s="29"/>
      <c r="OI200" s="29"/>
      <c r="OJ200" s="29"/>
      <c r="OK200" s="29"/>
      <c r="OL200" s="29"/>
      <c r="OM200" s="29"/>
      <c r="ON200" s="29"/>
      <c r="OO200" s="29"/>
      <c r="OP200" s="29"/>
      <c r="OQ200" s="29"/>
      <c r="OR200" s="29"/>
      <c r="OS200" s="29"/>
      <c r="OT200" s="29"/>
      <c r="OU200" s="29"/>
      <c r="OV200" s="29"/>
      <c r="OW200" s="29"/>
      <c r="OX200" s="29"/>
      <c r="OY200" s="29"/>
      <c r="OZ200" s="29"/>
      <c r="PA200" s="29"/>
      <c r="PB200" s="29"/>
      <c r="PC200" s="29"/>
      <c r="PD200" s="29"/>
      <c r="PE200" s="29"/>
      <c r="PF200" s="29"/>
      <c r="PG200" s="29"/>
      <c r="PH200" s="29"/>
      <c r="PI200" s="29"/>
      <c r="PJ200" s="29"/>
      <c r="PK200" s="29"/>
      <c r="PL200" s="29"/>
      <c r="PM200" s="29"/>
      <c r="PN200" s="29"/>
      <c r="PO200" s="29"/>
      <c r="PP200" s="29"/>
      <c r="PQ200" s="29"/>
      <c r="PR200" s="29"/>
      <c r="PS200" s="29"/>
      <c r="PT200" s="29"/>
      <c r="PU200" s="29"/>
      <c r="PV200" s="29"/>
      <c r="PW200" s="29"/>
      <c r="PX200" s="29"/>
      <c r="PY200" s="29"/>
      <c r="PZ200" s="29"/>
      <c r="QA200" s="29"/>
      <c r="QB200" s="29"/>
      <c r="QC200" s="29"/>
      <c r="QD200" s="29"/>
      <c r="QE200" s="29"/>
      <c r="QF200" s="29"/>
      <c r="QG200" s="29"/>
      <c r="QH200" s="29"/>
      <c r="QI200" s="29"/>
      <c r="QJ200" s="29"/>
      <c r="QK200" s="29"/>
      <c r="QL200" s="29"/>
      <c r="QM200" s="29"/>
      <c r="QN200" s="29"/>
      <c r="QO200" s="29"/>
      <c r="QP200" s="29"/>
      <c r="QQ200" s="29"/>
      <c r="QR200" s="29"/>
      <c r="QS200" s="29"/>
      <c r="QT200" s="29"/>
      <c r="QU200" s="29"/>
      <c r="QV200" s="29"/>
      <c r="QW200" s="29"/>
      <c r="QX200" s="29"/>
      <c r="QY200" s="29"/>
      <c r="QZ200" s="29"/>
      <c r="RA200" s="29"/>
      <c r="RB200" s="29"/>
      <c r="RC200" s="29"/>
      <c r="RD200" s="29"/>
      <c r="RE200" s="29"/>
      <c r="RF200" s="29"/>
      <c r="RG200" s="29"/>
      <c r="RH200" s="29"/>
      <c r="RI200" s="29"/>
      <c r="RJ200" s="29"/>
      <c r="RK200" s="29"/>
      <c r="RL200" s="29"/>
      <c r="RM200" s="29"/>
      <c r="RN200" s="29"/>
      <c r="RO200" s="29"/>
      <c r="RP200" s="29"/>
      <c r="RQ200" s="29"/>
      <c r="RR200" s="29"/>
      <c r="RS200" s="29"/>
      <c r="RT200" s="29"/>
      <c r="RU200" s="29"/>
      <c r="RV200" s="29"/>
      <c r="RW200" s="29"/>
      <c r="RX200" s="29"/>
      <c r="RY200" s="29"/>
      <c r="RZ200" s="29"/>
      <c r="SA200" s="29"/>
      <c r="SB200" s="29"/>
      <c r="SC200" s="29"/>
      <c r="SD200" s="29"/>
      <c r="SE200" s="29"/>
      <c r="SF200" s="29"/>
      <c r="SG200" s="29"/>
      <c r="SH200" s="29"/>
      <c r="SI200" s="29"/>
      <c r="SJ200" s="29"/>
      <c r="SK200" s="29"/>
      <c r="SL200" s="29"/>
      <c r="SM200" s="29"/>
      <c r="SN200" s="29"/>
      <c r="SO200" s="29"/>
      <c r="SP200" s="29"/>
      <c r="SQ200" s="29"/>
      <c r="SR200" s="29"/>
      <c r="SS200" s="29"/>
      <c r="ST200" s="29"/>
      <c r="SU200" s="29"/>
      <c r="SV200" s="29"/>
      <c r="SW200" s="29"/>
      <c r="SX200" s="29"/>
      <c r="SY200" s="29"/>
      <c r="SZ200" s="29"/>
      <c r="TA200" s="29"/>
      <c r="TB200" s="29"/>
      <c r="TC200" s="29"/>
      <c r="TD200" s="29"/>
      <c r="TE200" s="29"/>
      <c r="TF200" s="29"/>
      <c r="TG200" s="29"/>
      <c r="TH200" s="29"/>
      <c r="TI200" s="29"/>
      <c r="TJ200" s="29"/>
      <c r="TK200" s="29"/>
      <c r="TL200" s="29"/>
      <c r="TM200" s="29"/>
      <c r="TN200" s="29"/>
      <c r="TO200" s="29"/>
      <c r="TP200" s="29"/>
      <c r="TQ200" s="29"/>
      <c r="TR200" s="29"/>
      <c r="TS200" s="29"/>
      <c r="TT200" s="29"/>
      <c r="TU200" s="29"/>
      <c r="TV200" s="29"/>
      <c r="TW200" s="29"/>
      <c r="TX200" s="29"/>
      <c r="TY200" s="29"/>
      <c r="TZ200" s="29"/>
      <c r="UA200" s="29"/>
      <c r="UB200" s="29"/>
      <c r="UC200" s="29"/>
      <c r="UD200" s="29"/>
      <c r="UE200" s="29"/>
      <c r="UF200" s="29"/>
      <c r="UG200" s="29"/>
      <c r="UH200" s="29"/>
      <c r="UI200" s="29"/>
      <c r="UJ200" s="29"/>
      <c r="UK200" s="29"/>
      <c r="UL200" s="29"/>
      <c r="UM200" s="29"/>
      <c r="UN200" s="29"/>
      <c r="UO200" s="29"/>
      <c r="UP200" s="29"/>
      <c r="UQ200" s="29"/>
      <c r="UR200" s="29"/>
      <c r="US200" s="29"/>
      <c r="UT200" s="29"/>
      <c r="UU200" s="29"/>
      <c r="UV200" s="29"/>
      <c r="UW200" s="29"/>
      <c r="UX200" s="29"/>
      <c r="UY200" s="29"/>
      <c r="UZ200" s="29"/>
      <c r="VA200" s="29"/>
      <c r="VB200" s="29"/>
      <c r="VC200" s="29"/>
      <c r="VD200" s="29"/>
      <c r="VE200" s="29"/>
      <c r="VF200" s="29"/>
      <c r="VG200" s="29"/>
      <c r="VH200" s="29"/>
      <c r="VI200" s="29"/>
      <c r="VJ200" s="29"/>
      <c r="VK200" s="29"/>
      <c r="VL200" s="29"/>
      <c r="VM200" s="29"/>
      <c r="VN200" s="29"/>
      <c r="VO200" s="29"/>
      <c r="VP200" s="29"/>
      <c r="VQ200" s="29"/>
      <c r="VR200" s="29"/>
      <c r="VS200" s="29"/>
      <c r="VT200" s="29"/>
      <c r="VU200" s="29"/>
      <c r="VV200" s="29"/>
      <c r="VW200" s="29"/>
      <c r="VX200" s="29"/>
      <c r="VY200" s="29"/>
      <c r="VZ200" s="29"/>
      <c r="WA200" s="29"/>
      <c r="WB200" s="29"/>
      <c r="WC200" s="29"/>
      <c r="WD200" s="29"/>
      <c r="WE200" s="29"/>
      <c r="WF200" s="29"/>
      <c r="WG200" s="29"/>
      <c r="WH200" s="29"/>
      <c r="WI200" s="29"/>
      <c r="WJ200" s="29"/>
      <c r="WK200" s="29"/>
      <c r="WL200" s="29"/>
      <c r="WM200" s="29"/>
      <c r="WN200" s="29"/>
      <c r="WO200" s="29"/>
      <c r="WP200" s="29"/>
      <c r="WQ200" s="29"/>
      <c r="WR200" s="29"/>
      <c r="WS200" s="29"/>
    </row>
    <row r="201" spans="1:617" s="3" customFormat="1" ht="15" outlineLevel="1" thickBot="1">
      <c r="A201" s="33"/>
      <c r="B201" s="85" t="s">
        <v>247</v>
      </c>
      <c r="C201" s="145" t="s">
        <v>284</v>
      </c>
      <c r="D201" s="123">
        <v>46266</v>
      </c>
      <c r="E201" s="123">
        <f>D201+G201</f>
        <v>46322</v>
      </c>
      <c r="F201" s="14"/>
      <c r="G201" s="14">
        <v>56</v>
      </c>
      <c r="H201" s="29"/>
      <c r="I201" s="29"/>
      <c r="J201" s="29"/>
      <c r="K201" s="29"/>
      <c r="L201" s="29"/>
      <c r="M201" s="29"/>
      <c r="N201" s="29"/>
      <c r="O201" s="29"/>
      <c r="P201" s="29"/>
      <c r="Q201" s="29"/>
      <c r="R201" s="29"/>
      <c r="S201" s="29"/>
      <c r="T201" s="29"/>
      <c r="U201" s="29"/>
      <c r="V201" s="29"/>
      <c r="W201" s="29"/>
      <c r="X201" s="29"/>
      <c r="Y201" s="29"/>
      <c r="Z201" s="29"/>
      <c r="AA201" s="29"/>
      <c r="AB201" s="29"/>
      <c r="AC201" s="29"/>
      <c r="AD201" s="29"/>
      <c r="AE201" s="29"/>
      <c r="AF201" s="29"/>
      <c r="AG201" s="29"/>
      <c r="AH201" s="29"/>
      <c r="AI201" s="29"/>
      <c r="AJ201" s="29"/>
      <c r="AK201" s="29"/>
      <c r="AL201" s="29"/>
      <c r="AM201" s="29"/>
      <c r="AN201" s="29"/>
      <c r="AO201" s="29"/>
      <c r="AP201" s="29"/>
      <c r="AQ201" s="29"/>
      <c r="AR201" s="29"/>
      <c r="AS201" s="29"/>
      <c r="AT201" s="29"/>
      <c r="AU201" s="29"/>
      <c r="AV201" s="29"/>
      <c r="AW201" s="29"/>
      <c r="AX201" s="29"/>
      <c r="AY201" s="29"/>
      <c r="AZ201" s="29"/>
      <c r="BA201" s="29"/>
      <c r="BB201" s="29"/>
      <c r="BC201" s="29"/>
      <c r="BD201" s="29"/>
      <c r="BE201" s="29"/>
      <c r="BF201" s="29"/>
      <c r="BG201" s="29"/>
      <c r="BH201" s="29"/>
      <c r="BI201" s="29"/>
      <c r="BJ201" s="29"/>
      <c r="BK201" s="29"/>
      <c r="BL201" s="29"/>
      <c r="BM201" s="29"/>
      <c r="BN201" s="29"/>
      <c r="BO201" s="29"/>
      <c r="BP201" s="29"/>
      <c r="BQ201" s="29"/>
      <c r="BR201" s="29"/>
      <c r="BS201" s="29"/>
      <c r="BT201" s="29"/>
      <c r="BU201" s="29"/>
      <c r="BV201" s="29"/>
      <c r="BW201" s="29"/>
      <c r="BX201" s="29"/>
      <c r="BY201" s="29"/>
      <c r="BZ201" s="29"/>
      <c r="CA201" s="29"/>
      <c r="CB201" s="29"/>
      <c r="CC201" s="29"/>
      <c r="CD201" s="29"/>
      <c r="CE201" s="29"/>
      <c r="CF201" s="29"/>
      <c r="CG201" s="29"/>
      <c r="CH201" s="29"/>
      <c r="CI201" s="29"/>
      <c r="CJ201" s="29"/>
      <c r="CK201" s="29"/>
      <c r="CL201" s="29"/>
      <c r="CM201" s="29"/>
      <c r="CN201" s="29"/>
      <c r="CO201" s="29"/>
      <c r="CP201" s="29"/>
      <c r="CQ201" s="29"/>
      <c r="CR201" s="29"/>
      <c r="CS201" s="29"/>
      <c r="CT201" s="29"/>
      <c r="CU201" s="29"/>
      <c r="CV201" s="29"/>
      <c r="CW201" s="29"/>
      <c r="CX201" s="29"/>
      <c r="CY201" s="29"/>
      <c r="CZ201" s="29"/>
      <c r="DA201" s="29"/>
      <c r="DB201" s="29"/>
      <c r="DC201" s="29"/>
      <c r="DD201" s="29"/>
      <c r="DE201" s="29"/>
      <c r="DF201" s="29"/>
      <c r="DG201" s="29"/>
      <c r="DH201" s="29"/>
      <c r="DI201" s="29"/>
      <c r="DJ201" s="29"/>
      <c r="DK201" s="29"/>
      <c r="DL201" s="29"/>
      <c r="DM201" s="29"/>
      <c r="DN201" s="29"/>
      <c r="DO201" s="29"/>
      <c r="DP201" s="29"/>
      <c r="DQ201" s="29"/>
      <c r="DR201" s="29"/>
      <c r="DS201" s="29"/>
      <c r="DT201" s="29"/>
      <c r="DU201" s="29"/>
      <c r="DV201" s="29"/>
      <c r="DW201" s="29"/>
      <c r="DX201" s="29"/>
      <c r="DY201" s="29"/>
      <c r="DZ201" s="29"/>
      <c r="EA201" s="29"/>
      <c r="EB201" s="29"/>
      <c r="EC201" s="29"/>
      <c r="ED201" s="29"/>
      <c r="EE201" s="29"/>
      <c r="EF201" s="29"/>
      <c r="EG201" s="29"/>
      <c r="EH201" s="29"/>
      <c r="EI201" s="29"/>
      <c r="EJ201" s="29"/>
      <c r="EK201" s="29"/>
      <c r="EL201" s="29"/>
      <c r="EM201" s="29"/>
      <c r="EN201" s="29"/>
      <c r="EO201" s="29"/>
      <c r="EP201" s="29"/>
      <c r="EQ201" s="29"/>
      <c r="ER201" s="29"/>
      <c r="ES201" s="29"/>
      <c r="ET201" s="29"/>
      <c r="EU201" s="29"/>
      <c r="EV201" s="29"/>
      <c r="EW201" s="29"/>
      <c r="EX201" s="29"/>
      <c r="EY201" s="29"/>
      <c r="EZ201" s="29"/>
      <c r="FA201" s="29"/>
      <c r="FB201" s="29"/>
      <c r="FC201" s="29"/>
      <c r="FD201" s="29"/>
      <c r="FE201" s="29"/>
      <c r="FF201" s="29"/>
      <c r="FG201" s="29"/>
      <c r="FH201" s="29"/>
      <c r="FI201" s="29"/>
      <c r="FJ201" s="29"/>
      <c r="FK201" s="29"/>
      <c r="FL201" s="29"/>
      <c r="FM201" s="29"/>
      <c r="FN201" s="29"/>
      <c r="FO201" s="29"/>
      <c r="FP201" s="29"/>
      <c r="FQ201" s="29"/>
      <c r="FR201" s="29"/>
      <c r="FS201" s="29"/>
      <c r="FT201" s="29"/>
      <c r="FU201" s="29"/>
      <c r="FV201" s="29"/>
      <c r="FW201" s="29"/>
      <c r="FX201" s="29"/>
      <c r="FY201" s="29"/>
      <c r="FZ201" s="29"/>
      <c r="GA201" s="29"/>
      <c r="GB201" s="29"/>
      <c r="GC201" s="29"/>
      <c r="GD201" s="29"/>
      <c r="GE201" s="29"/>
      <c r="GF201" s="29"/>
      <c r="GG201" s="29"/>
      <c r="GH201" s="29"/>
      <c r="GI201" s="29"/>
      <c r="GJ201" s="29"/>
      <c r="GK201" s="29"/>
      <c r="GL201" s="29"/>
      <c r="GM201" s="29"/>
      <c r="GN201" s="29"/>
      <c r="GO201" s="29"/>
      <c r="GP201" s="29"/>
      <c r="GQ201" s="29"/>
      <c r="GR201" s="29"/>
      <c r="GS201" s="29"/>
      <c r="GT201" s="29"/>
      <c r="GU201" s="29"/>
      <c r="GV201" s="29"/>
      <c r="GW201" s="29"/>
      <c r="GX201" s="29"/>
      <c r="GY201" s="29"/>
      <c r="GZ201" s="29"/>
      <c r="HA201" s="29"/>
      <c r="HB201" s="29"/>
      <c r="HC201" s="29"/>
      <c r="HD201" s="29"/>
      <c r="HE201" s="29"/>
      <c r="HF201" s="29"/>
      <c r="HG201" s="29"/>
      <c r="HH201" s="29"/>
      <c r="HI201" s="29"/>
      <c r="HJ201" s="29"/>
      <c r="HK201" s="29"/>
      <c r="HL201" s="29"/>
      <c r="HM201" s="29"/>
      <c r="HN201" s="29"/>
      <c r="HO201" s="29"/>
      <c r="HP201" s="29"/>
      <c r="HQ201" s="29"/>
      <c r="HR201" s="29"/>
      <c r="HS201" s="29"/>
      <c r="HT201" s="29"/>
      <c r="HU201" s="29"/>
      <c r="HV201" s="29"/>
      <c r="HW201" s="29"/>
      <c r="HX201" s="29"/>
      <c r="HY201" s="29"/>
      <c r="HZ201" s="29"/>
      <c r="IA201" s="29"/>
      <c r="IB201" s="29"/>
      <c r="IC201" s="29"/>
      <c r="ID201" s="29"/>
      <c r="IE201" s="29"/>
      <c r="IF201" s="29"/>
      <c r="IG201" s="29"/>
      <c r="IH201" s="29"/>
      <c r="II201" s="29"/>
      <c r="IJ201" s="29"/>
      <c r="IK201" s="29"/>
      <c r="IL201" s="29"/>
      <c r="IM201" s="29"/>
      <c r="IN201" s="29"/>
      <c r="IO201" s="29"/>
      <c r="IP201" s="29"/>
      <c r="IQ201" s="29"/>
      <c r="IR201" s="29"/>
      <c r="IS201" s="29"/>
      <c r="IT201" s="29"/>
      <c r="IU201" s="29"/>
      <c r="IV201" s="29"/>
      <c r="IW201" s="29"/>
      <c r="IX201" s="29"/>
      <c r="IY201" s="29"/>
      <c r="IZ201" s="29"/>
      <c r="JA201" s="29"/>
      <c r="JB201" s="29"/>
      <c r="JC201" s="29"/>
      <c r="JD201" s="29"/>
      <c r="JE201" s="29"/>
      <c r="JF201" s="29"/>
      <c r="JG201" s="29"/>
      <c r="JH201" s="29"/>
      <c r="JI201" s="29"/>
      <c r="JJ201" s="29"/>
      <c r="JK201" s="29"/>
      <c r="JL201" s="29"/>
      <c r="JM201" s="29"/>
      <c r="JN201" s="29"/>
      <c r="JO201" s="29"/>
      <c r="JP201" s="29"/>
      <c r="JQ201" s="29"/>
      <c r="JR201" s="29"/>
      <c r="JS201" s="29"/>
      <c r="JT201" s="29"/>
      <c r="JU201" s="29"/>
      <c r="JV201" s="29"/>
      <c r="JW201" s="29"/>
      <c r="JX201" s="29"/>
      <c r="JY201" s="29"/>
      <c r="JZ201" s="29"/>
      <c r="KA201" s="29"/>
      <c r="KB201" s="29"/>
      <c r="KC201" s="29"/>
      <c r="KD201" s="29"/>
      <c r="KE201" s="29"/>
      <c r="KF201" s="29"/>
      <c r="KG201" s="29"/>
      <c r="KH201" s="29"/>
      <c r="KI201" s="29"/>
      <c r="KJ201" s="29"/>
      <c r="KK201" s="29"/>
      <c r="KL201" s="29"/>
      <c r="KM201" s="29"/>
      <c r="KN201" s="29"/>
      <c r="KO201" s="29"/>
      <c r="KP201" s="29"/>
      <c r="KQ201" s="29"/>
      <c r="KR201" s="29"/>
      <c r="KS201" s="29"/>
      <c r="KT201" s="29"/>
      <c r="KU201" s="29"/>
      <c r="KV201" s="29"/>
      <c r="KW201" s="29"/>
      <c r="KX201" s="29"/>
      <c r="KY201" s="29"/>
      <c r="KZ201" s="29"/>
      <c r="LA201" s="29"/>
      <c r="LB201" s="29"/>
      <c r="LC201" s="29"/>
      <c r="LD201" s="29"/>
      <c r="LE201" s="29"/>
      <c r="LF201" s="29"/>
      <c r="LG201" s="29"/>
      <c r="LH201" s="29"/>
      <c r="LI201" s="29"/>
      <c r="LJ201" s="29"/>
      <c r="LK201" s="29"/>
      <c r="LL201" s="29"/>
      <c r="LM201" s="29"/>
      <c r="LN201" s="29"/>
      <c r="LO201" s="29"/>
      <c r="LP201" s="29"/>
      <c r="LQ201" s="29"/>
      <c r="LR201" s="29"/>
      <c r="LS201" s="29"/>
      <c r="LT201" s="29"/>
      <c r="LU201" s="29"/>
      <c r="LV201" s="29"/>
      <c r="LW201" s="29"/>
      <c r="LX201" s="29"/>
      <c r="LY201" s="29"/>
      <c r="LZ201" s="29"/>
      <c r="MA201" s="29"/>
      <c r="MB201" s="29"/>
      <c r="MC201" s="29"/>
      <c r="MD201" s="29"/>
      <c r="ME201" s="29"/>
      <c r="MF201" s="29"/>
      <c r="MG201" s="29"/>
      <c r="MH201" s="29"/>
      <c r="MI201" s="29"/>
      <c r="MJ201" s="29"/>
      <c r="MK201" s="29"/>
      <c r="ML201" s="29"/>
      <c r="MM201" s="29"/>
      <c r="MN201" s="29"/>
      <c r="MO201" s="29"/>
      <c r="MP201" s="29"/>
      <c r="MQ201" s="29"/>
      <c r="MR201" s="29"/>
      <c r="MS201" s="29"/>
      <c r="MT201" s="29"/>
      <c r="MU201" s="29"/>
      <c r="MV201" s="29"/>
      <c r="MW201" s="29"/>
      <c r="MX201" s="29"/>
      <c r="MY201" s="29"/>
      <c r="MZ201" s="29"/>
      <c r="NA201" s="29"/>
      <c r="NB201" s="29"/>
      <c r="NC201" s="29"/>
      <c r="ND201" s="29"/>
      <c r="NE201" s="29"/>
      <c r="NF201" s="29"/>
      <c r="NG201" s="29"/>
      <c r="NH201" s="29"/>
      <c r="NI201" s="29"/>
      <c r="NJ201" s="29"/>
      <c r="NK201" s="29"/>
      <c r="NL201" s="29"/>
      <c r="NM201" s="29"/>
      <c r="NN201" s="29"/>
      <c r="NO201" s="29"/>
      <c r="NP201" s="29"/>
      <c r="NQ201" s="29"/>
      <c r="NR201" s="29"/>
      <c r="NS201" s="29"/>
      <c r="NT201" s="29"/>
      <c r="NU201" s="29"/>
      <c r="NV201" s="29"/>
      <c r="NW201" s="29"/>
      <c r="NX201" s="29"/>
      <c r="NY201" s="29"/>
      <c r="NZ201" s="29"/>
      <c r="OA201" s="29"/>
      <c r="OB201" s="29"/>
      <c r="OC201" s="29"/>
      <c r="OD201" s="29"/>
      <c r="OE201" s="29"/>
      <c r="OF201" s="29"/>
      <c r="OG201" s="29"/>
      <c r="OH201" s="29"/>
      <c r="OI201" s="29"/>
      <c r="OJ201" s="29"/>
      <c r="OK201" s="29"/>
      <c r="OL201" s="29"/>
      <c r="OM201" s="29"/>
      <c r="ON201" s="29"/>
      <c r="OO201" s="29"/>
      <c r="OP201" s="29"/>
      <c r="OQ201" s="29"/>
      <c r="OR201" s="29"/>
      <c r="OS201" s="29"/>
      <c r="OT201" s="29"/>
      <c r="OU201" s="29"/>
      <c r="OV201" s="29"/>
      <c r="OW201" s="29"/>
      <c r="OX201" s="29"/>
      <c r="OY201" s="29"/>
      <c r="OZ201" s="29"/>
      <c r="PA201" s="29"/>
      <c r="PB201" s="29"/>
      <c r="PC201" s="29"/>
      <c r="PD201" s="29"/>
      <c r="PE201" s="29"/>
      <c r="PF201" s="29"/>
      <c r="PG201" s="29"/>
      <c r="PH201" s="29"/>
      <c r="PI201" s="29"/>
      <c r="PJ201" s="29"/>
      <c r="PK201" s="29"/>
      <c r="PL201" s="29"/>
      <c r="PM201" s="29"/>
      <c r="PN201" s="29"/>
      <c r="PO201" s="29"/>
      <c r="PP201" s="29"/>
      <c r="PQ201" s="29"/>
      <c r="PR201" s="29"/>
      <c r="PS201" s="29"/>
      <c r="PT201" s="29"/>
      <c r="PU201" s="29"/>
      <c r="PV201" s="29"/>
      <c r="PW201" s="29"/>
      <c r="PX201" s="29"/>
      <c r="PY201" s="29"/>
      <c r="PZ201" s="29"/>
      <c r="QA201" s="29"/>
      <c r="QB201" s="29"/>
      <c r="QC201" s="29"/>
      <c r="QD201" s="29"/>
      <c r="QE201" s="29"/>
      <c r="QF201" s="29"/>
      <c r="QG201" s="29"/>
      <c r="QH201" s="29"/>
      <c r="QI201" s="29"/>
      <c r="QJ201" s="29"/>
      <c r="QK201" s="29"/>
      <c r="QL201" s="29"/>
      <c r="QM201" s="29"/>
      <c r="QN201" s="29"/>
      <c r="QO201" s="29"/>
      <c r="QP201" s="29"/>
      <c r="QQ201" s="29"/>
      <c r="QR201" s="29"/>
      <c r="QS201" s="29"/>
      <c r="QT201" s="29"/>
      <c r="QU201" s="29"/>
      <c r="QV201" s="29"/>
      <c r="QW201" s="29"/>
      <c r="QX201" s="29"/>
      <c r="QY201" s="29"/>
      <c r="QZ201" s="29"/>
      <c r="RA201" s="29"/>
      <c r="RB201" s="29"/>
      <c r="RC201" s="29"/>
      <c r="RD201" s="29"/>
      <c r="RE201" s="29"/>
      <c r="RF201" s="29"/>
      <c r="RG201" s="29"/>
      <c r="RH201" s="29"/>
      <c r="RI201" s="29"/>
      <c r="RJ201" s="29"/>
      <c r="RK201" s="29"/>
      <c r="RL201" s="29"/>
      <c r="RM201" s="29"/>
      <c r="RN201" s="29"/>
      <c r="RO201" s="29"/>
      <c r="RP201" s="29"/>
      <c r="RQ201" s="29"/>
      <c r="RR201" s="29"/>
      <c r="RS201" s="29"/>
      <c r="RT201" s="29"/>
      <c r="RU201" s="29"/>
      <c r="RV201" s="29"/>
      <c r="RW201" s="29"/>
      <c r="RX201" s="29"/>
      <c r="RY201" s="29"/>
      <c r="RZ201" s="29"/>
      <c r="SA201" s="29"/>
      <c r="SB201" s="29"/>
      <c r="SC201" s="29"/>
      <c r="SD201" s="29"/>
      <c r="SE201" s="29"/>
      <c r="SF201" s="29"/>
      <c r="SG201" s="29"/>
      <c r="SH201" s="29"/>
      <c r="SI201" s="29"/>
      <c r="SJ201" s="29"/>
      <c r="SK201" s="29"/>
      <c r="SL201" s="29"/>
      <c r="SM201" s="29"/>
      <c r="SN201" s="29"/>
      <c r="SO201" s="29"/>
      <c r="SP201" s="29"/>
      <c r="SQ201" s="29"/>
      <c r="SR201" s="29"/>
      <c r="SS201" s="29"/>
      <c r="ST201" s="29"/>
      <c r="SU201" s="29"/>
      <c r="SV201" s="29"/>
      <c r="SW201" s="29"/>
      <c r="SX201" s="29"/>
      <c r="SY201" s="29"/>
      <c r="SZ201" s="29"/>
      <c r="TA201" s="29"/>
      <c r="TB201" s="29"/>
      <c r="TC201" s="29"/>
      <c r="TD201" s="29"/>
      <c r="TE201" s="29"/>
      <c r="TF201" s="29"/>
      <c r="TG201" s="29"/>
      <c r="TH201" s="29"/>
      <c r="TI201" s="29"/>
      <c r="TJ201" s="29"/>
      <c r="TK201" s="29"/>
      <c r="TL201" s="29"/>
      <c r="TM201" s="29"/>
      <c r="TN201" s="29"/>
      <c r="TO201" s="29"/>
      <c r="TP201" s="29"/>
      <c r="TQ201" s="29"/>
      <c r="TR201" s="29"/>
      <c r="TS201" s="29"/>
      <c r="TT201" s="29"/>
      <c r="TU201" s="29"/>
      <c r="TV201" s="29"/>
      <c r="TW201" s="29"/>
      <c r="TX201" s="29"/>
      <c r="TY201" s="29"/>
      <c r="TZ201" s="29"/>
      <c r="UA201" s="29"/>
      <c r="UB201" s="29"/>
      <c r="UC201" s="29"/>
      <c r="UD201" s="29"/>
      <c r="UE201" s="29"/>
      <c r="UF201" s="29"/>
      <c r="UG201" s="29"/>
      <c r="UH201" s="29"/>
      <c r="UI201" s="29"/>
      <c r="UJ201" s="29"/>
      <c r="UK201" s="29"/>
      <c r="UL201" s="29"/>
      <c r="UM201" s="29"/>
      <c r="UN201" s="29"/>
      <c r="UO201" s="29"/>
      <c r="UP201" s="29"/>
      <c r="UQ201" s="29"/>
      <c r="UR201" s="29"/>
      <c r="US201" s="29"/>
      <c r="UT201" s="29"/>
      <c r="UU201" s="29"/>
      <c r="UV201" s="29"/>
      <c r="UW201" s="29"/>
      <c r="UX201" s="29"/>
      <c r="UY201" s="29"/>
      <c r="UZ201" s="29"/>
      <c r="VA201" s="29"/>
      <c r="VB201" s="29"/>
      <c r="VC201" s="29"/>
      <c r="VD201" s="29"/>
      <c r="VE201" s="29"/>
      <c r="VF201" s="29"/>
      <c r="VG201" s="29"/>
      <c r="VH201" s="29"/>
      <c r="VI201" s="29"/>
      <c r="VJ201" s="29"/>
      <c r="VK201" s="29"/>
      <c r="VL201" s="29"/>
      <c r="VM201" s="29"/>
      <c r="VN201" s="29"/>
      <c r="VO201" s="29"/>
      <c r="VP201" s="29"/>
      <c r="VQ201" s="29"/>
      <c r="VR201" s="29"/>
      <c r="VS201" s="29"/>
      <c r="VT201" s="29"/>
      <c r="VU201" s="29"/>
      <c r="VV201" s="29"/>
      <c r="VW201" s="29"/>
      <c r="VX201" s="29"/>
      <c r="VY201" s="29"/>
      <c r="VZ201" s="29"/>
      <c r="WA201" s="29"/>
      <c r="WB201" s="29"/>
      <c r="WC201" s="29"/>
      <c r="WD201" s="29"/>
      <c r="WE201" s="29"/>
      <c r="WF201" s="29"/>
      <c r="WG201" s="29"/>
      <c r="WH201" s="29"/>
      <c r="WI201" s="29"/>
      <c r="WJ201" s="29"/>
      <c r="WK201" s="29"/>
      <c r="WL201" s="29"/>
      <c r="WM201" s="29"/>
      <c r="WN201" s="29"/>
      <c r="WO201" s="29"/>
      <c r="WP201" s="29"/>
      <c r="WQ201" s="29"/>
      <c r="WR201" s="29"/>
      <c r="WS201" s="29"/>
    </row>
    <row r="202" spans="1:617" s="3" customFormat="1" ht="15" outlineLevel="1" thickBot="1">
      <c r="A202" s="33"/>
      <c r="B202" s="85" t="s">
        <v>247</v>
      </c>
      <c r="C202" s="145" t="s">
        <v>292</v>
      </c>
      <c r="D202" s="123">
        <f>E201</f>
        <v>46322</v>
      </c>
      <c r="E202" s="123">
        <f>D202+G202</f>
        <v>46375</v>
      </c>
      <c r="F202" s="14"/>
      <c r="G202" s="14">
        <v>53</v>
      </c>
      <c r="H202" s="29"/>
      <c r="I202" s="29"/>
      <c r="J202" s="29"/>
      <c r="K202" s="29"/>
      <c r="L202" s="29"/>
      <c r="M202" s="29"/>
      <c r="N202" s="29"/>
      <c r="O202" s="29"/>
      <c r="P202" s="29"/>
      <c r="Q202" s="29"/>
      <c r="R202" s="29"/>
      <c r="S202" s="29"/>
      <c r="T202" s="29"/>
      <c r="U202" s="29"/>
      <c r="V202" s="29"/>
      <c r="W202" s="29"/>
      <c r="X202" s="29"/>
      <c r="Y202" s="29"/>
      <c r="Z202" s="29"/>
      <c r="AA202" s="29"/>
      <c r="AB202" s="29"/>
      <c r="AC202" s="29"/>
      <c r="AD202" s="29"/>
      <c r="AE202" s="29"/>
      <c r="AF202" s="29"/>
      <c r="AG202" s="29"/>
      <c r="AH202" s="29"/>
      <c r="AI202" s="29"/>
      <c r="AJ202" s="29"/>
      <c r="AK202" s="29"/>
      <c r="AL202" s="29"/>
      <c r="AM202" s="29"/>
      <c r="AN202" s="29"/>
      <c r="AO202" s="29"/>
      <c r="AP202" s="29"/>
      <c r="AQ202" s="29"/>
      <c r="AR202" s="29"/>
      <c r="AS202" s="29"/>
      <c r="AT202" s="29"/>
      <c r="AU202" s="29"/>
      <c r="AV202" s="29"/>
      <c r="AW202" s="29"/>
      <c r="AX202" s="29"/>
      <c r="AY202" s="29"/>
      <c r="AZ202" s="29"/>
      <c r="BA202" s="29"/>
      <c r="BB202" s="29"/>
      <c r="BC202" s="29"/>
      <c r="BD202" s="29"/>
      <c r="BE202" s="29"/>
      <c r="BF202" s="29"/>
      <c r="BG202" s="29"/>
      <c r="BH202" s="29"/>
      <c r="BI202" s="29"/>
      <c r="BJ202" s="29"/>
      <c r="BK202" s="29"/>
      <c r="BL202" s="29"/>
      <c r="BM202" s="29"/>
      <c r="BN202" s="29"/>
      <c r="BO202" s="29"/>
      <c r="BP202" s="29"/>
      <c r="BQ202" s="29"/>
      <c r="BR202" s="29"/>
      <c r="BS202" s="29"/>
      <c r="BT202" s="29"/>
      <c r="BU202" s="29"/>
      <c r="BV202" s="29"/>
      <c r="BW202" s="29"/>
      <c r="BX202" s="29"/>
      <c r="BY202" s="29"/>
      <c r="BZ202" s="29"/>
      <c r="CA202" s="29"/>
      <c r="CB202" s="29"/>
      <c r="CC202" s="29"/>
      <c r="CD202" s="29"/>
      <c r="CE202" s="29"/>
      <c r="CF202" s="29"/>
      <c r="CG202" s="29"/>
      <c r="CH202" s="29"/>
      <c r="CI202" s="29"/>
      <c r="CJ202" s="29"/>
      <c r="CK202" s="29"/>
      <c r="CL202" s="29"/>
      <c r="CM202" s="29"/>
      <c r="CN202" s="29"/>
      <c r="CO202" s="29"/>
      <c r="CP202" s="29"/>
      <c r="CQ202" s="29"/>
      <c r="CR202" s="29"/>
      <c r="CS202" s="29"/>
      <c r="CT202" s="29"/>
      <c r="CU202" s="29"/>
      <c r="CV202" s="29"/>
      <c r="CW202" s="29"/>
      <c r="CX202" s="29"/>
      <c r="CY202" s="29"/>
      <c r="CZ202" s="29"/>
      <c r="DA202" s="29"/>
      <c r="DB202" s="29"/>
      <c r="DC202" s="29"/>
      <c r="DD202" s="29"/>
      <c r="DE202" s="29"/>
      <c r="DF202" s="29"/>
      <c r="DG202" s="29"/>
      <c r="DH202" s="29"/>
      <c r="DI202" s="29"/>
      <c r="DJ202" s="29"/>
      <c r="DK202" s="29"/>
      <c r="DL202" s="29"/>
      <c r="DM202" s="29"/>
      <c r="DN202" s="29"/>
      <c r="DO202" s="29"/>
      <c r="DP202" s="29"/>
      <c r="DQ202" s="29"/>
      <c r="DR202" s="29"/>
      <c r="DS202" s="29"/>
      <c r="DT202" s="29"/>
      <c r="DU202" s="29"/>
      <c r="DV202" s="29"/>
      <c r="DW202" s="29"/>
      <c r="DX202" s="29"/>
      <c r="DY202" s="29"/>
      <c r="DZ202" s="29"/>
      <c r="EA202" s="29"/>
      <c r="EB202" s="29"/>
      <c r="EC202" s="29"/>
      <c r="ED202" s="29"/>
      <c r="EE202" s="29"/>
      <c r="EF202" s="29"/>
      <c r="EG202" s="29"/>
      <c r="EH202" s="29"/>
      <c r="EI202" s="29"/>
      <c r="EJ202" s="29"/>
      <c r="EK202" s="29"/>
      <c r="EL202" s="29"/>
      <c r="EM202" s="29"/>
      <c r="EN202" s="29"/>
      <c r="EO202" s="29"/>
      <c r="EP202" s="29"/>
      <c r="EQ202" s="29"/>
      <c r="ER202" s="29"/>
      <c r="ES202" s="29"/>
      <c r="ET202" s="29"/>
      <c r="EU202" s="29"/>
      <c r="EV202" s="29"/>
      <c r="EW202" s="29"/>
      <c r="EX202" s="29"/>
      <c r="EY202" s="29"/>
      <c r="EZ202" s="29"/>
      <c r="FA202" s="29"/>
      <c r="FB202" s="29"/>
      <c r="FC202" s="29"/>
      <c r="FD202" s="29"/>
      <c r="FE202" s="29"/>
      <c r="FF202" s="29"/>
      <c r="FG202" s="29"/>
      <c r="FH202" s="29"/>
      <c r="FI202" s="29"/>
      <c r="FJ202" s="29"/>
      <c r="FK202" s="29"/>
      <c r="FL202" s="29"/>
      <c r="FM202" s="29"/>
      <c r="FN202" s="29"/>
      <c r="FO202" s="29"/>
      <c r="FP202" s="29"/>
      <c r="FQ202" s="29"/>
      <c r="FR202" s="29"/>
      <c r="FS202" s="29"/>
      <c r="FT202" s="29"/>
      <c r="FU202" s="29"/>
      <c r="FV202" s="29"/>
      <c r="FW202" s="29"/>
      <c r="FX202" s="29"/>
      <c r="FY202" s="29"/>
      <c r="FZ202" s="29"/>
      <c r="GA202" s="29"/>
      <c r="GB202" s="29"/>
      <c r="GC202" s="29"/>
      <c r="GD202" s="29"/>
      <c r="GE202" s="29"/>
      <c r="GF202" s="29"/>
      <c r="GG202" s="29"/>
      <c r="GH202" s="29"/>
      <c r="GI202" s="29"/>
      <c r="GJ202" s="29"/>
      <c r="GK202" s="29"/>
      <c r="GL202" s="29"/>
      <c r="GM202" s="29"/>
      <c r="GN202" s="29"/>
      <c r="GO202" s="29"/>
      <c r="GP202" s="29"/>
      <c r="GQ202" s="29"/>
      <c r="GR202" s="29"/>
      <c r="GS202" s="29"/>
      <c r="GT202" s="29"/>
      <c r="GU202" s="29"/>
      <c r="GV202" s="29"/>
      <c r="GW202" s="29"/>
      <c r="GX202" s="29"/>
      <c r="GY202" s="29"/>
      <c r="GZ202" s="29"/>
      <c r="HA202" s="29"/>
      <c r="HB202" s="29"/>
      <c r="HC202" s="29"/>
      <c r="HD202" s="29"/>
      <c r="HE202" s="29"/>
      <c r="HF202" s="29"/>
      <c r="HG202" s="29"/>
      <c r="HH202" s="29"/>
      <c r="HI202" s="29"/>
      <c r="HJ202" s="29"/>
      <c r="HK202" s="29"/>
      <c r="HL202" s="29"/>
      <c r="HM202" s="29"/>
      <c r="HN202" s="29"/>
      <c r="HO202" s="29"/>
      <c r="HP202" s="29"/>
      <c r="HQ202" s="29"/>
      <c r="HR202" s="29"/>
      <c r="HS202" s="29"/>
      <c r="HT202" s="29"/>
      <c r="HU202" s="29"/>
      <c r="HV202" s="29"/>
      <c r="HW202" s="29"/>
      <c r="HX202" s="29"/>
      <c r="HY202" s="29"/>
      <c r="HZ202" s="29"/>
      <c r="IA202" s="29"/>
      <c r="IB202" s="29"/>
      <c r="IC202" s="29"/>
      <c r="ID202" s="29"/>
      <c r="IE202" s="29"/>
      <c r="IF202" s="29"/>
      <c r="IG202" s="29"/>
      <c r="IH202" s="29"/>
      <c r="II202" s="29"/>
      <c r="IJ202" s="29"/>
      <c r="IK202" s="29"/>
      <c r="IL202" s="29"/>
      <c r="IM202" s="29"/>
      <c r="IN202" s="29"/>
      <c r="IO202" s="29"/>
      <c r="IP202" s="29"/>
      <c r="IQ202" s="29"/>
      <c r="IR202" s="29"/>
      <c r="IS202" s="29"/>
      <c r="IT202" s="29"/>
      <c r="IU202" s="29"/>
      <c r="IV202" s="29"/>
      <c r="IW202" s="29"/>
      <c r="IX202" s="29"/>
      <c r="IY202" s="29"/>
      <c r="IZ202" s="29"/>
      <c r="JA202" s="29"/>
      <c r="JB202" s="29"/>
      <c r="JC202" s="29"/>
      <c r="JD202" s="29"/>
      <c r="JE202" s="29"/>
      <c r="JF202" s="29"/>
      <c r="JG202" s="29"/>
      <c r="JH202" s="29"/>
      <c r="JI202" s="29"/>
      <c r="JJ202" s="29"/>
      <c r="JK202" s="29"/>
      <c r="JL202" s="29"/>
      <c r="JM202" s="29"/>
      <c r="JN202" s="29"/>
      <c r="JO202" s="29"/>
      <c r="JP202" s="29"/>
      <c r="JQ202" s="29"/>
      <c r="JR202" s="29"/>
      <c r="JS202" s="29"/>
      <c r="JT202" s="29"/>
      <c r="JU202" s="29"/>
      <c r="JV202" s="29"/>
      <c r="JW202" s="29"/>
      <c r="JX202" s="29"/>
      <c r="JY202" s="29"/>
      <c r="JZ202" s="29"/>
      <c r="KA202" s="29"/>
      <c r="KB202" s="29"/>
      <c r="KC202" s="29"/>
      <c r="KD202" s="29"/>
      <c r="KE202" s="29"/>
      <c r="KF202" s="29"/>
      <c r="KG202" s="29"/>
      <c r="KH202" s="29"/>
      <c r="KI202" s="29"/>
      <c r="KJ202" s="29"/>
      <c r="KK202" s="29"/>
      <c r="KL202" s="29"/>
      <c r="KM202" s="29"/>
      <c r="KN202" s="29"/>
      <c r="KO202" s="29"/>
      <c r="KP202" s="29"/>
      <c r="KQ202" s="29"/>
      <c r="KR202" s="29"/>
      <c r="KS202" s="29"/>
      <c r="KT202" s="29"/>
      <c r="KU202" s="29"/>
      <c r="KV202" s="29"/>
      <c r="KW202" s="29"/>
      <c r="KX202" s="29"/>
      <c r="KY202" s="29"/>
      <c r="KZ202" s="29"/>
      <c r="LA202" s="29"/>
      <c r="LB202" s="29"/>
      <c r="LC202" s="29"/>
      <c r="LD202" s="29"/>
      <c r="LE202" s="29"/>
      <c r="LF202" s="29"/>
      <c r="LG202" s="29"/>
      <c r="LH202" s="29"/>
      <c r="LI202" s="29"/>
      <c r="LJ202" s="29"/>
      <c r="LK202" s="29"/>
      <c r="LL202" s="29"/>
      <c r="LM202" s="29"/>
      <c r="LN202" s="29"/>
      <c r="LO202" s="29"/>
      <c r="LP202" s="29"/>
      <c r="LQ202" s="29"/>
      <c r="LR202" s="29"/>
      <c r="LS202" s="29"/>
      <c r="LT202" s="29"/>
      <c r="LU202" s="29"/>
      <c r="LV202" s="29"/>
      <c r="LW202" s="29"/>
      <c r="LX202" s="29"/>
      <c r="LY202" s="29"/>
      <c r="LZ202" s="29"/>
      <c r="MA202" s="29"/>
      <c r="MB202" s="29"/>
      <c r="MC202" s="29"/>
      <c r="MD202" s="29"/>
      <c r="ME202" s="29"/>
      <c r="MF202" s="29"/>
      <c r="MG202" s="29"/>
      <c r="MH202" s="29"/>
      <c r="MI202" s="29"/>
      <c r="MJ202" s="29"/>
      <c r="MK202" s="29"/>
      <c r="ML202" s="29"/>
      <c r="MM202" s="29"/>
      <c r="MN202" s="29"/>
      <c r="MO202" s="29"/>
      <c r="MP202" s="29"/>
      <c r="MQ202" s="29"/>
      <c r="MR202" s="29"/>
      <c r="MS202" s="29"/>
      <c r="MT202" s="29"/>
      <c r="MU202" s="29"/>
      <c r="MV202" s="29"/>
      <c r="MW202" s="29"/>
      <c r="MX202" s="29"/>
      <c r="MY202" s="29"/>
      <c r="MZ202" s="29"/>
      <c r="NA202" s="29"/>
      <c r="NB202" s="29"/>
      <c r="NC202" s="29"/>
      <c r="ND202" s="29"/>
      <c r="NE202" s="29"/>
      <c r="NF202" s="29"/>
      <c r="NG202" s="29"/>
      <c r="NH202" s="29"/>
      <c r="NI202" s="29"/>
      <c r="NJ202" s="29"/>
      <c r="NK202" s="29"/>
      <c r="NL202" s="29"/>
      <c r="NM202" s="29"/>
      <c r="NN202" s="29"/>
      <c r="NO202" s="29"/>
      <c r="NP202" s="29"/>
      <c r="NQ202" s="29"/>
      <c r="NR202" s="29"/>
      <c r="NS202" s="29"/>
      <c r="NT202" s="29"/>
      <c r="NU202" s="29"/>
      <c r="NV202" s="29"/>
      <c r="NW202" s="29"/>
      <c r="NX202" s="29"/>
      <c r="NY202" s="29"/>
      <c r="NZ202" s="29"/>
      <c r="OA202" s="29"/>
      <c r="OB202" s="29"/>
      <c r="OC202" s="29"/>
      <c r="OD202" s="29"/>
      <c r="OE202" s="29"/>
      <c r="OF202" s="29"/>
      <c r="OG202" s="29"/>
      <c r="OH202" s="29"/>
      <c r="OI202" s="29"/>
      <c r="OJ202" s="29"/>
      <c r="OK202" s="29"/>
      <c r="OL202" s="29"/>
      <c r="OM202" s="29"/>
      <c r="ON202" s="29"/>
      <c r="OO202" s="29"/>
      <c r="OP202" s="29"/>
      <c r="OQ202" s="29"/>
      <c r="OR202" s="29"/>
      <c r="OS202" s="29"/>
      <c r="OT202" s="29"/>
      <c r="OU202" s="29"/>
      <c r="OV202" s="29"/>
      <c r="OW202" s="29"/>
      <c r="OX202" s="29"/>
      <c r="OY202" s="29"/>
      <c r="OZ202" s="29"/>
      <c r="PA202" s="29"/>
      <c r="PB202" s="29"/>
      <c r="PC202" s="29"/>
      <c r="PD202" s="29"/>
      <c r="PE202" s="29"/>
      <c r="PF202" s="29"/>
      <c r="PG202" s="29"/>
      <c r="PH202" s="29"/>
      <c r="PI202" s="29"/>
      <c r="PJ202" s="29"/>
      <c r="PK202" s="29"/>
      <c r="PL202" s="29"/>
      <c r="PM202" s="29"/>
      <c r="PN202" s="29"/>
      <c r="PO202" s="29"/>
      <c r="PP202" s="29"/>
      <c r="PQ202" s="29"/>
      <c r="PR202" s="29"/>
      <c r="PS202" s="29"/>
      <c r="PT202" s="29"/>
      <c r="PU202" s="29"/>
      <c r="PV202" s="29"/>
      <c r="PW202" s="29"/>
      <c r="PX202" s="29"/>
      <c r="PY202" s="29"/>
      <c r="PZ202" s="29"/>
      <c r="QA202" s="29"/>
      <c r="QB202" s="29"/>
      <c r="QC202" s="29"/>
      <c r="QD202" s="29"/>
      <c r="QE202" s="29"/>
      <c r="QF202" s="29"/>
      <c r="QG202" s="29"/>
      <c r="QH202" s="29"/>
      <c r="QI202" s="29"/>
      <c r="QJ202" s="29"/>
      <c r="QK202" s="29"/>
      <c r="QL202" s="29"/>
      <c r="QM202" s="29"/>
      <c r="QN202" s="29"/>
      <c r="QO202" s="29"/>
      <c r="QP202" s="29"/>
      <c r="QQ202" s="29"/>
      <c r="QR202" s="29"/>
      <c r="QS202" s="29"/>
      <c r="QT202" s="29"/>
      <c r="QU202" s="29"/>
      <c r="QV202" s="29"/>
      <c r="QW202" s="29"/>
      <c r="QX202" s="29"/>
      <c r="QY202" s="29"/>
      <c r="QZ202" s="29"/>
      <c r="RA202" s="29"/>
      <c r="RB202" s="29"/>
      <c r="RC202" s="29"/>
      <c r="RD202" s="29"/>
      <c r="RE202" s="29"/>
      <c r="RF202" s="29"/>
      <c r="RG202" s="29"/>
      <c r="RH202" s="29"/>
      <c r="RI202" s="29"/>
      <c r="RJ202" s="29"/>
      <c r="RK202" s="29"/>
      <c r="RL202" s="29"/>
      <c r="RM202" s="29"/>
      <c r="RN202" s="29"/>
      <c r="RO202" s="29"/>
      <c r="RP202" s="29"/>
      <c r="RQ202" s="29"/>
      <c r="RR202" s="29"/>
      <c r="RS202" s="29"/>
      <c r="RT202" s="29"/>
      <c r="RU202" s="29"/>
      <c r="RV202" s="29"/>
      <c r="RW202" s="29"/>
      <c r="RX202" s="29"/>
      <c r="RY202" s="29"/>
      <c r="RZ202" s="29"/>
      <c r="SA202" s="29"/>
      <c r="SB202" s="29"/>
      <c r="SC202" s="29"/>
      <c r="SD202" s="29"/>
      <c r="SE202" s="29"/>
      <c r="SF202" s="29"/>
      <c r="SG202" s="29"/>
      <c r="SH202" s="29"/>
      <c r="SI202" s="29"/>
      <c r="SJ202" s="29"/>
      <c r="SK202" s="29"/>
      <c r="SL202" s="29"/>
      <c r="SM202" s="29"/>
      <c r="SN202" s="29"/>
      <c r="SO202" s="29"/>
      <c r="SP202" s="29"/>
      <c r="SQ202" s="29"/>
      <c r="SR202" s="29"/>
      <c r="SS202" s="29"/>
      <c r="ST202" s="29"/>
      <c r="SU202" s="29"/>
      <c r="SV202" s="29"/>
      <c r="SW202" s="29"/>
      <c r="SX202" s="29"/>
      <c r="SY202" s="29"/>
      <c r="SZ202" s="29"/>
      <c r="TA202" s="29"/>
      <c r="TB202" s="29"/>
      <c r="TC202" s="29"/>
      <c r="TD202" s="29"/>
      <c r="TE202" s="29"/>
      <c r="TF202" s="29"/>
      <c r="TG202" s="29"/>
      <c r="TH202" s="29"/>
      <c r="TI202" s="29"/>
      <c r="TJ202" s="29"/>
      <c r="TK202" s="29"/>
      <c r="TL202" s="29"/>
      <c r="TM202" s="29"/>
      <c r="TN202" s="29"/>
      <c r="TO202" s="29"/>
      <c r="TP202" s="29"/>
      <c r="TQ202" s="29"/>
      <c r="TR202" s="29"/>
      <c r="TS202" s="29"/>
      <c r="TT202" s="29"/>
      <c r="TU202" s="29"/>
      <c r="TV202" s="29"/>
      <c r="TW202" s="29"/>
      <c r="TX202" s="29"/>
      <c r="TY202" s="29"/>
      <c r="TZ202" s="29"/>
      <c r="UA202" s="29"/>
      <c r="UB202" s="29"/>
      <c r="UC202" s="29"/>
      <c r="UD202" s="29"/>
      <c r="UE202" s="29"/>
      <c r="UF202" s="29"/>
      <c r="UG202" s="29"/>
      <c r="UH202" s="29"/>
      <c r="UI202" s="29"/>
      <c r="UJ202" s="29"/>
      <c r="UK202" s="29"/>
      <c r="UL202" s="29"/>
      <c r="UM202" s="29"/>
      <c r="UN202" s="29"/>
      <c r="UO202" s="29"/>
      <c r="UP202" s="29"/>
      <c r="UQ202" s="29"/>
      <c r="UR202" s="29"/>
      <c r="US202" s="29"/>
      <c r="UT202" s="29"/>
      <c r="UU202" s="29"/>
      <c r="UV202" s="29"/>
      <c r="UW202" s="29"/>
      <c r="UX202" s="29"/>
      <c r="UY202" s="29"/>
      <c r="UZ202" s="29"/>
      <c r="VA202" s="29"/>
      <c r="VB202" s="29"/>
      <c r="VC202" s="29"/>
      <c r="VD202" s="29"/>
      <c r="VE202" s="29"/>
      <c r="VF202" s="29"/>
      <c r="VG202" s="29"/>
      <c r="VH202" s="29"/>
      <c r="VI202" s="29"/>
      <c r="VJ202" s="29"/>
      <c r="VK202" s="29"/>
      <c r="VL202" s="29"/>
      <c r="VM202" s="29"/>
      <c r="VN202" s="29"/>
      <c r="VO202" s="29"/>
      <c r="VP202" s="29"/>
      <c r="VQ202" s="29"/>
      <c r="VR202" s="29"/>
      <c r="VS202" s="29"/>
      <c r="VT202" s="29"/>
      <c r="VU202" s="29"/>
      <c r="VV202" s="29"/>
      <c r="VW202" s="29"/>
      <c r="VX202" s="29"/>
      <c r="VY202" s="29"/>
      <c r="VZ202" s="29"/>
      <c r="WA202" s="29"/>
      <c r="WB202" s="29"/>
      <c r="WC202" s="29"/>
      <c r="WD202" s="29"/>
      <c r="WE202" s="29"/>
      <c r="WF202" s="29"/>
      <c r="WG202" s="29"/>
      <c r="WH202" s="29"/>
      <c r="WI202" s="29"/>
      <c r="WJ202" s="29"/>
      <c r="WK202" s="29"/>
      <c r="WL202" s="29"/>
      <c r="WM202" s="29"/>
      <c r="WN202" s="29"/>
      <c r="WO202" s="29"/>
      <c r="WP202" s="29"/>
      <c r="WQ202" s="29"/>
      <c r="WR202" s="29"/>
      <c r="WS202" s="29"/>
    </row>
    <row r="203" spans="1:617" s="3" customFormat="1" ht="15" outlineLevel="1" thickBot="1">
      <c r="A203" s="33"/>
      <c r="B203" s="85"/>
      <c r="C203" s="145"/>
      <c r="D203" s="123">
        <f>E202</f>
        <v>46375</v>
      </c>
      <c r="E203" s="123">
        <f>D203+G203</f>
        <v>46428</v>
      </c>
      <c r="F203" s="14"/>
      <c r="G203" s="14">
        <v>53</v>
      </c>
      <c r="H203" s="29"/>
      <c r="I203" s="29"/>
      <c r="J203" s="29"/>
      <c r="K203" s="29"/>
      <c r="L203" s="29"/>
      <c r="M203" s="29"/>
      <c r="N203" s="29"/>
      <c r="O203" s="29"/>
      <c r="P203" s="29"/>
      <c r="Q203" s="29"/>
      <c r="R203" s="29"/>
      <c r="S203" s="29"/>
      <c r="T203" s="29"/>
      <c r="U203" s="29"/>
      <c r="V203" s="29"/>
      <c r="W203" s="29"/>
      <c r="X203" s="29"/>
      <c r="Y203" s="29"/>
      <c r="Z203" s="29"/>
      <c r="AA203" s="29"/>
      <c r="AB203" s="29"/>
      <c r="AC203" s="29"/>
      <c r="AD203" s="29"/>
      <c r="AE203" s="29"/>
      <c r="AF203" s="29"/>
      <c r="AG203" s="29"/>
      <c r="AH203" s="29"/>
      <c r="AI203" s="29"/>
      <c r="AJ203" s="29"/>
      <c r="AK203" s="29"/>
      <c r="AL203" s="29"/>
      <c r="AM203" s="29"/>
      <c r="AN203" s="29"/>
      <c r="AO203" s="29"/>
      <c r="AP203" s="29"/>
      <c r="AQ203" s="29"/>
      <c r="AR203" s="29"/>
      <c r="AS203" s="29"/>
      <c r="AT203" s="29"/>
      <c r="AU203" s="29"/>
      <c r="AV203" s="29"/>
      <c r="AW203" s="29"/>
      <c r="AX203" s="29"/>
      <c r="AY203" s="29"/>
      <c r="AZ203" s="29"/>
      <c r="BA203" s="29"/>
      <c r="BB203" s="29"/>
      <c r="BC203" s="29"/>
      <c r="BD203" s="29"/>
      <c r="BE203" s="29"/>
      <c r="BF203" s="29"/>
      <c r="BG203" s="29"/>
      <c r="BH203" s="29"/>
      <c r="BI203" s="29"/>
      <c r="BJ203" s="29"/>
      <c r="BK203" s="29"/>
      <c r="BL203" s="29"/>
      <c r="BM203" s="29"/>
      <c r="BN203" s="29"/>
      <c r="BO203" s="29"/>
      <c r="BP203" s="29"/>
      <c r="BQ203" s="29"/>
      <c r="BR203" s="29"/>
      <c r="BS203" s="29"/>
      <c r="BT203" s="29"/>
      <c r="BU203" s="29"/>
      <c r="BV203" s="29"/>
      <c r="BW203" s="29"/>
      <c r="BX203" s="29"/>
      <c r="BY203" s="29"/>
      <c r="BZ203" s="29"/>
      <c r="CA203" s="29"/>
      <c r="CB203" s="29"/>
      <c r="CC203" s="29"/>
      <c r="CD203" s="29"/>
      <c r="CE203" s="29"/>
      <c r="CF203" s="29"/>
      <c r="CG203" s="29"/>
      <c r="CH203" s="29"/>
      <c r="CI203" s="29"/>
      <c r="CJ203" s="29"/>
      <c r="CK203" s="29"/>
      <c r="CL203" s="29"/>
      <c r="CM203" s="29"/>
      <c r="CN203" s="29"/>
      <c r="CO203" s="29"/>
      <c r="CP203" s="29"/>
      <c r="CQ203" s="29"/>
      <c r="CR203" s="29"/>
      <c r="CS203" s="29"/>
      <c r="CT203" s="29"/>
      <c r="CU203" s="29"/>
      <c r="CV203" s="29"/>
      <c r="CW203" s="29"/>
      <c r="CX203" s="29"/>
      <c r="CY203" s="29"/>
      <c r="CZ203" s="29"/>
      <c r="DA203" s="29"/>
      <c r="DB203" s="29"/>
      <c r="DC203" s="29"/>
      <c r="DD203" s="29"/>
      <c r="DE203" s="29"/>
      <c r="DF203" s="29"/>
      <c r="DG203" s="29"/>
      <c r="DH203" s="29"/>
      <c r="DI203" s="29"/>
      <c r="DJ203" s="29"/>
      <c r="DK203" s="29"/>
      <c r="DL203" s="29"/>
      <c r="DM203" s="29"/>
      <c r="DN203" s="29"/>
      <c r="DO203" s="29"/>
      <c r="DP203" s="29"/>
      <c r="DQ203" s="29"/>
      <c r="DR203" s="29"/>
      <c r="DS203" s="29"/>
      <c r="DT203" s="29"/>
      <c r="DU203" s="29"/>
      <c r="DV203" s="29"/>
      <c r="DW203" s="29"/>
      <c r="DX203" s="29"/>
      <c r="DY203" s="29"/>
      <c r="DZ203" s="29"/>
      <c r="EA203" s="29"/>
      <c r="EB203" s="29"/>
      <c r="EC203" s="29"/>
      <c r="ED203" s="29"/>
      <c r="EE203" s="29"/>
      <c r="EF203" s="29"/>
      <c r="EG203" s="29"/>
      <c r="EH203" s="29"/>
      <c r="EI203" s="29"/>
      <c r="EJ203" s="29"/>
      <c r="EK203" s="29"/>
      <c r="EL203" s="29"/>
      <c r="EM203" s="29"/>
      <c r="EN203" s="29"/>
      <c r="EO203" s="29"/>
      <c r="EP203" s="29"/>
      <c r="EQ203" s="29"/>
      <c r="ER203" s="29"/>
      <c r="ES203" s="29"/>
      <c r="ET203" s="29"/>
      <c r="EU203" s="29"/>
      <c r="EV203" s="29"/>
      <c r="EW203" s="29"/>
      <c r="EX203" s="29"/>
      <c r="EY203" s="29"/>
      <c r="EZ203" s="29"/>
      <c r="FA203" s="29"/>
      <c r="FB203" s="29"/>
      <c r="FC203" s="29"/>
      <c r="FD203" s="29"/>
      <c r="FE203" s="29"/>
      <c r="FF203" s="29"/>
      <c r="FG203" s="29"/>
      <c r="FH203" s="29"/>
      <c r="FI203" s="29"/>
      <c r="FJ203" s="29"/>
      <c r="FK203" s="29"/>
      <c r="FL203" s="29"/>
      <c r="FM203" s="29"/>
      <c r="FN203" s="29"/>
      <c r="FO203" s="29"/>
      <c r="FP203" s="29"/>
      <c r="FQ203" s="29"/>
      <c r="FR203" s="29"/>
      <c r="FS203" s="29"/>
      <c r="FT203" s="29"/>
      <c r="FU203" s="29"/>
      <c r="FV203" s="29"/>
      <c r="FW203" s="29"/>
      <c r="FX203" s="29"/>
      <c r="FY203" s="29"/>
      <c r="FZ203" s="29"/>
      <c r="GA203" s="29"/>
      <c r="GB203" s="29"/>
      <c r="GC203" s="29"/>
      <c r="GD203" s="29"/>
      <c r="GE203" s="29"/>
      <c r="GF203" s="29"/>
      <c r="GG203" s="29"/>
      <c r="GH203" s="29"/>
      <c r="GI203" s="29"/>
      <c r="GJ203" s="29"/>
      <c r="GK203" s="29"/>
      <c r="GL203" s="29"/>
      <c r="GM203" s="29"/>
      <c r="GN203" s="29"/>
      <c r="GO203" s="29"/>
      <c r="GP203" s="29"/>
      <c r="GQ203" s="29"/>
      <c r="GR203" s="29"/>
      <c r="GS203" s="29"/>
      <c r="GT203" s="29"/>
      <c r="GU203" s="29"/>
      <c r="GV203" s="29"/>
      <c r="GW203" s="29"/>
      <c r="GX203" s="29"/>
      <c r="GY203" s="29"/>
      <c r="GZ203" s="29"/>
      <c r="HA203" s="29"/>
      <c r="HB203" s="29"/>
      <c r="HC203" s="29"/>
      <c r="HD203" s="29"/>
      <c r="HE203" s="29"/>
      <c r="HF203" s="29"/>
      <c r="HG203" s="29"/>
      <c r="HH203" s="29"/>
      <c r="HI203" s="29"/>
      <c r="HJ203" s="29"/>
      <c r="HK203" s="29"/>
      <c r="HL203" s="29"/>
      <c r="HM203" s="29"/>
      <c r="HN203" s="29"/>
      <c r="HO203" s="29"/>
      <c r="HP203" s="29"/>
      <c r="HQ203" s="29"/>
      <c r="HR203" s="29"/>
      <c r="HS203" s="29"/>
      <c r="HT203" s="29"/>
      <c r="HU203" s="29"/>
      <c r="HV203" s="29"/>
      <c r="HW203" s="29"/>
      <c r="HX203" s="29"/>
      <c r="HY203" s="29"/>
      <c r="HZ203" s="29"/>
      <c r="IA203" s="29"/>
      <c r="IB203" s="29"/>
      <c r="IC203" s="29"/>
      <c r="ID203" s="29"/>
      <c r="IE203" s="29"/>
      <c r="IF203" s="29"/>
      <c r="IG203" s="29"/>
      <c r="IH203" s="29"/>
      <c r="II203" s="29"/>
      <c r="IJ203" s="29"/>
      <c r="IK203" s="29"/>
      <c r="IL203" s="29"/>
      <c r="IM203" s="29"/>
      <c r="IN203" s="29"/>
      <c r="IO203" s="29"/>
      <c r="IP203" s="29"/>
      <c r="IQ203" s="29"/>
      <c r="IR203" s="29"/>
      <c r="IS203" s="29"/>
      <c r="IT203" s="29"/>
      <c r="IU203" s="29"/>
      <c r="IV203" s="29"/>
      <c r="IW203" s="29"/>
      <c r="IX203" s="29"/>
      <c r="IY203" s="29"/>
      <c r="IZ203" s="29"/>
      <c r="JA203" s="29"/>
      <c r="JB203" s="29"/>
      <c r="JC203" s="29"/>
      <c r="JD203" s="29"/>
      <c r="JE203" s="29"/>
      <c r="JF203" s="29"/>
      <c r="JG203" s="29"/>
      <c r="JH203" s="29"/>
      <c r="JI203" s="29"/>
      <c r="JJ203" s="29"/>
      <c r="JK203" s="29"/>
      <c r="JL203" s="29"/>
      <c r="JM203" s="29"/>
      <c r="JN203" s="29"/>
      <c r="JO203" s="29"/>
      <c r="JP203" s="29"/>
      <c r="JQ203" s="29"/>
      <c r="JR203" s="29"/>
      <c r="JS203" s="29"/>
      <c r="JT203" s="29"/>
      <c r="JU203" s="29"/>
      <c r="JV203" s="29"/>
      <c r="JW203" s="29"/>
      <c r="JX203" s="29"/>
      <c r="JY203" s="29"/>
      <c r="JZ203" s="29"/>
      <c r="KA203" s="29"/>
      <c r="KB203" s="29"/>
      <c r="KC203" s="29"/>
      <c r="KD203" s="29"/>
      <c r="KE203" s="29"/>
      <c r="KF203" s="29"/>
      <c r="KG203" s="29"/>
      <c r="KH203" s="29"/>
      <c r="KI203" s="29"/>
      <c r="KJ203" s="29"/>
      <c r="KK203" s="29"/>
      <c r="KL203" s="29"/>
      <c r="KM203" s="29"/>
      <c r="KN203" s="29"/>
      <c r="KO203" s="29"/>
      <c r="KP203" s="29"/>
      <c r="KQ203" s="29"/>
      <c r="KR203" s="29"/>
      <c r="KS203" s="29"/>
      <c r="KT203" s="29"/>
      <c r="KU203" s="29"/>
      <c r="KV203" s="29"/>
      <c r="KW203" s="29"/>
      <c r="KX203" s="29"/>
      <c r="KY203" s="29"/>
      <c r="KZ203" s="29"/>
      <c r="LA203" s="29"/>
      <c r="LB203" s="29"/>
      <c r="LC203" s="29"/>
      <c r="LD203" s="29"/>
      <c r="LE203" s="29"/>
      <c r="LF203" s="29"/>
      <c r="LG203" s="29"/>
      <c r="LH203" s="29"/>
      <c r="LI203" s="29"/>
      <c r="LJ203" s="29"/>
      <c r="LK203" s="29"/>
      <c r="LL203" s="29"/>
      <c r="LM203" s="29"/>
      <c r="LN203" s="29"/>
      <c r="LO203" s="29"/>
      <c r="LP203" s="29"/>
      <c r="LQ203" s="29"/>
      <c r="LR203" s="29"/>
      <c r="LS203" s="29"/>
      <c r="LT203" s="29"/>
      <c r="LU203" s="29"/>
      <c r="LV203" s="29"/>
      <c r="LW203" s="29"/>
      <c r="LX203" s="29"/>
      <c r="LY203" s="29"/>
      <c r="LZ203" s="29"/>
      <c r="MA203" s="29"/>
      <c r="MB203" s="29"/>
      <c r="MC203" s="29"/>
      <c r="MD203" s="29"/>
      <c r="ME203" s="29"/>
      <c r="MF203" s="29"/>
      <c r="MG203" s="29"/>
      <c r="MH203" s="29"/>
      <c r="MI203" s="29"/>
      <c r="MJ203" s="29"/>
      <c r="MK203" s="29"/>
      <c r="ML203" s="29"/>
      <c r="MM203" s="29"/>
      <c r="MN203" s="29"/>
      <c r="MO203" s="29"/>
      <c r="MP203" s="29"/>
      <c r="MQ203" s="29"/>
      <c r="MR203" s="29"/>
      <c r="MS203" s="29"/>
      <c r="MT203" s="29"/>
      <c r="MU203" s="29"/>
      <c r="MV203" s="29"/>
      <c r="MW203" s="29"/>
      <c r="MX203" s="29"/>
      <c r="MY203" s="29"/>
      <c r="MZ203" s="29"/>
      <c r="NA203" s="29"/>
      <c r="NB203" s="29"/>
      <c r="NC203" s="29"/>
      <c r="ND203" s="29"/>
      <c r="NE203" s="29"/>
      <c r="NF203" s="29"/>
      <c r="NG203" s="29"/>
      <c r="NH203" s="29"/>
      <c r="NI203" s="29"/>
      <c r="NJ203" s="29"/>
      <c r="NK203" s="29"/>
      <c r="NL203" s="29"/>
      <c r="NM203" s="29"/>
      <c r="NN203" s="29"/>
      <c r="NO203" s="29"/>
      <c r="NP203" s="29"/>
      <c r="NQ203" s="29"/>
      <c r="NR203" s="29"/>
      <c r="NS203" s="29"/>
      <c r="NT203" s="29"/>
      <c r="NU203" s="29"/>
      <c r="NV203" s="29"/>
      <c r="NW203" s="29"/>
      <c r="NX203" s="29"/>
      <c r="NY203" s="29"/>
      <c r="NZ203" s="29"/>
      <c r="OA203" s="29"/>
      <c r="OB203" s="29"/>
      <c r="OC203" s="29"/>
      <c r="OD203" s="29"/>
      <c r="OE203" s="29"/>
      <c r="OF203" s="29"/>
      <c r="OG203" s="29"/>
      <c r="OH203" s="29"/>
      <c r="OI203" s="29"/>
      <c r="OJ203" s="29"/>
      <c r="OK203" s="29"/>
      <c r="OL203" s="29"/>
      <c r="OM203" s="29"/>
      <c r="ON203" s="29"/>
      <c r="OO203" s="29"/>
      <c r="OP203" s="29"/>
      <c r="OQ203" s="29"/>
      <c r="OR203" s="29"/>
      <c r="OS203" s="29"/>
      <c r="OT203" s="29"/>
      <c r="OU203" s="29"/>
      <c r="OV203" s="29"/>
      <c r="OW203" s="29"/>
      <c r="OX203" s="29"/>
      <c r="OY203" s="29"/>
      <c r="OZ203" s="29"/>
      <c r="PA203" s="29"/>
      <c r="PB203" s="29"/>
      <c r="PC203" s="29"/>
      <c r="PD203" s="29"/>
      <c r="PE203" s="29"/>
      <c r="PF203" s="29"/>
      <c r="PG203" s="29"/>
      <c r="PH203" s="29"/>
      <c r="PI203" s="29"/>
      <c r="PJ203" s="29"/>
      <c r="PK203" s="29"/>
      <c r="PL203" s="29"/>
      <c r="PM203" s="29"/>
      <c r="PN203" s="29"/>
      <c r="PO203" s="29"/>
      <c r="PP203" s="29"/>
      <c r="PQ203" s="29"/>
      <c r="PR203" s="29"/>
      <c r="PS203" s="29"/>
      <c r="PT203" s="29"/>
      <c r="PU203" s="29"/>
      <c r="PV203" s="29"/>
      <c r="PW203" s="29"/>
      <c r="PX203" s="29"/>
      <c r="PY203" s="29"/>
      <c r="PZ203" s="29"/>
      <c r="QA203" s="29"/>
      <c r="QB203" s="29"/>
      <c r="QC203" s="29"/>
      <c r="QD203" s="29"/>
      <c r="QE203" s="29"/>
      <c r="QF203" s="29"/>
      <c r="QG203" s="29"/>
      <c r="QH203" s="29"/>
      <c r="QI203" s="29"/>
      <c r="QJ203" s="29"/>
      <c r="QK203" s="29"/>
      <c r="QL203" s="29"/>
      <c r="QM203" s="29"/>
      <c r="QN203" s="29"/>
      <c r="QO203" s="29"/>
      <c r="QP203" s="29"/>
      <c r="QQ203" s="29"/>
      <c r="QR203" s="29"/>
      <c r="QS203" s="29"/>
      <c r="QT203" s="29"/>
      <c r="QU203" s="29"/>
      <c r="QV203" s="29"/>
      <c r="QW203" s="29"/>
      <c r="QX203" s="29"/>
      <c r="QY203" s="29"/>
      <c r="QZ203" s="29"/>
      <c r="RA203" s="29"/>
      <c r="RB203" s="29"/>
      <c r="RC203" s="29"/>
      <c r="RD203" s="29"/>
      <c r="RE203" s="29"/>
      <c r="RF203" s="29"/>
      <c r="RG203" s="29"/>
      <c r="RH203" s="29"/>
      <c r="RI203" s="29"/>
      <c r="RJ203" s="29"/>
      <c r="RK203" s="29"/>
      <c r="RL203" s="29"/>
      <c r="RM203" s="29"/>
      <c r="RN203" s="29"/>
      <c r="RO203" s="29"/>
      <c r="RP203" s="29"/>
      <c r="RQ203" s="29"/>
      <c r="RR203" s="29"/>
      <c r="RS203" s="29"/>
      <c r="RT203" s="29"/>
      <c r="RU203" s="29"/>
      <c r="RV203" s="29"/>
      <c r="RW203" s="29"/>
      <c r="RX203" s="29"/>
      <c r="RY203" s="29"/>
      <c r="RZ203" s="29"/>
      <c r="SA203" s="29"/>
      <c r="SB203" s="29"/>
      <c r="SC203" s="29"/>
      <c r="SD203" s="29"/>
      <c r="SE203" s="29"/>
      <c r="SF203" s="29"/>
      <c r="SG203" s="29"/>
      <c r="SH203" s="29"/>
      <c r="SI203" s="29"/>
      <c r="SJ203" s="29"/>
      <c r="SK203" s="29"/>
      <c r="SL203" s="29"/>
      <c r="SM203" s="29"/>
      <c r="SN203" s="29"/>
      <c r="SO203" s="29"/>
      <c r="SP203" s="29"/>
      <c r="SQ203" s="29"/>
      <c r="SR203" s="29"/>
      <c r="SS203" s="29"/>
      <c r="ST203" s="29"/>
      <c r="SU203" s="29"/>
      <c r="SV203" s="29"/>
      <c r="SW203" s="29"/>
      <c r="SX203" s="29"/>
      <c r="SY203" s="29"/>
      <c r="SZ203" s="29"/>
      <c r="TA203" s="29"/>
      <c r="TB203" s="29"/>
      <c r="TC203" s="29"/>
      <c r="TD203" s="29"/>
      <c r="TE203" s="29"/>
      <c r="TF203" s="29"/>
      <c r="TG203" s="29"/>
      <c r="TH203" s="29"/>
      <c r="TI203" s="29"/>
      <c r="TJ203" s="29"/>
      <c r="TK203" s="29"/>
      <c r="TL203" s="29"/>
      <c r="TM203" s="29"/>
      <c r="TN203" s="29"/>
      <c r="TO203" s="29"/>
      <c r="TP203" s="29"/>
      <c r="TQ203" s="29"/>
      <c r="TR203" s="29"/>
      <c r="TS203" s="29"/>
      <c r="TT203" s="29"/>
      <c r="TU203" s="29"/>
      <c r="TV203" s="29"/>
      <c r="TW203" s="29"/>
      <c r="TX203" s="29"/>
      <c r="TY203" s="29"/>
      <c r="TZ203" s="29"/>
      <c r="UA203" s="29"/>
      <c r="UB203" s="29"/>
      <c r="UC203" s="29"/>
      <c r="UD203" s="29"/>
      <c r="UE203" s="29"/>
      <c r="UF203" s="29"/>
      <c r="UG203" s="29"/>
      <c r="UH203" s="29"/>
      <c r="UI203" s="29"/>
      <c r="UJ203" s="29"/>
      <c r="UK203" s="29"/>
      <c r="UL203" s="29"/>
      <c r="UM203" s="29"/>
      <c r="UN203" s="29"/>
      <c r="UO203" s="29"/>
      <c r="UP203" s="29"/>
      <c r="UQ203" s="29"/>
      <c r="UR203" s="29"/>
      <c r="US203" s="29"/>
      <c r="UT203" s="29"/>
      <c r="UU203" s="29"/>
      <c r="UV203" s="29"/>
      <c r="UW203" s="29"/>
      <c r="UX203" s="29"/>
      <c r="UY203" s="29"/>
      <c r="UZ203" s="29"/>
      <c r="VA203" s="29"/>
      <c r="VB203" s="29"/>
      <c r="VC203" s="29"/>
      <c r="VD203" s="29"/>
      <c r="VE203" s="29"/>
      <c r="VF203" s="29"/>
      <c r="VG203" s="29"/>
      <c r="VH203" s="29"/>
      <c r="VI203" s="29"/>
      <c r="VJ203" s="29"/>
      <c r="VK203" s="29"/>
      <c r="VL203" s="29"/>
      <c r="VM203" s="29"/>
      <c r="VN203" s="29"/>
      <c r="VO203" s="29"/>
      <c r="VP203" s="29"/>
      <c r="VQ203" s="29"/>
      <c r="VR203" s="29"/>
      <c r="VS203" s="29"/>
      <c r="VT203" s="29"/>
      <c r="VU203" s="29"/>
      <c r="VV203" s="29"/>
      <c r="VW203" s="29"/>
      <c r="VX203" s="29"/>
      <c r="VY203" s="29"/>
      <c r="VZ203" s="29"/>
      <c r="WA203" s="29"/>
      <c r="WB203" s="29"/>
      <c r="WC203" s="29"/>
      <c r="WD203" s="29"/>
      <c r="WE203" s="29"/>
      <c r="WF203" s="29"/>
      <c r="WG203" s="29"/>
      <c r="WH203" s="29"/>
      <c r="WI203" s="29"/>
      <c r="WJ203" s="29"/>
      <c r="WK203" s="29"/>
      <c r="WL203" s="29"/>
      <c r="WM203" s="29"/>
      <c r="WN203" s="29"/>
      <c r="WO203" s="29"/>
      <c r="WP203" s="29"/>
      <c r="WQ203" s="29"/>
      <c r="WR203" s="29"/>
      <c r="WS203" s="29"/>
    </row>
    <row r="204" spans="1:617" s="3" customFormat="1" ht="15" outlineLevel="1" thickBot="1">
      <c r="A204" s="33"/>
      <c r="B204" s="85"/>
      <c r="C204" s="145"/>
      <c r="D204" s="123"/>
      <c r="E204" s="123"/>
      <c r="F204" s="14"/>
      <c r="G204" s="14"/>
      <c r="H204" s="29"/>
      <c r="I204" s="29"/>
      <c r="J204" s="29"/>
      <c r="K204" s="29"/>
      <c r="L204" s="29"/>
      <c r="M204" s="29"/>
      <c r="N204" s="29"/>
      <c r="O204" s="29"/>
      <c r="P204" s="29"/>
      <c r="Q204" s="29"/>
      <c r="R204" s="29"/>
      <c r="S204" s="29"/>
      <c r="T204" s="29"/>
      <c r="U204" s="29"/>
      <c r="V204" s="29"/>
      <c r="W204" s="29"/>
      <c r="X204" s="29"/>
      <c r="Y204" s="29"/>
      <c r="Z204" s="29"/>
      <c r="AA204" s="29"/>
      <c r="AB204" s="29"/>
      <c r="AC204" s="29"/>
      <c r="AD204" s="29"/>
      <c r="AE204" s="29"/>
      <c r="AF204" s="29"/>
      <c r="AG204" s="29"/>
      <c r="AH204" s="29"/>
      <c r="AI204" s="29"/>
      <c r="AJ204" s="29"/>
      <c r="AK204" s="29"/>
      <c r="AL204" s="29"/>
      <c r="AM204" s="29"/>
      <c r="AN204" s="29"/>
      <c r="AO204" s="29"/>
      <c r="AP204" s="29"/>
      <c r="AQ204" s="29"/>
      <c r="AR204" s="29"/>
      <c r="AS204" s="29"/>
      <c r="AT204" s="29"/>
      <c r="AU204" s="29"/>
      <c r="AV204" s="29"/>
      <c r="AW204" s="29"/>
      <c r="AX204" s="29"/>
      <c r="AY204" s="29"/>
      <c r="AZ204" s="29"/>
      <c r="BA204" s="29"/>
      <c r="BB204" s="29"/>
      <c r="BC204" s="29"/>
      <c r="BD204" s="29"/>
      <c r="BE204" s="29"/>
      <c r="BF204" s="29"/>
      <c r="BG204" s="29"/>
      <c r="BH204" s="29"/>
      <c r="BI204" s="29"/>
      <c r="BJ204" s="29"/>
      <c r="BK204" s="29"/>
      <c r="BL204" s="29"/>
      <c r="BM204" s="29"/>
      <c r="BN204" s="29"/>
      <c r="BO204" s="29"/>
      <c r="BP204" s="29"/>
      <c r="BQ204" s="29"/>
      <c r="BR204" s="29"/>
      <c r="BS204" s="29"/>
      <c r="BT204" s="29"/>
      <c r="BU204" s="29"/>
      <c r="BV204" s="29"/>
      <c r="BW204" s="29"/>
      <c r="BX204" s="29"/>
      <c r="BY204" s="29"/>
      <c r="BZ204" s="29"/>
      <c r="CA204" s="29"/>
      <c r="CB204" s="29"/>
      <c r="CC204" s="29"/>
      <c r="CD204" s="29"/>
      <c r="CE204" s="29"/>
      <c r="CF204" s="29"/>
      <c r="CG204" s="29"/>
      <c r="CH204" s="29"/>
      <c r="CI204" s="29"/>
      <c r="CJ204" s="29"/>
      <c r="CK204" s="29"/>
      <c r="CL204" s="29"/>
      <c r="CM204" s="29"/>
      <c r="CN204" s="29"/>
      <c r="CO204" s="29"/>
      <c r="CP204" s="29"/>
      <c r="CQ204" s="29"/>
      <c r="CR204" s="29"/>
      <c r="CS204" s="29"/>
      <c r="CT204" s="29"/>
      <c r="CU204" s="29"/>
      <c r="CV204" s="29"/>
      <c r="CW204" s="29"/>
      <c r="CX204" s="29"/>
      <c r="CY204" s="29"/>
      <c r="CZ204" s="29"/>
      <c r="DA204" s="29"/>
      <c r="DB204" s="29"/>
      <c r="DC204" s="29"/>
      <c r="DD204" s="29"/>
      <c r="DE204" s="29"/>
      <c r="DF204" s="29"/>
      <c r="DG204" s="29"/>
      <c r="DH204" s="29"/>
      <c r="DI204" s="29"/>
      <c r="DJ204" s="29"/>
      <c r="DK204" s="29"/>
      <c r="DL204" s="29"/>
      <c r="DM204" s="29"/>
      <c r="DN204" s="29"/>
      <c r="DO204" s="29"/>
      <c r="DP204" s="29"/>
      <c r="DQ204" s="29"/>
      <c r="DR204" s="29"/>
      <c r="DS204" s="29"/>
      <c r="DT204" s="29"/>
      <c r="DU204" s="29"/>
      <c r="DV204" s="29"/>
      <c r="DW204" s="29"/>
      <c r="DX204" s="29"/>
      <c r="DY204" s="29"/>
      <c r="DZ204" s="29"/>
      <c r="EA204" s="29"/>
      <c r="EB204" s="29"/>
      <c r="EC204" s="29"/>
      <c r="ED204" s="29"/>
      <c r="EE204" s="29"/>
      <c r="EF204" s="29"/>
      <c r="EG204" s="29"/>
      <c r="EH204" s="29"/>
      <c r="EI204" s="29"/>
      <c r="EJ204" s="29"/>
      <c r="EK204" s="29"/>
      <c r="EL204" s="29"/>
      <c r="EM204" s="29"/>
      <c r="EN204" s="29"/>
      <c r="EO204" s="29"/>
      <c r="EP204" s="29"/>
      <c r="EQ204" s="29"/>
      <c r="ER204" s="29"/>
      <c r="ES204" s="29"/>
      <c r="ET204" s="29"/>
      <c r="EU204" s="29"/>
      <c r="EV204" s="29"/>
      <c r="EW204" s="29"/>
      <c r="EX204" s="29"/>
      <c r="EY204" s="29"/>
      <c r="EZ204" s="29"/>
      <c r="FA204" s="29"/>
      <c r="FB204" s="29"/>
      <c r="FC204" s="29"/>
      <c r="FD204" s="29"/>
      <c r="FE204" s="29"/>
      <c r="FF204" s="29"/>
      <c r="FG204" s="29"/>
      <c r="FH204" s="29"/>
      <c r="FI204" s="29"/>
      <c r="FJ204" s="29"/>
      <c r="FK204" s="29"/>
      <c r="FL204" s="29"/>
      <c r="FM204" s="29"/>
      <c r="FN204" s="29"/>
      <c r="FO204" s="29"/>
      <c r="FP204" s="29"/>
      <c r="FQ204" s="29"/>
      <c r="FR204" s="29"/>
      <c r="FS204" s="29"/>
      <c r="FT204" s="29"/>
      <c r="FU204" s="29"/>
      <c r="FV204" s="29"/>
      <c r="FW204" s="29"/>
      <c r="FX204" s="29"/>
      <c r="FY204" s="29"/>
      <c r="FZ204" s="29"/>
      <c r="GA204" s="29"/>
      <c r="GB204" s="29"/>
      <c r="GC204" s="29"/>
      <c r="GD204" s="29"/>
      <c r="GE204" s="29"/>
      <c r="GF204" s="29"/>
      <c r="GG204" s="29"/>
      <c r="GH204" s="29"/>
      <c r="GI204" s="29"/>
      <c r="GJ204" s="29"/>
      <c r="GK204" s="29"/>
      <c r="GL204" s="29"/>
      <c r="GM204" s="29"/>
      <c r="GN204" s="29"/>
      <c r="GO204" s="29"/>
      <c r="GP204" s="29"/>
      <c r="GQ204" s="29"/>
      <c r="GR204" s="29"/>
      <c r="GS204" s="29"/>
      <c r="GT204" s="29"/>
      <c r="GU204" s="29"/>
      <c r="GV204" s="29"/>
      <c r="GW204" s="29"/>
      <c r="GX204" s="29"/>
      <c r="GY204" s="29"/>
      <c r="GZ204" s="29"/>
      <c r="HA204" s="29"/>
      <c r="HB204" s="29"/>
      <c r="HC204" s="29"/>
      <c r="HD204" s="29"/>
      <c r="HE204" s="29"/>
      <c r="HF204" s="29"/>
      <c r="HG204" s="29"/>
      <c r="HH204" s="29"/>
      <c r="HI204" s="29"/>
      <c r="HJ204" s="29"/>
      <c r="HK204" s="29"/>
      <c r="HL204" s="29"/>
      <c r="HM204" s="29"/>
      <c r="HN204" s="29"/>
      <c r="HO204" s="29"/>
      <c r="HP204" s="29"/>
      <c r="HQ204" s="29"/>
      <c r="HR204" s="29"/>
      <c r="HS204" s="29"/>
      <c r="HT204" s="29"/>
      <c r="HU204" s="29"/>
      <c r="HV204" s="29"/>
      <c r="HW204" s="29"/>
      <c r="HX204" s="29"/>
      <c r="HY204" s="29"/>
      <c r="HZ204" s="29"/>
      <c r="IA204" s="29"/>
      <c r="IB204" s="29"/>
      <c r="IC204" s="29"/>
      <c r="ID204" s="29"/>
      <c r="IE204" s="29"/>
      <c r="IF204" s="29"/>
      <c r="IG204" s="29"/>
      <c r="IH204" s="29"/>
      <c r="II204" s="29"/>
      <c r="IJ204" s="29"/>
      <c r="IK204" s="29"/>
      <c r="IL204" s="29"/>
      <c r="IM204" s="29"/>
      <c r="IN204" s="29"/>
      <c r="IO204" s="29"/>
      <c r="IP204" s="29"/>
      <c r="IQ204" s="29"/>
      <c r="IR204" s="29"/>
      <c r="IS204" s="29"/>
      <c r="IT204" s="29"/>
      <c r="IU204" s="29"/>
      <c r="IV204" s="29"/>
      <c r="IW204" s="29"/>
      <c r="IX204" s="29"/>
      <c r="IY204" s="29"/>
      <c r="IZ204" s="29"/>
      <c r="JA204" s="29"/>
      <c r="JB204" s="29"/>
      <c r="JC204" s="29"/>
      <c r="JD204" s="29"/>
      <c r="JE204" s="29"/>
      <c r="JF204" s="29"/>
      <c r="JG204" s="29"/>
      <c r="JH204" s="29"/>
      <c r="JI204" s="29"/>
      <c r="JJ204" s="29"/>
      <c r="JK204" s="29"/>
      <c r="JL204" s="29"/>
      <c r="JM204" s="29"/>
      <c r="JN204" s="29"/>
      <c r="JO204" s="29"/>
      <c r="JP204" s="29"/>
      <c r="JQ204" s="29"/>
      <c r="JR204" s="29"/>
      <c r="JS204" s="29"/>
      <c r="JT204" s="29"/>
      <c r="JU204" s="29"/>
      <c r="JV204" s="29"/>
      <c r="JW204" s="29"/>
      <c r="JX204" s="29"/>
      <c r="JY204" s="29"/>
      <c r="JZ204" s="29"/>
      <c r="KA204" s="29"/>
      <c r="KB204" s="29"/>
      <c r="KC204" s="29"/>
      <c r="KD204" s="29"/>
      <c r="KE204" s="29"/>
      <c r="KF204" s="29"/>
      <c r="KG204" s="29"/>
      <c r="KH204" s="29"/>
      <c r="KI204" s="29"/>
      <c r="KJ204" s="29"/>
      <c r="KK204" s="29"/>
      <c r="KL204" s="29"/>
      <c r="KM204" s="29"/>
      <c r="KN204" s="29"/>
      <c r="KO204" s="29"/>
      <c r="KP204" s="29"/>
      <c r="KQ204" s="29"/>
      <c r="KR204" s="29"/>
      <c r="KS204" s="29"/>
      <c r="KT204" s="29"/>
      <c r="KU204" s="29"/>
      <c r="KV204" s="29"/>
      <c r="KW204" s="29"/>
      <c r="KX204" s="29"/>
      <c r="KY204" s="29"/>
      <c r="KZ204" s="29"/>
      <c r="LA204" s="29"/>
      <c r="LB204" s="29"/>
      <c r="LC204" s="29"/>
      <c r="LD204" s="29"/>
      <c r="LE204" s="29"/>
      <c r="LF204" s="29"/>
      <c r="LG204" s="29"/>
      <c r="LH204" s="29"/>
      <c r="LI204" s="29"/>
      <c r="LJ204" s="29"/>
      <c r="LK204" s="29"/>
      <c r="LL204" s="29"/>
      <c r="LM204" s="29"/>
      <c r="LN204" s="29"/>
      <c r="LO204" s="29"/>
      <c r="LP204" s="29"/>
      <c r="LQ204" s="29"/>
      <c r="LR204" s="29"/>
      <c r="LS204" s="29"/>
      <c r="LT204" s="29"/>
      <c r="LU204" s="29"/>
      <c r="LV204" s="29"/>
      <c r="LW204" s="29"/>
      <c r="LX204" s="29"/>
      <c r="LY204" s="29"/>
      <c r="LZ204" s="29"/>
      <c r="MA204" s="29"/>
      <c r="MB204" s="29"/>
      <c r="MC204" s="29"/>
      <c r="MD204" s="29"/>
      <c r="ME204" s="29"/>
      <c r="MF204" s="29"/>
      <c r="MG204" s="29"/>
      <c r="MH204" s="29"/>
      <c r="MI204" s="29"/>
      <c r="MJ204" s="29"/>
      <c r="MK204" s="29"/>
      <c r="ML204" s="29"/>
      <c r="MM204" s="29"/>
      <c r="MN204" s="29"/>
      <c r="MO204" s="29"/>
      <c r="MP204" s="29"/>
      <c r="MQ204" s="29"/>
      <c r="MR204" s="29"/>
      <c r="MS204" s="29"/>
      <c r="MT204" s="29"/>
      <c r="MU204" s="29"/>
      <c r="MV204" s="29"/>
      <c r="MW204" s="29"/>
      <c r="MX204" s="29"/>
      <c r="MY204" s="29"/>
      <c r="MZ204" s="29"/>
      <c r="NA204" s="29"/>
      <c r="NB204" s="29"/>
      <c r="NC204" s="29"/>
      <c r="ND204" s="29"/>
      <c r="NE204" s="29"/>
      <c r="NF204" s="29"/>
      <c r="NG204" s="29"/>
      <c r="NH204" s="29"/>
      <c r="NI204" s="29"/>
      <c r="NJ204" s="29"/>
      <c r="NK204" s="29"/>
      <c r="NL204" s="29"/>
      <c r="NM204" s="29"/>
      <c r="NN204" s="29"/>
      <c r="NO204" s="29"/>
      <c r="NP204" s="29"/>
      <c r="NQ204" s="29"/>
      <c r="NR204" s="29"/>
      <c r="NS204" s="29"/>
      <c r="NT204" s="29"/>
      <c r="NU204" s="29"/>
      <c r="NV204" s="29"/>
      <c r="NW204" s="29"/>
      <c r="NX204" s="29"/>
      <c r="NY204" s="29"/>
      <c r="NZ204" s="29"/>
      <c r="OA204" s="29"/>
      <c r="OB204" s="29"/>
      <c r="OC204" s="29"/>
      <c r="OD204" s="29"/>
      <c r="OE204" s="29"/>
      <c r="OF204" s="29"/>
      <c r="OG204" s="29"/>
      <c r="OH204" s="29"/>
      <c r="OI204" s="29"/>
      <c r="OJ204" s="29"/>
      <c r="OK204" s="29"/>
      <c r="OL204" s="29"/>
      <c r="OM204" s="29"/>
      <c r="ON204" s="29"/>
      <c r="OO204" s="29"/>
      <c r="OP204" s="29"/>
      <c r="OQ204" s="29"/>
      <c r="OR204" s="29"/>
      <c r="OS204" s="29"/>
      <c r="OT204" s="29"/>
      <c r="OU204" s="29"/>
      <c r="OV204" s="29"/>
      <c r="OW204" s="29"/>
      <c r="OX204" s="29"/>
      <c r="OY204" s="29"/>
      <c r="OZ204" s="29"/>
      <c r="PA204" s="29"/>
      <c r="PB204" s="29"/>
      <c r="PC204" s="29"/>
      <c r="PD204" s="29"/>
      <c r="PE204" s="29"/>
      <c r="PF204" s="29"/>
      <c r="PG204" s="29"/>
      <c r="PH204" s="29"/>
      <c r="PI204" s="29"/>
      <c r="PJ204" s="29"/>
      <c r="PK204" s="29"/>
      <c r="PL204" s="29"/>
      <c r="PM204" s="29"/>
      <c r="PN204" s="29"/>
      <c r="PO204" s="29"/>
      <c r="PP204" s="29"/>
      <c r="PQ204" s="29"/>
      <c r="PR204" s="29"/>
      <c r="PS204" s="29"/>
      <c r="PT204" s="29"/>
      <c r="PU204" s="29"/>
      <c r="PV204" s="29"/>
      <c r="PW204" s="29"/>
      <c r="PX204" s="29"/>
      <c r="PY204" s="29"/>
      <c r="PZ204" s="29"/>
      <c r="QA204" s="29"/>
      <c r="QB204" s="29"/>
      <c r="QC204" s="29"/>
      <c r="QD204" s="29"/>
      <c r="QE204" s="29"/>
      <c r="QF204" s="29"/>
      <c r="QG204" s="29"/>
      <c r="QH204" s="29"/>
      <c r="QI204" s="29"/>
      <c r="QJ204" s="29"/>
      <c r="QK204" s="29"/>
      <c r="QL204" s="29"/>
      <c r="QM204" s="29"/>
      <c r="QN204" s="29"/>
      <c r="QO204" s="29"/>
      <c r="QP204" s="29"/>
      <c r="QQ204" s="29"/>
      <c r="QR204" s="29"/>
      <c r="QS204" s="29"/>
      <c r="QT204" s="29"/>
      <c r="QU204" s="29"/>
      <c r="QV204" s="29"/>
      <c r="QW204" s="29"/>
      <c r="QX204" s="29"/>
      <c r="QY204" s="29"/>
      <c r="QZ204" s="29"/>
      <c r="RA204" s="29"/>
      <c r="RB204" s="29"/>
      <c r="RC204" s="29"/>
      <c r="RD204" s="29"/>
      <c r="RE204" s="29"/>
      <c r="RF204" s="29"/>
      <c r="RG204" s="29"/>
      <c r="RH204" s="29"/>
      <c r="RI204" s="29"/>
      <c r="RJ204" s="29"/>
      <c r="RK204" s="29"/>
      <c r="RL204" s="29"/>
      <c r="RM204" s="29"/>
      <c r="RN204" s="29"/>
      <c r="RO204" s="29"/>
      <c r="RP204" s="29"/>
      <c r="RQ204" s="29"/>
      <c r="RR204" s="29"/>
      <c r="RS204" s="29"/>
      <c r="RT204" s="29"/>
      <c r="RU204" s="29"/>
      <c r="RV204" s="29"/>
      <c r="RW204" s="29"/>
      <c r="RX204" s="29"/>
      <c r="RY204" s="29"/>
      <c r="RZ204" s="29"/>
      <c r="SA204" s="29"/>
      <c r="SB204" s="29"/>
      <c r="SC204" s="29"/>
      <c r="SD204" s="29"/>
      <c r="SE204" s="29"/>
      <c r="SF204" s="29"/>
      <c r="SG204" s="29"/>
      <c r="SH204" s="29"/>
      <c r="SI204" s="29"/>
      <c r="SJ204" s="29"/>
      <c r="SK204" s="29"/>
      <c r="SL204" s="29"/>
      <c r="SM204" s="29"/>
      <c r="SN204" s="29"/>
      <c r="SO204" s="29"/>
      <c r="SP204" s="29"/>
      <c r="SQ204" s="29"/>
      <c r="SR204" s="29"/>
      <c r="SS204" s="29"/>
      <c r="ST204" s="29"/>
      <c r="SU204" s="29"/>
      <c r="SV204" s="29"/>
      <c r="SW204" s="29"/>
      <c r="SX204" s="29"/>
      <c r="SY204" s="29"/>
      <c r="SZ204" s="29"/>
      <c r="TA204" s="29"/>
      <c r="TB204" s="29"/>
      <c r="TC204" s="29"/>
      <c r="TD204" s="29"/>
      <c r="TE204" s="29"/>
      <c r="TF204" s="29"/>
      <c r="TG204" s="29"/>
      <c r="TH204" s="29"/>
      <c r="TI204" s="29"/>
      <c r="TJ204" s="29"/>
      <c r="TK204" s="29"/>
      <c r="TL204" s="29"/>
      <c r="TM204" s="29"/>
      <c r="TN204" s="29"/>
      <c r="TO204" s="29"/>
      <c r="TP204" s="29"/>
      <c r="TQ204" s="29"/>
      <c r="TR204" s="29"/>
      <c r="TS204" s="29"/>
      <c r="TT204" s="29"/>
      <c r="TU204" s="29"/>
      <c r="TV204" s="29"/>
      <c r="TW204" s="29"/>
      <c r="TX204" s="29"/>
      <c r="TY204" s="29"/>
      <c r="TZ204" s="29"/>
      <c r="UA204" s="29"/>
      <c r="UB204" s="29"/>
      <c r="UC204" s="29"/>
      <c r="UD204" s="29"/>
      <c r="UE204" s="29"/>
      <c r="UF204" s="29"/>
      <c r="UG204" s="29"/>
      <c r="UH204" s="29"/>
      <c r="UI204" s="29"/>
      <c r="UJ204" s="29"/>
      <c r="UK204" s="29"/>
      <c r="UL204" s="29"/>
      <c r="UM204" s="29"/>
      <c r="UN204" s="29"/>
      <c r="UO204" s="29"/>
      <c r="UP204" s="29"/>
      <c r="UQ204" s="29"/>
      <c r="UR204" s="29"/>
      <c r="US204" s="29"/>
      <c r="UT204" s="29"/>
      <c r="UU204" s="29"/>
      <c r="UV204" s="29"/>
      <c r="UW204" s="29"/>
      <c r="UX204" s="29"/>
      <c r="UY204" s="29"/>
      <c r="UZ204" s="29"/>
      <c r="VA204" s="29"/>
      <c r="VB204" s="29"/>
      <c r="VC204" s="29"/>
      <c r="VD204" s="29"/>
      <c r="VE204" s="29"/>
      <c r="VF204" s="29"/>
      <c r="VG204" s="29"/>
      <c r="VH204" s="29"/>
      <c r="VI204" s="29"/>
      <c r="VJ204" s="29"/>
      <c r="VK204" s="29"/>
      <c r="VL204" s="29"/>
      <c r="VM204" s="29"/>
      <c r="VN204" s="29"/>
      <c r="VO204" s="29"/>
      <c r="VP204" s="29"/>
      <c r="VQ204" s="29"/>
      <c r="VR204" s="29"/>
      <c r="VS204" s="29"/>
      <c r="VT204" s="29"/>
      <c r="VU204" s="29"/>
      <c r="VV204" s="29"/>
      <c r="VW204" s="29"/>
      <c r="VX204" s="29"/>
      <c r="VY204" s="29"/>
      <c r="VZ204" s="29"/>
      <c r="WA204" s="29"/>
      <c r="WB204" s="29"/>
      <c r="WC204" s="29"/>
      <c r="WD204" s="29"/>
      <c r="WE204" s="29"/>
      <c r="WF204" s="29"/>
      <c r="WG204" s="29"/>
      <c r="WH204" s="29"/>
      <c r="WI204" s="29"/>
      <c r="WJ204" s="29"/>
      <c r="WK204" s="29"/>
      <c r="WL204" s="29"/>
      <c r="WM204" s="29"/>
      <c r="WN204" s="29"/>
      <c r="WO204" s="29"/>
      <c r="WP204" s="29"/>
      <c r="WQ204" s="29"/>
      <c r="WR204" s="29"/>
      <c r="WS204" s="29"/>
    </row>
    <row r="205" spans="1:617" s="3" customFormat="1" ht="15" outlineLevel="1" thickBot="1">
      <c r="A205" s="33"/>
      <c r="B205" s="49"/>
      <c r="C205" s="45"/>
      <c r="D205" s="131"/>
      <c r="E205" s="131"/>
      <c r="F205" s="14"/>
      <c r="G205" s="14">
        <v>111</v>
      </c>
      <c r="H205" s="29"/>
      <c r="I205" s="29"/>
      <c r="J205" s="29"/>
      <c r="K205" s="29"/>
      <c r="L205" s="29"/>
      <c r="M205" s="29"/>
      <c r="N205" s="29"/>
      <c r="O205" s="29"/>
      <c r="P205" s="29"/>
      <c r="Q205" s="29"/>
      <c r="R205" s="29"/>
      <c r="S205" s="29"/>
      <c r="T205" s="29"/>
      <c r="U205" s="29"/>
      <c r="V205" s="29"/>
      <c r="W205" s="29"/>
      <c r="X205" s="29"/>
      <c r="Y205" s="29"/>
      <c r="Z205" s="29"/>
      <c r="AA205" s="29"/>
      <c r="AB205" s="29"/>
      <c r="AC205" s="29"/>
      <c r="AD205" s="29"/>
      <c r="AE205" s="29"/>
      <c r="AF205" s="29"/>
      <c r="AG205" s="29"/>
      <c r="AH205" s="29"/>
      <c r="AI205" s="29"/>
      <c r="AJ205" s="29"/>
      <c r="AK205" s="29"/>
      <c r="AL205" s="29"/>
      <c r="AM205" s="29"/>
      <c r="AN205" s="29"/>
      <c r="AO205" s="29"/>
      <c r="AP205" s="29"/>
      <c r="AQ205" s="29"/>
      <c r="AR205" s="29"/>
      <c r="AS205" s="29"/>
      <c r="AT205" s="29"/>
      <c r="AU205" s="29"/>
      <c r="AV205" s="29"/>
      <c r="AW205" s="29"/>
      <c r="AX205" s="29"/>
      <c r="AY205" s="29"/>
      <c r="AZ205" s="29"/>
      <c r="BA205" s="29"/>
      <c r="BB205" s="29"/>
      <c r="BC205" s="29"/>
      <c r="BD205" s="29"/>
      <c r="BE205" s="29"/>
      <c r="BF205" s="29"/>
      <c r="BG205" s="29"/>
      <c r="BH205" s="29"/>
      <c r="BI205" s="29"/>
      <c r="BJ205" s="29"/>
      <c r="BK205" s="29"/>
      <c r="BL205" s="29"/>
      <c r="BM205" s="29"/>
      <c r="BN205" s="29"/>
      <c r="BO205" s="29"/>
      <c r="BP205" s="29"/>
      <c r="BQ205" s="29"/>
      <c r="BR205" s="29"/>
      <c r="BS205" s="29"/>
      <c r="BT205" s="29"/>
      <c r="BU205" s="29"/>
      <c r="BV205" s="29"/>
      <c r="BW205" s="29"/>
      <c r="BX205" s="29"/>
      <c r="BY205" s="29"/>
      <c r="BZ205" s="29"/>
      <c r="CA205" s="29"/>
      <c r="CB205" s="29"/>
      <c r="CC205" s="29"/>
      <c r="CD205" s="29"/>
      <c r="CE205" s="29"/>
      <c r="CF205" s="29"/>
      <c r="CG205" s="29"/>
      <c r="CH205" s="29"/>
      <c r="CI205" s="29"/>
      <c r="CJ205" s="29"/>
      <c r="CK205" s="29"/>
      <c r="CL205" s="29"/>
      <c r="CM205" s="29"/>
      <c r="CN205" s="29"/>
      <c r="CO205" s="29"/>
      <c r="CP205" s="29"/>
      <c r="CQ205" s="29"/>
      <c r="CR205" s="29"/>
      <c r="CS205" s="29"/>
      <c r="CT205" s="29"/>
      <c r="CU205" s="29"/>
      <c r="CV205" s="29"/>
      <c r="CW205" s="29"/>
      <c r="CX205" s="29"/>
      <c r="CY205" s="29"/>
      <c r="CZ205" s="29"/>
      <c r="DA205" s="29"/>
      <c r="DB205" s="29"/>
      <c r="DC205" s="29"/>
      <c r="DD205" s="29"/>
      <c r="DE205" s="29"/>
      <c r="DF205" s="29"/>
      <c r="DG205" s="29"/>
      <c r="DH205" s="29"/>
      <c r="DI205" s="29"/>
      <c r="DJ205" s="29"/>
      <c r="DK205" s="29"/>
      <c r="DL205" s="29"/>
      <c r="DM205" s="29"/>
      <c r="DN205" s="29"/>
      <c r="DO205" s="29"/>
      <c r="DP205" s="29"/>
      <c r="DQ205" s="29"/>
      <c r="DR205" s="29"/>
      <c r="DS205" s="29"/>
      <c r="DT205" s="29"/>
      <c r="DU205" s="29"/>
      <c r="DV205" s="29"/>
      <c r="DW205" s="29"/>
      <c r="DX205" s="29"/>
      <c r="DY205" s="29"/>
      <c r="DZ205" s="29"/>
      <c r="EA205" s="29"/>
      <c r="EB205" s="29"/>
      <c r="EC205" s="29"/>
      <c r="ED205" s="29"/>
      <c r="EE205" s="29"/>
      <c r="EF205" s="29"/>
      <c r="EG205" s="29"/>
      <c r="EH205" s="29"/>
      <c r="EI205" s="29"/>
      <c r="EJ205" s="29"/>
      <c r="EK205" s="29"/>
      <c r="EL205" s="29"/>
      <c r="EM205" s="29"/>
      <c r="EN205" s="29"/>
      <c r="EO205" s="29"/>
      <c r="EP205" s="29"/>
      <c r="EQ205" s="29"/>
      <c r="ER205" s="29"/>
      <c r="ES205" s="29"/>
      <c r="ET205" s="29"/>
      <c r="EU205" s="29"/>
      <c r="EV205" s="29"/>
      <c r="EW205" s="29"/>
      <c r="EX205" s="29"/>
      <c r="EY205" s="29"/>
      <c r="EZ205" s="29"/>
      <c r="FA205" s="29"/>
      <c r="FB205" s="29"/>
      <c r="FC205" s="29"/>
      <c r="FD205" s="29"/>
      <c r="FE205" s="29"/>
      <c r="FF205" s="29"/>
      <c r="FG205" s="29"/>
      <c r="FH205" s="29"/>
      <c r="FI205" s="29"/>
      <c r="FJ205" s="29"/>
      <c r="FK205" s="29"/>
      <c r="FL205" s="29"/>
      <c r="FM205" s="29"/>
      <c r="FN205" s="29"/>
      <c r="FO205" s="29"/>
      <c r="FP205" s="29"/>
      <c r="FQ205" s="29"/>
      <c r="FR205" s="29"/>
      <c r="FS205" s="29"/>
      <c r="FT205" s="29"/>
      <c r="FU205" s="29"/>
      <c r="FV205" s="29"/>
      <c r="FW205" s="29"/>
      <c r="FX205" s="29"/>
      <c r="FY205" s="29"/>
      <c r="FZ205" s="29"/>
      <c r="GA205" s="29"/>
      <c r="GB205" s="29"/>
      <c r="GC205" s="29"/>
      <c r="GD205" s="29"/>
      <c r="GE205" s="29"/>
      <c r="GF205" s="29"/>
      <c r="GG205" s="29"/>
      <c r="GH205" s="29"/>
      <c r="GI205" s="29"/>
      <c r="GJ205" s="29"/>
      <c r="GK205" s="29"/>
      <c r="GL205" s="29"/>
      <c r="GM205" s="29"/>
      <c r="GN205" s="29"/>
      <c r="GO205" s="29"/>
      <c r="GP205" s="29"/>
      <c r="GQ205" s="29"/>
      <c r="GR205" s="29"/>
      <c r="GS205" s="29"/>
      <c r="GT205" s="29"/>
      <c r="GU205" s="29"/>
      <c r="GV205" s="29"/>
      <c r="GW205" s="29"/>
      <c r="GX205" s="29"/>
      <c r="GY205" s="29"/>
      <c r="GZ205" s="29"/>
      <c r="HA205" s="29"/>
      <c r="HB205" s="29"/>
      <c r="HC205" s="29"/>
      <c r="HD205" s="29"/>
      <c r="HE205" s="29"/>
      <c r="HF205" s="29"/>
      <c r="HG205" s="29"/>
      <c r="HH205" s="29"/>
      <c r="HI205" s="29"/>
      <c r="HJ205" s="29"/>
      <c r="HK205" s="29"/>
      <c r="HL205" s="29"/>
      <c r="HM205" s="29"/>
      <c r="HN205" s="29"/>
      <c r="HO205" s="29"/>
      <c r="HP205" s="29"/>
      <c r="HQ205" s="29"/>
      <c r="HR205" s="29"/>
      <c r="HS205" s="29"/>
      <c r="HT205" s="29"/>
      <c r="HU205" s="29"/>
      <c r="HV205" s="29"/>
      <c r="HW205" s="29"/>
      <c r="HX205" s="29"/>
      <c r="HY205" s="29"/>
      <c r="HZ205" s="29"/>
      <c r="IA205" s="29"/>
      <c r="IB205" s="29"/>
      <c r="IC205" s="29"/>
      <c r="ID205" s="29"/>
      <c r="IE205" s="29"/>
      <c r="IF205" s="29"/>
      <c r="IG205" s="29"/>
      <c r="IH205" s="29"/>
      <c r="II205" s="29"/>
      <c r="IJ205" s="29"/>
      <c r="IK205" s="29"/>
      <c r="IL205" s="29"/>
      <c r="IM205" s="29"/>
      <c r="IN205" s="29"/>
      <c r="IO205" s="29"/>
      <c r="IP205" s="29"/>
      <c r="IQ205" s="29"/>
      <c r="IR205" s="29"/>
      <c r="IS205" s="29"/>
      <c r="IT205" s="29"/>
      <c r="IU205" s="29"/>
      <c r="IV205" s="29"/>
      <c r="IW205" s="29"/>
      <c r="IX205" s="29"/>
      <c r="IY205" s="29"/>
      <c r="IZ205" s="29"/>
      <c r="JA205" s="29"/>
      <c r="JB205" s="29"/>
      <c r="JC205" s="29"/>
      <c r="JD205" s="29"/>
      <c r="JE205" s="29"/>
      <c r="JF205" s="29"/>
      <c r="JG205" s="29"/>
      <c r="JH205" s="29"/>
      <c r="JI205" s="29"/>
      <c r="JJ205" s="29"/>
      <c r="JK205" s="29"/>
      <c r="JL205" s="29"/>
      <c r="JM205" s="29"/>
      <c r="JN205" s="29"/>
      <c r="JO205" s="29"/>
      <c r="JP205" s="29"/>
      <c r="JQ205" s="29"/>
      <c r="JR205" s="29"/>
      <c r="JS205" s="29"/>
      <c r="JT205" s="29"/>
      <c r="JU205" s="29"/>
      <c r="JV205" s="29"/>
      <c r="JW205" s="29"/>
      <c r="JX205" s="29"/>
      <c r="JY205" s="29"/>
      <c r="JZ205" s="29"/>
      <c r="KA205" s="29"/>
      <c r="KB205" s="29"/>
      <c r="KC205" s="29"/>
      <c r="KD205" s="29"/>
      <c r="KE205" s="29"/>
      <c r="KF205" s="29"/>
      <c r="KG205" s="29"/>
      <c r="KH205" s="29"/>
      <c r="KI205" s="29"/>
      <c r="KJ205" s="29"/>
      <c r="KK205" s="29"/>
      <c r="KL205" s="29"/>
      <c r="KM205" s="29"/>
      <c r="KN205" s="29"/>
      <c r="KO205" s="29"/>
      <c r="KP205" s="29"/>
      <c r="KQ205" s="29"/>
      <c r="KR205" s="29"/>
      <c r="KS205" s="29"/>
      <c r="KT205" s="29"/>
      <c r="KU205" s="29"/>
      <c r="KV205" s="29"/>
      <c r="KW205" s="29"/>
      <c r="KX205" s="29"/>
      <c r="KY205" s="29"/>
      <c r="KZ205" s="29"/>
      <c r="LA205" s="29"/>
      <c r="LB205" s="29"/>
      <c r="LC205" s="29"/>
      <c r="LD205" s="29"/>
      <c r="LE205" s="29"/>
      <c r="LF205" s="29"/>
      <c r="LG205" s="29"/>
      <c r="LH205" s="29"/>
      <c r="LI205" s="29"/>
      <c r="LJ205" s="29"/>
      <c r="LK205" s="29"/>
      <c r="LL205" s="29"/>
      <c r="LM205" s="29"/>
      <c r="LN205" s="29"/>
      <c r="LO205" s="29"/>
      <c r="LP205" s="29"/>
      <c r="LQ205" s="29"/>
      <c r="LR205" s="29"/>
      <c r="LS205" s="29"/>
      <c r="LT205" s="29"/>
      <c r="LU205" s="29"/>
      <c r="LV205" s="29"/>
      <c r="LW205" s="29"/>
      <c r="LX205" s="29"/>
      <c r="LY205" s="29"/>
      <c r="LZ205" s="29"/>
      <c r="MA205" s="29"/>
      <c r="MB205" s="29"/>
      <c r="MC205" s="29"/>
      <c r="MD205" s="29"/>
      <c r="ME205" s="29"/>
      <c r="MF205" s="29"/>
      <c r="MG205" s="29"/>
      <c r="MH205" s="29"/>
      <c r="MI205" s="29"/>
      <c r="MJ205" s="29"/>
      <c r="MK205" s="29"/>
      <c r="ML205" s="29"/>
      <c r="MM205" s="29"/>
      <c r="MN205" s="29"/>
      <c r="MO205" s="29"/>
      <c r="MP205" s="29"/>
      <c r="MQ205" s="29"/>
      <c r="MR205" s="29"/>
      <c r="MS205" s="29"/>
      <c r="MT205" s="29"/>
      <c r="MU205" s="29"/>
      <c r="MV205" s="29"/>
      <c r="MW205" s="29"/>
      <c r="MX205" s="29"/>
      <c r="MY205" s="29"/>
      <c r="MZ205" s="29"/>
      <c r="NA205" s="29"/>
      <c r="NB205" s="29"/>
      <c r="NC205" s="29"/>
      <c r="ND205" s="29"/>
      <c r="NE205" s="29"/>
      <c r="NF205" s="29"/>
      <c r="NG205" s="29"/>
      <c r="NH205" s="29"/>
      <c r="NI205" s="29"/>
      <c r="NJ205" s="29"/>
      <c r="NK205" s="29"/>
      <c r="NL205" s="29"/>
      <c r="NM205" s="29"/>
      <c r="NN205" s="29"/>
      <c r="NO205" s="29"/>
      <c r="NP205" s="29"/>
      <c r="NQ205" s="29"/>
      <c r="NR205" s="29"/>
      <c r="NS205" s="29"/>
      <c r="NT205" s="29"/>
      <c r="NU205" s="29"/>
      <c r="NV205" s="29"/>
      <c r="NW205" s="29"/>
      <c r="NX205" s="29"/>
      <c r="NY205" s="29"/>
      <c r="NZ205" s="29"/>
      <c r="OA205" s="29"/>
      <c r="OB205" s="29"/>
      <c r="OC205" s="29"/>
      <c r="OD205" s="29"/>
      <c r="OE205" s="29"/>
      <c r="OF205" s="29"/>
      <c r="OG205" s="29"/>
      <c r="OH205" s="29"/>
      <c r="OI205" s="29"/>
      <c r="OJ205" s="29"/>
      <c r="OK205" s="29"/>
      <c r="OL205" s="29"/>
      <c r="OM205" s="29"/>
      <c r="ON205" s="29"/>
      <c r="OO205" s="29"/>
      <c r="OP205" s="29"/>
      <c r="OQ205" s="29"/>
      <c r="OR205" s="29"/>
      <c r="OS205" s="29"/>
      <c r="OT205" s="29"/>
      <c r="OU205" s="29"/>
      <c r="OV205" s="29"/>
      <c r="OW205" s="29"/>
      <c r="OX205" s="29"/>
      <c r="OY205" s="29"/>
      <c r="OZ205" s="29"/>
      <c r="PA205" s="29"/>
      <c r="PB205" s="29"/>
      <c r="PC205" s="29"/>
      <c r="PD205" s="29"/>
      <c r="PE205" s="29"/>
      <c r="PF205" s="29"/>
      <c r="PG205" s="29"/>
      <c r="PH205" s="29"/>
      <c r="PI205" s="29"/>
      <c r="PJ205" s="29"/>
      <c r="PK205" s="29"/>
      <c r="PL205" s="29"/>
      <c r="PM205" s="29"/>
      <c r="PN205" s="29"/>
      <c r="PO205" s="29"/>
      <c r="PP205" s="29"/>
      <c r="PQ205" s="29"/>
      <c r="PR205" s="29"/>
      <c r="PS205" s="29"/>
      <c r="PT205" s="29"/>
      <c r="PU205" s="29"/>
      <c r="PV205" s="29"/>
      <c r="PW205" s="29"/>
      <c r="PX205" s="29"/>
      <c r="PY205" s="29"/>
      <c r="PZ205" s="29"/>
      <c r="QA205" s="29"/>
      <c r="QB205" s="29"/>
      <c r="QC205" s="29"/>
      <c r="QD205" s="29"/>
      <c r="QE205" s="29"/>
      <c r="QF205" s="29"/>
      <c r="QG205" s="29"/>
      <c r="QH205" s="29"/>
      <c r="QI205" s="29"/>
      <c r="QJ205" s="29"/>
      <c r="QK205" s="29"/>
      <c r="QL205" s="29"/>
      <c r="QM205" s="29"/>
      <c r="QN205" s="29"/>
      <c r="QO205" s="29"/>
      <c r="QP205" s="29"/>
      <c r="QQ205" s="29"/>
      <c r="QR205" s="29"/>
      <c r="QS205" s="29"/>
      <c r="QT205" s="29"/>
      <c r="QU205" s="29"/>
      <c r="QV205" s="29"/>
      <c r="QW205" s="29"/>
      <c r="QX205" s="29"/>
      <c r="QY205" s="29"/>
      <c r="QZ205" s="29"/>
      <c r="RA205" s="29"/>
      <c r="RB205" s="29"/>
      <c r="RC205" s="29"/>
      <c r="RD205" s="29"/>
      <c r="RE205" s="29"/>
      <c r="RF205" s="29"/>
      <c r="RG205" s="29"/>
      <c r="RH205" s="29"/>
      <c r="RI205" s="29"/>
      <c r="RJ205" s="29"/>
      <c r="RK205" s="29"/>
      <c r="RL205" s="29"/>
      <c r="RM205" s="29"/>
      <c r="RN205" s="29"/>
      <c r="RO205" s="29"/>
      <c r="RP205" s="29"/>
      <c r="RQ205" s="29"/>
      <c r="RR205" s="29"/>
      <c r="RS205" s="29"/>
      <c r="RT205" s="29"/>
      <c r="RU205" s="29"/>
      <c r="RV205" s="29"/>
      <c r="RW205" s="29"/>
      <c r="RX205" s="29"/>
      <c r="RY205" s="29"/>
      <c r="RZ205" s="29"/>
      <c r="SA205" s="29"/>
      <c r="SB205" s="29"/>
      <c r="SC205" s="29"/>
      <c r="SD205" s="29"/>
      <c r="SE205" s="29"/>
      <c r="SF205" s="29"/>
      <c r="SG205" s="29"/>
      <c r="SH205" s="29"/>
      <c r="SI205" s="29"/>
      <c r="SJ205" s="29"/>
      <c r="SK205" s="29"/>
      <c r="SL205" s="29"/>
      <c r="SM205" s="29"/>
      <c r="SN205" s="29"/>
      <c r="SO205" s="29"/>
      <c r="SP205" s="29"/>
      <c r="SQ205" s="29"/>
      <c r="SR205" s="29"/>
      <c r="SS205" s="29"/>
      <c r="ST205" s="29"/>
      <c r="SU205" s="29"/>
      <c r="SV205" s="29"/>
      <c r="SW205" s="29"/>
      <c r="SX205" s="29"/>
      <c r="SY205" s="29"/>
      <c r="SZ205" s="29"/>
      <c r="TA205" s="29"/>
      <c r="TB205" s="29"/>
      <c r="TC205" s="29"/>
      <c r="TD205" s="29"/>
      <c r="TE205" s="29"/>
      <c r="TF205" s="29"/>
      <c r="TG205" s="29"/>
      <c r="TH205" s="29"/>
      <c r="TI205" s="29"/>
      <c r="TJ205" s="29"/>
      <c r="TK205" s="29"/>
      <c r="TL205" s="29"/>
      <c r="TM205" s="29"/>
      <c r="TN205" s="29"/>
      <c r="TO205" s="29"/>
      <c r="TP205" s="29"/>
      <c r="TQ205" s="29"/>
      <c r="TR205" s="29"/>
      <c r="TS205" s="29"/>
      <c r="TT205" s="29"/>
      <c r="TU205" s="29"/>
      <c r="TV205" s="29"/>
      <c r="TW205" s="29"/>
      <c r="TX205" s="29"/>
      <c r="TY205" s="29"/>
      <c r="TZ205" s="29"/>
      <c r="UA205" s="29"/>
      <c r="UB205" s="29"/>
      <c r="UC205" s="29"/>
      <c r="UD205" s="29"/>
      <c r="UE205" s="29"/>
      <c r="UF205" s="29"/>
      <c r="UG205" s="29"/>
      <c r="UH205" s="29"/>
      <c r="UI205" s="29"/>
      <c r="UJ205" s="29"/>
      <c r="UK205" s="29"/>
      <c r="UL205" s="29"/>
      <c r="UM205" s="29"/>
      <c r="UN205" s="29"/>
      <c r="UO205" s="29"/>
      <c r="UP205" s="29"/>
      <c r="UQ205" s="29"/>
      <c r="UR205" s="29"/>
      <c r="US205" s="29"/>
      <c r="UT205" s="29"/>
      <c r="UU205" s="29"/>
      <c r="UV205" s="29"/>
      <c r="UW205" s="29"/>
      <c r="UX205" s="29"/>
      <c r="UY205" s="29"/>
      <c r="UZ205" s="29"/>
      <c r="VA205" s="29"/>
      <c r="VB205" s="29"/>
      <c r="VC205" s="29"/>
      <c r="VD205" s="29"/>
      <c r="VE205" s="29"/>
      <c r="VF205" s="29"/>
      <c r="VG205" s="29"/>
      <c r="VH205" s="29"/>
      <c r="VI205" s="29"/>
      <c r="VJ205" s="29"/>
      <c r="VK205" s="29"/>
      <c r="VL205" s="29"/>
      <c r="VM205" s="29"/>
      <c r="VN205" s="29"/>
      <c r="VO205" s="29"/>
      <c r="VP205" s="29"/>
      <c r="VQ205" s="29"/>
      <c r="VR205" s="29"/>
      <c r="VS205" s="29"/>
      <c r="VT205" s="29"/>
      <c r="VU205" s="29"/>
      <c r="VV205" s="29"/>
      <c r="VW205" s="29"/>
      <c r="VX205" s="29"/>
      <c r="VY205" s="29"/>
      <c r="VZ205" s="29"/>
      <c r="WA205" s="29"/>
      <c r="WB205" s="29"/>
      <c r="WC205" s="29"/>
      <c r="WD205" s="29"/>
      <c r="WE205" s="29"/>
      <c r="WF205" s="29"/>
      <c r="WG205" s="29"/>
      <c r="WH205" s="29"/>
      <c r="WI205" s="29"/>
      <c r="WJ205" s="29"/>
      <c r="WK205" s="29"/>
      <c r="WL205" s="29"/>
      <c r="WM205" s="29"/>
      <c r="WN205" s="29"/>
      <c r="WO205" s="29"/>
      <c r="WP205" s="29"/>
      <c r="WQ205" s="29"/>
      <c r="WR205" s="29"/>
      <c r="WS205" s="29"/>
    </row>
    <row r="206" spans="1:617" s="3" customFormat="1" ht="15" thickBot="1">
      <c r="A206" s="33" t="s">
        <v>293</v>
      </c>
      <c r="B206" s="25" t="s">
        <v>294</v>
      </c>
      <c r="C206" s="26"/>
      <c r="D206" s="132"/>
      <c r="E206" s="133"/>
      <c r="F206" s="28"/>
      <c r="G206" s="28" t="str">
        <f t="shared" ca="1" si="586"/>
        <v/>
      </c>
      <c r="H206" s="29"/>
      <c r="I206" s="29"/>
      <c r="J206" s="29"/>
      <c r="K206" s="29"/>
      <c r="L206" s="29"/>
      <c r="M206" s="29"/>
      <c r="N206" s="29"/>
      <c r="O206" s="29"/>
      <c r="P206" s="29"/>
      <c r="Q206" s="29"/>
      <c r="R206" s="29"/>
      <c r="S206" s="29"/>
      <c r="T206" s="29"/>
      <c r="U206" s="29"/>
      <c r="V206" s="29"/>
      <c r="W206" s="29"/>
      <c r="X206" s="29"/>
      <c r="Y206" s="29"/>
      <c r="Z206" s="29"/>
      <c r="AA206" s="29"/>
      <c r="AB206" s="29"/>
      <c r="AC206" s="29"/>
      <c r="AD206" s="29"/>
      <c r="AE206" s="29"/>
      <c r="AF206" s="29"/>
      <c r="AG206" s="29"/>
      <c r="AH206" s="29"/>
      <c r="AI206" s="29"/>
      <c r="AJ206" s="29"/>
      <c r="AK206" s="29"/>
      <c r="AL206" s="29"/>
      <c r="AM206" s="29"/>
      <c r="AN206" s="29"/>
      <c r="AO206" s="29"/>
      <c r="AP206" s="29"/>
      <c r="AQ206" s="29"/>
      <c r="AR206" s="29"/>
      <c r="AS206" s="29"/>
      <c r="AT206" s="29"/>
      <c r="AU206" s="29"/>
      <c r="AV206" s="29"/>
      <c r="AW206" s="29"/>
      <c r="AX206" s="29"/>
      <c r="AY206" s="29"/>
      <c r="AZ206" s="29"/>
      <c r="BA206" s="29"/>
      <c r="BB206" s="29"/>
      <c r="BC206" s="29"/>
      <c r="BD206" s="29"/>
      <c r="BE206" s="29"/>
      <c r="BF206" s="29"/>
      <c r="BG206" s="29"/>
      <c r="BH206" s="29"/>
      <c r="BI206" s="29"/>
      <c r="BJ206" s="29"/>
      <c r="BK206" s="29"/>
      <c r="BL206" s="29"/>
      <c r="BM206" s="29"/>
      <c r="BN206" s="29"/>
      <c r="BO206" s="29"/>
      <c r="BP206" s="29"/>
      <c r="BQ206" s="29"/>
      <c r="BR206" s="29"/>
      <c r="BS206" s="29"/>
      <c r="BT206" s="29"/>
      <c r="BU206" s="29"/>
      <c r="BV206" s="29"/>
      <c r="BW206" s="29"/>
      <c r="BX206" s="29"/>
      <c r="BY206" s="29"/>
      <c r="BZ206" s="29"/>
      <c r="CA206" s="29"/>
      <c r="CB206" s="29"/>
      <c r="CC206" s="29"/>
      <c r="CD206" s="29"/>
      <c r="CE206" s="29"/>
      <c r="CF206" s="29"/>
      <c r="CG206" s="29"/>
      <c r="CH206" s="29"/>
      <c r="CI206" s="29"/>
      <c r="CJ206" s="29"/>
      <c r="CK206" s="29"/>
      <c r="CL206" s="29"/>
      <c r="CM206" s="29"/>
      <c r="CN206" s="29"/>
      <c r="CO206" s="29"/>
      <c r="CP206" s="29"/>
      <c r="CQ206" s="29"/>
      <c r="CR206" s="29"/>
      <c r="CS206" s="29"/>
      <c r="CT206" s="29"/>
      <c r="CU206" s="29"/>
      <c r="CV206" s="29"/>
      <c r="CW206" s="29"/>
      <c r="CX206" s="29"/>
      <c r="CY206" s="29"/>
      <c r="CZ206" s="29"/>
      <c r="DA206" s="29"/>
      <c r="DB206" s="29"/>
      <c r="DC206" s="29"/>
      <c r="DD206" s="29"/>
      <c r="DE206" s="29"/>
      <c r="DF206" s="29"/>
      <c r="DG206" s="29"/>
      <c r="DH206" s="29"/>
      <c r="DI206" s="29"/>
      <c r="DJ206" s="29"/>
      <c r="DK206" s="29"/>
      <c r="DL206" s="29"/>
      <c r="DM206" s="29"/>
      <c r="DN206" s="29"/>
      <c r="DO206" s="29"/>
      <c r="DP206" s="29"/>
      <c r="DQ206" s="29"/>
      <c r="DR206" s="29"/>
      <c r="DS206" s="29"/>
      <c r="DT206" s="29"/>
      <c r="DU206" s="29"/>
      <c r="DV206" s="29"/>
      <c r="DW206" s="29"/>
      <c r="DX206" s="29"/>
      <c r="DY206" s="29"/>
      <c r="DZ206" s="29"/>
      <c r="EA206" s="29"/>
      <c r="EB206" s="29"/>
      <c r="EC206" s="29"/>
      <c r="ED206" s="29"/>
      <c r="EE206" s="29"/>
      <c r="EF206" s="29"/>
      <c r="EG206" s="29"/>
      <c r="EH206" s="29"/>
      <c r="EI206" s="29"/>
      <c r="EJ206" s="29"/>
      <c r="EK206" s="29"/>
      <c r="EL206" s="29"/>
      <c r="EM206" s="29"/>
      <c r="EN206" s="29"/>
      <c r="EO206" s="29"/>
      <c r="EP206" s="29"/>
      <c r="EQ206" s="29"/>
      <c r="ER206" s="29"/>
      <c r="ES206" s="29"/>
      <c r="ET206" s="29"/>
      <c r="EU206" s="29"/>
      <c r="EV206" s="29"/>
      <c r="EW206" s="29"/>
      <c r="EX206" s="29"/>
      <c r="EY206" s="29"/>
      <c r="EZ206" s="29"/>
      <c r="FA206" s="29"/>
      <c r="FB206" s="29"/>
      <c r="FC206" s="29"/>
      <c r="FD206" s="29"/>
      <c r="FE206" s="29"/>
      <c r="FF206" s="29"/>
      <c r="FG206" s="29"/>
      <c r="FH206" s="29"/>
      <c r="FI206" s="29"/>
      <c r="FJ206" s="29"/>
      <c r="FK206" s="29"/>
      <c r="FL206" s="29"/>
      <c r="FM206" s="29"/>
      <c r="FN206" s="29"/>
      <c r="FO206" s="29"/>
      <c r="FP206" s="29"/>
      <c r="FQ206" s="29"/>
      <c r="FR206" s="29"/>
      <c r="FS206" s="29"/>
      <c r="FT206" s="29"/>
      <c r="FU206" s="29"/>
      <c r="FV206" s="29"/>
      <c r="FW206" s="29"/>
      <c r="FX206" s="29"/>
      <c r="FY206" s="29"/>
      <c r="FZ206" s="29"/>
      <c r="GA206" s="29"/>
      <c r="GB206" s="29"/>
      <c r="GC206" s="29"/>
      <c r="GD206" s="29"/>
      <c r="GE206" s="29"/>
      <c r="GF206" s="29"/>
      <c r="GG206" s="29"/>
      <c r="GH206" s="29"/>
      <c r="GI206" s="29"/>
      <c r="GJ206" s="29"/>
      <c r="GK206" s="29"/>
      <c r="GL206" s="29"/>
      <c r="GM206" s="29"/>
      <c r="GN206" s="29"/>
      <c r="GO206" s="29"/>
      <c r="GP206" s="29"/>
      <c r="GQ206" s="29"/>
      <c r="GR206" s="29"/>
      <c r="GS206" s="29"/>
      <c r="GT206" s="29"/>
      <c r="GU206" s="29"/>
      <c r="GV206" s="29"/>
      <c r="GW206" s="29"/>
      <c r="GX206" s="29"/>
      <c r="GY206" s="29"/>
      <c r="GZ206" s="29"/>
      <c r="HA206" s="29"/>
      <c r="HB206" s="29"/>
      <c r="HC206" s="29"/>
      <c r="HD206" s="29"/>
      <c r="HE206" s="29"/>
      <c r="HF206" s="29"/>
      <c r="HG206" s="29"/>
      <c r="HH206" s="29"/>
      <c r="HI206" s="29"/>
      <c r="HJ206" s="29"/>
      <c r="HK206" s="29"/>
      <c r="HL206" s="29"/>
      <c r="HM206" s="29"/>
      <c r="HN206" s="29"/>
      <c r="HO206" s="29"/>
      <c r="HP206" s="29"/>
      <c r="HQ206" s="29"/>
      <c r="HR206" s="29"/>
      <c r="HS206" s="29"/>
      <c r="HT206" s="29"/>
      <c r="HU206" s="29"/>
      <c r="HV206" s="29"/>
      <c r="HW206" s="29"/>
      <c r="HX206" s="29"/>
      <c r="HY206" s="29"/>
      <c r="HZ206" s="29"/>
      <c r="IA206" s="29"/>
      <c r="IB206" s="29"/>
      <c r="IC206" s="29"/>
      <c r="ID206" s="29"/>
      <c r="IE206" s="29"/>
      <c r="IF206" s="29"/>
      <c r="IG206" s="29"/>
      <c r="IH206" s="29"/>
      <c r="II206" s="29"/>
      <c r="IJ206" s="29"/>
      <c r="IK206" s="29"/>
      <c r="IL206" s="29"/>
      <c r="IM206" s="29"/>
      <c r="IN206" s="29"/>
      <c r="IO206" s="29"/>
      <c r="IP206" s="29"/>
      <c r="IQ206" s="29"/>
      <c r="IR206" s="29"/>
      <c r="IS206" s="29"/>
      <c r="IT206" s="29"/>
      <c r="IU206" s="29"/>
      <c r="IV206" s="29"/>
      <c r="IW206" s="29"/>
      <c r="IX206" s="29"/>
      <c r="IY206" s="29"/>
      <c r="IZ206" s="29"/>
      <c r="JA206" s="29"/>
      <c r="JB206" s="29"/>
      <c r="JC206" s="29"/>
      <c r="JD206" s="29"/>
      <c r="JE206" s="29"/>
      <c r="JF206" s="29"/>
      <c r="JG206" s="29"/>
      <c r="JH206" s="29"/>
      <c r="JI206" s="29"/>
      <c r="JJ206" s="29"/>
      <c r="JK206" s="29"/>
      <c r="JL206" s="29"/>
      <c r="JM206" s="29"/>
      <c r="JN206" s="29"/>
      <c r="JO206" s="29"/>
      <c r="JP206" s="29"/>
      <c r="JQ206" s="29"/>
      <c r="JR206" s="29"/>
      <c r="JS206" s="29"/>
      <c r="JT206" s="29"/>
      <c r="JU206" s="29"/>
      <c r="JV206" s="29"/>
      <c r="JW206" s="29"/>
      <c r="JX206" s="29"/>
      <c r="JY206" s="29"/>
      <c r="JZ206" s="29"/>
      <c r="KA206" s="29"/>
      <c r="KB206" s="29"/>
      <c r="KC206" s="29"/>
      <c r="KD206" s="29"/>
      <c r="KE206" s="29"/>
      <c r="KF206" s="29"/>
      <c r="KG206" s="29"/>
      <c r="KH206" s="29"/>
      <c r="KI206" s="29"/>
      <c r="KJ206" s="29"/>
      <c r="KK206" s="29"/>
      <c r="KL206" s="29"/>
      <c r="KM206" s="29"/>
      <c r="KN206" s="29"/>
      <c r="KO206" s="29"/>
      <c r="KP206" s="29"/>
      <c r="KQ206" s="29"/>
      <c r="KR206" s="29"/>
      <c r="KS206" s="29"/>
      <c r="KT206" s="29"/>
      <c r="KU206" s="29"/>
      <c r="KV206" s="29"/>
      <c r="KW206" s="29"/>
      <c r="KX206" s="29"/>
      <c r="KY206" s="29"/>
      <c r="KZ206" s="29"/>
      <c r="LA206" s="29"/>
      <c r="LB206" s="29"/>
      <c r="LC206" s="29"/>
      <c r="LD206" s="29"/>
      <c r="LE206" s="29"/>
      <c r="LF206" s="29"/>
      <c r="LG206" s="29"/>
      <c r="LH206" s="29"/>
      <c r="LI206" s="29"/>
      <c r="LJ206" s="29"/>
      <c r="LK206" s="29"/>
      <c r="LL206" s="29"/>
      <c r="LM206" s="29"/>
      <c r="LN206" s="29"/>
      <c r="LO206" s="29"/>
      <c r="LP206" s="29"/>
      <c r="LQ206" s="29"/>
      <c r="LR206" s="29"/>
      <c r="LS206" s="29"/>
      <c r="LT206" s="29"/>
      <c r="LU206" s="29"/>
      <c r="LV206" s="29"/>
      <c r="LW206" s="29"/>
      <c r="LX206" s="29"/>
      <c r="LY206" s="29"/>
      <c r="LZ206" s="29"/>
      <c r="MA206" s="29"/>
      <c r="MB206" s="29"/>
      <c r="MC206" s="29"/>
      <c r="MD206" s="29"/>
      <c r="ME206" s="29"/>
      <c r="MF206" s="29"/>
      <c r="MG206" s="29"/>
      <c r="MH206" s="29"/>
      <c r="MI206" s="29"/>
      <c r="MJ206" s="29"/>
      <c r="MK206" s="29"/>
      <c r="ML206" s="29"/>
      <c r="MM206" s="29"/>
      <c r="MN206" s="29"/>
      <c r="MO206" s="29"/>
      <c r="MP206" s="29"/>
      <c r="MQ206" s="29"/>
      <c r="MR206" s="29"/>
      <c r="MS206" s="29"/>
      <c r="MT206" s="29"/>
      <c r="MU206" s="29"/>
      <c r="MV206" s="29"/>
      <c r="MW206" s="29"/>
      <c r="MX206" s="29"/>
      <c r="MY206" s="29"/>
      <c r="MZ206" s="29"/>
      <c r="NA206" s="29"/>
      <c r="NB206" s="29"/>
      <c r="NC206" s="29"/>
      <c r="ND206" s="29"/>
      <c r="NE206" s="29"/>
      <c r="NF206" s="29"/>
      <c r="NG206" s="29"/>
      <c r="NH206" s="29"/>
      <c r="NI206" s="29"/>
      <c r="NJ206" s="29"/>
      <c r="NK206" s="29"/>
      <c r="NL206" s="29"/>
      <c r="NM206" s="29"/>
      <c r="NN206" s="29"/>
      <c r="NO206" s="29"/>
      <c r="NP206" s="29"/>
      <c r="NQ206" s="29"/>
      <c r="NR206" s="29"/>
      <c r="NS206" s="29"/>
      <c r="NT206" s="29"/>
      <c r="NU206" s="29"/>
      <c r="NV206" s="29"/>
      <c r="NW206" s="29"/>
      <c r="NX206" s="29"/>
      <c r="NY206" s="29"/>
      <c r="NZ206" s="29"/>
      <c r="OA206" s="29"/>
      <c r="OB206" s="29"/>
      <c r="OC206" s="29"/>
      <c r="OD206" s="29"/>
      <c r="OE206" s="29"/>
      <c r="OF206" s="29"/>
      <c r="OG206" s="29"/>
      <c r="OH206" s="29"/>
      <c r="OI206" s="29"/>
      <c r="OJ206" s="29"/>
      <c r="OK206" s="29"/>
      <c r="OL206" s="29"/>
      <c r="OM206" s="29"/>
      <c r="ON206" s="29"/>
      <c r="OO206" s="29"/>
      <c r="OP206" s="29"/>
      <c r="OQ206" s="29"/>
      <c r="OR206" s="29"/>
      <c r="OS206" s="29"/>
      <c r="OT206" s="29"/>
      <c r="OU206" s="29"/>
      <c r="OV206" s="29"/>
      <c r="OW206" s="29"/>
      <c r="OX206" s="29"/>
      <c r="OY206" s="29"/>
      <c r="OZ206" s="29"/>
      <c r="PA206" s="29"/>
      <c r="PB206" s="29"/>
      <c r="PC206" s="29"/>
      <c r="PD206" s="29"/>
      <c r="PE206" s="29"/>
      <c r="PF206" s="29"/>
      <c r="PG206" s="29"/>
      <c r="PH206" s="29"/>
      <c r="PI206" s="29"/>
      <c r="PJ206" s="29"/>
      <c r="PK206" s="29"/>
      <c r="PL206" s="29"/>
      <c r="PM206" s="29"/>
      <c r="PN206" s="29"/>
      <c r="PO206" s="29"/>
      <c r="PP206" s="29"/>
      <c r="PQ206" s="29"/>
      <c r="PR206" s="29"/>
      <c r="PS206" s="29"/>
      <c r="PT206" s="29"/>
      <c r="PU206" s="29"/>
      <c r="PV206" s="29"/>
      <c r="PW206" s="29"/>
      <c r="PX206" s="29"/>
      <c r="PY206" s="29"/>
      <c r="PZ206" s="29"/>
      <c r="QA206" s="29"/>
      <c r="QB206" s="29"/>
      <c r="QC206" s="29"/>
      <c r="QD206" s="29"/>
      <c r="QE206" s="29"/>
      <c r="QF206" s="29"/>
      <c r="QG206" s="29"/>
      <c r="QH206" s="29"/>
      <c r="QI206" s="29"/>
      <c r="QJ206" s="29"/>
      <c r="QK206" s="29"/>
      <c r="QL206" s="29"/>
      <c r="QM206" s="29"/>
      <c r="QN206" s="29"/>
      <c r="QO206" s="29"/>
      <c r="QP206" s="29"/>
      <c r="QQ206" s="29"/>
      <c r="QR206" s="29"/>
      <c r="QS206" s="29"/>
      <c r="QT206" s="29"/>
      <c r="QU206" s="29"/>
      <c r="QV206" s="29"/>
      <c r="QW206" s="29"/>
      <c r="QX206" s="29"/>
      <c r="QY206" s="29"/>
      <c r="QZ206" s="29"/>
      <c r="RA206" s="29"/>
      <c r="RB206" s="29"/>
      <c r="RC206" s="29"/>
      <c r="RD206" s="29"/>
      <c r="RE206" s="29"/>
      <c r="RF206" s="29"/>
      <c r="RG206" s="29"/>
      <c r="RH206" s="29"/>
      <c r="RI206" s="29"/>
      <c r="RJ206" s="29"/>
      <c r="RK206" s="29"/>
      <c r="RL206" s="29"/>
      <c r="RM206" s="29"/>
      <c r="RN206" s="29"/>
      <c r="RO206" s="29"/>
      <c r="RP206" s="29"/>
      <c r="RQ206" s="29"/>
      <c r="RR206" s="29"/>
      <c r="RS206" s="29"/>
      <c r="RT206" s="29"/>
      <c r="RU206" s="29"/>
      <c r="RV206" s="29"/>
      <c r="RW206" s="29"/>
      <c r="RX206" s="29"/>
      <c r="RY206" s="29"/>
      <c r="RZ206" s="29"/>
      <c r="SA206" s="29"/>
      <c r="SB206" s="29"/>
      <c r="SC206" s="29"/>
      <c r="SD206" s="29"/>
      <c r="SE206" s="29"/>
      <c r="SF206" s="29"/>
      <c r="SG206" s="29"/>
      <c r="SH206" s="29"/>
      <c r="SI206" s="29"/>
      <c r="SJ206" s="29"/>
      <c r="SK206" s="29"/>
      <c r="SL206" s="29"/>
      <c r="SM206" s="29"/>
      <c r="SN206" s="29"/>
      <c r="SO206" s="29"/>
      <c r="SP206" s="29"/>
      <c r="SQ206" s="29"/>
      <c r="SR206" s="29"/>
      <c r="SS206" s="29"/>
      <c r="ST206" s="29"/>
      <c r="SU206" s="29"/>
      <c r="SV206" s="29"/>
      <c r="SW206" s="29"/>
      <c r="SX206" s="29"/>
      <c r="SY206" s="29"/>
      <c r="SZ206" s="29"/>
      <c r="TA206" s="29"/>
      <c r="TB206" s="29"/>
      <c r="TC206" s="29"/>
      <c r="TD206" s="29"/>
      <c r="TE206" s="29"/>
      <c r="TF206" s="29"/>
      <c r="TG206" s="29"/>
      <c r="TH206" s="29"/>
      <c r="TI206" s="29"/>
      <c r="TJ206" s="29"/>
      <c r="TK206" s="29"/>
      <c r="TL206" s="29"/>
      <c r="TM206" s="29"/>
      <c r="TN206" s="29"/>
      <c r="TO206" s="29"/>
      <c r="TP206" s="29"/>
      <c r="TQ206" s="29"/>
      <c r="TR206" s="29"/>
      <c r="TS206" s="29"/>
      <c r="TT206" s="29"/>
      <c r="TU206" s="29"/>
      <c r="TV206" s="29"/>
      <c r="TW206" s="29"/>
      <c r="TX206" s="29"/>
      <c r="TY206" s="29"/>
      <c r="TZ206" s="29"/>
      <c r="UA206" s="29"/>
      <c r="UB206" s="29"/>
      <c r="UC206" s="29"/>
      <c r="UD206" s="29"/>
      <c r="UE206" s="29"/>
      <c r="UF206" s="29"/>
      <c r="UG206" s="29"/>
      <c r="UH206" s="29"/>
      <c r="UI206" s="29"/>
      <c r="UJ206" s="29"/>
      <c r="UK206" s="29"/>
      <c r="UL206" s="29"/>
      <c r="UM206" s="29"/>
      <c r="UN206" s="29"/>
      <c r="UO206" s="29"/>
      <c r="UP206" s="29"/>
      <c r="UQ206" s="29"/>
      <c r="UR206" s="29"/>
      <c r="US206" s="29"/>
      <c r="UT206" s="29"/>
      <c r="UU206" s="29"/>
      <c r="UV206" s="29"/>
      <c r="UW206" s="29"/>
      <c r="UX206" s="29"/>
      <c r="UY206" s="29"/>
      <c r="UZ206" s="29"/>
      <c r="VA206" s="29"/>
      <c r="VB206" s="29"/>
      <c r="VC206" s="29"/>
      <c r="VD206" s="29"/>
      <c r="VE206" s="29"/>
      <c r="VF206" s="29"/>
      <c r="VG206" s="29"/>
      <c r="VH206" s="29"/>
      <c r="VI206" s="29"/>
      <c r="VJ206" s="29"/>
      <c r="VK206" s="29"/>
      <c r="VL206" s="29"/>
      <c r="VM206" s="29"/>
      <c r="VN206" s="29"/>
      <c r="VO206" s="29"/>
      <c r="VP206" s="29"/>
      <c r="VQ206" s="29"/>
      <c r="VR206" s="29"/>
      <c r="VS206" s="29"/>
      <c r="VT206" s="29"/>
      <c r="VU206" s="29"/>
      <c r="VV206" s="29"/>
      <c r="VW206" s="29"/>
      <c r="VX206" s="29"/>
      <c r="VY206" s="29"/>
      <c r="VZ206" s="29"/>
      <c r="WA206" s="29"/>
      <c r="WB206" s="29"/>
      <c r="WC206" s="29"/>
      <c r="WD206" s="29"/>
      <c r="WE206" s="29"/>
      <c r="WF206" s="29"/>
      <c r="WG206" s="29"/>
      <c r="WH206" s="29"/>
      <c r="WI206" s="29"/>
      <c r="WJ206" s="29"/>
      <c r="WK206" s="29"/>
      <c r="WL206" s="29"/>
      <c r="WM206" s="29"/>
      <c r="WN206" s="29"/>
      <c r="WO206" s="29"/>
      <c r="WP206" s="29"/>
      <c r="WQ206" s="29"/>
      <c r="WR206" s="29"/>
      <c r="WS206" s="29"/>
    </row>
    <row r="207" spans="1:617" s="3" customFormat="1" ht="409.6" thickBot="1">
      <c r="A207" s="34" t="s">
        <v>295</v>
      </c>
      <c r="B207"/>
      <c r="C207" s="5"/>
      <c r="D207" s="111"/>
      <c r="E207" s="111"/>
      <c r="F207"/>
      <c r="G207"/>
      <c r="H207" s="31"/>
      <c r="I207" s="31"/>
      <c r="J207" s="31"/>
      <c r="K207" s="31"/>
      <c r="L207" s="31"/>
      <c r="M207" s="31"/>
      <c r="N207" s="31"/>
      <c r="O207" s="31"/>
      <c r="P207" s="31"/>
      <c r="Q207" s="31"/>
      <c r="R207" s="31"/>
      <c r="S207" s="31"/>
      <c r="T207" s="31"/>
      <c r="U207" s="31"/>
      <c r="V207" s="31"/>
      <c r="W207" s="31"/>
      <c r="X207" s="31"/>
      <c r="Y207" s="31"/>
      <c r="Z207" s="31"/>
      <c r="AA207" s="31"/>
      <c r="AB207" s="31"/>
      <c r="AC207" s="31"/>
      <c r="AD207" s="31"/>
      <c r="AE207" s="31"/>
      <c r="AF207" s="31"/>
      <c r="AG207" s="31"/>
      <c r="AH207" s="31"/>
      <c r="AI207" s="31"/>
      <c r="AJ207" s="31"/>
      <c r="AK207" s="31"/>
      <c r="AL207" s="31"/>
      <c r="AM207" s="31"/>
      <c r="AN207" s="31"/>
      <c r="AO207" s="31"/>
      <c r="AP207" s="31"/>
      <c r="AQ207" s="31"/>
      <c r="AR207" s="31"/>
      <c r="AS207" s="31"/>
      <c r="AT207" s="31"/>
      <c r="AU207" s="31"/>
      <c r="AV207" s="31"/>
      <c r="AW207" s="31"/>
      <c r="AX207" s="31"/>
      <c r="AY207" s="31"/>
      <c r="AZ207" s="31"/>
      <c r="BA207" s="31"/>
      <c r="BB207" s="31"/>
      <c r="BC207" s="31"/>
      <c r="BD207" s="31"/>
      <c r="BE207" s="31"/>
      <c r="BF207" s="31"/>
      <c r="BG207" s="31"/>
      <c r="BH207" s="31"/>
      <c r="BI207" s="31"/>
      <c r="BJ207" s="31"/>
      <c r="BK207" s="31"/>
      <c r="BL207" s="31"/>
      <c r="BM207" s="31"/>
      <c r="BN207" s="31"/>
      <c r="BO207" s="31"/>
      <c r="BP207" s="31"/>
      <c r="BQ207" s="31"/>
      <c r="BR207" s="31"/>
      <c r="BS207" s="31"/>
      <c r="BT207" s="31"/>
      <c r="BU207" s="31"/>
      <c r="BV207" s="31"/>
      <c r="BW207" s="31"/>
      <c r="BX207" s="31"/>
      <c r="BY207" s="31"/>
      <c r="BZ207" s="31"/>
      <c r="CA207" s="31"/>
      <c r="CB207" s="31"/>
      <c r="CC207" s="31"/>
      <c r="CD207" s="31"/>
      <c r="CE207" s="31"/>
      <c r="CF207" s="31"/>
      <c r="CG207" s="31"/>
      <c r="CH207" s="31"/>
      <c r="CI207" s="31"/>
      <c r="CJ207" s="31"/>
      <c r="CK207" s="31"/>
      <c r="CL207" s="31"/>
      <c r="CM207" s="31"/>
      <c r="CN207" s="31"/>
      <c r="CO207" s="31"/>
      <c r="CP207" s="31"/>
      <c r="CQ207" s="31"/>
      <c r="CR207" s="31"/>
      <c r="CS207" s="31"/>
      <c r="CT207" s="31"/>
      <c r="CU207" s="31"/>
      <c r="CV207" s="31"/>
      <c r="CW207" s="31"/>
      <c r="CX207" s="31"/>
      <c r="CY207" s="31"/>
      <c r="CZ207" s="31"/>
      <c r="DA207" s="31"/>
      <c r="DB207" s="31"/>
      <c r="DC207" s="31"/>
      <c r="DD207" s="31"/>
      <c r="DE207" s="31"/>
      <c r="DF207" s="31"/>
      <c r="DG207" s="31"/>
      <c r="DH207" s="31"/>
      <c r="DI207" s="31"/>
      <c r="DJ207" s="31"/>
      <c r="DK207" s="31"/>
      <c r="DL207" s="31"/>
      <c r="DM207" s="31"/>
      <c r="DN207" s="31"/>
      <c r="DO207" s="31"/>
      <c r="DP207" s="31"/>
      <c r="DQ207" s="31"/>
      <c r="DR207" s="31"/>
      <c r="DS207" s="31"/>
      <c r="DT207" s="31"/>
      <c r="DU207" s="31"/>
      <c r="DV207" s="31"/>
      <c r="DW207" s="31"/>
      <c r="DX207" s="31"/>
      <c r="DY207" s="31"/>
      <c r="DZ207" s="31"/>
      <c r="EA207" s="31"/>
      <c r="EB207" s="31"/>
      <c r="EC207" s="31"/>
      <c r="ED207" s="31"/>
      <c r="EE207" s="31"/>
      <c r="EF207" s="31"/>
      <c r="EG207" s="31"/>
      <c r="EH207" s="31"/>
      <c r="EI207" s="31"/>
      <c r="EJ207" s="31"/>
      <c r="EK207" s="31"/>
      <c r="EL207" s="31"/>
      <c r="EM207" s="31"/>
      <c r="EN207" s="31"/>
      <c r="EO207" s="31"/>
      <c r="EP207" s="31"/>
      <c r="EQ207" s="31"/>
      <c r="ER207" s="31"/>
      <c r="ES207" s="31"/>
      <c r="ET207" s="31"/>
      <c r="EU207" s="31"/>
      <c r="EV207" s="31"/>
      <c r="EW207" s="31"/>
      <c r="EX207" s="31"/>
      <c r="EY207" s="31"/>
      <c r="EZ207" s="31"/>
      <c r="FA207" s="31"/>
      <c r="FB207" s="31"/>
      <c r="FC207" s="31"/>
      <c r="FD207" s="31"/>
      <c r="FE207" s="31"/>
      <c r="FF207" s="31"/>
      <c r="FG207" s="31"/>
      <c r="FH207" s="31"/>
      <c r="FI207" s="31"/>
      <c r="FJ207" s="31"/>
      <c r="FK207" s="31"/>
      <c r="FL207" s="31"/>
      <c r="FM207" s="31"/>
      <c r="FN207" s="31"/>
      <c r="FO207" s="31"/>
      <c r="FP207" s="31"/>
      <c r="FQ207" s="31"/>
      <c r="FR207" s="31"/>
      <c r="FS207" s="31"/>
      <c r="FT207" s="31"/>
      <c r="FU207" s="31"/>
      <c r="FV207" s="31"/>
      <c r="FW207" s="31"/>
      <c r="FX207" s="31"/>
      <c r="FY207" s="31"/>
      <c r="FZ207" s="31"/>
      <c r="GA207" s="31"/>
      <c r="GB207" s="31"/>
      <c r="GC207" s="31"/>
      <c r="GD207" s="31"/>
      <c r="GE207" s="31"/>
      <c r="GF207" s="31"/>
      <c r="GG207" s="31"/>
      <c r="GH207" s="31"/>
      <c r="GI207" s="31"/>
      <c r="GJ207" s="31"/>
      <c r="GK207" s="31"/>
      <c r="GL207" s="31"/>
      <c r="GM207" s="31"/>
      <c r="GN207" s="31"/>
      <c r="GO207" s="31"/>
      <c r="GP207" s="31"/>
      <c r="GQ207" s="31"/>
      <c r="GR207" s="31"/>
      <c r="GS207" s="31"/>
      <c r="GT207" s="31"/>
      <c r="GU207" s="31"/>
      <c r="GV207" s="31"/>
      <c r="GW207" s="31"/>
      <c r="GX207" s="31"/>
      <c r="GY207" s="31"/>
      <c r="GZ207" s="31"/>
      <c r="HA207" s="31"/>
      <c r="HB207" s="31"/>
      <c r="HC207" s="31"/>
      <c r="HD207" s="31"/>
      <c r="HE207" s="31"/>
      <c r="HF207" s="31"/>
      <c r="HG207" s="31"/>
      <c r="HH207" s="31"/>
      <c r="HI207" s="31"/>
      <c r="HJ207" s="31"/>
      <c r="HK207" s="31"/>
      <c r="HL207" s="31"/>
      <c r="HM207" s="31"/>
      <c r="HN207" s="31"/>
      <c r="HO207" s="31"/>
      <c r="HP207" s="31"/>
      <c r="HQ207" s="31"/>
      <c r="HR207" s="31"/>
      <c r="HS207" s="31"/>
      <c r="HT207" s="31"/>
      <c r="HU207" s="31"/>
      <c r="HV207" s="31"/>
      <c r="HW207" s="31"/>
      <c r="HX207" s="31"/>
      <c r="HY207" s="31"/>
      <c r="HZ207" s="31"/>
      <c r="IA207" s="31"/>
      <c r="IB207" s="31"/>
      <c r="IC207" s="31"/>
      <c r="ID207" s="31"/>
      <c r="IE207" s="31"/>
      <c r="IF207" s="31"/>
      <c r="IG207" s="31"/>
      <c r="IH207" s="31"/>
      <c r="II207" s="31"/>
      <c r="IJ207" s="31"/>
      <c r="IK207" s="31"/>
      <c r="IL207" s="31"/>
      <c r="IM207" s="31"/>
      <c r="IN207" s="31"/>
      <c r="IO207" s="31"/>
      <c r="IP207" s="31"/>
      <c r="IQ207" s="31"/>
      <c r="IR207" s="31"/>
      <c r="IS207" s="31"/>
      <c r="IT207" s="31"/>
      <c r="IU207" s="31"/>
      <c r="IV207" s="31"/>
      <c r="IW207" s="31"/>
      <c r="IX207" s="31"/>
      <c r="IY207" s="31"/>
      <c r="IZ207" s="31"/>
      <c r="JA207" s="31"/>
      <c r="JB207" s="31"/>
      <c r="JC207" s="31"/>
      <c r="JD207" s="31"/>
      <c r="JE207" s="31"/>
      <c r="JF207" s="31"/>
      <c r="JG207" s="31"/>
      <c r="JH207" s="31"/>
      <c r="JI207" s="31"/>
      <c r="JJ207" s="31"/>
      <c r="JK207" s="31"/>
      <c r="JL207" s="31"/>
      <c r="JM207" s="31"/>
      <c r="JN207" s="31"/>
      <c r="JO207" s="31"/>
      <c r="JP207" s="31"/>
      <c r="JQ207" s="31"/>
      <c r="JR207" s="31"/>
      <c r="JS207" s="31"/>
      <c r="JT207" s="31"/>
      <c r="JU207" s="31"/>
      <c r="JV207" s="31"/>
      <c r="JW207" s="31"/>
      <c r="JX207" s="31"/>
      <c r="JY207" s="31"/>
      <c r="JZ207" s="31"/>
      <c r="KA207" s="31"/>
      <c r="KB207" s="31"/>
      <c r="KC207" s="31"/>
      <c r="KD207" s="31"/>
      <c r="KE207" s="31"/>
      <c r="KF207" s="31"/>
      <c r="KG207" s="31"/>
      <c r="KH207" s="31"/>
      <c r="KI207" s="31"/>
      <c r="KJ207" s="31"/>
      <c r="KK207" s="31"/>
      <c r="KL207" s="31"/>
      <c r="KM207" s="31"/>
      <c r="KN207" s="31"/>
      <c r="KO207" s="31"/>
      <c r="KP207" s="31"/>
      <c r="KQ207" s="31"/>
      <c r="KR207" s="31"/>
      <c r="KS207" s="31"/>
      <c r="KT207" s="31"/>
      <c r="KU207" s="31"/>
      <c r="KV207" s="31"/>
      <c r="KW207" s="31"/>
      <c r="KX207" s="31"/>
      <c r="KY207" s="31"/>
      <c r="KZ207" s="31"/>
      <c r="LA207" s="31"/>
      <c r="LB207" s="31"/>
      <c r="LC207" s="31"/>
      <c r="LD207" s="31"/>
      <c r="LE207" s="31"/>
      <c r="LF207" s="31"/>
      <c r="LG207" s="31"/>
      <c r="LH207" s="31"/>
      <c r="LI207" s="31"/>
      <c r="LJ207" s="31"/>
      <c r="LK207" s="31"/>
      <c r="LL207" s="31"/>
      <c r="LM207" s="31"/>
      <c r="LN207" s="31"/>
      <c r="LO207" s="31"/>
      <c r="LP207" s="31"/>
      <c r="LQ207" s="31"/>
      <c r="LR207" s="31"/>
      <c r="LS207" s="31"/>
      <c r="LT207" s="31"/>
      <c r="LU207" s="31"/>
      <c r="LV207" s="31"/>
      <c r="LW207" s="31"/>
      <c r="LX207" s="31"/>
      <c r="LY207" s="31"/>
      <c r="LZ207" s="31"/>
      <c r="MA207" s="31"/>
      <c r="MB207" s="31"/>
      <c r="MC207" s="31"/>
      <c r="MD207" s="31"/>
      <c r="ME207" s="31"/>
      <c r="MF207" s="31"/>
      <c r="MG207" s="31"/>
      <c r="MH207" s="31"/>
      <c r="MI207" s="31"/>
      <c r="MJ207" s="31"/>
      <c r="MK207" s="31"/>
      <c r="ML207" s="31"/>
      <c r="MM207" s="31"/>
      <c r="MN207" s="31"/>
      <c r="MO207" s="31"/>
      <c r="MP207" s="31"/>
      <c r="MQ207" s="31"/>
      <c r="MR207" s="31"/>
      <c r="MS207" s="31"/>
      <c r="MT207" s="31"/>
      <c r="MU207" s="31"/>
      <c r="MV207" s="31"/>
      <c r="MW207" s="31"/>
      <c r="MX207" s="31"/>
      <c r="MY207" s="31"/>
      <c r="MZ207" s="31"/>
      <c r="NA207" s="31"/>
      <c r="NB207" s="31"/>
      <c r="NC207" s="31"/>
      <c r="ND207" s="31"/>
      <c r="NE207" s="31"/>
      <c r="NF207" s="31"/>
      <c r="NG207" s="31"/>
      <c r="NH207" s="31"/>
      <c r="NI207" s="31"/>
      <c r="NJ207" s="31"/>
      <c r="NK207" s="31"/>
      <c r="NL207" s="31"/>
      <c r="NM207" s="31"/>
      <c r="NN207" s="31"/>
      <c r="NO207" s="31"/>
      <c r="NP207" s="31"/>
      <c r="NQ207" s="31"/>
      <c r="NR207" s="31"/>
      <c r="NS207" s="31"/>
      <c r="NT207" s="31"/>
      <c r="NU207" s="31"/>
      <c r="NV207" s="31"/>
      <c r="NW207" s="31"/>
      <c r="NX207" s="31"/>
      <c r="NY207" s="31"/>
      <c r="NZ207" s="31"/>
      <c r="OA207" s="31"/>
      <c r="OB207" s="31"/>
      <c r="OC207" s="31"/>
      <c r="OD207" s="31"/>
      <c r="OE207" s="31"/>
      <c r="OF207" s="31"/>
      <c r="OG207" s="31"/>
      <c r="OH207" s="31"/>
      <c r="OI207" s="31"/>
      <c r="OJ207" s="31"/>
      <c r="OK207" s="31"/>
      <c r="OL207" s="31"/>
      <c r="OM207" s="31"/>
      <c r="ON207" s="31"/>
      <c r="OO207" s="31"/>
      <c r="OP207" s="31"/>
      <c r="OQ207" s="31"/>
      <c r="OR207" s="31"/>
      <c r="OS207" s="31"/>
      <c r="OT207" s="31"/>
      <c r="OU207" s="31"/>
      <c r="OV207" s="31"/>
      <c r="OW207" s="31"/>
      <c r="OX207" s="31"/>
      <c r="OY207" s="31"/>
      <c r="OZ207" s="31"/>
      <c r="PA207" s="31"/>
      <c r="PB207" s="31"/>
      <c r="PC207" s="31"/>
      <c r="PD207" s="31"/>
      <c r="PE207" s="31"/>
      <c r="PF207" s="31"/>
      <c r="PG207" s="31"/>
      <c r="PH207" s="31"/>
      <c r="PI207" s="31"/>
      <c r="PJ207" s="31"/>
      <c r="PK207" s="31"/>
      <c r="PL207" s="31"/>
      <c r="PM207" s="31"/>
      <c r="PN207" s="31"/>
      <c r="PO207" s="31"/>
      <c r="PP207" s="31"/>
      <c r="PQ207" s="31"/>
      <c r="PR207" s="31"/>
      <c r="PS207" s="31"/>
      <c r="PT207" s="31"/>
      <c r="PU207" s="31"/>
      <c r="PV207" s="31"/>
      <c r="PW207" s="31"/>
      <c r="PX207" s="31"/>
      <c r="PY207" s="31"/>
      <c r="PZ207" s="31"/>
      <c r="QA207" s="31"/>
      <c r="QB207" s="31"/>
      <c r="QC207" s="31"/>
      <c r="QD207" s="31"/>
      <c r="QE207" s="31"/>
      <c r="QF207" s="31"/>
      <c r="QG207" s="31"/>
      <c r="QH207" s="31"/>
      <c r="QI207" s="31"/>
      <c r="QJ207" s="31"/>
      <c r="QK207" s="31"/>
      <c r="QL207" s="31"/>
      <c r="QM207" s="31"/>
      <c r="QN207" s="31"/>
      <c r="QO207" s="31"/>
      <c r="QP207" s="31"/>
      <c r="QQ207" s="31"/>
      <c r="QR207" s="31"/>
      <c r="QS207" s="31"/>
      <c r="QT207" s="31"/>
      <c r="QU207" s="31"/>
      <c r="QV207" s="31"/>
      <c r="QW207" s="31"/>
      <c r="QX207" s="31"/>
      <c r="QY207" s="31"/>
      <c r="QZ207" s="31"/>
      <c r="RA207" s="31"/>
      <c r="RB207" s="31"/>
      <c r="RC207" s="31"/>
      <c r="RD207" s="31"/>
      <c r="RE207" s="31"/>
      <c r="RF207" s="31"/>
      <c r="RG207" s="31"/>
      <c r="RH207" s="31"/>
      <c r="RI207" s="31"/>
      <c r="RJ207" s="31"/>
      <c r="RK207" s="31"/>
      <c r="RL207" s="31"/>
      <c r="RM207" s="31"/>
      <c r="RN207" s="31"/>
      <c r="RO207" s="31"/>
      <c r="RP207" s="31"/>
      <c r="RQ207" s="31"/>
      <c r="RR207" s="31"/>
      <c r="RS207" s="31"/>
      <c r="RT207" s="31"/>
      <c r="RU207" s="31"/>
      <c r="RV207" s="31"/>
      <c r="RW207" s="31"/>
      <c r="RX207" s="31"/>
      <c r="RY207" s="31"/>
      <c r="RZ207" s="31"/>
      <c r="SA207" s="31"/>
      <c r="SB207" s="31"/>
      <c r="SC207" s="31"/>
      <c r="SD207" s="31"/>
      <c r="SE207" s="31"/>
      <c r="SF207" s="31"/>
      <c r="SG207" s="31"/>
      <c r="SH207" s="31"/>
      <c r="SI207" s="31"/>
      <c r="SJ207" s="31"/>
      <c r="SK207" s="31"/>
      <c r="SL207" s="31"/>
      <c r="SM207" s="31"/>
      <c r="SN207" s="31"/>
      <c r="SO207" s="31"/>
      <c r="SP207" s="31"/>
      <c r="SQ207" s="31"/>
      <c r="SR207" s="31"/>
      <c r="SS207" s="31"/>
      <c r="ST207" s="31"/>
      <c r="SU207" s="31"/>
      <c r="SV207" s="31"/>
      <c r="SW207" s="31"/>
      <c r="SX207" s="31"/>
      <c r="SY207" s="31"/>
      <c r="SZ207" s="31"/>
      <c r="TA207" s="31"/>
      <c r="TB207" s="31"/>
      <c r="TC207" s="31"/>
      <c r="TD207" s="31"/>
      <c r="TE207" s="31"/>
      <c r="TF207" s="31"/>
      <c r="TG207" s="31"/>
      <c r="TH207" s="31"/>
      <c r="TI207" s="31"/>
      <c r="TJ207" s="31"/>
      <c r="TK207" s="31"/>
      <c r="TL207" s="31"/>
      <c r="TM207" s="31"/>
      <c r="TN207" s="31"/>
      <c r="TO207" s="31"/>
      <c r="TP207" s="31"/>
      <c r="TQ207" s="31"/>
      <c r="TR207" s="31"/>
      <c r="TS207" s="31"/>
      <c r="TT207" s="31"/>
      <c r="TU207" s="31"/>
      <c r="TV207" s="31"/>
      <c r="TW207" s="31"/>
      <c r="TX207" s="31"/>
      <c r="TY207" s="31"/>
      <c r="TZ207" s="31"/>
      <c r="UA207" s="31"/>
      <c r="UB207" s="31"/>
      <c r="UC207" s="31"/>
      <c r="UD207" s="31"/>
      <c r="UE207" s="31"/>
      <c r="UF207" s="31"/>
      <c r="UG207" s="31"/>
      <c r="UH207" s="31"/>
      <c r="UI207" s="31"/>
      <c r="UJ207" s="31"/>
      <c r="UK207" s="31"/>
      <c r="UL207" s="31"/>
      <c r="UM207" s="31"/>
      <c r="UN207" s="31"/>
      <c r="UO207" s="31"/>
      <c r="UP207" s="31"/>
      <c r="UQ207" s="31"/>
      <c r="UR207" s="31"/>
      <c r="US207" s="31"/>
      <c r="UT207" s="31"/>
      <c r="UU207" s="31"/>
      <c r="UV207" s="31"/>
      <c r="UW207" s="31"/>
      <c r="UX207" s="31"/>
      <c r="UY207" s="31"/>
      <c r="UZ207" s="31"/>
      <c r="VA207" s="31"/>
      <c r="VB207" s="31"/>
      <c r="VC207" s="31"/>
      <c r="VD207" s="31"/>
      <c r="VE207" s="31"/>
      <c r="VF207" s="31"/>
      <c r="VG207" s="31"/>
      <c r="VH207" s="31"/>
      <c r="VI207" s="31"/>
      <c r="VJ207" s="31"/>
      <c r="VK207" s="31"/>
      <c r="VL207" s="31"/>
      <c r="VM207" s="31"/>
      <c r="VN207" s="31"/>
      <c r="VO207" s="31"/>
      <c r="VP207" s="31"/>
      <c r="VQ207" s="31"/>
      <c r="VR207" s="31"/>
      <c r="VS207" s="31"/>
      <c r="VT207" s="31"/>
      <c r="VU207" s="31"/>
      <c r="VV207" s="31"/>
      <c r="VW207" s="31"/>
      <c r="VX207" s="31"/>
      <c r="VY207" s="31"/>
      <c r="VZ207" s="31"/>
      <c r="WA207" s="31"/>
      <c r="WB207" s="31"/>
      <c r="WC207" s="31"/>
      <c r="WD207" s="31"/>
      <c r="WE207" s="31"/>
      <c r="WF207" s="31"/>
      <c r="WG207" s="31"/>
      <c r="WH207" s="31"/>
      <c r="WI207" s="31"/>
      <c r="WJ207" s="31"/>
      <c r="WK207" s="31"/>
      <c r="WL207" s="31"/>
      <c r="WM207" s="31"/>
      <c r="WN207" s="31"/>
      <c r="WO207" s="31"/>
      <c r="WP207" s="31"/>
      <c r="WQ207" s="31"/>
      <c r="WR207" s="31"/>
      <c r="WS207" s="31"/>
    </row>
  </sheetData>
  <mergeCells count="91">
    <mergeCell ref="B195:E195"/>
    <mergeCell ref="WJ4:WP4"/>
    <mergeCell ref="OB4:OH4"/>
    <mergeCell ref="ON4:OT4"/>
    <mergeCell ref="OZ4:PF4"/>
    <mergeCell ref="PL4:PR4"/>
    <mergeCell ref="PX4:QD4"/>
    <mergeCell ref="QJ4:QP4"/>
    <mergeCell ref="RH4:RN4"/>
    <mergeCell ref="RT4:RZ4"/>
    <mergeCell ref="SF4:SL4"/>
    <mergeCell ref="SR4:SX4"/>
    <mergeCell ref="TD4:TJ4"/>
    <mergeCell ref="TP4:TV4"/>
    <mergeCell ref="UN4:UT4"/>
    <mergeCell ref="UZ4:VF4"/>
    <mergeCell ref="VL4:VR4"/>
    <mergeCell ref="VX4:WD4"/>
    <mergeCell ref="UB4:UH4"/>
    <mergeCell ref="QV4:RB4"/>
    <mergeCell ref="MN4:MT4"/>
    <mergeCell ref="MU4:NA4"/>
    <mergeCell ref="NB4:NH4"/>
    <mergeCell ref="NI4:NO4"/>
    <mergeCell ref="NP4:NV4"/>
    <mergeCell ref="B168:E168"/>
    <mergeCell ref="B65:E65"/>
    <mergeCell ref="B90:E90"/>
    <mergeCell ref="B92:E92"/>
    <mergeCell ref="B95:E95"/>
    <mergeCell ref="B167:E167"/>
    <mergeCell ref="B103:E103"/>
    <mergeCell ref="B104:E104"/>
    <mergeCell ref="B160:E160"/>
    <mergeCell ref="B81:E81"/>
    <mergeCell ref="E3:F3"/>
    <mergeCell ref="H4:O4"/>
    <mergeCell ref="P4:V4"/>
    <mergeCell ref="W4:AC4"/>
    <mergeCell ref="AD4:AJ4"/>
    <mergeCell ref="AK4:AQ4"/>
    <mergeCell ref="AR4:AX4"/>
    <mergeCell ref="AY4:BE4"/>
    <mergeCell ref="BF4:BL4"/>
    <mergeCell ref="BM4:BS4"/>
    <mergeCell ref="B9:E9"/>
    <mergeCell ref="CX1:CY3"/>
    <mergeCell ref="EK1:EK3"/>
    <mergeCell ref="FN4:FT4"/>
    <mergeCell ref="BT4:BZ4"/>
    <mergeCell ref="CA4:CG4"/>
    <mergeCell ref="CH4:CN4"/>
    <mergeCell ref="CO4:CU4"/>
    <mergeCell ref="CV4:DB4"/>
    <mergeCell ref="DC4:DI4"/>
    <mergeCell ref="DJ4:DP4"/>
    <mergeCell ref="DQ4:DW4"/>
    <mergeCell ref="DX4:ED4"/>
    <mergeCell ref="B8:E8"/>
    <mergeCell ref="BT1:BV3"/>
    <mergeCell ref="CQ1:CR3"/>
    <mergeCell ref="GI4:GO4"/>
    <mergeCell ref="EE4:EK4"/>
    <mergeCell ref="EL4:ER4"/>
    <mergeCell ref="ES4:EY4"/>
    <mergeCell ref="EZ4:FF4"/>
    <mergeCell ref="FG4:FM4"/>
    <mergeCell ref="GB4:GH4"/>
    <mergeCell ref="FU4:GA4"/>
    <mergeCell ref="GP4:GV4"/>
    <mergeCell ref="GW4:HC4"/>
    <mergeCell ref="HD4:HJ4"/>
    <mergeCell ref="HK4:HQ4"/>
    <mergeCell ref="HR4:HX4"/>
    <mergeCell ref="HY4:IE4"/>
    <mergeCell ref="IF4:IL4"/>
    <mergeCell ref="IM4:IS4"/>
    <mergeCell ref="IT4:IZ4"/>
    <mergeCell ref="JA4:JG4"/>
    <mergeCell ref="JH4:JN4"/>
    <mergeCell ref="JO4:JU4"/>
    <mergeCell ref="JV4:KB4"/>
    <mergeCell ref="KC4:KI4"/>
    <mergeCell ref="KJ4:KP4"/>
    <mergeCell ref="LZ4:MF4"/>
    <mergeCell ref="MG4:MM4"/>
    <mergeCell ref="KQ4:KW4"/>
    <mergeCell ref="KX4:LD4"/>
    <mergeCell ref="LE4:LK4"/>
    <mergeCell ref="LL4:LR4"/>
    <mergeCell ref="LS4:LY4"/>
  </mergeCells>
  <conditionalFormatting sqref="H5:I106 H138:I207">
    <cfRule type="expression" dxfId="67" priority="212">
      <formula>AND(TODAY()&gt;=H$5,TODAY()&lt;J$5)</formula>
    </cfRule>
  </conditionalFormatting>
  <conditionalFormatting sqref="H7:I106 H138:I207">
    <cfRule type="expression" dxfId="66" priority="220" stopIfTrue="1">
      <formula>AND(Término_da_tarefa&gt;=H$5,Início_da_tarefa&lt;J$5)</formula>
    </cfRule>
  </conditionalFormatting>
  <conditionalFormatting sqref="H48:WS106 H7:BL13 BM9:FZ13 GA9:WS47 H14:FZ47 LE75:LF172 J107:WS137 H138:WS207 LE185:LF254">
    <cfRule type="expression" dxfId="65" priority="203">
      <formula>AND(Início_da_tarefa&lt;=H$5,ROUNDDOWN((Término_da_tarefa-Início_da_tarefa+1)*Progresso_da_tarefa,0)+Início_da_tarefa-1&gt;=H$5)</formula>
    </cfRule>
  </conditionalFormatting>
  <conditionalFormatting sqref="J5:BL13 BM9:FZ13 GA9:WS47 J14:FZ47 J48:WS207 LE185:LF254 BM5:GN6">
    <cfRule type="expression" dxfId="64" priority="209">
      <formula>AND(TODAY()&gt;=J$5,TODAY()&lt;K$5)</formula>
    </cfRule>
  </conditionalFormatting>
  <conditionalFormatting sqref="J7:BL13 BM9:FZ13 GA9:WS47 J14:FZ47 J48:WS207 LE185:LF254">
    <cfRule type="expression" dxfId="63" priority="204" stopIfTrue="1">
      <formula>AND(Término_da_tarefa&gt;=J$5,Início_da_tarefa&lt;K$5)</formula>
    </cfRule>
  </conditionalFormatting>
  <conditionalFormatting sqref="BM8:WS8">
    <cfRule type="expression" dxfId="62" priority="11">
      <formula>AND(TODAY()&gt;=BM$5,TODAY()&lt;BN$5)</formula>
    </cfRule>
    <cfRule type="expression" dxfId="61" priority="9">
      <formula>AND(Início_da_tarefa&lt;=BM$5,ROUNDDOWN((Término_da_tarefa-Início_da_tarefa+1)*Progresso_da_tarefa,0)+Início_da_tarefa-1&gt;=BM$5)</formula>
    </cfRule>
    <cfRule type="expression" dxfId="60" priority="10" stopIfTrue="1">
      <formula>AND(Término_da_tarefa&gt;=BM$5,Início_da_tarefa&lt;BN$5)</formula>
    </cfRule>
  </conditionalFormatting>
  <conditionalFormatting sqref="GO5">
    <cfRule type="expression" dxfId="59" priority="211">
      <formula>AND(TODAY()&gt;=GO$5,TODAY()&lt;#REF!)</formula>
    </cfRule>
  </conditionalFormatting>
  <conditionalFormatting sqref="GO6">
    <cfRule type="expression" dxfId="58" priority="44">
      <formula>AND(TODAY()&gt;=GO$5,TODAY()&lt;GP$5)</formula>
    </cfRule>
  </conditionalFormatting>
  <conditionalFormatting sqref="GP5:GU6">
    <cfRule type="expression" dxfId="57" priority="173">
      <formula>AND(TODAY()&gt;=GP$5,TODAY()&lt;GQ$5)</formula>
    </cfRule>
  </conditionalFormatting>
  <conditionalFormatting sqref="GV5">
    <cfRule type="expression" dxfId="56" priority="174">
      <formula>AND(TODAY()&gt;=GV$5,TODAY()&lt;#REF!)</formula>
    </cfRule>
  </conditionalFormatting>
  <conditionalFormatting sqref="GV6">
    <cfRule type="expression" dxfId="55" priority="41">
      <formula>AND(TODAY()&gt;=GV$5,TODAY()&lt;GW$5)</formula>
    </cfRule>
  </conditionalFormatting>
  <conditionalFormatting sqref="GW5:HB6">
    <cfRule type="expression" dxfId="54" priority="167">
      <formula>AND(TODAY()&gt;=GW$5,TODAY()&lt;GX$5)</formula>
    </cfRule>
  </conditionalFormatting>
  <conditionalFormatting sqref="HC5">
    <cfRule type="expression" dxfId="53" priority="168">
      <formula>AND(TODAY()&gt;=HC$5,TODAY()&lt;#REF!)</formula>
    </cfRule>
  </conditionalFormatting>
  <conditionalFormatting sqref="HC6">
    <cfRule type="expression" dxfId="52" priority="38">
      <formula>AND(TODAY()&gt;=HC$5,TODAY()&lt;HD$5)</formula>
    </cfRule>
  </conditionalFormatting>
  <conditionalFormatting sqref="HD5:HI6">
    <cfRule type="expression" dxfId="51" priority="161">
      <formula>AND(TODAY()&gt;=HD$5,TODAY()&lt;HE$5)</formula>
    </cfRule>
  </conditionalFormatting>
  <conditionalFormatting sqref="HJ5">
    <cfRule type="expression" dxfId="50" priority="162">
      <formula>AND(TODAY()&gt;=HJ$5,TODAY()&lt;#REF!)</formula>
    </cfRule>
  </conditionalFormatting>
  <conditionalFormatting sqref="HJ6">
    <cfRule type="expression" dxfId="49" priority="35">
      <formula>AND(TODAY()&gt;=HJ$5,TODAY()&lt;HK$5)</formula>
    </cfRule>
  </conditionalFormatting>
  <conditionalFormatting sqref="HK5:HP6">
    <cfRule type="expression" dxfId="48" priority="155">
      <formula>AND(TODAY()&gt;=HK$5,TODAY()&lt;HL$5)</formula>
    </cfRule>
  </conditionalFormatting>
  <conditionalFormatting sqref="HQ5">
    <cfRule type="expression" dxfId="47" priority="156">
      <formula>AND(TODAY()&gt;=HQ$5,TODAY()&lt;#REF!)</formula>
    </cfRule>
  </conditionalFormatting>
  <conditionalFormatting sqref="HQ6">
    <cfRule type="expression" dxfId="46" priority="32">
      <formula>AND(TODAY()&gt;=HQ$5,TODAY()&lt;HR$5)</formula>
    </cfRule>
  </conditionalFormatting>
  <conditionalFormatting sqref="HR5:HW6">
    <cfRule type="expression" dxfId="45" priority="149">
      <formula>AND(TODAY()&gt;=HR$5,TODAY()&lt;HS$5)</formula>
    </cfRule>
  </conditionalFormatting>
  <conditionalFormatting sqref="HX5">
    <cfRule type="expression" dxfId="44" priority="150">
      <formula>AND(TODAY()&gt;=HX$5,TODAY()&lt;#REF!)</formula>
    </cfRule>
  </conditionalFormatting>
  <conditionalFormatting sqref="HX6">
    <cfRule type="expression" dxfId="43" priority="29">
      <formula>AND(TODAY()&gt;=HX$5,TODAY()&lt;HY$5)</formula>
    </cfRule>
  </conditionalFormatting>
  <conditionalFormatting sqref="HY5:ID6">
    <cfRule type="expression" dxfId="42" priority="143">
      <formula>AND(TODAY()&gt;=HY$5,TODAY()&lt;HZ$5)</formula>
    </cfRule>
  </conditionalFormatting>
  <conditionalFormatting sqref="IE5">
    <cfRule type="expression" dxfId="41" priority="144">
      <formula>AND(TODAY()&gt;=IE$5,TODAY()&lt;#REF!)</formula>
    </cfRule>
  </conditionalFormatting>
  <conditionalFormatting sqref="IE6">
    <cfRule type="expression" dxfId="40" priority="26">
      <formula>AND(TODAY()&gt;=IE$5,TODAY()&lt;IF$5)</formula>
    </cfRule>
  </conditionalFormatting>
  <conditionalFormatting sqref="IF5:IK6">
    <cfRule type="expression" dxfId="39" priority="137">
      <formula>AND(TODAY()&gt;=IF$5,TODAY()&lt;IG$5)</formula>
    </cfRule>
  </conditionalFormatting>
  <conditionalFormatting sqref="IL5">
    <cfRule type="expression" dxfId="38" priority="138">
      <formula>AND(TODAY()&gt;=IL$5,TODAY()&lt;#REF!)</formula>
    </cfRule>
  </conditionalFormatting>
  <conditionalFormatting sqref="IL6">
    <cfRule type="expression" dxfId="37" priority="23">
      <formula>AND(TODAY()&gt;=IL$5,TODAY()&lt;IM$5)</formula>
    </cfRule>
  </conditionalFormatting>
  <conditionalFormatting sqref="IM5:IS6">
    <cfRule type="expression" dxfId="36" priority="14">
      <formula>AND(TODAY()&gt;=IM$5,TODAY()&lt;IN$5)</formula>
    </cfRule>
  </conditionalFormatting>
  <conditionalFormatting sqref="IT5:IY5">
    <cfRule type="expression" dxfId="35" priority="125">
      <formula>AND(TODAY()&gt;=IT$5,TODAY()&lt;IU$5)</formula>
    </cfRule>
  </conditionalFormatting>
  <conditionalFormatting sqref="IT6:WS6">
    <cfRule type="expression" dxfId="34" priority="17">
      <formula>AND(TODAY()&gt;=IT$5,TODAY()&lt;IU$5)</formula>
    </cfRule>
  </conditionalFormatting>
  <conditionalFormatting sqref="IZ5">
    <cfRule type="expression" dxfId="33" priority="126">
      <formula>AND(TODAY()&gt;=IZ$5,TODAY()&lt;#REF!)</formula>
    </cfRule>
  </conditionalFormatting>
  <conditionalFormatting sqref="JA5:JF5">
    <cfRule type="expression" dxfId="32" priority="119">
      <formula>AND(TODAY()&gt;=JA$5,TODAY()&lt;JB$5)</formula>
    </cfRule>
  </conditionalFormatting>
  <conditionalFormatting sqref="JG5">
    <cfRule type="expression" dxfId="31" priority="120">
      <formula>AND(TODAY()&gt;=JG$5,TODAY()&lt;#REF!)</formula>
    </cfRule>
  </conditionalFormatting>
  <conditionalFormatting sqref="JH5:JM5">
    <cfRule type="expression" dxfId="30" priority="113">
      <formula>AND(TODAY()&gt;=JH$5,TODAY()&lt;JI$5)</formula>
    </cfRule>
  </conditionalFormatting>
  <conditionalFormatting sqref="JN5">
    <cfRule type="expression" dxfId="29" priority="114">
      <formula>AND(TODAY()&gt;=JN$5,TODAY()&lt;#REF!)</formula>
    </cfRule>
  </conditionalFormatting>
  <conditionalFormatting sqref="JO5:JT5">
    <cfRule type="expression" dxfId="28" priority="107">
      <formula>AND(TODAY()&gt;=JO$5,TODAY()&lt;JP$5)</formula>
    </cfRule>
  </conditionalFormatting>
  <conditionalFormatting sqref="JU5">
    <cfRule type="expression" dxfId="27" priority="108">
      <formula>AND(TODAY()&gt;=JU$5,TODAY()&lt;#REF!)</formula>
    </cfRule>
  </conditionalFormatting>
  <conditionalFormatting sqref="JV5:KA5">
    <cfRule type="expression" dxfId="26" priority="101">
      <formula>AND(TODAY()&gt;=JV$5,TODAY()&lt;JW$5)</formula>
    </cfRule>
  </conditionalFormatting>
  <conditionalFormatting sqref="KB5">
    <cfRule type="expression" dxfId="25" priority="102">
      <formula>AND(TODAY()&gt;=KB$5,TODAY()&lt;#REF!)</formula>
    </cfRule>
  </conditionalFormatting>
  <conditionalFormatting sqref="KC5:KH5">
    <cfRule type="expression" dxfId="24" priority="95">
      <formula>AND(TODAY()&gt;=KC$5,TODAY()&lt;KD$5)</formula>
    </cfRule>
  </conditionalFormatting>
  <conditionalFormatting sqref="KI5">
    <cfRule type="expression" dxfId="23" priority="96">
      <formula>AND(TODAY()&gt;=KI$5,TODAY()&lt;#REF!)</formula>
    </cfRule>
  </conditionalFormatting>
  <conditionalFormatting sqref="KJ5:KO5">
    <cfRule type="expression" dxfId="22" priority="89">
      <formula>AND(TODAY()&gt;=KJ$5,TODAY()&lt;KK$5)</formula>
    </cfRule>
  </conditionalFormatting>
  <conditionalFormatting sqref="KP5">
    <cfRule type="expression" dxfId="21" priority="90">
      <formula>AND(TODAY()&gt;=KP$5,TODAY()&lt;#REF!)</formula>
    </cfRule>
  </conditionalFormatting>
  <conditionalFormatting sqref="KQ5:KV5">
    <cfRule type="expression" dxfId="20" priority="83">
      <formula>AND(TODAY()&gt;=KQ$5,TODAY()&lt;KR$5)</formula>
    </cfRule>
  </conditionalFormatting>
  <conditionalFormatting sqref="KW5">
    <cfRule type="expression" dxfId="19" priority="84">
      <formula>AND(TODAY()&gt;=KW$5,TODAY()&lt;#REF!)</formula>
    </cfRule>
  </conditionalFormatting>
  <conditionalFormatting sqref="KX5:LC5">
    <cfRule type="expression" dxfId="18" priority="77">
      <formula>AND(TODAY()&gt;=KX$5,TODAY()&lt;KY$5)</formula>
    </cfRule>
  </conditionalFormatting>
  <conditionalFormatting sqref="LD5">
    <cfRule type="expression" dxfId="17" priority="78">
      <formula>AND(TODAY()&gt;=LD$5,TODAY()&lt;#REF!)</formula>
    </cfRule>
  </conditionalFormatting>
  <conditionalFormatting sqref="LE70:LE71">
    <cfRule type="expression" dxfId="16" priority="8">
      <formula>AND(TODAY()&gt;=LE$5,TODAY()&lt;#REF!)</formula>
    </cfRule>
  </conditionalFormatting>
  <conditionalFormatting sqref="LE73:LF73">
    <cfRule type="expression" dxfId="15" priority="5">
      <formula>AND(TODAY()&gt;=LE$5,TODAY()&lt;LF$5)</formula>
    </cfRule>
    <cfRule type="expression" dxfId="14" priority="4" stopIfTrue="1">
      <formula>AND(Término_da_tarefa&gt;=LE$5,Início_da_tarefa&lt;LF$5)</formula>
    </cfRule>
  </conditionalFormatting>
  <conditionalFormatting sqref="LE5:LJ5">
    <cfRule type="expression" dxfId="13" priority="71">
      <formula>AND(TODAY()&gt;=LE$5,TODAY()&lt;LF$5)</formula>
    </cfRule>
  </conditionalFormatting>
  <conditionalFormatting sqref="LF70:LF71">
    <cfRule type="expression" dxfId="12" priority="7">
      <formula>AND(TODAY()&gt;=LF$5,TODAY()&lt;LG$5)</formula>
    </cfRule>
  </conditionalFormatting>
  <conditionalFormatting sqref="LK5">
    <cfRule type="expression" dxfId="11" priority="72">
      <formula>AND(TODAY()&gt;=LK$5,TODAY()&lt;#REF!)</formula>
    </cfRule>
  </conditionalFormatting>
  <conditionalFormatting sqref="LL5:LQ5">
    <cfRule type="expression" dxfId="10" priority="65">
      <formula>AND(TODAY()&gt;=LL$5,TODAY()&lt;LM$5)</formula>
    </cfRule>
  </conditionalFormatting>
  <conditionalFormatting sqref="LR5">
    <cfRule type="expression" dxfId="9" priority="66">
      <formula>AND(TODAY()&gt;=LR$5,TODAY()&lt;#REF!)</formula>
    </cfRule>
  </conditionalFormatting>
  <conditionalFormatting sqref="LS5:LX5">
    <cfRule type="expression" dxfId="8" priority="59">
      <formula>AND(TODAY()&gt;=LS$5,TODAY()&lt;LT$5)</formula>
    </cfRule>
  </conditionalFormatting>
  <conditionalFormatting sqref="LY5">
    <cfRule type="expression" dxfId="7" priority="60">
      <formula>AND(TODAY()&gt;=LY$5,TODAY()&lt;#REF!)</formula>
    </cfRule>
  </conditionalFormatting>
  <conditionalFormatting sqref="LZ5:ME5">
    <cfRule type="expression" dxfId="6" priority="53">
      <formula>AND(TODAY()&gt;=LZ$5,TODAY()&lt;MA$5)</formula>
    </cfRule>
  </conditionalFormatting>
  <conditionalFormatting sqref="MF5">
    <cfRule type="expression" dxfId="5" priority="54">
      <formula>AND(TODAY()&gt;=MF$5,TODAY()&lt;#REF!)</formula>
    </cfRule>
  </conditionalFormatting>
  <conditionalFormatting sqref="MG5:ML5 MN5:MS5 MU5:MZ5 NB5:NG5 NI5:NN5 NP5:NU5 NW5:NZ5 OB5:OG5 OI5:OL5 ON5:OS5 OU5:OX5 OZ5:PE5 PG5:PJ5 PL5:PQ5 PS5:PV5 PX5:QC5 QE5:QH5 QJ5:QO5 QQ5:QT5 QV5:RA5 RC5:RF5 RH5:RM5 RO5:RR5 RT5:RY5 SA5:SD5 SF5:SK5 SM5:SP5 SR5:SW5 SY5:TB5 TD5:TI5 TK5:TN5 TP5:TU5 TW5:TZ5 UB5:UG5 UI5:UL5 UN5:US5 UU5:UX5 UZ5:VE5 VG5:VJ5 VL5:VQ5 VS5:VV5 VX5:WC5 WE5:WH5 WJ5:WO5 WQ5:WS5">
    <cfRule type="expression" dxfId="4" priority="1">
      <formula>AND(TODAY()&gt;=MG$5,TODAY()&lt;MH$5)</formula>
    </cfRule>
  </conditionalFormatting>
  <conditionalFormatting sqref="MM5 MT5 NA5 NH5 NO5 NV5 OA5 OH5 OM5 OT5 OY5 PF5 PK5 PR5 PW5 QD5 QI5 QP5 QU5 RB5 RG5 RN5 RS5 RZ5 SE5 SL5 SQ5 SX5 TC5 TJ5 TO5 TV5 UA5 UH5 UM5 UT5 UY5 VF5 VK5 VR5 VW5 WD5 WI5 WP5">
    <cfRule type="expression" dxfId="3" priority="2">
      <formula>AND(TODAY()&gt;=MM$5,TODAY()&lt;#REF!)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10"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Equipe!$H$2:$H$117</xm:f>
          </x14:formula1>
          <xm:sqref>C91 C186 C10:C64 C66:C80 C82:C89 C105:C136 C138:C156 C169:C184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6D563-A70C-4485-A649-FBCD363B528E}">
  <dimension ref="A1:C12"/>
  <sheetViews>
    <sheetView workbookViewId="0"/>
  </sheetViews>
  <sheetFormatPr defaultRowHeight="14.45"/>
  <cols>
    <col min="1" max="1" width="43.7109375" style="5" customWidth="1"/>
    <col min="2" max="2" width="8.5703125" style="5"/>
    <col min="3" max="3" width="52.5703125" style="5" customWidth="1"/>
  </cols>
  <sheetData>
    <row r="1" spans="1:3">
      <c r="A1" s="211" t="s">
        <v>296</v>
      </c>
      <c r="B1" s="211" t="s">
        <v>297</v>
      </c>
      <c r="C1" s="211" t="s">
        <v>298</v>
      </c>
    </row>
    <row r="2" spans="1:3">
      <c r="A2" s="212" t="s">
        <v>299</v>
      </c>
      <c r="B2" s="211" t="s">
        <v>300</v>
      </c>
      <c r="C2" s="211" t="s">
        <v>301</v>
      </c>
    </row>
    <row r="3" spans="1:3">
      <c r="A3" s="212" t="s">
        <v>302</v>
      </c>
      <c r="B3" s="211" t="s">
        <v>194</v>
      </c>
      <c r="C3" s="213" t="s">
        <v>303</v>
      </c>
    </row>
    <row r="4" spans="1:3">
      <c r="A4" s="212" t="s">
        <v>304</v>
      </c>
      <c r="B4" s="211" t="s">
        <v>300</v>
      </c>
      <c r="C4" s="211" t="s">
        <v>305</v>
      </c>
    </row>
    <row r="5" spans="1:3">
      <c r="A5" s="212" t="s">
        <v>306</v>
      </c>
      <c r="B5" s="211" t="s">
        <v>300</v>
      </c>
      <c r="C5" s="211" t="s">
        <v>307</v>
      </c>
    </row>
    <row r="6" spans="1:3">
      <c r="A6" s="212" t="s">
        <v>308</v>
      </c>
      <c r="B6" s="211" t="s">
        <v>300</v>
      </c>
      <c r="C6" s="211" t="s">
        <v>309</v>
      </c>
    </row>
    <row r="7" spans="1:3">
      <c r="A7" s="212" t="s">
        <v>310</v>
      </c>
      <c r="B7" s="211" t="s">
        <v>300</v>
      </c>
      <c r="C7" s="211" t="s">
        <v>309</v>
      </c>
    </row>
    <row r="8" spans="1:3">
      <c r="A8" s="212" t="s">
        <v>311</v>
      </c>
      <c r="B8" s="211" t="s">
        <v>300</v>
      </c>
      <c r="C8" s="211" t="s">
        <v>307</v>
      </c>
    </row>
    <row r="9" spans="1:3">
      <c r="A9" s="212" t="s">
        <v>312</v>
      </c>
      <c r="B9" s="211" t="s">
        <v>300</v>
      </c>
      <c r="C9" s="211" t="s">
        <v>309</v>
      </c>
    </row>
    <row r="10" spans="1:3">
      <c r="A10" s="212" t="s">
        <v>313</v>
      </c>
      <c r="B10" s="211" t="s">
        <v>300</v>
      </c>
      <c r="C10" s="211" t="s">
        <v>307</v>
      </c>
    </row>
    <row r="11" spans="1:3">
      <c r="A11" s="212" t="s">
        <v>314</v>
      </c>
      <c r="B11" s="211" t="s">
        <v>300</v>
      </c>
      <c r="C11" s="211" t="s">
        <v>305</v>
      </c>
    </row>
    <row r="12" spans="1:3">
      <c r="A12" s="212" t="s">
        <v>315</v>
      </c>
      <c r="B12" s="211" t="s">
        <v>300</v>
      </c>
      <c r="C12" s="211" t="s">
        <v>301</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cols>
    <col min="1" max="1" width="2.5703125" style="33" customWidth="1"/>
    <col min="2" max="2" width="19.5703125" customWidth="1"/>
    <col min="3" max="3" width="15" bestFit="1" customWidth="1"/>
    <col min="4" max="4" width="16.42578125" customWidth="1"/>
    <col min="5" max="5" width="10.42578125" style="5" customWidth="1"/>
    <col min="6" max="6" width="10.42578125" customWidth="1"/>
    <col min="7" max="7" width="2.42578125" customWidth="1"/>
    <col min="8" max="8" width="6.42578125" hidden="1" customWidth="1"/>
    <col min="9" max="71" width="2" customWidth="1"/>
    <col min="72" max="72" width="2.42578125" customWidth="1"/>
    <col min="73" max="82" width="2" customWidth="1"/>
    <col min="83" max="83" width="1.5703125" customWidth="1"/>
    <col min="84" max="93" width="2" customWidth="1"/>
    <col min="94" max="94" width="2.42578125" customWidth="1"/>
    <col min="95" max="96" width="2.42578125" style="75" customWidth="1"/>
    <col min="97" max="97" width="2.42578125" customWidth="1"/>
    <col min="98" max="101" width="2" customWidth="1"/>
    <col min="102" max="103" width="2" style="75" customWidth="1"/>
    <col min="104" max="130" width="2" customWidth="1"/>
    <col min="131" max="131" width="2" style="71" customWidth="1"/>
    <col min="132" max="155" width="2" customWidth="1"/>
    <col min="156" max="239" width="2.42578125" customWidth="1"/>
  </cols>
  <sheetData>
    <row r="1" spans="1:239" ht="30" customHeight="1">
      <c r="A1" s="34" t="s">
        <v>316</v>
      </c>
      <c r="B1" s="37" t="s">
        <v>317</v>
      </c>
      <c r="C1" s="1"/>
      <c r="D1" s="2"/>
      <c r="E1" s="4"/>
      <c r="F1" s="32"/>
      <c r="H1" s="2"/>
      <c r="I1" s="51" t="s">
        <v>318</v>
      </c>
    </row>
    <row r="2" spans="1:239" ht="30" customHeight="1">
      <c r="A2" s="33" t="s">
        <v>201</v>
      </c>
      <c r="B2" s="38" t="s">
        <v>319</v>
      </c>
      <c r="I2" s="160"/>
    </row>
    <row r="3" spans="1:239" ht="33" customHeight="1">
      <c r="A3" s="33" t="s">
        <v>202</v>
      </c>
      <c r="B3" s="70" t="s">
        <v>203</v>
      </c>
      <c r="C3" s="69">
        <f>Início_do_projeto+120</f>
        <v>46051</v>
      </c>
      <c r="D3" s="68" t="s">
        <v>204</v>
      </c>
      <c r="E3" s="250">
        <v>45931</v>
      </c>
      <c r="F3" s="250"/>
      <c r="G3" s="64"/>
    </row>
    <row r="4" spans="1:239" ht="30" customHeight="1">
      <c r="A4" s="34" t="s">
        <v>205</v>
      </c>
      <c r="C4" s="251" t="s">
        <v>206</v>
      </c>
      <c r="D4" s="252"/>
      <c r="E4" s="7">
        <v>1</v>
      </c>
      <c r="I4" s="246">
        <f>I5</f>
        <v>45929</v>
      </c>
      <c r="J4" s="247"/>
      <c r="K4" s="247"/>
      <c r="L4" s="247"/>
      <c r="M4" s="247"/>
      <c r="N4" s="247"/>
      <c r="O4" s="248"/>
      <c r="P4" s="246">
        <f>P5</f>
        <v>45936</v>
      </c>
      <c r="Q4" s="247"/>
      <c r="R4" s="247"/>
      <c r="S4" s="247"/>
      <c r="T4" s="247"/>
      <c r="U4" s="247"/>
      <c r="V4" s="248"/>
      <c r="W4" s="246">
        <f>W5</f>
        <v>45943</v>
      </c>
      <c r="X4" s="247"/>
      <c r="Y4" s="247"/>
      <c r="Z4" s="247"/>
      <c r="AA4" s="247"/>
      <c r="AB4" s="247"/>
      <c r="AC4" s="248"/>
      <c r="AD4" s="246">
        <f>AD5</f>
        <v>45950</v>
      </c>
      <c r="AE4" s="247"/>
      <c r="AF4" s="247"/>
      <c r="AG4" s="247"/>
      <c r="AH4" s="247"/>
      <c r="AI4" s="247"/>
      <c r="AJ4" s="248"/>
      <c r="AK4" s="246">
        <f>AK5</f>
        <v>45957</v>
      </c>
      <c r="AL4" s="247"/>
      <c r="AM4" s="247"/>
      <c r="AN4" s="247"/>
      <c r="AO4" s="247"/>
      <c r="AP4" s="247"/>
      <c r="AQ4" s="248"/>
      <c r="AR4" s="246">
        <f>AR5</f>
        <v>45964</v>
      </c>
      <c r="AS4" s="247"/>
      <c r="AT4" s="247"/>
      <c r="AU4" s="247"/>
      <c r="AV4" s="247"/>
      <c r="AW4" s="247"/>
      <c r="AX4" s="248"/>
      <c r="AY4" s="246">
        <f>AY5</f>
        <v>45971</v>
      </c>
      <c r="AZ4" s="247"/>
      <c r="BA4" s="247"/>
      <c r="BB4" s="247"/>
      <c r="BC4" s="247"/>
      <c r="BD4" s="247"/>
      <c r="BE4" s="248"/>
      <c r="BF4" s="246">
        <f>BF5</f>
        <v>45978</v>
      </c>
      <c r="BG4" s="247"/>
      <c r="BH4" s="247"/>
      <c r="BI4" s="247"/>
      <c r="BJ4" s="247"/>
      <c r="BK4" s="247"/>
      <c r="BL4" s="248"/>
      <c r="BM4" s="246">
        <f>BM5</f>
        <v>45985</v>
      </c>
      <c r="BN4" s="247"/>
      <c r="BO4" s="247"/>
      <c r="BP4" s="247"/>
      <c r="BQ4" s="247"/>
      <c r="BR4" s="247"/>
      <c r="BS4" s="248"/>
      <c r="BT4" s="246">
        <f>BT5</f>
        <v>45992</v>
      </c>
      <c r="BU4" s="247"/>
      <c r="BV4" s="247"/>
      <c r="BW4" s="247"/>
      <c r="BX4" s="247"/>
      <c r="BY4" s="247"/>
      <c r="BZ4" s="248"/>
      <c r="CA4" s="246">
        <f>CA5</f>
        <v>45999</v>
      </c>
      <c r="CB4" s="247"/>
      <c r="CC4" s="247"/>
      <c r="CD4" s="247"/>
      <c r="CE4" s="247"/>
      <c r="CF4" s="247"/>
      <c r="CG4" s="248"/>
      <c r="CH4" s="246">
        <f>CH5</f>
        <v>46006</v>
      </c>
      <c r="CI4" s="247"/>
      <c r="CJ4" s="247"/>
      <c r="CK4" s="247"/>
      <c r="CL4" s="247"/>
      <c r="CM4" s="247"/>
      <c r="CN4" s="248"/>
      <c r="CO4" s="246">
        <f>CO5</f>
        <v>46013</v>
      </c>
      <c r="CP4" s="247"/>
      <c r="CQ4" s="247"/>
      <c r="CR4" s="247"/>
      <c r="CS4" s="247"/>
      <c r="CT4" s="247"/>
      <c r="CU4" s="248"/>
      <c r="CV4" s="246">
        <f>CV5</f>
        <v>46020</v>
      </c>
      <c r="CW4" s="247"/>
      <c r="CX4" s="247"/>
      <c r="CY4" s="247"/>
      <c r="CZ4" s="247"/>
      <c r="DA4" s="247"/>
      <c r="DB4" s="248"/>
      <c r="DC4" s="246">
        <f>DC5</f>
        <v>46027</v>
      </c>
      <c r="DD4" s="247"/>
      <c r="DE4" s="247"/>
      <c r="DF4" s="247"/>
      <c r="DG4" s="247"/>
      <c r="DH4" s="247"/>
      <c r="DI4" s="248"/>
      <c r="DJ4" s="246">
        <f>DJ5</f>
        <v>46034</v>
      </c>
      <c r="DK4" s="247"/>
      <c r="DL4" s="247"/>
      <c r="DM4" s="247"/>
      <c r="DN4" s="247"/>
      <c r="DO4" s="247"/>
      <c r="DP4" s="248"/>
      <c r="DQ4" s="246">
        <f>DQ5</f>
        <v>46041</v>
      </c>
      <c r="DR4" s="247"/>
      <c r="DS4" s="247"/>
      <c r="DT4" s="247"/>
      <c r="DU4" s="247"/>
      <c r="DV4" s="247"/>
      <c r="DW4" s="248"/>
      <c r="DX4" s="246">
        <f>DX5</f>
        <v>46048</v>
      </c>
      <c r="DY4" s="247"/>
      <c r="DZ4" s="247"/>
      <c r="EA4" s="247"/>
      <c r="EB4" s="247"/>
      <c r="EC4" s="247"/>
      <c r="ED4" s="248"/>
      <c r="EE4" s="246">
        <f t="shared" ref="EE4" si="0">EE5</f>
        <v>46055</v>
      </c>
      <c r="EF4" s="247"/>
      <c r="EG4" s="247"/>
      <c r="EH4" s="247"/>
      <c r="EI4" s="247"/>
      <c r="EJ4" s="247"/>
      <c r="EK4" s="248"/>
      <c r="EL4" s="246">
        <f t="shared" ref="EL4" si="1">EL5</f>
        <v>46062</v>
      </c>
      <c r="EM4" s="247"/>
      <c r="EN4" s="247"/>
      <c r="EO4" s="247"/>
      <c r="EP4" s="247"/>
      <c r="EQ4" s="247"/>
      <c r="ER4" s="248"/>
      <c r="ES4" s="246">
        <f t="shared" ref="ES4" si="2">ES5</f>
        <v>46069</v>
      </c>
      <c r="ET4" s="247"/>
      <c r="EU4" s="247"/>
      <c r="EV4" s="247"/>
      <c r="EW4" s="247"/>
      <c r="EX4" s="247"/>
      <c r="EY4" s="248"/>
      <c r="EZ4" s="246">
        <f t="shared" ref="EZ4" si="3">EZ5</f>
        <v>46076</v>
      </c>
      <c r="FA4" s="247"/>
      <c r="FB4" s="247"/>
      <c r="FC4" s="247"/>
      <c r="FD4" s="247"/>
      <c r="FE4" s="247"/>
      <c r="FF4" s="248"/>
      <c r="FG4" s="246">
        <f t="shared" ref="FG4" si="4">FG5</f>
        <v>46083</v>
      </c>
      <c r="FH4" s="247"/>
      <c r="FI4" s="247"/>
      <c r="FJ4" s="247"/>
      <c r="FK4" s="247"/>
      <c r="FL4" s="247"/>
      <c r="FM4" s="248"/>
      <c r="FN4" s="246">
        <f t="shared" ref="FN4" si="5">FN5</f>
        <v>46090</v>
      </c>
      <c r="FO4" s="247"/>
      <c r="FP4" s="247"/>
      <c r="FQ4" s="247"/>
      <c r="FR4" s="247"/>
      <c r="FS4" s="247"/>
      <c r="FT4" s="248"/>
      <c r="FU4" s="246">
        <f t="shared" ref="FU4" si="6">FU5</f>
        <v>46097</v>
      </c>
      <c r="FV4" s="247"/>
      <c r="FW4" s="247"/>
      <c r="FX4" s="247"/>
      <c r="FY4" s="247"/>
      <c r="FZ4" s="247"/>
      <c r="GA4" s="248"/>
      <c r="GB4" s="246">
        <f t="shared" ref="GB4" si="7">GB5</f>
        <v>46104</v>
      </c>
      <c r="GC4" s="247"/>
      <c r="GD4" s="247"/>
      <c r="GE4" s="247"/>
      <c r="GF4" s="247"/>
      <c r="GG4" s="247"/>
      <c r="GH4" s="248"/>
      <c r="GI4" s="246">
        <f t="shared" ref="GI4" si="8">GI5</f>
        <v>46111</v>
      </c>
      <c r="GJ4" s="247"/>
      <c r="GK4" s="247"/>
      <c r="GL4" s="247"/>
      <c r="GM4" s="247"/>
      <c r="GN4" s="247"/>
      <c r="GO4" s="248"/>
      <c r="GP4" s="246">
        <f t="shared" ref="GP4" si="9">GP5</f>
        <v>46118</v>
      </c>
      <c r="GQ4" s="247"/>
      <c r="GR4" s="247"/>
      <c r="GS4" s="247"/>
      <c r="GT4" s="247"/>
      <c r="GU4" s="247"/>
      <c r="GV4" s="248"/>
      <c r="GW4" s="246">
        <f t="shared" ref="GW4" si="10">GW5</f>
        <v>46125</v>
      </c>
      <c r="GX4" s="247"/>
      <c r="GY4" s="247"/>
      <c r="GZ4" s="247"/>
      <c r="HA4" s="247"/>
      <c r="HB4" s="247"/>
      <c r="HC4" s="248"/>
      <c r="HD4" s="246">
        <f t="shared" ref="HD4" si="11">HD5</f>
        <v>46132</v>
      </c>
      <c r="HE4" s="247"/>
      <c r="HF4" s="247"/>
      <c r="HG4" s="247"/>
      <c r="HH4" s="247"/>
      <c r="HI4" s="247"/>
      <c r="HJ4" s="248"/>
      <c r="HK4" s="246">
        <f t="shared" ref="HK4" si="12">HK5</f>
        <v>46139</v>
      </c>
      <c r="HL4" s="247"/>
      <c r="HM4" s="247"/>
      <c r="HN4" s="247"/>
      <c r="HO4" s="247"/>
      <c r="HP4" s="247"/>
      <c r="HQ4" s="248"/>
      <c r="HR4" s="246">
        <f t="shared" ref="HR4" si="13">HR5</f>
        <v>46146</v>
      </c>
      <c r="HS4" s="247"/>
      <c r="HT4" s="247"/>
      <c r="HU4" s="247"/>
      <c r="HV4" s="247"/>
      <c r="HW4" s="247"/>
      <c r="HX4" s="248"/>
      <c r="HY4" s="246">
        <f t="shared" ref="HY4" si="14">HY5</f>
        <v>46153</v>
      </c>
      <c r="HZ4" s="247"/>
      <c r="IA4" s="247"/>
      <c r="IB4" s="247"/>
      <c r="IC4" s="247"/>
      <c r="ID4" s="247"/>
      <c r="IE4" s="248"/>
    </row>
    <row r="5" spans="1:239" ht="15" customHeight="1">
      <c r="A5" s="34" t="s">
        <v>207</v>
      </c>
      <c r="B5" s="50"/>
      <c r="C5" s="50"/>
      <c r="D5" s="50"/>
      <c r="E5" s="50"/>
      <c r="F5" s="50"/>
      <c r="G5" s="50"/>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c r="A6" s="34" t="s">
        <v>208</v>
      </c>
      <c r="B6" s="8" t="s">
        <v>209</v>
      </c>
      <c r="C6" s="9" t="s">
        <v>210</v>
      </c>
      <c r="D6" s="9" t="s">
        <v>320</v>
      </c>
      <c r="E6" s="9" t="s">
        <v>211</v>
      </c>
      <c r="F6" s="9" t="s">
        <v>212</v>
      </c>
      <c r="G6" s="9"/>
      <c r="H6" s="9" t="s">
        <v>213</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c r="A7" s="33" t="s">
        <v>214</v>
      </c>
      <c r="C7" s="36"/>
      <c r="E7"/>
      <c r="H7" t="str">
        <f ca="1">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c r="A8" s="34" t="s">
        <v>216</v>
      </c>
      <c r="B8" s="15" t="s">
        <v>321</v>
      </c>
      <c r="C8" s="39"/>
      <c r="D8" s="16"/>
      <c r="E8" s="52"/>
      <c r="F8" s="53"/>
      <c r="G8" s="14"/>
      <c r="H8" s="14" t="str">
        <f t="shared" ref="H8:H31" ca="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78"/>
      <c r="CR8" s="78"/>
      <c r="CS8" s="29"/>
      <c r="CT8" s="29"/>
      <c r="CU8" s="29"/>
      <c r="CV8" s="29"/>
      <c r="CW8" s="29"/>
      <c r="CX8" s="78"/>
      <c r="CY8" s="78"/>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4"/>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c r="A9" s="34" t="s">
        <v>218</v>
      </c>
      <c r="B9" s="46" t="s">
        <v>322</v>
      </c>
      <c r="C9" s="40"/>
      <c r="D9" s="17">
        <v>0</v>
      </c>
      <c r="E9" s="54">
        <f>Início_do_projeto</f>
        <v>45931</v>
      </c>
      <c r="F9" s="54">
        <f>E9+13</f>
        <v>45944</v>
      </c>
      <c r="G9" s="14"/>
      <c r="H9" s="14">
        <f t="shared" ca="1"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78"/>
      <c r="CR9" s="78"/>
      <c r="CS9" s="29"/>
      <c r="CT9" s="29"/>
      <c r="CU9" s="29"/>
      <c r="CV9" s="29"/>
      <c r="CW9" s="29"/>
      <c r="CX9" s="78"/>
      <c r="CY9" s="78"/>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4"/>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c r="A10" s="34" t="s">
        <v>219</v>
      </c>
      <c r="B10" s="46" t="s">
        <v>323</v>
      </c>
      <c r="C10" s="40"/>
      <c r="D10" s="17">
        <v>1</v>
      </c>
      <c r="E10" s="54">
        <f>F9+1</f>
        <v>45945</v>
      </c>
      <c r="F10" s="54">
        <f>E10+29</f>
        <v>45974</v>
      </c>
      <c r="G10" s="14"/>
      <c r="H10" s="14">
        <f t="shared" ca="1"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78"/>
      <c r="CR10" s="78"/>
      <c r="CS10" s="29"/>
      <c r="CT10" s="29"/>
      <c r="CU10" s="29"/>
      <c r="CV10" s="29"/>
      <c r="CW10" s="29"/>
      <c r="CX10" s="78"/>
      <c r="CY10" s="78"/>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4"/>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c r="A11" s="34"/>
      <c r="B11" s="46" t="s">
        <v>324</v>
      </c>
      <c r="C11" s="40"/>
      <c r="D11" s="17"/>
      <c r="E11" s="54">
        <f>E10+60</f>
        <v>46005</v>
      </c>
      <c r="F11" s="54">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78"/>
      <c r="CR11" s="78"/>
      <c r="CS11" s="29"/>
      <c r="CT11" s="29"/>
      <c r="CU11" s="29"/>
      <c r="CV11" s="29"/>
      <c r="CW11" s="29"/>
      <c r="CX11" s="78"/>
      <c r="CY11" s="78"/>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4"/>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c r="A12" s="33"/>
      <c r="B12" s="46" t="s">
        <v>325</v>
      </c>
      <c r="C12" s="40"/>
      <c r="D12" s="17">
        <v>0</v>
      </c>
      <c r="E12" s="54">
        <f>F10+1</f>
        <v>45975</v>
      </c>
      <c r="F12" s="54">
        <f>E12+13</f>
        <v>45988</v>
      </c>
      <c r="G12" s="14"/>
      <c r="H12" s="14">
        <f t="shared" ca="1"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78"/>
      <c r="CR12" s="78"/>
      <c r="CS12" s="29"/>
      <c r="CT12" s="29"/>
      <c r="CU12" s="29"/>
      <c r="CV12" s="29"/>
      <c r="CW12" s="29"/>
      <c r="CX12" s="78"/>
      <c r="CY12" s="78"/>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4"/>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c r="A13" s="33"/>
      <c r="B13" s="46" t="s">
        <v>323</v>
      </c>
      <c r="C13" s="40"/>
      <c r="D13" s="17">
        <v>1</v>
      </c>
      <c r="E13" s="54">
        <f>F12+1</f>
        <v>45989</v>
      </c>
      <c r="F13" s="54">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78"/>
      <c r="CR13" s="78"/>
      <c r="CS13" s="29"/>
      <c r="CT13" s="29"/>
      <c r="CU13" s="29"/>
      <c r="CV13" s="29"/>
      <c r="CW13" s="29"/>
      <c r="CX13" s="78"/>
      <c r="CY13" s="78"/>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4"/>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c r="A14" s="33"/>
      <c r="B14" s="46" t="s">
        <v>326</v>
      </c>
      <c r="C14" s="40"/>
      <c r="D14" s="17">
        <v>0</v>
      </c>
      <c r="E14" s="54">
        <f>E27</f>
        <v>46017</v>
      </c>
      <c r="F14" s="54">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78"/>
      <c r="CR14" s="78"/>
      <c r="CS14" s="29"/>
      <c r="CT14" s="29"/>
      <c r="CU14" s="29"/>
      <c r="CV14" s="29"/>
      <c r="CW14" s="29"/>
      <c r="CX14" s="78"/>
      <c r="CY14" s="78"/>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4"/>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c r="A15" s="33"/>
      <c r="B15" s="46" t="s">
        <v>323</v>
      </c>
      <c r="C15" s="40"/>
      <c r="D15" s="17">
        <v>1</v>
      </c>
      <c r="E15" s="54">
        <f>F14+1</f>
        <v>46031</v>
      </c>
      <c r="F15" s="54">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78"/>
      <c r="CR15" s="78"/>
      <c r="CS15" s="29"/>
      <c r="CT15" s="29"/>
      <c r="CU15" s="29"/>
      <c r="CV15" s="29"/>
      <c r="CW15" s="29"/>
      <c r="CX15" s="78"/>
      <c r="CY15" s="78"/>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4"/>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c r="A16" s="34" t="s">
        <v>225</v>
      </c>
      <c r="B16" s="18" t="s">
        <v>327</v>
      </c>
      <c r="C16" s="41"/>
      <c r="D16" s="19"/>
      <c r="E16" s="55"/>
      <c r="F16" s="56"/>
      <c r="G16" s="14"/>
      <c r="H16" s="14" t="str">
        <f t="shared" ca="1"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78"/>
      <c r="CR16" s="78"/>
      <c r="CS16" s="29"/>
      <c r="CT16" s="29"/>
      <c r="CU16" s="29"/>
      <c r="CV16" s="29"/>
      <c r="CW16" s="29"/>
      <c r="CX16" s="78"/>
      <c r="CY16" s="78"/>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4"/>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c r="A17" s="34"/>
      <c r="B17" s="47" t="s">
        <v>322</v>
      </c>
      <c r="C17" s="42"/>
      <c r="D17" s="20">
        <v>0</v>
      </c>
      <c r="E17" s="57">
        <f>E10</f>
        <v>45945</v>
      </c>
      <c r="F17" s="57">
        <f>E17+13</f>
        <v>45958</v>
      </c>
      <c r="G17" s="14"/>
      <c r="H17" s="14">
        <f t="shared" ca="1"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78"/>
      <c r="CR17" s="78"/>
      <c r="CS17" s="29"/>
      <c r="CT17" s="29"/>
      <c r="CU17" s="29"/>
      <c r="CV17" s="29"/>
      <c r="CW17" s="29"/>
      <c r="CX17" s="78"/>
      <c r="CY17" s="78"/>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4"/>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c r="A18" s="33"/>
      <c r="B18" s="47" t="s">
        <v>323</v>
      </c>
      <c r="C18" s="42"/>
      <c r="D18" s="20">
        <v>1</v>
      </c>
      <c r="E18" s="57">
        <f>F17+1</f>
        <v>45959</v>
      </c>
      <c r="F18" s="57">
        <f>E18+26</f>
        <v>45985</v>
      </c>
      <c r="G18" s="14"/>
      <c r="H18" s="14">
        <f t="shared" ca="1"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78"/>
      <c r="CR18" s="78"/>
      <c r="CS18" s="29"/>
      <c r="CT18" s="29"/>
      <c r="CU18" s="29"/>
      <c r="CV18" s="29"/>
      <c r="CW18" s="29"/>
      <c r="CX18" s="78"/>
      <c r="CY18" s="78"/>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4"/>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c r="A19" s="33"/>
      <c r="B19" s="47" t="s">
        <v>325</v>
      </c>
      <c r="C19" s="42"/>
      <c r="D19" s="20">
        <v>0</v>
      </c>
      <c r="E19" s="57">
        <f>E13</f>
        <v>45989</v>
      </c>
      <c r="F19" s="57">
        <f>E19+13</f>
        <v>46002</v>
      </c>
      <c r="G19" s="14"/>
      <c r="H19" s="14">
        <f t="shared" ca="1"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78"/>
      <c r="CR19" s="78"/>
      <c r="CS19" s="29"/>
      <c r="CT19" s="29"/>
      <c r="CU19" s="29"/>
      <c r="CV19" s="29"/>
      <c r="CW19" s="29"/>
      <c r="CX19" s="78"/>
      <c r="CY19" s="78"/>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4"/>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c r="A20" s="33"/>
      <c r="B20" s="47" t="s">
        <v>323</v>
      </c>
      <c r="C20" s="42"/>
      <c r="D20" s="20">
        <v>1</v>
      </c>
      <c r="E20" s="57">
        <f>F19+1</f>
        <v>46003</v>
      </c>
      <c r="F20" s="57">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78"/>
      <c r="CR20" s="78"/>
      <c r="CS20" s="29"/>
      <c r="CT20" s="29"/>
      <c r="CU20" s="29"/>
      <c r="CV20" s="29"/>
      <c r="CW20" s="29"/>
      <c r="CX20" s="78"/>
      <c r="CY20" s="78"/>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4"/>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c r="A21" s="33"/>
      <c r="B21" s="47" t="s">
        <v>326</v>
      </c>
      <c r="C21" s="42"/>
      <c r="D21" s="20">
        <v>0</v>
      </c>
      <c r="E21" s="57">
        <f>E15</f>
        <v>46031</v>
      </c>
      <c r="F21" s="57">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78"/>
      <c r="CR21" s="78"/>
      <c r="CS21" s="29"/>
      <c r="CT21" s="29"/>
      <c r="CU21" s="29"/>
      <c r="CV21" s="29"/>
      <c r="CW21" s="29"/>
      <c r="CX21" s="78"/>
      <c r="CY21" s="78"/>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4"/>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c r="A22" s="33"/>
      <c r="B22" s="47" t="s">
        <v>323</v>
      </c>
      <c r="C22" s="42"/>
      <c r="D22" s="20">
        <v>1</v>
      </c>
      <c r="E22" s="57">
        <f>F21+1</f>
        <v>46045</v>
      </c>
      <c r="F22" s="57">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78"/>
      <c r="CR22" s="78"/>
      <c r="CS22" s="29"/>
      <c r="CT22" s="29"/>
      <c r="CU22" s="29"/>
      <c r="CV22" s="29"/>
      <c r="CW22" s="29"/>
      <c r="CX22" s="78"/>
      <c r="CY22" s="78"/>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4"/>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c r="A23" s="33" t="s">
        <v>237</v>
      </c>
      <c r="B23" s="21" t="s">
        <v>328</v>
      </c>
      <c r="C23" s="43"/>
      <c r="D23" s="22"/>
      <c r="E23" s="58"/>
      <c r="F23" s="59"/>
      <c r="G23" s="14"/>
      <c r="H23" s="14" t="str">
        <f t="shared" ca="1"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78"/>
      <c r="CR23" s="78"/>
      <c r="CS23" s="29"/>
      <c r="CT23" s="29"/>
      <c r="CU23" s="29"/>
      <c r="CV23" s="29"/>
      <c r="CW23" s="29"/>
      <c r="CX23" s="78"/>
      <c r="CY23" s="78"/>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4"/>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c r="A24" s="33"/>
      <c r="B24" s="48" t="s">
        <v>322</v>
      </c>
      <c r="C24" s="44"/>
      <c r="D24" s="23">
        <v>0</v>
      </c>
      <c r="E24" s="60">
        <f>E18</f>
        <v>45959</v>
      </c>
      <c r="F24" s="60">
        <f>E24+13</f>
        <v>45972</v>
      </c>
      <c r="G24" s="14"/>
      <c r="H24" s="14">
        <f t="shared" ca="1"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78"/>
      <c r="CR24" s="78"/>
      <c r="CS24" s="29"/>
      <c r="CT24" s="29"/>
      <c r="CU24" s="29"/>
      <c r="CV24" s="29"/>
      <c r="CW24" s="29"/>
      <c r="CX24" s="78"/>
      <c r="CY24" s="78"/>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4"/>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c r="A25" s="33"/>
      <c r="B25" s="48" t="s">
        <v>323</v>
      </c>
      <c r="C25" s="44"/>
      <c r="D25" s="23">
        <v>1</v>
      </c>
      <c r="E25" s="60">
        <f>F24+1</f>
        <v>45973</v>
      </c>
      <c r="F25" s="60">
        <f>E25+26</f>
        <v>45999</v>
      </c>
      <c r="G25" s="14"/>
      <c r="H25" s="14">
        <f t="shared" ca="1"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78"/>
      <c r="CR25" s="78"/>
      <c r="CS25" s="29"/>
      <c r="CT25" s="29"/>
      <c r="CU25" s="29"/>
      <c r="CV25" s="29"/>
      <c r="CW25" s="29"/>
      <c r="CX25" s="78"/>
      <c r="CY25" s="78"/>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4"/>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c r="A26" s="33"/>
      <c r="B26" s="48" t="s">
        <v>325</v>
      </c>
      <c r="C26" s="44"/>
      <c r="D26" s="23">
        <v>0</v>
      </c>
      <c r="E26" s="60">
        <f>E20</f>
        <v>46003</v>
      </c>
      <c r="F26" s="60">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78"/>
      <c r="CR26" s="78"/>
      <c r="CS26" s="29"/>
      <c r="CT26" s="29"/>
      <c r="CU26" s="29"/>
      <c r="CV26" s="29"/>
      <c r="CW26" s="29"/>
      <c r="CX26" s="78"/>
      <c r="CY26" s="78"/>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4"/>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c r="A27" s="33"/>
      <c r="B27" s="48" t="s">
        <v>323</v>
      </c>
      <c r="C27" s="44"/>
      <c r="D27" s="23">
        <v>1</v>
      </c>
      <c r="E27" s="60">
        <f>F26+1</f>
        <v>46017</v>
      </c>
      <c r="F27" s="60">
        <f>E27+26</f>
        <v>46043</v>
      </c>
      <c r="G27" s="14"/>
      <c r="H27" s="14">
        <f t="shared" ca="1"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78"/>
      <c r="CR27" s="78"/>
      <c r="CS27" s="29"/>
      <c r="CT27" s="29"/>
      <c r="CU27" s="29"/>
      <c r="CV27" s="29"/>
      <c r="CW27" s="29"/>
      <c r="CX27" s="78"/>
      <c r="CY27" s="78"/>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4"/>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c r="A28" s="33"/>
      <c r="B28" s="48" t="s">
        <v>326</v>
      </c>
      <c r="C28" s="44"/>
      <c r="D28" s="23">
        <v>0</v>
      </c>
      <c r="E28" s="60">
        <f>E22</f>
        <v>46045</v>
      </c>
      <c r="F28" s="60">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78"/>
      <c r="CR28" s="78"/>
      <c r="CS28" s="29"/>
      <c r="CT28" s="29"/>
      <c r="CU28" s="29"/>
      <c r="CV28" s="29"/>
      <c r="CW28" s="29"/>
      <c r="CX28" s="78"/>
      <c r="CY28" s="78"/>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4"/>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c r="A29" s="33"/>
      <c r="B29" s="48" t="s">
        <v>323</v>
      </c>
      <c r="C29" s="44"/>
      <c r="D29" s="23">
        <v>1</v>
      </c>
      <c r="E29" s="60">
        <f>F28+1</f>
        <v>46059</v>
      </c>
      <c r="F29" s="60">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78"/>
      <c r="CR29" s="78"/>
      <c r="CS29" s="29"/>
      <c r="CT29" s="29"/>
      <c r="CU29" s="29"/>
      <c r="CV29" s="29"/>
      <c r="CW29" s="29"/>
      <c r="CX29" s="78"/>
      <c r="CY29" s="78"/>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4"/>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c r="A30" s="33" t="s">
        <v>293</v>
      </c>
      <c r="B30" s="49"/>
      <c r="C30" s="45"/>
      <c r="D30" s="13"/>
      <c r="E30" s="61"/>
      <c r="F30" s="61"/>
      <c r="G30" s="14"/>
      <c r="H30" s="14" t="str">
        <f t="shared" ca="1"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78"/>
      <c r="CR30" s="78"/>
      <c r="CS30" s="29"/>
      <c r="CT30" s="29"/>
      <c r="CU30" s="29"/>
      <c r="CV30" s="29"/>
      <c r="CW30" s="29"/>
      <c r="CX30" s="78"/>
      <c r="CY30" s="78"/>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4"/>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c r="A31" s="34" t="s">
        <v>295</v>
      </c>
      <c r="B31" s="25" t="s">
        <v>294</v>
      </c>
      <c r="C31" s="26"/>
      <c r="D31" s="27"/>
      <c r="E31" s="62"/>
      <c r="F31" s="63"/>
      <c r="G31" s="28"/>
      <c r="H31" s="28" t="str">
        <f t="shared" ca="1"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78"/>
      <c r="CR31" s="78"/>
      <c r="CS31" s="31"/>
      <c r="CT31" s="31"/>
      <c r="CU31" s="31"/>
      <c r="CV31" s="31"/>
      <c r="CW31" s="31"/>
      <c r="CX31" s="78"/>
      <c r="CY31" s="78"/>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4"/>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c r="G32" s="6"/>
    </row>
    <row r="33" spans="3:6" ht="30" customHeight="1">
      <c r="C33" s="11"/>
      <c r="F33" s="35"/>
    </row>
    <row r="34" spans="3:6" ht="30" customHeight="1">
      <c r="C34" s="12"/>
    </row>
  </sheetData>
  <mergeCells count="35">
    <mergeCell ref="GW4:HC4"/>
    <mergeCell ref="HD4:HJ4"/>
    <mergeCell ref="HK4:HQ4"/>
    <mergeCell ref="HR4:HX4"/>
    <mergeCell ref="HY4:IE4"/>
    <mergeCell ref="GP4:GV4"/>
    <mergeCell ref="DQ4:DW4"/>
    <mergeCell ref="DX4:ED4"/>
    <mergeCell ref="EE4:EK4"/>
    <mergeCell ref="EL4:ER4"/>
    <mergeCell ref="ES4:EY4"/>
    <mergeCell ref="EZ4:FF4"/>
    <mergeCell ref="FG4:FM4"/>
    <mergeCell ref="FN4:FT4"/>
    <mergeCell ref="FU4:GA4"/>
    <mergeCell ref="GB4:GH4"/>
    <mergeCell ref="GI4:GO4"/>
    <mergeCell ref="DJ4:DP4"/>
    <mergeCell ref="AK4:AQ4"/>
    <mergeCell ref="AR4:AX4"/>
    <mergeCell ref="AY4:BE4"/>
    <mergeCell ref="BF4:BL4"/>
    <mergeCell ref="BM4:BS4"/>
    <mergeCell ref="BT4:BZ4"/>
    <mergeCell ref="CA4:CG4"/>
    <mergeCell ref="CH4:CN4"/>
    <mergeCell ref="CO4:CU4"/>
    <mergeCell ref="CV4:DB4"/>
    <mergeCell ref="DC4:DI4"/>
    <mergeCell ref="AD4:AJ4"/>
    <mergeCell ref="E3:F3"/>
    <mergeCell ref="C4:D4"/>
    <mergeCell ref="I4:O4"/>
    <mergeCell ref="P4:V4"/>
    <mergeCell ref="W4:AC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3"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c7dc8bababf5f01f5cecf796b8f012">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5eef82cb9f10128cc8ef02693a3e5f2c"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descrip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FB5670B-D830-4B08-AE54-9C8F4F93FE3A}"/>
</file>

<file path=customXml/itemProps2.xml><?xml version="1.0" encoding="utf-8"?>
<ds:datastoreItem xmlns:ds="http://schemas.openxmlformats.org/officeDocument/2006/customXml" ds:itemID="{AC3AD2E1-977A-4D4F-8EE8-D64B5FFADF75}"/>
</file>

<file path=customXml/itemProps3.xml><?xml version="1.0" encoding="utf-8"?>
<ds:datastoreItem xmlns:ds="http://schemas.openxmlformats.org/officeDocument/2006/customXml" ds:itemID="{E4A34E49-7289-4AEA-9593-4F55E04ADB10}"/>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2026-08-04T14:56:30Z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