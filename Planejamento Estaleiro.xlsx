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filterPrivacy="1" codeName="EstaPastaDeTrabalho"/>
  <xr:revisionPtr revIDLastSave="1296" documentId="101_S{B73360A1-8A99-5EFE-B3D7-B4540AB28558}" xr6:coauthVersionLast="47" xr6:coauthVersionMax="47" xr10:uidLastSave="{4B5DC36A-5B2A-4120-B740-060AC7C48418}"/>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IED'!$B$1:$G$165</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0" i="11" l="1"/>
  <c r="G77" i="11"/>
  <c r="E160" i="11"/>
  <c r="D160" i="11"/>
  <c r="E159" i="11"/>
  <c r="D159" i="11"/>
  <c r="E158" i="11"/>
  <c r="E73" i="11"/>
  <c r="D157" i="11" l="1"/>
  <c r="G157" i="11" s="1"/>
  <c r="G133" i="11"/>
  <c r="E134" i="11"/>
  <c r="D135" i="11" s="1"/>
  <c r="E135" i="11" s="1"/>
  <c r="D74" i="11"/>
  <c r="E74" i="11" s="1"/>
  <c r="D75" i="11" s="1"/>
  <c r="E75" i="11" s="1"/>
  <c r="E61" i="11"/>
  <c r="G75" i="11" l="1"/>
  <c r="G135" i="11"/>
  <c r="D136" i="11"/>
  <c r="E136" i="11" s="1"/>
  <c r="G159" i="11"/>
  <c r="G158" i="11"/>
  <c r="G134" i="11"/>
  <c r="G160" i="11" l="1"/>
  <c r="G136" i="11"/>
  <c r="E84" i="11"/>
  <c r="E143" i="11"/>
  <c r="E62" i="11"/>
  <c r="G162" i="11" l="1"/>
  <c r="G163" i="11"/>
  <c r="E52" i="11"/>
  <c r="E53" i="11"/>
  <c r="E63" i="11" l="1"/>
  <c r="E51" i="11"/>
  <c r="E50" i="11"/>
  <c r="E49" i="11"/>
  <c r="E48" i="11"/>
  <c r="E85" i="11" l="1"/>
  <c r="E83" i="11"/>
  <c r="D86" i="11" s="1"/>
  <c r="E86" i="11" s="1"/>
  <c r="D89" i="11" s="1"/>
  <c r="D88" i="11" l="1"/>
  <c r="E88" i="11" s="1"/>
  <c r="D91" i="11" s="1"/>
  <c r="E45" i="11"/>
  <c r="E46" i="11"/>
  <c r="E44" i="11"/>
  <c r="E126" i="11" l="1"/>
  <c r="E125" i="11"/>
  <c r="E124" i="11"/>
  <c r="E123" i="11"/>
  <c r="E122" i="11"/>
  <c r="G72" i="11"/>
  <c r="G73" i="11"/>
  <c r="G74" i="11"/>
  <c r="G71" i="11"/>
  <c r="E121" i="11"/>
  <c r="E120" i="11"/>
  <c r="E117" i="11"/>
  <c r="E118" i="11"/>
  <c r="E115" i="11"/>
  <c r="E114" i="11"/>
  <c r="D147" i="11"/>
  <c r="G146" i="11"/>
  <c r="E64" i="11"/>
  <c r="E82" i="11"/>
  <c r="D87" i="11" s="1"/>
  <c r="E87" i="11" s="1"/>
  <c r="D90" i="11" s="1"/>
  <c r="E79" i="11"/>
  <c r="E111" i="11"/>
  <c r="E110" i="11"/>
  <c r="E66" i="11"/>
  <c r="G65" i="11"/>
  <c r="D112" i="11"/>
  <c r="D113" i="11" s="1"/>
  <c r="G164" i="11"/>
  <c r="E140" i="11"/>
  <c r="D142" i="11" s="1"/>
  <c r="E139" i="11"/>
  <c r="D141" i="11" s="1"/>
  <c r="G138" i="11"/>
  <c r="C3" i="11"/>
  <c r="D14" i="11"/>
  <c r="E14" i="11" s="1"/>
  <c r="E13" i="11"/>
  <c r="E11" i="11"/>
  <c r="E10" i="11"/>
  <c r="E56" i="11"/>
  <c r="E91" i="11" l="1"/>
  <c r="D94" i="11" s="1"/>
  <c r="E90" i="11"/>
  <c r="D93" i="11" s="1"/>
  <c r="D81" i="11"/>
  <c r="E81" i="11" s="1"/>
  <c r="E112" i="11"/>
  <c r="E119" i="11"/>
  <c r="E116" i="11"/>
  <c r="E113" i="11"/>
  <c r="D145" i="11"/>
  <c r="E145" i="11" s="1"/>
  <c r="E141" i="11"/>
  <c r="D144" i="11" s="1"/>
  <c r="E144" i="11" s="1"/>
  <c r="D16" i="11"/>
  <c r="D15" i="11" s="1"/>
  <c r="D12" i="11"/>
  <c r="E94" i="11" l="1"/>
  <c r="D97" i="11" s="1"/>
  <c r="E93" i="11"/>
  <c r="D96" i="11" s="1"/>
  <c r="E15" i="11"/>
  <c r="D17" i="11"/>
  <c r="E17" i="11" s="1"/>
  <c r="E142" i="11"/>
  <c r="E89" i="11"/>
  <c r="D92" i="11" s="1"/>
  <c r="D18" i="11"/>
  <c r="E18" i="11" s="1"/>
  <c r="E59" i="11"/>
  <c r="E16" i="11"/>
  <c r="E12" i="11"/>
  <c r="G129" i="11"/>
  <c r="F11" i="13"/>
  <c r="E11" i="13"/>
  <c r="H31" i="13"/>
  <c r="H30" i="13"/>
  <c r="H23" i="13"/>
  <c r="H16" i="13"/>
  <c r="E9" i="13"/>
  <c r="F9" i="13" s="1"/>
  <c r="H8" i="13"/>
  <c r="H7" i="13"/>
  <c r="I5" i="13"/>
  <c r="J5" i="13" s="1"/>
  <c r="K5" i="13" s="1"/>
  <c r="C3" i="13"/>
  <c r="G7" i="11"/>
  <c r="E97" i="11" l="1"/>
  <c r="E96" i="11"/>
  <c r="D99" i="11" s="1"/>
  <c r="E92" i="11"/>
  <c r="D95" i="11" s="1"/>
  <c r="D19" i="11"/>
  <c r="E19" i="11" s="1"/>
  <c r="E60" i="11"/>
  <c r="I4" i="13"/>
  <c r="I6" i="13"/>
  <c r="J6" i="13"/>
  <c r="L5" i="13"/>
  <c r="K6" i="13"/>
  <c r="D100" i="11" l="1"/>
  <c r="E100" i="11" s="1"/>
  <c r="E95" i="11"/>
  <c r="D98" i="11" s="1"/>
  <c r="E99" i="11"/>
  <c r="D20" i="11"/>
  <c r="D21" i="11" s="1"/>
  <c r="E10" i="13"/>
  <c r="F10" i="13" s="1"/>
  <c r="E12" i="13" s="1"/>
  <c r="M5" i="13"/>
  <c r="L6" i="13"/>
  <c r="H9" i="13"/>
  <c r="H5" i="11"/>
  <c r="G165" i="11"/>
  <c r="G70" i="11"/>
  <c r="G67" i="11"/>
  <c r="G54" i="11"/>
  <c r="G9" i="11"/>
  <c r="E98"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5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78"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89" authorId="0" shapeId="0" xr:uid="{348F40F0-CA85-4A43-8E17-E0153537F570}">
      <text>
        <r>
          <rPr>
            <b/>
            <sz val="9"/>
            <color indexed="81"/>
            <rFont val="Segoe UI"/>
            <charset val="1"/>
          </rPr>
          <t>Autor:</t>
        </r>
        <r>
          <rPr>
            <sz val="9"/>
            <color indexed="81"/>
            <rFont val="Segoe UI"/>
            <charset val="1"/>
          </rPr>
          <t xml:space="preserve">
Antecipar ASO para Fevereiro</t>
        </r>
      </text>
    </comment>
  </commentList>
</comments>
</file>

<file path=xl/sharedStrings.xml><?xml version="1.0" encoding="utf-8"?>
<sst xmlns="http://schemas.openxmlformats.org/spreadsheetml/2006/main" count="667" uniqueCount="257">
  <si>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</si>
  <si>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</si>
  <si>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</si>
  <si>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</si>
  <si>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</si>
  <si>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</si>
  <si>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</si>
  <si>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</si>
  <si>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</si>
  <si>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</si>
  <si>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</si>
  <si>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</si>
  <si>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</si>
  <si>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</si>
  <si>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</si>
  <si>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</si>
  <si>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</si>
  <si>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</si>
  <si>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</si>
  <si>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</si>
  <si>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</si>
  <si>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</si>
  <si>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</si>
  <si>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</si>
  <si>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</si>
  <si>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</si>
  <si>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</si>
  <si>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</si>
  <si>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</si>
  <si>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</si>
  <si>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</si>
  <si>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</si>
  <si>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</si>
  <si>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</si>
  <si>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</si>
  <si>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</si>
  <si>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</si>
  <si>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</si>
  <si>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</si>
  <si>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</si>
  <si>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</si>
  <si>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</si>
  <si>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</si>
  <si>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</si>
  <si>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</si>
  <si>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</si>
  <si>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</si>
  <si>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</si>
  <si>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</si>
  <si>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</si>
  <si>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</si>
  <si>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</si>
  <si>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</si>
  <si>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</si>
  <si>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</si>
  <si>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</si>
  <si>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</si>
  <si>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</si>
  <si>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</si>
  <si>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</si>
  <si>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</si>
  <si>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</si>
  <si>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</si>
  <si>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</si>
  <si>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</si>
  <si>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</si>
  <si>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</si>
  <si>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</si>
  <si>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</si>
  <si>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</si>
  <si>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</si>
  <si>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</si>
  <si>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</si>
  <si>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</si>
  <si>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</si>
  <si>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</si>
  <si>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</si>
  <si>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</si>
  <si>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</si>
  <si>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</si>
  <si>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</si>
  <si>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</si>
  <si>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</si>
  <si>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</si>
  <si>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</si>
  <si>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</si>
  <si>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</si>
  <si>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</si>
  <si>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</si>
  <si>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</si>
  <si>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</si>
  <si>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</si>
  <si>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</si>
  <si>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</si>
  <si>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</si>
  <si>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</si>
  <si>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</si>
  <si>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</si>
  <si>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</si>
  <si>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</si>
  <si>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</si>
  <si>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</si>
  <si>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</si>
  <si>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</si>
  <si>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</si>
  <si>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</si>
  <si>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</si>
  <si>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</si>
  <si>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</si>
  <si>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</si>
  <si>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</si>
  <si>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</si>
  <si>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</si>
  <si>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</si>
  <si>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</si>
  <si>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</si>
  <si>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</si>
  <si>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</si>
  <si>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</si>
  <si>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</si>
  <si>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</si>
  <si>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</si>
  <si>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</si>
  <si>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</si>
  <si>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</si>
  <si>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</si>
  <si>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</si>
  <si>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</si>
  <si>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</si>
  <si>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</si>
  <si>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</si>
  <si>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</si>
  <si>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</si>
  <si>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</si>
  <si>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</si>
  <si>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</si>
  <si>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</si>
  <si>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</si>
  <si>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</si>
  <si>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</si>
  <si>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</si>
  <si>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</si>
  <si>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</si>
  <si>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</si>
  <si>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</si>
  <si>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</si>
  <si>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</si>
  <si>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</si>
  <si>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</si>
  <si>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</si>
  <si>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</si>
  <si>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</si>
  <si>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</si>
  <si>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</si>
  <si>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</si>
  <si>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</si>
  <si>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</si>
  <si>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</si>
  <si>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</si>
  <si>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</si>
  <si>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</si>
  <si>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</si>
  <si>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</si>
  <si>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</si>
  <si>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</si>
  <si>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</si>
  <si>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</si>
  <si>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</si>
  <si>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</si>
  <si>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</si>
  <si>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</si>
  <si>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</si>
  <si>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</si>
  <si>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</si>
  <si>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</si>
  <si>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</si>
  <si>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</si>
  <si>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</si>
  <si>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</si>
  <si>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</si>
  <si>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</si>
  <si>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</si>
  <si>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</si>
  <si>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</si>
  <si>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</si>
  <si>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</si>
  <si>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</si>
  <si>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</si>
  <si>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</si>
  <si>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</si>
  <si>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</si>
  <si>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</si>
  <si>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</si>
  <si>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</si>
  <si>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</si>
  <si>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</si>
  <si>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</si>
  <si>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</si>
  <si>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</si>
  <si>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</si>
  <si>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</si>
  <si>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</si>
  <si>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</si>
  <si>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</si>
  <si>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</si>
  <si>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</si>
  <si>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</si>
  <si>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Pablo</t>
  </si>
  <si>
    <t>Eng. Equip. Eletrônica</t>
  </si>
  <si>
    <t>Carlos Augusto</t>
  </si>
  <si>
    <t>Eng. Equip. Elétrica</t>
  </si>
  <si>
    <t>Ana Clara</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</si>
  <si>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</si>
  <si>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</si>
  <si>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</si>
  <si>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</si>
  <si>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</si>
  <si>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</si>
  <si>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</si>
  <si>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</si>
  <si>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</si>
  <si>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</si>
  <si>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</si>
  <si>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</si>
  <si>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</si>
  <si>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</si>
  <si>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</si>
  <si>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</si>
  <si>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Rafael Sales</t>
  </si>
  <si>
    <t>P-83</t>
  </si>
  <si>
    <t>Singapura (P-83 - CGM)</t>
  </si>
  <si>
    <t>Mecânica CGM (P-83)</t>
  </si>
  <si>
    <t>Instrumentação CGM (P-83)</t>
  </si>
  <si>
    <t>Nantong - China (P-83 - CGM)</t>
  </si>
  <si>
    <t>Yantai - China (P-83 - ATR)</t>
  </si>
  <si>
    <t>João Eduardo</t>
  </si>
  <si>
    <t>Rodrigo D'Amico</t>
  </si>
  <si>
    <t>M-17 Batam (P-83 - ATR)</t>
  </si>
  <si>
    <t> </t>
  </si>
  <si>
    <t>Singapura (P-83 - ATR)</t>
  </si>
  <si>
    <t>Daniel Bueno</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</si>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</sst>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7">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10"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6" fillId="52" borderId="2" xfId="11" applyFont="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52" borderId="2" xfId="9" applyNumberFormat="1" applyFill="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9" fillId="52"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5" fillId="48" borderId="20" xfId="53" applyFont="1" applyFill="1" applyBorder="1" applyAlignment="1" applyProtection="1">
      <alignment horizontal="center" vertical="center"/>
    </xf>
    <xf numFmtId="0" fontId="45" fillId="0" borderId="20" xfId="53" applyFont="1" applyBorder="1" applyAlignment="1" applyProtection="1">
      <alignment horizontal="center" vertical="center"/>
    </xf>
    <xf numFmtId="0" fontId="45" fillId="48" borderId="23" xfId="53" applyFont="1" applyFill="1" applyBorder="1" applyAlignment="1" applyProtection="1">
      <alignment horizontal="center" vertical="center"/>
    </xf>
    <xf numFmtId="0" fontId="45" fillId="0" borderId="23" xfId="53" applyFont="1" applyBorder="1" applyAlignment="1" applyProtection="1">
      <alignment horizontal="center" vertical="center"/>
    </xf>
    <xf numFmtId="0" fontId="45" fillId="0" borderId="17" xfId="53" applyFont="1" applyBorder="1" applyAlignment="1" applyProtection="1">
      <alignment horizontal="center" vertical="center"/>
    </xf>
    <xf numFmtId="0" fontId="45" fillId="48" borderId="17" xfId="53" applyFont="1" applyFill="1" applyBorder="1" applyAlignment="1" applyProtection="1">
      <alignment horizontal="center" vertical="center"/>
    </xf>
    <xf numFmtId="0" fontId="46"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Normal="100" workbookViewId="0">
      <pane ySplit="1" topLeftCell="A2" activePane="bottomLeft" state="frozen"/>
      <selection pane="bottomLeft" activeCell="G4" sqref="G4"/>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92" t="s">
        <v>0</v>
      </c>
      <c r="B1" s="93" t="s">
        <v>1</v>
      </c>
      <c r="C1" s="93" t="s">
        <v>2</v>
      </c>
      <c r="D1" s="93" t="s">
        <v>3</v>
      </c>
      <c r="E1" s="94" t="s">
        <v>4</v>
      </c>
      <c r="F1" s="94" t="s">
        <v>5</v>
      </c>
      <c r="G1" s="94" t="s">
        <v>6</v>
      </c>
      <c r="H1" s="94" t="s">
        <v>7</v>
      </c>
      <c r="I1" s="161" t="s">
        <v>8</v>
      </c>
      <c r="J1" s="163" t="s">
        <v>9</v>
      </c>
    </row>
    <row r="2" spans="1:10">
      <c r="A2" s="80" t="s">
        <v>10</v>
      </c>
      <c r="B2" s="95">
        <v>4612171</v>
      </c>
      <c r="C2" s="95" t="s">
        <v>11</v>
      </c>
      <c r="D2" s="96" t="s">
        <v>12</v>
      </c>
      <c r="E2" s="97" t="s">
        <v>13</v>
      </c>
      <c r="F2" s="97" t="s">
        <v>14</v>
      </c>
      <c r="G2" s="168" t="s">
        <v>15</v>
      </c>
      <c r="H2" s="97" t="s">
        <v>16</v>
      </c>
      <c r="I2" s="162" t="s">
        <v>17</v>
      </c>
      <c r="J2" s="164"/>
    </row>
    <row r="3" spans="1:10">
      <c r="A3" s="80" t="s">
        <v>10</v>
      </c>
      <c r="B3" s="98">
        <v>4612050</v>
      </c>
      <c r="C3" s="98" t="s">
        <v>18</v>
      </c>
      <c r="D3" s="99" t="s">
        <v>12</v>
      </c>
      <c r="E3" s="97" t="s">
        <v>19</v>
      </c>
      <c r="F3" s="100" t="s">
        <v>14</v>
      </c>
      <c r="G3" s="169" t="s">
        <v>20</v>
      </c>
      <c r="H3" s="100" t="s">
        <v>21</v>
      </c>
      <c r="I3" s="162" t="s">
        <v>22</v>
      </c>
      <c r="J3" s="164"/>
    </row>
    <row r="4" spans="1:10">
      <c r="A4" s="80" t="s">
        <v>10</v>
      </c>
      <c r="B4" s="95">
        <v>4612140</v>
      </c>
      <c r="C4" s="95" t="s">
        <v>23</v>
      </c>
      <c r="D4" s="96" t="s">
        <v>12</v>
      </c>
      <c r="E4" s="103" t="s">
        <v>24</v>
      </c>
      <c r="F4" s="97" t="s">
        <v>14</v>
      </c>
      <c r="G4" s="168" t="s">
        <v>25</v>
      </c>
      <c r="H4" s="97" t="s">
        <v>26</v>
      </c>
      <c r="I4" s="162" t="s">
        <v>17</v>
      </c>
      <c r="J4" s="164"/>
    </row>
    <row r="5" spans="1:10">
      <c r="A5" s="80" t="s">
        <v>10</v>
      </c>
      <c r="B5" s="98">
        <v>9842940</v>
      </c>
      <c r="C5" s="98" t="s">
        <v>27</v>
      </c>
      <c r="D5" s="99" t="s">
        <v>12</v>
      </c>
      <c r="E5" s="100" t="s">
        <v>13</v>
      </c>
      <c r="F5" s="100" t="s">
        <v>14</v>
      </c>
      <c r="G5" s="169" t="s">
        <v>28</v>
      </c>
      <c r="H5" s="100" t="s">
        <v>29</v>
      </c>
      <c r="I5" s="162" t="s">
        <v>30</v>
      </c>
      <c r="J5" s="165"/>
    </row>
    <row r="6" spans="1:10">
      <c r="A6" s="80" t="s">
        <v>31</v>
      </c>
      <c r="B6" s="95">
        <v>9886449</v>
      </c>
      <c r="C6" s="95" t="s">
        <v>32</v>
      </c>
      <c r="D6" s="96" t="s">
        <v>12</v>
      </c>
      <c r="E6" s="97" t="s">
        <v>13</v>
      </c>
      <c r="F6" s="97" t="s">
        <v>33</v>
      </c>
      <c r="G6" s="168" t="s">
        <v>34</v>
      </c>
      <c r="H6" s="97" t="s">
        <v>35</v>
      </c>
      <c r="I6" s="162" t="s">
        <v>22</v>
      </c>
      <c r="J6" s="165" t="s">
        <v>36</v>
      </c>
    </row>
    <row r="7" spans="1:10">
      <c r="A7" s="101" t="s">
        <v>31</v>
      </c>
      <c r="B7" s="98">
        <v>4608721</v>
      </c>
      <c r="C7" s="98" t="s">
        <v>37</v>
      </c>
      <c r="D7" s="102" t="s">
        <v>12</v>
      </c>
      <c r="E7" s="103" t="s">
        <v>13</v>
      </c>
      <c r="F7" s="103" t="s">
        <v>14</v>
      </c>
      <c r="G7" s="166" t="s">
        <v>38</v>
      </c>
      <c r="H7" s="103" t="s">
        <v>39</v>
      </c>
      <c r="I7" s="162" t="s">
        <v>22</v>
      </c>
      <c r="J7" s="165"/>
    </row>
    <row r="8" spans="1:10">
      <c r="A8" s="101" t="s">
        <v>31</v>
      </c>
      <c r="B8" s="95">
        <v>1385894</v>
      </c>
      <c r="C8" s="95" t="s">
        <v>40</v>
      </c>
      <c r="D8" s="104" t="s">
        <v>12</v>
      </c>
      <c r="E8" s="105" t="s">
        <v>13</v>
      </c>
      <c r="F8" s="105" t="s">
        <v>33</v>
      </c>
      <c r="G8" s="170" t="s">
        <v>41</v>
      </c>
      <c r="H8" s="105" t="s">
        <v>42</v>
      </c>
      <c r="I8" s="162" t="s">
        <v>22</v>
      </c>
      <c r="J8" s="165" t="s">
        <v>36</v>
      </c>
    </row>
    <row r="9" spans="1:10">
      <c r="A9" s="101" t="s">
        <v>31</v>
      </c>
      <c r="B9" s="98">
        <v>4608685</v>
      </c>
      <c r="C9" s="98" t="s">
        <v>43</v>
      </c>
      <c r="D9" s="102" t="s">
        <v>12</v>
      </c>
      <c r="E9" s="103" t="s">
        <v>13</v>
      </c>
      <c r="F9" s="103" t="s">
        <v>14</v>
      </c>
      <c r="G9" s="171" t="s">
        <v>44</v>
      </c>
      <c r="H9" s="103" t="s">
        <v>45</v>
      </c>
      <c r="I9" s="162" t="s">
        <v>22</v>
      </c>
      <c r="J9" s="165"/>
    </row>
    <row r="10" spans="1:10" ht="43.5">
      <c r="A10" s="101" t="s">
        <v>46</v>
      </c>
      <c r="B10" s="95">
        <v>9762281</v>
      </c>
      <c r="C10" s="95" t="s">
        <v>47</v>
      </c>
      <c r="D10" s="104" t="s">
        <v>12</v>
      </c>
      <c r="E10" s="105" t="s">
        <v>13</v>
      </c>
      <c r="F10" s="105" t="s">
        <v>33</v>
      </c>
      <c r="G10" s="170" t="s">
        <v>48</v>
      </c>
      <c r="H10" s="105" t="s">
        <v>49</v>
      </c>
      <c r="I10" s="162" t="s">
        <v>22</v>
      </c>
      <c r="J10" s="167" t="s">
        <v>50</v>
      </c>
    </row>
    <row r="11" spans="1:10">
      <c r="A11" s="101" t="s">
        <v>46</v>
      </c>
      <c r="B11" s="98">
        <v>9683150</v>
      </c>
      <c r="C11" s="98" t="s">
        <v>51</v>
      </c>
      <c r="D11" s="102" t="s">
        <v>12</v>
      </c>
      <c r="E11" s="103" t="s">
        <v>13</v>
      </c>
      <c r="F11" s="103" t="s">
        <v>33</v>
      </c>
      <c r="G11" s="171" t="s">
        <v>52</v>
      </c>
      <c r="H11" s="103" t="s">
        <v>53</v>
      </c>
      <c r="I11" s="162" t="s">
        <v>22</v>
      </c>
      <c r="J11" s="165" t="s">
        <v>54</v>
      </c>
    </row>
    <row r="12" spans="1:10">
      <c r="A12" s="80" t="s">
        <v>46</v>
      </c>
      <c r="B12" s="95">
        <v>2440812</v>
      </c>
      <c r="C12" s="95" t="s">
        <v>55</v>
      </c>
      <c r="D12" s="96" t="s">
        <v>56</v>
      </c>
      <c r="E12" s="97" t="s">
        <v>13</v>
      </c>
      <c r="F12" s="97" t="s">
        <v>33</v>
      </c>
      <c r="G12" s="168" t="s">
        <v>57</v>
      </c>
      <c r="H12" s="97" t="s">
        <v>58</v>
      </c>
      <c r="I12" s="162" t="s">
        <v>22</v>
      </c>
      <c r="J12" s="165"/>
    </row>
    <row r="13" spans="1:10">
      <c r="A13" s="101" t="s">
        <v>46</v>
      </c>
      <c r="B13" s="98">
        <v>1381625</v>
      </c>
      <c r="C13" s="98" t="s">
        <v>59</v>
      </c>
      <c r="D13" s="99" t="s">
        <v>12</v>
      </c>
      <c r="E13" s="100" t="s">
        <v>13</v>
      </c>
      <c r="F13" s="100" t="s">
        <v>33</v>
      </c>
      <c r="G13" s="169" t="s">
        <v>60</v>
      </c>
      <c r="H13" s="100" t="s">
        <v>61</v>
      </c>
      <c r="I13" s="162" t="s">
        <v>22</v>
      </c>
      <c r="J13" s="165"/>
    </row>
    <row r="14" spans="1:10">
      <c r="A14" s="80" t="s">
        <v>46</v>
      </c>
      <c r="B14" s="95">
        <v>4608389</v>
      </c>
      <c r="C14" s="95" t="s">
        <v>62</v>
      </c>
      <c r="D14" s="96" t="s">
        <v>12</v>
      </c>
      <c r="E14" s="97" t="s">
        <v>13</v>
      </c>
      <c r="F14" s="97" t="s">
        <v>14</v>
      </c>
      <c r="G14" s="168" t="s">
        <v>63</v>
      </c>
      <c r="H14" s="97" t="s">
        <v>64</v>
      </c>
      <c r="I14" s="162" t="s">
        <v>22</v>
      </c>
      <c r="J14" s="165"/>
    </row>
    <row r="15" spans="1:10">
      <c r="A15" s="101" t="s">
        <v>10</v>
      </c>
      <c r="B15" s="98">
        <v>4608544</v>
      </c>
      <c r="C15" s="98" t="s">
        <v>65</v>
      </c>
      <c r="D15" s="99" t="s">
        <v>12</v>
      </c>
      <c r="E15" s="100" t="s">
        <v>19</v>
      </c>
      <c r="F15" s="100" t="s">
        <v>14</v>
      </c>
      <c r="G15" s="169" t="s">
        <v>66</v>
      </c>
      <c r="H15" s="100" t="s">
        <v>67</v>
      </c>
      <c r="I15" s="162" t="s">
        <v>22</v>
      </c>
      <c r="J15" s="165"/>
    </row>
    <row r="16" spans="1:10">
      <c r="A16" s="101" t="s">
        <v>31</v>
      </c>
      <c r="B16" s="95">
        <v>4608474</v>
      </c>
      <c r="C16" s="95" t="s">
        <v>68</v>
      </c>
      <c r="D16" s="96" t="s">
        <v>12</v>
      </c>
      <c r="E16" s="97" t="s">
        <v>19</v>
      </c>
      <c r="F16" s="105" t="s">
        <v>14</v>
      </c>
      <c r="G16" s="170" t="s">
        <v>69</v>
      </c>
      <c r="H16" s="105" t="s">
        <v>70</v>
      </c>
      <c r="I16" s="162" t="s">
        <v>22</v>
      </c>
      <c r="J16" s="165"/>
    </row>
    <row r="17" spans="1:10">
      <c r="A17" s="80" t="s">
        <v>31</v>
      </c>
      <c r="B17" s="98">
        <v>1386344</v>
      </c>
      <c r="C17" s="98" t="s">
        <v>71</v>
      </c>
      <c r="D17" s="102" t="s">
        <v>12</v>
      </c>
      <c r="E17" s="103" t="s">
        <v>19</v>
      </c>
      <c r="F17" s="103" t="s">
        <v>33</v>
      </c>
      <c r="G17" s="171" t="s">
        <v>72</v>
      </c>
      <c r="H17" s="103" t="s">
        <v>73</v>
      </c>
      <c r="I17" s="162" t="s">
        <v>22</v>
      </c>
      <c r="J17" s="165" t="s">
        <v>54</v>
      </c>
    </row>
    <row r="18" spans="1:10">
      <c r="A18" s="80" t="s">
        <v>31</v>
      </c>
      <c r="B18" s="95">
        <v>4608684</v>
      </c>
      <c r="C18" s="95" t="s">
        <v>74</v>
      </c>
      <c r="D18" s="104" t="s">
        <v>12</v>
      </c>
      <c r="E18" s="105" t="s">
        <v>19</v>
      </c>
      <c r="F18" s="105" t="s">
        <v>14</v>
      </c>
      <c r="G18" s="170" t="s">
        <v>75</v>
      </c>
      <c r="H18" s="97" t="s">
        <v>76</v>
      </c>
      <c r="I18" s="162" t="s">
        <v>22</v>
      </c>
      <c r="J18" s="165"/>
    </row>
    <row r="19" spans="1:10">
      <c r="A19" s="80" t="s">
        <v>46</v>
      </c>
      <c r="B19" s="98">
        <v>9612082</v>
      </c>
      <c r="C19" s="98" t="s">
        <v>77</v>
      </c>
      <c r="D19" s="102" t="s">
        <v>12</v>
      </c>
      <c r="E19" s="103" t="s">
        <v>19</v>
      </c>
      <c r="F19" s="100" t="s">
        <v>33</v>
      </c>
      <c r="G19" s="171" t="s">
        <v>78</v>
      </c>
      <c r="H19" s="103" t="s">
        <v>79</v>
      </c>
      <c r="I19" s="162" t="s">
        <v>22</v>
      </c>
      <c r="J19" s="165"/>
    </row>
    <row r="20" spans="1:10">
      <c r="A20" s="80" t="s">
        <v>46</v>
      </c>
      <c r="B20" s="95">
        <v>9618720</v>
      </c>
      <c r="C20" s="95" t="s">
        <v>80</v>
      </c>
      <c r="D20" s="104" t="s">
        <v>12</v>
      </c>
      <c r="E20" s="105" t="s">
        <v>19</v>
      </c>
      <c r="F20" s="97" t="s">
        <v>33</v>
      </c>
      <c r="G20" s="170" t="s">
        <v>81</v>
      </c>
      <c r="H20" s="105" t="s">
        <v>82</v>
      </c>
      <c r="I20" s="162" t="s">
        <v>22</v>
      </c>
      <c r="J20" s="165" t="s">
        <v>36</v>
      </c>
    </row>
    <row r="21" spans="1:10">
      <c r="A21" s="80" t="s">
        <v>46</v>
      </c>
      <c r="B21" s="98">
        <v>9724817</v>
      </c>
      <c r="C21" s="98" t="s">
        <v>83</v>
      </c>
      <c r="D21" s="102" t="s">
        <v>12</v>
      </c>
      <c r="E21" s="103" t="s">
        <v>19</v>
      </c>
      <c r="F21" s="100" t="s">
        <v>33</v>
      </c>
      <c r="G21" s="171" t="s">
        <v>84</v>
      </c>
      <c r="H21" s="103" t="s">
        <v>85</v>
      </c>
      <c r="I21" s="162" t="s">
        <v>22</v>
      </c>
      <c r="J21" s="165"/>
    </row>
    <row r="22" spans="1:10">
      <c r="A22" s="80" t="s">
        <v>46</v>
      </c>
      <c r="B22" s="95">
        <v>2460800</v>
      </c>
      <c r="C22" s="95" t="s">
        <v>86</v>
      </c>
      <c r="D22" s="104" t="s">
        <v>56</v>
      </c>
      <c r="E22" s="105" t="s">
        <v>19</v>
      </c>
      <c r="F22" s="97" t="s">
        <v>33</v>
      </c>
      <c r="G22" s="168" t="s">
        <v>87</v>
      </c>
      <c r="H22" s="97" t="s">
        <v>88</v>
      </c>
      <c r="I22" s="162" t="s">
        <v>30</v>
      </c>
      <c r="J22" s="165"/>
    </row>
    <row r="23" spans="1:10">
      <c r="A23" s="80" t="s">
        <v>10</v>
      </c>
      <c r="B23" s="98">
        <v>4608559</v>
      </c>
      <c r="C23" s="98" t="s">
        <v>89</v>
      </c>
      <c r="D23" s="102" t="s">
        <v>12</v>
      </c>
      <c r="E23" s="103" t="s">
        <v>24</v>
      </c>
      <c r="F23" s="103" t="s">
        <v>14</v>
      </c>
      <c r="G23" s="171" t="s">
        <v>90</v>
      </c>
      <c r="H23" s="103" t="s">
        <v>91</v>
      </c>
      <c r="I23" s="162" t="s">
        <v>22</v>
      </c>
      <c r="J23" s="164"/>
    </row>
    <row r="24" spans="1:10">
      <c r="A24" s="80" t="s">
        <v>31</v>
      </c>
      <c r="B24" s="95">
        <v>4608411</v>
      </c>
      <c r="C24" s="95" t="s">
        <v>92</v>
      </c>
      <c r="D24" s="104" t="s">
        <v>12</v>
      </c>
      <c r="E24" s="105" t="s">
        <v>24</v>
      </c>
      <c r="F24" s="97" t="s">
        <v>14</v>
      </c>
      <c r="G24" s="170" t="s">
        <v>93</v>
      </c>
      <c r="H24" s="105" t="s">
        <v>94</v>
      </c>
      <c r="I24" s="162" t="s">
        <v>22</v>
      </c>
      <c r="J24" s="164"/>
    </row>
    <row r="25" spans="1:10">
      <c r="A25" s="80" t="s">
        <v>31</v>
      </c>
      <c r="B25" s="98">
        <v>9634180</v>
      </c>
      <c r="C25" s="98" t="s">
        <v>95</v>
      </c>
      <c r="D25" s="99" t="s">
        <v>12</v>
      </c>
      <c r="E25" s="100" t="s">
        <v>24</v>
      </c>
      <c r="F25" s="100" t="s">
        <v>33</v>
      </c>
      <c r="G25" s="169" t="s">
        <v>96</v>
      </c>
      <c r="H25" s="100" t="s">
        <v>97</v>
      </c>
      <c r="I25" s="162" t="s">
        <v>22</v>
      </c>
      <c r="J25" s="164"/>
    </row>
    <row r="26" spans="1:10">
      <c r="A26" s="80" t="s">
        <v>46</v>
      </c>
      <c r="B26" s="95">
        <v>4608780</v>
      </c>
      <c r="C26" s="95" t="s">
        <v>98</v>
      </c>
      <c r="D26" s="96" t="s">
        <v>12</v>
      </c>
      <c r="E26" s="97" t="s">
        <v>24</v>
      </c>
      <c r="F26" s="97" t="s">
        <v>14</v>
      </c>
      <c r="G26" s="168" t="s">
        <v>99</v>
      </c>
      <c r="H26" s="97" t="s">
        <v>100</v>
      </c>
      <c r="I26" s="162" t="s">
        <v>22</v>
      </c>
      <c r="J26" s="164"/>
    </row>
    <row r="27" spans="1:10">
      <c r="A27" s="80" t="s">
        <v>46</v>
      </c>
      <c r="B27" s="98">
        <v>2475130</v>
      </c>
      <c r="C27" s="98" t="s">
        <v>101</v>
      </c>
      <c r="D27" s="99" t="s">
        <v>12</v>
      </c>
      <c r="E27" s="100" t="s">
        <v>24</v>
      </c>
      <c r="F27" s="100" t="s">
        <v>33</v>
      </c>
      <c r="G27" s="171" t="s">
        <v>102</v>
      </c>
      <c r="H27" s="103" t="s">
        <v>103</v>
      </c>
      <c r="I27" s="162" t="s">
        <v>30</v>
      </c>
      <c r="J27" s="165" t="s">
        <v>54</v>
      </c>
    </row>
    <row r="28" spans="1:10">
      <c r="A28" s="80" t="s">
        <v>46</v>
      </c>
      <c r="B28" s="95">
        <v>2477135</v>
      </c>
      <c r="C28" s="95" t="s">
        <v>104</v>
      </c>
      <c r="D28" s="96" t="s">
        <v>12</v>
      </c>
      <c r="E28" s="97" t="s">
        <v>24</v>
      </c>
      <c r="F28" s="97" t="s">
        <v>33</v>
      </c>
      <c r="G28" s="170" t="s">
        <v>105</v>
      </c>
      <c r="H28" s="105" t="s">
        <v>106</v>
      </c>
      <c r="I28" s="162" t="s">
        <v>22</v>
      </c>
      <c r="J28" s="164"/>
    </row>
    <row r="29" spans="1:10">
      <c r="A29" s="80" t="s">
        <v>10</v>
      </c>
      <c r="B29" s="98">
        <v>4606246</v>
      </c>
      <c r="C29" s="98" t="s">
        <v>107</v>
      </c>
      <c r="D29" s="99" t="s">
        <v>108</v>
      </c>
      <c r="E29" s="103" t="s">
        <v>109</v>
      </c>
      <c r="F29" s="100" t="s">
        <v>14</v>
      </c>
      <c r="G29" s="171" t="s">
        <v>110</v>
      </c>
      <c r="H29" s="103" t="s">
        <v>111</v>
      </c>
      <c r="I29" s="162" t="s">
        <v>22</v>
      </c>
      <c r="J29" s="165"/>
    </row>
    <row r="30" spans="1:10">
      <c r="A30" s="80" t="s">
        <v>31</v>
      </c>
      <c r="B30" s="95">
        <v>4606308</v>
      </c>
      <c r="C30" s="95" t="s">
        <v>112</v>
      </c>
      <c r="D30" s="96" t="s">
        <v>108</v>
      </c>
      <c r="E30" s="105" t="s">
        <v>109</v>
      </c>
      <c r="F30" s="97" t="s">
        <v>14</v>
      </c>
      <c r="G30" s="170" t="s">
        <v>113</v>
      </c>
      <c r="H30" s="105" t="s">
        <v>114</v>
      </c>
      <c r="I30" s="162" t="s">
        <v>30</v>
      </c>
      <c r="J30" s="165"/>
    </row>
    <row r="31" spans="1:10">
      <c r="A31" s="80" t="s">
        <v>31</v>
      </c>
      <c r="B31" s="98">
        <v>9634222</v>
      </c>
      <c r="C31" s="98" t="s">
        <v>115</v>
      </c>
      <c r="D31" s="99" t="s">
        <v>12</v>
      </c>
      <c r="E31" s="103" t="s">
        <v>24</v>
      </c>
      <c r="F31" s="100" t="s">
        <v>33</v>
      </c>
      <c r="G31" s="171" t="s">
        <v>116</v>
      </c>
      <c r="H31" s="103" t="s">
        <v>117</v>
      </c>
      <c r="I31" s="162" t="s">
        <v>22</v>
      </c>
      <c r="J31" s="165" t="s">
        <v>54</v>
      </c>
    </row>
    <row r="32" spans="1:10">
      <c r="A32" s="80" t="s">
        <v>31</v>
      </c>
      <c r="B32" s="95">
        <v>229316</v>
      </c>
      <c r="C32" s="95" t="s">
        <v>118</v>
      </c>
      <c r="D32" s="95" t="s">
        <v>108</v>
      </c>
      <c r="E32" s="82" t="s">
        <v>109</v>
      </c>
      <c r="F32" s="82" t="s">
        <v>33</v>
      </c>
      <c r="G32" s="173" t="s">
        <v>119</v>
      </c>
      <c r="H32" s="82" t="s">
        <v>120</v>
      </c>
      <c r="I32" s="162" t="s">
        <v>22</v>
      </c>
      <c r="J32" s="165"/>
    </row>
    <row r="33" spans="1:10">
      <c r="A33" s="80" t="s">
        <v>46</v>
      </c>
      <c r="B33" s="98">
        <v>2493288</v>
      </c>
      <c r="C33" s="98" t="s">
        <v>121</v>
      </c>
      <c r="D33" s="98" t="s">
        <v>108</v>
      </c>
      <c r="E33" s="81" t="s">
        <v>109</v>
      </c>
      <c r="F33" s="100" t="s">
        <v>33</v>
      </c>
      <c r="G33" s="172" t="s">
        <v>122</v>
      </c>
      <c r="H33" s="81" t="s">
        <v>123</v>
      </c>
      <c r="I33" s="162" t="s">
        <v>22</v>
      </c>
      <c r="J33" s="165"/>
    </row>
    <row r="34" spans="1:10">
      <c r="A34" s="80" t="s">
        <v>46</v>
      </c>
      <c r="B34" s="95">
        <v>214272</v>
      </c>
      <c r="C34" s="95" t="s">
        <v>124</v>
      </c>
      <c r="D34" s="95" t="s">
        <v>108</v>
      </c>
      <c r="E34" s="82" t="s">
        <v>109</v>
      </c>
      <c r="F34" s="97" t="s">
        <v>33</v>
      </c>
      <c r="G34" s="173" t="s">
        <v>125</v>
      </c>
      <c r="H34" s="82" t="s">
        <v>126</v>
      </c>
      <c r="I34" s="162" t="s">
        <v>22</v>
      </c>
      <c r="J34" s="165"/>
    </row>
    <row r="35" spans="1:10">
      <c r="A35" s="80" t="s">
        <v>46</v>
      </c>
      <c r="B35" s="98">
        <v>4606694</v>
      </c>
      <c r="C35" s="98" t="s">
        <v>127</v>
      </c>
      <c r="D35" s="99" t="s">
        <v>108</v>
      </c>
      <c r="E35" s="81" t="s">
        <v>109</v>
      </c>
      <c r="F35" s="81" t="s">
        <v>14</v>
      </c>
      <c r="G35" s="172" t="s">
        <v>128</v>
      </c>
      <c r="H35" s="81" t="s">
        <v>129</v>
      </c>
      <c r="I35" s="162" t="s">
        <v>30</v>
      </c>
      <c r="J35" s="165"/>
    </row>
    <row r="36" spans="1:10">
      <c r="A36" s="80" t="s">
        <v>46</v>
      </c>
      <c r="B36" s="95">
        <v>2430855</v>
      </c>
      <c r="C36" s="95" t="s">
        <v>130</v>
      </c>
      <c r="D36" s="96" t="s">
        <v>12</v>
      </c>
      <c r="E36" s="82" t="s">
        <v>109</v>
      </c>
      <c r="F36" s="82" t="s">
        <v>33</v>
      </c>
      <c r="G36" s="173" t="s">
        <v>131</v>
      </c>
      <c r="H36" s="82" t="s">
        <v>132</v>
      </c>
      <c r="I36" s="162" t="s">
        <v>22</v>
      </c>
      <c r="J36" s="165"/>
    </row>
    <row r="37" spans="1:10">
      <c r="A37" s="80" t="s">
        <v>46</v>
      </c>
      <c r="B37" s="98">
        <v>4604625</v>
      </c>
      <c r="C37" s="98" t="s">
        <v>133</v>
      </c>
      <c r="D37" s="99" t="s">
        <v>134</v>
      </c>
      <c r="E37" s="81" t="s">
        <v>109</v>
      </c>
      <c r="F37" s="81" t="s">
        <v>14</v>
      </c>
      <c r="G37" s="172" t="s">
        <v>135</v>
      </c>
      <c r="H37" s="81" t="s">
        <v>136</v>
      </c>
      <c r="I37" s="162" t="s">
        <v>22</v>
      </c>
      <c r="J37" s="165"/>
    </row>
    <row r="38" spans="1:10">
      <c r="A38" s="80" t="s">
        <v>46</v>
      </c>
      <c r="B38" s="95">
        <v>4612098</v>
      </c>
      <c r="C38" s="95" t="s">
        <v>137</v>
      </c>
      <c r="D38" s="96" t="s">
        <v>12</v>
      </c>
      <c r="E38" s="97" t="s">
        <v>13</v>
      </c>
      <c r="F38" s="82" t="s">
        <v>14</v>
      </c>
      <c r="G38" s="173" t="s">
        <v>138</v>
      </c>
      <c r="H38" s="82" t="s">
        <v>139</v>
      </c>
      <c r="I38" s="162" t="s">
        <v>22</v>
      </c>
      <c r="J38" s="164"/>
    </row>
    <row r="39" spans="1:10">
      <c r="A39" s="101" t="s">
        <v>46</v>
      </c>
      <c r="B39" s="98">
        <v>4612126</v>
      </c>
      <c r="C39" s="98" t="s">
        <v>140</v>
      </c>
      <c r="D39" s="99" t="s">
        <v>12</v>
      </c>
      <c r="E39" s="97" t="s">
        <v>19</v>
      </c>
      <c r="F39" s="81" t="s">
        <v>14</v>
      </c>
      <c r="G39" s="172" t="s">
        <v>141</v>
      </c>
      <c r="H39" s="81" t="s">
        <v>142</v>
      </c>
      <c r="I39" s="162" t="s">
        <v>22</v>
      </c>
      <c r="J39" s="164"/>
    </row>
    <row r="40" spans="1:10">
      <c r="A40" s="80" t="s">
        <v>46</v>
      </c>
      <c r="B40" s="95">
        <v>2550195</v>
      </c>
      <c r="C40" s="95" t="s">
        <v>143</v>
      </c>
      <c r="D40" s="95" t="s">
        <v>56</v>
      </c>
      <c r="E40" s="82" t="s">
        <v>24</v>
      </c>
      <c r="F40" s="82" t="s">
        <v>33</v>
      </c>
      <c r="G40" s="173" t="s">
        <v>144</v>
      </c>
      <c r="H40" s="82" t="s">
        <v>145</v>
      </c>
      <c r="I40" s="162" t="s">
        <v>30</v>
      </c>
      <c r="J40" s="164"/>
    </row>
    <row r="41" spans="1:10">
      <c r="A41" s="80" t="s">
        <v>31</v>
      </c>
      <c r="B41" s="98">
        <v>4612243</v>
      </c>
      <c r="C41" s="98" t="s">
        <v>146</v>
      </c>
      <c r="D41" s="99" t="s">
        <v>12</v>
      </c>
      <c r="E41" s="100" t="s">
        <v>13</v>
      </c>
      <c r="F41" s="81" t="s">
        <v>14</v>
      </c>
      <c r="G41" s="172" t="s">
        <v>147</v>
      </c>
      <c r="H41" s="81" t="s">
        <v>148</v>
      </c>
      <c r="I41" s="162" t="s">
        <v>22</v>
      </c>
      <c r="J41" s="164"/>
    </row>
    <row r="42" spans="1:10">
      <c r="A42" s="80" t="s">
        <v>31</v>
      </c>
      <c r="B42" s="95">
        <v>4612389</v>
      </c>
      <c r="C42" s="95" t="s">
        <v>149</v>
      </c>
      <c r="D42" s="96" t="s">
        <v>12</v>
      </c>
      <c r="E42" s="100" t="s">
        <v>13</v>
      </c>
      <c r="F42" s="82" t="s">
        <v>14</v>
      </c>
      <c r="G42" s="173" t="s">
        <v>150</v>
      </c>
      <c r="H42" s="82" t="s">
        <v>151</v>
      </c>
      <c r="I42" s="162" t="s">
        <v>22</v>
      </c>
      <c r="J42" s="164"/>
    </row>
    <row r="43" spans="1:10">
      <c r="A43" s="80" t="s">
        <v>31</v>
      </c>
      <c r="B43" s="98">
        <v>4612192</v>
      </c>
      <c r="C43" s="98" t="s">
        <v>152</v>
      </c>
      <c r="D43" s="99" t="s">
        <v>12</v>
      </c>
      <c r="E43" s="97" t="s">
        <v>19</v>
      </c>
      <c r="F43" s="81" t="s">
        <v>14</v>
      </c>
      <c r="G43" s="172" t="s">
        <v>153</v>
      </c>
      <c r="H43" s="81" t="s">
        <v>154</v>
      </c>
      <c r="I43" s="162" t="s">
        <v>30</v>
      </c>
      <c r="J43" s="164"/>
    </row>
    <row r="44" spans="1:10">
      <c r="A44" s="80" t="s">
        <v>31</v>
      </c>
      <c r="B44" s="95">
        <v>4612393</v>
      </c>
      <c r="C44" s="95" t="s">
        <v>155</v>
      </c>
      <c r="D44" s="96" t="s">
        <v>12</v>
      </c>
      <c r="E44" s="103" t="s">
        <v>24</v>
      </c>
      <c r="F44" s="82" t="s">
        <v>14</v>
      </c>
      <c r="G44" s="173" t="s">
        <v>156</v>
      </c>
      <c r="H44" s="82" t="s">
        <v>157</v>
      </c>
      <c r="I44" s="162" t="s">
        <v>17</v>
      </c>
      <c r="J44" s="164"/>
    </row>
    <row r="45" spans="1:10">
      <c r="A45" s="80" t="s">
        <v>31</v>
      </c>
      <c r="B45" s="98">
        <v>4612228</v>
      </c>
      <c r="C45" s="98" t="s">
        <v>158</v>
      </c>
      <c r="D45" s="99" t="s">
        <v>12</v>
      </c>
      <c r="E45" s="97" t="s">
        <v>19</v>
      </c>
      <c r="F45" s="81" t="s">
        <v>14</v>
      </c>
      <c r="G45" s="172" t="s">
        <v>159</v>
      </c>
      <c r="H45" s="81" t="s">
        <v>160</v>
      </c>
      <c r="I45" s="162" t="s">
        <v>22</v>
      </c>
      <c r="J45" s="164"/>
    </row>
    <row r="46" spans="1:10">
      <c r="A46" s="80" t="s">
        <v>31</v>
      </c>
      <c r="B46" s="95">
        <v>4612247</v>
      </c>
      <c r="C46" s="95" t="s">
        <v>161</v>
      </c>
      <c r="D46" s="96" t="s">
        <v>12</v>
      </c>
      <c r="E46" s="103" t="s">
        <v>24</v>
      </c>
      <c r="F46" s="82" t="s">
        <v>14</v>
      </c>
      <c r="G46" s="173" t="s">
        <v>162</v>
      </c>
      <c r="H46" s="82" t="s">
        <v>163</v>
      </c>
      <c r="I46" s="162" t="s">
        <v>17</v>
      </c>
      <c r="J46" s="164"/>
    </row>
  </sheetData>
  <autoFilter ref="A1:J46" xr:uid="{CCFC853D-4B89-47CE-AA8F-BD4EA9CD1EC0}"/>
  <phoneticPr fontId="30" type="noConversion"/>
  <conditionalFormatting sqref="A38:A46">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46">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46">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65"/>
  <sheetViews>
    <sheetView showGridLines="0" tabSelected="1" showRuler="0" zoomScale="70" zoomScaleNormal="70" zoomScalePageLayoutView="70" workbookViewId="0">
      <pane ySplit="1" topLeftCell="A73" activePane="bottomLeft" state="frozen"/>
      <selection pane="bottomLeft" activeCell="E65" sqref="E65"/>
    </sheetView>
  </sheetViews>
  <sheetFormatPr defaultColWidth="9.28515625" defaultRowHeight="29.25" customHeight="1" outlineLevelRow="1"/>
  <cols>
    <col min="1" max="1" width="0.42578125" customWidth="1"/>
    <col min="2" max="2" width="37.42578125" bestFit="1" customWidth="1"/>
    <col min="3" max="3" width="33.28515625" style="5" customWidth="1"/>
    <col min="4" max="4" width="20.5703125" style="115" customWidth="1"/>
    <col min="5" max="5" width="18.42578125" style="115" customWidth="1"/>
    <col min="6" max="7" width="4.42578125" customWidth="1"/>
    <col min="8" max="9" width="0.42578125" customWidth="1"/>
    <col min="10" max="10" width="2.7109375" bestFit="1" customWidth="1"/>
    <col min="11" max="19" width="2" bestFit="1" customWidth="1"/>
    <col min="20"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344" width="2.7109375" bestFit="1" customWidth="1"/>
    <col min="345" max="346" width="2" bestFit="1" customWidth="1"/>
    <col min="347" max="347" width="0.28515625" customWidth="1"/>
    <col min="348" max="348" width="0.42578125" hidden="1" customWidth="1"/>
    <col min="349" max="349" width="87.5703125" hidden="1" customWidth="1"/>
    <col min="350" max="350" width="0.42578125" customWidth="1"/>
    <col min="351" max="351" width="4.28515625" customWidth="1"/>
  </cols>
  <sheetData>
    <row r="1" spans="1:351" ht="29.25" customHeight="1">
      <c r="A1" s="34" t="s">
        <v>164</v>
      </c>
      <c r="B1" s="37" t="s">
        <v>165</v>
      </c>
      <c r="C1" s="140"/>
      <c r="D1" s="114"/>
      <c r="E1" s="114"/>
      <c r="G1" s="2"/>
      <c r="H1" s="52"/>
      <c r="I1" s="52"/>
      <c r="BT1" s="191" t="s">
        <v>166</v>
      </c>
      <c r="BU1" s="191"/>
      <c r="BV1" s="191"/>
      <c r="CQ1" s="190"/>
      <c r="CR1" s="190"/>
      <c r="CX1" s="189"/>
      <c r="CY1" s="189"/>
      <c r="EK1" s="190"/>
    </row>
    <row r="2" spans="1:351" ht="29.25" customHeight="1">
      <c r="A2" s="33" t="s">
        <v>167</v>
      </c>
      <c r="B2" s="38"/>
      <c r="BT2" s="191"/>
      <c r="BU2" s="191"/>
      <c r="BV2" s="191"/>
      <c r="CQ2" s="190"/>
      <c r="CR2" s="190"/>
      <c r="CX2" s="189"/>
      <c r="CY2" s="189"/>
      <c r="EK2" s="190"/>
    </row>
    <row r="3" spans="1:351" ht="29.25" customHeight="1">
      <c r="A3" s="33" t="s">
        <v>168</v>
      </c>
      <c r="B3" s="71" t="s">
        <v>169</v>
      </c>
      <c r="C3" s="141">
        <f>Início_do_projeto+660</f>
        <v>46318</v>
      </c>
      <c r="D3" s="116" t="s">
        <v>170</v>
      </c>
      <c r="E3" s="195">
        <v>45658</v>
      </c>
      <c r="F3" s="195"/>
      <c r="BT3" s="191"/>
      <c r="BU3" s="191"/>
      <c r="BV3" s="191"/>
      <c r="CQ3" s="190"/>
      <c r="CR3" s="190"/>
      <c r="CX3" s="189"/>
      <c r="CY3" s="189"/>
      <c r="EK3" s="190"/>
    </row>
    <row r="4" spans="1:351" ht="29.25" customHeight="1">
      <c r="A4" s="34" t="s">
        <v>171</v>
      </c>
      <c r="D4" s="117" t="s">
        <v>172</v>
      </c>
      <c r="F4" s="7">
        <v>1</v>
      </c>
      <c r="H4" s="185">
        <f>H5</f>
        <v>45656</v>
      </c>
      <c r="I4" s="186"/>
      <c r="J4" s="186"/>
      <c r="K4" s="186"/>
      <c r="L4" s="186"/>
      <c r="M4" s="186"/>
      <c r="N4" s="186"/>
      <c r="O4" s="187"/>
      <c r="P4" s="185">
        <f>P5</f>
        <v>45663</v>
      </c>
      <c r="Q4" s="186"/>
      <c r="R4" s="186"/>
      <c r="S4" s="186"/>
      <c r="T4" s="186"/>
      <c r="U4" s="186"/>
      <c r="V4" s="187"/>
      <c r="W4" s="185">
        <f>W5</f>
        <v>45670</v>
      </c>
      <c r="X4" s="186"/>
      <c r="Y4" s="186"/>
      <c r="Z4" s="186"/>
      <c r="AA4" s="186"/>
      <c r="AB4" s="186"/>
      <c r="AC4" s="187"/>
      <c r="AD4" s="185">
        <f>AD5</f>
        <v>45677</v>
      </c>
      <c r="AE4" s="186"/>
      <c r="AF4" s="186"/>
      <c r="AG4" s="186"/>
      <c r="AH4" s="186"/>
      <c r="AI4" s="186"/>
      <c r="AJ4" s="187"/>
      <c r="AK4" s="185">
        <f>AK5</f>
        <v>45684</v>
      </c>
      <c r="AL4" s="186"/>
      <c r="AM4" s="186"/>
      <c r="AN4" s="186"/>
      <c r="AO4" s="186"/>
      <c r="AP4" s="186"/>
      <c r="AQ4" s="187"/>
      <c r="AR4" s="185">
        <f>AR5</f>
        <v>45691</v>
      </c>
      <c r="AS4" s="186"/>
      <c r="AT4" s="186"/>
      <c r="AU4" s="186"/>
      <c r="AV4" s="186"/>
      <c r="AW4" s="186"/>
      <c r="AX4" s="187"/>
      <c r="AY4" s="185">
        <f>AY5</f>
        <v>45698</v>
      </c>
      <c r="AZ4" s="186"/>
      <c r="BA4" s="186"/>
      <c r="BB4" s="186"/>
      <c r="BC4" s="186"/>
      <c r="BD4" s="186"/>
      <c r="BE4" s="187"/>
      <c r="BF4" s="185">
        <f>BF5</f>
        <v>45705</v>
      </c>
      <c r="BG4" s="186"/>
      <c r="BH4" s="186"/>
      <c r="BI4" s="186"/>
      <c r="BJ4" s="186"/>
      <c r="BK4" s="186"/>
      <c r="BL4" s="187"/>
      <c r="BM4" s="185">
        <f>BM5</f>
        <v>45712</v>
      </c>
      <c r="BN4" s="186"/>
      <c r="BO4" s="186"/>
      <c r="BP4" s="186"/>
      <c r="BQ4" s="186"/>
      <c r="BR4" s="186"/>
      <c r="BS4" s="187"/>
      <c r="BT4" s="185">
        <f>BT5</f>
        <v>45719</v>
      </c>
      <c r="BU4" s="186"/>
      <c r="BV4" s="186"/>
      <c r="BW4" s="186"/>
      <c r="BX4" s="186"/>
      <c r="BY4" s="186"/>
      <c r="BZ4" s="187"/>
      <c r="CA4" s="185">
        <f>CA5</f>
        <v>45726</v>
      </c>
      <c r="CB4" s="186"/>
      <c r="CC4" s="186"/>
      <c r="CD4" s="186"/>
      <c r="CE4" s="186"/>
      <c r="CF4" s="186"/>
      <c r="CG4" s="187"/>
      <c r="CH4" s="185">
        <f>CH5</f>
        <v>45733</v>
      </c>
      <c r="CI4" s="186"/>
      <c r="CJ4" s="186"/>
      <c r="CK4" s="186"/>
      <c r="CL4" s="186"/>
      <c r="CM4" s="186"/>
      <c r="CN4" s="187"/>
      <c r="CO4" s="185">
        <f>CO5</f>
        <v>45740</v>
      </c>
      <c r="CP4" s="186"/>
      <c r="CQ4" s="186"/>
      <c r="CR4" s="186"/>
      <c r="CS4" s="186"/>
      <c r="CT4" s="186"/>
      <c r="CU4" s="187"/>
      <c r="CV4" s="185">
        <f>CV5</f>
        <v>45747</v>
      </c>
      <c r="CW4" s="186"/>
      <c r="CX4" s="186"/>
      <c r="CY4" s="186"/>
      <c r="CZ4" s="186"/>
      <c r="DA4" s="186"/>
      <c r="DB4" s="187"/>
      <c r="DC4" s="185">
        <f>DC5</f>
        <v>45754</v>
      </c>
      <c r="DD4" s="186"/>
      <c r="DE4" s="186"/>
      <c r="DF4" s="186"/>
      <c r="DG4" s="186"/>
      <c r="DH4" s="186"/>
      <c r="DI4" s="187"/>
      <c r="DJ4" s="185">
        <f>DJ5</f>
        <v>45761</v>
      </c>
      <c r="DK4" s="186"/>
      <c r="DL4" s="186"/>
      <c r="DM4" s="186"/>
      <c r="DN4" s="186"/>
      <c r="DO4" s="186"/>
      <c r="DP4" s="187"/>
      <c r="DQ4" s="185">
        <f>DQ5</f>
        <v>45768</v>
      </c>
      <c r="DR4" s="186"/>
      <c r="DS4" s="186"/>
      <c r="DT4" s="186"/>
      <c r="DU4" s="186"/>
      <c r="DV4" s="186"/>
      <c r="DW4" s="187"/>
      <c r="DX4" s="185">
        <f>DX5</f>
        <v>45775</v>
      </c>
      <c r="DY4" s="186"/>
      <c r="DZ4" s="186"/>
      <c r="EA4" s="186"/>
      <c r="EB4" s="186"/>
      <c r="EC4" s="186"/>
      <c r="ED4" s="187"/>
      <c r="EE4" s="185">
        <f t="shared" ref="EE4" si="0">EE5</f>
        <v>45782</v>
      </c>
      <c r="EF4" s="186"/>
      <c r="EG4" s="186"/>
      <c r="EH4" s="186"/>
      <c r="EI4" s="186"/>
      <c r="EJ4" s="186"/>
      <c r="EK4" s="187"/>
      <c r="EL4" s="185">
        <f t="shared" ref="EL4" si="1">EL5</f>
        <v>45789</v>
      </c>
      <c r="EM4" s="186"/>
      <c r="EN4" s="186"/>
      <c r="EO4" s="186"/>
      <c r="EP4" s="186"/>
      <c r="EQ4" s="186"/>
      <c r="ER4" s="187"/>
      <c r="ES4" s="185">
        <f t="shared" ref="ES4" si="2">ES5</f>
        <v>45796</v>
      </c>
      <c r="ET4" s="186"/>
      <c r="EU4" s="186"/>
      <c r="EV4" s="186"/>
      <c r="EW4" s="186"/>
      <c r="EX4" s="186"/>
      <c r="EY4" s="187"/>
      <c r="EZ4" s="185">
        <f t="shared" ref="EZ4" si="3">EZ5</f>
        <v>45803</v>
      </c>
      <c r="FA4" s="186"/>
      <c r="FB4" s="186"/>
      <c r="FC4" s="186"/>
      <c r="FD4" s="186"/>
      <c r="FE4" s="186"/>
      <c r="FF4" s="187"/>
      <c r="FG4" s="185">
        <f t="shared" ref="FG4" si="4">FG5</f>
        <v>45810</v>
      </c>
      <c r="FH4" s="186"/>
      <c r="FI4" s="186"/>
      <c r="FJ4" s="186"/>
      <c r="FK4" s="186"/>
      <c r="FL4" s="186"/>
      <c r="FM4" s="187"/>
      <c r="FN4" s="185">
        <f t="shared" ref="FN4" si="5">FN5</f>
        <v>45817</v>
      </c>
      <c r="FO4" s="186"/>
      <c r="FP4" s="186"/>
      <c r="FQ4" s="186"/>
      <c r="FR4" s="186"/>
      <c r="FS4" s="186"/>
      <c r="FT4" s="187"/>
      <c r="FU4" s="185">
        <f t="shared" ref="FU4" si="6">FU5</f>
        <v>45824</v>
      </c>
      <c r="FV4" s="186"/>
      <c r="FW4" s="186"/>
      <c r="FX4" s="186"/>
      <c r="FY4" s="186"/>
      <c r="FZ4" s="186"/>
      <c r="GA4" s="187"/>
      <c r="GB4" s="185">
        <f t="shared" ref="GB4" si="7">GB5</f>
        <v>45831</v>
      </c>
      <c r="GC4" s="186"/>
      <c r="GD4" s="186"/>
      <c r="GE4" s="186"/>
      <c r="GF4" s="186"/>
      <c r="GG4" s="186"/>
      <c r="GH4" s="187"/>
      <c r="GI4" s="185">
        <f t="shared" ref="GI4" si="8">GI5</f>
        <v>45838</v>
      </c>
      <c r="GJ4" s="186"/>
      <c r="GK4" s="186"/>
      <c r="GL4" s="186"/>
      <c r="GM4" s="186"/>
      <c r="GN4" s="186"/>
      <c r="GO4" s="187"/>
      <c r="GP4" s="185">
        <f t="shared" ref="GP4" si="9">GP5</f>
        <v>45845</v>
      </c>
      <c r="GQ4" s="186"/>
      <c r="GR4" s="186"/>
      <c r="GS4" s="186"/>
      <c r="GT4" s="186"/>
      <c r="GU4" s="186"/>
      <c r="GV4" s="187"/>
      <c r="GW4" s="185">
        <f t="shared" ref="GW4" si="10">GW5</f>
        <v>45852</v>
      </c>
      <c r="GX4" s="186"/>
      <c r="GY4" s="186"/>
      <c r="GZ4" s="186"/>
      <c r="HA4" s="186"/>
      <c r="HB4" s="186"/>
      <c r="HC4" s="187"/>
      <c r="HD4" s="185">
        <f t="shared" ref="HD4" si="11">HD5</f>
        <v>45859</v>
      </c>
      <c r="HE4" s="186"/>
      <c r="HF4" s="186"/>
      <c r="HG4" s="186"/>
      <c r="HH4" s="186"/>
      <c r="HI4" s="186"/>
      <c r="HJ4" s="187"/>
      <c r="HK4" s="185">
        <f t="shared" ref="HK4" si="12">HK5</f>
        <v>45866</v>
      </c>
      <c r="HL4" s="186"/>
      <c r="HM4" s="186"/>
      <c r="HN4" s="186"/>
      <c r="HO4" s="186"/>
      <c r="HP4" s="186"/>
      <c r="HQ4" s="187"/>
      <c r="HR4" s="185">
        <f t="shared" ref="HR4" si="13">HR5</f>
        <v>45873</v>
      </c>
      <c r="HS4" s="186"/>
      <c r="HT4" s="186"/>
      <c r="HU4" s="186"/>
      <c r="HV4" s="186"/>
      <c r="HW4" s="186"/>
      <c r="HX4" s="187"/>
      <c r="HY4" s="185">
        <f t="shared" ref="HY4" si="14">HY5</f>
        <v>45880</v>
      </c>
      <c r="HZ4" s="186"/>
      <c r="IA4" s="186"/>
      <c r="IB4" s="186"/>
      <c r="IC4" s="186"/>
      <c r="ID4" s="186"/>
      <c r="IE4" s="187"/>
      <c r="IF4" s="185">
        <f t="shared" ref="IF4" si="15">IF5</f>
        <v>45887</v>
      </c>
      <c r="IG4" s="186"/>
      <c r="IH4" s="186"/>
      <c r="II4" s="186"/>
      <c r="IJ4" s="186"/>
      <c r="IK4" s="186"/>
      <c r="IL4" s="187"/>
      <c r="IM4" s="185">
        <f t="shared" ref="IM4" si="16">IM5</f>
        <v>45894</v>
      </c>
      <c r="IN4" s="186"/>
      <c r="IO4" s="186"/>
      <c r="IP4" s="186"/>
      <c r="IQ4" s="186"/>
      <c r="IR4" s="186"/>
      <c r="IS4" s="187"/>
      <c r="IT4" s="185">
        <f t="shared" ref="IT4" si="17">IT5</f>
        <v>45901</v>
      </c>
      <c r="IU4" s="186"/>
      <c r="IV4" s="186"/>
      <c r="IW4" s="186"/>
      <c r="IX4" s="186"/>
      <c r="IY4" s="186"/>
      <c r="IZ4" s="187"/>
      <c r="JA4" s="185">
        <f t="shared" ref="JA4" si="18">JA5</f>
        <v>45908</v>
      </c>
      <c r="JB4" s="186"/>
      <c r="JC4" s="186"/>
      <c r="JD4" s="186"/>
      <c r="JE4" s="186"/>
      <c r="JF4" s="186"/>
      <c r="JG4" s="187"/>
      <c r="JH4" s="185">
        <f t="shared" ref="JH4" si="19">JH5</f>
        <v>45915</v>
      </c>
      <c r="JI4" s="186"/>
      <c r="JJ4" s="186"/>
      <c r="JK4" s="186"/>
      <c r="JL4" s="186"/>
      <c r="JM4" s="186"/>
      <c r="JN4" s="187"/>
      <c r="JO4" s="185">
        <f t="shared" ref="JO4" si="20">JO5</f>
        <v>45922</v>
      </c>
      <c r="JP4" s="186"/>
      <c r="JQ4" s="186"/>
      <c r="JR4" s="186"/>
      <c r="JS4" s="186"/>
      <c r="JT4" s="186"/>
      <c r="JU4" s="187"/>
      <c r="JV4" s="185">
        <f t="shared" ref="JV4" si="21">JV5</f>
        <v>45929</v>
      </c>
      <c r="JW4" s="186"/>
      <c r="JX4" s="186"/>
      <c r="JY4" s="186"/>
      <c r="JZ4" s="186"/>
      <c r="KA4" s="186"/>
      <c r="KB4" s="187"/>
      <c r="KC4" s="185">
        <f t="shared" ref="KC4" si="22">KC5</f>
        <v>45936</v>
      </c>
      <c r="KD4" s="186"/>
      <c r="KE4" s="186"/>
      <c r="KF4" s="186"/>
      <c r="KG4" s="186"/>
      <c r="KH4" s="186"/>
      <c r="KI4" s="187"/>
      <c r="KJ4" s="185">
        <f t="shared" ref="KJ4" si="23">KJ5</f>
        <v>45943</v>
      </c>
      <c r="KK4" s="186"/>
      <c r="KL4" s="186"/>
      <c r="KM4" s="186"/>
      <c r="KN4" s="186"/>
      <c r="KO4" s="186"/>
      <c r="KP4" s="187"/>
      <c r="KQ4" s="185">
        <f t="shared" ref="KQ4" si="24">KQ5</f>
        <v>45950</v>
      </c>
      <c r="KR4" s="186"/>
      <c r="KS4" s="186"/>
      <c r="KT4" s="186"/>
      <c r="KU4" s="186"/>
      <c r="KV4" s="186"/>
      <c r="KW4" s="187"/>
      <c r="KX4" s="185">
        <f t="shared" ref="KX4" si="25">KX5</f>
        <v>45957</v>
      </c>
      <c r="KY4" s="186"/>
      <c r="KZ4" s="186"/>
      <c r="LA4" s="186"/>
      <c r="LB4" s="186"/>
      <c r="LC4" s="186"/>
      <c r="LD4" s="187"/>
      <c r="LE4" s="185">
        <f t="shared" ref="LE4" si="26">LE5</f>
        <v>45964</v>
      </c>
      <c r="LF4" s="186"/>
      <c r="LG4" s="186"/>
      <c r="LH4" s="186"/>
      <c r="LI4" s="186"/>
      <c r="LJ4" s="186"/>
      <c r="LK4" s="187"/>
      <c r="LL4" s="185">
        <f t="shared" ref="LL4" si="27">LL5</f>
        <v>45971</v>
      </c>
      <c r="LM4" s="186"/>
      <c r="LN4" s="186"/>
      <c r="LO4" s="186"/>
      <c r="LP4" s="186"/>
      <c r="LQ4" s="186"/>
      <c r="LR4" s="187"/>
      <c r="LS4" s="185">
        <f t="shared" ref="LS4" si="28">LS5</f>
        <v>45978</v>
      </c>
      <c r="LT4" s="185"/>
      <c r="LU4" s="185"/>
      <c r="LV4" s="185"/>
      <c r="LW4" s="185"/>
      <c r="LX4" s="185"/>
      <c r="LY4" s="185"/>
      <c r="LZ4" s="185">
        <f t="shared" ref="LZ4" si="29">LZ5</f>
        <v>45985</v>
      </c>
      <c r="MA4" s="186"/>
      <c r="MB4" s="186"/>
      <c r="MC4" s="186"/>
      <c r="MD4" s="186"/>
      <c r="ME4" s="186"/>
      <c r="MF4" s="187"/>
      <c r="MG4" s="185">
        <f t="shared" ref="MG4" si="30">MG5</f>
        <v>45992</v>
      </c>
      <c r="MH4" s="186"/>
      <c r="MI4" s="186"/>
      <c r="MJ4" s="186"/>
      <c r="MK4" s="186"/>
      <c r="ML4" s="186"/>
      <c r="MM4" s="187"/>
    </row>
    <row r="5" spans="1:351" ht="29.25" customHeight="1">
      <c r="A5" s="34" t="s">
        <v>173</v>
      </c>
      <c r="B5" s="51"/>
      <c r="C5" s="111"/>
      <c r="D5" s="118"/>
      <c r="E5" s="118"/>
      <c r="F5" s="51"/>
      <c r="H5" s="66">
        <f>Início_do_projeto-WEEKDAY(Início_do_projeto,1)+2+7*(Semana_de_exibição-1)</f>
        <v>45656</v>
      </c>
      <c r="I5" s="67"/>
      <c r="J5" s="67">
        <f>H5+1</f>
        <v>45657</v>
      </c>
      <c r="K5" s="67">
        <f t="shared" ref="K5:AX5" si="31">J5+1</f>
        <v>45658</v>
      </c>
      <c r="L5" s="67">
        <f t="shared" si="31"/>
        <v>45659</v>
      </c>
      <c r="M5" s="67">
        <f t="shared" si="31"/>
        <v>45660</v>
      </c>
      <c r="N5" s="67">
        <f t="shared" si="31"/>
        <v>45661</v>
      </c>
      <c r="O5" s="68">
        <f t="shared" si="31"/>
        <v>45662</v>
      </c>
      <c r="P5" s="66">
        <f>O5+1</f>
        <v>45663</v>
      </c>
      <c r="Q5" s="67">
        <f>P5+1</f>
        <v>45664</v>
      </c>
      <c r="R5" s="67">
        <f t="shared" si="31"/>
        <v>45665</v>
      </c>
      <c r="S5" s="67">
        <f t="shared" si="31"/>
        <v>45666</v>
      </c>
      <c r="T5" s="67">
        <f t="shared" si="31"/>
        <v>45667</v>
      </c>
      <c r="U5" s="67">
        <f t="shared" si="31"/>
        <v>45668</v>
      </c>
      <c r="V5" s="68">
        <f t="shared" si="31"/>
        <v>45669</v>
      </c>
      <c r="W5" s="66">
        <f>V5+1</f>
        <v>45670</v>
      </c>
      <c r="X5" s="67">
        <f>W5+1</f>
        <v>45671</v>
      </c>
      <c r="Y5" s="67">
        <f t="shared" si="31"/>
        <v>45672</v>
      </c>
      <c r="Z5" s="67">
        <f t="shared" si="31"/>
        <v>45673</v>
      </c>
      <c r="AA5" s="67">
        <f t="shared" si="31"/>
        <v>45674</v>
      </c>
      <c r="AB5" s="67">
        <f t="shared" si="31"/>
        <v>45675</v>
      </c>
      <c r="AC5" s="68">
        <f t="shared" si="31"/>
        <v>45676</v>
      </c>
      <c r="AD5" s="66">
        <f>AC5+1</f>
        <v>45677</v>
      </c>
      <c r="AE5" s="67">
        <f>AD5+1</f>
        <v>45678</v>
      </c>
      <c r="AF5" s="67">
        <f t="shared" si="31"/>
        <v>45679</v>
      </c>
      <c r="AG5" s="67">
        <f t="shared" si="31"/>
        <v>45680</v>
      </c>
      <c r="AH5" s="67">
        <f t="shared" si="31"/>
        <v>45681</v>
      </c>
      <c r="AI5" s="67">
        <f t="shared" si="31"/>
        <v>45682</v>
      </c>
      <c r="AJ5" s="68">
        <f t="shared" si="31"/>
        <v>45683</v>
      </c>
      <c r="AK5" s="66">
        <f>AJ5+1</f>
        <v>45684</v>
      </c>
      <c r="AL5" s="67">
        <f>AK5+1</f>
        <v>45685</v>
      </c>
      <c r="AM5" s="67">
        <f t="shared" si="31"/>
        <v>45686</v>
      </c>
      <c r="AN5" s="67">
        <f t="shared" si="31"/>
        <v>45687</v>
      </c>
      <c r="AO5" s="67">
        <f t="shared" si="31"/>
        <v>45688</v>
      </c>
      <c r="AP5" s="67">
        <f t="shared" si="31"/>
        <v>45689</v>
      </c>
      <c r="AQ5" s="68">
        <f t="shared" si="31"/>
        <v>45690</v>
      </c>
      <c r="AR5" s="66">
        <f>AQ5+1</f>
        <v>45691</v>
      </c>
      <c r="AS5" s="67">
        <f>AR5+1</f>
        <v>45692</v>
      </c>
      <c r="AT5" s="67">
        <f t="shared" si="31"/>
        <v>45693</v>
      </c>
      <c r="AU5" s="67">
        <f t="shared" si="31"/>
        <v>45694</v>
      </c>
      <c r="AV5" s="67">
        <f t="shared" si="31"/>
        <v>45695</v>
      </c>
      <c r="AW5" s="67">
        <f t="shared" si="31"/>
        <v>45696</v>
      </c>
      <c r="AX5" s="68">
        <f t="shared" si="31"/>
        <v>45697</v>
      </c>
      <c r="AY5" s="66">
        <f>AX5+1</f>
        <v>45698</v>
      </c>
      <c r="AZ5" s="67">
        <f>AY5+1</f>
        <v>45699</v>
      </c>
      <c r="BA5" s="67">
        <f t="shared" ref="BA5:BE5" si="32">AZ5+1</f>
        <v>45700</v>
      </c>
      <c r="BB5" s="67">
        <f t="shared" si="32"/>
        <v>45701</v>
      </c>
      <c r="BC5" s="67">
        <f t="shared" si="32"/>
        <v>45702</v>
      </c>
      <c r="BD5" s="67">
        <f t="shared" si="32"/>
        <v>45703</v>
      </c>
      <c r="BE5" s="68">
        <f t="shared" si="32"/>
        <v>45704</v>
      </c>
      <c r="BF5" s="66">
        <f>BE5+1</f>
        <v>45705</v>
      </c>
      <c r="BG5" s="67">
        <f>BF5+1</f>
        <v>45706</v>
      </c>
      <c r="BH5" s="67">
        <f t="shared" ref="BH5:BL5" si="33">BG5+1</f>
        <v>45707</v>
      </c>
      <c r="BI5" s="67">
        <f t="shared" si="33"/>
        <v>45708</v>
      </c>
      <c r="BJ5" s="67">
        <f t="shared" si="33"/>
        <v>45709</v>
      </c>
      <c r="BK5" s="67">
        <f t="shared" si="33"/>
        <v>45710</v>
      </c>
      <c r="BL5" s="68">
        <f t="shared" si="33"/>
        <v>45711</v>
      </c>
      <c r="BM5" s="66">
        <f>BL5+1</f>
        <v>45712</v>
      </c>
      <c r="BN5" s="67">
        <f>BM5+1</f>
        <v>45713</v>
      </c>
      <c r="BO5" s="67">
        <f t="shared" ref="BO5" si="34">BN5+1</f>
        <v>45714</v>
      </c>
      <c r="BP5" s="67">
        <f t="shared" ref="BP5" si="35">BO5+1</f>
        <v>45715</v>
      </c>
      <c r="BQ5" s="67">
        <f t="shared" ref="BQ5" si="36">BP5+1</f>
        <v>45716</v>
      </c>
      <c r="BR5" s="67">
        <f t="shared" ref="BR5" si="37">BQ5+1</f>
        <v>45717</v>
      </c>
      <c r="BS5" s="68">
        <f t="shared" ref="BS5" si="38">BR5+1</f>
        <v>45718</v>
      </c>
      <c r="BT5" s="66">
        <f>BS5+1</f>
        <v>45719</v>
      </c>
      <c r="BU5" s="67">
        <f>BT5+1</f>
        <v>45720</v>
      </c>
      <c r="BV5" s="67">
        <f t="shared" ref="BV5" si="39">BU5+1</f>
        <v>45721</v>
      </c>
      <c r="BW5" s="67">
        <f t="shared" ref="BW5" si="40">BV5+1</f>
        <v>45722</v>
      </c>
      <c r="BX5" s="67">
        <f t="shared" ref="BX5" si="41">BW5+1</f>
        <v>45723</v>
      </c>
      <c r="BY5" s="67">
        <f t="shared" ref="BY5" si="42">BX5+1</f>
        <v>45724</v>
      </c>
      <c r="BZ5" s="68">
        <f t="shared" ref="BZ5" si="43">BY5+1</f>
        <v>45725</v>
      </c>
      <c r="CA5" s="66">
        <f>BZ5+1</f>
        <v>45726</v>
      </c>
      <c r="CB5" s="67">
        <f>CA5+1</f>
        <v>45727</v>
      </c>
      <c r="CC5" s="67">
        <f t="shared" ref="CC5" si="44">CB5+1</f>
        <v>45728</v>
      </c>
      <c r="CD5" s="67">
        <f t="shared" ref="CD5" si="45">CC5+1</f>
        <v>45729</v>
      </c>
      <c r="CE5" s="67">
        <f t="shared" ref="CE5" si="46">CD5+1</f>
        <v>45730</v>
      </c>
      <c r="CF5" s="67">
        <f t="shared" ref="CF5" si="47">CE5+1</f>
        <v>45731</v>
      </c>
      <c r="CG5" s="68">
        <f t="shared" ref="CG5" si="48">CF5+1</f>
        <v>45732</v>
      </c>
      <c r="CH5" s="66">
        <f>CG5+1</f>
        <v>45733</v>
      </c>
      <c r="CI5" s="67">
        <f>CH5+1</f>
        <v>45734</v>
      </c>
      <c r="CJ5" s="67">
        <f t="shared" ref="CJ5" si="49">CI5+1</f>
        <v>45735</v>
      </c>
      <c r="CK5" s="67">
        <f t="shared" ref="CK5" si="50">CJ5+1</f>
        <v>45736</v>
      </c>
      <c r="CL5" s="67">
        <f t="shared" ref="CL5" si="51">CK5+1</f>
        <v>45737</v>
      </c>
      <c r="CM5" s="67">
        <f t="shared" ref="CM5" si="52">CL5+1</f>
        <v>45738</v>
      </c>
      <c r="CN5" s="68">
        <f t="shared" ref="CN5" si="53">CM5+1</f>
        <v>45739</v>
      </c>
      <c r="CO5" s="66">
        <f>CN5+1</f>
        <v>45740</v>
      </c>
      <c r="CP5" s="67">
        <f>CO5+1</f>
        <v>45741</v>
      </c>
      <c r="CQ5" s="67">
        <f t="shared" ref="CQ5" si="54">CP5+1</f>
        <v>45742</v>
      </c>
      <c r="CR5" s="67">
        <f t="shared" ref="CR5" si="55">CQ5+1</f>
        <v>45743</v>
      </c>
      <c r="CS5" s="67">
        <f t="shared" ref="CS5" si="56">CR5+1</f>
        <v>45744</v>
      </c>
      <c r="CT5" s="67">
        <f t="shared" ref="CT5" si="57">CS5+1</f>
        <v>45745</v>
      </c>
      <c r="CU5" s="68">
        <f t="shared" ref="CU5" si="58">CT5+1</f>
        <v>45746</v>
      </c>
      <c r="CV5" s="66">
        <f>CU5+1</f>
        <v>45747</v>
      </c>
      <c r="CW5" s="67">
        <f>CV5+1</f>
        <v>45748</v>
      </c>
      <c r="CX5" s="67">
        <f t="shared" ref="CX5" si="59">CW5+1</f>
        <v>45749</v>
      </c>
      <c r="CY5" s="67">
        <f t="shared" ref="CY5" si="60">CX5+1</f>
        <v>45750</v>
      </c>
      <c r="CZ5" s="67">
        <f t="shared" ref="CZ5" si="61">CY5+1</f>
        <v>45751</v>
      </c>
      <c r="DA5" s="67">
        <f t="shared" ref="DA5" si="62">CZ5+1</f>
        <v>45752</v>
      </c>
      <c r="DB5" s="68">
        <f t="shared" ref="DB5" si="63">DA5+1</f>
        <v>45753</v>
      </c>
      <c r="DC5" s="66">
        <f>DB5+1</f>
        <v>45754</v>
      </c>
      <c r="DD5" s="67">
        <f>DC5+1</f>
        <v>45755</v>
      </c>
      <c r="DE5" s="67">
        <f t="shared" ref="DE5" si="64">DD5+1</f>
        <v>45756</v>
      </c>
      <c r="DF5" s="67">
        <f t="shared" ref="DF5" si="65">DE5+1</f>
        <v>45757</v>
      </c>
      <c r="DG5" s="67">
        <f t="shared" ref="DG5" si="66">DF5+1</f>
        <v>45758</v>
      </c>
      <c r="DH5" s="67">
        <f t="shared" ref="DH5" si="67">DG5+1</f>
        <v>45759</v>
      </c>
      <c r="DI5" s="68">
        <f t="shared" ref="DI5" si="68">DH5+1</f>
        <v>45760</v>
      </c>
      <c r="DJ5" s="66">
        <f>DI5+1</f>
        <v>45761</v>
      </c>
      <c r="DK5" s="67">
        <f>DJ5+1</f>
        <v>45762</v>
      </c>
      <c r="DL5" s="67">
        <f t="shared" ref="DL5" si="69">DK5+1</f>
        <v>45763</v>
      </c>
      <c r="DM5" s="67">
        <f t="shared" ref="DM5" si="70">DL5+1</f>
        <v>45764</v>
      </c>
      <c r="DN5" s="67">
        <f t="shared" ref="DN5" si="71">DM5+1</f>
        <v>45765</v>
      </c>
      <c r="DO5" s="67">
        <f t="shared" ref="DO5" si="72">DN5+1</f>
        <v>45766</v>
      </c>
      <c r="DP5" s="68">
        <f t="shared" ref="DP5" si="73">DO5+1</f>
        <v>45767</v>
      </c>
      <c r="DQ5" s="66">
        <f>DP5+1</f>
        <v>45768</v>
      </c>
      <c r="DR5" s="67">
        <f>DQ5+1</f>
        <v>45769</v>
      </c>
      <c r="DS5" s="67">
        <f t="shared" ref="DS5" si="74">DR5+1</f>
        <v>45770</v>
      </c>
      <c r="DT5" s="67">
        <f t="shared" ref="DT5" si="75">DS5+1</f>
        <v>45771</v>
      </c>
      <c r="DU5" s="67">
        <f t="shared" ref="DU5" si="76">DT5+1</f>
        <v>45772</v>
      </c>
      <c r="DV5" s="67">
        <f t="shared" ref="DV5" si="77">DU5+1</f>
        <v>45773</v>
      </c>
      <c r="DW5" s="68">
        <f t="shared" ref="DW5" si="78">DV5+1</f>
        <v>45774</v>
      </c>
      <c r="DX5" s="66">
        <f>DW5+1</f>
        <v>45775</v>
      </c>
      <c r="DY5" s="67">
        <f>DX5+1</f>
        <v>45776</v>
      </c>
      <c r="DZ5" s="67">
        <f t="shared" ref="DZ5:EA5" si="79">DY5+1</f>
        <v>45777</v>
      </c>
      <c r="EA5" s="67">
        <f t="shared" si="79"/>
        <v>45778</v>
      </c>
      <c r="EB5" s="67">
        <f t="shared" ref="EB5" si="80">EA5+1</f>
        <v>45779</v>
      </c>
      <c r="EC5" s="67">
        <f t="shared" ref="EC5" si="81">EB5+1</f>
        <v>45780</v>
      </c>
      <c r="ED5" s="68">
        <f t="shared" ref="ED5:EF5" si="82">EC5+1</f>
        <v>45781</v>
      </c>
      <c r="EE5" s="66">
        <f t="shared" si="82"/>
        <v>45782</v>
      </c>
      <c r="EF5" s="67">
        <f t="shared" si="82"/>
        <v>45783</v>
      </c>
      <c r="EG5" s="67">
        <f t="shared" ref="EG5" si="83">EF5+1</f>
        <v>45784</v>
      </c>
      <c r="EH5" s="67">
        <f t="shared" ref="EH5" si="84">EG5+1</f>
        <v>45785</v>
      </c>
      <c r="EI5" s="67">
        <f t="shared" ref="EI5" si="85">EH5+1</f>
        <v>45786</v>
      </c>
      <c r="EJ5" s="67">
        <f t="shared" ref="EJ5" si="86">EI5+1</f>
        <v>45787</v>
      </c>
      <c r="EK5" s="67">
        <f t="shared" ref="EK5:EM5" si="87">EJ5+1</f>
        <v>45788</v>
      </c>
      <c r="EL5" s="66">
        <f t="shared" si="87"/>
        <v>45789</v>
      </c>
      <c r="EM5" s="67">
        <f t="shared" si="87"/>
        <v>45790</v>
      </c>
      <c r="EN5" s="67">
        <f t="shared" ref="EN5" si="88">EM5+1</f>
        <v>45791</v>
      </c>
      <c r="EO5" s="67">
        <f t="shared" ref="EO5" si="89">EN5+1</f>
        <v>45792</v>
      </c>
      <c r="EP5" s="67">
        <f t="shared" ref="EP5" si="90">EO5+1</f>
        <v>45793</v>
      </c>
      <c r="EQ5" s="67">
        <f t="shared" ref="EQ5" si="91">EP5+1</f>
        <v>45794</v>
      </c>
      <c r="ER5" s="68">
        <f t="shared" ref="ER5:ET5" si="92">EQ5+1</f>
        <v>45795</v>
      </c>
      <c r="ES5" s="66">
        <f t="shared" si="92"/>
        <v>45796</v>
      </c>
      <c r="ET5" s="67">
        <f t="shared" si="92"/>
        <v>45797</v>
      </c>
      <c r="EU5" s="67">
        <f t="shared" ref="EU5" si="93">ET5+1</f>
        <v>45798</v>
      </c>
      <c r="EV5" s="67">
        <f t="shared" ref="EV5" si="94">EU5+1</f>
        <v>45799</v>
      </c>
      <c r="EW5" s="67">
        <f t="shared" ref="EW5" si="95">EV5+1</f>
        <v>45800</v>
      </c>
      <c r="EX5" s="67">
        <f t="shared" ref="EX5" si="96">EW5+1</f>
        <v>45801</v>
      </c>
      <c r="EY5" s="68">
        <f t="shared" ref="EY5" si="97">EX5+1</f>
        <v>45802</v>
      </c>
      <c r="EZ5" s="66">
        <f t="shared" ref="EZ5" si="98">EY5+1</f>
        <v>45803</v>
      </c>
      <c r="FA5" s="67">
        <f t="shared" ref="FA5" si="99">EZ5+1</f>
        <v>45804</v>
      </c>
      <c r="FB5" s="67">
        <f t="shared" ref="FB5" si="100">FA5+1</f>
        <v>45805</v>
      </c>
      <c r="FC5" s="67">
        <f t="shared" ref="FC5" si="101">FB5+1</f>
        <v>45806</v>
      </c>
      <c r="FD5" s="67">
        <f t="shared" ref="FD5" si="102">FC5+1</f>
        <v>45807</v>
      </c>
      <c r="FE5" s="67">
        <f t="shared" ref="FE5" si="103">FD5+1</f>
        <v>45808</v>
      </c>
      <c r="FF5" s="68">
        <f t="shared" ref="FF5" si="104">FE5+1</f>
        <v>45809</v>
      </c>
      <c r="FG5" s="66">
        <f t="shared" ref="FG5" si="105">FF5+1</f>
        <v>45810</v>
      </c>
      <c r="FH5" s="67">
        <f t="shared" ref="FH5" si="106">FG5+1</f>
        <v>45811</v>
      </c>
      <c r="FI5" s="67">
        <f t="shared" ref="FI5" si="107">FH5+1</f>
        <v>45812</v>
      </c>
      <c r="FJ5" s="67">
        <f t="shared" ref="FJ5" si="108">FI5+1</f>
        <v>45813</v>
      </c>
      <c r="FK5" s="67">
        <f t="shared" ref="FK5" si="109">FJ5+1</f>
        <v>45814</v>
      </c>
      <c r="FL5" s="67">
        <f t="shared" ref="FL5" si="110">FK5+1</f>
        <v>45815</v>
      </c>
      <c r="FM5" s="68">
        <f t="shared" ref="FM5" si="111">FL5+1</f>
        <v>45816</v>
      </c>
      <c r="FN5" s="66">
        <f t="shared" ref="FN5" si="112">FM5+1</f>
        <v>45817</v>
      </c>
      <c r="FO5" s="67">
        <f t="shared" ref="FO5" si="113">FN5+1</f>
        <v>45818</v>
      </c>
      <c r="FP5" s="67">
        <f t="shared" ref="FP5" si="114">FO5+1</f>
        <v>45819</v>
      </c>
      <c r="FQ5" s="67">
        <f t="shared" ref="FQ5" si="115">FP5+1</f>
        <v>45820</v>
      </c>
      <c r="FR5" s="67">
        <f t="shared" ref="FR5" si="116">FQ5+1</f>
        <v>45821</v>
      </c>
      <c r="FS5" s="67">
        <f t="shared" ref="FS5" si="117">FR5+1</f>
        <v>45822</v>
      </c>
      <c r="FT5" s="68">
        <f t="shared" ref="FT5" si="118">FS5+1</f>
        <v>45823</v>
      </c>
      <c r="FU5" s="66">
        <f t="shared" ref="FU5" si="119">FT5+1</f>
        <v>45824</v>
      </c>
      <c r="FV5" s="67">
        <f t="shared" ref="FV5" si="120">FU5+1</f>
        <v>45825</v>
      </c>
      <c r="FW5" s="67">
        <f t="shared" ref="FW5" si="121">FV5+1</f>
        <v>45826</v>
      </c>
      <c r="FX5" s="67">
        <f t="shared" ref="FX5" si="122">FW5+1</f>
        <v>45827</v>
      </c>
      <c r="FY5" s="67">
        <f t="shared" ref="FY5" si="123">FX5+1</f>
        <v>45828</v>
      </c>
      <c r="FZ5" s="67">
        <f t="shared" ref="FZ5" si="124">FY5+1</f>
        <v>45829</v>
      </c>
      <c r="GA5" s="68">
        <f t="shared" ref="GA5" si="125">FZ5+1</f>
        <v>45830</v>
      </c>
      <c r="GB5" s="66">
        <f t="shared" ref="GB5" si="126">GA5+1</f>
        <v>45831</v>
      </c>
      <c r="GC5" s="67">
        <f t="shared" ref="GC5" si="127">GB5+1</f>
        <v>45832</v>
      </c>
      <c r="GD5" s="67">
        <f t="shared" ref="GD5" si="128">GC5+1</f>
        <v>45833</v>
      </c>
      <c r="GE5" s="67">
        <f t="shared" ref="GE5" si="129">GD5+1</f>
        <v>45834</v>
      </c>
      <c r="GF5" s="67">
        <f t="shared" ref="GF5" si="130">GE5+1</f>
        <v>45835</v>
      </c>
      <c r="GG5" s="67">
        <f t="shared" ref="GG5" si="131">GF5+1</f>
        <v>45836</v>
      </c>
      <c r="GH5" s="68">
        <f t="shared" ref="GH5" si="132">GG5+1</f>
        <v>45837</v>
      </c>
      <c r="GI5" s="66">
        <f t="shared" ref="GI5" si="133">GH5+1</f>
        <v>45838</v>
      </c>
      <c r="GJ5" s="67">
        <f t="shared" ref="GJ5" si="134">GI5+1</f>
        <v>45839</v>
      </c>
      <c r="GK5" s="67">
        <f t="shared" ref="GK5" si="135">GJ5+1</f>
        <v>45840</v>
      </c>
      <c r="GL5" s="67">
        <f t="shared" ref="GL5" si="136">GK5+1</f>
        <v>45841</v>
      </c>
      <c r="GM5" s="67">
        <f t="shared" ref="GM5" si="137">GL5+1</f>
        <v>45842</v>
      </c>
      <c r="GN5" s="67">
        <f t="shared" ref="GN5" si="138">GM5+1</f>
        <v>45843</v>
      </c>
      <c r="GO5" s="68">
        <f t="shared" ref="GO5" si="139">GN5+1</f>
        <v>45844</v>
      </c>
      <c r="GP5" s="66">
        <f t="shared" ref="GP5" si="140">GO5+1</f>
        <v>45845</v>
      </c>
      <c r="GQ5" s="67">
        <f t="shared" ref="GQ5" si="141">GP5+1</f>
        <v>45846</v>
      </c>
      <c r="GR5" s="67">
        <f t="shared" ref="GR5" si="142">GQ5+1</f>
        <v>45847</v>
      </c>
      <c r="GS5" s="67">
        <f t="shared" ref="GS5" si="143">GR5+1</f>
        <v>45848</v>
      </c>
      <c r="GT5" s="67">
        <f t="shared" ref="GT5" si="144">GS5+1</f>
        <v>45849</v>
      </c>
      <c r="GU5" s="67">
        <f t="shared" ref="GU5" si="145">GT5+1</f>
        <v>45850</v>
      </c>
      <c r="GV5" s="68">
        <f t="shared" ref="GV5" si="146">GU5+1</f>
        <v>45851</v>
      </c>
      <c r="GW5" s="66">
        <f t="shared" ref="GW5" si="147">GV5+1</f>
        <v>45852</v>
      </c>
      <c r="GX5" s="67">
        <f t="shared" ref="GX5" si="148">GW5+1</f>
        <v>45853</v>
      </c>
      <c r="GY5" s="67">
        <f t="shared" ref="GY5" si="149">GX5+1</f>
        <v>45854</v>
      </c>
      <c r="GZ5" s="67">
        <f t="shared" ref="GZ5" si="150">GY5+1</f>
        <v>45855</v>
      </c>
      <c r="HA5" s="67">
        <f t="shared" ref="HA5" si="151">GZ5+1</f>
        <v>45856</v>
      </c>
      <c r="HB5" s="67">
        <f t="shared" ref="HB5" si="152">HA5+1</f>
        <v>45857</v>
      </c>
      <c r="HC5" s="68">
        <f t="shared" ref="HC5" si="153">HB5+1</f>
        <v>45858</v>
      </c>
      <c r="HD5" s="66">
        <f t="shared" ref="HD5" si="154">HC5+1</f>
        <v>45859</v>
      </c>
      <c r="HE5" s="67">
        <f t="shared" ref="HE5" si="155">HD5+1</f>
        <v>45860</v>
      </c>
      <c r="HF5" s="67">
        <f t="shared" ref="HF5" si="156">HE5+1</f>
        <v>45861</v>
      </c>
      <c r="HG5" s="67">
        <f t="shared" ref="HG5" si="157">HF5+1</f>
        <v>45862</v>
      </c>
      <c r="HH5" s="67">
        <f t="shared" ref="HH5" si="158">HG5+1</f>
        <v>45863</v>
      </c>
      <c r="HI5" s="67">
        <f t="shared" ref="HI5" si="159">HH5+1</f>
        <v>45864</v>
      </c>
      <c r="HJ5" s="68">
        <f t="shared" ref="HJ5" si="160">HI5+1</f>
        <v>45865</v>
      </c>
      <c r="HK5" s="66">
        <f t="shared" ref="HK5" si="161">HJ5+1</f>
        <v>45866</v>
      </c>
      <c r="HL5" s="67">
        <f t="shared" ref="HL5" si="162">HK5+1</f>
        <v>45867</v>
      </c>
      <c r="HM5" s="67">
        <f t="shared" ref="HM5" si="163">HL5+1</f>
        <v>45868</v>
      </c>
      <c r="HN5" s="67">
        <f t="shared" ref="HN5" si="164">HM5+1</f>
        <v>45869</v>
      </c>
      <c r="HO5" s="67">
        <f t="shared" ref="HO5" si="165">HN5+1</f>
        <v>45870</v>
      </c>
      <c r="HP5" s="67">
        <f t="shared" ref="HP5" si="166">HO5+1</f>
        <v>45871</v>
      </c>
      <c r="HQ5" s="68">
        <f t="shared" ref="HQ5" si="167">HP5+1</f>
        <v>45872</v>
      </c>
      <c r="HR5" s="66">
        <f t="shared" ref="HR5" si="168">HQ5+1</f>
        <v>45873</v>
      </c>
      <c r="HS5" s="67">
        <f t="shared" ref="HS5" si="169">HR5+1</f>
        <v>45874</v>
      </c>
      <c r="HT5" s="67">
        <f t="shared" ref="HT5" si="170">HS5+1</f>
        <v>45875</v>
      </c>
      <c r="HU5" s="67">
        <f t="shared" ref="HU5" si="171">HT5+1</f>
        <v>45876</v>
      </c>
      <c r="HV5" s="67">
        <f t="shared" ref="HV5" si="172">HU5+1</f>
        <v>45877</v>
      </c>
      <c r="HW5" s="67">
        <f t="shared" ref="HW5" si="173">HV5+1</f>
        <v>45878</v>
      </c>
      <c r="HX5" s="68">
        <f t="shared" ref="HX5" si="174">HW5+1</f>
        <v>45879</v>
      </c>
      <c r="HY5" s="66">
        <f t="shared" ref="HY5" si="175">HX5+1</f>
        <v>45880</v>
      </c>
      <c r="HZ5" s="67">
        <f t="shared" ref="HZ5" si="176">HY5+1</f>
        <v>45881</v>
      </c>
      <c r="IA5" s="67">
        <f t="shared" ref="IA5" si="177">HZ5+1</f>
        <v>45882</v>
      </c>
      <c r="IB5" s="67">
        <f t="shared" ref="IB5" si="178">IA5+1</f>
        <v>45883</v>
      </c>
      <c r="IC5" s="67">
        <f t="shared" ref="IC5" si="179">IB5+1</f>
        <v>45884</v>
      </c>
      <c r="ID5" s="67">
        <f t="shared" ref="ID5" si="180">IC5+1</f>
        <v>45885</v>
      </c>
      <c r="IE5" s="68">
        <f t="shared" ref="IE5" si="181">ID5+1</f>
        <v>45886</v>
      </c>
      <c r="IF5" s="66">
        <f t="shared" ref="IF5" si="182">IE5+1</f>
        <v>45887</v>
      </c>
      <c r="IG5" s="67">
        <f t="shared" ref="IG5" si="183">IF5+1</f>
        <v>45888</v>
      </c>
      <c r="IH5" s="67">
        <f t="shared" ref="IH5" si="184">IG5+1</f>
        <v>45889</v>
      </c>
      <c r="II5" s="67">
        <f t="shared" ref="II5" si="185">IH5+1</f>
        <v>45890</v>
      </c>
      <c r="IJ5" s="67">
        <f t="shared" ref="IJ5" si="186">II5+1</f>
        <v>45891</v>
      </c>
      <c r="IK5" s="67">
        <f t="shared" ref="IK5" si="187">IJ5+1</f>
        <v>45892</v>
      </c>
      <c r="IL5" s="68">
        <f t="shared" ref="IL5" si="188">IK5+1</f>
        <v>45893</v>
      </c>
      <c r="IM5" s="66">
        <f t="shared" ref="IM5" si="189">IL5+1</f>
        <v>45894</v>
      </c>
      <c r="IN5" s="67">
        <f t="shared" ref="IN5" si="190">IM5+1</f>
        <v>45895</v>
      </c>
      <c r="IO5" s="67">
        <f t="shared" ref="IO5" si="191">IN5+1</f>
        <v>45896</v>
      </c>
      <c r="IP5" s="67">
        <f t="shared" ref="IP5" si="192">IO5+1</f>
        <v>45897</v>
      </c>
      <c r="IQ5" s="67">
        <f t="shared" ref="IQ5" si="193">IP5+1</f>
        <v>45898</v>
      </c>
      <c r="IR5" s="67">
        <f t="shared" ref="IR5:IS5" si="194">IQ5+1</f>
        <v>45899</v>
      </c>
      <c r="IS5" s="67">
        <f t="shared" si="194"/>
        <v>45900</v>
      </c>
      <c r="IT5" s="66">
        <f t="shared" ref="IT5" si="195">IS5+1</f>
        <v>45901</v>
      </c>
      <c r="IU5" s="67">
        <f t="shared" ref="IU5" si="196">IT5+1</f>
        <v>45902</v>
      </c>
      <c r="IV5" s="67">
        <f t="shared" ref="IV5" si="197">IU5+1</f>
        <v>45903</v>
      </c>
      <c r="IW5" s="67">
        <f t="shared" ref="IW5" si="198">IV5+1</f>
        <v>45904</v>
      </c>
      <c r="IX5" s="67">
        <f t="shared" ref="IX5" si="199">IW5+1</f>
        <v>45905</v>
      </c>
      <c r="IY5" s="67">
        <f t="shared" ref="IY5" si="200">IX5+1</f>
        <v>45906</v>
      </c>
      <c r="IZ5" s="68">
        <f t="shared" ref="IZ5" si="201">IY5+1</f>
        <v>45907</v>
      </c>
      <c r="JA5" s="66">
        <f t="shared" ref="JA5" si="202">IZ5+1</f>
        <v>45908</v>
      </c>
      <c r="JB5" s="67">
        <f t="shared" ref="JB5" si="203">JA5+1</f>
        <v>45909</v>
      </c>
      <c r="JC5" s="67">
        <f t="shared" ref="JC5" si="204">JB5+1</f>
        <v>45910</v>
      </c>
      <c r="JD5" s="67">
        <f t="shared" ref="JD5" si="205">JC5+1</f>
        <v>45911</v>
      </c>
      <c r="JE5" s="67">
        <f t="shared" ref="JE5" si="206">JD5+1</f>
        <v>45912</v>
      </c>
      <c r="JF5" s="67">
        <f t="shared" ref="JF5" si="207">JE5+1</f>
        <v>45913</v>
      </c>
      <c r="JG5" s="68">
        <f t="shared" ref="JG5" si="208">JF5+1</f>
        <v>45914</v>
      </c>
      <c r="JH5" s="66">
        <f t="shared" ref="JH5" si="209">JG5+1</f>
        <v>45915</v>
      </c>
      <c r="JI5" s="67">
        <f t="shared" ref="JI5" si="210">JH5+1</f>
        <v>45916</v>
      </c>
      <c r="JJ5" s="67">
        <f t="shared" ref="JJ5" si="211">JI5+1</f>
        <v>45917</v>
      </c>
      <c r="JK5" s="67">
        <f t="shared" ref="JK5" si="212">JJ5+1</f>
        <v>45918</v>
      </c>
      <c r="JL5" s="67">
        <f t="shared" ref="JL5" si="213">JK5+1</f>
        <v>45919</v>
      </c>
      <c r="JM5" s="67">
        <f t="shared" ref="JM5" si="214">JL5+1</f>
        <v>45920</v>
      </c>
      <c r="JN5" s="68">
        <f t="shared" ref="JN5" si="215">JM5+1</f>
        <v>45921</v>
      </c>
      <c r="JO5" s="66">
        <f t="shared" ref="JO5" si="216">JN5+1</f>
        <v>45922</v>
      </c>
      <c r="JP5" s="67">
        <f t="shared" ref="JP5" si="217">JO5+1</f>
        <v>45923</v>
      </c>
      <c r="JQ5" s="67">
        <f t="shared" ref="JQ5" si="218">JP5+1</f>
        <v>45924</v>
      </c>
      <c r="JR5" s="67">
        <f t="shared" ref="JR5" si="219">JQ5+1</f>
        <v>45925</v>
      </c>
      <c r="JS5" s="67">
        <f t="shared" ref="JS5" si="220">JR5+1</f>
        <v>45926</v>
      </c>
      <c r="JT5" s="67">
        <f t="shared" ref="JT5" si="221">JS5+1</f>
        <v>45927</v>
      </c>
      <c r="JU5" s="68">
        <f t="shared" ref="JU5" si="222">JT5+1</f>
        <v>45928</v>
      </c>
      <c r="JV5" s="66">
        <f t="shared" ref="JV5" si="223">JU5+1</f>
        <v>45929</v>
      </c>
      <c r="JW5" s="67">
        <f t="shared" ref="JW5" si="224">JV5+1</f>
        <v>45930</v>
      </c>
      <c r="JX5" s="67">
        <f t="shared" ref="JX5" si="225">JW5+1</f>
        <v>45931</v>
      </c>
      <c r="JY5" s="67">
        <f t="shared" ref="JY5" si="226">JX5+1</f>
        <v>45932</v>
      </c>
      <c r="JZ5" s="67">
        <f t="shared" ref="JZ5" si="227">JY5+1</f>
        <v>45933</v>
      </c>
      <c r="KA5" s="67">
        <f t="shared" ref="KA5" si="228">JZ5+1</f>
        <v>45934</v>
      </c>
      <c r="KB5" s="68">
        <f t="shared" ref="KB5" si="229">KA5+1</f>
        <v>45935</v>
      </c>
      <c r="KC5" s="66">
        <f t="shared" ref="KC5" si="230">KB5+1</f>
        <v>45936</v>
      </c>
      <c r="KD5" s="67">
        <f t="shared" ref="KD5" si="231">KC5+1</f>
        <v>45937</v>
      </c>
      <c r="KE5" s="67">
        <f t="shared" ref="KE5" si="232">KD5+1</f>
        <v>45938</v>
      </c>
      <c r="KF5" s="67">
        <f t="shared" ref="KF5" si="233">KE5+1</f>
        <v>45939</v>
      </c>
      <c r="KG5" s="67">
        <f t="shared" ref="KG5" si="234">KF5+1</f>
        <v>45940</v>
      </c>
      <c r="KH5" s="67">
        <f t="shared" ref="KH5" si="235">KG5+1</f>
        <v>45941</v>
      </c>
      <c r="KI5" s="68">
        <f t="shared" ref="KI5" si="236">KH5+1</f>
        <v>45942</v>
      </c>
      <c r="KJ5" s="66">
        <f t="shared" ref="KJ5" si="237">KI5+1</f>
        <v>45943</v>
      </c>
      <c r="KK5" s="67">
        <f t="shared" ref="KK5" si="238">KJ5+1</f>
        <v>45944</v>
      </c>
      <c r="KL5" s="67">
        <f t="shared" ref="KL5" si="239">KK5+1</f>
        <v>45945</v>
      </c>
      <c r="KM5" s="67">
        <f t="shared" ref="KM5" si="240">KL5+1</f>
        <v>45946</v>
      </c>
      <c r="KN5" s="67">
        <f t="shared" ref="KN5" si="241">KM5+1</f>
        <v>45947</v>
      </c>
      <c r="KO5" s="67">
        <f t="shared" ref="KO5" si="242">KN5+1</f>
        <v>45948</v>
      </c>
      <c r="KP5" s="68">
        <f t="shared" ref="KP5" si="243">KO5+1</f>
        <v>45949</v>
      </c>
      <c r="KQ5" s="66">
        <f t="shared" ref="KQ5" si="244">KP5+1</f>
        <v>45950</v>
      </c>
      <c r="KR5" s="67">
        <f t="shared" ref="KR5" si="245">KQ5+1</f>
        <v>45951</v>
      </c>
      <c r="KS5" s="67">
        <f t="shared" ref="KS5" si="246">KR5+1</f>
        <v>45952</v>
      </c>
      <c r="KT5" s="67">
        <f t="shared" ref="KT5" si="247">KS5+1</f>
        <v>45953</v>
      </c>
      <c r="KU5" s="67">
        <f t="shared" ref="KU5" si="248">KT5+1</f>
        <v>45954</v>
      </c>
      <c r="KV5" s="67">
        <f t="shared" ref="KV5" si="249">KU5+1</f>
        <v>45955</v>
      </c>
      <c r="KW5" s="68">
        <f t="shared" ref="KW5" si="250">KV5+1</f>
        <v>45956</v>
      </c>
      <c r="KX5" s="66">
        <f t="shared" ref="KX5" si="251">KW5+1</f>
        <v>45957</v>
      </c>
      <c r="KY5" s="67">
        <f t="shared" ref="KY5" si="252">KX5+1</f>
        <v>45958</v>
      </c>
      <c r="KZ5" s="67">
        <f t="shared" ref="KZ5" si="253">KY5+1</f>
        <v>45959</v>
      </c>
      <c r="LA5" s="67">
        <f t="shared" ref="LA5" si="254">KZ5+1</f>
        <v>45960</v>
      </c>
      <c r="LB5" s="67">
        <f t="shared" ref="LB5" si="255">LA5+1</f>
        <v>45961</v>
      </c>
      <c r="LC5" s="67">
        <f t="shared" ref="LC5" si="256">LB5+1</f>
        <v>45962</v>
      </c>
      <c r="LD5" s="68">
        <f t="shared" ref="LD5" si="257">LC5+1</f>
        <v>45963</v>
      </c>
      <c r="LE5" s="66">
        <f t="shared" ref="LE5" si="258">LD5+1</f>
        <v>45964</v>
      </c>
      <c r="LF5" s="67">
        <f t="shared" ref="LF5" si="259">LE5+1</f>
        <v>45965</v>
      </c>
      <c r="LG5" s="67">
        <f t="shared" ref="LG5" si="260">LF5+1</f>
        <v>45966</v>
      </c>
      <c r="LH5" s="67">
        <f t="shared" ref="LH5" si="261">LG5+1</f>
        <v>45967</v>
      </c>
      <c r="LI5" s="67">
        <f t="shared" ref="LI5" si="262">LH5+1</f>
        <v>45968</v>
      </c>
      <c r="LJ5" s="67">
        <f t="shared" ref="LJ5" si="263">LI5+1</f>
        <v>45969</v>
      </c>
      <c r="LK5" s="68">
        <f t="shared" ref="LK5" si="264">LJ5+1</f>
        <v>45970</v>
      </c>
      <c r="LL5" s="66">
        <f t="shared" ref="LL5" si="265">LK5+1</f>
        <v>45971</v>
      </c>
      <c r="LM5" s="67">
        <f t="shared" ref="LM5" si="266">LL5+1</f>
        <v>45972</v>
      </c>
      <c r="LN5" s="67">
        <f t="shared" ref="LN5" si="267">LM5+1</f>
        <v>45973</v>
      </c>
      <c r="LO5" s="67">
        <f t="shared" ref="LO5" si="268">LN5+1</f>
        <v>45974</v>
      </c>
      <c r="LP5" s="67">
        <f t="shared" ref="LP5" si="269">LO5+1</f>
        <v>45975</v>
      </c>
      <c r="LQ5" s="67">
        <f t="shared" ref="LQ5" si="270">LP5+1</f>
        <v>45976</v>
      </c>
      <c r="LR5" s="68">
        <f t="shared" ref="LR5" si="271">LQ5+1</f>
        <v>45977</v>
      </c>
      <c r="LS5" s="66">
        <f t="shared" ref="LS5" si="272">LR5+1</f>
        <v>45978</v>
      </c>
      <c r="LT5" s="67">
        <f t="shared" ref="LT5" si="273">LS5+1</f>
        <v>45979</v>
      </c>
      <c r="LU5" s="67">
        <f t="shared" ref="LU5" si="274">LT5+1</f>
        <v>45980</v>
      </c>
      <c r="LV5" s="67">
        <f t="shared" ref="LV5" si="275">LU5+1</f>
        <v>45981</v>
      </c>
      <c r="LW5" s="67">
        <f t="shared" ref="LW5" si="276">LV5+1</f>
        <v>45982</v>
      </c>
      <c r="LX5" s="67">
        <f t="shared" ref="LX5" si="277">LW5+1</f>
        <v>45983</v>
      </c>
      <c r="LY5" s="68">
        <f t="shared" ref="LY5" si="278">LX5+1</f>
        <v>45984</v>
      </c>
      <c r="LZ5" s="66">
        <f t="shared" ref="LZ5" si="279">LY5+1</f>
        <v>45985</v>
      </c>
      <c r="MA5" s="67">
        <f t="shared" ref="MA5" si="280">LZ5+1</f>
        <v>45986</v>
      </c>
      <c r="MB5" s="67">
        <f t="shared" ref="MB5" si="281">MA5+1</f>
        <v>45987</v>
      </c>
      <c r="MC5" s="67">
        <f t="shared" ref="MC5" si="282">MB5+1</f>
        <v>45988</v>
      </c>
      <c r="MD5" s="67">
        <f t="shared" ref="MD5" si="283">MC5+1</f>
        <v>45989</v>
      </c>
      <c r="ME5" s="67">
        <f t="shared" ref="ME5" si="284">MD5+1</f>
        <v>45990</v>
      </c>
      <c r="MF5" s="68">
        <f t="shared" ref="MF5" si="285">ME5+1</f>
        <v>45991</v>
      </c>
      <c r="MG5" s="66">
        <f t="shared" ref="MG5" si="286">MF5+1</f>
        <v>45992</v>
      </c>
      <c r="MH5" s="67">
        <f t="shared" ref="MH5" si="287">MG5+1</f>
        <v>45993</v>
      </c>
      <c r="MI5" s="67">
        <f t="shared" ref="MI5" si="288">MH5+1</f>
        <v>45994</v>
      </c>
      <c r="MJ5" s="67">
        <f t="shared" ref="MJ5" si="289">MI5+1</f>
        <v>45995</v>
      </c>
      <c r="MK5" s="67">
        <f t="shared" ref="MK5" si="290">MJ5+1</f>
        <v>45996</v>
      </c>
      <c r="ML5" s="67">
        <f t="shared" ref="ML5" si="291">MK5+1</f>
        <v>45997</v>
      </c>
      <c r="MM5" s="68">
        <f t="shared" ref="MM5" si="292">ML5+1</f>
        <v>45998</v>
      </c>
    </row>
    <row r="6" spans="1:351" ht="29.25" customHeight="1" thickBot="1">
      <c r="A6" s="34" t="s">
        <v>174</v>
      </c>
      <c r="B6" s="8" t="s">
        <v>175</v>
      </c>
      <c r="C6" s="9" t="s">
        <v>176</v>
      </c>
      <c r="D6" s="119" t="s">
        <v>177</v>
      </c>
      <c r="E6" s="119" t="s">
        <v>178</v>
      </c>
      <c r="F6" s="9"/>
      <c r="G6" s="9" t="s">
        <v>179</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c r="A7" s="33" t="s">
        <v>180</v>
      </c>
      <c r="C7" s="142"/>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c r="A8" s="33"/>
      <c r="B8" s="184" t="s">
        <v>181</v>
      </c>
      <c r="C8" s="184"/>
      <c r="D8" s="184"/>
      <c r="E8" s="18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c r="A9" s="34" t="s">
        <v>182</v>
      </c>
      <c r="B9" s="188" t="s">
        <v>183</v>
      </c>
      <c r="C9" s="188"/>
      <c r="D9" s="188"/>
      <c r="E9" s="188"/>
      <c r="F9" s="14"/>
      <c r="G9" s="14" t="str">
        <f t="shared" ref="G9:G165" ca="1"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c r="A10" s="34" t="s">
        <v>184</v>
      </c>
      <c r="B10" s="90"/>
      <c r="C10" s="40" t="s">
        <v>117</v>
      </c>
      <c r="D10" s="120">
        <v>45691</v>
      </c>
      <c r="E10" s="120">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c r="A11" s="34"/>
      <c r="B11" s="90"/>
      <c r="C11" s="40" t="s">
        <v>136</v>
      </c>
      <c r="D11" s="120">
        <v>45691</v>
      </c>
      <c r="E11" s="120">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c r="A12" s="34" t="s">
        <v>185</v>
      </c>
      <c r="B12" s="90"/>
      <c r="C12" s="40" t="s">
        <v>126</v>
      </c>
      <c r="D12" s="120">
        <f>D11+14</f>
        <v>45705</v>
      </c>
      <c r="E12" s="120">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c r="A13" s="33"/>
      <c r="B13" s="90"/>
      <c r="C13" s="40" t="s">
        <v>186</v>
      </c>
      <c r="D13" s="120">
        <v>45705</v>
      </c>
      <c r="E13" s="120">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c r="A14" s="33"/>
      <c r="B14" s="46"/>
      <c r="C14" s="40" t="s">
        <v>187</v>
      </c>
      <c r="D14" s="120">
        <f>D13+7</f>
        <v>45712</v>
      </c>
      <c r="E14" s="120">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c r="A15" s="33"/>
      <c r="B15" s="91"/>
      <c r="C15" s="40" t="s">
        <v>120</v>
      </c>
      <c r="D15" s="120">
        <f>D16</f>
        <v>45726</v>
      </c>
      <c r="E15" s="120">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c r="A16" s="33"/>
      <c r="B16" s="91"/>
      <c r="C16" s="40" t="s">
        <v>42</v>
      </c>
      <c r="D16" s="120">
        <f>D14+14</f>
        <v>45726</v>
      </c>
      <c r="E16" s="120">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c r="A17" s="33"/>
      <c r="B17" s="91"/>
      <c r="C17" s="40" t="s">
        <v>100</v>
      </c>
      <c r="D17" s="120">
        <f>D15+14</f>
        <v>45740</v>
      </c>
      <c r="E17" s="120">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c r="A18" s="33"/>
      <c r="B18" s="40"/>
      <c r="C18" s="40" t="s">
        <v>106</v>
      </c>
      <c r="D18" s="120">
        <f>D16+14</f>
        <v>45740</v>
      </c>
      <c r="E18" s="120">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c r="A19" s="33"/>
      <c r="B19" s="40"/>
      <c r="C19" s="40" t="s">
        <v>82</v>
      </c>
      <c r="D19" s="120">
        <f t="shared" ref="D19:D40" si="313">D18+7</f>
        <v>45747</v>
      </c>
      <c r="E19" s="120">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c r="A20" s="33"/>
      <c r="B20" s="40"/>
      <c r="C20" s="40" t="s">
        <v>79</v>
      </c>
      <c r="D20" s="120">
        <f t="shared" si="313"/>
        <v>45754</v>
      </c>
      <c r="E20" s="120">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c r="A21" s="33"/>
      <c r="B21" s="40"/>
      <c r="C21" s="40" t="s">
        <v>94</v>
      </c>
      <c r="D21" s="120">
        <f t="shared" si="313"/>
        <v>45761</v>
      </c>
      <c r="E21" s="120">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c r="A22" s="33"/>
      <c r="B22" s="40"/>
      <c r="C22" s="40" t="s">
        <v>64</v>
      </c>
      <c r="D22" s="120">
        <f t="shared" si="313"/>
        <v>45768</v>
      </c>
      <c r="E22" s="120">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c r="A23" s="33"/>
      <c r="B23" s="40"/>
      <c r="C23" s="40" t="s">
        <v>61</v>
      </c>
      <c r="D23" s="120">
        <f t="shared" si="313"/>
        <v>45775</v>
      </c>
      <c r="E23" s="120">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c r="A24" s="33"/>
      <c r="B24" s="40"/>
      <c r="C24" s="40" t="s">
        <v>67</v>
      </c>
      <c r="D24" s="120">
        <f t="shared" si="313"/>
        <v>45782</v>
      </c>
      <c r="E24" s="120">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c r="A25" s="33"/>
      <c r="B25" s="40"/>
      <c r="C25" s="40" t="s">
        <v>132</v>
      </c>
      <c r="D25" s="120">
        <f t="shared" si="313"/>
        <v>45789</v>
      </c>
      <c r="E25" s="120">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c r="A26" s="33"/>
      <c r="B26" s="40"/>
      <c r="C26" s="40" t="s">
        <v>85</v>
      </c>
      <c r="D26" s="120">
        <f>D25+7</f>
        <v>45796</v>
      </c>
      <c r="E26" s="120">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c r="A27" s="33"/>
      <c r="B27" s="40"/>
      <c r="C27" s="40" t="s">
        <v>39</v>
      </c>
      <c r="D27" s="120">
        <f t="shared" si="313"/>
        <v>45803</v>
      </c>
      <c r="E27" s="120">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c r="A28" s="33"/>
      <c r="B28" s="40"/>
      <c r="C28" s="40" t="s">
        <v>70</v>
      </c>
      <c r="D28" s="120">
        <f t="shared" si="313"/>
        <v>45810</v>
      </c>
      <c r="E28" s="120">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c r="A29" s="33"/>
      <c r="B29" s="40"/>
      <c r="C29" s="40" t="s">
        <v>35</v>
      </c>
      <c r="D29" s="120">
        <f t="shared" si="313"/>
        <v>45817</v>
      </c>
      <c r="E29" s="120">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c r="A30" s="33"/>
      <c r="B30" s="40"/>
      <c r="C30" s="40" t="s">
        <v>91</v>
      </c>
      <c r="D30" s="120">
        <f t="shared" si="313"/>
        <v>45824</v>
      </c>
      <c r="E30" s="120">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c r="A31" s="33"/>
      <c r="B31" s="40"/>
      <c r="C31" s="40" t="s">
        <v>103</v>
      </c>
      <c r="D31" s="120">
        <f t="shared" si="313"/>
        <v>45831</v>
      </c>
      <c r="E31" s="120">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c r="A32" s="33"/>
      <c r="B32" s="40"/>
      <c r="C32" s="40" t="s">
        <v>100</v>
      </c>
      <c r="D32" s="120">
        <f t="shared" si="313"/>
        <v>45838</v>
      </c>
      <c r="E32" s="120">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c r="A33" s="33"/>
      <c r="B33" s="40"/>
      <c r="C33" s="40" t="s">
        <v>76</v>
      </c>
      <c r="D33" s="120">
        <f t="shared" si="313"/>
        <v>45845</v>
      </c>
      <c r="E33" s="120">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c r="A34" s="33"/>
      <c r="B34" s="40"/>
      <c r="C34" s="40" t="s">
        <v>70</v>
      </c>
      <c r="D34" s="120">
        <f t="shared" si="313"/>
        <v>45852</v>
      </c>
      <c r="E34" s="120">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c r="A35" s="33"/>
      <c r="B35" s="40"/>
      <c r="C35" s="40" t="s">
        <v>39</v>
      </c>
      <c r="D35" s="120">
        <f t="shared" si="313"/>
        <v>45859</v>
      </c>
      <c r="E35" s="120">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c r="A36" s="33"/>
      <c r="B36" s="40"/>
      <c r="C36" s="40" t="s">
        <v>132</v>
      </c>
      <c r="D36" s="120">
        <f t="shared" si="313"/>
        <v>45866</v>
      </c>
      <c r="E36" s="120">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c r="A37" s="33"/>
      <c r="B37" s="40"/>
      <c r="C37" s="40" t="s">
        <v>114</v>
      </c>
      <c r="D37" s="120">
        <f t="shared" si="313"/>
        <v>45873</v>
      </c>
      <c r="E37" s="120">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c r="A38" s="33"/>
      <c r="B38" s="40"/>
      <c r="C38" s="40" t="s">
        <v>129</v>
      </c>
      <c r="D38" s="120">
        <f t="shared" si="313"/>
        <v>45880</v>
      </c>
      <c r="E38" s="120">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c r="A39" s="33"/>
      <c r="B39" s="40"/>
      <c r="C39" s="143" t="s">
        <v>94</v>
      </c>
      <c r="D39" s="120">
        <f t="shared" si="313"/>
        <v>45887</v>
      </c>
      <c r="E39" s="120">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c r="A40" s="33"/>
      <c r="B40" s="40"/>
      <c r="C40" s="40" t="s">
        <v>103</v>
      </c>
      <c r="D40" s="120">
        <f t="shared" si="313"/>
        <v>45894</v>
      </c>
      <c r="E40" s="120">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c r="A41" s="33"/>
      <c r="B41" s="40"/>
      <c r="C41" s="40" t="s">
        <v>45</v>
      </c>
      <c r="D41" s="120">
        <f>D40+7</f>
        <v>45901</v>
      </c>
      <c r="E41" s="120">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c r="A42" s="33"/>
      <c r="B42" s="40"/>
      <c r="C42" s="40" t="s">
        <v>61</v>
      </c>
      <c r="D42" s="120">
        <v>45915</v>
      </c>
      <c r="E42" s="120">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c r="A43" s="33"/>
      <c r="B43" s="40"/>
      <c r="C43" s="40" t="s">
        <v>151</v>
      </c>
      <c r="D43" s="120">
        <v>45922</v>
      </c>
      <c r="E43" s="120">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c r="A44" s="33"/>
      <c r="B44" s="40"/>
      <c r="C44" s="40" t="s">
        <v>82</v>
      </c>
      <c r="D44" s="120">
        <v>45936</v>
      </c>
      <c r="E44" s="120">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c r="A45" s="33"/>
      <c r="B45" s="40"/>
      <c r="C45" s="40" t="s">
        <v>163</v>
      </c>
      <c r="D45" s="120">
        <v>45936</v>
      </c>
      <c r="E45" s="120">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c r="A46" s="33"/>
      <c r="B46" s="40"/>
      <c r="C46" s="40" t="s">
        <v>148</v>
      </c>
      <c r="D46" s="120">
        <v>45950</v>
      </c>
      <c r="E46" s="120">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c r="A47" s="33"/>
      <c r="B47" s="40"/>
      <c r="C47" s="40" t="s">
        <v>106</v>
      </c>
      <c r="D47" s="120">
        <v>45957</v>
      </c>
      <c r="E47" s="120">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c r="A48" s="33"/>
      <c r="B48" s="40"/>
      <c r="C48" s="40" t="s">
        <v>16</v>
      </c>
      <c r="D48" s="120">
        <v>45964</v>
      </c>
      <c r="E48" s="120">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c r="A49" s="33"/>
      <c r="B49" s="40"/>
      <c r="C49" s="40" t="s">
        <v>82</v>
      </c>
      <c r="D49" s="120">
        <v>45971</v>
      </c>
      <c r="E49" s="120">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c r="A50" s="33"/>
      <c r="B50" s="40"/>
      <c r="C50" s="40" t="s">
        <v>154</v>
      </c>
      <c r="D50" s="120">
        <v>45978</v>
      </c>
      <c r="E50" s="120">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c r="A51" s="33"/>
      <c r="B51" s="40"/>
      <c r="C51" s="40" t="s">
        <v>157</v>
      </c>
      <c r="D51" s="120">
        <v>45985</v>
      </c>
      <c r="E51" s="120">
        <f t="shared" ref="E51:E53"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c r="A52" s="33"/>
      <c r="B52" s="40"/>
      <c r="C52" s="40" t="s">
        <v>26</v>
      </c>
      <c r="D52" s="120">
        <v>45992</v>
      </c>
      <c r="E52" s="120">
        <f t="shared" si="317"/>
        <v>46010</v>
      </c>
      <c r="F52" s="14"/>
      <c r="G52" s="14">
        <v>19</v>
      </c>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c r="A53" s="33"/>
      <c r="B53" s="40"/>
      <c r="C53" s="40" t="s">
        <v>160</v>
      </c>
      <c r="D53" s="120">
        <v>45999</v>
      </c>
      <c r="E53" s="120">
        <f t="shared" si="317"/>
        <v>46014</v>
      </c>
      <c r="F53" s="14"/>
      <c r="G53" s="14">
        <v>16</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c r="A54" s="34" t="s">
        <v>188</v>
      </c>
      <c r="B54" s="180" t="s">
        <v>189</v>
      </c>
      <c r="C54" s="180"/>
      <c r="D54" s="180"/>
      <c r="E54" s="180"/>
      <c r="F54" s="14"/>
      <c r="G54" s="14" t="str">
        <f t="shared" ca="1" si="311"/>
        <v/>
      </c>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c r="A55" s="34"/>
      <c r="B55" s="47" t="s">
        <v>190</v>
      </c>
      <c r="C55" s="42" t="s">
        <v>123</v>
      </c>
      <c r="D55" s="121">
        <v>45719</v>
      </c>
      <c r="E55" s="121">
        <f>D55+G55-1</f>
        <v>45732</v>
      </c>
      <c r="F55" s="14"/>
      <c r="G55" s="14">
        <v>14</v>
      </c>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c r="A56" s="33"/>
      <c r="B56" s="47" t="s">
        <v>191</v>
      </c>
      <c r="C56" s="42" t="s">
        <v>192</v>
      </c>
      <c r="D56" s="121">
        <v>45768</v>
      </c>
      <c r="E56" s="121">
        <f t="shared" ref="E56:E60" si="318">D56+G56</f>
        <v>45828</v>
      </c>
      <c r="F56" s="14"/>
      <c r="G56" s="14">
        <v>60</v>
      </c>
      <c r="H56" s="29"/>
      <c r="I56" s="29"/>
      <c r="J56" s="29"/>
      <c r="K56" s="29"/>
      <c r="L56" s="29"/>
      <c r="M56" s="29"/>
      <c r="N56" s="29"/>
      <c r="O56" s="29"/>
      <c r="P56" s="29"/>
      <c r="Q56" s="29"/>
      <c r="R56" s="29"/>
      <c r="S56" s="29"/>
      <c r="T56" s="29"/>
      <c r="U56" s="30"/>
      <c r="V56" s="30"/>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c r="A57" s="33"/>
      <c r="B57" s="47" t="s">
        <v>193</v>
      </c>
      <c r="C57" s="42" t="s">
        <v>194</v>
      </c>
      <c r="D57" s="121">
        <v>45852</v>
      </c>
      <c r="E57" s="121">
        <v>45909</v>
      </c>
      <c r="F57" s="14"/>
      <c r="G57" s="14">
        <v>59</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c r="LF57"/>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c r="A58" s="33"/>
      <c r="B58" s="47" t="s">
        <v>191</v>
      </c>
      <c r="C58" s="42" t="s">
        <v>85</v>
      </c>
      <c r="D58" s="121">
        <v>45852</v>
      </c>
      <c r="E58" s="121">
        <v>45907</v>
      </c>
      <c r="F58" s="14"/>
      <c r="G58" s="14">
        <v>59</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c r="A59" s="33"/>
      <c r="B59" s="47" t="s">
        <v>191</v>
      </c>
      <c r="C59" s="42" t="s">
        <v>195</v>
      </c>
      <c r="D59" s="121">
        <v>45904</v>
      </c>
      <c r="E59" s="121">
        <f t="shared" si="318"/>
        <v>45988</v>
      </c>
      <c r="F59" s="14"/>
      <c r="G59" s="14">
        <v>84</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c r="A60" s="33"/>
      <c r="B60" s="47" t="s">
        <v>193</v>
      </c>
      <c r="C60" s="42" t="s">
        <v>35</v>
      </c>
      <c r="D60" s="121">
        <v>45970</v>
      </c>
      <c r="E60" s="121">
        <f t="shared" si="318"/>
        <v>46050</v>
      </c>
      <c r="F60" s="14"/>
      <c r="G60" s="14">
        <v>80</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c r="A61" s="33"/>
      <c r="B61" s="47" t="s">
        <v>196</v>
      </c>
      <c r="C61" s="42" t="s">
        <v>123</v>
      </c>
      <c r="D61" s="121">
        <v>45987</v>
      </c>
      <c r="E61" s="121">
        <f>D61+G61</f>
        <v>46045</v>
      </c>
      <c r="F61" s="14"/>
      <c r="G61" s="14">
        <v>58</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c r="A62" s="33"/>
      <c r="B62" s="47" t="s">
        <v>191</v>
      </c>
      <c r="C62" s="42" t="s">
        <v>192</v>
      </c>
      <c r="D62" s="121">
        <v>46030</v>
      </c>
      <c r="E62" s="121">
        <f>D62+G62</f>
        <v>46086</v>
      </c>
      <c r="F62" s="14"/>
      <c r="G62" s="14">
        <v>56</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c r="A63" s="33"/>
      <c r="B63" s="47" t="s">
        <v>193</v>
      </c>
      <c r="C63" s="42" t="s">
        <v>42</v>
      </c>
      <c r="D63" s="121">
        <v>46047</v>
      </c>
      <c r="E63" s="121">
        <f>D63+G63</f>
        <v>46103</v>
      </c>
      <c r="F63" s="14"/>
      <c r="G63" s="14">
        <v>56</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c r="A64" s="33"/>
      <c r="B64" s="47" t="s">
        <v>191</v>
      </c>
      <c r="C64" s="42" t="s">
        <v>195</v>
      </c>
      <c r="D64" s="121">
        <v>46083</v>
      </c>
      <c r="E64" s="121">
        <f>D64+G64</f>
        <v>46139</v>
      </c>
      <c r="F64" s="14"/>
      <c r="G64" s="14">
        <v>56</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c r="A65" s="33" t="s">
        <v>197</v>
      </c>
      <c r="B65" s="181" t="s">
        <v>198</v>
      </c>
      <c r="C65" s="181"/>
      <c r="D65" s="181"/>
      <c r="E65" s="181"/>
      <c r="F65" s="14"/>
      <c r="G65" s="14" t="str">
        <f t="shared" ca="1" si="311"/>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c r="A66" s="33"/>
      <c r="B66" s="85" t="s">
        <v>191</v>
      </c>
      <c r="C66" s="144" t="s">
        <v>195</v>
      </c>
      <c r="D66" s="122">
        <v>45774</v>
      </c>
      <c r="E66" s="122">
        <f>D66+G66</f>
        <v>45819</v>
      </c>
      <c r="F66" s="14"/>
      <c r="G66" s="14">
        <v>45</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c r="A67" s="33" t="s">
        <v>197</v>
      </c>
      <c r="B67" s="182" t="s">
        <v>199</v>
      </c>
      <c r="C67" s="182"/>
      <c r="D67" s="182"/>
      <c r="E67" s="182"/>
      <c r="F67" s="14"/>
      <c r="G67" s="14" t="str">
        <f t="shared" ca="1" si="311"/>
        <v/>
      </c>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c r="A68" s="33"/>
      <c r="B68" s="48" t="s">
        <v>200</v>
      </c>
      <c r="C68" s="44" t="s">
        <v>201</v>
      </c>
      <c r="D68" s="123">
        <v>45635</v>
      </c>
      <c r="E68" s="123">
        <v>45681</v>
      </c>
      <c r="F68" s="14"/>
      <c r="G68" s="14">
        <v>7</v>
      </c>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c r="A69" s="33"/>
      <c r="B69" s="83" t="s">
        <v>200</v>
      </c>
      <c r="C69" s="145" t="s">
        <v>202</v>
      </c>
      <c r="D69" s="124">
        <v>45698</v>
      </c>
      <c r="E69" s="124">
        <v>45757</v>
      </c>
      <c r="F69" s="14"/>
      <c r="G69" s="14">
        <v>7</v>
      </c>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c r="A70" s="33" t="s">
        <v>197</v>
      </c>
      <c r="B70" s="183" t="s">
        <v>203</v>
      </c>
      <c r="C70" s="183"/>
      <c r="D70" s="183"/>
      <c r="E70" s="183"/>
      <c r="F70" s="14"/>
      <c r="G70" s="14" t="str">
        <f t="shared" ca="1" si="311"/>
        <v/>
      </c>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c r="A71" s="33"/>
      <c r="B71" s="86" t="s">
        <v>204</v>
      </c>
      <c r="C71" s="146" t="s">
        <v>205</v>
      </c>
      <c r="D71" s="125">
        <v>45866</v>
      </c>
      <c r="E71" s="125">
        <v>45891</v>
      </c>
      <c r="F71" s="14"/>
      <c r="G71" s="14">
        <f>E71-D71</f>
        <v>25</v>
      </c>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c r="A72" s="33"/>
      <c r="B72" s="86" t="s">
        <v>204</v>
      </c>
      <c r="C72" s="146" t="s">
        <v>206</v>
      </c>
      <c r="D72" s="125">
        <v>45922</v>
      </c>
      <c r="E72" s="125">
        <v>45975</v>
      </c>
      <c r="F72" s="14"/>
      <c r="G72" s="14">
        <f t="shared" ref="G72:G74" si="319">E72-D72</f>
        <v>53</v>
      </c>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c r="A73" s="33"/>
      <c r="B73" s="86" t="s">
        <v>204</v>
      </c>
      <c r="C73" s="153" t="s">
        <v>207</v>
      </c>
      <c r="D73" s="128">
        <v>46034</v>
      </c>
      <c r="E73" s="128">
        <f>D73+53</f>
        <v>46087</v>
      </c>
      <c r="F73" s="14"/>
      <c r="G73" s="14">
        <f t="shared" si="319"/>
        <v>53</v>
      </c>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c r="A74" s="33"/>
      <c r="B74" s="86" t="s">
        <v>208</v>
      </c>
      <c r="C74" s="146" t="s">
        <v>209</v>
      </c>
      <c r="D74" s="125">
        <f>E73+3</f>
        <v>46090</v>
      </c>
      <c r="E74" s="125">
        <f>D74+53</f>
        <v>46143</v>
      </c>
      <c r="F74" s="14"/>
      <c r="G74" s="14">
        <f t="shared" si="319"/>
        <v>53</v>
      </c>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c r="A75" s="33"/>
      <c r="B75" s="49" t="s">
        <v>210</v>
      </c>
      <c r="C75" s="146" t="s">
        <v>211</v>
      </c>
      <c r="D75" s="125">
        <f>E74+3</f>
        <v>46146</v>
      </c>
      <c r="E75" s="125">
        <f>D75+53</f>
        <v>46199</v>
      </c>
      <c r="F75" s="14"/>
      <c r="G75" s="14">
        <f>E75-D75</f>
        <v>53</v>
      </c>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thickBot="1">
      <c r="A76" s="33"/>
      <c r="B76" s="184" t="s">
        <v>212</v>
      </c>
      <c r="C76" s="184"/>
      <c r="D76" s="184"/>
      <c r="E76" s="184"/>
      <c r="F76" s="14"/>
      <c r="G76" s="14"/>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c r="A77" s="34" t="s">
        <v>188</v>
      </c>
      <c r="B77" s="179" t="s">
        <v>213</v>
      </c>
      <c r="C77" s="179"/>
      <c r="D77" s="179"/>
      <c r="E77" s="179"/>
      <c r="F77" s="14"/>
      <c r="G77" s="14" t="str">
        <f t="shared" ca="1" si="311"/>
        <v/>
      </c>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c r="A78" s="33"/>
      <c r="B78" s="47" t="s">
        <v>214</v>
      </c>
      <c r="C78" s="42" t="s">
        <v>117</v>
      </c>
      <c r="D78" s="121">
        <v>45820</v>
      </c>
      <c r="E78" s="121">
        <f>D78+G78-1</f>
        <v>45873</v>
      </c>
      <c r="F78" s="14"/>
      <c r="G78" s="14">
        <v>54</v>
      </c>
      <c r="H78" s="29"/>
      <c r="I78" s="29"/>
      <c r="J78" s="29"/>
      <c r="K78" s="29"/>
      <c r="L78" s="29"/>
      <c r="M78" s="29"/>
      <c r="N78" s="29"/>
      <c r="O78" s="29"/>
      <c r="P78" s="29"/>
      <c r="Q78" s="29"/>
      <c r="R78" s="29"/>
      <c r="S78" s="29"/>
      <c r="T78" s="29"/>
      <c r="U78" s="30"/>
      <c r="V78" s="30"/>
      <c r="W78" s="29"/>
      <c r="X78" s="29"/>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c r="A79" s="33"/>
      <c r="B79" s="47" t="s">
        <v>215</v>
      </c>
      <c r="C79" s="42" t="s">
        <v>82</v>
      </c>
      <c r="D79" s="121">
        <v>45855</v>
      </c>
      <c r="E79" s="121">
        <f>D79+G79</f>
        <v>45911</v>
      </c>
      <c r="F79" s="14"/>
      <c r="G79" s="14">
        <v>56</v>
      </c>
      <c r="H79" s="14">
        <v>54</v>
      </c>
      <c r="I79" s="14"/>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c r="A80" s="33"/>
      <c r="B80" s="47" t="s">
        <v>214</v>
      </c>
      <c r="C80" s="42" t="s">
        <v>42</v>
      </c>
      <c r="D80" s="121">
        <v>45876</v>
      </c>
      <c r="E80" s="121">
        <v>45925</v>
      </c>
      <c r="F80" s="14"/>
      <c r="G80" s="14">
        <f>E80-D80</f>
        <v>49</v>
      </c>
      <c r="H80" s="14">
        <v>54</v>
      </c>
      <c r="I80" s="14"/>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c r="A81" s="33"/>
      <c r="B81" s="47" t="s">
        <v>215</v>
      </c>
      <c r="C81" s="42" t="s">
        <v>132</v>
      </c>
      <c r="D81" s="121">
        <f>E79</f>
        <v>45911</v>
      </c>
      <c r="E81" s="121">
        <f t="shared" ref="E81:E82" si="320">D81+G81</f>
        <v>45967</v>
      </c>
      <c r="F81" s="14"/>
      <c r="G81" s="14">
        <v>56</v>
      </c>
      <c r="H81" s="14">
        <v>54</v>
      </c>
      <c r="I81" s="14"/>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c r="A82" s="33"/>
      <c r="B82" s="47" t="s">
        <v>214</v>
      </c>
      <c r="C82" s="42" t="s">
        <v>39</v>
      </c>
      <c r="D82" s="121">
        <v>45932</v>
      </c>
      <c r="E82" s="121">
        <f t="shared" si="320"/>
        <v>45988</v>
      </c>
      <c r="F82" s="14"/>
      <c r="G82" s="14">
        <v>56</v>
      </c>
      <c r="H82" s="14">
        <v>54</v>
      </c>
      <c r="I82" s="14"/>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c r="A83" s="33"/>
      <c r="B83" s="47" t="s">
        <v>215</v>
      </c>
      <c r="C83" s="42" t="s">
        <v>61</v>
      </c>
      <c r="D83" s="121">
        <v>45974</v>
      </c>
      <c r="E83" s="121">
        <f t="shared" ref="E83:E100" si="321">D83+G83-1</f>
        <v>46029</v>
      </c>
      <c r="F83" s="14"/>
      <c r="G83" s="14">
        <v>56</v>
      </c>
      <c r="H83" s="14">
        <v>54</v>
      </c>
      <c r="I83" s="14"/>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c r="A84" s="33"/>
      <c r="B84" s="47" t="s">
        <v>214</v>
      </c>
      <c r="C84" s="42" t="s">
        <v>194</v>
      </c>
      <c r="D84" s="121">
        <v>45996</v>
      </c>
      <c r="E84" s="121">
        <f>D84+G84-1</f>
        <v>46051</v>
      </c>
      <c r="F84" s="14"/>
      <c r="G84" s="14">
        <v>56</v>
      </c>
      <c r="H84" s="14">
        <v>54</v>
      </c>
      <c r="I84" s="14"/>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c r="A85" s="33"/>
      <c r="B85" s="154" t="s">
        <v>216</v>
      </c>
      <c r="C85" s="155" t="s">
        <v>120</v>
      </c>
      <c r="D85" s="156">
        <v>45988</v>
      </c>
      <c r="E85" s="156">
        <f t="shared" si="321"/>
        <v>46043</v>
      </c>
      <c r="F85" s="14"/>
      <c r="G85" s="14">
        <v>56</v>
      </c>
      <c r="H85" s="14"/>
      <c r="I85" s="14"/>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c r="A86" s="33"/>
      <c r="B86" s="47" t="s">
        <v>215</v>
      </c>
      <c r="C86" s="42" t="s">
        <v>82</v>
      </c>
      <c r="D86" s="121">
        <f t="shared" ref="D86:D100" si="322">E83+1</f>
        <v>46030</v>
      </c>
      <c r="E86" s="121">
        <f t="shared" si="321"/>
        <v>46085</v>
      </c>
      <c r="F86" s="14"/>
      <c r="G86" s="14">
        <v>56</v>
      </c>
      <c r="H86" s="14">
        <v>54</v>
      </c>
      <c r="I86" s="14"/>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c r="A87" s="33"/>
      <c r="B87" s="47" t="s">
        <v>214</v>
      </c>
      <c r="C87" s="42"/>
      <c r="D87" s="121">
        <f t="shared" si="322"/>
        <v>46052</v>
      </c>
      <c r="E87" s="121">
        <f t="shared" si="321"/>
        <v>46107</v>
      </c>
      <c r="F87" s="14"/>
      <c r="G87" s="14">
        <v>56</v>
      </c>
      <c r="H87" s="14">
        <v>54</v>
      </c>
      <c r="I87" s="14"/>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c r="A88" s="33"/>
      <c r="B88" s="154" t="s">
        <v>216</v>
      </c>
      <c r="C88" s="155" t="s">
        <v>111</v>
      </c>
      <c r="D88" s="156">
        <f>E85+8</f>
        <v>46051</v>
      </c>
      <c r="E88" s="156">
        <f t="shared" si="321"/>
        <v>46106</v>
      </c>
      <c r="F88" s="14"/>
      <c r="G88" s="14">
        <v>56</v>
      </c>
      <c r="H88" s="14"/>
      <c r="I88" s="14"/>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c r="A89" s="33"/>
      <c r="B89" s="47" t="s">
        <v>215</v>
      </c>
      <c r="C89" s="42" t="s">
        <v>85</v>
      </c>
      <c r="D89" s="121">
        <f t="shared" si="322"/>
        <v>46086</v>
      </c>
      <c r="E89" s="121">
        <f t="shared" si="321"/>
        <v>46141</v>
      </c>
      <c r="F89" s="14"/>
      <c r="G89" s="14">
        <v>56</v>
      </c>
      <c r="H89" s="14">
        <v>54</v>
      </c>
      <c r="I89" s="14"/>
      <c r="J89" s="29"/>
      <c r="K89" s="29"/>
      <c r="L89" s="29"/>
      <c r="M89" s="29"/>
      <c r="N89" s="29"/>
      <c r="O89" s="29"/>
      <c r="P89" s="29"/>
      <c r="Q89" s="29"/>
      <c r="R89" s="29"/>
      <c r="S89" s="29"/>
      <c r="T89" s="29"/>
      <c r="U89" s="29"/>
      <c r="V89" s="29"/>
      <c r="W89" s="29"/>
      <c r="X89" s="29"/>
      <c r="Y89" s="30"/>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outlineLevel="1" thickBot="1">
      <c r="A90" s="33"/>
      <c r="B90" s="47" t="s">
        <v>214</v>
      </c>
      <c r="C90" s="42"/>
      <c r="D90" s="121">
        <f t="shared" si="322"/>
        <v>46108</v>
      </c>
      <c r="E90" s="121">
        <f t="shared" si="321"/>
        <v>46163</v>
      </c>
      <c r="F90" s="14"/>
      <c r="G90" s="14">
        <v>56</v>
      </c>
      <c r="H90" s="14"/>
      <c r="I90" s="14"/>
      <c r="J90" s="29"/>
      <c r="K90" s="29"/>
      <c r="L90" s="29"/>
      <c r="M90" s="29"/>
      <c r="N90" s="29"/>
      <c r="O90" s="29"/>
      <c r="P90" s="29"/>
      <c r="Q90" s="29"/>
      <c r="R90" s="29"/>
      <c r="S90" s="29"/>
      <c r="T90" s="29"/>
      <c r="U90" s="29"/>
      <c r="V90" s="29"/>
      <c r="W90" s="29"/>
      <c r="X90" s="29"/>
      <c r="Y90" s="30"/>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29.25" customHeight="1" outlineLevel="1" thickBot="1">
      <c r="A91" s="33"/>
      <c r="B91" s="154" t="s">
        <v>216</v>
      </c>
      <c r="C91" s="155"/>
      <c r="D91" s="156">
        <f t="shared" si="322"/>
        <v>46107</v>
      </c>
      <c r="E91" s="156">
        <f t="shared" si="321"/>
        <v>46162</v>
      </c>
      <c r="F91" s="14"/>
      <c r="G91" s="14">
        <v>56</v>
      </c>
      <c r="H91" s="14"/>
      <c r="I91" s="14"/>
      <c r="J91" s="29"/>
      <c r="K91" s="29"/>
      <c r="L91" s="29"/>
      <c r="M91" s="29"/>
      <c r="N91" s="29"/>
      <c r="O91" s="29"/>
      <c r="P91" s="29"/>
      <c r="Q91" s="29"/>
      <c r="R91" s="29"/>
      <c r="S91" s="29"/>
      <c r="T91" s="29"/>
      <c r="U91" s="29"/>
      <c r="V91" s="29"/>
      <c r="W91" s="29"/>
      <c r="X91" s="29"/>
      <c r="Y91" s="30"/>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customHeight="1" outlineLevel="1" thickBot="1">
      <c r="A92" s="33"/>
      <c r="B92" s="47" t="s">
        <v>215</v>
      </c>
      <c r="C92" s="42" t="s">
        <v>82</v>
      </c>
      <c r="D92" s="121">
        <f t="shared" si="322"/>
        <v>46142</v>
      </c>
      <c r="E92" s="121">
        <f t="shared" si="321"/>
        <v>46197</v>
      </c>
      <c r="F92" s="14"/>
      <c r="G92" s="14">
        <v>56</v>
      </c>
      <c r="H92" s="14"/>
      <c r="I92" s="14"/>
      <c r="J92" s="29"/>
      <c r="K92" s="29"/>
      <c r="L92" s="29"/>
      <c r="M92" s="29"/>
      <c r="N92" s="29"/>
      <c r="O92" s="29"/>
      <c r="P92" s="29"/>
      <c r="Q92" s="29"/>
      <c r="R92" s="29"/>
      <c r="S92" s="29"/>
      <c r="T92" s="29"/>
      <c r="U92" s="29"/>
      <c r="V92" s="29"/>
      <c r="W92" s="29"/>
      <c r="X92" s="29"/>
      <c r="Y92" s="30"/>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customHeight="1" outlineLevel="1" thickBot="1">
      <c r="A93" s="33"/>
      <c r="B93" s="47" t="s">
        <v>214</v>
      </c>
      <c r="C93" s="42"/>
      <c r="D93" s="121">
        <f t="shared" si="322"/>
        <v>46164</v>
      </c>
      <c r="E93" s="121">
        <f t="shared" si="321"/>
        <v>46219</v>
      </c>
      <c r="F93" s="14"/>
      <c r="G93" s="14">
        <v>56</v>
      </c>
      <c r="H93" s="14"/>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customHeight="1" outlineLevel="1" thickBot="1">
      <c r="A94" s="33"/>
      <c r="B94" s="154" t="s">
        <v>216</v>
      </c>
      <c r="C94" s="155"/>
      <c r="D94" s="156">
        <f t="shared" si="322"/>
        <v>46163</v>
      </c>
      <c r="E94" s="156">
        <f t="shared" si="321"/>
        <v>46218</v>
      </c>
      <c r="F94" s="14"/>
      <c r="G94" s="14">
        <v>56</v>
      </c>
      <c r="H94" s="14"/>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customHeight="1" outlineLevel="1" thickBot="1">
      <c r="A95" s="33"/>
      <c r="B95" s="47" t="s">
        <v>215</v>
      </c>
      <c r="C95" s="42" t="s">
        <v>85</v>
      </c>
      <c r="D95" s="121">
        <f t="shared" si="322"/>
        <v>46198</v>
      </c>
      <c r="E95" s="121">
        <f t="shared" si="321"/>
        <v>46253</v>
      </c>
      <c r="F95" s="14"/>
      <c r="G95" s="14">
        <v>56</v>
      </c>
      <c r="H95" s="14"/>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customHeight="1" outlineLevel="1" thickBot="1">
      <c r="A96" s="33" t="s">
        <v>217</v>
      </c>
      <c r="B96" s="47" t="s">
        <v>214</v>
      </c>
      <c r="C96" s="42"/>
      <c r="D96" s="121">
        <f t="shared" si="322"/>
        <v>46220</v>
      </c>
      <c r="E96" s="121">
        <f t="shared" si="321"/>
        <v>46275</v>
      </c>
      <c r="F96" s="14"/>
      <c r="G96" s="14">
        <v>56</v>
      </c>
      <c r="H96" s="14"/>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c r="A97" s="33"/>
      <c r="B97" s="154" t="s">
        <v>216</v>
      </c>
      <c r="C97" s="155"/>
      <c r="D97" s="156">
        <f t="shared" si="322"/>
        <v>46219</v>
      </c>
      <c r="E97" s="156">
        <f t="shared" si="321"/>
        <v>46274</v>
      </c>
      <c r="F97" s="14"/>
      <c r="G97" s="14">
        <v>56</v>
      </c>
      <c r="H97" s="14"/>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c r="A98" s="33"/>
      <c r="B98" s="47" t="s">
        <v>215</v>
      </c>
      <c r="C98" s="42" t="s">
        <v>82</v>
      </c>
      <c r="D98" s="121">
        <f t="shared" si="322"/>
        <v>46254</v>
      </c>
      <c r="E98" s="121">
        <f t="shared" si="321"/>
        <v>46309</v>
      </c>
      <c r="F98" s="14"/>
      <c r="G98" s="14">
        <v>56</v>
      </c>
      <c r="H98" s="14"/>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c r="A99" s="33"/>
      <c r="B99" s="47" t="s">
        <v>214</v>
      </c>
      <c r="C99" s="42"/>
      <c r="D99" s="121">
        <f t="shared" si="322"/>
        <v>46276</v>
      </c>
      <c r="E99" s="121">
        <f t="shared" si="321"/>
        <v>46331</v>
      </c>
      <c r="F99" s="14"/>
      <c r="G99" s="14">
        <v>56</v>
      </c>
      <c r="H99" s="14"/>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c r="A100" s="33"/>
      <c r="B100" s="154" t="s">
        <v>216</v>
      </c>
      <c r="C100" s="155"/>
      <c r="D100" s="156">
        <f t="shared" si="322"/>
        <v>46275</v>
      </c>
      <c r="E100" s="156">
        <f t="shared" si="321"/>
        <v>46330</v>
      </c>
      <c r="F100" s="14"/>
      <c r="G100" s="14">
        <v>56</v>
      </c>
      <c r="H100" s="14"/>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c r="A101" s="33"/>
      <c r="B101" s="47"/>
      <c r="C101" s="42"/>
      <c r="D101" s="121"/>
      <c r="E101" s="121"/>
      <c r="F101" s="14"/>
      <c r="G101" s="14"/>
      <c r="H101" s="14"/>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c r="A102" s="33"/>
      <c r="B102" s="47"/>
      <c r="C102" s="42"/>
      <c r="D102" s="121"/>
      <c r="E102" s="121"/>
      <c r="F102" s="14"/>
      <c r="G102" s="14"/>
      <c r="H102" s="14"/>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c r="A103" s="33"/>
      <c r="B103" s="47"/>
      <c r="C103" s="42"/>
      <c r="D103" s="121"/>
      <c r="E103" s="121"/>
      <c r="F103" s="14"/>
      <c r="G103" s="14"/>
      <c r="H103" s="14"/>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c r="A104" s="33"/>
      <c r="B104" s="47"/>
      <c r="C104" s="42"/>
      <c r="D104" s="121"/>
      <c r="E104" s="121"/>
      <c r="F104" s="14"/>
      <c r="G104" s="14"/>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c r="A105" s="33"/>
      <c r="B105" s="47"/>
      <c r="C105" s="42"/>
      <c r="D105" s="121"/>
      <c r="E105" s="121"/>
      <c r="F105" s="14"/>
      <c r="G105" s="14"/>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c r="A106" s="33"/>
      <c r="B106" s="47"/>
      <c r="C106" s="42"/>
      <c r="D106" s="121"/>
      <c r="E106" s="121"/>
      <c r="F106" s="14"/>
      <c r="G106" s="14"/>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c r="A107" s="33"/>
      <c r="B107" s="47"/>
      <c r="C107" s="42"/>
      <c r="D107" s="121"/>
      <c r="E107" s="121"/>
      <c r="F107" s="14"/>
      <c r="G107" s="14"/>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c r="A108" s="33"/>
      <c r="B108" s="47"/>
      <c r="C108" s="42"/>
      <c r="D108" s="121"/>
      <c r="E108" s="121"/>
      <c r="F108" s="14"/>
      <c r="G108" s="14"/>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c r="A109" s="33"/>
      <c r="B109" s="24" t="s">
        <v>218</v>
      </c>
      <c r="C109" s="147"/>
      <c r="D109" s="126"/>
      <c r="E109" s="127"/>
      <c r="F109" s="14"/>
      <c r="G109" s="14"/>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c r="A110" s="33"/>
      <c r="B110" s="86" t="s">
        <v>219</v>
      </c>
      <c r="C110" s="106" t="s">
        <v>88</v>
      </c>
      <c r="D110" s="128">
        <v>45754</v>
      </c>
      <c r="E110" s="128">
        <f>D110+G110</f>
        <v>45758</v>
      </c>
      <c r="F110" s="14"/>
      <c r="G110" s="14">
        <v>4</v>
      </c>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c r="A111" s="33"/>
      <c r="B111" s="86" t="s">
        <v>220</v>
      </c>
      <c r="C111" s="106" t="s">
        <v>194</v>
      </c>
      <c r="D111" s="128">
        <v>45782</v>
      </c>
      <c r="E111" s="128">
        <f>D111+G111-1</f>
        <v>45793</v>
      </c>
      <c r="F111" s="14"/>
      <c r="G111" s="14">
        <v>12</v>
      </c>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c r="A112" s="33"/>
      <c r="B112" s="86" t="s">
        <v>221</v>
      </c>
      <c r="C112" s="106" t="s">
        <v>85</v>
      </c>
      <c r="D112" s="128">
        <f>D111+35</f>
        <v>45817</v>
      </c>
      <c r="E112" s="128">
        <f t="shared" ref="E112:E121" si="323">D112+G112-1</f>
        <v>45828</v>
      </c>
      <c r="F112" s="14"/>
      <c r="G112" s="14">
        <v>12</v>
      </c>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c r="A113" s="33"/>
      <c r="B113" s="86" t="s">
        <v>220</v>
      </c>
      <c r="C113" s="106" t="s">
        <v>35</v>
      </c>
      <c r="D113" s="128">
        <f t="shared" ref="D113" si="324">D112+35</f>
        <v>45852</v>
      </c>
      <c r="E113" s="128">
        <f t="shared" si="323"/>
        <v>45863</v>
      </c>
      <c r="F113" s="14"/>
      <c r="G113" s="14">
        <v>12</v>
      </c>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c r="A114" s="33"/>
      <c r="B114" s="86" t="s">
        <v>220</v>
      </c>
      <c r="C114" s="106" t="s">
        <v>157</v>
      </c>
      <c r="D114" s="128">
        <v>45852</v>
      </c>
      <c r="E114" s="128">
        <f t="shared" si="323"/>
        <v>45856</v>
      </c>
      <c r="F114" s="14"/>
      <c r="G114" s="14">
        <v>5</v>
      </c>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c r="A115" s="33"/>
      <c r="B115" s="86" t="s">
        <v>220</v>
      </c>
      <c r="C115" s="106" t="s">
        <v>160</v>
      </c>
      <c r="D115" s="128">
        <v>45859</v>
      </c>
      <c r="E115" s="128">
        <f t="shared" si="323"/>
        <v>45863</v>
      </c>
      <c r="F115" s="14"/>
      <c r="G115" s="14">
        <v>5</v>
      </c>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c r="A116" s="33"/>
      <c r="B116" s="86" t="s">
        <v>221</v>
      </c>
      <c r="C116" s="106" t="s">
        <v>79</v>
      </c>
      <c r="D116" s="128">
        <v>45894</v>
      </c>
      <c r="E116" s="128">
        <f t="shared" si="323"/>
        <v>45905</v>
      </c>
      <c r="F116" s="14"/>
      <c r="G116" s="14">
        <v>12</v>
      </c>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c r="A117" s="33"/>
      <c r="B117" s="86" t="s">
        <v>221</v>
      </c>
      <c r="C117" s="106" t="s">
        <v>142</v>
      </c>
      <c r="D117" s="128">
        <v>45901</v>
      </c>
      <c r="E117" s="128">
        <f t="shared" si="323"/>
        <v>45905</v>
      </c>
      <c r="F117" s="14"/>
      <c r="G117" s="14">
        <v>5</v>
      </c>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c r="A118" s="33"/>
      <c r="B118" s="86" t="s">
        <v>222</v>
      </c>
      <c r="C118" s="106" t="s">
        <v>21</v>
      </c>
      <c r="D118" s="128">
        <v>45894</v>
      </c>
      <c r="E118" s="128">
        <f t="shared" si="323"/>
        <v>45898</v>
      </c>
      <c r="F118" s="14"/>
      <c r="G118" s="14">
        <v>5</v>
      </c>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c r="A119" s="33"/>
      <c r="B119" s="86" t="s">
        <v>221</v>
      </c>
      <c r="C119" s="106" t="s">
        <v>100</v>
      </c>
      <c r="D119" s="128">
        <v>45929</v>
      </c>
      <c r="E119" s="128">
        <f t="shared" si="323"/>
        <v>45940</v>
      </c>
      <c r="F119" s="14"/>
      <c r="G119" s="14">
        <v>12</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c r="A120" s="33"/>
      <c r="B120" s="86" t="s">
        <v>222</v>
      </c>
      <c r="C120" s="106" t="s">
        <v>26</v>
      </c>
      <c r="D120" s="128">
        <v>45929</v>
      </c>
      <c r="E120" s="128">
        <f t="shared" si="323"/>
        <v>45933</v>
      </c>
      <c r="F120" s="14"/>
      <c r="G120" s="14">
        <v>5</v>
      </c>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c r="A121" s="33"/>
      <c r="B121" s="86" t="s">
        <v>220</v>
      </c>
      <c r="C121" s="106" t="s">
        <v>154</v>
      </c>
      <c r="D121" s="128">
        <v>45936</v>
      </c>
      <c r="E121" s="128">
        <f t="shared" si="323"/>
        <v>45940</v>
      </c>
      <c r="F121" s="14"/>
      <c r="G121" s="14">
        <v>5</v>
      </c>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c r="A122" s="33"/>
      <c r="B122" s="157" t="s">
        <v>220</v>
      </c>
      <c r="C122" s="158"/>
      <c r="D122" s="159">
        <v>45964</v>
      </c>
      <c r="E122" s="159">
        <f t="shared" ref="E122:E126" si="325">D122+G122-1</f>
        <v>45975</v>
      </c>
      <c r="F122" s="160"/>
      <c r="G122" s="160">
        <v>12</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c r="A123" s="33"/>
      <c r="B123" s="157" t="s">
        <v>222</v>
      </c>
      <c r="C123" s="158"/>
      <c r="D123" s="159">
        <v>45964</v>
      </c>
      <c r="E123" s="159">
        <f t="shared" si="325"/>
        <v>45975</v>
      </c>
      <c r="F123" s="160"/>
      <c r="G123" s="160">
        <v>12</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c r="A124" s="33"/>
      <c r="B124" s="157" t="s">
        <v>221</v>
      </c>
      <c r="C124" s="158"/>
      <c r="D124" s="159">
        <v>45957</v>
      </c>
      <c r="E124" s="159">
        <f t="shared" si="325"/>
        <v>45961</v>
      </c>
      <c r="F124" s="160"/>
      <c r="G124" s="160">
        <v>5</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c r="A125" s="33"/>
      <c r="B125" s="157" t="s">
        <v>220</v>
      </c>
      <c r="C125" s="158"/>
      <c r="D125" s="159">
        <v>45964</v>
      </c>
      <c r="E125" s="159">
        <f t="shared" si="325"/>
        <v>45968</v>
      </c>
      <c r="F125" s="160"/>
      <c r="G125" s="160">
        <v>5</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c r="A126" s="33"/>
      <c r="B126" s="157" t="s">
        <v>220</v>
      </c>
      <c r="C126" s="158"/>
      <c r="D126" s="159">
        <v>45971</v>
      </c>
      <c r="E126" s="159">
        <f t="shared" si="325"/>
        <v>45975</v>
      </c>
      <c r="F126" s="160"/>
      <c r="G126" s="160">
        <v>5</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c r="A127" s="33"/>
      <c r="B127" s="86"/>
      <c r="C127" s="106"/>
      <c r="D127" s="128"/>
      <c r="E127" s="128"/>
      <c r="F127" s="14"/>
      <c r="G127" s="14"/>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c r="A128" s="33"/>
      <c r="B128" s="86"/>
      <c r="C128" s="106"/>
      <c r="D128" s="128"/>
      <c r="E128" s="128"/>
      <c r="F128" s="14"/>
      <c r="G128" s="14"/>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c r="A129" s="33" t="s">
        <v>197</v>
      </c>
      <c r="B129" s="84" t="s">
        <v>223</v>
      </c>
      <c r="C129" s="148"/>
      <c r="D129" s="129"/>
      <c r="E129" s="130"/>
      <c r="F129" s="14"/>
      <c r="G129" s="14" t="str">
        <f t="shared" ca="1" si="311"/>
        <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c r="A130" s="33"/>
      <c r="B130" s="85" t="s">
        <v>204</v>
      </c>
      <c r="C130" s="149" t="s">
        <v>224</v>
      </c>
      <c r="D130" s="122">
        <v>45769</v>
      </c>
      <c r="E130" s="122">
        <v>45856</v>
      </c>
      <c r="F130" s="14"/>
      <c r="G130" s="14">
        <v>87</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c r="A131" s="33"/>
      <c r="B131" s="87" t="s">
        <v>210</v>
      </c>
      <c r="C131" s="149" t="s">
        <v>225</v>
      </c>
      <c r="D131" s="122">
        <v>45838</v>
      </c>
      <c r="E131" s="122">
        <v>45884</v>
      </c>
      <c r="F131" s="14"/>
      <c r="G131" s="14">
        <v>46</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customHeight="1" outlineLevel="1" thickBot="1">
      <c r="A132" s="33"/>
      <c r="B132" s="89" t="s">
        <v>226</v>
      </c>
      <c r="C132" s="150"/>
      <c r="D132" s="131"/>
      <c r="E132" s="131"/>
      <c r="F132" s="14"/>
      <c r="G132" s="14"/>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customHeight="1" outlineLevel="1" thickBot="1">
      <c r="A133" s="33"/>
      <c r="B133" s="176" t="s">
        <v>204</v>
      </c>
      <c r="C133" s="177" t="s">
        <v>227</v>
      </c>
      <c r="D133" s="178">
        <v>45971</v>
      </c>
      <c r="E133" s="178">
        <v>45996</v>
      </c>
      <c r="F133" s="14"/>
      <c r="G133" s="14">
        <f>E133-D133</f>
        <v>25</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customHeight="1" outlineLevel="1" thickBot="1">
      <c r="A134" s="33"/>
      <c r="B134" s="88" t="s">
        <v>210</v>
      </c>
      <c r="C134" s="41" t="s">
        <v>202</v>
      </c>
      <c r="D134" s="132">
        <v>46041</v>
      </c>
      <c r="E134" s="132">
        <f>D134+53</f>
        <v>46094</v>
      </c>
      <c r="F134" s="14"/>
      <c r="G134" s="14">
        <f>E134-D134</f>
        <v>53</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customHeight="1" outlineLevel="1" thickBot="1">
      <c r="A135" s="33"/>
      <c r="B135" s="88" t="s">
        <v>204</v>
      </c>
      <c r="C135" s="41" t="s">
        <v>224</v>
      </c>
      <c r="D135" s="132">
        <f>E134+3</f>
        <v>46097</v>
      </c>
      <c r="E135" s="132">
        <f>D135+53</f>
        <v>46150</v>
      </c>
      <c r="F135" s="14"/>
      <c r="G135" s="14">
        <f>E135-D135</f>
        <v>53</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customHeight="1" outlineLevel="1" thickBot="1">
      <c r="A136" s="33"/>
      <c r="B136" s="88" t="s">
        <v>208</v>
      </c>
      <c r="C136" s="41" t="s">
        <v>228</v>
      </c>
      <c r="D136" s="132">
        <f>E135+3</f>
        <v>46153</v>
      </c>
      <c r="E136" s="132">
        <f>D136+53</f>
        <v>46206</v>
      </c>
      <c r="F136" s="14"/>
      <c r="G136" s="14">
        <f>E136-D136</f>
        <v>53</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customHeight="1" thickBot="1">
      <c r="A137" s="33"/>
      <c r="B137" s="184" t="s">
        <v>229</v>
      </c>
      <c r="C137" s="184"/>
      <c r="D137" s="184"/>
      <c r="E137" s="184"/>
      <c r="F137" s="14"/>
      <c r="G137" s="14"/>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customHeight="1" outlineLevel="1" thickBot="1">
      <c r="A138" s="34" t="s">
        <v>188</v>
      </c>
      <c r="B138" s="179" t="s">
        <v>230</v>
      </c>
      <c r="C138" s="179"/>
      <c r="D138" s="179"/>
      <c r="E138" s="179"/>
      <c r="F138" s="14"/>
      <c r="G138" s="14" t="str">
        <f t="shared" ca="1" si="311"/>
        <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customHeight="1" outlineLevel="1" thickBot="1">
      <c r="A139" s="33"/>
      <c r="B139" s="47" t="s">
        <v>231</v>
      </c>
      <c r="C139" s="42" t="s">
        <v>103</v>
      </c>
      <c r="D139" s="121">
        <v>45964</v>
      </c>
      <c r="E139" s="121">
        <f t="shared" ref="E139:E145" si="326">D139+G139</f>
        <v>46050</v>
      </c>
      <c r="F139" s="14"/>
      <c r="G139" s="14">
        <v>86</v>
      </c>
      <c r="H139" s="29"/>
      <c r="I139" s="29"/>
      <c r="J139" s="29"/>
      <c r="K139" s="29"/>
      <c r="L139" s="29"/>
      <c r="M139" s="29"/>
      <c r="N139" s="29"/>
      <c r="O139" s="29"/>
      <c r="P139" s="29"/>
      <c r="Q139" s="29"/>
      <c r="R139" s="29"/>
      <c r="S139" s="29"/>
      <c r="T139" s="29"/>
      <c r="U139" s="30"/>
      <c r="V139" s="30"/>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customHeight="1" outlineLevel="1" thickBot="1">
      <c r="A140" s="33"/>
      <c r="B140" s="47" t="s">
        <v>232</v>
      </c>
      <c r="C140" s="42" t="s">
        <v>117</v>
      </c>
      <c r="D140" s="121">
        <v>46029</v>
      </c>
      <c r="E140" s="121">
        <f t="shared" si="326"/>
        <v>46085</v>
      </c>
      <c r="F140" s="14"/>
      <c r="G140" s="14">
        <v>56</v>
      </c>
      <c r="H140" s="29"/>
      <c r="I140" s="29"/>
      <c r="J140" s="29"/>
      <c r="K140" s="29"/>
      <c r="L140" s="29"/>
      <c r="M140" s="29"/>
      <c r="N140" s="29"/>
      <c r="O140" s="29"/>
      <c r="P140" s="29"/>
      <c r="Q140" s="29"/>
      <c r="R140" s="29"/>
      <c r="S140" s="29"/>
      <c r="T140" s="29"/>
      <c r="U140" s="29"/>
      <c r="V140" s="29"/>
      <c r="W140" s="29"/>
      <c r="X140" s="29"/>
      <c r="Y140" s="30"/>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customHeight="1" outlineLevel="1" thickBot="1">
      <c r="A141" s="33"/>
      <c r="B141" s="47" t="s">
        <v>231</v>
      </c>
      <c r="C141" s="42"/>
      <c r="D141" s="121">
        <f>E139</f>
        <v>46050</v>
      </c>
      <c r="E141" s="121">
        <f t="shared" si="326"/>
        <v>46106</v>
      </c>
      <c r="F141" s="14"/>
      <c r="G141" s="14">
        <v>56</v>
      </c>
      <c r="H141" s="29"/>
      <c r="I141" s="29"/>
      <c r="J141" s="29"/>
      <c r="K141" s="29"/>
      <c r="L141" s="29"/>
      <c r="M141" s="29"/>
      <c r="N141" s="29"/>
      <c r="O141" s="29"/>
      <c r="P141" s="29"/>
      <c r="Q141" s="29"/>
      <c r="R141" s="29"/>
      <c r="S141" s="29"/>
      <c r="T141" s="29"/>
      <c r="U141" s="29"/>
      <c r="V141" s="29"/>
      <c r="W141" s="29"/>
      <c r="X141" s="29"/>
      <c r="Y141" s="30"/>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customHeight="1" outlineLevel="1" thickBot="1">
      <c r="A142" s="33"/>
      <c r="B142" s="47" t="s">
        <v>232</v>
      </c>
      <c r="C142" s="42"/>
      <c r="D142" s="121">
        <f>E140</f>
        <v>46085</v>
      </c>
      <c r="E142" s="121">
        <f t="shared" si="326"/>
        <v>46141</v>
      </c>
      <c r="F142" s="14"/>
      <c r="G142" s="14">
        <v>56</v>
      </c>
      <c r="H142" s="29"/>
      <c r="I142" s="29"/>
      <c r="J142" s="29"/>
      <c r="K142" s="29"/>
      <c r="L142" s="29"/>
      <c r="M142" s="29"/>
      <c r="N142" s="29"/>
      <c r="O142" s="29"/>
      <c r="P142" s="29"/>
      <c r="Q142" s="29"/>
      <c r="R142" s="29"/>
      <c r="S142" s="29"/>
      <c r="T142" s="29"/>
      <c r="U142" s="29"/>
      <c r="V142" s="29"/>
      <c r="W142" s="29"/>
      <c r="X142" s="29"/>
      <c r="Y142" s="30"/>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c r="A143" s="33"/>
      <c r="B143" s="154" t="s">
        <v>216</v>
      </c>
      <c r="C143" s="155"/>
      <c r="D143" s="156">
        <v>46101</v>
      </c>
      <c r="E143" s="156">
        <f t="shared" ref="E143" si="327">D143+G143-1</f>
        <v>46156</v>
      </c>
      <c r="F143" s="14"/>
      <c r="G143" s="14">
        <v>56</v>
      </c>
      <c r="H143" s="29"/>
      <c r="I143" s="29"/>
      <c r="J143" s="29"/>
      <c r="K143" s="29"/>
      <c r="L143" s="29"/>
      <c r="M143" s="29"/>
      <c r="N143" s="29"/>
      <c r="O143" s="29"/>
      <c r="P143" s="29"/>
      <c r="Q143" s="29"/>
      <c r="R143" s="29"/>
      <c r="S143" s="29"/>
      <c r="T143" s="29"/>
      <c r="U143" s="29"/>
      <c r="V143" s="29"/>
      <c r="W143" s="29"/>
      <c r="X143" s="29"/>
      <c r="Y143" s="30"/>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c r="A144" s="33"/>
      <c r="B144" s="47" t="s">
        <v>231</v>
      </c>
      <c r="C144" s="42"/>
      <c r="D144" s="121">
        <f>E141</f>
        <v>46106</v>
      </c>
      <c r="E144" s="121">
        <f t="shared" si="326"/>
        <v>46162</v>
      </c>
      <c r="F144" s="14"/>
      <c r="G144" s="14">
        <v>56</v>
      </c>
      <c r="H144" s="29"/>
      <c r="I144" s="29"/>
      <c r="J144" s="29"/>
      <c r="K144" s="29"/>
      <c r="L144" s="29"/>
      <c r="M144" s="29"/>
      <c r="N144" s="29"/>
      <c r="O144" s="29"/>
      <c r="P144" s="29"/>
      <c r="Q144" s="29"/>
      <c r="R144" s="29"/>
      <c r="S144" s="29"/>
      <c r="T144" s="29"/>
      <c r="U144" s="29"/>
      <c r="V144" s="29"/>
      <c r="W144" s="29"/>
      <c r="X144" s="29"/>
      <c r="Y144" s="30"/>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c r="A145" s="33"/>
      <c r="B145" s="47" t="s">
        <v>232</v>
      </c>
      <c r="C145" s="42"/>
      <c r="D145" s="121">
        <f t="shared" ref="D145" si="328">D142+60</f>
        <v>46145</v>
      </c>
      <c r="E145" s="121">
        <f t="shared" si="326"/>
        <v>46201</v>
      </c>
      <c r="F145" s="14"/>
      <c r="G145" s="14">
        <v>56</v>
      </c>
      <c r="H145" s="29"/>
      <c r="I145" s="29"/>
      <c r="J145" s="29"/>
      <c r="K145" s="29"/>
      <c r="L145" s="29"/>
      <c r="M145" s="29"/>
      <c r="N145" s="29"/>
      <c r="O145" s="29"/>
      <c r="P145" s="29"/>
      <c r="Q145" s="29"/>
      <c r="R145" s="29"/>
      <c r="S145" s="29"/>
      <c r="T145" s="29"/>
      <c r="U145" s="29"/>
      <c r="V145" s="29"/>
      <c r="W145" s="29"/>
      <c r="X145" s="29"/>
      <c r="Y145" s="30"/>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c r="A146" s="33" t="s">
        <v>197</v>
      </c>
      <c r="B146" s="84" t="s">
        <v>233</v>
      </c>
      <c r="C146" s="148"/>
      <c r="D146" s="129"/>
      <c r="E146" s="130"/>
      <c r="F146" s="14"/>
      <c r="G146" s="14" t="str">
        <f t="shared" ca="1" si="311"/>
        <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c r="A147" s="33"/>
      <c r="B147" s="85" t="s">
        <v>231</v>
      </c>
      <c r="C147" s="144" t="s">
        <v>61</v>
      </c>
      <c r="D147" s="122">
        <f>E147-G147</f>
        <v>45853</v>
      </c>
      <c r="E147" s="122">
        <v>45898</v>
      </c>
      <c r="F147" s="14"/>
      <c r="G147" s="14">
        <v>45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c r="A148" s="33"/>
      <c r="B148" s="21" t="s">
        <v>234</v>
      </c>
      <c r="C148" s="151"/>
      <c r="D148" s="133"/>
      <c r="E148" s="134"/>
      <c r="F148" s="14"/>
      <c r="G148" s="14"/>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c r="A149" s="33"/>
      <c r="B149" s="83" t="s">
        <v>208</v>
      </c>
      <c r="C149" s="145" t="s">
        <v>235</v>
      </c>
      <c r="D149" s="124">
        <v>45735</v>
      </c>
      <c r="E149" s="124">
        <v>45814</v>
      </c>
      <c r="F149" s="14"/>
      <c r="G149" s="14">
        <v>79</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c r="A150" s="33"/>
      <c r="B150" s="83" t="s">
        <v>208</v>
      </c>
      <c r="C150" s="145" t="s">
        <v>228</v>
      </c>
      <c r="D150" s="124">
        <v>45817</v>
      </c>
      <c r="E150" s="124">
        <v>45870</v>
      </c>
      <c r="F150" s="14"/>
      <c r="G150" s="14">
        <v>53</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outlineLevel="1" thickBot="1">
      <c r="A151" s="33"/>
      <c r="B151" s="83" t="s">
        <v>204</v>
      </c>
      <c r="C151" s="145" t="s">
        <v>236</v>
      </c>
      <c r="D151" s="124">
        <v>45873</v>
      </c>
      <c r="E151" s="124">
        <v>45898</v>
      </c>
      <c r="F151" s="14"/>
      <c r="G151" s="14">
        <v>25</v>
      </c>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c r="A152" s="33"/>
      <c r="B152" s="83"/>
      <c r="C152" s="145"/>
      <c r="D152" s="124"/>
      <c r="E152" s="124"/>
      <c r="F152" s="14"/>
      <c r="G152" s="14">
        <v>25</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c r="A153" s="33"/>
      <c r="B153" s="107" t="s">
        <v>237</v>
      </c>
      <c r="C153" s="112"/>
      <c r="D153" s="135"/>
      <c r="E153" s="136"/>
      <c r="F153" s="108" t="s">
        <v>238</v>
      </c>
      <c r="G153" s="108" t="s">
        <v>238</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c r="A154" s="33"/>
      <c r="B154" s="109" t="s">
        <v>210</v>
      </c>
      <c r="C154" s="152" t="s">
        <v>211</v>
      </c>
      <c r="D154" s="113">
        <v>45818</v>
      </c>
      <c r="E154" s="113">
        <v>45870</v>
      </c>
      <c r="F154" s="110" t="s">
        <v>238</v>
      </c>
      <c r="G154" s="110">
        <v>52</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c r="A155" s="33"/>
      <c r="B155" s="109" t="s">
        <v>210</v>
      </c>
      <c r="C155" s="152" t="s">
        <v>202</v>
      </c>
      <c r="D155" s="113">
        <v>45873</v>
      </c>
      <c r="E155" s="113">
        <v>45929</v>
      </c>
      <c r="F155" s="110" t="s">
        <v>238</v>
      </c>
      <c r="G155" s="110">
        <v>56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c r="A156" s="33"/>
      <c r="B156" s="24" t="s">
        <v>239</v>
      </c>
      <c r="C156" s="147"/>
      <c r="D156" s="126"/>
      <c r="E156" s="127"/>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c r="A157" s="33"/>
      <c r="B157" s="86" t="s">
        <v>204</v>
      </c>
      <c r="C157" s="153" t="s">
        <v>227</v>
      </c>
      <c r="D157" s="128">
        <f>E133+3</f>
        <v>45999</v>
      </c>
      <c r="E157" s="128">
        <v>46028</v>
      </c>
      <c r="F157" s="14"/>
      <c r="G157" s="14">
        <f>E157-D157</f>
        <v>29</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c r="A158" s="33"/>
      <c r="B158" s="86" t="s">
        <v>208</v>
      </c>
      <c r="C158" s="153" t="s">
        <v>235</v>
      </c>
      <c r="D158" s="128">
        <v>45683</v>
      </c>
      <c r="E158" s="128">
        <f>D158+53</f>
        <v>45736</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c r="A159" s="33"/>
      <c r="B159" s="86" t="s">
        <v>210</v>
      </c>
      <c r="C159" s="153" t="s">
        <v>240</v>
      </c>
      <c r="D159" s="128">
        <f>E158+3</f>
        <v>45739</v>
      </c>
      <c r="E159" s="128">
        <f>D159+53</f>
        <v>45792</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c r="A160" s="33"/>
      <c r="B160" s="86" t="s">
        <v>204</v>
      </c>
      <c r="C160" s="153" t="s">
        <v>241</v>
      </c>
      <c r="D160" s="128">
        <f>E159+3</f>
        <v>45795</v>
      </c>
      <c r="E160" s="128">
        <f>D160+53</f>
        <v>45848</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c r="A161" s="33"/>
      <c r="B161" s="86"/>
      <c r="C161" s="153"/>
      <c r="D161" s="128"/>
      <c r="E161" s="128"/>
      <c r="F161" s="14"/>
      <c r="G161" s="14">
        <v>53</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c r="A162" s="33"/>
      <c r="B162" s="86"/>
      <c r="C162" s="153"/>
      <c r="D162" s="128"/>
      <c r="E162" s="128"/>
      <c r="F162" s="14"/>
      <c r="G162" s="14">
        <f>E162-D162</f>
        <v>0</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c r="A163" s="33"/>
      <c r="B163" s="86"/>
      <c r="C163" s="153"/>
      <c r="D163" s="128"/>
      <c r="E163" s="128"/>
      <c r="F163" s="14"/>
      <c r="G163" s="14">
        <f>E163-D163</f>
        <v>0</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thickBot="1">
      <c r="A164" s="33" t="s">
        <v>242</v>
      </c>
      <c r="B164" s="50"/>
      <c r="C164" s="45"/>
      <c r="D164" s="137"/>
      <c r="E164" s="137"/>
      <c r="F164" s="14"/>
      <c r="G164" s="14" t="str">
        <f t="shared" ca="1" si="311"/>
        <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thickBot="1">
      <c r="A165" s="34" t="s">
        <v>243</v>
      </c>
      <c r="B165" s="25" t="s">
        <v>244</v>
      </c>
      <c r="C165" s="26"/>
      <c r="D165" s="138"/>
      <c r="E165" s="139"/>
      <c r="F165" s="28"/>
      <c r="G165" s="28" t="str">
        <f t="shared" ca="1" si="311"/>
        <v/>
      </c>
      <c r="H165" s="31"/>
      <c r="I165" s="31"/>
      <c r="J165" s="31"/>
      <c r="K165" s="31"/>
      <c r="L165" s="31"/>
      <c r="M165" s="31"/>
      <c r="N165" s="31"/>
      <c r="O165" s="31"/>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1"/>
      <c r="AN165" s="31"/>
      <c r="AO165" s="31"/>
      <c r="AP165" s="31"/>
      <c r="AQ165" s="31"/>
      <c r="AR165" s="31"/>
      <c r="AS165" s="31"/>
      <c r="AT165" s="31"/>
      <c r="AU165" s="31"/>
      <c r="AV165" s="31"/>
      <c r="AW165" s="31"/>
      <c r="AX165" s="31"/>
      <c r="AY165" s="31"/>
      <c r="AZ165" s="31"/>
      <c r="BA165" s="31"/>
      <c r="BB165" s="31"/>
      <c r="BC165" s="31"/>
      <c r="BD165" s="31"/>
      <c r="BE165" s="31"/>
      <c r="BF165" s="31"/>
      <c r="BG165" s="31"/>
      <c r="BH165" s="31"/>
      <c r="BI165" s="31"/>
      <c r="BJ165" s="31"/>
      <c r="BK165" s="31"/>
      <c r="BL165" s="31"/>
      <c r="BM165" s="31"/>
      <c r="BN165" s="31"/>
      <c r="BO165" s="31"/>
      <c r="BP165" s="31"/>
      <c r="BQ165" s="31"/>
      <c r="BR165" s="31"/>
      <c r="BS165" s="31"/>
      <c r="BT165" s="31"/>
      <c r="BU165" s="31"/>
      <c r="BV165" s="31"/>
      <c r="BW165" s="31"/>
      <c r="BX165" s="31"/>
      <c r="BY165" s="31"/>
      <c r="BZ165" s="31"/>
      <c r="CA165" s="31"/>
      <c r="CB165" s="31"/>
      <c r="CC165" s="31"/>
      <c r="CD165" s="31"/>
      <c r="CE165" s="31"/>
      <c r="CF165" s="31"/>
      <c r="CG165" s="31"/>
      <c r="CH165" s="31"/>
      <c r="CI165" s="31"/>
      <c r="CJ165" s="31"/>
      <c r="CK165" s="31"/>
      <c r="CL165" s="31"/>
      <c r="CM165" s="31"/>
      <c r="CN165" s="31"/>
      <c r="CO165" s="31"/>
      <c r="CP165" s="31"/>
      <c r="CQ165" s="31"/>
      <c r="CR165" s="31"/>
      <c r="CS165" s="31"/>
      <c r="CT165" s="31"/>
      <c r="CU165" s="31"/>
      <c r="CV165" s="31"/>
      <c r="CW165" s="31"/>
      <c r="CX165" s="31"/>
      <c r="CY165" s="31"/>
      <c r="CZ165" s="31"/>
      <c r="DA165" s="31"/>
      <c r="DB165" s="31"/>
      <c r="DC165" s="31"/>
      <c r="DD165" s="31"/>
      <c r="DE165" s="31"/>
      <c r="DF165" s="31"/>
      <c r="DG165" s="31"/>
      <c r="DH165" s="31"/>
      <c r="DI165" s="31"/>
      <c r="DJ165" s="31"/>
      <c r="DK165" s="31"/>
      <c r="DL165" s="31"/>
      <c r="DM165" s="31"/>
      <c r="DN165" s="31"/>
      <c r="DO165" s="31"/>
      <c r="DP165" s="31"/>
      <c r="DQ165" s="31"/>
      <c r="DR165" s="31"/>
      <c r="DS165" s="31"/>
      <c r="DT165" s="31"/>
      <c r="DU165" s="31"/>
      <c r="DV165" s="31"/>
      <c r="DW165" s="31"/>
      <c r="DX165" s="31"/>
      <c r="DY165" s="31"/>
      <c r="DZ165" s="31"/>
      <c r="EA165" s="31"/>
      <c r="EB165" s="31"/>
      <c r="EC165" s="31"/>
      <c r="ED165" s="31"/>
      <c r="EE165" s="31"/>
      <c r="EF165" s="31"/>
      <c r="EG165" s="31"/>
      <c r="EH165" s="31"/>
      <c r="EI165" s="31"/>
      <c r="EJ165" s="31"/>
      <c r="EK165" s="31"/>
      <c r="EL165" s="31"/>
      <c r="EM165" s="31"/>
      <c r="EN165" s="31"/>
      <c r="EO165" s="31"/>
      <c r="EP165" s="31"/>
      <c r="EQ165" s="31"/>
      <c r="ER165" s="31"/>
      <c r="ES165" s="31"/>
      <c r="ET165" s="31"/>
      <c r="EU165" s="31"/>
      <c r="EV165" s="31"/>
      <c r="EW165" s="31"/>
      <c r="EX165" s="31"/>
      <c r="EY165" s="31"/>
      <c r="EZ165" s="31"/>
      <c r="FA165" s="31"/>
      <c r="FB165" s="31"/>
      <c r="FC165" s="31"/>
      <c r="FD165" s="31"/>
      <c r="FE165" s="31"/>
      <c r="FF165" s="31"/>
      <c r="FG165" s="31"/>
      <c r="FH165" s="31"/>
      <c r="FI165" s="31"/>
      <c r="FJ165" s="31"/>
      <c r="FK165" s="31"/>
      <c r="FL165" s="31"/>
      <c r="FM165" s="31"/>
      <c r="FN165" s="31"/>
      <c r="FO165" s="31"/>
      <c r="FP165" s="31"/>
      <c r="FQ165" s="31"/>
      <c r="FR165" s="31"/>
      <c r="FS165" s="31"/>
      <c r="FT165" s="31"/>
      <c r="FU165" s="31"/>
      <c r="FV165" s="31"/>
      <c r="FW165" s="31"/>
      <c r="FX165" s="31"/>
      <c r="FY165" s="31"/>
      <c r="FZ165" s="31"/>
      <c r="GA165" s="31"/>
      <c r="GB165" s="31"/>
      <c r="GC165" s="31"/>
      <c r="GD165" s="31"/>
      <c r="GE165" s="31"/>
      <c r="GF165" s="31"/>
      <c r="GG165" s="31"/>
      <c r="GH165" s="31"/>
      <c r="GI165" s="31"/>
      <c r="GJ165" s="31"/>
      <c r="GK165" s="31"/>
      <c r="GL165" s="31"/>
      <c r="GM165" s="31"/>
      <c r="GN165" s="31"/>
      <c r="GO165" s="31"/>
      <c r="GP165" s="31"/>
      <c r="GQ165" s="31"/>
      <c r="GR165" s="31"/>
      <c r="GS165" s="31"/>
      <c r="GT165" s="31"/>
      <c r="GU165" s="31"/>
      <c r="GV165" s="31"/>
      <c r="GW165" s="31"/>
      <c r="GX165" s="31"/>
      <c r="GY165" s="31"/>
      <c r="GZ165" s="31"/>
      <c r="HA165" s="31"/>
      <c r="HB165" s="31"/>
      <c r="HC165" s="31"/>
      <c r="HD165" s="31"/>
      <c r="HE165" s="31"/>
      <c r="HF165" s="31"/>
      <c r="HG165" s="31"/>
      <c r="HH165" s="31"/>
      <c r="HI165" s="31"/>
      <c r="HJ165" s="31"/>
      <c r="HK165" s="31"/>
      <c r="HL165" s="31"/>
      <c r="HM165" s="31"/>
      <c r="HN165" s="31"/>
      <c r="HO165" s="31"/>
      <c r="HP165" s="31"/>
      <c r="HQ165" s="31"/>
      <c r="HR165" s="31"/>
      <c r="HS165" s="31"/>
      <c r="HT165" s="31"/>
      <c r="HU165" s="31"/>
      <c r="HV165" s="31"/>
      <c r="HW165" s="31"/>
      <c r="HX165" s="31"/>
      <c r="HY165" s="31"/>
      <c r="HZ165" s="31"/>
      <c r="IA165" s="31"/>
      <c r="IB165" s="31"/>
      <c r="IC165" s="31"/>
      <c r="ID165" s="31"/>
      <c r="IE165" s="31"/>
      <c r="IF165" s="31"/>
      <c r="IG165" s="31"/>
      <c r="IH165" s="31"/>
      <c r="II165" s="31"/>
      <c r="IJ165" s="31"/>
      <c r="IK165" s="31"/>
      <c r="IL165" s="31"/>
      <c r="IM165" s="31"/>
      <c r="IN165" s="31"/>
      <c r="IO165" s="31"/>
      <c r="IP165" s="31"/>
      <c r="IQ165" s="31"/>
      <c r="IR165" s="31"/>
      <c r="IS165" s="31"/>
      <c r="IT165" s="31"/>
      <c r="IU165" s="31"/>
      <c r="IV165" s="31"/>
      <c r="IW165" s="31"/>
      <c r="IX165" s="31"/>
      <c r="IY165" s="31"/>
      <c r="IZ165" s="31"/>
      <c r="JA165" s="31"/>
      <c r="JB165" s="31"/>
      <c r="JC165" s="31"/>
      <c r="JD165" s="31"/>
      <c r="JE165" s="31"/>
      <c r="JF165" s="31"/>
      <c r="JG165" s="31"/>
      <c r="JH165" s="31"/>
      <c r="JI165" s="31"/>
      <c r="JJ165" s="31"/>
      <c r="JK165" s="31"/>
      <c r="JL165" s="31"/>
      <c r="JM165" s="31"/>
      <c r="JN165" s="31"/>
      <c r="JO165" s="31"/>
      <c r="JP165" s="31"/>
      <c r="JQ165" s="31"/>
      <c r="JR165" s="31"/>
      <c r="JS165" s="31"/>
      <c r="JT165" s="31"/>
      <c r="JU165" s="31"/>
      <c r="JV165" s="31"/>
      <c r="JW165" s="31"/>
      <c r="JX165" s="31"/>
      <c r="JY165" s="31"/>
      <c r="JZ165" s="31"/>
      <c r="KA165" s="31"/>
      <c r="KB165" s="31"/>
      <c r="KC165" s="31"/>
      <c r="KD165" s="31"/>
      <c r="KE165" s="31"/>
      <c r="KF165" s="31"/>
      <c r="KG165" s="31"/>
      <c r="KH165" s="31"/>
      <c r="KI165" s="31"/>
      <c r="KJ165" s="31"/>
      <c r="KK165" s="31"/>
      <c r="KL165" s="31"/>
      <c r="KM165" s="31"/>
      <c r="KN165" s="31"/>
      <c r="KO165" s="31"/>
      <c r="KP165" s="31"/>
      <c r="KQ165" s="31"/>
      <c r="KR165" s="31"/>
      <c r="KS165" s="31"/>
      <c r="KT165" s="31"/>
      <c r="KU165" s="31"/>
      <c r="KV165" s="31"/>
      <c r="KW165" s="31"/>
      <c r="KX165" s="31"/>
      <c r="KY165" s="31"/>
      <c r="KZ165" s="31"/>
      <c r="LA165" s="31"/>
      <c r="LB165" s="31"/>
      <c r="LC165" s="31"/>
      <c r="LD165" s="31"/>
      <c r="LE165" s="31"/>
      <c r="LF165" s="31"/>
      <c r="LG165" s="31"/>
      <c r="LH165" s="31"/>
      <c r="LI165" s="31"/>
      <c r="LJ165" s="31"/>
      <c r="LK165" s="31"/>
      <c r="LL165" s="31"/>
      <c r="LM165" s="31"/>
      <c r="LN165" s="31"/>
      <c r="LO165" s="31"/>
      <c r="LP165" s="31"/>
      <c r="LQ165" s="31"/>
      <c r="LR165" s="31"/>
      <c r="LS165" s="31"/>
      <c r="LT165" s="31"/>
      <c r="LU165" s="31"/>
      <c r="LV165" s="31"/>
      <c r="LW165" s="31"/>
      <c r="LX165" s="31"/>
      <c r="LY165" s="31"/>
      <c r="LZ165" s="31"/>
      <c r="MA165" s="31"/>
      <c r="MB165" s="31"/>
      <c r="MC165" s="31"/>
      <c r="MD165" s="31"/>
      <c r="ME165" s="31"/>
      <c r="MF165" s="31"/>
      <c r="MG165" s="31"/>
      <c r="MH165" s="31"/>
      <c r="MI165" s="31"/>
      <c r="MJ165" s="31"/>
      <c r="MK165" s="31"/>
      <c r="ML165" s="31"/>
      <c r="MM165" s="31"/>
    </row>
  </sheetData>
  <mergeCells count="64">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38:E138"/>
    <mergeCell ref="B54:E54"/>
    <mergeCell ref="B65:E65"/>
    <mergeCell ref="B67:E67"/>
    <mergeCell ref="B70:E70"/>
    <mergeCell ref="B137:E137"/>
    <mergeCell ref="B76:E76"/>
    <mergeCell ref="B77:E77"/>
  </mergeCells>
  <conditionalFormatting sqref="H5:I78 H109:I165">
    <cfRule type="expression" dxfId="67" priority="210">
      <formula>AND(TODAY()&gt;=H$5,TODAY()&lt;J$5)</formula>
    </cfRule>
  </conditionalFormatting>
  <conditionalFormatting sqref="H7:I78 H109:I165">
    <cfRule type="expression" dxfId="66" priority="218" stopIfTrue="1">
      <formula>AND(Término_da_tarefa&gt;=H$5,Início_da_tarefa&lt;J$5)</formula>
    </cfRule>
  </conditionalFormatting>
  <conditionalFormatting sqref="H7:BL13 BM9:FZ13 GA9:MM47 H14:FZ47 J79:MM108 H48:MM78 H109:MM165 LE63:LF212">
    <cfRule type="expression" dxfId="65" priority="201">
      <formula>AND(Início_da_tarefa&lt;=H$5,ROUNDDOWN((Término_da_tarefa-Início_da_tarefa+1)*Progresso_da_tarefa,0)+Início_da_tarefa-1&gt;=H$5)</formula>
    </cfRule>
  </conditionalFormatting>
  <conditionalFormatting sqref="J5:BL13 BM9:FZ13 GA9:MM47 J14:FZ47 BM5:GN6 J48:MM165 LE64:LF212">
    <cfRule type="expression" dxfId="64" priority="207">
      <formula>AND(TODAY()&gt;=J$5,TODAY()&lt;K$5)</formula>
    </cfRule>
  </conditionalFormatting>
  <conditionalFormatting sqref="J7:BL13 BM9:FZ13 GA9:MM47 J14:FZ47 J48:MM165 LE64:LF212">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60:LE61">
    <cfRule type="expression" dxfId="16" priority="6">
      <formula>AND(TODAY()&gt;=LE$5,TODAY()&lt;#REF!)</formula>
    </cfRule>
  </conditionalFormatting>
  <conditionalFormatting sqref="LE63:LF63">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60:LF61">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C66 C147 C10:C53 C142:C143 C55:C64 C139:C140 C78:C108 C110:C128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5"/>
  <sheetData>
    <row r="5" spans="4:4">
      <c r="D5" s="174"/>
    </row>
    <row r="6" spans="4:4">
      <c r="D6" s="174"/>
    </row>
    <row r="7" spans="4:4">
      <c r="D7" s="174"/>
    </row>
    <row r="8" spans="4:4">
      <c r="D8" s="174"/>
    </row>
    <row r="9" spans="4:4">
      <c r="D9" s="174"/>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6" customWidth="1"/>
    <col min="97" max="97" width="2.28515625" customWidth="1"/>
    <col min="98" max="101" width="2" customWidth="1"/>
    <col min="102" max="103" width="2" style="76" customWidth="1"/>
    <col min="104" max="130" width="2" customWidth="1"/>
    <col min="131" max="131" width="2" style="72" customWidth="1"/>
    <col min="132" max="155" width="2" customWidth="1"/>
    <col min="156" max="197" width="2.28515625" customWidth="1"/>
    <col min="198" max="239" width="2.42578125" customWidth="1"/>
  </cols>
  <sheetData>
    <row r="1" spans="1:239" ht="30" customHeight="1">
      <c r="A1" s="34" t="s">
        <v>164</v>
      </c>
      <c r="B1" s="37" t="s">
        <v>245</v>
      </c>
      <c r="C1" s="1"/>
      <c r="D1" s="2"/>
      <c r="E1" s="4"/>
      <c r="F1" s="32"/>
      <c r="H1" s="2"/>
      <c r="I1" s="52" t="s">
        <v>246</v>
      </c>
    </row>
    <row r="2" spans="1:239" ht="30" customHeight="1">
      <c r="A2" s="33" t="s">
        <v>167</v>
      </c>
      <c r="B2" s="38" t="s">
        <v>247</v>
      </c>
      <c r="I2" s="175"/>
    </row>
    <row r="3" spans="1:239" ht="33" customHeight="1">
      <c r="A3" s="33" t="s">
        <v>168</v>
      </c>
      <c r="B3" s="71" t="s">
        <v>169</v>
      </c>
      <c r="C3" s="70">
        <f>Início_do_projeto+120</f>
        <v>46051</v>
      </c>
      <c r="D3" s="69" t="s">
        <v>170</v>
      </c>
      <c r="E3" s="196">
        <v>45931</v>
      </c>
      <c r="F3" s="196"/>
      <c r="G3" s="65"/>
    </row>
    <row r="4" spans="1:239" ht="30" customHeight="1">
      <c r="A4" s="34" t="s">
        <v>171</v>
      </c>
      <c r="C4" s="197" t="s">
        <v>172</v>
      </c>
      <c r="D4" s="198"/>
      <c r="E4" s="7">
        <v>1</v>
      </c>
      <c r="I4" s="192">
        <f>I5</f>
        <v>45929</v>
      </c>
      <c r="J4" s="193"/>
      <c r="K4" s="193"/>
      <c r="L4" s="193"/>
      <c r="M4" s="193"/>
      <c r="N4" s="193"/>
      <c r="O4" s="194"/>
      <c r="P4" s="192">
        <f>P5</f>
        <v>45936</v>
      </c>
      <c r="Q4" s="193"/>
      <c r="R4" s="193"/>
      <c r="S4" s="193"/>
      <c r="T4" s="193"/>
      <c r="U4" s="193"/>
      <c r="V4" s="194"/>
      <c r="W4" s="192">
        <f>W5</f>
        <v>45943</v>
      </c>
      <c r="X4" s="193"/>
      <c r="Y4" s="193"/>
      <c r="Z4" s="193"/>
      <c r="AA4" s="193"/>
      <c r="AB4" s="193"/>
      <c r="AC4" s="194"/>
      <c r="AD4" s="192">
        <f>AD5</f>
        <v>45950</v>
      </c>
      <c r="AE4" s="193"/>
      <c r="AF4" s="193"/>
      <c r="AG4" s="193"/>
      <c r="AH4" s="193"/>
      <c r="AI4" s="193"/>
      <c r="AJ4" s="194"/>
      <c r="AK4" s="192">
        <f>AK5</f>
        <v>45957</v>
      </c>
      <c r="AL4" s="193"/>
      <c r="AM4" s="193"/>
      <c r="AN4" s="193"/>
      <c r="AO4" s="193"/>
      <c r="AP4" s="193"/>
      <c r="AQ4" s="194"/>
      <c r="AR4" s="192">
        <f>AR5</f>
        <v>45964</v>
      </c>
      <c r="AS4" s="193"/>
      <c r="AT4" s="193"/>
      <c r="AU4" s="193"/>
      <c r="AV4" s="193"/>
      <c r="AW4" s="193"/>
      <c r="AX4" s="194"/>
      <c r="AY4" s="192">
        <f>AY5</f>
        <v>45971</v>
      </c>
      <c r="AZ4" s="193"/>
      <c r="BA4" s="193"/>
      <c r="BB4" s="193"/>
      <c r="BC4" s="193"/>
      <c r="BD4" s="193"/>
      <c r="BE4" s="194"/>
      <c r="BF4" s="192">
        <f>BF5</f>
        <v>45978</v>
      </c>
      <c r="BG4" s="193"/>
      <c r="BH4" s="193"/>
      <c r="BI4" s="193"/>
      <c r="BJ4" s="193"/>
      <c r="BK4" s="193"/>
      <c r="BL4" s="194"/>
      <c r="BM4" s="192">
        <f>BM5</f>
        <v>45985</v>
      </c>
      <c r="BN4" s="193"/>
      <c r="BO4" s="193"/>
      <c r="BP4" s="193"/>
      <c r="BQ4" s="193"/>
      <c r="BR4" s="193"/>
      <c r="BS4" s="194"/>
      <c r="BT4" s="192">
        <f>BT5</f>
        <v>45992</v>
      </c>
      <c r="BU4" s="193"/>
      <c r="BV4" s="193"/>
      <c r="BW4" s="193"/>
      <c r="BX4" s="193"/>
      <c r="BY4" s="193"/>
      <c r="BZ4" s="194"/>
      <c r="CA4" s="192">
        <f>CA5</f>
        <v>45999</v>
      </c>
      <c r="CB4" s="193"/>
      <c r="CC4" s="193"/>
      <c r="CD4" s="193"/>
      <c r="CE4" s="193"/>
      <c r="CF4" s="193"/>
      <c r="CG4" s="194"/>
      <c r="CH4" s="192">
        <f>CH5</f>
        <v>46006</v>
      </c>
      <c r="CI4" s="193"/>
      <c r="CJ4" s="193"/>
      <c r="CK4" s="193"/>
      <c r="CL4" s="193"/>
      <c r="CM4" s="193"/>
      <c r="CN4" s="194"/>
      <c r="CO4" s="192">
        <f>CO5</f>
        <v>46013</v>
      </c>
      <c r="CP4" s="193"/>
      <c r="CQ4" s="193"/>
      <c r="CR4" s="193"/>
      <c r="CS4" s="193"/>
      <c r="CT4" s="193"/>
      <c r="CU4" s="194"/>
      <c r="CV4" s="192">
        <f>CV5</f>
        <v>46020</v>
      </c>
      <c r="CW4" s="193"/>
      <c r="CX4" s="193"/>
      <c r="CY4" s="193"/>
      <c r="CZ4" s="193"/>
      <c r="DA4" s="193"/>
      <c r="DB4" s="194"/>
      <c r="DC4" s="192">
        <f>DC5</f>
        <v>46027</v>
      </c>
      <c r="DD4" s="193"/>
      <c r="DE4" s="193"/>
      <c r="DF4" s="193"/>
      <c r="DG4" s="193"/>
      <c r="DH4" s="193"/>
      <c r="DI4" s="194"/>
      <c r="DJ4" s="192">
        <f>DJ5</f>
        <v>46034</v>
      </c>
      <c r="DK4" s="193"/>
      <c r="DL4" s="193"/>
      <c r="DM4" s="193"/>
      <c r="DN4" s="193"/>
      <c r="DO4" s="193"/>
      <c r="DP4" s="194"/>
      <c r="DQ4" s="192">
        <f>DQ5</f>
        <v>46041</v>
      </c>
      <c r="DR4" s="193"/>
      <c r="DS4" s="193"/>
      <c r="DT4" s="193"/>
      <c r="DU4" s="193"/>
      <c r="DV4" s="193"/>
      <c r="DW4" s="194"/>
      <c r="DX4" s="192">
        <f>DX5</f>
        <v>46048</v>
      </c>
      <c r="DY4" s="193"/>
      <c r="DZ4" s="193"/>
      <c r="EA4" s="193"/>
      <c r="EB4" s="193"/>
      <c r="EC4" s="193"/>
      <c r="ED4" s="194"/>
      <c r="EE4" s="192">
        <f t="shared" ref="EE4" si="0">EE5</f>
        <v>46055</v>
      </c>
      <c r="EF4" s="193"/>
      <c r="EG4" s="193"/>
      <c r="EH4" s="193"/>
      <c r="EI4" s="193"/>
      <c r="EJ4" s="193"/>
      <c r="EK4" s="194"/>
      <c r="EL4" s="192">
        <f t="shared" ref="EL4" si="1">EL5</f>
        <v>46062</v>
      </c>
      <c r="EM4" s="193"/>
      <c r="EN4" s="193"/>
      <c r="EO4" s="193"/>
      <c r="EP4" s="193"/>
      <c r="EQ4" s="193"/>
      <c r="ER4" s="194"/>
      <c r="ES4" s="192">
        <f t="shared" ref="ES4" si="2">ES5</f>
        <v>46069</v>
      </c>
      <c r="ET4" s="193"/>
      <c r="EU4" s="193"/>
      <c r="EV4" s="193"/>
      <c r="EW4" s="193"/>
      <c r="EX4" s="193"/>
      <c r="EY4" s="194"/>
      <c r="EZ4" s="192">
        <f t="shared" ref="EZ4" si="3">EZ5</f>
        <v>46076</v>
      </c>
      <c r="FA4" s="193"/>
      <c r="FB4" s="193"/>
      <c r="FC4" s="193"/>
      <c r="FD4" s="193"/>
      <c r="FE4" s="193"/>
      <c r="FF4" s="194"/>
      <c r="FG4" s="192">
        <f t="shared" ref="FG4" si="4">FG5</f>
        <v>46083</v>
      </c>
      <c r="FH4" s="193"/>
      <c r="FI4" s="193"/>
      <c r="FJ4" s="193"/>
      <c r="FK4" s="193"/>
      <c r="FL4" s="193"/>
      <c r="FM4" s="194"/>
      <c r="FN4" s="192">
        <f t="shared" ref="FN4" si="5">FN5</f>
        <v>46090</v>
      </c>
      <c r="FO4" s="193"/>
      <c r="FP4" s="193"/>
      <c r="FQ4" s="193"/>
      <c r="FR4" s="193"/>
      <c r="FS4" s="193"/>
      <c r="FT4" s="194"/>
      <c r="FU4" s="192">
        <f t="shared" ref="FU4" si="6">FU5</f>
        <v>46097</v>
      </c>
      <c r="FV4" s="193"/>
      <c r="FW4" s="193"/>
      <c r="FX4" s="193"/>
      <c r="FY4" s="193"/>
      <c r="FZ4" s="193"/>
      <c r="GA4" s="194"/>
      <c r="GB4" s="192">
        <f t="shared" ref="GB4" si="7">GB5</f>
        <v>46104</v>
      </c>
      <c r="GC4" s="193"/>
      <c r="GD4" s="193"/>
      <c r="GE4" s="193"/>
      <c r="GF4" s="193"/>
      <c r="GG4" s="193"/>
      <c r="GH4" s="194"/>
      <c r="GI4" s="192">
        <f t="shared" ref="GI4" si="8">GI5</f>
        <v>46111</v>
      </c>
      <c r="GJ4" s="193"/>
      <c r="GK4" s="193"/>
      <c r="GL4" s="193"/>
      <c r="GM4" s="193"/>
      <c r="GN4" s="193"/>
      <c r="GO4" s="194"/>
      <c r="GP4" s="192">
        <f t="shared" ref="GP4" si="9">GP5</f>
        <v>46118</v>
      </c>
      <c r="GQ4" s="193"/>
      <c r="GR4" s="193"/>
      <c r="GS4" s="193"/>
      <c r="GT4" s="193"/>
      <c r="GU4" s="193"/>
      <c r="GV4" s="194"/>
      <c r="GW4" s="192">
        <f t="shared" ref="GW4" si="10">GW5</f>
        <v>46125</v>
      </c>
      <c r="GX4" s="193"/>
      <c r="GY4" s="193"/>
      <c r="GZ4" s="193"/>
      <c r="HA4" s="193"/>
      <c r="HB4" s="193"/>
      <c r="HC4" s="194"/>
      <c r="HD4" s="192">
        <f t="shared" ref="HD4" si="11">HD5</f>
        <v>46132</v>
      </c>
      <c r="HE4" s="193"/>
      <c r="HF4" s="193"/>
      <c r="HG4" s="193"/>
      <c r="HH4" s="193"/>
      <c r="HI4" s="193"/>
      <c r="HJ4" s="194"/>
      <c r="HK4" s="192">
        <f t="shared" ref="HK4" si="12">HK5</f>
        <v>46139</v>
      </c>
      <c r="HL4" s="193"/>
      <c r="HM4" s="193"/>
      <c r="HN4" s="193"/>
      <c r="HO4" s="193"/>
      <c r="HP4" s="193"/>
      <c r="HQ4" s="194"/>
      <c r="HR4" s="192">
        <f t="shared" ref="HR4" si="13">HR5</f>
        <v>46146</v>
      </c>
      <c r="HS4" s="193"/>
      <c r="HT4" s="193"/>
      <c r="HU4" s="193"/>
      <c r="HV4" s="193"/>
      <c r="HW4" s="193"/>
      <c r="HX4" s="194"/>
      <c r="HY4" s="192">
        <f t="shared" ref="HY4" si="14">HY5</f>
        <v>46153</v>
      </c>
      <c r="HZ4" s="193"/>
      <c r="IA4" s="193"/>
      <c r="IB4" s="193"/>
      <c r="IC4" s="193"/>
      <c r="ID4" s="193"/>
      <c r="IE4" s="194"/>
    </row>
    <row r="5" spans="1:239" ht="15" customHeight="1">
      <c r="A5" s="34" t="s">
        <v>173</v>
      </c>
      <c r="B5" s="51"/>
      <c r="C5" s="51"/>
      <c r="D5" s="51"/>
      <c r="E5" s="51"/>
      <c r="F5" s="51"/>
      <c r="G5" s="51"/>
      <c r="I5" s="66">
        <f>Início_do_projeto-WEEKDAY(Início_do_projeto,1)+2+7*(Semana_de_exibição-1)</f>
        <v>45929</v>
      </c>
      <c r="J5" s="67">
        <f>I5+1</f>
        <v>45930</v>
      </c>
      <c r="K5" s="67">
        <f t="shared" ref="K5:AX5" si="15">J5+1</f>
        <v>45931</v>
      </c>
      <c r="L5" s="67">
        <f t="shared" si="15"/>
        <v>45932</v>
      </c>
      <c r="M5" s="67">
        <f t="shared" si="15"/>
        <v>45933</v>
      </c>
      <c r="N5" s="67">
        <f t="shared" si="15"/>
        <v>45934</v>
      </c>
      <c r="O5" s="68">
        <f t="shared" si="15"/>
        <v>45935</v>
      </c>
      <c r="P5" s="66">
        <f>O5+1</f>
        <v>45936</v>
      </c>
      <c r="Q5" s="67">
        <f>P5+1</f>
        <v>45937</v>
      </c>
      <c r="R5" s="67">
        <f t="shared" si="15"/>
        <v>45938</v>
      </c>
      <c r="S5" s="67">
        <f t="shared" si="15"/>
        <v>45939</v>
      </c>
      <c r="T5" s="67">
        <f t="shared" si="15"/>
        <v>45940</v>
      </c>
      <c r="U5" s="67">
        <f t="shared" si="15"/>
        <v>45941</v>
      </c>
      <c r="V5" s="68">
        <f t="shared" si="15"/>
        <v>45942</v>
      </c>
      <c r="W5" s="66">
        <f>V5+1</f>
        <v>45943</v>
      </c>
      <c r="X5" s="67">
        <f>W5+1</f>
        <v>45944</v>
      </c>
      <c r="Y5" s="67">
        <f t="shared" si="15"/>
        <v>45945</v>
      </c>
      <c r="Z5" s="67">
        <f t="shared" si="15"/>
        <v>45946</v>
      </c>
      <c r="AA5" s="67">
        <f t="shared" si="15"/>
        <v>45947</v>
      </c>
      <c r="AB5" s="67">
        <f t="shared" si="15"/>
        <v>45948</v>
      </c>
      <c r="AC5" s="68">
        <f t="shared" si="15"/>
        <v>45949</v>
      </c>
      <c r="AD5" s="66">
        <f>AC5+1</f>
        <v>45950</v>
      </c>
      <c r="AE5" s="67">
        <f>AD5+1</f>
        <v>45951</v>
      </c>
      <c r="AF5" s="67">
        <f t="shared" si="15"/>
        <v>45952</v>
      </c>
      <c r="AG5" s="67">
        <f t="shared" si="15"/>
        <v>45953</v>
      </c>
      <c r="AH5" s="67">
        <f t="shared" si="15"/>
        <v>45954</v>
      </c>
      <c r="AI5" s="67">
        <f t="shared" si="15"/>
        <v>45955</v>
      </c>
      <c r="AJ5" s="68">
        <f t="shared" si="15"/>
        <v>45956</v>
      </c>
      <c r="AK5" s="66">
        <f>AJ5+1</f>
        <v>45957</v>
      </c>
      <c r="AL5" s="67">
        <f>AK5+1</f>
        <v>45958</v>
      </c>
      <c r="AM5" s="67">
        <f t="shared" si="15"/>
        <v>45959</v>
      </c>
      <c r="AN5" s="67">
        <f t="shared" si="15"/>
        <v>45960</v>
      </c>
      <c r="AO5" s="67">
        <f t="shared" si="15"/>
        <v>45961</v>
      </c>
      <c r="AP5" s="67">
        <f t="shared" si="15"/>
        <v>45962</v>
      </c>
      <c r="AQ5" s="68">
        <f t="shared" si="15"/>
        <v>45963</v>
      </c>
      <c r="AR5" s="66">
        <f>AQ5+1</f>
        <v>45964</v>
      </c>
      <c r="AS5" s="67">
        <f>AR5+1</f>
        <v>45965</v>
      </c>
      <c r="AT5" s="67">
        <f t="shared" si="15"/>
        <v>45966</v>
      </c>
      <c r="AU5" s="67">
        <f t="shared" si="15"/>
        <v>45967</v>
      </c>
      <c r="AV5" s="67">
        <f t="shared" si="15"/>
        <v>45968</v>
      </c>
      <c r="AW5" s="67">
        <f t="shared" si="15"/>
        <v>45969</v>
      </c>
      <c r="AX5" s="68">
        <f t="shared" si="15"/>
        <v>45970</v>
      </c>
      <c r="AY5" s="66">
        <f>AX5+1</f>
        <v>45971</v>
      </c>
      <c r="AZ5" s="67">
        <f>AY5+1</f>
        <v>45972</v>
      </c>
      <c r="BA5" s="67">
        <f t="shared" ref="BA5:BE5" si="16">AZ5+1</f>
        <v>45973</v>
      </c>
      <c r="BB5" s="67">
        <f t="shared" si="16"/>
        <v>45974</v>
      </c>
      <c r="BC5" s="67">
        <f t="shared" si="16"/>
        <v>45975</v>
      </c>
      <c r="BD5" s="67">
        <f t="shared" si="16"/>
        <v>45976</v>
      </c>
      <c r="BE5" s="68">
        <f t="shared" si="16"/>
        <v>45977</v>
      </c>
      <c r="BF5" s="66">
        <f>BE5+1</f>
        <v>45978</v>
      </c>
      <c r="BG5" s="67">
        <f>BF5+1</f>
        <v>45979</v>
      </c>
      <c r="BH5" s="67">
        <f t="shared" ref="BH5:BL5" si="17">BG5+1</f>
        <v>45980</v>
      </c>
      <c r="BI5" s="67">
        <f t="shared" si="17"/>
        <v>45981</v>
      </c>
      <c r="BJ5" s="67">
        <f t="shared" si="17"/>
        <v>45982</v>
      </c>
      <c r="BK5" s="67">
        <f t="shared" si="17"/>
        <v>45983</v>
      </c>
      <c r="BL5" s="68">
        <f t="shared" si="17"/>
        <v>45984</v>
      </c>
      <c r="BM5" s="66">
        <f>BL5+1</f>
        <v>45985</v>
      </c>
      <c r="BN5" s="67">
        <f>BM5+1</f>
        <v>45986</v>
      </c>
      <c r="BO5" s="67">
        <f t="shared" ref="BO5:BS5" si="18">BN5+1</f>
        <v>45987</v>
      </c>
      <c r="BP5" s="67">
        <f t="shared" si="18"/>
        <v>45988</v>
      </c>
      <c r="BQ5" s="67">
        <f t="shared" si="18"/>
        <v>45989</v>
      </c>
      <c r="BR5" s="67">
        <f t="shared" si="18"/>
        <v>45990</v>
      </c>
      <c r="BS5" s="68">
        <f t="shared" si="18"/>
        <v>45991</v>
      </c>
      <c r="BT5" s="66">
        <f>BS5+1</f>
        <v>45992</v>
      </c>
      <c r="BU5" s="67">
        <f>BT5+1</f>
        <v>45993</v>
      </c>
      <c r="BV5" s="67">
        <f t="shared" ref="BV5:BZ5" si="19">BU5+1</f>
        <v>45994</v>
      </c>
      <c r="BW5" s="67">
        <f t="shared" si="19"/>
        <v>45995</v>
      </c>
      <c r="BX5" s="67">
        <f t="shared" si="19"/>
        <v>45996</v>
      </c>
      <c r="BY5" s="67">
        <f t="shared" si="19"/>
        <v>45997</v>
      </c>
      <c r="BZ5" s="68">
        <f t="shared" si="19"/>
        <v>45998</v>
      </c>
      <c r="CA5" s="66">
        <f>BZ5+1</f>
        <v>45999</v>
      </c>
      <c r="CB5" s="67">
        <f>CA5+1</f>
        <v>46000</v>
      </c>
      <c r="CC5" s="67">
        <f t="shared" ref="CC5:CG5" si="20">CB5+1</f>
        <v>46001</v>
      </c>
      <c r="CD5" s="67">
        <f t="shared" si="20"/>
        <v>46002</v>
      </c>
      <c r="CE5" s="67">
        <f t="shared" si="20"/>
        <v>46003</v>
      </c>
      <c r="CF5" s="67">
        <f t="shared" si="20"/>
        <v>46004</v>
      </c>
      <c r="CG5" s="68">
        <f t="shared" si="20"/>
        <v>46005</v>
      </c>
      <c r="CH5" s="66">
        <f>CG5+1</f>
        <v>46006</v>
      </c>
      <c r="CI5" s="67">
        <f>CH5+1</f>
        <v>46007</v>
      </c>
      <c r="CJ5" s="67">
        <f t="shared" ref="CJ5:CN5" si="21">CI5+1</f>
        <v>46008</v>
      </c>
      <c r="CK5" s="67">
        <f t="shared" si="21"/>
        <v>46009</v>
      </c>
      <c r="CL5" s="67">
        <f t="shared" si="21"/>
        <v>46010</v>
      </c>
      <c r="CM5" s="67">
        <f t="shared" si="21"/>
        <v>46011</v>
      </c>
      <c r="CN5" s="68">
        <f t="shared" si="21"/>
        <v>46012</v>
      </c>
      <c r="CO5" s="66">
        <f>CN5+1</f>
        <v>46013</v>
      </c>
      <c r="CP5" s="67">
        <f>CO5+1</f>
        <v>46014</v>
      </c>
      <c r="CQ5" s="77">
        <f t="shared" ref="CQ5:CU5" si="22">CP5+1</f>
        <v>46015</v>
      </c>
      <c r="CR5" s="77">
        <f t="shared" si="22"/>
        <v>46016</v>
      </c>
      <c r="CS5" s="67">
        <f t="shared" si="22"/>
        <v>46017</v>
      </c>
      <c r="CT5" s="67">
        <f t="shared" si="22"/>
        <v>46018</v>
      </c>
      <c r="CU5" s="68">
        <f t="shared" si="22"/>
        <v>46019</v>
      </c>
      <c r="CV5" s="66">
        <f>CU5+1</f>
        <v>46020</v>
      </c>
      <c r="CW5" s="67">
        <f>CV5+1</f>
        <v>46021</v>
      </c>
      <c r="CX5" s="77">
        <f t="shared" ref="CX5:DB5" si="23">CW5+1</f>
        <v>46022</v>
      </c>
      <c r="CY5" s="77">
        <f t="shared" si="23"/>
        <v>46023</v>
      </c>
      <c r="CZ5" s="67">
        <f t="shared" si="23"/>
        <v>46024</v>
      </c>
      <c r="DA5" s="67">
        <f t="shared" si="23"/>
        <v>46025</v>
      </c>
      <c r="DB5" s="68">
        <f t="shared" si="23"/>
        <v>46026</v>
      </c>
      <c r="DC5" s="66">
        <f>DB5+1</f>
        <v>46027</v>
      </c>
      <c r="DD5" s="67">
        <f>DC5+1</f>
        <v>46028</v>
      </c>
      <c r="DE5" s="67">
        <f t="shared" ref="DE5:DI5" si="24">DD5+1</f>
        <v>46029</v>
      </c>
      <c r="DF5" s="67">
        <f t="shared" si="24"/>
        <v>46030</v>
      </c>
      <c r="DG5" s="67">
        <f t="shared" si="24"/>
        <v>46031</v>
      </c>
      <c r="DH5" s="67">
        <f t="shared" si="24"/>
        <v>46032</v>
      </c>
      <c r="DI5" s="68">
        <f t="shared" si="24"/>
        <v>46033</v>
      </c>
      <c r="DJ5" s="66">
        <f>DI5+1</f>
        <v>46034</v>
      </c>
      <c r="DK5" s="67">
        <f>DJ5+1</f>
        <v>46035</v>
      </c>
      <c r="DL5" s="67">
        <f t="shared" ref="DL5:DP5" si="25">DK5+1</f>
        <v>46036</v>
      </c>
      <c r="DM5" s="67">
        <f t="shared" si="25"/>
        <v>46037</v>
      </c>
      <c r="DN5" s="67">
        <f t="shared" si="25"/>
        <v>46038</v>
      </c>
      <c r="DO5" s="67">
        <f t="shared" si="25"/>
        <v>46039</v>
      </c>
      <c r="DP5" s="68">
        <f t="shared" si="25"/>
        <v>46040</v>
      </c>
      <c r="DQ5" s="66">
        <f>DP5+1</f>
        <v>46041</v>
      </c>
      <c r="DR5" s="67">
        <f>DQ5+1</f>
        <v>46042</v>
      </c>
      <c r="DS5" s="67">
        <f t="shared" ref="DS5:DW5" si="26">DR5+1</f>
        <v>46043</v>
      </c>
      <c r="DT5" s="67">
        <f t="shared" si="26"/>
        <v>46044</v>
      </c>
      <c r="DU5" s="67">
        <f t="shared" si="26"/>
        <v>46045</v>
      </c>
      <c r="DV5" s="67">
        <f t="shared" si="26"/>
        <v>46046</v>
      </c>
      <c r="DW5" s="68">
        <f t="shared" si="26"/>
        <v>46047</v>
      </c>
      <c r="DX5" s="66">
        <f>DW5+1</f>
        <v>46048</v>
      </c>
      <c r="DY5" s="67">
        <f>DX5+1</f>
        <v>46049</v>
      </c>
      <c r="DZ5" s="67">
        <f t="shared" ref="DZ5:GK5" si="27">DY5+1</f>
        <v>46050</v>
      </c>
      <c r="EA5" s="73">
        <f t="shared" si="27"/>
        <v>46051</v>
      </c>
      <c r="EB5" s="67">
        <f t="shared" si="27"/>
        <v>46052</v>
      </c>
      <c r="EC5" s="67">
        <f t="shared" si="27"/>
        <v>46053</v>
      </c>
      <c r="ED5" s="68">
        <f t="shared" si="27"/>
        <v>46054</v>
      </c>
      <c r="EE5" s="66">
        <f t="shared" si="27"/>
        <v>46055</v>
      </c>
      <c r="EF5" s="67">
        <f t="shared" si="27"/>
        <v>46056</v>
      </c>
      <c r="EG5" s="67">
        <f t="shared" si="27"/>
        <v>46057</v>
      </c>
      <c r="EH5" s="67">
        <f t="shared" si="27"/>
        <v>46058</v>
      </c>
      <c r="EI5" s="67">
        <f t="shared" si="27"/>
        <v>46059</v>
      </c>
      <c r="EJ5" s="67">
        <f t="shared" si="27"/>
        <v>46060</v>
      </c>
      <c r="EK5" s="68">
        <f t="shared" si="27"/>
        <v>46061</v>
      </c>
      <c r="EL5" s="66">
        <f t="shared" si="27"/>
        <v>46062</v>
      </c>
      <c r="EM5" s="67">
        <f t="shared" si="27"/>
        <v>46063</v>
      </c>
      <c r="EN5" s="67">
        <f t="shared" si="27"/>
        <v>46064</v>
      </c>
      <c r="EO5" s="67">
        <f t="shared" si="27"/>
        <v>46065</v>
      </c>
      <c r="EP5" s="67">
        <f t="shared" si="27"/>
        <v>46066</v>
      </c>
      <c r="EQ5" s="67">
        <f t="shared" si="27"/>
        <v>46067</v>
      </c>
      <c r="ER5" s="68">
        <f t="shared" si="27"/>
        <v>46068</v>
      </c>
      <c r="ES5" s="66">
        <f t="shared" si="27"/>
        <v>46069</v>
      </c>
      <c r="ET5" s="67">
        <f t="shared" si="27"/>
        <v>46070</v>
      </c>
      <c r="EU5" s="67">
        <f t="shared" si="27"/>
        <v>46071</v>
      </c>
      <c r="EV5" s="67">
        <f t="shared" si="27"/>
        <v>46072</v>
      </c>
      <c r="EW5" s="67">
        <f t="shared" si="27"/>
        <v>46073</v>
      </c>
      <c r="EX5" s="67">
        <f t="shared" si="27"/>
        <v>46074</v>
      </c>
      <c r="EY5" s="68">
        <f t="shared" si="27"/>
        <v>46075</v>
      </c>
      <c r="EZ5" s="66">
        <f t="shared" si="27"/>
        <v>46076</v>
      </c>
      <c r="FA5" s="67">
        <f t="shared" si="27"/>
        <v>46077</v>
      </c>
      <c r="FB5" s="67">
        <f t="shared" si="27"/>
        <v>46078</v>
      </c>
      <c r="FC5" s="67">
        <f t="shared" si="27"/>
        <v>46079</v>
      </c>
      <c r="FD5" s="67">
        <f t="shared" si="27"/>
        <v>46080</v>
      </c>
      <c r="FE5" s="67">
        <f t="shared" si="27"/>
        <v>46081</v>
      </c>
      <c r="FF5" s="68">
        <f t="shared" si="27"/>
        <v>46082</v>
      </c>
      <c r="FG5" s="66">
        <f t="shared" si="27"/>
        <v>46083</v>
      </c>
      <c r="FH5" s="67">
        <f t="shared" si="27"/>
        <v>46084</v>
      </c>
      <c r="FI5" s="67">
        <f t="shared" si="27"/>
        <v>46085</v>
      </c>
      <c r="FJ5" s="67">
        <f t="shared" si="27"/>
        <v>46086</v>
      </c>
      <c r="FK5" s="67">
        <f t="shared" si="27"/>
        <v>46087</v>
      </c>
      <c r="FL5" s="67">
        <f t="shared" si="27"/>
        <v>46088</v>
      </c>
      <c r="FM5" s="68">
        <f t="shared" si="27"/>
        <v>46089</v>
      </c>
      <c r="FN5" s="66">
        <f t="shared" si="27"/>
        <v>46090</v>
      </c>
      <c r="FO5" s="67">
        <f t="shared" si="27"/>
        <v>46091</v>
      </c>
      <c r="FP5" s="67">
        <f t="shared" si="27"/>
        <v>46092</v>
      </c>
      <c r="FQ5" s="67">
        <f t="shared" si="27"/>
        <v>46093</v>
      </c>
      <c r="FR5" s="67">
        <f t="shared" si="27"/>
        <v>46094</v>
      </c>
      <c r="FS5" s="67">
        <f t="shared" si="27"/>
        <v>46095</v>
      </c>
      <c r="FT5" s="68">
        <f t="shared" si="27"/>
        <v>46096</v>
      </c>
      <c r="FU5" s="66">
        <f t="shared" si="27"/>
        <v>46097</v>
      </c>
      <c r="FV5" s="67">
        <f t="shared" si="27"/>
        <v>46098</v>
      </c>
      <c r="FW5" s="67">
        <f t="shared" si="27"/>
        <v>46099</v>
      </c>
      <c r="FX5" s="67">
        <f t="shared" si="27"/>
        <v>46100</v>
      </c>
      <c r="FY5" s="67">
        <f t="shared" si="27"/>
        <v>46101</v>
      </c>
      <c r="FZ5" s="67">
        <f t="shared" si="27"/>
        <v>46102</v>
      </c>
      <c r="GA5" s="68">
        <f t="shared" si="27"/>
        <v>46103</v>
      </c>
      <c r="GB5" s="66">
        <f t="shared" si="27"/>
        <v>46104</v>
      </c>
      <c r="GC5" s="67">
        <f t="shared" si="27"/>
        <v>46105</v>
      </c>
      <c r="GD5" s="67">
        <f t="shared" si="27"/>
        <v>46106</v>
      </c>
      <c r="GE5" s="67">
        <f t="shared" si="27"/>
        <v>46107</v>
      </c>
      <c r="GF5" s="67">
        <f t="shared" si="27"/>
        <v>46108</v>
      </c>
      <c r="GG5" s="67">
        <f t="shared" si="27"/>
        <v>46109</v>
      </c>
      <c r="GH5" s="68">
        <f t="shared" si="27"/>
        <v>46110</v>
      </c>
      <c r="GI5" s="66">
        <f t="shared" si="27"/>
        <v>46111</v>
      </c>
      <c r="GJ5" s="67">
        <f t="shared" si="27"/>
        <v>46112</v>
      </c>
      <c r="GK5" s="67">
        <f t="shared" si="27"/>
        <v>46113</v>
      </c>
      <c r="GL5" s="67">
        <f t="shared" ref="GL5:IE5" si="28">GK5+1</f>
        <v>46114</v>
      </c>
      <c r="GM5" s="67">
        <f t="shared" si="28"/>
        <v>46115</v>
      </c>
      <c r="GN5" s="67">
        <f t="shared" si="28"/>
        <v>46116</v>
      </c>
      <c r="GO5" s="68">
        <f t="shared" si="28"/>
        <v>46117</v>
      </c>
      <c r="GP5" s="66">
        <f t="shared" si="28"/>
        <v>46118</v>
      </c>
      <c r="GQ5" s="67">
        <f t="shared" si="28"/>
        <v>46119</v>
      </c>
      <c r="GR5" s="67">
        <f t="shared" si="28"/>
        <v>46120</v>
      </c>
      <c r="GS5" s="67">
        <f t="shared" si="28"/>
        <v>46121</v>
      </c>
      <c r="GT5" s="67">
        <f t="shared" si="28"/>
        <v>46122</v>
      </c>
      <c r="GU5" s="67">
        <f t="shared" si="28"/>
        <v>46123</v>
      </c>
      <c r="GV5" s="68">
        <f t="shared" si="28"/>
        <v>46124</v>
      </c>
      <c r="GW5" s="66">
        <f t="shared" si="28"/>
        <v>46125</v>
      </c>
      <c r="GX5" s="67">
        <f t="shared" si="28"/>
        <v>46126</v>
      </c>
      <c r="GY5" s="67">
        <f t="shared" si="28"/>
        <v>46127</v>
      </c>
      <c r="GZ5" s="67">
        <f t="shared" si="28"/>
        <v>46128</v>
      </c>
      <c r="HA5" s="67">
        <f t="shared" si="28"/>
        <v>46129</v>
      </c>
      <c r="HB5" s="67">
        <f t="shared" si="28"/>
        <v>46130</v>
      </c>
      <c r="HC5" s="68">
        <f t="shared" si="28"/>
        <v>46131</v>
      </c>
      <c r="HD5" s="66">
        <f t="shared" si="28"/>
        <v>46132</v>
      </c>
      <c r="HE5" s="67">
        <f t="shared" si="28"/>
        <v>46133</v>
      </c>
      <c r="HF5" s="67">
        <f t="shared" si="28"/>
        <v>46134</v>
      </c>
      <c r="HG5" s="67">
        <f t="shared" si="28"/>
        <v>46135</v>
      </c>
      <c r="HH5" s="67">
        <f t="shared" si="28"/>
        <v>46136</v>
      </c>
      <c r="HI5" s="67">
        <f t="shared" si="28"/>
        <v>46137</v>
      </c>
      <c r="HJ5" s="68">
        <f t="shared" si="28"/>
        <v>46138</v>
      </c>
      <c r="HK5" s="66">
        <f t="shared" si="28"/>
        <v>46139</v>
      </c>
      <c r="HL5" s="67">
        <f t="shared" si="28"/>
        <v>46140</v>
      </c>
      <c r="HM5" s="67">
        <f t="shared" si="28"/>
        <v>46141</v>
      </c>
      <c r="HN5" s="67">
        <f t="shared" si="28"/>
        <v>46142</v>
      </c>
      <c r="HO5" s="67">
        <f t="shared" si="28"/>
        <v>46143</v>
      </c>
      <c r="HP5" s="67">
        <f t="shared" si="28"/>
        <v>46144</v>
      </c>
      <c r="HQ5" s="68">
        <f t="shared" si="28"/>
        <v>46145</v>
      </c>
      <c r="HR5" s="66">
        <f t="shared" si="28"/>
        <v>46146</v>
      </c>
      <c r="HS5" s="67">
        <f t="shared" si="28"/>
        <v>46147</v>
      </c>
      <c r="HT5" s="67">
        <f t="shared" si="28"/>
        <v>46148</v>
      </c>
      <c r="HU5" s="67">
        <f t="shared" si="28"/>
        <v>46149</v>
      </c>
      <c r="HV5" s="67">
        <f t="shared" si="28"/>
        <v>46150</v>
      </c>
      <c r="HW5" s="67">
        <f t="shared" si="28"/>
        <v>46151</v>
      </c>
      <c r="HX5" s="68">
        <f t="shared" si="28"/>
        <v>46152</v>
      </c>
      <c r="HY5" s="66">
        <f t="shared" si="28"/>
        <v>46153</v>
      </c>
      <c r="HZ5" s="67">
        <f t="shared" si="28"/>
        <v>46154</v>
      </c>
      <c r="IA5" s="67">
        <f t="shared" si="28"/>
        <v>46155</v>
      </c>
      <c r="IB5" s="67">
        <f t="shared" si="28"/>
        <v>46156</v>
      </c>
      <c r="IC5" s="67">
        <f t="shared" si="28"/>
        <v>46157</v>
      </c>
      <c r="ID5" s="67">
        <f t="shared" si="28"/>
        <v>46158</v>
      </c>
      <c r="IE5" s="68">
        <f t="shared" si="28"/>
        <v>46159</v>
      </c>
    </row>
    <row r="6" spans="1:239" ht="30" customHeight="1" thickBot="1">
      <c r="A6" s="34" t="s">
        <v>174</v>
      </c>
      <c r="B6" s="8" t="s">
        <v>175</v>
      </c>
      <c r="C6" s="9" t="s">
        <v>176</v>
      </c>
      <c r="D6" s="9" t="s">
        <v>248</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8" t="str">
        <f t="shared" si="30"/>
        <v>q</v>
      </c>
      <c r="CR6" s="78" t="str">
        <f t="shared" si="30"/>
        <v>q</v>
      </c>
      <c r="CS6" s="10" t="str">
        <f t="shared" si="30"/>
        <v>s</v>
      </c>
      <c r="CT6" s="10" t="str">
        <f t="shared" si="30"/>
        <v>s</v>
      </c>
      <c r="CU6" s="10" t="str">
        <f t="shared" si="30"/>
        <v>d</v>
      </c>
      <c r="CV6" s="10" t="str">
        <f t="shared" si="30"/>
        <v>s</v>
      </c>
      <c r="CW6" s="10" t="str">
        <f t="shared" si="30"/>
        <v>t</v>
      </c>
      <c r="CX6" s="78" t="str">
        <f t="shared" si="30"/>
        <v>q</v>
      </c>
      <c r="CY6" s="78"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4"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180</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182</v>
      </c>
      <c r="B8" s="15" t="s">
        <v>249</v>
      </c>
      <c r="C8" s="39"/>
      <c r="D8" s="16"/>
      <c r="E8" s="53"/>
      <c r="F8" s="54"/>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9"/>
      <c r="CR8" s="79"/>
      <c r="CS8" s="29"/>
      <c r="CT8" s="29"/>
      <c r="CU8" s="29"/>
      <c r="CV8" s="29"/>
      <c r="CW8" s="29"/>
      <c r="CX8" s="79"/>
      <c r="CY8" s="7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5"/>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184</v>
      </c>
      <c r="B9" s="46" t="s">
        <v>250</v>
      </c>
      <c r="C9" s="40"/>
      <c r="D9" s="17">
        <v>0</v>
      </c>
      <c r="E9" s="55">
        <f>Início_do_projeto</f>
        <v>45931</v>
      </c>
      <c r="F9" s="55">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9"/>
      <c r="CR9" s="79"/>
      <c r="CS9" s="29"/>
      <c r="CT9" s="29"/>
      <c r="CU9" s="29"/>
      <c r="CV9" s="29"/>
      <c r="CW9" s="29"/>
      <c r="CX9" s="79"/>
      <c r="CY9" s="7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5"/>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185</v>
      </c>
      <c r="B10" s="46" t="s">
        <v>251</v>
      </c>
      <c r="C10" s="40"/>
      <c r="D10" s="17">
        <v>1</v>
      </c>
      <c r="E10" s="55">
        <f>F9+1</f>
        <v>45945</v>
      </c>
      <c r="F10" s="55">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9"/>
      <c r="CR10" s="79"/>
      <c r="CS10" s="29"/>
      <c r="CT10" s="29"/>
      <c r="CU10" s="29"/>
      <c r="CV10" s="29"/>
      <c r="CW10" s="29"/>
      <c r="CX10" s="79"/>
      <c r="CY10" s="7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5"/>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252</v>
      </c>
      <c r="C11" s="40"/>
      <c r="D11" s="17"/>
      <c r="E11" s="55">
        <f>E10+60</f>
        <v>46005</v>
      </c>
      <c r="F11" s="55">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9"/>
      <c r="CR11" s="79"/>
      <c r="CS11" s="29"/>
      <c r="CT11" s="29"/>
      <c r="CU11" s="29"/>
      <c r="CV11" s="29"/>
      <c r="CW11" s="29"/>
      <c r="CX11" s="79"/>
      <c r="CY11" s="7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5"/>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253</v>
      </c>
      <c r="C12" s="40"/>
      <c r="D12" s="17">
        <v>0</v>
      </c>
      <c r="E12" s="55">
        <f>F10+1</f>
        <v>45975</v>
      </c>
      <c r="F12" s="55">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9"/>
      <c r="CR12" s="79"/>
      <c r="CS12" s="29"/>
      <c r="CT12" s="29"/>
      <c r="CU12" s="29"/>
      <c r="CV12" s="29"/>
      <c r="CW12" s="29"/>
      <c r="CX12" s="79"/>
      <c r="CY12" s="7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5"/>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251</v>
      </c>
      <c r="C13" s="40"/>
      <c r="D13" s="17">
        <v>1</v>
      </c>
      <c r="E13" s="55">
        <f>F12+1</f>
        <v>45989</v>
      </c>
      <c r="F13" s="55">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9"/>
      <c r="CR13" s="79"/>
      <c r="CS13" s="29"/>
      <c r="CT13" s="29"/>
      <c r="CU13" s="29"/>
      <c r="CV13" s="29"/>
      <c r="CW13" s="29"/>
      <c r="CX13" s="79"/>
      <c r="CY13" s="7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5"/>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254</v>
      </c>
      <c r="C14" s="40"/>
      <c r="D14" s="17">
        <v>0</v>
      </c>
      <c r="E14" s="55">
        <f>E27</f>
        <v>46017</v>
      </c>
      <c r="F14" s="55">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9"/>
      <c r="CR14" s="79"/>
      <c r="CS14" s="29"/>
      <c r="CT14" s="29"/>
      <c r="CU14" s="29"/>
      <c r="CV14" s="29"/>
      <c r="CW14" s="29"/>
      <c r="CX14" s="79"/>
      <c r="CY14" s="7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5"/>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251</v>
      </c>
      <c r="C15" s="40"/>
      <c r="D15" s="17">
        <v>1</v>
      </c>
      <c r="E15" s="55">
        <f>F14+1</f>
        <v>46031</v>
      </c>
      <c r="F15" s="55">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9"/>
      <c r="CR15" s="79"/>
      <c r="CS15" s="29"/>
      <c r="CT15" s="29"/>
      <c r="CU15" s="29"/>
      <c r="CV15" s="29"/>
      <c r="CW15" s="29"/>
      <c r="CX15" s="79"/>
      <c r="CY15" s="7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5"/>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188</v>
      </c>
      <c r="B16" s="18" t="s">
        <v>255</v>
      </c>
      <c r="C16" s="41"/>
      <c r="D16" s="19"/>
      <c r="E16" s="56"/>
      <c r="F16" s="57"/>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9"/>
      <c r="CR16" s="79"/>
      <c r="CS16" s="29"/>
      <c r="CT16" s="29"/>
      <c r="CU16" s="29"/>
      <c r="CV16" s="29"/>
      <c r="CW16" s="29"/>
      <c r="CX16" s="79"/>
      <c r="CY16" s="7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5"/>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250</v>
      </c>
      <c r="C17" s="42"/>
      <c r="D17" s="20">
        <v>0</v>
      </c>
      <c r="E17" s="58">
        <f>E10</f>
        <v>45945</v>
      </c>
      <c r="F17" s="58">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9"/>
      <c r="CR17" s="79"/>
      <c r="CS17" s="29"/>
      <c r="CT17" s="29"/>
      <c r="CU17" s="29"/>
      <c r="CV17" s="29"/>
      <c r="CW17" s="29"/>
      <c r="CX17" s="79"/>
      <c r="CY17" s="7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5"/>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251</v>
      </c>
      <c r="C18" s="42"/>
      <c r="D18" s="20">
        <v>1</v>
      </c>
      <c r="E18" s="58">
        <f>F17+1</f>
        <v>45959</v>
      </c>
      <c r="F18" s="58">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9"/>
      <c r="CR18" s="79"/>
      <c r="CS18" s="29"/>
      <c r="CT18" s="29"/>
      <c r="CU18" s="29"/>
      <c r="CV18" s="29"/>
      <c r="CW18" s="29"/>
      <c r="CX18" s="79"/>
      <c r="CY18" s="7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5"/>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253</v>
      </c>
      <c r="C19" s="42"/>
      <c r="D19" s="20">
        <v>0</v>
      </c>
      <c r="E19" s="58">
        <f>E13</f>
        <v>45989</v>
      </c>
      <c r="F19" s="58">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9"/>
      <c r="CR19" s="79"/>
      <c r="CS19" s="29"/>
      <c r="CT19" s="29"/>
      <c r="CU19" s="29"/>
      <c r="CV19" s="29"/>
      <c r="CW19" s="29"/>
      <c r="CX19" s="79"/>
      <c r="CY19" s="7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5"/>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251</v>
      </c>
      <c r="C20" s="42"/>
      <c r="D20" s="20">
        <v>1</v>
      </c>
      <c r="E20" s="58">
        <f>F19+1</f>
        <v>46003</v>
      </c>
      <c r="F20" s="58">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9"/>
      <c r="CR20" s="79"/>
      <c r="CS20" s="29"/>
      <c r="CT20" s="29"/>
      <c r="CU20" s="29"/>
      <c r="CV20" s="29"/>
      <c r="CW20" s="29"/>
      <c r="CX20" s="79"/>
      <c r="CY20" s="7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5"/>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254</v>
      </c>
      <c r="C21" s="42"/>
      <c r="D21" s="20">
        <v>0</v>
      </c>
      <c r="E21" s="58">
        <f>E15</f>
        <v>46031</v>
      </c>
      <c r="F21" s="58">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9"/>
      <c r="CR21" s="79"/>
      <c r="CS21" s="29"/>
      <c r="CT21" s="29"/>
      <c r="CU21" s="29"/>
      <c r="CV21" s="29"/>
      <c r="CW21" s="29"/>
      <c r="CX21" s="79"/>
      <c r="CY21" s="7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5"/>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251</v>
      </c>
      <c r="C22" s="42"/>
      <c r="D22" s="20">
        <v>1</v>
      </c>
      <c r="E22" s="58">
        <f>F21+1</f>
        <v>46045</v>
      </c>
      <c r="F22" s="58">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9"/>
      <c r="CR22" s="79"/>
      <c r="CS22" s="29"/>
      <c r="CT22" s="29"/>
      <c r="CU22" s="29"/>
      <c r="CV22" s="29"/>
      <c r="CW22" s="29"/>
      <c r="CX22" s="79"/>
      <c r="CY22" s="7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5"/>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197</v>
      </c>
      <c r="B23" s="21" t="s">
        <v>256</v>
      </c>
      <c r="C23" s="43"/>
      <c r="D23" s="22"/>
      <c r="E23" s="59"/>
      <c r="F23" s="60"/>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9"/>
      <c r="CR23" s="79"/>
      <c r="CS23" s="29"/>
      <c r="CT23" s="29"/>
      <c r="CU23" s="29"/>
      <c r="CV23" s="29"/>
      <c r="CW23" s="29"/>
      <c r="CX23" s="79"/>
      <c r="CY23" s="7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5"/>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250</v>
      </c>
      <c r="C24" s="44"/>
      <c r="D24" s="23">
        <v>0</v>
      </c>
      <c r="E24" s="61">
        <f>E18</f>
        <v>45959</v>
      </c>
      <c r="F24" s="61">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9"/>
      <c r="CR24" s="79"/>
      <c r="CS24" s="29"/>
      <c r="CT24" s="29"/>
      <c r="CU24" s="29"/>
      <c r="CV24" s="29"/>
      <c r="CW24" s="29"/>
      <c r="CX24" s="79"/>
      <c r="CY24" s="7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5"/>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251</v>
      </c>
      <c r="C25" s="44"/>
      <c r="D25" s="23">
        <v>1</v>
      </c>
      <c r="E25" s="61">
        <f>F24+1</f>
        <v>45973</v>
      </c>
      <c r="F25" s="61">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9"/>
      <c r="CR25" s="79"/>
      <c r="CS25" s="29"/>
      <c r="CT25" s="29"/>
      <c r="CU25" s="29"/>
      <c r="CV25" s="29"/>
      <c r="CW25" s="29"/>
      <c r="CX25" s="79"/>
      <c r="CY25" s="7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5"/>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253</v>
      </c>
      <c r="C26" s="44"/>
      <c r="D26" s="23">
        <v>0</v>
      </c>
      <c r="E26" s="61">
        <f>E20</f>
        <v>46003</v>
      </c>
      <c r="F26" s="61">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9"/>
      <c r="CR26" s="79"/>
      <c r="CS26" s="29"/>
      <c r="CT26" s="29"/>
      <c r="CU26" s="29"/>
      <c r="CV26" s="29"/>
      <c r="CW26" s="29"/>
      <c r="CX26" s="79"/>
      <c r="CY26" s="7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5"/>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251</v>
      </c>
      <c r="C27" s="44"/>
      <c r="D27" s="23">
        <v>1</v>
      </c>
      <c r="E27" s="61">
        <f>F26+1</f>
        <v>46017</v>
      </c>
      <c r="F27" s="61">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9"/>
      <c r="CR27" s="79"/>
      <c r="CS27" s="29"/>
      <c r="CT27" s="29"/>
      <c r="CU27" s="29"/>
      <c r="CV27" s="29"/>
      <c r="CW27" s="29"/>
      <c r="CX27" s="79"/>
      <c r="CY27" s="7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5"/>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254</v>
      </c>
      <c r="C28" s="44"/>
      <c r="D28" s="23">
        <v>0</v>
      </c>
      <c r="E28" s="61">
        <f>E22</f>
        <v>46045</v>
      </c>
      <c r="F28" s="61">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9"/>
      <c r="CR28" s="79"/>
      <c r="CS28" s="29"/>
      <c r="CT28" s="29"/>
      <c r="CU28" s="29"/>
      <c r="CV28" s="29"/>
      <c r="CW28" s="29"/>
      <c r="CX28" s="79"/>
      <c r="CY28" s="7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5"/>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251</v>
      </c>
      <c r="C29" s="44"/>
      <c r="D29" s="23">
        <v>1</v>
      </c>
      <c r="E29" s="61">
        <f>F28+1</f>
        <v>46059</v>
      </c>
      <c r="F29" s="61">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9"/>
      <c r="CR29" s="79"/>
      <c r="CS29" s="29"/>
      <c r="CT29" s="29"/>
      <c r="CU29" s="29"/>
      <c r="CV29" s="29"/>
      <c r="CW29" s="29"/>
      <c r="CX29" s="79"/>
      <c r="CY29" s="7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5"/>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242</v>
      </c>
      <c r="B30" s="50"/>
      <c r="C30" s="45"/>
      <c r="D30" s="13"/>
      <c r="E30" s="62"/>
      <c r="F30" s="62"/>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9"/>
      <c r="CR30" s="79"/>
      <c r="CS30" s="29"/>
      <c r="CT30" s="29"/>
      <c r="CU30" s="29"/>
      <c r="CV30" s="29"/>
      <c r="CW30" s="29"/>
      <c r="CX30" s="79"/>
      <c r="CY30" s="7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5"/>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243</v>
      </c>
      <c r="B31" s="25" t="s">
        <v>244</v>
      </c>
      <c r="C31" s="26"/>
      <c r="D31" s="27"/>
      <c r="E31" s="63"/>
      <c r="F31" s="64"/>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9"/>
      <c r="CR31" s="79"/>
      <c r="CS31" s="31"/>
      <c r="CT31" s="31"/>
      <c r="CU31" s="31"/>
      <c r="CV31" s="31"/>
      <c r="CW31" s="31"/>
      <c r="CX31" s="79"/>
      <c r="CY31" s="79"/>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5"/>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6b1458c9d347ad15ca8fc7eeeb118ad">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085090ddecb5c3841dfe64c902cf320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2A703D60-93F4-469A-A58C-9EAF3F13A249}"/>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Igor Teixeira da Silva</cp:lastModifiedBy>
  <cp:revision/>
  <dcterms:created xsi:type="dcterms:W3CDTF">2021-12-14T20:18:50Z</dcterms:created>
  <dcterms:modified xsi:type="dcterms:W3CDTF">2025-11-10T11:46:04Z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