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EstaPastaDeTrabalho"/>
  <xr:revisionPtr revIDLastSave="2101" documentId="101_S{B73360A1-8A99-5EFE-B3D7-B4540AB28558}" xr6:coauthVersionLast="47" xr6:coauthVersionMax="47" xr10:uidLastSave="{3CD0C6AF-A3A5-49B8-9D44-A57372E40A72}"/>
  <bookViews>
    <workbookView xWindow="28680" yWindow="1830" windowWidth="20730" windowHeight="11040" activeTab="1" xr2:uid="{00000000-000D-0000-FFFF-FFFF00000000}"/>
  </bookViews>
  <sheets>
    <sheet name="Equipe" sheetId="14" r:id="rId1"/>
    <sheet name="Planejamento IED" sheetId="11" r:id="rId2"/>
    <sheet name="3 Pessoas" sheetId="13" state="hidden" r:id="rId3"/>
  </sheets>
  <definedNames>
    <definedName name="_xlnm._FilterDatabase" localSheetId="0" hidden="1">Equipe!$A$1:$J$55</definedName>
    <definedName name="_xlnm._FilterDatabase" localSheetId="1" hidden="1">'Planejamento IED'!$A$6:$WS$61</definedName>
    <definedName name="Hoje" localSheetId="2">TODAY()</definedName>
    <definedName name="Hoje" localSheetId="1">TODAY()</definedName>
    <definedName name="Início_da_tarefa" localSheetId="2">'3 Pessoas'!$E1</definedName>
    <definedName name="Início_da_tarefa" localSheetId="1">'Planejamento IED'!$D1</definedName>
    <definedName name="Início_do_projeto" localSheetId="2">'3 Pessoas'!$E$3</definedName>
    <definedName name="Início_do_projeto">'Planejamento IED'!$E$3</definedName>
    <definedName name="Progresso_da_tarefa" localSheetId="2">'3 Pessoas'!$D1</definedName>
    <definedName name="Progresso_da_tarefa" localSheetId="1">'Planejamento IED'!#REF!</definedName>
    <definedName name="Semana_de_exibição" localSheetId="2">'3 Pessoas'!$E$4</definedName>
    <definedName name="Semana_de_exibição">'Planejamento IED'!$F$4</definedName>
    <definedName name="Término_da_tarefa" localSheetId="2">'3 Pessoas'!$F1</definedName>
    <definedName name="Término_da_tarefa" localSheetId="1">'Planejamento IED'!$E1</definedName>
    <definedName name="_xlnm.Print_Titles" localSheetId="2">'3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0" i="11" l="1"/>
  <c r="E86" i="11"/>
  <c r="D178" i="11"/>
  <c r="E176" i="11"/>
  <c r="E62" i="11"/>
  <c r="E63" i="11"/>
  <c r="E85" i="11"/>
  <c r="E84" i="11"/>
  <c r="E83" i="11"/>
  <c r="E82" i="11"/>
  <c r="E115" i="11" l="1"/>
  <c r="D118" i="11" s="1"/>
  <c r="E194" i="11"/>
  <c r="E125" i="11" l="1"/>
  <c r="D126" i="11" s="1"/>
  <c r="E126" i="11" s="1"/>
  <c r="D127" i="11" s="1"/>
  <c r="E127" i="11" s="1"/>
  <c r="E61" i="11"/>
  <c r="E60" i="11"/>
  <c r="E59" i="11"/>
  <c r="E109" i="11"/>
  <c r="D112" i="11" s="1"/>
  <c r="E112" i="11" s="1"/>
  <c r="E74" i="11"/>
  <c r="E75" i="11"/>
  <c r="E76" i="11"/>
  <c r="E77" i="11"/>
  <c r="E78" i="11"/>
  <c r="E79" i="11"/>
  <c r="E80" i="11"/>
  <c r="E58" i="11"/>
  <c r="E193" i="11"/>
  <c r="E160" i="11"/>
  <c r="E159" i="11"/>
  <c r="E158" i="11"/>
  <c r="E57" i="11"/>
  <c r="E56" i="11"/>
  <c r="E55" i="11"/>
  <c r="G103" i="11" l="1"/>
  <c r="G100" i="11"/>
  <c r="E191" i="11"/>
  <c r="E192" i="11" s="1"/>
  <c r="D190" i="11" l="1"/>
  <c r="G190" i="11" s="1"/>
  <c r="G157" i="11"/>
  <c r="G98" i="11" l="1"/>
  <c r="G159" i="11"/>
  <c r="G192" i="11"/>
  <c r="G191" i="11"/>
  <c r="G158" i="11"/>
  <c r="G193" i="11" l="1"/>
  <c r="G160" i="11"/>
  <c r="E107" i="11"/>
  <c r="D110" i="11" s="1"/>
  <c r="E167" i="11"/>
  <c r="E71" i="11"/>
  <c r="E53" i="11" l="1"/>
  <c r="E54" i="11"/>
  <c r="E72" i="11" l="1"/>
  <c r="E51" i="11"/>
  <c r="E50" i="11"/>
  <c r="E49" i="11"/>
  <c r="E48" i="11"/>
  <c r="E108" i="11" l="1"/>
  <c r="E106" i="11"/>
  <c r="E111" i="11" l="1"/>
  <c r="E45" i="11"/>
  <c r="E46" i="11"/>
  <c r="E44" i="11"/>
  <c r="E150" i="11" l="1"/>
  <c r="E149" i="11"/>
  <c r="E148" i="11"/>
  <c r="E147" i="11"/>
  <c r="E146" i="11"/>
  <c r="G95" i="11"/>
  <c r="G96" i="11"/>
  <c r="G97" i="11"/>
  <c r="G94" i="11"/>
  <c r="E145" i="11"/>
  <c r="E144" i="11"/>
  <c r="E141" i="11"/>
  <c r="E142" i="11"/>
  <c r="E139" i="11"/>
  <c r="E138" i="11"/>
  <c r="D180" i="11"/>
  <c r="G179" i="11"/>
  <c r="E73" i="11"/>
  <c r="E105" i="11"/>
  <c r="E110" i="11" s="1"/>
  <c r="E102" i="11"/>
  <c r="E135" i="11"/>
  <c r="E134" i="11"/>
  <c r="E89" i="11"/>
  <c r="G88" i="11"/>
  <c r="D136" i="11"/>
  <c r="D137" i="11" s="1"/>
  <c r="E164" i="11"/>
  <c r="E163" i="11"/>
  <c r="G162" i="11"/>
  <c r="C3" i="11"/>
  <c r="D14" i="11"/>
  <c r="E14" i="11" s="1"/>
  <c r="E13" i="11"/>
  <c r="E11" i="11"/>
  <c r="E10" i="11"/>
  <c r="E66" i="11"/>
  <c r="E114" i="11" l="1"/>
  <c r="E113" i="11"/>
  <c r="D117" i="11" s="1"/>
  <c r="D104" i="11"/>
  <c r="E104" i="11" s="1"/>
  <c r="E136" i="11"/>
  <c r="E143" i="11"/>
  <c r="E140" i="11"/>
  <c r="E137" i="11"/>
  <c r="E165" i="11"/>
  <c r="E168" i="11" s="1"/>
  <c r="D16" i="11"/>
  <c r="D15" i="11" s="1"/>
  <c r="D12" i="11"/>
  <c r="D171" i="11" l="1"/>
  <c r="E171" i="11" s="1"/>
  <c r="E118" i="11"/>
  <c r="D121" i="11" s="1"/>
  <c r="E117" i="11"/>
  <c r="D120" i="11" s="1"/>
  <c r="E15" i="11"/>
  <c r="D17" i="11"/>
  <c r="E17" i="11" s="1"/>
  <c r="E166" i="11"/>
  <c r="D169" i="11" s="1"/>
  <c r="E169" i="11" s="1"/>
  <c r="D116" i="11"/>
  <c r="D18" i="11"/>
  <c r="E18" i="11" s="1"/>
  <c r="E69" i="11"/>
  <c r="E16" i="11"/>
  <c r="E12" i="11"/>
  <c r="G153" i="11"/>
  <c r="F11" i="13"/>
  <c r="E11" i="13"/>
  <c r="H31" i="13"/>
  <c r="H30" i="13"/>
  <c r="H23" i="13"/>
  <c r="H16" i="13"/>
  <c r="E9" i="13"/>
  <c r="F9" i="13" s="1"/>
  <c r="H8" i="13"/>
  <c r="H7" i="13"/>
  <c r="I5" i="13"/>
  <c r="J5" i="13" s="1"/>
  <c r="K5" i="13" s="1"/>
  <c r="C3" i="13"/>
  <c r="G7" i="11"/>
  <c r="D173" i="11" l="1"/>
  <c r="E173" i="11" s="1"/>
  <c r="D175" i="11" s="1"/>
  <c r="E175" i="11"/>
  <c r="D177" i="11" s="1"/>
  <c r="D172" i="11"/>
  <c r="E172" i="11" s="1"/>
  <c r="D174" i="11" s="1"/>
  <c r="E174" i="11" s="1"/>
  <c r="E116" i="11"/>
  <c r="D119" i="11" s="1"/>
  <c r="E121" i="11"/>
  <c r="E120" i="11"/>
  <c r="D123" i="11" s="1"/>
  <c r="D19" i="11"/>
  <c r="E19" i="11" s="1"/>
  <c r="E70" i="11"/>
  <c r="I4" i="13"/>
  <c r="I6" i="13"/>
  <c r="J6" i="13"/>
  <c r="L5" i="13"/>
  <c r="K6" i="13"/>
  <c r="E178" i="11" l="1"/>
  <c r="E177" i="11"/>
  <c r="D124" i="11"/>
  <c r="E124" i="11" s="1"/>
  <c r="E119" i="11"/>
  <c r="D122" i="11" s="1"/>
  <c r="E123" i="11"/>
  <c r="D20" i="11"/>
  <c r="D21" i="11" s="1"/>
  <c r="E10" i="13"/>
  <c r="F10" i="13" s="1"/>
  <c r="E12" i="13" s="1"/>
  <c r="M5" i="13"/>
  <c r="L6" i="13"/>
  <c r="H9" i="13"/>
  <c r="H5" i="11"/>
  <c r="G198" i="11"/>
  <c r="G93" i="11"/>
  <c r="G90" i="11"/>
  <c r="G65" i="11"/>
  <c r="G9" i="11"/>
  <c r="E12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1"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9"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1"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2"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5"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<sst xmlns="http://schemas.openxmlformats.org/spreadsheetml/2006/main" count="807" uniqueCount="300">
  <si>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</si>
  <si>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</si>
  <si>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</si>
  <si>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</si>
  <si>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</si>
  <si>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</si>
  <si>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</si>
  <si>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</si>
  <si>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</si>
  <si>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</si>
  <si>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</si>
  <si>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</si>
  <si>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</si>
  <si>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</si>
  <si>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</si>
  <si>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</si>
  <si>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</si>
  <si>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</si>
  <si>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</si>
  <si>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</si>
  <si>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</si>
  <si>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</si>
  <si>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</si>
  <si>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</si>
  <si>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</si>
  <si>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</si>
  <si>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</si>
  <si>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</si>
  <si>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</si>
  <si>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</si>
  <si>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</si>
  <si>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</si>
  <si>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</si>
  <si>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</si>
  <si>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</si>
  <si>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</si>
  <si>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</si>
  <si>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</si>
  <si>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</si>
  <si>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</si>
  <si>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</si>
  <si>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</si>
  <si>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</si>
  <si>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</si>
  <si>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</si>
  <si>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</si>
  <si>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</si>
  <si>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</si>
  <si>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</si>
  <si>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</si>
  <si>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</si>
  <si>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</si>
  <si>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</si>
  <si>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</si>
  <si>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</si>
  <si>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</si>
  <si>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</si>
  <si>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</si>
  <si>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</si>
  <si>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</si>
  <si>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</si>
  <si>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</si>
  <si>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</si>
  <si>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</si>
  <si>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</si>
  <si>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</si>
  <si>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</si>
  <si>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</si>
  <si>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</si>
  <si>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</si>
  <si>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</si>
  <si>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</si>
  <si>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</si>
  <si>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</si>
  <si>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</si>
  <si>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</si>
  <si>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</si>
  <si>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</si>
  <si>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</si>
  <si>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</si>
  <si>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</si>
  <si>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</si>
  <si>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</si>
  <si>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</si>
  <si>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</si>
  <si>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</si>
  <si>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</si>
  <si>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</si>
  <si>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</si>
  <si>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</si>
  <si>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</si>
  <si>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</si>
  <si>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</si>
  <si>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</si>
  <si>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</si>
  <si>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</si>
  <si>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</si>
  <si>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</si>
  <si>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</si>
  <si>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</si>
  <si>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</si>
  <si>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</si>
  <si>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</si>
  <si>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</si>
  <si>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</si>
  <si>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</si>
  <si>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</si>
  <si>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</si>
  <si>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</si>
  <si>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</si>
  <si>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</si>
  <si>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</si>
  <si>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</si>
  <si>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</si>
  <si>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</si>
  <si>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</si>
  <si>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</si>
  <si>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</si>
  <si>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</si>
  <si>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</si>
  <si>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</si>
  <si>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</si>
  <si>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</si>
  <si>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</si>
  <si>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</si>
  <si>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</si>
  <si>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</si>
  <si>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</si>
  <si>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</si>
  <si>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</si>
  <si>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</si>
  <si>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</si>
  <si>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</si>
  <si>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</si>
  <si>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</si>
  <si>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</si>
  <si>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</si>
  <si>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</si>
  <si>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</si>
  <si>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</si>
  <si>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</si>
  <si>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</si>
  <si>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</si>
  <si>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</si>
  <si>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</si>
  <si>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</si>
  <si>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</si>
  <si>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</si>
  <si>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</si>
  <si>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</si>
  <si>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</si>
  <si>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</si>
  <si>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</si>
  <si>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</si>
  <si>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</si>
  <si>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</si>
  <si>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</si>
  <si>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</si>
  <si>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</si>
  <si>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</si>
  <si>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</si>
  <si>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</si>
  <si>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</si>
  <si>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</si>
  <si>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</si>
  <si>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</si>
  <si>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</si>
  <si>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</si>
  <si>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</si>
  <si>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</si>
  <si>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</si>
  <si>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</si>
  <si>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</si>
  <si>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</si>
  <si>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</si>
  <si>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</si>
  <si>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</si>
  <si>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</si>
  <si>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</si>
  <si>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</si>
  <si>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</si>
  <si>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</si>
  <si>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</si>
  <si>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</si>
  <si>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</si>
  <si>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</si>
  <si>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</si>
  <si>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</si>
  <si>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</si>
  <si>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</si>
  <si>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</si>
  <si>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</si>
  <si>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</si>
  <si>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</si>
  <si>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</si>
  <si>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</si>
  <si>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</si>
  <si>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</si>
  <si>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</si>
  <si>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</si>
  <si>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</si>
  <si>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</si>
  <si>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</si>
  <si>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</si>
  <si>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</si>
  <si>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</si>
  <si>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</si>
  <si>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</si>
  <si>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</si>
  <si>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</si>
  <si>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</si>
  <si>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</si>
  <si>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</si>
  <si>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</si>
  <si>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</si>
  <si>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</si>
  <si>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</si>
  <si>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</si>
  <si>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</si>
  <si>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</si>
  <si>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</si>
  <si>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</si>
  <si>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</si>
  <si>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</si>
  <si>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</si>
  <si>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</si>
  <si>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</si>
  <si>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</si>
  <si>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</si>
  <si>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</si>
  <si>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</si>
  <si>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</si>
  <si>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</si>
  <si>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</si>
  <si>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</si>
  <si>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</si>
  <si>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</si>
  <si>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</si>
  <si>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</si>
  <si>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</si>
  <si>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</si>
  <si>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</si>
  <si>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</si>
  <si>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</si>
  <si>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</si>
  <si>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</si>
  <si>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</si>
  <si>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</si>
  <si>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</si>
  <si>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</si>
  <si>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LUIZ VITOR</t>
  </si>
  <si>
    <t>Engenheiro PBAC</t>
  </si>
  <si>
    <t>e5</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</si>
  <si>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</si>
  <si>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</si>
  <si>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</si>
  <si>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</si>
  <si>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</si>
  <si>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</si>
  <si>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</si>
  <si>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</si>
  <si>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</si>
  <si>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</si>
  <si>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</si>
  <si>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</si>
  <si>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</si>
  <si>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</si>
  <si>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</si>
  <si>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</si>
  <si>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</si>
  <si>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</si>
  <si>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</si>
  <si>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</si>
  <si>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</si>
  <si>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</si>
  <si>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</si>
  <si>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</si>
  <si>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</si>
  <si>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</si>
  <si>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</si>
  <si>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</si>
  <si>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</si>
  <si>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</si>
  <si>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</si>
  <si>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</si>
  <si>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</si>
  <si>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</si>
  <si>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</si>
  <si>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</si>
  <si>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</si>
  <si>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</si>
  <si>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</si>
  <si>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</si>
  <si>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</si>
  <si>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</si>
  <si>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Gabriel Boaventura</t>
  </si>
  <si>
    <t>gabriel.boaventura@petrobras.com.br</t>
  </si>
  <si>
    <t>EVIA</t>
  </si>
  <si>
    <t>ATR</t>
  </si>
  <si>
    <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</si>
</sst>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u/>
      <sz val="11"/>
      <color indexed="12"/>
      <name val="Arial"/>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1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43" fillId="0" borderId="17" xfId="53" applyFont="1" applyBorder="1" applyAlignment="1">
      <alignment horizontal="center" vertical="center"/>
    </xf>
    <xf numFmtId="0" fontId="43" fillId="48" borderId="17" xfId="53"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8" fontId="31" fillId="0" borderId="3" xfId="8" applyFo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xf numFmtId="0" fontId="32" fillId="48" borderId="30" xfId="0" applyFont="1" applyFill="1" applyBorder="1" applyAlignment="1">
      <alignment horizontal="center" vertical="center"/>
    </xf>
    <xf numFmtId="0" fontId="31" fillId="48" borderId="0" xfId="0" applyFont="1" applyFill="1" applyBorder="1" applyAlignment="1">
      <alignment horizontal="center" vertical="center"/>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0">
    <dxf>
      <fill>
        <patternFill>
          <bgColor theme="5" tint="0.79998168889431442"/>
        </patternFill>
      </fill>
    </dxf>
    <dxf>
      <fill>
        <patternFill>
          <bgColor theme="4" tint="0.79998168889431442"/>
        </patternFill>
      </fill>
    </dxf>
    <dxf>
      <fill>
        <patternFill>
          <bgColor rgb="FFB381D9"/>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9"/>
      <tableStyleElement type="headerRow" dxfId="108"/>
      <tableStyleElement type="totalRow" dxfId="107"/>
      <tableStyleElement type="firstColumn" dxfId="106"/>
      <tableStyleElement type="lastColumn" dxfId="105"/>
      <tableStyleElement type="firstRowStripe" dxfId="104"/>
      <tableStyleElement type="secondRowStripe" dxfId="103"/>
      <tableStyleElement type="firstColumnStripe" dxfId="102"/>
      <tableStyleElement type="secondColumnStripe" dxfId="101"/>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1"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microsoft.com/office/2019/04/relationships/namedSheetView" Target="../namedSheetViews/namedSheetView1.xm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6"/>
  <sheetViews>
    <sheetView showGridLines="0" zoomScale="85" zoomScaleNormal="85" workbookViewId="0">
      <pane ySplit="1" topLeftCell="A39" activePane="bottomLeft" state="frozen"/>
      <selection pane="bottomLeft" activeCell="G56" sqref="G56"/>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453125" bestFit="1" customWidth="1"/>
    <col min="7" max="7" width="39.453125" customWidth="1"/>
    <col min="8" max="8" width="44.453125" customWidth="1"/>
    <col min="9" max="9" width="26.54296875" customWidth="1"/>
    <col min="10" max="10" width="22.54296875" style="5" customWidth="1"/>
  </cols>
  <sheetData>
    <row r="1" spans="1:10" x14ac:dyDescent="0.35">
      <c r="A1" s="88" t="s">
        <v>0</v>
      </c>
      <c r="B1" s="89" t="s">
        <v>1</v>
      </c>
      <c r="C1" s="89" t="s">
        <v>2</v>
      </c>
      <c r="D1" s="89" t="s">
        <v>3</v>
      </c>
      <c r="E1" s="90" t="s">
        <v>4</v>
      </c>
      <c r="F1" s="90" t="s">
        <v>5</v>
      </c>
      <c r="G1" s="90" t="s">
        <v>6</v>
      </c>
      <c r="H1" s="90" t="s">
        <v>7</v>
      </c>
      <c r="I1" s="153" t="s">
        <v>8</v>
      </c>
      <c r="J1" s="155" t="s">
        <v>9</v>
      </c>
    </row>
    <row r="2" spans="1:10" x14ac:dyDescent="0.35">
      <c r="A2" s="79" t="s">
        <v>10</v>
      </c>
      <c r="B2" s="91">
        <v>4612171</v>
      </c>
      <c r="C2" s="91" t="s">
        <v>11</v>
      </c>
      <c r="D2" s="92" t="s">
        <v>12</v>
      </c>
      <c r="E2" s="93" t="s">
        <v>13</v>
      </c>
      <c r="F2" s="93" t="s">
        <v>14</v>
      </c>
      <c r="G2" s="168" t="s">
        <v>15</v>
      </c>
      <c r="H2" s="93" t="s">
        <v>16</v>
      </c>
      <c r="I2" s="154" t="s">
        <v>17</v>
      </c>
      <c r="J2" s="156"/>
    </row>
    <row r="3" spans="1:10" x14ac:dyDescent="0.35">
      <c r="A3" s="79" t="s">
        <v>10</v>
      </c>
      <c r="B3" s="94">
        <v>4612050</v>
      </c>
      <c r="C3" s="94" t="s">
        <v>18</v>
      </c>
      <c r="D3" s="95" t="s">
        <v>12</v>
      </c>
      <c r="E3" s="93" t="s">
        <v>19</v>
      </c>
      <c r="F3" s="96" t="s">
        <v>14</v>
      </c>
      <c r="G3" s="169" t="s">
        <v>20</v>
      </c>
      <c r="H3" s="96" t="s">
        <v>21</v>
      </c>
      <c r="I3" s="154" t="s">
        <v>22</v>
      </c>
      <c r="J3" s="156"/>
    </row>
    <row r="4" spans="1:10" x14ac:dyDescent="0.35">
      <c r="A4" s="79" t="s">
        <v>10</v>
      </c>
      <c r="B4" s="91">
        <v>4612140</v>
      </c>
      <c r="C4" s="91" t="s">
        <v>23</v>
      </c>
      <c r="D4" s="92" t="s">
        <v>12</v>
      </c>
      <c r="E4" s="99" t="s">
        <v>24</v>
      </c>
      <c r="F4" s="93" t="s">
        <v>14</v>
      </c>
      <c r="G4" s="168" t="s">
        <v>25</v>
      </c>
      <c r="H4" s="93" t="s">
        <v>26</v>
      </c>
      <c r="I4" s="154" t="s">
        <v>17</v>
      </c>
      <c r="J4" s="156"/>
    </row>
    <row r="5" spans="1:10" x14ac:dyDescent="0.35">
      <c r="A5" s="79" t="s">
        <v>10</v>
      </c>
      <c r="B5" s="94">
        <v>9842940</v>
      </c>
      <c r="C5" s="94" t="s">
        <v>27</v>
      </c>
      <c r="D5" s="95" t="s">
        <v>12</v>
      </c>
      <c r="E5" s="96" t="s">
        <v>13</v>
      </c>
      <c r="F5" s="96" t="s">
        <v>14</v>
      </c>
      <c r="G5" s="169" t="s">
        <v>28</v>
      </c>
      <c r="H5" s="96" t="s">
        <v>29</v>
      </c>
      <c r="I5" s="154" t="s">
        <v>30</v>
      </c>
      <c r="J5" s="157"/>
    </row>
    <row r="6" spans="1:10" x14ac:dyDescent="0.35">
      <c r="A6" s="79" t="s">
        <v>31</v>
      </c>
      <c r="B6" s="91">
        <v>9886449</v>
      </c>
      <c r="C6" s="91" t="s">
        <v>32</v>
      </c>
      <c r="D6" s="92" t="s">
        <v>12</v>
      </c>
      <c r="E6" s="93" t="s">
        <v>13</v>
      </c>
      <c r="F6" s="93" t="s">
        <v>33</v>
      </c>
      <c r="G6" s="168" t="s">
        <v>34</v>
      </c>
      <c r="H6" s="93" t="s">
        <v>35</v>
      </c>
      <c r="I6" s="154" t="s">
        <v>22</v>
      </c>
      <c r="J6" s="157" t="s">
        <v>36</v>
      </c>
    </row>
    <row r="7" spans="1:10" x14ac:dyDescent="0.35">
      <c r="A7" s="97" t="s">
        <v>31</v>
      </c>
      <c r="B7" s="94">
        <v>4608721</v>
      </c>
      <c r="C7" s="94" t="s">
        <v>37</v>
      </c>
      <c r="D7" s="98" t="s">
        <v>12</v>
      </c>
      <c r="E7" s="99" t="s">
        <v>13</v>
      </c>
      <c r="F7" s="99" t="s">
        <v>14</v>
      </c>
      <c r="G7" s="158" t="s">
        <v>38</v>
      </c>
      <c r="H7" s="99" t="s">
        <v>39</v>
      </c>
      <c r="I7" s="154" t="s">
        <v>22</v>
      </c>
      <c r="J7" s="157"/>
    </row>
    <row r="8" spans="1:10" x14ac:dyDescent="0.35">
      <c r="A8" s="97" t="s">
        <v>31</v>
      </c>
      <c r="B8" s="91">
        <v>1385894</v>
      </c>
      <c r="C8" s="91" t="s">
        <v>40</v>
      </c>
      <c r="D8" s="100" t="s">
        <v>12</v>
      </c>
      <c r="E8" s="101" t="s">
        <v>13</v>
      </c>
      <c r="F8" s="101" t="s">
        <v>33</v>
      </c>
      <c r="G8" s="170" t="s">
        <v>41</v>
      </c>
      <c r="H8" s="101" t="s">
        <v>42</v>
      </c>
      <c r="I8" s="154" t="s">
        <v>22</v>
      </c>
      <c r="J8" s="157" t="s">
        <v>43</v>
      </c>
    </row>
    <row r="9" spans="1:10" x14ac:dyDescent="0.35">
      <c r="A9" s="97" t="s">
        <v>31</v>
      </c>
      <c r="B9" s="94">
        <v>4608685</v>
      </c>
      <c r="C9" s="94" t="s">
        <v>44</v>
      </c>
      <c r="D9" s="98" t="s">
        <v>12</v>
      </c>
      <c r="E9" s="99" t="s">
        <v>13</v>
      </c>
      <c r="F9" s="99" t="s">
        <v>14</v>
      </c>
      <c r="G9" s="158" t="s">
        <v>45</v>
      </c>
      <c r="H9" s="99" t="s">
        <v>46</v>
      </c>
      <c r="I9" s="154" t="s">
        <v>22</v>
      </c>
      <c r="J9" s="157"/>
    </row>
    <row r="10" spans="1:10" ht="43.5" x14ac:dyDescent="0.35">
      <c r="A10" s="97" t="s">
        <v>47</v>
      </c>
      <c r="B10" s="91">
        <v>9762281</v>
      </c>
      <c r="C10" s="91" t="s">
        <v>48</v>
      </c>
      <c r="D10" s="100" t="s">
        <v>12</v>
      </c>
      <c r="E10" s="101" t="s">
        <v>13</v>
      </c>
      <c r="F10" s="101" t="s">
        <v>33</v>
      </c>
      <c r="G10" s="170" t="s">
        <v>49</v>
      </c>
      <c r="H10" s="101" t="s">
        <v>50</v>
      </c>
      <c r="I10" s="154" t="s">
        <v>22</v>
      </c>
      <c r="J10" s="159" t="s">
        <v>51</v>
      </c>
    </row>
    <row r="11" spans="1:10" x14ac:dyDescent="0.35">
      <c r="A11" s="97" t="s">
        <v>47</v>
      </c>
      <c r="B11" s="94">
        <v>9683150</v>
      </c>
      <c r="C11" s="94" t="s">
        <v>52</v>
      </c>
      <c r="D11" s="98" t="s">
        <v>12</v>
      </c>
      <c r="E11" s="99" t="s">
        <v>13</v>
      </c>
      <c r="F11" s="99" t="s">
        <v>33</v>
      </c>
      <c r="G11" s="158" t="s">
        <v>53</v>
      </c>
      <c r="H11" s="99" t="s">
        <v>54</v>
      </c>
      <c r="I11" s="154" t="s">
        <v>22</v>
      </c>
      <c r="J11" s="157" t="s">
        <v>55</v>
      </c>
    </row>
    <row r="12" spans="1:10" x14ac:dyDescent="0.35">
      <c r="A12" s="79" t="s">
        <v>47</v>
      </c>
      <c r="B12" s="91">
        <v>2440812</v>
      </c>
      <c r="C12" s="91" t="s">
        <v>56</v>
      </c>
      <c r="D12" s="92" t="s">
        <v>57</v>
      </c>
      <c r="E12" s="93" t="s">
        <v>13</v>
      </c>
      <c r="F12" s="93" t="s">
        <v>33</v>
      </c>
      <c r="G12" s="168" t="s">
        <v>58</v>
      </c>
      <c r="H12" s="93" t="s">
        <v>59</v>
      </c>
      <c r="I12" s="154" t="s">
        <v>22</v>
      </c>
      <c r="J12" s="157"/>
    </row>
    <row r="13" spans="1:10" x14ac:dyDescent="0.35">
      <c r="A13" s="97" t="s">
        <v>47</v>
      </c>
      <c r="B13" s="94">
        <v>1381625</v>
      </c>
      <c r="C13" s="94" t="s">
        <v>60</v>
      </c>
      <c r="D13" s="95" t="s">
        <v>12</v>
      </c>
      <c r="E13" s="96" t="s">
        <v>13</v>
      </c>
      <c r="F13" s="96" t="s">
        <v>33</v>
      </c>
      <c r="G13" s="169" t="s">
        <v>61</v>
      </c>
      <c r="H13" s="96" t="s">
        <v>62</v>
      </c>
      <c r="I13" s="154" t="s">
        <v>22</v>
      </c>
      <c r="J13" s="157"/>
    </row>
    <row r="14" spans="1:10" x14ac:dyDescent="0.35">
      <c r="A14" s="79" t="s">
        <v>47</v>
      </c>
      <c r="B14" s="91">
        <v>4608389</v>
      </c>
      <c r="C14" s="91" t="s">
        <v>63</v>
      </c>
      <c r="D14" s="92" t="s">
        <v>12</v>
      </c>
      <c r="E14" s="93" t="s">
        <v>13</v>
      </c>
      <c r="F14" s="93" t="s">
        <v>14</v>
      </c>
      <c r="G14" s="168" t="s">
        <v>64</v>
      </c>
      <c r="H14" s="93" t="s">
        <v>65</v>
      </c>
      <c r="I14" s="154" t="s">
        <v>22</v>
      </c>
      <c r="J14" s="157"/>
    </row>
    <row r="15" spans="1:10" x14ac:dyDescent="0.35">
      <c r="A15" s="97" t="s">
        <v>10</v>
      </c>
      <c r="B15" s="94">
        <v>4608544</v>
      </c>
      <c r="C15" s="94" t="s">
        <v>66</v>
      </c>
      <c r="D15" s="95" t="s">
        <v>12</v>
      </c>
      <c r="E15" s="96" t="s">
        <v>19</v>
      </c>
      <c r="F15" s="96" t="s">
        <v>14</v>
      </c>
      <c r="G15" s="169" t="s">
        <v>67</v>
      </c>
      <c r="H15" s="96" t="s">
        <v>68</v>
      </c>
      <c r="I15" s="154" t="s">
        <v>22</v>
      </c>
      <c r="J15" s="157"/>
    </row>
    <row r="16" spans="1:10" x14ac:dyDescent="0.35">
      <c r="A16" s="97" t="s">
        <v>31</v>
      </c>
      <c r="B16" s="91">
        <v>4608474</v>
      </c>
      <c r="C16" s="91" t="s">
        <v>69</v>
      </c>
      <c r="D16" s="92" t="s">
        <v>12</v>
      </c>
      <c r="E16" s="93" t="s">
        <v>19</v>
      </c>
      <c r="F16" s="101" t="s">
        <v>14</v>
      </c>
      <c r="G16" s="170" t="s">
        <v>70</v>
      </c>
      <c r="H16" s="101" t="s">
        <v>71</v>
      </c>
      <c r="I16" s="154" t="s">
        <v>22</v>
      </c>
      <c r="J16" s="157"/>
    </row>
    <row r="17" spans="1:10" x14ac:dyDescent="0.35">
      <c r="A17" s="79" t="s">
        <v>31</v>
      </c>
      <c r="B17" s="94">
        <v>1386344</v>
      </c>
      <c r="C17" s="94" t="s">
        <v>72</v>
      </c>
      <c r="D17" s="98" t="s">
        <v>12</v>
      </c>
      <c r="E17" s="99" t="s">
        <v>19</v>
      </c>
      <c r="F17" s="99" t="s">
        <v>33</v>
      </c>
      <c r="G17" s="158" t="s">
        <v>73</v>
      </c>
      <c r="H17" s="99" t="s">
        <v>74</v>
      </c>
      <c r="I17" s="154" t="s">
        <v>22</v>
      </c>
      <c r="J17" s="157" t="s">
        <v>55</v>
      </c>
    </row>
    <row r="18" spans="1:10" x14ac:dyDescent="0.35">
      <c r="A18" s="79" t="s">
        <v>31</v>
      </c>
      <c r="B18" s="91">
        <v>4608684</v>
      </c>
      <c r="C18" s="91" t="s">
        <v>75</v>
      </c>
      <c r="D18" s="100" t="s">
        <v>12</v>
      </c>
      <c r="E18" s="101" t="s">
        <v>19</v>
      </c>
      <c r="F18" s="101" t="s">
        <v>14</v>
      </c>
      <c r="G18" s="170" t="s">
        <v>76</v>
      </c>
      <c r="H18" s="93" t="s">
        <v>77</v>
      </c>
      <c r="I18" s="154" t="s">
        <v>22</v>
      </c>
      <c r="J18" s="157"/>
    </row>
    <row r="19" spans="1:10" x14ac:dyDescent="0.35">
      <c r="A19" s="79" t="s">
        <v>47</v>
      </c>
      <c r="B19" s="94">
        <v>9612082</v>
      </c>
      <c r="C19" s="94" t="s">
        <v>78</v>
      </c>
      <c r="D19" s="98" t="s">
        <v>12</v>
      </c>
      <c r="E19" s="99" t="s">
        <v>19</v>
      </c>
      <c r="F19" s="96" t="s">
        <v>33</v>
      </c>
      <c r="G19" s="158" t="s">
        <v>79</v>
      </c>
      <c r="H19" s="99" t="s">
        <v>80</v>
      </c>
      <c r="I19" s="154" t="s">
        <v>22</v>
      </c>
      <c r="J19" s="157"/>
    </row>
    <row r="20" spans="1:10" x14ac:dyDescent="0.35">
      <c r="A20" s="79" t="s">
        <v>47</v>
      </c>
      <c r="B20" s="91">
        <v>9618720</v>
      </c>
      <c r="C20" s="91" t="s">
        <v>81</v>
      </c>
      <c r="D20" s="100" t="s">
        <v>12</v>
      </c>
      <c r="E20" s="101" t="s">
        <v>19</v>
      </c>
      <c r="F20" s="93" t="s">
        <v>33</v>
      </c>
      <c r="G20" s="170" t="s">
        <v>82</v>
      </c>
      <c r="H20" s="101" t="s">
        <v>83</v>
      </c>
      <c r="I20" s="154" t="s">
        <v>22</v>
      </c>
      <c r="J20" s="157" t="s">
        <v>43</v>
      </c>
    </row>
    <row r="21" spans="1:10" x14ac:dyDescent="0.35">
      <c r="A21" s="79" t="s">
        <v>47</v>
      </c>
      <c r="B21" s="94">
        <v>9724817</v>
      </c>
      <c r="C21" s="94" t="s">
        <v>84</v>
      </c>
      <c r="D21" s="98" t="s">
        <v>12</v>
      </c>
      <c r="E21" s="99" t="s">
        <v>19</v>
      </c>
      <c r="F21" s="96" t="s">
        <v>33</v>
      </c>
      <c r="G21" s="158" t="s">
        <v>85</v>
      </c>
      <c r="H21" s="99" t="s">
        <v>86</v>
      </c>
      <c r="I21" s="154" t="s">
        <v>22</v>
      </c>
      <c r="J21" s="157"/>
    </row>
    <row r="22" spans="1:10" x14ac:dyDescent="0.35">
      <c r="A22" s="79" t="s">
        <v>47</v>
      </c>
      <c r="B22" s="91">
        <v>2460800</v>
      </c>
      <c r="C22" s="91" t="s">
        <v>87</v>
      </c>
      <c r="D22" s="100" t="s">
        <v>57</v>
      </c>
      <c r="E22" s="101" t="s">
        <v>19</v>
      </c>
      <c r="F22" s="93" t="s">
        <v>33</v>
      </c>
      <c r="G22" s="168" t="s">
        <v>88</v>
      </c>
      <c r="H22" s="93" t="s">
        <v>89</v>
      </c>
      <c r="I22" s="154" t="s">
        <v>30</v>
      </c>
      <c r="J22" s="157"/>
    </row>
    <row r="23" spans="1:10" x14ac:dyDescent="0.35">
      <c r="A23" s="79" t="s">
        <v>10</v>
      </c>
      <c r="B23" s="94">
        <v>4608559</v>
      </c>
      <c r="C23" s="94" t="s">
        <v>90</v>
      </c>
      <c r="D23" s="98" t="s">
        <v>12</v>
      </c>
      <c r="E23" s="99" t="s">
        <v>24</v>
      </c>
      <c r="F23" s="99" t="s">
        <v>14</v>
      </c>
      <c r="G23" s="158" t="s">
        <v>91</v>
      </c>
      <c r="H23" s="99" t="s">
        <v>92</v>
      </c>
      <c r="I23" s="154" t="s">
        <v>22</v>
      </c>
      <c r="J23" s="156"/>
    </row>
    <row r="24" spans="1:10" x14ac:dyDescent="0.35">
      <c r="A24" s="79" t="s">
        <v>31</v>
      </c>
      <c r="B24" s="91">
        <v>4608411</v>
      </c>
      <c r="C24" s="91" t="s">
        <v>93</v>
      </c>
      <c r="D24" s="100" t="s">
        <v>12</v>
      </c>
      <c r="E24" s="101" t="s">
        <v>24</v>
      </c>
      <c r="F24" s="93" t="s">
        <v>14</v>
      </c>
      <c r="G24" s="170" t="s">
        <v>94</v>
      </c>
      <c r="H24" s="101" t="s">
        <v>95</v>
      </c>
      <c r="I24" s="154" t="s">
        <v>22</v>
      </c>
      <c r="J24" s="156"/>
    </row>
    <row r="25" spans="1:10" x14ac:dyDescent="0.35">
      <c r="A25" s="79" t="s">
        <v>31</v>
      </c>
      <c r="B25" s="94">
        <v>9634180</v>
      </c>
      <c r="C25" s="94" t="s">
        <v>96</v>
      </c>
      <c r="D25" s="95" t="s">
        <v>12</v>
      </c>
      <c r="E25" s="96" t="s">
        <v>24</v>
      </c>
      <c r="F25" s="96" t="s">
        <v>33</v>
      </c>
      <c r="G25" s="169" t="s">
        <v>97</v>
      </c>
      <c r="H25" s="96" t="s">
        <v>98</v>
      </c>
      <c r="I25" s="154" t="s">
        <v>22</v>
      </c>
      <c r="J25" s="156"/>
    </row>
    <row r="26" spans="1:10" x14ac:dyDescent="0.35">
      <c r="A26" s="79" t="s">
        <v>47</v>
      </c>
      <c r="B26" s="91">
        <v>4608780</v>
      </c>
      <c r="C26" s="91" t="s">
        <v>99</v>
      </c>
      <c r="D26" s="92" t="s">
        <v>12</v>
      </c>
      <c r="E26" s="93" t="s">
        <v>24</v>
      </c>
      <c r="F26" s="93" t="s">
        <v>14</v>
      </c>
      <c r="G26" s="168" t="s">
        <v>100</v>
      </c>
      <c r="H26" s="93" t="s">
        <v>101</v>
      </c>
      <c r="I26" s="154" t="s">
        <v>22</v>
      </c>
      <c r="J26" s="156"/>
    </row>
    <row r="27" spans="1:10" x14ac:dyDescent="0.35">
      <c r="A27" s="79" t="s">
        <v>47</v>
      </c>
      <c r="B27" s="94">
        <v>2475130</v>
      </c>
      <c r="C27" s="94" t="s">
        <v>102</v>
      </c>
      <c r="D27" s="95" t="s">
        <v>12</v>
      </c>
      <c r="E27" s="96" t="s">
        <v>24</v>
      </c>
      <c r="F27" s="96" t="s">
        <v>33</v>
      </c>
      <c r="G27" s="158" t="s">
        <v>103</v>
      </c>
      <c r="H27" s="99" t="s">
        <v>104</v>
      </c>
      <c r="I27" s="154" t="s">
        <v>30</v>
      </c>
      <c r="J27" s="157" t="s">
        <v>105</v>
      </c>
    </row>
    <row r="28" spans="1:10" x14ac:dyDescent="0.35">
      <c r="A28" s="79" t="s">
        <v>47</v>
      </c>
      <c r="B28" s="91">
        <v>2477135</v>
      </c>
      <c r="C28" s="91" t="s">
        <v>106</v>
      </c>
      <c r="D28" s="92" t="s">
        <v>12</v>
      </c>
      <c r="E28" s="93" t="s">
        <v>24</v>
      </c>
      <c r="F28" s="93" t="s">
        <v>33</v>
      </c>
      <c r="G28" s="170" t="s">
        <v>107</v>
      </c>
      <c r="H28" s="101" t="s">
        <v>108</v>
      </c>
      <c r="I28" s="154" t="s">
        <v>22</v>
      </c>
      <c r="J28" s="156"/>
    </row>
    <row r="29" spans="1:10" x14ac:dyDescent="0.35">
      <c r="A29" s="79" t="s">
        <v>10</v>
      </c>
      <c r="B29" s="94">
        <v>4606246</v>
      </c>
      <c r="C29" s="94" t="s">
        <v>109</v>
      </c>
      <c r="D29" s="95" t="s">
        <v>110</v>
      </c>
      <c r="E29" s="99" t="s">
        <v>111</v>
      </c>
      <c r="F29" s="96" t="s">
        <v>14</v>
      </c>
      <c r="G29" s="158" t="s">
        <v>112</v>
      </c>
      <c r="H29" s="99" t="s">
        <v>113</v>
      </c>
      <c r="I29" s="154" t="s">
        <v>22</v>
      </c>
      <c r="J29" s="157"/>
    </row>
    <row r="30" spans="1:10" x14ac:dyDescent="0.35">
      <c r="A30" s="79" t="s">
        <v>31</v>
      </c>
      <c r="B30" s="91">
        <v>4606308</v>
      </c>
      <c r="C30" s="91" t="s">
        <v>114</v>
      </c>
      <c r="D30" s="92" t="s">
        <v>110</v>
      </c>
      <c r="E30" s="101" t="s">
        <v>111</v>
      </c>
      <c r="F30" s="93" t="s">
        <v>14</v>
      </c>
      <c r="G30" s="170" t="s">
        <v>115</v>
      </c>
      <c r="H30" s="101" t="s">
        <v>116</v>
      </c>
      <c r="I30" s="154" t="s">
        <v>30</v>
      </c>
      <c r="J30" s="157"/>
    </row>
    <row r="31" spans="1:10" x14ac:dyDescent="0.35">
      <c r="A31" s="79" t="s">
        <v>31</v>
      </c>
      <c r="B31" s="94">
        <v>9634222</v>
      </c>
      <c r="C31" s="94" t="s">
        <v>117</v>
      </c>
      <c r="D31" s="95" t="s">
        <v>12</v>
      </c>
      <c r="E31" s="99" t="s">
        <v>24</v>
      </c>
      <c r="F31" s="96" t="s">
        <v>33</v>
      </c>
      <c r="G31" s="158" t="s">
        <v>118</v>
      </c>
      <c r="H31" s="99" t="s">
        <v>119</v>
      </c>
      <c r="I31" s="154" t="s">
        <v>22</v>
      </c>
      <c r="J31" s="157" t="s">
        <v>55</v>
      </c>
    </row>
    <row r="32" spans="1:10" x14ac:dyDescent="0.35">
      <c r="A32" s="79" t="s">
        <v>31</v>
      </c>
      <c r="B32" s="91">
        <v>229316</v>
      </c>
      <c r="C32" s="91" t="s">
        <v>120</v>
      </c>
      <c r="D32" s="91" t="s">
        <v>110</v>
      </c>
      <c r="E32" s="81" t="s">
        <v>111</v>
      </c>
      <c r="F32" s="81" t="s">
        <v>33</v>
      </c>
      <c r="G32" s="171" t="s">
        <v>121</v>
      </c>
      <c r="H32" s="81" t="s">
        <v>122</v>
      </c>
      <c r="I32" s="154" t="s">
        <v>22</v>
      </c>
      <c r="J32" s="157"/>
    </row>
    <row r="33" spans="1:10" x14ac:dyDescent="0.35">
      <c r="A33" s="79" t="s">
        <v>47</v>
      </c>
      <c r="B33" s="94">
        <v>2493288</v>
      </c>
      <c r="C33" s="94" t="s">
        <v>123</v>
      </c>
      <c r="D33" s="94" t="s">
        <v>110</v>
      </c>
      <c r="E33" s="80" t="s">
        <v>111</v>
      </c>
      <c r="F33" s="96" t="s">
        <v>33</v>
      </c>
      <c r="G33" s="172" t="s">
        <v>124</v>
      </c>
      <c r="H33" s="80" t="s">
        <v>125</v>
      </c>
      <c r="I33" s="154" t="s">
        <v>22</v>
      </c>
      <c r="J33" s="157"/>
    </row>
    <row r="34" spans="1:10" x14ac:dyDescent="0.35">
      <c r="A34" s="79" t="s">
        <v>47</v>
      </c>
      <c r="B34" s="91">
        <v>214272</v>
      </c>
      <c r="C34" s="91" t="s">
        <v>126</v>
      </c>
      <c r="D34" s="91" t="s">
        <v>110</v>
      </c>
      <c r="E34" s="81" t="s">
        <v>111</v>
      </c>
      <c r="F34" s="93" t="s">
        <v>33</v>
      </c>
      <c r="G34" s="171" t="s">
        <v>127</v>
      </c>
      <c r="H34" s="81" t="s">
        <v>128</v>
      </c>
      <c r="I34" s="154" t="s">
        <v>22</v>
      </c>
      <c r="J34" s="157"/>
    </row>
    <row r="35" spans="1:10" x14ac:dyDescent="0.35">
      <c r="A35" s="79" t="s">
        <v>47</v>
      </c>
      <c r="B35" s="94">
        <v>4606694</v>
      </c>
      <c r="C35" s="94" t="s">
        <v>129</v>
      </c>
      <c r="D35" s="95" t="s">
        <v>110</v>
      </c>
      <c r="E35" s="80" t="s">
        <v>111</v>
      </c>
      <c r="F35" s="80" t="s">
        <v>14</v>
      </c>
      <c r="G35" s="172" t="s">
        <v>130</v>
      </c>
      <c r="H35" s="80" t="s">
        <v>131</v>
      </c>
      <c r="I35" s="154" t="s">
        <v>30</v>
      </c>
      <c r="J35" s="157"/>
    </row>
    <row r="36" spans="1:10" x14ac:dyDescent="0.35">
      <c r="A36" s="79" t="s">
        <v>47</v>
      </c>
      <c r="B36" s="91">
        <v>2430855</v>
      </c>
      <c r="C36" s="91" t="s">
        <v>132</v>
      </c>
      <c r="D36" s="92" t="s">
        <v>12</v>
      </c>
      <c r="E36" s="81" t="s">
        <v>111</v>
      </c>
      <c r="F36" s="81" t="s">
        <v>33</v>
      </c>
      <c r="G36" s="171" t="s">
        <v>133</v>
      </c>
      <c r="H36" s="81" t="s">
        <v>134</v>
      </c>
      <c r="I36" s="154" t="s">
        <v>22</v>
      </c>
      <c r="J36" s="157"/>
    </row>
    <row r="37" spans="1:10" x14ac:dyDescent="0.35">
      <c r="A37" s="79" t="s">
        <v>47</v>
      </c>
      <c r="B37" s="94">
        <v>4604625</v>
      </c>
      <c r="C37" s="94" t="s">
        <v>135</v>
      </c>
      <c r="D37" s="95" t="s">
        <v>136</v>
      </c>
      <c r="E37" s="80" t="s">
        <v>111</v>
      </c>
      <c r="F37" s="80" t="s">
        <v>14</v>
      </c>
      <c r="G37" s="172" t="s">
        <v>137</v>
      </c>
      <c r="H37" s="80" t="s">
        <v>138</v>
      </c>
      <c r="I37" s="154" t="s">
        <v>22</v>
      </c>
      <c r="J37" s="157"/>
    </row>
    <row r="38" spans="1:10" x14ac:dyDescent="0.35">
      <c r="A38" s="79" t="s">
        <v>47</v>
      </c>
      <c r="B38" s="91">
        <v>4612098</v>
      </c>
      <c r="C38" s="91" t="s">
        <v>139</v>
      </c>
      <c r="D38" s="92" t="s">
        <v>12</v>
      </c>
      <c r="E38" s="93" t="s">
        <v>13</v>
      </c>
      <c r="F38" s="81" t="s">
        <v>14</v>
      </c>
      <c r="G38" s="171" t="s">
        <v>140</v>
      </c>
      <c r="H38" s="81" t="s">
        <v>141</v>
      </c>
      <c r="I38" s="154" t="s">
        <v>22</v>
      </c>
      <c r="J38" s="156"/>
    </row>
    <row r="39" spans="1:10" x14ac:dyDescent="0.35">
      <c r="A39" s="97" t="s">
        <v>47</v>
      </c>
      <c r="B39" s="94">
        <v>4612126</v>
      </c>
      <c r="C39" s="94" t="s">
        <v>142</v>
      </c>
      <c r="D39" s="95" t="s">
        <v>12</v>
      </c>
      <c r="E39" s="93" t="s">
        <v>19</v>
      </c>
      <c r="F39" s="80" t="s">
        <v>14</v>
      </c>
      <c r="G39" s="172" t="s">
        <v>143</v>
      </c>
      <c r="H39" s="80" t="s">
        <v>144</v>
      </c>
      <c r="I39" s="154" t="s">
        <v>22</v>
      </c>
      <c r="J39" s="156"/>
    </row>
    <row r="40" spans="1:10" x14ac:dyDescent="0.35">
      <c r="A40" s="79" t="s">
        <v>47</v>
      </c>
      <c r="B40" s="91">
        <v>2550195</v>
      </c>
      <c r="C40" s="91" t="s">
        <v>145</v>
      </c>
      <c r="D40" s="91" t="s">
        <v>57</v>
      </c>
      <c r="E40" s="81" t="s">
        <v>24</v>
      </c>
      <c r="F40" s="81" t="s">
        <v>33</v>
      </c>
      <c r="G40" s="171" t="s">
        <v>146</v>
      </c>
      <c r="H40" s="81" t="s">
        <v>147</v>
      </c>
      <c r="I40" s="154" t="s">
        <v>30</v>
      </c>
      <c r="J40" s="156"/>
    </row>
    <row r="41" spans="1:10" x14ac:dyDescent="0.35">
      <c r="A41" s="79" t="s">
        <v>47</v>
      </c>
      <c r="B41" s="94">
        <v>4613176</v>
      </c>
      <c r="C41" s="94" t="s">
        <v>148</v>
      </c>
      <c r="D41" s="95" t="s">
        <v>12</v>
      </c>
      <c r="E41" s="96" t="s">
        <v>111</v>
      </c>
      <c r="F41" s="80" t="s">
        <v>14</v>
      </c>
      <c r="G41" s="187" t="s">
        <v>149</v>
      </c>
      <c r="H41" s="80" t="s">
        <v>150</v>
      </c>
      <c r="I41" s="154"/>
      <c r="J41" s="156"/>
    </row>
    <row r="42" spans="1:10" x14ac:dyDescent="0.35">
      <c r="A42" s="79" t="s">
        <v>47</v>
      </c>
      <c r="B42" s="91">
        <v>4613186</v>
      </c>
      <c r="C42" s="91" t="s">
        <v>151</v>
      </c>
      <c r="D42" s="92" t="s">
        <v>12</v>
      </c>
      <c r="E42" s="93" t="s">
        <v>111</v>
      </c>
      <c r="F42" s="81" t="s">
        <v>14</v>
      </c>
      <c r="G42" s="188" t="s">
        <v>152</v>
      </c>
      <c r="H42" s="81" t="s">
        <v>153</v>
      </c>
      <c r="I42" s="154"/>
      <c r="J42" s="156"/>
    </row>
    <row r="43" spans="1:10" x14ac:dyDescent="0.35">
      <c r="A43" s="79" t="s">
        <v>31</v>
      </c>
      <c r="B43" s="94">
        <v>4612243</v>
      </c>
      <c r="C43" s="94" t="s">
        <v>154</v>
      </c>
      <c r="D43" s="95" t="s">
        <v>12</v>
      </c>
      <c r="E43" s="96" t="s">
        <v>13</v>
      </c>
      <c r="F43" s="80" t="s">
        <v>14</v>
      </c>
      <c r="G43" s="172" t="s">
        <v>155</v>
      </c>
      <c r="H43" s="80" t="s">
        <v>156</v>
      </c>
      <c r="I43" s="154" t="s">
        <v>22</v>
      </c>
      <c r="J43" s="156"/>
    </row>
    <row r="44" spans="1:10" x14ac:dyDescent="0.35">
      <c r="A44" s="79" t="s">
        <v>31</v>
      </c>
      <c r="B44" s="91">
        <v>4612389</v>
      </c>
      <c r="C44" s="91" t="s">
        <v>157</v>
      </c>
      <c r="D44" s="92" t="s">
        <v>12</v>
      </c>
      <c r="E44" s="96" t="s">
        <v>13</v>
      </c>
      <c r="F44" s="81" t="s">
        <v>14</v>
      </c>
      <c r="G44" s="171" t="s">
        <v>158</v>
      </c>
      <c r="H44" s="81" t="s">
        <v>159</v>
      </c>
      <c r="I44" s="154" t="s">
        <v>22</v>
      </c>
      <c r="J44" s="156"/>
    </row>
    <row r="45" spans="1:10" x14ac:dyDescent="0.35">
      <c r="A45" s="79" t="s">
        <v>31</v>
      </c>
      <c r="B45" s="94">
        <v>4612192</v>
      </c>
      <c r="C45" s="94" t="s">
        <v>160</v>
      </c>
      <c r="D45" s="95" t="s">
        <v>12</v>
      </c>
      <c r="E45" s="93" t="s">
        <v>19</v>
      </c>
      <c r="F45" s="80" t="s">
        <v>14</v>
      </c>
      <c r="G45" s="172" t="s">
        <v>161</v>
      </c>
      <c r="H45" s="80" t="s">
        <v>162</v>
      </c>
      <c r="I45" s="154" t="s">
        <v>30</v>
      </c>
      <c r="J45" s="156"/>
    </row>
    <row r="46" spans="1:10" x14ac:dyDescent="0.35">
      <c r="A46" s="79" t="s">
        <v>31</v>
      </c>
      <c r="B46" s="91">
        <v>4612393</v>
      </c>
      <c r="C46" s="91" t="s">
        <v>163</v>
      </c>
      <c r="D46" s="92" t="s">
        <v>12</v>
      </c>
      <c r="E46" s="99" t="s">
        <v>24</v>
      </c>
      <c r="F46" s="81" t="s">
        <v>14</v>
      </c>
      <c r="G46" s="171" t="s">
        <v>164</v>
      </c>
      <c r="H46" s="81" t="s">
        <v>165</v>
      </c>
      <c r="I46" s="154" t="s">
        <v>17</v>
      </c>
      <c r="J46" s="156"/>
    </row>
    <row r="47" spans="1:10" x14ac:dyDescent="0.35">
      <c r="A47" s="79" t="s">
        <v>31</v>
      </c>
      <c r="B47" s="94">
        <v>4612228</v>
      </c>
      <c r="C47" s="94" t="s">
        <v>166</v>
      </c>
      <c r="D47" s="95" t="s">
        <v>12</v>
      </c>
      <c r="E47" s="93" t="s">
        <v>19</v>
      </c>
      <c r="F47" s="80" t="s">
        <v>14</v>
      </c>
      <c r="G47" s="172" t="s">
        <v>167</v>
      </c>
      <c r="H47" s="80" t="s">
        <v>168</v>
      </c>
      <c r="I47" s="154" t="s">
        <v>22</v>
      </c>
      <c r="J47" s="156"/>
    </row>
    <row r="48" spans="1:10" x14ac:dyDescent="0.35">
      <c r="A48" s="79" t="s">
        <v>31</v>
      </c>
      <c r="B48" s="91">
        <v>4612247</v>
      </c>
      <c r="C48" s="91" t="s">
        <v>169</v>
      </c>
      <c r="D48" s="92" t="s">
        <v>12</v>
      </c>
      <c r="E48" s="99" t="s">
        <v>24</v>
      </c>
      <c r="F48" s="81" t="s">
        <v>14</v>
      </c>
      <c r="G48" s="171" t="s">
        <v>170</v>
      </c>
      <c r="H48" s="81" t="s">
        <v>171</v>
      </c>
      <c r="I48" s="154" t="s">
        <v>17</v>
      </c>
      <c r="J48" s="156"/>
    </row>
    <row r="49" spans="1:10" x14ac:dyDescent="0.35">
      <c r="A49" s="79" t="s">
        <v>31</v>
      </c>
      <c r="B49" s="94">
        <v>1385950</v>
      </c>
      <c r="C49" s="94" t="s">
        <v>172</v>
      </c>
      <c r="D49" s="95" t="s">
        <v>12</v>
      </c>
      <c r="E49" s="93" t="s">
        <v>19</v>
      </c>
      <c r="F49" s="80" t="s">
        <v>33</v>
      </c>
      <c r="G49" s="164" t="s">
        <v>173</v>
      </c>
      <c r="H49" s="80" t="s">
        <v>174</v>
      </c>
      <c r="I49" s="154"/>
      <c r="J49" s="156"/>
    </row>
    <row r="50" spans="1:10" x14ac:dyDescent="0.35">
      <c r="A50" s="79" t="s">
        <v>31</v>
      </c>
      <c r="B50" s="91">
        <v>1387328</v>
      </c>
      <c r="C50" s="91" t="s">
        <v>175</v>
      </c>
      <c r="D50" s="92" t="s">
        <v>12</v>
      </c>
      <c r="E50" s="93" t="s">
        <v>19</v>
      </c>
      <c r="F50" s="81" t="s">
        <v>33</v>
      </c>
      <c r="G50" s="165" t="s">
        <v>176</v>
      </c>
      <c r="H50" s="81" t="s">
        <v>177</v>
      </c>
      <c r="I50" s="154"/>
      <c r="J50" s="156"/>
    </row>
    <row r="51" spans="1:10" x14ac:dyDescent="0.35">
      <c r="A51" s="79" t="s">
        <v>31</v>
      </c>
      <c r="B51" s="94">
        <v>1385870</v>
      </c>
      <c r="C51" s="94" t="s">
        <v>178</v>
      </c>
      <c r="D51" s="95" t="s">
        <v>12</v>
      </c>
      <c r="E51" s="99" t="s">
        <v>24</v>
      </c>
      <c r="F51" s="80" t="s">
        <v>33</v>
      </c>
      <c r="G51" s="164" t="s">
        <v>179</v>
      </c>
      <c r="H51" s="80" t="s">
        <v>180</v>
      </c>
      <c r="I51" s="154"/>
      <c r="J51" s="156"/>
    </row>
    <row r="52" spans="1:10" x14ac:dyDescent="0.35">
      <c r="A52" s="79" t="s">
        <v>31</v>
      </c>
      <c r="B52" s="91">
        <v>1386288</v>
      </c>
      <c r="C52" s="91" t="s">
        <v>181</v>
      </c>
      <c r="D52" s="92" t="s">
        <v>12</v>
      </c>
      <c r="E52" s="99" t="s">
        <v>24</v>
      </c>
      <c r="F52" s="81" t="s">
        <v>33</v>
      </c>
      <c r="G52" s="165" t="s">
        <v>182</v>
      </c>
      <c r="H52" s="81" t="s">
        <v>183</v>
      </c>
      <c r="I52" s="154"/>
      <c r="J52" s="156"/>
    </row>
    <row r="53" spans="1:10" x14ac:dyDescent="0.35">
      <c r="A53" s="79" t="s">
        <v>31</v>
      </c>
      <c r="B53" s="94">
        <v>9678697</v>
      </c>
      <c r="C53" s="94" t="s">
        <v>184</v>
      </c>
      <c r="D53" s="95" t="s">
        <v>12</v>
      </c>
      <c r="E53" s="96" t="s">
        <v>13</v>
      </c>
      <c r="F53" s="80" t="s">
        <v>33</v>
      </c>
      <c r="G53" s="164" t="s">
        <v>185</v>
      </c>
      <c r="H53" s="80" t="s">
        <v>186</v>
      </c>
      <c r="I53" s="154"/>
      <c r="J53" s="156"/>
    </row>
    <row r="54" spans="1:10" x14ac:dyDescent="0.35">
      <c r="A54" s="79" t="s">
        <v>10</v>
      </c>
      <c r="B54" s="91">
        <v>9921954</v>
      </c>
      <c r="C54" s="91" t="s">
        <v>187</v>
      </c>
      <c r="D54" s="92" t="s">
        <v>12</v>
      </c>
      <c r="E54" s="93" t="s">
        <v>19</v>
      </c>
      <c r="F54" s="81" t="s">
        <v>33</v>
      </c>
      <c r="G54" s="165" t="s">
        <v>188</v>
      </c>
      <c r="H54" s="81" t="s">
        <v>189</v>
      </c>
      <c r="I54" s="154"/>
      <c r="J54" s="156"/>
    </row>
    <row r="55" spans="1:10" x14ac:dyDescent="0.35">
      <c r="A55" s="79" t="s">
        <v>10</v>
      </c>
      <c r="B55" s="94">
        <v>2448533</v>
      </c>
      <c r="C55" s="94" t="s">
        <v>190</v>
      </c>
      <c r="D55" s="95" t="s">
        <v>12</v>
      </c>
      <c r="E55" s="96" t="s">
        <v>13</v>
      </c>
      <c r="F55" s="80" t="s">
        <v>33</v>
      </c>
      <c r="G55" s="164" t="s">
        <v>191</v>
      </c>
      <c r="H55" s="80" t="s">
        <v>192</v>
      </c>
      <c r="I55" s="154"/>
      <c r="J55" s="156"/>
    </row>
    <row r="56" spans="1:10" x14ac:dyDescent="0.35">
      <c r="A56" s="79" t="s">
        <v>10</v>
      </c>
      <c r="B56" s="94">
        <v>4606426</v>
      </c>
      <c r="C56" s="94" t="s">
        <v>297</v>
      </c>
      <c r="D56" s="212" t="s">
        <v>110</v>
      </c>
      <c r="E56" s="96" t="s">
        <v>298</v>
      </c>
      <c r="F56" s="80"/>
      <c r="G56" s="164" t="s">
        <v>296</v>
      </c>
      <c r="H56" s="211" t="s">
        <v>295</v>
      </c>
    </row>
  </sheetData>
  <autoFilter ref="A1:J55" xr:uid="{CCFC853D-4B89-47CE-AA8F-BD4EA9CD1EC0}"/>
  <phoneticPr fontId="30" type="noConversion"/>
  <conditionalFormatting sqref="A38:A56">
    <cfRule type="containsText" dxfId="100" priority="16" operator="containsText" text="ELET">
      <formula>NOT(ISERROR(SEARCH("ELET",A38)))</formula>
    </cfRule>
    <cfRule type="containsText" dxfId="99" priority="17" operator="containsText" text="INST">
      <formula>NOT(ISERROR(SEARCH("INST",A38)))</formula>
    </cfRule>
    <cfRule type="containsText" dxfId="98" priority="18" operator="containsText" text="MEC">
      <formula>NOT(ISERROR(SEARCH("MEC",A38)))</formula>
    </cfRule>
  </conditionalFormatting>
  <conditionalFormatting sqref="A1:G55 B56:G56">
    <cfRule type="containsText" dxfId="97" priority="28" operator="containsText" text="ELET">
      <formula>NOT(ISERROR(SEARCH("ELET",A1)))</formula>
    </cfRule>
    <cfRule type="containsText" dxfId="96" priority="29" operator="containsText" text="INST">
      <formula>NOT(ISERROR(SEARCH("INST",A1)))</formula>
    </cfRule>
    <cfRule type="containsText" dxfId="95" priority="30" operator="containsText" text="MEC">
      <formula>NOT(ISERROR(SEARCH("MEC",A1)))</formula>
    </cfRule>
  </conditionalFormatting>
  <conditionalFormatting sqref="D25:D31">
    <cfRule type="containsText" dxfId="94" priority="19" operator="containsText" text="ELET">
      <formula>NOT(ISERROR(SEARCH("ELET",D25)))</formula>
    </cfRule>
    <cfRule type="containsText" dxfId="93" priority="20" operator="containsText" text="INST">
      <formula>NOT(ISERROR(SEARCH("INST",D25)))</formula>
    </cfRule>
    <cfRule type="containsText" dxfId="92" priority="21" operator="containsText" text="MEC">
      <formula>NOT(ISERROR(SEARCH("MEC",D25)))</formula>
    </cfRule>
  </conditionalFormatting>
  <conditionalFormatting sqref="D35:D56">
    <cfRule type="containsText" dxfId="91" priority="13" operator="containsText" text="ELET">
      <formula>NOT(ISERROR(SEARCH("ELET",D35)))</formula>
    </cfRule>
    <cfRule type="containsText" dxfId="90" priority="14" operator="containsText" text="INST">
      <formula>NOT(ISERROR(SEARCH("INST",D35)))</formula>
    </cfRule>
    <cfRule type="containsText" dxfId="89" priority="15" operator="containsText" text="MEC">
      <formula>NOT(ISERROR(SEARCH("MEC",D35)))</formula>
    </cfRule>
  </conditionalFormatting>
  <conditionalFormatting sqref="E4">
    <cfRule type="containsText" dxfId="88" priority="7" operator="containsText" text="ELET">
      <formula>NOT(ISERROR(SEARCH("ELET",E4)))</formula>
    </cfRule>
    <cfRule type="containsText" dxfId="87" priority="8" operator="containsText" text="INST">
      <formula>NOT(ISERROR(SEARCH("INST",E4)))</formula>
    </cfRule>
    <cfRule type="containsText" dxfId="86" priority="9" operator="containsText" text="MEC">
      <formula>NOT(ISERROR(SEARCH("MEC",E4)))</formula>
    </cfRule>
  </conditionalFormatting>
  <conditionalFormatting sqref="E18:E22">
    <cfRule type="containsText" dxfId="85" priority="25" operator="containsText" text="ELET">
      <formula>NOT(ISERROR(SEARCH("ELET",E18)))</formula>
    </cfRule>
    <cfRule type="containsText" dxfId="84" priority="26" operator="containsText" text="INST">
      <formula>NOT(ISERROR(SEARCH("INST",E18)))</formula>
    </cfRule>
    <cfRule type="containsText" dxfId="83" priority="27" operator="containsText" text="MEC">
      <formula>NOT(ISERROR(SEARCH("MEC",E18)))</formula>
    </cfRule>
  </conditionalFormatting>
  <conditionalFormatting sqref="E22:E28">
    <cfRule type="containsText" dxfId="82" priority="22" operator="containsText" text="ELET">
      <formula>NOT(ISERROR(SEARCH("ELET",E22)))</formula>
    </cfRule>
    <cfRule type="containsText" dxfId="81" priority="23" operator="containsText" text="INST">
      <formula>NOT(ISERROR(SEARCH("INST",E22)))</formula>
    </cfRule>
    <cfRule type="containsText" dxfId="80" priority="24" operator="containsText" text="MEC">
      <formula>NOT(ISERROR(SEARCH("MEC",E22)))</formula>
    </cfRule>
  </conditionalFormatting>
  <conditionalFormatting sqref="E46">
    <cfRule type="containsText" dxfId="79" priority="4" operator="containsText" text="ELET">
      <formula>NOT(ISERROR(SEARCH("ELET",E46)))</formula>
    </cfRule>
    <cfRule type="containsText" dxfId="78" priority="5" operator="containsText" text="INST">
      <formula>NOT(ISERROR(SEARCH("INST",E46)))</formula>
    </cfRule>
    <cfRule type="containsText" dxfId="77" priority="6" operator="containsText" text="MEC">
      <formula>NOT(ISERROR(SEARCH("MEC",E46)))</formula>
    </cfRule>
  </conditionalFormatting>
  <conditionalFormatting sqref="E48:E56">
    <cfRule type="containsText" dxfId="76" priority="10" operator="containsText" text="ELET">
      <formula>NOT(ISERROR(SEARCH("ELET",E48)))</formula>
    </cfRule>
    <cfRule type="containsText" dxfId="75" priority="11" operator="containsText" text="INST">
      <formula>NOT(ISERROR(SEARCH("INST",E48)))</formula>
    </cfRule>
    <cfRule type="containsText" dxfId="74" priority="12" operator="containsText" text="MEC">
      <formula>NOT(ISERROR(SEARCH("MEC",E48)))</formula>
    </cfRule>
  </conditionalFormatting>
  <conditionalFormatting sqref="I1:J1">
    <cfRule type="containsText" dxfId="73" priority="61" operator="containsText" text="ELET">
      <formula>NOT(ISERROR(SEARCH("ELET",I1)))</formula>
    </cfRule>
    <cfRule type="containsText" dxfId="72" priority="62" operator="containsText" text="INST">
      <formula>NOT(ISERROR(SEARCH("INST",I1)))</formula>
    </cfRule>
    <cfRule type="containsText" dxfId="71" priority="63" operator="containsText" text="MEC">
      <formula>NOT(ISERROR(SEARCH("MEC",I1)))</formula>
    </cfRule>
  </conditionalFormatting>
  <conditionalFormatting sqref="A56">
    <cfRule type="containsText" dxfId="2" priority="1" operator="containsText" text="ELET">
      <formula>NOT(ISERROR(SEARCH("ELET",A56)))</formula>
    </cfRule>
    <cfRule type="containsText" dxfId="1" priority="2" operator="containsText" text="INST">
      <formula>NOT(ISERROR(SEARCH("INST",A56)))</formula>
    </cfRule>
    <cfRule type="containsText" dxfId="0" priority="3" operator="containsText" text="MEC">
      <formula>NOT(ISERROR(SEARCH("MEC",A56)))</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199"/>
  <sheetViews>
    <sheetView showGridLines="0" tabSelected="1" showRuler="0" zoomScale="115" zoomScaleNormal="115" zoomScalePageLayoutView="70" workbookViewId="0">
      <pane xSplit="7" ySplit="6" topLeftCell="H159" activePane="bottomRight" state="frozen"/>
      <selection pane="topRight" activeCell="H1" sqref="H1"/>
      <selection pane="bottomLeft" activeCell="A7" sqref="A7"/>
      <selection pane="bottomRight" activeCell="A163" sqref="A163:XFD163"/>
    </sheetView>
  </sheetViews>
  <sheetFormatPr defaultColWidth="9.453125" defaultRowHeight="14.5" outlineLevelRow="1" x14ac:dyDescent="0.35"/>
  <cols>
    <col min="1" max="1" width="0.453125" customWidth="1"/>
    <col min="2" max="2" width="37.54296875" bestFit="1" customWidth="1"/>
    <col min="3" max="3" width="27.81640625" style="5" bestFit="1" customWidth="1"/>
    <col min="4" max="4" width="21" style="111" bestFit="1" customWidth="1"/>
    <col min="5" max="5" width="12.1796875" style="111" bestFit="1" customWidth="1"/>
    <col min="6" max="7" width="4.453125" customWidth="1"/>
    <col min="8" max="9" width="0.453125" customWidth="1"/>
    <col min="10" max="10" width="2.54296875" bestFit="1" customWidth="1"/>
    <col min="11" max="19" width="2" bestFit="1" customWidth="1"/>
    <col min="20" max="24" width="2.54296875" bestFit="1" customWidth="1"/>
    <col min="25" max="25" width="6.81640625" bestFit="1" customWidth="1"/>
    <col min="26" max="41" width="2.54296875" bestFit="1" customWidth="1"/>
    <col min="42" max="50" width="2" bestFit="1" customWidth="1"/>
    <col min="51" max="69" width="2.54296875" bestFit="1" customWidth="1"/>
    <col min="70" max="78" width="2" bestFit="1" customWidth="1"/>
    <col min="79" max="100" width="2.54296875" bestFit="1" customWidth="1"/>
    <col min="101" max="109" width="2" bestFit="1" customWidth="1"/>
    <col min="110" max="130" width="2.54296875" bestFit="1" customWidth="1"/>
    <col min="131" max="139" width="2" bestFit="1" customWidth="1"/>
    <col min="140" max="161" width="2.54296875" bestFit="1" customWidth="1"/>
    <col min="162" max="170" width="2" bestFit="1" customWidth="1"/>
    <col min="171" max="191" width="2.54296875" bestFit="1" customWidth="1"/>
    <col min="192" max="200" width="2" bestFit="1" customWidth="1"/>
    <col min="201" max="222" width="2.54296875" bestFit="1" customWidth="1"/>
    <col min="223" max="231" width="2" bestFit="1" customWidth="1"/>
    <col min="232" max="253" width="2.54296875" bestFit="1" customWidth="1"/>
    <col min="254" max="262" width="2" bestFit="1" customWidth="1"/>
    <col min="263" max="283" width="2.54296875" bestFit="1" customWidth="1"/>
    <col min="284" max="292" width="2" bestFit="1" customWidth="1"/>
    <col min="293" max="314" width="2.54296875" bestFit="1" customWidth="1"/>
    <col min="315" max="323" width="2" bestFit="1" customWidth="1"/>
    <col min="324" max="617" width="2.54296875" bestFit="1" customWidth="1"/>
  </cols>
  <sheetData>
    <row r="1" spans="1:617" ht="9.65" customHeight="1" x14ac:dyDescent="0.65">
      <c r="A1" s="34" t="s">
        <v>299</v>
      </c>
      <c r="B1" s="37" t="s">
        <v>194</v>
      </c>
      <c r="C1" s="134"/>
      <c r="D1" s="110"/>
      <c r="E1" s="110"/>
      <c r="G1" s="2"/>
      <c r="H1" s="51"/>
      <c r="I1" s="51"/>
      <c r="BT1" s="196" t="s">
        <v>195</v>
      </c>
      <c r="BU1" s="196"/>
      <c r="BV1" s="196"/>
      <c r="CQ1" s="194"/>
      <c r="CR1" s="194"/>
      <c r="CX1" s="193"/>
      <c r="CY1" s="193"/>
      <c r="EK1" s="194"/>
    </row>
    <row r="2" spans="1:617" ht="9.65" customHeight="1" x14ac:dyDescent="0.45">
      <c r="A2" s="33" t="s">
        <v>196</v>
      </c>
      <c r="B2" s="38"/>
      <c r="BT2" s="196"/>
      <c r="BU2" s="196"/>
      <c r="BV2" s="196"/>
      <c r="CQ2" s="194"/>
      <c r="CR2" s="194"/>
      <c r="CX2" s="193"/>
      <c r="CY2" s="193"/>
      <c r="EK2" s="194"/>
    </row>
    <row r="3" spans="1:617" ht="9.65" customHeight="1" x14ac:dyDescent="0.35">
      <c r="A3" s="33" t="s">
        <v>197</v>
      </c>
      <c r="B3" s="70" t="s">
        <v>198</v>
      </c>
      <c r="C3" s="135">
        <f>Início_do_projeto+660</f>
        <v>46318</v>
      </c>
      <c r="D3" s="112" t="s">
        <v>199</v>
      </c>
      <c r="E3" s="197">
        <v>45658</v>
      </c>
      <c r="F3" s="197"/>
      <c r="BT3" s="196"/>
      <c r="BU3" s="196"/>
      <c r="BV3" s="196"/>
      <c r="CQ3" s="194"/>
      <c r="CR3" s="194"/>
      <c r="CX3" s="193"/>
      <c r="CY3" s="193"/>
      <c r="EK3" s="194"/>
    </row>
    <row r="4" spans="1:617" ht="9.65" customHeight="1" x14ac:dyDescent="0.35">
      <c r="A4" s="34" t="s">
        <v>200</v>
      </c>
      <c r="D4" s="113" t="s">
        <v>201</v>
      </c>
      <c r="F4" s="7">
        <v>1</v>
      </c>
      <c r="H4" s="189">
        <f>H5</f>
        <v>45656</v>
      </c>
      <c r="I4" s="190"/>
      <c r="J4" s="190"/>
      <c r="K4" s="190"/>
      <c r="L4" s="190"/>
      <c r="M4" s="190"/>
      <c r="N4" s="190"/>
      <c r="O4" s="191"/>
      <c r="P4" s="189">
        <f>P5</f>
        <v>45663</v>
      </c>
      <c r="Q4" s="190"/>
      <c r="R4" s="190"/>
      <c r="S4" s="190"/>
      <c r="T4" s="190"/>
      <c r="U4" s="190"/>
      <c r="V4" s="191"/>
      <c r="W4" s="189">
        <f>W5</f>
        <v>45670</v>
      </c>
      <c r="X4" s="190"/>
      <c r="Y4" s="190"/>
      <c r="Z4" s="190"/>
      <c r="AA4" s="190"/>
      <c r="AB4" s="190"/>
      <c r="AC4" s="191"/>
      <c r="AD4" s="189">
        <f>AD5</f>
        <v>45677</v>
      </c>
      <c r="AE4" s="190"/>
      <c r="AF4" s="190"/>
      <c r="AG4" s="190"/>
      <c r="AH4" s="190"/>
      <c r="AI4" s="190"/>
      <c r="AJ4" s="191"/>
      <c r="AK4" s="189">
        <f>AK5</f>
        <v>45684</v>
      </c>
      <c r="AL4" s="190"/>
      <c r="AM4" s="190"/>
      <c r="AN4" s="190"/>
      <c r="AO4" s="190"/>
      <c r="AP4" s="190"/>
      <c r="AQ4" s="191"/>
      <c r="AR4" s="189">
        <f>AR5</f>
        <v>45691</v>
      </c>
      <c r="AS4" s="190"/>
      <c r="AT4" s="190"/>
      <c r="AU4" s="190"/>
      <c r="AV4" s="190"/>
      <c r="AW4" s="190"/>
      <c r="AX4" s="191"/>
      <c r="AY4" s="189">
        <f>AY5</f>
        <v>45698</v>
      </c>
      <c r="AZ4" s="190"/>
      <c r="BA4" s="190"/>
      <c r="BB4" s="190"/>
      <c r="BC4" s="190"/>
      <c r="BD4" s="190"/>
      <c r="BE4" s="191"/>
      <c r="BF4" s="189">
        <f>BF5</f>
        <v>45705</v>
      </c>
      <c r="BG4" s="190"/>
      <c r="BH4" s="190"/>
      <c r="BI4" s="190"/>
      <c r="BJ4" s="190"/>
      <c r="BK4" s="190"/>
      <c r="BL4" s="191"/>
      <c r="BM4" s="189">
        <f>BM5</f>
        <v>45712</v>
      </c>
      <c r="BN4" s="190"/>
      <c r="BO4" s="190"/>
      <c r="BP4" s="190"/>
      <c r="BQ4" s="190"/>
      <c r="BR4" s="190"/>
      <c r="BS4" s="191"/>
      <c r="BT4" s="189">
        <f>BT5</f>
        <v>45719</v>
      </c>
      <c r="BU4" s="190"/>
      <c r="BV4" s="190"/>
      <c r="BW4" s="190"/>
      <c r="BX4" s="190"/>
      <c r="BY4" s="190"/>
      <c r="BZ4" s="191"/>
      <c r="CA4" s="189">
        <f>CA5</f>
        <v>45726</v>
      </c>
      <c r="CB4" s="190"/>
      <c r="CC4" s="190"/>
      <c r="CD4" s="190"/>
      <c r="CE4" s="190"/>
      <c r="CF4" s="190"/>
      <c r="CG4" s="191"/>
      <c r="CH4" s="189">
        <f>CH5</f>
        <v>45733</v>
      </c>
      <c r="CI4" s="190"/>
      <c r="CJ4" s="190"/>
      <c r="CK4" s="190"/>
      <c r="CL4" s="190"/>
      <c r="CM4" s="190"/>
      <c r="CN4" s="191"/>
      <c r="CO4" s="189">
        <f>CO5</f>
        <v>45740</v>
      </c>
      <c r="CP4" s="190"/>
      <c r="CQ4" s="190"/>
      <c r="CR4" s="190"/>
      <c r="CS4" s="190"/>
      <c r="CT4" s="190"/>
      <c r="CU4" s="191"/>
      <c r="CV4" s="189">
        <f>CV5</f>
        <v>45747</v>
      </c>
      <c r="CW4" s="190"/>
      <c r="CX4" s="190"/>
      <c r="CY4" s="190"/>
      <c r="CZ4" s="190"/>
      <c r="DA4" s="190"/>
      <c r="DB4" s="191"/>
      <c r="DC4" s="189">
        <f>DC5</f>
        <v>45754</v>
      </c>
      <c r="DD4" s="190"/>
      <c r="DE4" s="190"/>
      <c r="DF4" s="190"/>
      <c r="DG4" s="190"/>
      <c r="DH4" s="190"/>
      <c r="DI4" s="191"/>
      <c r="DJ4" s="189">
        <f>DJ5</f>
        <v>45761</v>
      </c>
      <c r="DK4" s="190"/>
      <c r="DL4" s="190"/>
      <c r="DM4" s="190"/>
      <c r="DN4" s="190"/>
      <c r="DO4" s="190"/>
      <c r="DP4" s="191"/>
      <c r="DQ4" s="189">
        <f>DQ5</f>
        <v>45768</v>
      </c>
      <c r="DR4" s="190"/>
      <c r="DS4" s="190"/>
      <c r="DT4" s="190"/>
      <c r="DU4" s="190"/>
      <c r="DV4" s="190"/>
      <c r="DW4" s="191"/>
      <c r="DX4" s="189">
        <f>DX5</f>
        <v>45775</v>
      </c>
      <c r="DY4" s="190"/>
      <c r="DZ4" s="190"/>
      <c r="EA4" s="190"/>
      <c r="EB4" s="190"/>
      <c r="EC4" s="190"/>
      <c r="ED4" s="191"/>
      <c r="EE4" s="189">
        <f t="shared" ref="EE4" si="0">EE5</f>
        <v>45782</v>
      </c>
      <c r="EF4" s="190"/>
      <c r="EG4" s="190"/>
      <c r="EH4" s="190"/>
      <c r="EI4" s="190"/>
      <c r="EJ4" s="190"/>
      <c r="EK4" s="191"/>
      <c r="EL4" s="189">
        <f t="shared" ref="EL4" si="1">EL5</f>
        <v>45789</v>
      </c>
      <c r="EM4" s="190"/>
      <c r="EN4" s="190"/>
      <c r="EO4" s="190"/>
      <c r="EP4" s="190"/>
      <c r="EQ4" s="190"/>
      <c r="ER4" s="191"/>
      <c r="ES4" s="189">
        <f t="shared" ref="ES4" si="2">ES5</f>
        <v>45796</v>
      </c>
      <c r="ET4" s="190"/>
      <c r="EU4" s="190"/>
      <c r="EV4" s="190"/>
      <c r="EW4" s="190"/>
      <c r="EX4" s="190"/>
      <c r="EY4" s="191"/>
      <c r="EZ4" s="189">
        <f t="shared" ref="EZ4" si="3">EZ5</f>
        <v>45803</v>
      </c>
      <c r="FA4" s="190"/>
      <c r="FB4" s="190"/>
      <c r="FC4" s="190"/>
      <c r="FD4" s="190"/>
      <c r="FE4" s="190"/>
      <c r="FF4" s="191"/>
      <c r="FG4" s="189">
        <f t="shared" ref="FG4" si="4">FG5</f>
        <v>45810</v>
      </c>
      <c r="FH4" s="190"/>
      <c r="FI4" s="190"/>
      <c r="FJ4" s="190"/>
      <c r="FK4" s="190"/>
      <c r="FL4" s="190"/>
      <c r="FM4" s="191"/>
      <c r="FN4" s="189">
        <f t="shared" ref="FN4" si="5">FN5</f>
        <v>45817</v>
      </c>
      <c r="FO4" s="190"/>
      <c r="FP4" s="190"/>
      <c r="FQ4" s="190"/>
      <c r="FR4" s="190"/>
      <c r="FS4" s="190"/>
      <c r="FT4" s="191"/>
      <c r="FU4" s="189">
        <f t="shared" ref="FU4" si="6">FU5</f>
        <v>45824</v>
      </c>
      <c r="FV4" s="190"/>
      <c r="FW4" s="190"/>
      <c r="FX4" s="190"/>
      <c r="FY4" s="190"/>
      <c r="FZ4" s="190"/>
      <c r="GA4" s="191"/>
      <c r="GB4" s="189">
        <f t="shared" ref="GB4" si="7">GB5</f>
        <v>45831</v>
      </c>
      <c r="GC4" s="190"/>
      <c r="GD4" s="190"/>
      <c r="GE4" s="190"/>
      <c r="GF4" s="190"/>
      <c r="GG4" s="190"/>
      <c r="GH4" s="191"/>
      <c r="GI4" s="189">
        <f t="shared" ref="GI4" si="8">GI5</f>
        <v>45838</v>
      </c>
      <c r="GJ4" s="190"/>
      <c r="GK4" s="190"/>
      <c r="GL4" s="190"/>
      <c r="GM4" s="190"/>
      <c r="GN4" s="190"/>
      <c r="GO4" s="191"/>
      <c r="GP4" s="189">
        <f t="shared" ref="GP4" si="9">GP5</f>
        <v>45845</v>
      </c>
      <c r="GQ4" s="190"/>
      <c r="GR4" s="190"/>
      <c r="GS4" s="190"/>
      <c r="GT4" s="190"/>
      <c r="GU4" s="190"/>
      <c r="GV4" s="191"/>
      <c r="GW4" s="189">
        <f t="shared" ref="GW4" si="10">GW5</f>
        <v>45852</v>
      </c>
      <c r="GX4" s="190"/>
      <c r="GY4" s="190"/>
      <c r="GZ4" s="190"/>
      <c r="HA4" s="190"/>
      <c r="HB4" s="190"/>
      <c r="HC4" s="191"/>
      <c r="HD4" s="189">
        <f t="shared" ref="HD4" si="11">HD5</f>
        <v>45859</v>
      </c>
      <c r="HE4" s="190"/>
      <c r="HF4" s="190"/>
      <c r="HG4" s="190"/>
      <c r="HH4" s="190"/>
      <c r="HI4" s="190"/>
      <c r="HJ4" s="191"/>
      <c r="HK4" s="189">
        <f t="shared" ref="HK4" si="12">HK5</f>
        <v>45866</v>
      </c>
      <c r="HL4" s="190"/>
      <c r="HM4" s="190"/>
      <c r="HN4" s="190"/>
      <c r="HO4" s="190"/>
      <c r="HP4" s="190"/>
      <c r="HQ4" s="191"/>
      <c r="HR4" s="189">
        <f t="shared" ref="HR4" si="13">HR5</f>
        <v>45873</v>
      </c>
      <c r="HS4" s="190"/>
      <c r="HT4" s="190"/>
      <c r="HU4" s="190"/>
      <c r="HV4" s="190"/>
      <c r="HW4" s="190"/>
      <c r="HX4" s="191"/>
      <c r="HY4" s="189">
        <f t="shared" ref="HY4" si="14">HY5</f>
        <v>45880</v>
      </c>
      <c r="HZ4" s="190"/>
      <c r="IA4" s="190"/>
      <c r="IB4" s="190"/>
      <c r="IC4" s="190"/>
      <c r="ID4" s="190"/>
      <c r="IE4" s="191"/>
      <c r="IF4" s="189">
        <f t="shared" ref="IF4" si="15">IF5</f>
        <v>45887</v>
      </c>
      <c r="IG4" s="190"/>
      <c r="IH4" s="190"/>
      <c r="II4" s="190"/>
      <c r="IJ4" s="190"/>
      <c r="IK4" s="190"/>
      <c r="IL4" s="191"/>
      <c r="IM4" s="189">
        <f t="shared" ref="IM4" si="16">IM5</f>
        <v>45894</v>
      </c>
      <c r="IN4" s="190"/>
      <c r="IO4" s="190"/>
      <c r="IP4" s="190"/>
      <c r="IQ4" s="190"/>
      <c r="IR4" s="190"/>
      <c r="IS4" s="191"/>
      <c r="IT4" s="189">
        <f t="shared" ref="IT4" si="17">IT5</f>
        <v>45901</v>
      </c>
      <c r="IU4" s="190"/>
      <c r="IV4" s="190"/>
      <c r="IW4" s="190"/>
      <c r="IX4" s="190"/>
      <c r="IY4" s="190"/>
      <c r="IZ4" s="191"/>
      <c r="JA4" s="189">
        <f t="shared" ref="JA4" si="18">JA5</f>
        <v>45908</v>
      </c>
      <c r="JB4" s="190"/>
      <c r="JC4" s="190"/>
      <c r="JD4" s="190"/>
      <c r="JE4" s="190"/>
      <c r="JF4" s="190"/>
      <c r="JG4" s="191"/>
      <c r="JH4" s="189">
        <f t="shared" ref="JH4" si="19">JH5</f>
        <v>45915</v>
      </c>
      <c r="JI4" s="190"/>
      <c r="JJ4" s="190"/>
      <c r="JK4" s="190"/>
      <c r="JL4" s="190"/>
      <c r="JM4" s="190"/>
      <c r="JN4" s="191"/>
      <c r="JO4" s="189">
        <f t="shared" ref="JO4" si="20">JO5</f>
        <v>45922</v>
      </c>
      <c r="JP4" s="190"/>
      <c r="JQ4" s="190"/>
      <c r="JR4" s="190"/>
      <c r="JS4" s="190"/>
      <c r="JT4" s="190"/>
      <c r="JU4" s="191"/>
      <c r="JV4" s="189">
        <f t="shared" ref="JV4" si="21">JV5</f>
        <v>45929</v>
      </c>
      <c r="JW4" s="190"/>
      <c r="JX4" s="190"/>
      <c r="JY4" s="190"/>
      <c r="JZ4" s="190"/>
      <c r="KA4" s="190"/>
      <c r="KB4" s="191"/>
      <c r="KC4" s="189">
        <f t="shared" ref="KC4" si="22">KC5</f>
        <v>45936</v>
      </c>
      <c r="KD4" s="190"/>
      <c r="KE4" s="190"/>
      <c r="KF4" s="190"/>
      <c r="KG4" s="190"/>
      <c r="KH4" s="190"/>
      <c r="KI4" s="191"/>
      <c r="KJ4" s="189">
        <f t="shared" ref="KJ4" si="23">KJ5</f>
        <v>45943</v>
      </c>
      <c r="KK4" s="190"/>
      <c r="KL4" s="190"/>
      <c r="KM4" s="190"/>
      <c r="KN4" s="190"/>
      <c r="KO4" s="190"/>
      <c r="KP4" s="191"/>
      <c r="KQ4" s="189">
        <f t="shared" ref="KQ4" si="24">KQ5</f>
        <v>45950</v>
      </c>
      <c r="KR4" s="190"/>
      <c r="KS4" s="190"/>
      <c r="KT4" s="190"/>
      <c r="KU4" s="190"/>
      <c r="KV4" s="190"/>
      <c r="KW4" s="191"/>
      <c r="KX4" s="189">
        <f t="shared" ref="KX4" si="25">KX5</f>
        <v>45957</v>
      </c>
      <c r="KY4" s="190"/>
      <c r="KZ4" s="190"/>
      <c r="LA4" s="190"/>
      <c r="LB4" s="190"/>
      <c r="LC4" s="190"/>
      <c r="LD4" s="191"/>
      <c r="LE4" s="189">
        <f t="shared" ref="LE4" si="26">LE5</f>
        <v>45964</v>
      </c>
      <c r="LF4" s="190"/>
      <c r="LG4" s="190"/>
      <c r="LH4" s="190"/>
      <c r="LI4" s="190"/>
      <c r="LJ4" s="190"/>
      <c r="LK4" s="191"/>
      <c r="LL4" s="189">
        <f t="shared" ref="LL4" si="27">LL5</f>
        <v>45971</v>
      </c>
      <c r="LM4" s="190"/>
      <c r="LN4" s="190"/>
      <c r="LO4" s="190"/>
      <c r="LP4" s="190"/>
      <c r="LQ4" s="190"/>
      <c r="LR4" s="191"/>
      <c r="LS4" s="189">
        <f t="shared" ref="LS4" si="28">LS5</f>
        <v>45978</v>
      </c>
      <c r="LT4" s="189"/>
      <c r="LU4" s="189"/>
      <c r="LV4" s="189"/>
      <c r="LW4" s="189"/>
      <c r="LX4" s="189"/>
      <c r="LY4" s="189"/>
      <c r="LZ4" s="189">
        <f t="shared" ref="LZ4" si="29">LZ5</f>
        <v>45985</v>
      </c>
      <c r="MA4" s="190"/>
      <c r="MB4" s="190"/>
      <c r="MC4" s="190"/>
      <c r="MD4" s="190"/>
      <c r="ME4" s="190"/>
      <c r="MF4" s="191"/>
      <c r="MG4" s="189">
        <f t="shared" ref="MG4" si="30">MG5</f>
        <v>45992</v>
      </c>
      <c r="MH4" s="190"/>
      <c r="MI4" s="190"/>
      <c r="MJ4" s="190"/>
      <c r="MK4" s="190"/>
      <c r="ML4" s="190"/>
      <c r="MM4" s="191"/>
      <c r="MN4" s="189">
        <f t="shared" ref="MN4:OY4" si="31">MN5</f>
        <v>45999</v>
      </c>
      <c r="MO4" s="190"/>
      <c r="MP4" s="190"/>
      <c r="MQ4" s="190"/>
      <c r="MR4" s="190"/>
      <c r="MS4" s="190"/>
      <c r="MT4" s="191"/>
      <c r="MU4" s="189">
        <f t="shared" si="31"/>
        <v>46006</v>
      </c>
      <c r="MV4" s="190"/>
      <c r="MW4" s="190"/>
      <c r="MX4" s="190"/>
      <c r="MY4" s="190"/>
      <c r="MZ4" s="190"/>
      <c r="NA4" s="191"/>
      <c r="NB4" s="189">
        <f t="shared" si="31"/>
        <v>46013</v>
      </c>
      <c r="NC4" s="190"/>
      <c r="ND4" s="190"/>
      <c r="NE4" s="190"/>
      <c r="NF4" s="190"/>
      <c r="NG4" s="190"/>
      <c r="NH4" s="191"/>
      <c r="NI4" s="189">
        <f t="shared" si="31"/>
        <v>46020</v>
      </c>
      <c r="NJ4" s="190"/>
      <c r="NK4" s="190"/>
      <c r="NL4" s="190"/>
      <c r="NM4" s="190"/>
      <c r="NN4" s="190"/>
      <c r="NO4" s="191"/>
      <c r="NP4" s="189">
        <f t="shared" si="31"/>
        <v>46027</v>
      </c>
      <c r="NQ4" s="190"/>
      <c r="NR4" s="190"/>
      <c r="NS4" s="190"/>
      <c r="NT4" s="190"/>
      <c r="NU4" s="190"/>
      <c r="NV4" s="191"/>
      <c r="NW4" s="183">
        <f t="shared" si="31"/>
        <v>46034</v>
      </c>
      <c r="NX4" s="184"/>
      <c r="NY4" s="184"/>
      <c r="NZ4" s="184"/>
      <c r="OA4" s="184"/>
      <c r="OB4" s="189"/>
      <c r="OC4" s="190"/>
      <c r="OD4" s="190">
        <f t="shared" si="31"/>
        <v>46041</v>
      </c>
      <c r="OE4" s="190"/>
      <c r="OF4" s="190"/>
      <c r="OG4" s="190"/>
      <c r="OH4" s="191"/>
      <c r="OI4" s="184"/>
      <c r="OJ4" s="185"/>
      <c r="OK4" s="183">
        <f t="shared" si="31"/>
        <v>46048</v>
      </c>
      <c r="OL4" s="184"/>
      <c r="OM4" s="184"/>
      <c r="ON4" s="189"/>
      <c r="OO4" s="190"/>
      <c r="OP4" s="190"/>
      <c r="OQ4" s="190"/>
      <c r="OR4" s="190">
        <f t="shared" si="31"/>
        <v>46055</v>
      </c>
      <c r="OS4" s="190"/>
      <c r="OT4" s="191"/>
      <c r="OU4" s="184"/>
      <c r="OV4" s="184"/>
      <c r="OW4" s="184"/>
      <c r="OX4" s="185"/>
      <c r="OY4" s="183">
        <f t="shared" si="31"/>
        <v>46062</v>
      </c>
      <c r="OZ4" s="189"/>
      <c r="PA4" s="190"/>
      <c r="PB4" s="190"/>
      <c r="PC4" s="190"/>
      <c r="PD4" s="190"/>
      <c r="PE4" s="190"/>
      <c r="PF4" s="191">
        <f t="shared" ref="PF4:RQ4" si="32">PF5</f>
        <v>46069</v>
      </c>
      <c r="PG4" s="184"/>
      <c r="PH4" s="184"/>
      <c r="PI4" s="184"/>
      <c r="PJ4" s="184"/>
      <c r="PK4" s="184"/>
      <c r="PL4" s="189"/>
      <c r="PM4" s="190">
        <f t="shared" si="32"/>
        <v>46076</v>
      </c>
      <c r="PN4" s="190"/>
      <c r="PO4" s="190"/>
      <c r="PP4" s="190"/>
      <c r="PQ4" s="190"/>
      <c r="PR4" s="191"/>
      <c r="PS4" s="185"/>
      <c r="PT4" s="183">
        <f t="shared" si="32"/>
        <v>46083</v>
      </c>
      <c r="PU4" s="184"/>
      <c r="PV4" s="184"/>
      <c r="PW4" s="184"/>
      <c r="PX4" s="189"/>
      <c r="PY4" s="190"/>
      <c r="PZ4" s="190"/>
      <c r="QA4" s="190">
        <f t="shared" si="32"/>
        <v>46090</v>
      </c>
      <c r="QB4" s="190"/>
      <c r="QC4" s="190"/>
      <c r="QD4" s="191"/>
      <c r="QE4" s="184"/>
      <c r="QF4" s="184"/>
      <c r="QG4" s="185"/>
      <c r="QH4" s="183">
        <f t="shared" si="32"/>
        <v>46097</v>
      </c>
      <c r="QI4" s="184"/>
      <c r="QJ4" s="189"/>
      <c r="QK4" s="190"/>
      <c r="QL4" s="190"/>
      <c r="QM4" s="190"/>
      <c r="QN4" s="190"/>
      <c r="QO4" s="190">
        <f t="shared" si="32"/>
        <v>46104</v>
      </c>
      <c r="QP4" s="191"/>
      <c r="QQ4" s="184"/>
      <c r="QR4" s="184"/>
      <c r="QS4" s="184"/>
      <c r="QT4" s="184"/>
      <c r="QU4" s="185"/>
      <c r="QV4" s="189">
        <f t="shared" si="32"/>
        <v>46111</v>
      </c>
      <c r="QW4" s="190"/>
      <c r="QX4" s="190"/>
      <c r="QY4" s="190"/>
      <c r="QZ4" s="190"/>
      <c r="RA4" s="190"/>
      <c r="RB4" s="191"/>
      <c r="RC4" s="183">
        <f t="shared" si="32"/>
        <v>46118</v>
      </c>
      <c r="RD4" s="184"/>
      <c r="RE4" s="184"/>
      <c r="RF4" s="184"/>
      <c r="RG4" s="184"/>
      <c r="RH4" s="189"/>
      <c r="RI4" s="190"/>
      <c r="RJ4" s="190">
        <f t="shared" si="32"/>
        <v>46125</v>
      </c>
      <c r="RK4" s="190"/>
      <c r="RL4" s="190"/>
      <c r="RM4" s="190"/>
      <c r="RN4" s="191"/>
      <c r="RO4" s="184"/>
      <c r="RP4" s="185"/>
      <c r="RQ4" s="183">
        <f t="shared" si="32"/>
        <v>46132</v>
      </c>
      <c r="RR4" s="184"/>
      <c r="RS4" s="184"/>
      <c r="RT4" s="189"/>
      <c r="RU4" s="190"/>
      <c r="RV4" s="190"/>
      <c r="RW4" s="190"/>
      <c r="RX4" s="190">
        <f t="shared" ref="RX4:UI4" si="33">RX5</f>
        <v>46139</v>
      </c>
      <c r="RY4" s="190"/>
      <c r="RZ4" s="191"/>
      <c r="SA4" s="184"/>
      <c r="SB4" s="184"/>
      <c r="SC4" s="184"/>
      <c r="SD4" s="185"/>
      <c r="SE4" s="183">
        <f t="shared" si="33"/>
        <v>46146</v>
      </c>
      <c r="SF4" s="189"/>
      <c r="SG4" s="190"/>
      <c r="SH4" s="190"/>
      <c r="SI4" s="190"/>
      <c r="SJ4" s="190"/>
      <c r="SK4" s="190"/>
      <c r="SL4" s="191">
        <f t="shared" si="33"/>
        <v>46153</v>
      </c>
      <c r="SM4" s="184"/>
      <c r="SN4" s="184"/>
      <c r="SO4" s="184"/>
      <c r="SP4" s="184"/>
      <c r="SQ4" s="184"/>
      <c r="SR4" s="189"/>
      <c r="SS4" s="190">
        <f t="shared" si="33"/>
        <v>46160</v>
      </c>
      <c r="ST4" s="190"/>
      <c r="SU4" s="190"/>
      <c r="SV4" s="190"/>
      <c r="SW4" s="190"/>
      <c r="SX4" s="191"/>
      <c r="SY4" s="185"/>
      <c r="SZ4" s="183">
        <f t="shared" si="33"/>
        <v>46167</v>
      </c>
      <c r="TA4" s="184"/>
      <c r="TB4" s="184"/>
      <c r="TC4" s="184"/>
      <c r="TD4" s="189"/>
      <c r="TE4" s="190"/>
      <c r="TF4" s="190"/>
      <c r="TG4" s="190">
        <f t="shared" si="33"/>
        <v>46174</v>
      </c>
      <c r="TH4" s="190"/>
      <c r="TI4" s="190"/>
      <c r="TJ4" s="191"/>
      <c r="TK4" s="184"/>
      <c r="TL4" s="184"/>
      <c r="TM4" s="185"/>
      <c r="TN4" s="183">
        <f t="shared" si="33"/>
        <v>46181</v>
      </c>
      <c r="TO4" s="184"/>
      <c r="TP4" s="189"/>
      <c r="TQ4" s="190"/>
      <c r="TR4" s="190"/>
      <c r="TS4" s="190"/>
      <c r="TT4" s="190"/>
      <c r="TU4" s="190">
        <f t="shared" si="33"/>
        <v>46188</v>
      </c>
      <c r="TV4" s="191"/>
      <c r="TW4" s="184"/>
      <c r="TX4" s="184"/>
      <c r="TY4" s="184"/>
      <c r="TZ4" s="184"/>
      <c r="UA4" s="185"/>
      <c r="UB4" s="189">
        <f t="shared" si="33"/>
        <v>46195</v>
      </c>
      <c r="UC4" s="190"/>
      <c r="UD4" s="190"/>
      <c r="UE4" s="190"/>
      <c r="UF4" s="190"/>
      <c r="UG4" s="190"/>
      <c r="UH4" s="191"/>
      <c r="UI4" s="183">
        <f t="shared" si="33"/>
        <v>46202</v>
      </c>
      <c r="UJ4" s="184"/>
      <c r="UK4" s="184"/>
      <c r="UL4" s="184"/>
      <c r="UM4" s="184"/>
      <c r="UN4" s="189"/>
      <c r="UO4" s="190"/>
      <c r="UP4" s="190">
        <f t="shared" ref="UP4:WM4" si="34">UP5</f>
        <v>46209</v>
      </c>
      <c r="UQ4" s="190"/>
      <c r="UR4" s="190"/>
      <c r="US4" s="190"/>
      <c r="UT4" s="191"/>
      <c r="UU4" s="184"/>
      <c r="UV4" s="185"/>
      <c r="UW4" s="183">
        <f t="shared" si="34"/>
        <v>46216</v>
      </c>
      <c r="UX4" s="184"/>
      <c r="UY4" s="184"/>
      <c r="UZ4" s="189"/>
      <c r="VA4" s="190"/>
      <c r="VB4" s="190"/>
      <c r="VC4" s="190"/>
      <c r="VD4" s="190">
        <f t="shared" si="34"/>
        <v>46223</v>
      </c>
      <c r="VE4" s="190"/>
      <c r="VF4" s="191"/>
      <c r="VG4" s="184"/>
      <c r="VH4" s="184"/>
      <c r="VI4" s="184"/>
      <c r="VJ4" s="185"/>
      <c r="VK4" s="183">
        <f t="shared" si="34"/>
        <v>46230</v>
      </c>
      <c r="VL4" s="189"/>
      <c r="VM4" s="190"/>
      <c r="VN4" s="190"/>
      <c r="VO4" s="190"/>
      <c r="VP4" s="190"/>
      <c r="VQ4" s="190"/>
      <c r="VR4" s="191">
        <f t="shared" si="34"/>
        <v>46237</v>
      </c>
      <c r="VS4" s="184"/>
      <c r="VT4" s="184"/>
      <c r="VU4" s="184"/>
      <c r="VV4" s="184"/>
      <c r="VW4" s="184"/>
      <c r="VX4" s="189"/>
      <c r="VY4" s="190">
        <f t="shared" si="34"/>
        <v>46244</v>
      </c>
      <c r="VZ4" s="190"/>
      <c r="WA4" s="190"/>
      <c r="WB4" s="190"/>
      <c r="WC4" s="190"/>
      <c r="WD4" s="191"/>
      <c r="WE4" s="185"/>
      <c r="WF4" s="183">
        <f t="shared" si="34"/>
        <v>46251</v>
      </c>
      <c r="WG4" s="184"/>
      <c r="WH4" s="184"/>
      <c r="WI4" s="184"/>
      <c r="WJ4" s="189"/>
      <c r="WK4" s="190"/>
      <c r="WL4" s="190"/>
      <c r="WM4" s="190">
        <f t="shared" si="34"/>
        <v>46258</v>
      </c>
      <c r="WN4" s="190"/>
      <c r="WO4" s="190"/>
      <c r="WP4" s="191"/>
      <c r="WQ4" s="184"/>
      <c r="WR4" s="184"/>
      <c r="WS4" s="185"/>
    </row>
    <row r="5" spans="1:617" ht="9.65" customHeight="1" x14ac:dyDescent="0.35">
      <c r="A5" s="34" t="s">
        <v>202</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5" customHeight="1" thickBot="1" x14ac:dyDescent="0.4">
      <c r="A6" s="34" t="s">
        <v>203</v>
      </c>
      <c r="B6" s="8" t="s">
        <v>204</v>
      </c>
      <c r="C6" s="9" t="s">
        <v>205</v>
      </c>
      <c r="D6" s="115" t="s">
        <v>206</v>
      </c>
      <c r="E6" s="115" t="s">
        <v>207</v>
      </c>
      <c r="F6" s="9"/>
      <c r="G6" s="9" t="s">
        <v>208</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x14ac:dyDescent="0.4">
      <c r="A7" s="33" t="s">
        <v>209</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 thickBot="1" x14ac:dyDescent="0.4">
      <c r="A8" s="33"/>
      <c r="B8" s="195" t="s">
        <v>210</v>
      </c>
      <c r="C8" s="195"/>
      <c r="D8" s="195"/>
      <c r="E8" s="195"/>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5" customHeight="1" outlineLevel="1" thickBot="1" x14ac:dyDescent="0.4">
      <c r="A9" s="34" t="s">
        <v>211</v>
      </c>
      <c r="B9" s="192" t="s">
        <v>212</v>
      </c>
      <c r="C9" s="192"/>
      <c r="D9" s="192"/>
      <c r="E9" s="192"/>
      <c r="F9" s="14"/>
      <c r="G9" s="14" t="str">
        <f t="shared" ref="G9:G198"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5" hidden="1" customHeight="1" outlineLevel="1" thickBot="1" x14ac:dyDescent="0.4">
      <c r="A10" s="34" t="s">
        <v>213</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x14ac:dyDescent="0.4">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5" hidden="1" customHeight="1" outlineLevel="1" thickBot="1" x14ac:dyDescent="0.4">
      <c r="A12" s="34" t="s">
        <v>214</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x14ac:dyDescent="0.4">
      <c r="A13" s="33"/>
      <c r="B13" s="177"/>
      <c r="C13" s="178" t="s">
        <v>215</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x14ac:dyDescent="0.4">
      <c r="A14" s="33"/>
      <c r="B14" s="180"/>
      <c r="C14" s="178" t="s">
        <v>216</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x14ac:dyDescent="0.4">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x14ac:dyDescent="0.4">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x14ac:dyDescent="0.4">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x14ac:dyDescent="0.4">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x14ac:dyDescent="0.4">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x14ac:dyDescent="0.4">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x14ac:dyDescent="0.4">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x14ac:dyDescent="0.4">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x14ac:dyDescent="0.4">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x14ac:dyDescent="0.4">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x14ac:dyDescent="0.4">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x14ac:dyDescent="0.4">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x14ac:dyDescent="0.4">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x14ac:dyDescent="0.4">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x14ac:dyDescent="0.4">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x14ac:dyDescent="0.4">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x14ac:dyDescent="0.4">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x14ac:dyDescent="0.4">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x14ac:dyDescent="0.4">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x14ac:dyDescent="0.4">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x14ac:dyDescent="0.4">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x14ac:dyDescent="0.4">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x14ac:dyDescent="0.4">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x14ac:dyDescent="0.4">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x14ac:dyDescent="0.4">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x14ac:dyDescent="0.4">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x14ac:dyDescent="0.4">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x14ac:dyDescent="0.4">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x14ac:dyDescent="0.4">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x14ac:dyDescent="0.4">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x14ac:dyDescent="0.4">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x14ac:dyDescent="0.4">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x14ac:dyDescent="0.4">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x14ac:dyDescent="0.4">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x14ac:dyDescent="0.4">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x14ac:dyDescent="0.4">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x14ac:dyDescent="0.4">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x14ac:dyDescent="0.4">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x14ac:dyDescent="0.4">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x14ac:dyDescent="0.4">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x14ac:dyDescent="0.4">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x14ac:dyDescent="0.4">
      <c r="A56" s="33"/>
      <c r="B56" s="178" t="s">
        <v>217</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x14ac:dyDescent="0.4">
      <c r="A57" s="33"/>
      <c r="B57" s="178" t="s">
        <v>217</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x14ac:dyDescent="0.4">
      <c r="A58" s="33"/>
      <c r="B58" s="178" t="s">
        <v>217</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x14ac:dyDescent="0.4">
      <c r="A59" s="33"/>
      <c r="B59" s="178" t="s">
        <v>218</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x14ac:dyDescent="0.4">
      <c r="A60" s="33"/>
      <c r="B60" s="178" t="s">
        <v>217</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x14ac:dyDescent="0.4">
      <c r="A61" s="33"/>
      <c r="B61" s="178" t="s">
        <v>219</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x14ac:dyDescent="0.4">
      <c r="A62" s="33"/>
      <c r="B62" s="178" t="s">
        <v>217</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x14ac:dyDescent="0.4">
      <c r="A63" s="33"/>
      <c r="B63" s="178" t="s">
        <v>219</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x14ac:dyDescent="0.4">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x14ac:dyDescent="0.4">
      <c r="A65" s="34" t="s">
        <v>220</v>
      </c>
      <c r="B65" s="199" t="s">
        <v>221</v>
      </c>
      <c r="C65" s="199"/>
      <c r="D65" s="199"/>
      <c r="E65" s="199"/>
      <c r="F65" s="14"/>
      <c r="G65" s="14" t="str">
        <f t="shared"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x14ac:dyDescent="0.4">
      <c r="A66" s="33"/>
      <c r="B66" s="47" t="s">
        <v>222</v>
      </c>
      <c r="C66" s="42" t="s">
        <v>223</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x14ac:dyDescent="0.4">
      <c r="A67" s="33"/>
      <c r="B67" s="47" t="s">
        <v>224</v>
      </c>
      <c r="C67" s="42" t="s">
        <v>225</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x14ac:dyDescent="0.4">
      <c r="A68" s="33"/>
      <c r="B68" s="47" t="s">
        <v>222</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x14ac:dyDescent="0.4">
      <c r="A69" s="33"/>
      <c r="B69" s="47" t="s">
        <v>222</v>
      </c>
      <c r="C69" s="42" t="s">
        <v>226</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x14ac:dyDescent="0.4">
      <c r="A70" s="33"/>
      <c r="B70" s="47" t="s">
        <v>224</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x14ac:dyDescent="0.4">
      <c r="A71" s="33"/>
      <c r="B71" s="47" t="s">
        <v>222</v>
      </c>
      <c r="C71" s="42" t="s">
        <v>223</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x14ac:dyDescent="0.4">
      <c r="A72" s="33"/>
      <c r="B72" s="47" t="s">
        <v>224</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x14ac:dyDescent="0.4">
      <c r="A73" s="33"/>
      <c r="B73" s="47" t="s">
        <v>222</v>
      </c>
      <c r="C73" s="42" t="s">
        <v>226</v>
      </c>
      <c r="D73" s="116">
        <v>46089</v>
      </c>
      <c r="E73" s="116">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x14ac:dyDescent="0.4">
      <c r="A74" s="33"/>
      <c r="B74" s="47" t="s">
        <v>224</v>
      </c>
      <c r="C74" s="42" t="s">
        <v>35</v>
      </c>
      <c r="D74" s="116">
        <v>46097</v>
      </c>
      <c r="E74" s="116">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x14ac:dyDescent="0.4">
      <c r="A75" s="33"/>
      <c r="B75" s="47" t="s">
        <v>222</v>
      </c>
      <c r="C75" s="42" t="s">
        <v>223</v>
      </c>
      <c r="D75" s="116">
        <v>46149</v>
      </c>
      <c r="E75" s="116">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x14ac:dyDescent="0.4">
      <c r="A76" s="33"/>
      <c r="B76" s="47" t="s">
        <v>224</v>
      </c>
      <c r="C76" s="42" t="s">
        <v>42</v>
      </c>
      <c r="D76" s="116">
        <v>46153</v>
      </c>
      <c r="E76" s="116">
        <f t="shared" si="594"/>
        <v>46228</v>
      </c>
      <c r="F76" s="14"/>
      <c r="G76" s="14">
        <v>75</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x14ac:dyDescent="0.4">
      <c r="A77" s="33"/>
      <c r="B77" s="47" t="s">
        <v>222</v>
      </c>
      <c r="C77" s="42" t="s">
        <v>226</v>
      </c>
      <c r="D77" s="116">
        <v>46211</v>
      </c>
      <c r="E77" s="116">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x14ac:dyDescent="0.4">
      <c r="A78" s="33"/>
      <c r="B78" s="47" t="s">
        <v>224</v>
      </c>
      <c r="C78" s="42" t="s">
        <v>35</v>
      </c>
      <c r="D78" s="116">
        <v>46229</v>
      </c>
      <c r="E78" s="116">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x14ac:dyDescent="0.4">
      <c r="A79" s="33"/>
      <c r="B79" s="47" t="s">
        <v>222</v>
      </c>
      <c r="C79" s="42" t="s">
        <v>223</v>
      </c>
      <c r="D79" s="116">
        <v>46273</v>
      </c>
      <c r="E79" s="116">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x14ac:dyDescent="0.4">
      <c r="A80" s="33"/>
      <c r="B80" s="47" t="s">
        <v>224</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x14ac:dyDescent="0.4">
      <c r="A81" s="33"/>
      <c r="B81" s="200" t="s">
        <v>227</v>
      </c>
      <c r="C81" s="200"/>
      <c r="D81" s="200"/>
      <c r="E81" s="200"/>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x14ac:dyDescent="0.4">
      <c r="A82" s="33"/>
      <c r="B82" s="47" t="s">
        <v>228</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x14ac:dyDescent="0.4">
      <c r="A83" s="33"/>
      <c r="B83" s="47" t="s">
        <v>229</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x14ac:dyDescent="0.4">
      <c r="A84" s="33"/>
      <c r="B84" s="47" t="s">
        <v>229</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x14ac:dyDescent="0.4">
      <c r="A85" s="33"/>
      <c r="B85" s="47" t="s">
        <v>230</v>
      </c>
      <c r="C85" s="42" t="s">
        <v>134</v>
      </c>
      <c r="D85" s="116">
        <v>46107</v>
      </c>
      <c r="E85" s="116">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x14ac:dyDescent="0.4">
      <c r="A86" s="33"/>
      <c r="B86" s="47" t="s">
        <v>230</v>
      </c>
      <c r="C86" s="42" t="s">
        <v>131</v>
      </c>
      <c r="D86" s="116">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x14ac:dyDescent="0.4">
      <c r="A87" s="33"/>
      <c r="B87" s="47"/>
      <c r="C87" s="42"/>
      <c r="D87" s="116"/>
      <c r="E87" s="116"/>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x14ac:dyDescent="0.4">
      <c r="A88" s="33"/>
      <c r="B88" s="200" t="s">
        <v>231</v>
      </c>
      <c r="C88" s="200"/>
      <c r="D88" s="200"/>
      <c r="E88" s="200"/>
      <c r="F88" s="14"/>
      <c r="G88" s="14" t="str">
        <f t="shared"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x14ac:dyDescent="0.4">
      <c r="A89" s="33" t="s">
        <v>232</v>
      </c>
      <c r="B89" s="84" t="s">
        <v>222</v>
      </c>
      <c r="C89" s="137" t="s">
        <v>226</v>
      </c>
      <c r="D89" s="117">
        <v>45774</v>
      </c>
      <c r="E89" s="117">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x14ac:dyDescent="0.4">
      <c r="A90" s="33"/>
      <c r="B90" s="201" t="s">
        <v>233</v>
      </c>
      <c r="C90" s="201"/>
      <c r="D90" s="201"/>
      <c r="E90" s="201"/>
      <c r="F90" s="14"/>
      <c r="G90" s="14" t="str">
        <f t="shared"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x14ac:dyDescent="0.4">
      <c r="A91" s="33" t="s">
        <v>232</v>
      </c>
      <c r="B91" s="48" t="s">
        <v>234</v>
      </c>
      <c r="C91" s="44" t="s">
        <v>235</v>
      </c>
      <c r="D91" s="118">
        <v>45635</v>
      </c>
      <c r="E91" s="118">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x14ac:dyDescent="0.4">
      <c r="A92" s="33"/>
      <c r="B92" s="82" t="s">
        <v>234</v>
      </c>
      <c r="C92" s="138" t="s">
        <v>236</v>
      </c>
      <c r="D92" s="119">
        <v>45698</v>
      </c>
      <c r="E92" s="119">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x14ac:dyDescent="0.4">
      <c r="A93" s="33"/>
      <c r="B93" s="202" t="s">
        <v>237</v>
      </c>
      <c r="C93" s="202"/>
      <c r="D93" s="202"/>
      <c r="E93" s="202"/>
      <c r="F93" s="14"/>
      <c r="G93" s="14" t="str">
        <f t="shared"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x14ac:dyDescent="0.4">
      <c r="A94" s="33" t="s">
        <v>232</v>
      </c>
      <c r="B94" s="85" t="s">
        <v>238</v>
      </c>
      <c r="C94" s="139" t="s">
        <v>239</v>
      </c>
      <c r="D94" s="120">
        <v>45866</v>
      </c>
      <c r="E94" s="120">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x14ac:dyDescent="0.4">
      <c r="A95" s="33"/>
      <c r="B95" s="85" t="s">
        <v>238</v>
      </c>
      <c r="C95" s="139" t="s">
        <v>240</v>
      </c>
      <c r="D95" s="120">
        <v>45922</v>
      </c>
      <c r="E95" s="120">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x14ac:dyDescent="0.4">
      <c r="A96" s="33"/>
      <c r="B96" s="85" t="s">
        <v>241</v>
      </c>
      <c r="C96" s="145" t="s">
        <v>236</v>
      </c>
      <c r="D96" s="123">
        <v>46041</v>
      </c>
      <c r="E96" s="123">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x14ac:dyDescent="0.4">
      <c r="A97" s="33"/>
      <c r="B97" s="85" t="s">
        <v>242</v>
      </c>
      <c r="C97" s="139" t="s">
        <v>243</v>
      </c>
      <c r="D97" s="120">
        <v>46104</v>
      </c>
      <c r="E97" s="120">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x14ac:dyDescent="0.4">
      <c r="A98" s="33"/>
      <c r="B98" s="85" t="s">
        <v>238</v>
      </c>
      <c r="C98" s="139" t="s">
        <v>244</v>
      </c>
      <c r="D98" s="120">
        <v>46146</v>
      </c>
      <c r="E98" s="120">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6" outlineLevel="1" thickBot="1" x14ac:dyDescent="0.4">
      <c r="A99" s="33"/>
      <c r="B99" s="203" t="s">
        <v>245</v>
      </c>
      <c r="C99" s="203"/>
      <c r="D99" s="203"/>
      <c r="E99" s="203"/>
      <c r="F99" s="14"/>
      <c r="G99" s="14"/>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thickBot="1" x14ac:dyDescent="0.4">
      <c r="A100" s="33"/>
      <c r="B100" s="198" t="s">
        <v>246</v>
      </c>
      <c r="C100" s="198"/>
      <c r="D100" s="198"/>
      <c r="E100" s="198"/>
      <c r="F100" s="14"/>
      <c r="G100" s="14" t="str">
        <f t="shared" si="586"/>
        <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customHeight="1" outlineLevel="1" thickBot="1" x14ac:dyDescent="0.4">
      <c r="A101" s="34" t="s">
        <v>220</v>
      </c>
      <c r="B101" s="47" t="s">
        <v>247</v>
      </c>
      <c r="C101" s="42" t="s">
        <v>119</v>
      </c>
      <c r="D101" s="116">
        <v>45820</v>
      </c>
      <c r="E101" s="116">
        <f>D101+G101-1</f>
        <v>45873</v>
      </c>
      <c r="F101" s="14"/>
      <c r="G101" s="14">
        <v>54</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hidden="1" outlineLevel="1" thickBot="1" x14ac:dyDescent="0.4">
      <c r="A102" s="33"/>
      <c r="B102" s="47" t="s">
        <v>248</v>
      </c>
      <c r="C102" s="42" t="s">
        <v>83</v>
      </c>
      <c r="D102" s="116">
        <v>45855</v>
      </c>
      <c r="E102" s="116">
        <f>D102+G102</f>
        <v>45911</v>
      </c>
      <c r="F102" s="14"/>
      <c r="G102" s="14">
        <v>56</v>
      </c>
      <c r="H102" s="29"/>
      <c r="I102" s="29"/>
      <c r="J102" s="29"/>
      <c r="K102" s="29"/>
      <c r="L102" s="29"/>
      <c r="M102" s="29"/>
      <c r="N102" s="29"/>
      <c r="O102" s="29"/>
      <c r="P102" s="29"/>
      <c r="Q102" s="29"/>
      <c r="R102" s="29"/>
      <c r="S102" s="29"/>
      <c r="T102" s="29"/>
      <c r="U102" s="30"/>
      <c r="V102" s="30"/>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hidden="1" outlineLevel="1" thickBot="1" x14ac:dyDescent="0.4">
      <c r="A103" s="33"/>
      <c r="B103" s="47" t="s">
        <v>247</v>
      </c>
      <c r="C103" s="42" t="s">
        <v>42</v>
      </c>
      <c r="D103" s="116">
        <v>45876</v>
      </c>
      <c r="E103" s="116">
        <v>45925</v>
      </c>
      <c r="F103" s="14"/>
      <c r="G103" s="14">
        <f>E103-D103</f>
        <v>49</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hidden="1" outlineLevel="1" thickBot="1" x14ac:dyDescent="0.4">
      <c r="A104" s="33"/>
      <c r="B104" s="47" t="s">
        <v>248</v>
      </c>
      <c r="C104" s="42" t="s">
        <v>134</v>
      </c>
      <c r="D104" s="116">
        <f>E102</f>
        <v>45911</v>
      </c>
      <c r="E104" s="116">
        <f t="shared" ref="E104:E105" si="597">D104+G104</f>
        <v>45967</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outlineLevel="1" thickBot="1" x14ac:dyDescent="0.4">
      <c r="A105" s="33"/>
      <c r="B105" s="47" t="s">
        <v>247</v>
      </c>
      <c r="C105" s="42" t="s">
        <v>39</v>
      </c>
      <c r="D105" s="116">
        <v>45932</v>
      </c>
      <c r="E105" s="116">
        <f t="shared" si="597"/>
        <v>45988</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x14ac:dyDescent="0.4">
      <c r="A106" s="33"/>
      <c r="B106" s="47" t="s">
        <v>248</v>
      </c>
      <c r="C106" s="42" t="s">
        <v>62</v>
      </c>
      <c r="D106" s="116">
        <v>45974</v>
      </c>
      <c r="E106" s="116">
        <f t="shared" ref="E106:E124" si="598">D106+G106-1</f>
        <v>46029</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x14ac:dyDescent="0.4">
      <c r="A107" s="33"/>
      <c r="B107" s="47" t="s">
        <v>247</v>
      </c>
      <c r="C107" s="42" t="s">
        <v>225</v>
      </c>
      <c r="D107" s="116">
        <v>45996</v>
      </c>
      <c r="E107" s="116">
        <f>D107+G107-1</f>
        <v>46051</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x14ac:dyDescent="0.4">
      <c r="A108" s="33"/>
      <c r="B108" s="146" t="s">
        <v>249</v>
      </c>
      <c r="C108" s="147" t="s">
        <v>122</v>
      </c>
      <c r="D108" s="148">
        <v>45988</v>
      </c>
      <c r="E108" s="148">
        <f t="shared" si="598"/>
        <v>46043</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x14ac:dyDescent="0.4">
      <c r="A109" s="33"/>
      <c r="B109" s="47" t="s">
        <v>248</v>
      </c>
      <c r="C109" s="42" t="s">
        <v>83</v>
      </c>
      <c r="D109" s="116">
        <v>46034</v>
      </c>
      <c r="E109" s="116">
        <f>D109+G109</f>
        <v>46085</v>
      </c>
      <c r="F109" s="14"/>
      <c r="G109" s="14">
        <v>51</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x14ac:dyDescent="0.4">
      <c r="A110" s="33"/>
      <c r="B110" s="47" t="s">
        <v>247</v>
      </c>
      <c r="C110" s="42" t="s">
        <v>95</v>
      </c>
      <c r="D110" s="116">
        <f>E107</f>
        <v>46051</v>
      </c>
      <c r="E110" s="116">
        <f t="shared" si="598"/>
        <v>46106</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x14ac:dyDescent="0.4">
      <c r="A111" s="33"/>
      <c r="B111" s="146" t="s">
        <v>249</v>
      </c>
      <c r="C111" s="147" t="s">
        <v>250</v>
      </c>
      <c r="D111" s="148">
        <v>46058</v>
      </c>
      <c r="E111" s="148">
        <f t="shared" si="598"/>
        <v>46113</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x14ac:dyDescent="0.4">
      <c r="A112" s="33"/>
      <c r="B112" s="47" t="s">
        <v>248</v>
      </c>
      <c r="C112" s="42" t="s">
        <v>86</v>
      </c>
      <c r="D112" s="116">
        <f>E109+8</f>
        <v>46093</v>
      </c>
      <c r="E112" s="116">
        <f>D112+G112-1</f>
        <v>46148</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x14ac:dyDescent="0.4">
      <c r="A113" s="33"/>
      <c r="B113" s="47" t="s">
        <v>247</v>
      </c>
      <c r="C113" s="42" t="s">
        <v>225</v>
      </c>
      <c r="D113" s="116">
        <v>46114</v>
      </c>
      <c r="E113" s="116">
        <f t="shared" si="598"/>
        <v>46169</v>
      </c>
      <c r="F113" s="14"/>
      <c r="G113" s="14">
        <v>56</v>
      </c>
      <c r="H113" s="14">
        <v>54</v>
      </c>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x14ac:dyDescent="0.4">
      <c r="A114" s="33"/>
      <c r="B114" s="146" t="s">
        <v>249</v>
      </c>
      <c r="C114" s="147" t="s">
        <v>113</v>
      </c>
      <c r="D114" s="148">
        <v>46065</v>
      </c>
      <c r="E114" s="148">
        <f t="shared" si="598"/>
        <v>46120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x14ac:dyDescent="0.4">
      <c r="A115" s="33"/>
      <c r="B115" s="146" t="s">
        <v>249</v>
      </c>
      <c r="C115" s="147" t="s">
        <v>116</v>
      </c>
      <c r="D115" s="148">
        <v>46121</v>
      </c>
      <c r="E115" s="148">
        <f>D115+G115-1</f>
        <v>46176</v>
      </c>
      <c r="F115" s="14"/>
      <c r="G115" s="14">
        <v>56</v>
      </c>
      <c r="H115" s="14"/>
      <c r="I115" s="14"/>
      <c r="J115" s="29"/>
      <c r="K115" s="29"/>
      <c r="L115" s="29"/>
      <c r="M115" s="29"/>
      <c r="N115" s="29"/>
      <c r="O115" s="29"/>
      <c r="P115" s="29"/>
      <c r="Q115" s="29"/>
      <c r="R115" s="29"/>
      <c r="S115" s="29"/>
      <c r="T115" s="29"/>
      <c r="U115" s="29"/>
      <c r="V115" s="29"/>
      <c r="W115" s="29"/>
      <c r="X115" s="29"/>
      <c r="Y115" s="176"/>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x14ac:dyDescent="0.4">
      <c r="A116" s="33"/>
      <c r="B116" s="47" t="s">
        <v>248</v>
      </c>
      <c r="C116" s="42" t="s">
        <v>83</v>
      </c>
      <c r="D116" s="116">
        <f>E112+1</f>
        <v>46149</v>
      </c>
      <c r="E116" s="116">
        <f>D116+G116-1</f>
        <v>46204</v>
      </c>
      <c r="F116" s="14"/>
      <c r="G116" s="14">
        <v>56</v>
      </c>
      <c r="H116" s="14"/>
      <c r="I116" s="14"/>
      <c r="J116" s="29"/>
      <c r="K116" s="29"/>
      <c r="L116" s="29"/>
      <c r="M116" s="29"/>
      <c r="N116" s="29"/>
      <c r="O116" s="29"/>
      <c r="P116" s="29"/>
      <c r="Q116" s="29"/>
      <c r="R116" s="29"/>
      <c r="S116" s="29"/>
      <c r="T116" s="29"/>
      <c r="U116" s="29"/>
      <c r="V116" s="29"/>
      <c r="W116" s="29"/>
      <c r="X116" s="29"/>
      <c r="Y116" s="176"/>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x14ac:dyDescent="0.4">
      <c r="A117" s="33"/>
      <c r="B117" s="47" t="s">
        <v>247</v>
      </c>
      <c r="C117" s="42" t="s">
        <v>174</v>
      </c>
      <c r="D117" s="116">
        <f>E113+1</f>
        <v>46170</v>
      </c>
      <c r="E117" s="116">
        <f t="shared" si="598"/>
        <v>46225</v>
      </c>
      <c r="F117" s="14"/>
      <c r="G117" s="14">
        <v>56</v>
      </c>
      <c r="H117" s="14"/>
      <c r="I117" s="14"/>
      <c r="J117" s="29"/>
      <c r="K117" s="29"/>
      <c r="L117" s="29"/>
      <c r="M117" s="29"/>
      <c r="N117" s="29"/>
      <c r="O117" s="29"/>
      <c r="P117" s="29"/>
      <c r="Q117" s="29"/>
      <c r="R117" s="29"/>
      <c r="S117" s="29"/>
      <c r="T117" s="29"/>
      <c r="U117" s="29"/>
      <c r="V117" s="29"/>
      <c r="W117" s="29"/>
      <c r="X117" s="29"/>
      <c r="Y117" s="176"/>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x14ac:dyDescent="0.4">
      <c r="A118" s="33"/>
      <c r="B118" s="146" t="s">
        <v>249</v>
      </c>
      <c r="C118" s="147" t="s">
        <v>122</v>
      </c>
      <c r="D118" s="148">
        <f>E115+1</f>
        <v>46177</v>
      </c>
      <c r="E118" s="148">
        <f t="shared" si="598"/>
        <v>46232</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x14ac:dyDescent="0.4">
      <c r="A119" s="33"/>
      <c r="B119" s="47" t="s">
        <v>248</v>
      </c>
      <c r="C119" s="42" t="s">
        <v>86</v>
      </c>
      <c r="D119" s="116">
        <f t="shared" ref="D119:D124" si="599">E116+1</f>
        <v>46205</v>
      </c>
      <c r="E119" s="116">
        <f t="shared" si="598"/>
        <v>46260</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x14ac:dyDescent="0.4">
      <c r="A120" s="33"/>
      <c r="B120" s="47" t="s">
        <v>247</v>
      </c>
      <c r="C120" s="42" t="s">
        <v>225</v>
      </c>
      <c r="D120" s="116">
        <f t="shared" si="599"/>
        <v>46226</v>
      </c>
      <c r="E120" s="116">
        <f t="shared" si="598"/>
        <v>46281</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x14ac:dyDescent="0.4">
      <c r="A121" s="33" t="s">
        <v>252</v>
      </c>
      <c r="B121" s="146" t="s">
        <v>249</v>
      </c>
      <c r="C121" s="147" t="s">
        <v>251</v>
      </c>
      <c r="D121" s="148">
        <f t="shared" si="599"/>
        <v>46233</v>
      </c>
      <c r="E121" s="148">
        <f t="shared" si="598"/>
        <v>46288</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x14ac:dyDescent="0.4">
      <c r="A122" s="33"/>
      <c r="B122" s="47" t="s">
        <v>248</v>
      </c>
      <c r="C122" s="42" t="s">
        <v>83</v>
      </c>
      <c r="D122" s="116">
        <f t="shared" si="599"/>
        <v>46261</v>
      </c>
      <c r="E122" s="116">
        <f t="shared" si="598"/>
        <v>46316</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x14ac:dyDescent="0.4">
      <c r="A123" s="33"/>
      <c r="B123" s="47" t="s">
        <v>247</v>
      </c>
      <c r="C123" s="42"/>
      <c r="D123" s="116">
        <f t="shared" si="599"/>
        <v>46282</v>
      </c>
      <c r="E123" s="116">
        <f t="shared" si="598"/>
        <v>46337</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x14ac:dyDescent="0.4">
      <c r="A124" s="33"/>
      <c r="B124" s="146" t="s">
        <v>249</v>
      </c>
      <c r="C124" s="147" t="s">
        <v>251</v>
      </c>
      <c r="D124" s="148">
        <f t="shared" si="599"/>
        <v>46289</v>
      </c>
      <c r="E124" s="148">
        <f t="shared" si="598"/>
        <v>46344</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x14ac:dyDescent="0.4">
      <c r="A125" s="33"/>
      <c r="B125" s="173" t="s">
        <v>253</v>
      </c>
      <c r="C125" s="174" t="s">
        <v>254</v>
      </c>
      <c r="D125" s="175">
        <v>46114</v>
      </c>
      <c r="E125" s="175">
        <f t="shared" ref="E125:E127" si="600">D125+G125-1</f>
        <v>46169</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x14ac:dyDescent="0.4">
      <c r="A126" s="33"/>
      <c r="B126" s="173" t="s">
        <v>253</v>
      </c>
      <c r="C126" s="174" t="s">
        <v>254</v>
      </c>
      <c r="D126" s="175">
        <f>E125+1</f>
        <v>46170</v>
      </c>
      <c r="E126" s="175">
        <f t="shared" si="600"/>
        <v>46225</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x14ac:dyDescent="0.4">
      <c r="A127" s="33"/>
      <c r="B127" s="173" t="s">
        <v>253</v>
      </c>
      <c r="C127" s="174" t="s">
        <v>254</v>
      </c>
      <c r="D127" s="175">
        <f t="shared" ref="D127" si="601">E126+1</f>
        <v>46226</v>
      </c>
      <c r="E127" s="175">
        <f t="shared" si="600"/>
        <v>46281</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x14ac:dyDescent="0.4">
      <c r="A128" s="33"/>
      <c r="B128" s="173"/>
      <c r="C128" s="174"/>
      <c r="D128" s="175"/>
      <c r="E128" s="175"/>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x14ac:dyDescent="0.4">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x14ac:dyDescent="0.4">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x14ac:dyDescent="0.4">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x14ac:dyDescent="0.4">
      <c r="A132" s="33"/>
      <c r="B132" s="47"/>
      <c r="C132" s="42"/>
      <c r="D132" s="116"/>
      <c r="E132" s="116"/>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x14ac:dyDescent="0.4">
      <c r="A133" s="33"/>
      <c r="B133" s="24" t="s">
        <v>255</v>
      </c>
      <c r="C133" s="140"/>
      <c r="D133" s="121"/>
      <c r="E133" s="122"/>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x14ac:dyDescent="0.4">
      <c r="A134" s="33"/>
      <c r="B134" s="85" t="s">
        <v>256</v>
      </c>
      <c r="C134" s="102" t="s">
        <v>89</v>
      </c>
      <c r="D134" s="123">
        <v>45754</v>
      </c>
      <c r="E134" s="123">
        <f>D134+G134</f>
        <v>45758</v>
      </c>
      <c r="F134" s="14"/>
      <c r="G134" s="14">
        <v>4</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x14ac:dyDescent="0.4">
      <c r="A135" s="33"/>
      <c r="B135" s="85" t="s">
        <v>217</v>
      </c>
      <c r="C135" s="102" t="s">
        <v>225</v>
      </c>
      <c r="D135" s="123">
        <v>45782</v>
      </c>
      <c r="E135" s="123">
        <f>D135+G135-1</f>
        <v>45793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x14ac:dyDescent="0.4">
      <c r="A136" s="33"/>
      <c r="B136" s="85" t="s">
        <v>257</v>
      </c>
      <c r="C136" s="102" t="s">
        <v>86</v>
      </c>
      <c r="D136" s="123">
        <f>D135+35</f>
        <v>45817</v>
      </c>
      <c r="E136" s="123">
        <f t="shared" ref="E136:E145" si="602">D136+G136-1</f>
        <v>45828</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x14ac:dyDescent="0.4">
      <c r="A137" s="33"/>
      <c r="B137" s="85" t="s">
        <v>217</v>
      </c>
      <c r="C137" s="102" t="s">
        <v>35</v>
      </c>
      <c r="D137" s="123">
        <f t="shared" ref="D137" si="603">D136+35</f>
        <v>45852</v>
      </c>
      <c r="E137" s="123">
        <f t="shared" si="602"/>
        <v>45863</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x14ac:dyDescent="0.4">
      <c r="A138" s="33"/>
      <c r="B138" s="85" t="s">
        <v>217</v>
      </c>
      <c r="C138" s="102" t="s">
        <v>165</v>
      </c>
      <c r="D138" s="123">
        <v>45852</v>
      </c>
      <c r="E138" s="123">
        <f t="shared" si="602"/>
        <v>45856</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x14ac:dyDescent="0.4">
      <c r="A139" s="33"/>
      <c r="B139" s="85" t="s">
        <v>217</v>
      </c>
      <c r="C139" s="102" t="s">
        <v>168</v>
      </c>
      <c r="D139" s="123">
        <v>45859</v>
      </c>
      <c r="E139" s="123">
        <f t="shared" si="602"/>
        <v>45863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x14ac:dyDescent="0.4">
      <c r="A140" s="33"/>
      <c r="B140" s="85" t="s">
        <v>257</v>
      </c>
      <c r="C140" s="102" t="s">
        <v>80</v>
      </c>
      <c r="D140" s="123">
        <v>45894</v>
      </c>
      <c r="E140" s="123">
        <f t="shared" si="602"/>
        <v>45905</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x14ac:dyDescent="0.4">
      <c r="A141" s="33"/>
      <c r="B141" s="85" t="s">
        <v>257</v>
      </c>
      <c r="C141" s="102" t="s">
        <v>144</v>
      </c>
      <c r="D141" s="123">
        <v>45901</v>
      </c>
      <c r="E141" s="123">
        <f t="shared" si="602"/>
        <v>45905</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x14ac:dyDescent="0.4">
      <c r="A142" s="33"/>
      <c r="B142" s="85" t="s">
        <v>219</v>
      </c>
      <c r="C142" s="102" t="s">
        <v>21</v>
      </c>
      <c r="D142" s="123">
        <v>45894</v>
      </c>
      <c r="E142" s="123">
        <f t="shared" si="602"/>
        <v>45898</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x14ac:dyDescent="0.4">
      <c r="A143" s="33"/>
      <c r="B143" s="85" t="s">
        <v>257</v>
      </c>
      <c r="C143" s="102" t="s">
        <v>101</v>
      </c>
      <c r="D143" s="123">
        <v>45929</v>
      </c>
      <c r="E143" s="123">
        <f t="shared" si="602"/>
        <v>45940</v>
      </c>
      <c r="F143" s="14"/>
      <c r="G143" s="14">
        <v>12</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x14ac:dyDescent="0.4">
      <c r="A144" s="33"/>
      <c r="B144" s="85" t="s">
        <v>219</v>
      </c>
      <c r="C144" s="102" t="s">
        <v>26</v>
      </c>
      <c r="D144" s="123">
        <v>45929</v>
      </c>
      <c r="E144" s="123">
        <f t="shared" si="602"/>
        <v>45933</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x14ac:dyDescent="0.4">
      <c r="A145" s="33"/>
      <c r="B145" s="85" t="s">
        <v>217</v>
      </c>
      <c r="C145" s="102" t="s">
        <v>162</v>
      </c>
      <c r="D145" s="123">
        <v>45936</v>
      </c>
      <c r="E145" s="123">
        <f t="shared" si="602"/>
        <v>45940</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x14ac:dyDescent="0.4">
      <c r="A146" s="33"/>
      <c r="B146" s="149" t="s">
        <v>217</v>
      </c>
      <c r="C146" s="150"/>
      <c r="D146" s="151">
        <v>45964</v>
      </c>
      <c r="E146" s="151">
        <f t="shared" ref="E146:E150" si="604">D146+G146-1</f>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x14ac:dyDescent="0.4">
      <c r="A147" s="33"/>
      <c r="B147" s="149" t="s">
        <v>219</v>
      </c>
      <c r="C147" s="150"/>
      <c r="D147" s="151">
        <v>45964</v>
      </c>
      <c r="E147" s="151">
        <f t="shared" si="604"/>
        <v>45975</v>
      </c>
      <c r="F147" s="152"/>
      <c r="G147" s="152">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x14ac:dyDescent="0.4">
      <c r="A148" s="33"/>
      <c r="B148" s="149" t="s">
        <v>257</v>
      </c>
      <c r="C148" s="150"/>
      <c r="D148" s="151">
        <v>45957</v>
      </c>
      <c r="E148" s="151">
        <f t="shared" si="604"/>
        <v>45961</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x14ac:dyDescent="0.4">
      <c r="A149" s="33"/>
      <c r="B149" s="149" t="s">
        <v>217</v>
      </c>
      <c r="C149" s="150"/>
      <c r="D149" s="151">
        <v>45964</v>
      </c>
      <c r="E149" s="151">
        <f t="shared" si="604"/>
        <v>45968</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x14ac:dyDescent="0.4">
      <c r="A150" s="33"/>
      <c r="B150" s="149" t="s">
        <v>217</v>
      </c>
      <c r="C150" s="150"/>
      <c r="D150" s="151">
        <v>45971</v>
      </c>
      <c r="E150" s="151">
        <f t="shared" si="604"/>
        <v>45975</v>
      </c>
      <c r="F150" s="152"/>
      <c r="G150" s="152">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x14ac:dyDescent="0.4">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x14ac:dyDescent="0.4">
      <c r="A152" s="33"/>
      <c r="B152" s="85"/>
      <c r="C152" s="102"/>
      <c r="D152" s="123"/>
      <c r="E152" s="123"/>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x14ac:dyDescent="0.4">
      <c r="A153" s="33"/>
      <c r="B153" s="83" t="s">
        <v>258</v>
      </c>
      <c r="C153" s="141"/>
      <c r="D153" s="124"/>
      <c r="E153" s="125"/>
      <c r="F153" s="14"/>
      <c r="G153" s="14" t="str">
        <f t="shared" si="586"/>
        <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x14ac:dyDescent="0.4">
      <c r="A154" s="33" t="s">
        <v>232</v>
      </c>
      <c r="B154" s="84" t="s">
        <v>238</v>
      </c>
      <c r="C154" s="142" t="s">
        <v>259</v>
      </c>
      <c r="D154" s="117">
        <v>45769</v>
      </c>
      <c r="E154" s="117">
        <v>45856</v>
      </c>
      <c r="F154" s="14"/>
      <c r="G154" s="14">
        <v>87</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x14ac:dyDescent="0.4">
      <c r="A155" s="33"/>
      <c r="B155" s="86" t="s">
        <v>241</v>
      </c>
      <c r="C155" s="142" t="s">
        <v>260</v>
      </c>
      <c r="D155" s="117">
        <v>45838</v>
      </c>
      <c r="E155" s="117">
        <v>45884</v>
      </c>
      <c r="F155" s="14"/>
      <c r="G155" s="14">
        <v>46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x14ac:dyDescent="0.4">
      <c r="A156" s="33"/>
      <c r="B156" s="204" t="s">
        <v>261</v>
      </c>
      <c r="C156" s="204"/>
      <c r="D156" s="204"/>
      <c r="E156" s="204"/>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x14ac:dyDescent="0.4">
      <c r="A157" s="33"/>
      <c r="B157" s="161" t="s">
        <v>238</v>
      </c>
      <c r="C157" s="162" t="s">
        <v>262</v>
      </c>
      <c r="D157" s="163">
        <v>45971</v>
      </c>
      <c r="E157" s="163">
        <v>45996</v>
      </c>
      <c r="F157" s="14"/>
      <c r="G157" s="14">
        <f>E157-D157</f>
        <v>25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x14ac:dyDescent="0.4">
      <c r="A158" s="33"/>
      <c r="B158" s="87" t="s">
        <v>263</v>
      </c>
      <c r="C158" s="41" t="s">
        <v>259</v>
      </c>
      <c r="D158" s="126">
        <v>46034</v>
      </c>
      <c r="E158" s="126">
        <f>D158+53</f>
        <v>46087</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x14ac:dyDescent="0.4">
      <c r="A159" s="33"/>
      <c r="B159" s="87" t="s">
        <v>241</v>
      </c>
      <c r="C159" s="41" t="s">
        <v>264</v>
      </c>
      <c r="D159" s="126">
        <v>46104</v>
      </c>
      <c r="E159" s="126">
        <f>D159+53</f>
        <v>46157</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x14ac:dyDescent="0.4">
      <c r="A160" s="33"/>
      <c r="B160" s="87" t="s">
        <v>242</v>
      </c>
      <c r="C160" s="41" t="s">
        <v>265</v>
      </c>
      <c r="D160" s="126">
        <v>46160</v>
      </c>
      <c r="E160" s="126">
        <f>D160+53</f>
        <v>46213</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6" outlineLevel="1" thickBot="1" x14ac:dyDescent="0.4">
      <c r="A161" s="33"/>
      <c r="B161" s="203" t="s">
        <v>210</v>
      </c>
      <c r="C161" s="203"/>
      <c r="D161" s="203"/>
      <c r="E161" s="203"/>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thickBot="1" x14ac:dyDescent="0.4">
      <c r="A162" s="33"/>
      <c r="B162" s="198" t="s">
        <v>266</v>
      </c>
      <c r="C162" s="198"/>
      <c r="D162" s="198"/>
      <c r="E162" s="198"/>
      <c r="F162" s="14"/>
      <c r="G162" s="14" t="str">
        <f t="shared" si="586"/>
        <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2.65" hidden="1" customHeight="1" outlineLevel="1" thickBot="1" x14ac:dyDescent="0.4">
      <c r="A163" s="34" t="s">
        <v>220</v>
      </c>
      <c r="B163" s="47" t="s">
        <v>267</v>
      </c>
      <c r="C163" s="42" t="s">
        <v>104</v>
      </c>
      <c r="D163" s="116">
        <v>45964</v>
      </c>
      <c r="E163" s="116">
        <f t="shared" ref="E163:E169" si="605">D163+G163</f>
        <v>46050</v>
      </c>
      <c r="F163" s="14"/>
      <c r="G163" s="14">
        <v>86</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x14ac:dyDescent="0.4">
      <c r="A164" s="33"/>
      <c r="B164" s="47" t="s">
        <v>268</v>
      </c>
      <c r="C164" s="42" t="s">
        <v>119</v>
      </c>
      <c r="D164" s="116">
        <v>46037</v>
      </c>
      <c r="E164" s="116">
        <f t="shared" si="605"/>
        <v>46123</v>
      </c>
      <c r="F164" s="14"/>
      <c r="G164" s="186">
        <v>86</v>
      </c>
      <c r="H164" s="29"/>
      <c r="I164" s="29"/>
      <c r="J164" s="29"/>
      <c r="K164" s="29"/>
      <c r="L164" s="29"/>
      <c r="M164" s="29"/>
      <c r="N164" s="29"/>
      <c r="O164" s="29"/>
      <c r="P164" s="29"/>
      <c r="Q164" s="29"/>
      <c r="R164" s="29"/>
      <c r="S164" s="29"/>
      <c r="T164" s="29"/>
      <c r="U164" s="30"/>
      <c r="V164" s="30"/>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x14ac:dyDescent="0.4">
      <c r="A165" s="33"/>
      <c r="B165" s="47" t="s">
        <v>267</v>
      </c>
      <c r="C165" s="42" t="s">
        <v>108</v>
      </c>
      <c r="D165" s="116">
        <v>46058</v>
      </c>
      <c r="E165" s="116">
        <f t="shared" si="605"/>
        <v>46114</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x14ac:dyDescent="0.4">
      <c r="A166" s="33"/>
      <c r="B166" s="47" t="s">
        <v>268</v>
      </c>
      <c r="C166" s="42" t="s">
        <v>269</v>
      </c>
      <c r="D166" s="116">
        <v>46120</v>
      </c>
      <c r="E166" s="116">
        <f t="shared" si="605"/>
        <v>46176</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x14ac:dyDescent="0.4">
      <c r="A167" s="33"/>
      <c r="B167" s="146" t="s">
        <v>249</v>
      </c>
      <c r="C167" s="147" t="s">
        <v>270</v>
      </c>
      <c r="D167" s="148">
        <v>46132</v>
      </c>
      <c r="E167" s="148">
        <f t="shared" ref="E167" si="606">D167+G167-1</f>
        <v>46187</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x14ac:dyDescent="0.4">
      <c r="A168" s="33"/>
      <c r="B168" s="47" t="s">
        <v>267</v>
      </c>
      <c r="C168" s="42" t="s">
        <v>104</v>
      </c>
      <c r="D168" s="116">
        <v>46118</v>
      </c>
      <c r="E168" s="116">
        <f>D168+G168</f>
        <v>46204</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x14ac:dyDescent="0.4">
      <c r="A169" s="33"/>
      <c r="B169" s="47" t="s">
        <v>268</v>
      </c>
      <c r="C169" s="42" t="s">
        <v>180</v>
      </c>
      <c r="D169" s="116">
        <f>E166</f>
        <v>46176</v>
      </c>
      <c r="E169" s="116">
        <f t="shared" si="605"/>
        <v>46262</v>
      </c>
      <c r="F169" s="14"/>
      <c r="G169" s="14">
        <v>86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x14ac:dyDescent="0.4">
      <c r="A170" s="33"/>
      <c r="B170" s="146" t="s">
        <v>249</v>
      </c>
      <c r="C170" s="147" t="s">
        <v>295</v>
      </c>
      <c r="D170" s="148">
        <v>46187</v>
      </c>
      <c r="E170" s="148">
        <f t="shared" ref="E170" si="607">D170+G170-1</f>
        <v>46242</v>
      </c>
      <c r="F170" s="14"/>
      <c r="G170" s="14">
        <v>56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x14ac:dyDescent="0.4">
      <c r="A171" s="33"/>
      <c r="B171" s="47" t="s">
        <v>267</v>
      </c>
      <c r="C171" s="42" t="s">
        <v>108</v>
      </c>
      <c r="D171" s="116">
        <f>E168</f>
        <v>46204</v>
      </c>
      <c r="E171" s="116">
        <f>D171+G171</f>
        <v>46290</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x14ac:dyDescent="0.4">
      <c r="A172" s="33"/>
      <c r="B172" s="47" t="s">
        <v>268</v>
      </c>
      <c r="C172" s="42" t="s">
        <v>183</v>
      </c>
      <c r="D172" s="116">
        <f>E169</f>
        <v>46262</v>
      </c>
      <c r="E172" s="116">
        <f t="shared" ref="E172" si="608">D172+G172</f>
        <v>46348</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x14ac:dyDescent="0.4">
      <c r="A173" s="33"/>
      <c r="B173" s="47" t="s">
        <v>267</v>
      </c>
      <c r="C173" s="42"/>
      <c r="D173" s="116">
        <f t="shared" ref="D173:D174" si="609">E171</f>
        <v>46290</v>
      </c>
      <c r="E173" s="116">
        <f>D173+G173</f>
        <v>46346</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x14ac:dyDescent="0.4">
      <c r="A174" s="33"/>
      <c r="B174" s="47" t="s">
        <v>268</v>
      </c>
      <c r="C174" s="42"/>
      <c r="D174" s="116">
        <f t="shared" si="609"/>
        <v>46348</v>
      </c>
      <c r="E174" s="116">
        <f t="shared" ref="E174" si="610">D174+G174</f>
        <v>46404</v>
      </c>
      <c r="F174" s="14"/>
      <c r="G174" s="14">
        <v>56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x14ac:dyDescent="0.4">
      <c r="A175" s="33"/>
      <c r="B175" s="47" t="s">
        <v>267</v>
      </c>
      <c r="C175" s="42"/>
      <c r="D175" s="116">
        <f>E173</f>
        <v>46346</v>
      </c>
      <c r="E175" s="116">
        <f>D175+G175</f>
        <v>46402</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x14ac:dyDescent="0.4">
      <c r="A176" s="33"/>
      <c r="B176" s="47" t="s">
        <v>268</v>
      </c>
      <c r="C176" s="42"/>
      <c r="D176" s="116">
        <v>46374</v>
      </c>
      <c r="E176" s="116">
        <f t="shared" ref="E176" si="611">D176+G176</f>
        <v>46430</v>
      </c>
      <c r="F176" s="14"/>
      <c r="G176" s="14">
        <v>56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x14ac:dyDescent="0.4">
      <c r="A177" s="33"/>
      <c r="B177" s="47" t="s">
        <v>267</v>
      </c>
      <c r="C177" s="42"/>
      <c r="D177" s="116">
        <f>E175</f>
        <v>46402</v>
      </c>
      <c r="E177" s="116">
        <f>D177+G177</f>
        <v>46458</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x14ac:dyDescent="0.4">
      <c r="A178" s="33"/>
      <c r="B178" s="47" t="s">
        <v>268</v>
      </c>
      <c r="C178" s="42"/>
      <c r="D178" s="116">
        <f>E176</f>
        <v>46430</v>
      </c>
      <c r="E178" s="116">
        <f t="shared" ref="E178" si="612">D178+G178</f>
        <v>46486</v>
      </c>
      <c r="F178" s="14"/>
      <c r="G178" s="14">
        <v>56</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x14ac:dyDescent="0.4">
      <c r="A179" s="33"/>
      <c r="B179" s="83" t="s">
        <v>271</v>
      </c>
      <c r="C179" s="141"/>
      <c r="D179" s="124"/>
      <c r="E179" s="125"/>
      <c r="F179" s="14"/>
      <c r="G179" s="14" t="str">
        <f t="shared" si="586"/>
        <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x14ac:dyDescent="0.4">
      <c r="A180" s="33" t="s">
        <v>232</v>
      </c>
      <c r="B180" s="84" t="s">
        <v>267</v>
      </c>
      <c r="C180" s="137" t="s">
        <v>62</v>
      </c>
      <c r="D180" s="117">
        <f>E180-G180</f>
        <v>45853</v>
      </c>
      <c r="E180" s="117">
        <v>45898</v>
      </c>
      <c r="F180" s="14"/>
      <c r="G180" s="14">
        <v>45</v>
      </c>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x14ac:dyDescent="0.4">
      <c r="A181" s="33"/>
      <c r="B181" s="21" t="s">
        <v>272</v>
      </c>
      <c r="C181" s="143"/>
      <c r="D181" s="127"/>
      <c r="E181" s="128"/>
      <c r="F181" s="14"/>
      <c r="G181" s="14"/>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x14ac:dyDescent="0.4">
      <c r="A182" s="33"/>
      <c r="B182" s="82" t="s">
        <v>242</v>
      </c>
      <c r="C182" s="138" t="s">
        <v>273</v>
      </c>
      <c r="D182" s="119">
        <v>45735</v>
      </c>
      <c r="E182" s="119">
        <v>45814</v>
      </c>
      <c r="F182" s="14"/>
      <c r="G182" s="14">
        <v>79</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x14ac:dyDescent="0.4">
      <c r="A183" s="33"/>
      <c r="B183" s="82" t="s">
        <v>242</v>
      </c>
      <c r="C183" s="138" t="s">
        <v>265</v>
      </c>
      <c r="D183" s="119">
        <v>45817</v>
      </c>
      <c r="E183" s="119">
        <v>45870</v>
      </c>
      <c r="F183" s="14"/>
      <c r="G183" s="14">
        <v>53</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x14ac:dyDescent="0.4">
      <c r="A184" s="33"/>
      <c r="B184" s="82" t="s">
        <v>238</v>
      </c>
      <c r="C184" s="138" t="s">
        <v>274</v>
      </c>
      <c r="D184" s="119">
        <v>45873</v>
      </c>
      <c r="E184" s="119">
        <v>45898</v>
      </c>
      <c r="F184" s="14"/>
      <c r="G184" s="14">
        <v>25</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x14ac:dyDescent="0.4">
      <c r="A185" s="33"/>
      <c r="B185" s="82"/>
      <c r="C185" s="138"/>
      <c r="D185" s="119"/>
      <c r="E185" s="119"/>
      <c r="F185" s="14"/>
      <c r="G185" s="14">
        <v>25</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x14ac:dyDescent="0.4">
      <c r="A186" s="33"/>
      <c r="B186" s="103" t="s">
        <v>275</v>
      </c>
      <c r="C186" s="108"/>
      <c r="D186" s="129"/>
      <c r="E186" s="130"/>
      <c r="F186" s="104" t="s">
        <v>276</v>
      </c>
      <c r="G186" s="104" t="s">
        <v>276</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x14ac:dyDescent="0.4">
      <c r="A187" s="33"/>
      <c r="B187" s="105" t="s">
        <v>241</v>
      </c>
      <c r="C187" s="144" t="s">
        <v>277</v>
      </c>
      <c r="D187" s="109">
        <v>45818</v>
      </c>
      <c r="E187" s="109">
        <v>45870</v>
      </c>
      <c r="F187" s="106" t="s">
        <v>276</v>
      </c>
      <c r="G187" s="106">
        <v>52</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x14ac:dyDescent="0.4">
      <c r="A188" s="33"/>
      <c r="B188" s="105" t="s">
        <v>241</v>
      </c>
      <c r="C188" s="144" t="s">
        <v>236</v>
      </c>
      <c r="D188" s="109">
        <v>45873</v>
      </c>
      <c r="E188" s="109">
        <v>45929</v>
      </c>
      <c r="F188" s="106" t="s">
        <v>276</v>
      </c>
      <c r="G188" s="106">
        <v>56</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x14ac:dyDescent="0.4">
      <c r="A189" s="33"/>
      <c r="B189" s="24" t="s">
        <v>278</v>
      </c>
      <c r="C189" s="140"/>
      <c r="D189" s="121"/>
      <c r="E189" s="122"/>
      <c r="F189" s="14"/>
      <c r="G189" s="14"/>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x14ac:dyDescent="0.4">
      <c r="A190" s="33"/>
      <c r="B190" s="85" t="s">
        <v>238</v>
      </c>
      <c r="C190" s="145" t="s">
        <v>262</v>
      </c>
      <c r="D190" s="123">
        <f>E157+3</f>
        <v>45999</v>
      </c>
      <c r="E190" s="123">
        <v>46028</v>
      </c>
      <c r="F190" s="14"/>
      <c r="G190" s="14">
        <f>E190-D190</f>
        <v>29</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x14ac:dyDescent="0.4">
      <c r="A191" s="33"/>
      <c r="B191" s="85" t="s">
        <v>242</v>
      </c>
      <c r="C191" s="145" t="s">
        <v>273</v>
      </c>
      <c r="D191" s="123">
        <v>46048</v>
      </c>
      <c r="E191" s="123">
        <f>D191+53</f>
        <v>46101</v>
      </c>
      <c r="F191" s="14"/>
      <c r="G191" s="14">
        <f>E191-D191</f>
        <v>53</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x14ac:dyDescent="0.4">
      <c r="A192" s="33"/>
      <c r="B192" s="85" t="s">
        <v>238</v>
      </c>
      <c r="C192" s="145" t="s">
        <v>279</v>
      </c>
      <c r="D192" s="123">
        <v>46090</v>
      </c>
      <c r="E192" s="123">
        <f>D192+53</f>
        <v>46143</v>
      </c>
      <c r="F192" s="14"/>
      <c r="G192" s="14">
        <f>E192-D192</f>
        <v>53</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x14ac:dyDescent="0.4">
      <c r="A193" s="33"/>
      <c r="B193" s="85" t="s">
        <v>241</v>
      </c>
      <c r="C193" s="145" t="s">
        <v>277</v>
      </c>
      <c r="D193" s="123">
        <v>46153</v>
      </c>
      <c r="E193" s="123">
        <f>D193+53</f>
        <v>46206</v>
      </c>
      <c r="F193" s="14"/>
      <c r="G193" s="14">
        <f>E193-D193</f>
        <v>53</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x14ac:dyDescent="0.4">
      <c r="A194" s="33"/>
      <c r="B194" s="85"/>
      <c r="C194" s="145"/>
      <c r="D194" s="123"/>
      <c r="E194" s="123">
        <f>D194+G194</f>
        <v>0</v>
      </c>
      <c r="F194" s="14"/>
      <c r="G194" s="14"/>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x14ac:dyDescent="0.4">
      <c r="A195" s="33"/>
      <c r="B195" s="85"/>
      <c r="C195" s="145"/>
      <c r="D195" s="123"/>
      <c r="E195" s="123"/>
      <c r="F195" s="14"/>
      <c r="G195" s="14"/>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x14ac:dyDescent="0.4">
      <c r="A196" s="33"/>
      <c r="B196" s="85"/>
      <c r="C196" s="145"/>
      <c r="D196" s="123"/>
      <c r="E196" s="123"/>
      <c r="F196" s="14"/>
      <c r="G196" s="14"/>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x14ac:dyDescent="0.4">
      <c r="A197" s="33"/>
      <c r="B197" s="49"/>
      <c r="C197" s="45"/>
      <c r="D197" s="131"/>
      <c r="E197" s="131"/>
      <c r="F197" s="14"/>
      <c r="G197" s="14">
        <v>111</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thickBot="1" x14ac:dyDescent="0.4">
      <c r="A198" s="33" t="s">
        <v>280</v>
      </c>
      <c r="B198" s="25" t="s">
        <v>281</v>
      </c>
      <c r="C198" s="26"/>
      <c r="D198" s="132"/>
      <c r="E198" s="133"/>
      <c r="F198" s="28"/>
      <c r="G198" s="28" t="str">
        <f t="shared" si="586"/>
        <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409.6" thickBot="1" x14ac:dyDescent="0.4">
      <c r="A199" s="34" t="s">
        <v>282</v>
      </c>
      <c r="B199"/>
      <c r="C199" s="5"/>
      <c r="D199" s="111"/>
      <c r="E199" s="111"/>
      <c r="F199"/>
      <c r="G199"/>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c r="AJ199" s="31"/>
      <c r="AK199" s="31"/>
      <c r="AL199" s="31"/>
      <c r="AM199" s="31"/>
      <c r="AN199" s="31"/>
      <c r="AO199" s="31"/>
      <c r="AP199" s="31"/>
      <c r="AQ199" s="31"/>
      <c r="AR199" s="31"/>
      <c r="AS199" s="31"/>
      <c r="AT199" s="31"/>
      <c r="AU199" s="31"/>
      <c r="AV199" s="31"/>
      <c r="AW199" s="31"/>
      <c r="AX199" s="31"/>
      <c r="AY199" s="31"/>
      <c r="AZ199" s="31"/>
      <c r="BA199" s="31"/>
      <c r="BB199" s="31"/>
      <c r="BC199" s="31"/>
      <c r="BD199" s="31"/>
      <c r="BE199" s="31"/>
      <c r="BF199" s="31"/>
      <c r="BG199" s="31"/>
      <c r="BH199" s="31"/>
      <c r="BI199" s="31"/>
      <c r="BJ199" s="31"/>
      <c r="BK199" s="31"/>
      <c r="BL199" s="31"/>
      <c r="BM199" s="31"/>
      <c r="BN199" s="31"/>
      <c r="BO199" s="31"/>
      <c r="BP199" s="31"/>
      <c r="BQ199" s="31"/>
      <c r="BR199" s="31"/>
      <c r="BS199" s="31"/>
      <c r="BT199" s="31"/>
      <c r="BU199" s="31"/>
      <c r="BV199" s="31"/>
      <c r="BW199" s="31"/>
      <c r="BX199" s="31"/>
      <c r="BY199" s="31"/>
      <c r="BZ199" s="31"/>
      <c r="CA199" s="31"/>
      <c r="CB199" s="31"/>
      <c r="CC199" s="31"/>
      <c r="CD199" s="31"/>
      <c r="CE199" s="31"/>
      <c r="CF199" s="31"/>
      <c r="CG199" s="31"/>
      <c r="CH199" s="31"/>
      <c r="CI199" s="31"/>
      <c r="CJ199" s="31"/>
      <c r="CK199" s="31"/>
      <c r="CL199" s="31"/>
      <c r="CM199" s="31"/>
      <c r="CN199" s="31"/>
      <c r="CO199" s="31"/>
      <c r="CP199" s="31"/>
      <c r="CQ199" s="31"/>
      <c r="CR199" s="31"/>
      <c r="CS199" s="31"/>
      <c r="CT199" s="31"/>
      <c r="CU199" s="31"/>
      <c r="CV199" s="31"/>
      <c r="CW199" s="31"/>
      <c r="CX199" s="31"/>
      <c r="CY199" s="31"/>
      <c r="CZ199" s="31"/>
      <c r="DA199" s="31"/>
      <c r="DB199" s="31"/>
      <c r="DC199" s="31"/>
      <c r="DD199" s="31"/>
      <c r="DE199" s="31"/>
      <c r="DF199" s="31"/>
      <c r="DG199" s="31"/>
      <c r="DH199" s="31"/>
      <c r="DI199" s="31"/>
      <c r="DJ199" s="31"/>
      <c r="DK199" s="31"/>
      <c r="DL199" s="31"/>
      <c r="DM199" s="31"/>
      <c r="DN199" s="31"/>
      <c r="DO199" s="31"/>
      <c r="DP199" s="31"/>
      <c r="DQ199" s="31"/>
      <c r="DR199" s="31"/>
      <c r="DS199" s="31"/>
      <c r="DT199" s="31"/>
      <c r="DU199" s="31"/>
      <c r="DV199" s="31"/>
      <c r="DW199" s="31"/>
      <c r="DX199" s="31"/>
      <c r="DY199" s="31"/>
      <c r="DZ199" s="31"/>
      <c r="EA199" s="31"/>
      <c r="EB199" s="31"/>
      <c r="EC199" s="31"/>
      <c r="ED199" s="31"/>
      <c r="EE199" s="31"/>
      <c r="EF199" s="31"/>
      <c r="EG199" s="31"/>
      <c r="EH199" s="31"/>
      <c r="EI199" s="31"/>
      <c r="EJ199" s="31"/>
      <c r="EK199" s="31"/>
      <c r="EL199" s="31"/>
      <c r="EM199" s="31"/>
      <c r="EN199" s="31"/>
      <c r="EO199" s="31"/>
      <c r="EP199" s="31"/>
      <c r="EQ199" s="31"/>
      <c r="ER199" s="31"/>
      <c r="ES199" s="31"/>
      <c r="ET199" s="31"/>
      <c r="EU199" s="31"/>
      <c r="EV199" s="31"/>
      <c r="EW199" s="31"/>
      <c r="EX199" s="31"/>
      <c r="EY199" s="31"/>
      <c r="EZ199" s="31"/>
      <c r="FA199" s="31"/>
      <c r="FB199" s="31"/>
      <c r="FC199" s="31"/>
      <c r="FD199" s="31"/>
      <c r="FE199" s="31"/>
      <c r="FF199" s="31"/>
      <c r="FG199" s="31"/>
      <c r="FH199" s="31"/>
      <c r="FI199" s="31"/>
      <c r="FJ199" s="31"/>
      <c r="FK199" s="31"/>
      <c r="FL199" s="31"/>
      <c r="FM199" s="31"/>
      <c r="FN199" s="31"/>
      <c r="FO199" s="31"/>
      <c r="FP199" s="31"/>
      <c r="FQ199" s="31"/>
      <c r="FR199" s="31"/>
      <c r="FS199" s="31"/>
      <c r="FT199" s="31"/>
      <c r="FU199" s="31"/>
      <c r="FV199" s="31"/>
      <c r="FW199" s="31"/>
      <c r="FX199" s="31"/>
      <c r="FY199" s="31"/>
      <c r="FZ199" s="31"/>
      <c r="GA199" s="31"/>
      <c r="GB199" s="31"/>
      <c r="GC199" s="31"/>
      <c r="GD199" s="31"/>
      <c r="GE199" s="31"/>
      <c r="GF199" s="31"/>
      <c r="GG199" s="31"/>
      <c r="GH199" s="31"/>
      <c r="GI199" s="31"/>
      <c r="GJ199" s="31"/>
      <c r="GK199" s="31"/>
      <c r="GL199" s="31"/>
      <c r="GM199" s="31"/>
      <c r="GN199" s="31"/>
      <c r="GO199" s="31"/>
      <c r="GP199" s="31"/>
      <c r="GQ199" s="31"/>
      <c r="GR199" s="31"/>
      <c r="GS199" s="31"/>
      <c r="GT199" s="31"/>
      <c r="GU199" s="31"/>
      <c r="GV199" s="31"/>
      <c r="GW199" s="31"/>
      <c r="GX199" s="31"/>
      <c r="GY199" s="31"/>
      <c r="GZ199" s="31"/>
      <c r="HA199" s="31"/>
      <c r="HB199" s="31"/>
      <c r="HC199" s="31"/>
      <c r="HD199" s="31"/>
      <c r="HE199" s="31"/>
      <c r="HF199" s="31"/>
      <c r="HG199" s="31"/>
      <c r="HH199" s="31"/>
      <c r="HI199" s="31"/>
      <c r="HJ199" s="31"/>
      <c r="HK199" s="31"/>
      <c r="HL199" s="31"/>
      <c r="HM199" s="31"/>
      <c r="HN199" s="31"/>
      <c r="HO199" s="31"/>
      <c r="HP199" s="31"/>
      <c r="HQ199" s="31"/>
      <c r="HR199" s="31"/>
      <c r="HS199" s="31"/>
      <c r="HT199" s="31"/>
      <c r="HU199" s="31"/>
      <c r="HV199" s="31"/>
      <c r="HW199" s="31"/>
      <c r="HX199" s="31"/>
      <c r="HY199" s="31"/>
      <c r="HZ199" s="31"/>
      <c r="IA199" s="31"/>
      <c r="IB199" s="31"/>
      <c r="IC199" s="31"/>
      <c r="ID199" s="31"/>
      <c r="IE199" s="31"/>
      <c r="IF199" s="31"/>
      <c r="IG199" s="31"/>
      <c r="IH199" s="31"/>
      <c r="II199" s="31"/>
      <c r="IJ199" s="31"/>
      <c r="IK199" s="31"/>
      <c r="IL199" s="31"/>
      <c r="IM199" s="31"/>
      <c r="IN199" s="31"/>
      <c r="IO199" s="31"/>
      <c r="IP199" s="31"/>
      <c r="IQ199" s="31"/>
      <c r="IR199" s="31"/>
      <c r="IS199" s="31"/>
      <c r="IT199" s="31"/>
      <c r="IU199" s="31"/>
      <c r="IV199" s="31"/>
      <c r="IW199" s="31"/>
      <c r="IX199" s="31"/>
      <c r="IY199" s="31"/>
      <c r="IZ199" s="31"/>
      <c r="JA199" s="31"/>
      <c r="JB199" s="31"/>
      <c r="JC199" s="31"/>
      <c r="JD199" s="31"/>
      <c r="JE199" s="31"/>
      <c r="JF199" s="31"/>
      <c r="JG199" s="31"/>
      <c r="JH199" s="31"/>
      <c r="JI199" s="31"/>
      <c r="JJ199" s="31"/>
      <c r="JK199" s="31"/>
      <c r="JL199" s="31"/>
      <c r="JM199" s="31"/>
      <c r="JN199" s="31"/>
      <c r="JO199" s="31"/>
      <c r="JP199" s="31"/>
      <c r="JQ199" s="31"/>
      <c r="JR199" s="31"/>
      <c r="JS199" s="31"/>
      <c r="JT199" s="31"/>
      <c r="JU199" s="31"/>
      <c r="JV199" s="31"/>
      <c r="JW199" s="31"/>
      <c r="JX199" s="31"/>
      <c r="JY199" s="31"/>
      <c r="JZ199" s="31"/>
      <c r="KA199" s="31"/>
      <c r="KB199" s="31"/>
      <c r="KC199" s="31"/>
      <c r="KD199" s="31"/>
      <c r="KE199" s="31"/>
      <c r="KF199" s="31"/>
      <c r="KG199" s="31"/>
      <c r="KH199" s="31"/>
      <c r="KI199" s="31"/>
      <c r="KJ199" s="31"/>
      <c r="KK199" s="31"/>
      <c r="KL199" s="31"/>
      <c r="KM199" s="31"/>
      <c r="KN199" s="31"/>
      <c r="KO199" s="31"/>
      <c r="KP199" s="31"/>
      <c r="KQ199" s="31"/>
      <c r="KR199" s="31"/>
      <c r="KS199" s="31"/>
      <c r="KT199" s="31"/>
      <c r="KU199" s="31"/>
      <c r="KV199" s="31"/>
      <c r="KW199" s="31"/>
      <c r="KX199" s="31"/>
      <c r="KY199" s="31"/>
      <c r="KZ199" s="31"/>
      <c r="LA199" s="31"/>
      <c r="LB199" s="31"/>
      <c r="LC199" s="31"/>
      <c r="LD199" s="31"/>
      <c r="LE199" s="31"/>
      <c r="LF199" s="31"/>
      <c r="LG199" s="31"/>
      <c r="LH199" s="31"/>
      <c r="LI199" s="31"/>
      <c r="LJ199" s="31"/>
      <c r="LK199" s="31"/>
      <c r="LL199" s="31"/>
      <c r="LM199" s="31"/>
      <c r="LN199" s="31"/>
      <c r="LO199" s="31"/>
      <c r="LP199" s="31"/>
      <c r="LQ199" s="31"/>
      <c r="LR199" s="31"/>
      <c r="LS199" s="31"/>
      <c r="LT199" s="31"/>
      <c r="LU199" s="31"/>
      <c r="LV199" s="31"/>
      <c r="LW199" s="31"/>
      <c r="LX199" s="31"/>
      <c r="LY199" s="31"/>
      <c r="LZ199" s="31"/>
      <c r="MA199" s="31"/>
      <c r="MB199" s="31"/>
      <c r="MC199" s="31"/>
      <c r="MD199" s="31"/>
      <c r="ME199" s="31"/>
      <c r="MF199" s="31"/>
      <c r="MG199" s="31"/>
      <c r="MH199" s="31"/>
      <c r="MI199" s="31"/>
      <c r="MJ199" s="31"/>
      <c r="MK199" s="31"/>
      <c r="ML199" s="31"/>
      <c r="MM199" s="31"/>
      <c r="MN199" s="31"/>
      <c r="MO199" s="31"/>
      <c r="MP199" s="31"/>
      <c r="MQ199" s="31"/>
      <c r="MR199" s="31"/>
      <c r="MS199" s="31"/>
      <c r="MT199" s="31"/>
      <c r="MU199" s="31"/>
      <c r="MV199" s="31"/>
      <c r="MW199" s="31"/>
      <c r="MX199" s="31"/>
      <c r="MY199" s="31"/>
      <c r="MZ199" s="31"/>
      <c r="NA199" s="31"/>
      <c r="NB199" s="31"/>
      <c r="NC199" s="31"/>
      <c r="ND199" s="31"/>
      <c r="NE199" s="31"/>
      <c r="NF199" s="31"/>
      <c r="NG199" s="31"/>
      <c r="NH199" s="31"/>
      <c r="NI199" s="31"/>
      <c r="NJ199" s="31"/>
      <c r="NK199" s="31"/>
      <c r="NL199" s="31"/>
      <c r="NM199" s="31"/>
      <c r="NN199" s="31"/>
      <c r="NO199" s="31"/>
      <c r="NP199" s="31"/>
      <c r="NQ199" s="31"/>
      <c r="NR199" s="31"/>
      <c r="NS199" s="31"/>
      <c r="NT199" s="31"/>
      <c r="NU199" s="31"/>
      <c r="NV199" s="31"/>
      <c r="NW199" s="31"/>
      <c r="NX199" s="31"/>
      <c r="NY199" s="31"/>
      <c r="NZ199" s="31"/>
      <c r="OA199" s="31"/>
      <c r="OB199" s="31"/>
      <c r="OC199" s="31"/>
      <c r="OD199" s="31"/>
      <c r="OE199" s="31"/>
      <c r="OF199" s="31"/>
      <c r="OG199" s="31"/>
      <c r="OH199" s="31"/>
      <c r="OI199" s="31"/>
      <c r="OJ199" s="31"/>
      <c r="OK199" s="31"/>
      <c r="OL199" s="31"/>
      <c r="OM199" s="31"/>
      <c r="ON199" s="31"/>
      <c r="OO199" s="31"/>
      <c r="OP199" s="31"/>
      <c r="OQ199" s="31"/>
      <c r="OR199" s="31"/>
      <c r="OS199" s="31"/>
      <c r="OT199" s="31"/>
      <c r="OU199" s="31"/>
      <c r="OV199" s="31"/>
      <c r="OW199" s="31"/>
      <c r="OX199" s="31"/>
      <c r="OY199" s="31"/>
      <c r="OZ199" s="31"/>
      <c r="PA199" s="31"/>
      <c r="PB199" s="31"/>
      <c r="PC199" s="31"/>
      <c r="PD199" s="31"/>
      <c r="PE199" s="31"/>
      <c r="PF199" s="31"/>
      <c r="PG199" s="31"/>
      <c r="PH199" s="31"/>
      <c r="PI199" s="31"/>
      <c r="PJ199" s="31"/>
      <c r="PK199" s="31"/>
      <c r="PL199" s="31"/>
      <c r="PM199" s="31"/>
      <c r="PN199" s="31"/>
      <c r="PO199" s="31"/>
      <c r="PP199" s="31"/>
      <c r="PQ199" s="31"/>
      <c r="PR199" s="31"/>
      <c r="PS199" s="31"/>
      <c r="PT199" s="31"/>
      <c r="PU199" s="31"/>
      <c r="PV199" s="31"/>
      <c r="PW199" s="31"/>
      <c r="PX199" s="31"/>
      <c r="PY199" s="31"/>
      <c r="PZ199" s="31"/>
      <c r="QA199" s="31"/>
      <c r="QB199" s="31"/>
      <c r="QC199" s="31"/>
      <c r="QD199" s="31"/>
      <c r="QE199" s="31"/>
      <c r="QF199" s="31"/>
      <c r="QG199" s="31"/>
      <c r="QH199" s="31"/>
      <c r="QI199" s="31"/>
      <c r="QJ199" s="31"/>
      <c r="QK199" s="31"/>
      <c r="QL199" s="31"/>
      <c r="QM199" s="31"/>
      <c r="QN199" s="31"/>
      <c r="QO199" s="31"/>
      <c r="QP199" s="31"/>
      <c r="QQ199" s="31"/>
      <c r="QR199" s="31"/>
      <c r="QS199" s="31"/>
      <c r="QT199" s="31"/>
      <c r="QU199" s="31"/>
      <c r="QV199" s="31"/>
      <c r="QW199" s="31"/>
      <c r="QX199" s="31"/>
      <c r="QY199" s="31"/>
      <c r="QZ199" s="31"/>
      <c r="RA199" s="31"/>
      <c r="RB199" s="31"/>
      <c r="RC199" s="31"/>
      <c r="RD199" s="31"/>
      <c r="RE199" s="31"/>
      <c r="RF199" s="31"/>
      <c r="RG199" s="31"/>
      <c r="RH199" s="31"/>
      <c r="RI199" s="31"/>
      <c r="RJ199" s="31"/>
      <c r="RK199" s="31"/>
      <c r="RL199" s="31"/>
      <c r="RM199" s="31"/>
      <c r="RN199" s="31"/>
      <c r="RO199" s="31"/>
      <c r="RP199" s="31"/>
      <c r="RQ199" s="31"/>
      <c r="RR199" s="31"/>
      <c r="RS199" s="31"/>
      <c r="RT199" s="31"/>
      <c r="RU199" s="31"/>
      <c r="RV199" s="31"/>
      <c r="RW199" s="31"/>
      <c r="RX199" s="31"/>
      <c r="RY199" s="31"/>
      <c r="RZ199" s="31"/>
      <c r="SA199" s="31"/>
      <c r="SB199" s="31"/>
      <c r="SC199" s="31"/>
      <c r="SD199" s="31"/>
      <c r="SE199" s="31"/>
      <c r="SF199" s="31"/>
      <c r="SG199" s="31"/>
      <c r="SH199" s="31"/>
      <c r="SI199" s="31"/>
      <c r="SJ199" s="31"/>
      <c r="SK199" s="31"/>
      <c r="SL199" s="31"/>
      <c r="SM199" s="31"/>
      <c r="SN199" s="31"/>
      <c r="SO199" s="31"/>
      <c r="SP199" s="31"/>
      <c r="SQ199" s="31"/>
      <c r="SR199" s="31"/>
      <c r="SS199" s="31"/>
      <c r="ST199" s="31"/>
      <c r="SU199" s="31"/>
      <c r="SV199" s="31"/>
      <c r="SW199" s="31"/>
      <c r="SX199" s="31"/>
      <c r="SY199" s="31"/>
      <c r="SZ199" s="31"/>
      <c r="TA199" s="31"/>
      <c r="TB199" s="31"/>
      <c r="TC199" s="31"/>
      <c r="TD199" s="31"/>
      <c r="TE199" s="31"/>
      <c r="TF199" s="31"/>
      <c r="TG199" s="31"/>
      <c r="TH199" s="31"/>
      <c r="TI199" s="31"/>
      <c r="TJ199" s="31"/>
      <c r="TK199" s="31"/>
      <c r="TL199" s="31"/>
      <c r="TM199" s="31"/>
      <c r="TN199" s="31"/>
      <c r="TO199" s="31"/>
      <c r="TP199" s="31"/>
      <c r="TQ199" s="31"/>
      <c r="TR199" s="31"/>
      <c r="TS199" s="31"/>
      <c r="TT199" s="31"/>
      <c r="TU199" s="31"/>
      <c r="TV199" s="31"/>
      <c r="TW199" s="31"/>
      <c r="TX199" s="31"/>
      <c r="TY199" s="31"/>
      <c r="TZ199" s="31"/>
      <c r="UA199" s="31"/>
      <c r="UB199" s="31"/>
      <c r="UC199" s="31"/>
      <c r="UD199" s="31"/>
      <c r="UE199" s="31"/>
      <c r="UF199" s="31"/>
      <c r="UG199" s="31"/>
      <c r="UH199" s="31"/>
      <c r="UI199" s="31"/>
      <c r="UJ199" s="31"/>
      <c r="UK199" s="31"/>
      <c r="UL199" s="31"/>
      <c r="UM199" s="31"/>
      <c r="UN199" s="31"/>
      <c r="UO199" s="31"/>
      <c r="UP199" s="31"/>
      <c r="UQ199" s="31"/>
      <c r="UR199" s="31"/>
      <c r="US199" s="31"/>
      <c r="UT199" s="31"/>
      <c r="UU199" s="31"/>
      <c r="UV199" s="31"/>
      <c r="UW199" s="31"/>
      <c r="UX199" s="31"/>
      <c r="UY199" s="31"/>
      <c r="UZ199" s="31"/>
      <c r="VA199" s="31"/>
      <c r="VB199" s="31"/>
      <c r="VC199" s="31"/>
      <c r="VD199" s="31"/>
      <c r="VE199" s="31"/>
      <c r="VF199" s="31"/>
      <c r="VG199" s="31"/>
      <c r="VH199" s="31"/>
      <c r="VI199" s="31"/>
      <c r="VJ199" s="31"/>
      <c r="VK199" s="31"/>
      <c r="VL199" s="31"/>
      <c r="VM199" s="31"/>
      <c r="VN199" s="31"/>
      <c r="VO199" s="31"/>
      <c r="VP199" s="31"/>
      <c r="VQ199" s="31"/>
      <c r="VR199" s="31"/>
      <c r="VS199" s="31"/>
      <c r="VT199" s="31"/>
      <c r="VU199" s="31"/>
      <c r="VV199" s="31"/>
      <c r="VW199" s="31"/>
      <c r="VX199" s="31"/>
      <c r="VY199" s="31"/>
      <c r="VZ199" s="31"/>
      <c r="WA199" s="31"/>
      <c r="WB199" s="31"/>
      <c r="WC199" s="31"/>
      <c r="WD199" s="31"/>
      <c r="WE199" s="31"/>
      <c r="WF199" s="31"/>
      <c r="WG199" s="31"/>
      <c r="WH199" s="31"/>
      <c r="WI199" s="31"/>
      <c r="WJ199" s="31"/>
      <c r="WK199" s="31"/>
      <c r="WL199" s="31"/>
      <c r="WM199" s="31"/>
      <c r="WN199" s="31"/>
      <c r="WO199" s="31"/>
      <c r="WP199" s="31"/>
      <c r="WQ199" s="31"/>
      <c r="WR199" s="31"/>
      <c r="WS199" s="31"/>
    </row>
  </sheetData>
  <mergeCells count="90">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2:E162"/>
    <mergeCell ref="B65:E65"/>
    <mergeCell ref="B88:E88"/>
    <mergeCell ref="B90:E90"/>
    <mergeCell ref="B93:E93"/>
    <mergeCell ref="B161:E161"/>
    <mergeCell ref="B99:E99"/>
    <mergeCell ref="B100:E100"/>
    <mergeCell ref="B156:E156"/>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2 H134:I199">
    <cfRule type="expression" dxfId="70" priority="212">
      <formula>AND(TODAY()&gt;=H$5,TODAY()&lt;J$5)</formula>
    </cfRule>
  </conditionalFormatting>
  <conditionalFormatting sqref="H7:I102 H134:I199">
    <cfRule type="expression" dxfId="69" priority="220" stopIfTrue="1">
      <formula>AND(Término_da_tarefa&gt;=H$5,Início_da_tarefa&lt;J$5)</formula>
    </cfRule>
  </conditionalFormatting>
  <conditionalFormatting sqref="H48:WS102 H7:BL13 BM9:FZ13 GA9:WS47 H14:FZ47 LE75:LF170 J103:WS133 H134:WS199 LE179:LF246">
    <cfRule type="expression" dxfId="68" priority="203">
      <formula>AND(Início_da_tarefa&lt;=H$5,ROUNDDOWN((Término_da_tarefa-Início_da_tarefa+1)*Progresso_da_tarefa,0)+Início_da_tarefa-1&gt;=H$5)</formula>
    </cfRule>
  </conditionalFormatting>
  <conditionalFormatting sqref="J5:BL13 BM9:FZ13 GA9:WS47 J14:FZ47 J48:WS199 LE179:LF246 BM5:GN6">
    <cfRule type="expression" dxfId="67" priority="209">
      <formula>AND(TODAY()&gt;=J$5,TODAY()&lt;K$5)</formula>
    </cfRule>
  </conditionalFormatting>
  <conditionalFormatting sqref="J7:BL13 BM9:FZ13 GA9:WS47 J14:FZ47 J48:WS199 LE179:LF246">
    <cfRule type="expression" dxfId="66" priority="204" stopIfTrue="1">
      <formula>AND(Término_da_tarefa&gt;=J$5,Início_da_tarefa&lt;K$5)</formula>
    </cfRule>
  </conditionalFormatting>
  <conditionalFormatting sqref="BM8:WS8">
    <cfRule type="expression" dxfId="65" priority="9">
      <formula>AND(Início_da_tarefa&lt;=BM$5,ROUNDDOWN((Término_da_tarefa-Início_da_tarefa+1)*Progresso_da_tarefa,0)+Início_da_tarefa-1&gt;=BM$5)</formula>
    </cfRule>
    <cfRule type="expression" dxfId="64" priority="10" stopIfTrue="1">
      <formula>AND(Término_da_tarefa&gt;=BM$5,Início_da_tarefa&lt;BN$5)</formula>
    </cfRule>
    <cfRule type="expression" dxfId="63" priority="11">
      <formula>AND(TODAY()&gt;=BM$5,TODAY()&lt;BN$5)</formula>
    </cfRule>
  </conditionalFormatting>
  <conditionalFormatting sqref="GO5">
    <cfRule type="expression" dxfId="62" priority="211">
      <formula>AND(TODAY()&gt;=GO$5,TODAY()&lt;#REF!)</formula>
    </cfRule>
  </conditionalFormatting>
  <conditionalFormatting sqref="GO6">
    <cfRule type="expression" dxfId="61" priority="44">
      <formula>AND(TODAY()&gt;=GO$5,TODAY()&lt;GP$5)</formula>
    </cfRule>
  </conditionalFormatting>
  <conditionalFormatting sqref="GP5:GU6">
    <cfRule type="expression" dxfId="60" priority="173">
      <formula>AND(TODAY()&gt;=GP$5,TODAY()&lt;GQ$5)</formula>
    </cfRule>
  </conditionalFormatting>
  <conditionalFormatting sqref="GV5">
    <cfRule type="expression" dxfId="59" priority="174">
      <formula>AND(TODAY()&gt;=GV$5,TODAY()&lt;#REF!)</formula>
    </cfRule>
  </conditionalFormatting>
  <conditionalFormatting sqref="GV6">
    <cfRule type="expression" dxfId="58" priority="41">
      <formula>AND(TODAY()&gt;=GV$5,TODAY()&lt;GW$5)</formula>
    </cfRule>
  </conditionalFormatting>
  <conditionalFormatting sqref="GW5:HB6">
    <cfRule type="expression" dxfId="57" priority="167">
      <formula>AND(TODAY()&gt;=GW$5,TODAY()&lt;GX$5)</formula>
    </cfRule>
  </conditionalFormatting>
  <conditionalFormatting sqref="HC5">
    <cfRule type="expression" dxfId="56" priority="168">
      <formula>AND(TODAY()&gt;=HC$5,TODAY()&lt;#REF!)</formula>
    </cfRule>
  </conditionalFormatting>
  <conditionalFormatting sqref="HC6">
    <cfRule type="expression" dxfId="55" priority="38">
      <formula>AND(TODAY()&gt;=HC$5,TODAY()&lt;HD$5)</formula>
    </cfRule>
  </conditionalFormatting>
  <conditionalFormatting sqref="HD5:HI6">
    <cfRule type="expression" dxfId="54" priority="161">
      <formula>AND(TODAY()&gt;=HD$5,TODAY()&lt;HE$5)</formula>
    </cfRule>
  </conditionalFormatting>
  <conditionalFormatting sqref="HJ5">
    <cfRule type="expression" dxfId="53" priority="162">
      <formula>AND(TODAY()&gt;=HJ$5,TODAY()&lt;#REF!)</formula>
    </cfRule>
  </conditionalFormatting>
  <conditionalFormatting sqref="HJ6">
    <cfRule type="expression" dxfId="52" priority="35">
      <formula>AND(TODAY()&gt;=HJ$5,TODAY()&lt;HK$5)</formula>
    </cfRule>
  </conditionalFormatting>
  <conditionalFormatting sqref="HK5:HP6">
    <cfRule type="expression" dxfId="51" priority="155">
      <formula>AND(TODAY()&gt;=HK$5,TODAY()&lt;HL$5)</formula>
    </cfRule>
  </conditionalFormatting>
  <conditionalFormatting sqref="HQ5">
    <cfRule type="expression" dxfId="50" priority="156">
      <formula>AND(TODAY()&gt;=HQ$5,TODAY()&lt;#REF!)</formula>
    </cfRule>
  </conditionalFormatting>
  <conditionalFormatting sqref="HQ6">
    <cfRule type="expression" dxfId="49" priority="32">
      <formula>AND(TODAY()&gt;=HQ$5,TODAY()&lt;HR$5)</formula>
    </cfRule>
  </conditionalFormatting>
  <conditionalFormatting sqref="HR5:HW6">
    <cfRule type="expression" dxfId="48" priority="149">
      <formula>AND(TODAY()&gt;=HR$5,TODAY()&lt;HS$5)</formula>
    </cfRule>
  </conditionalFormatting>
  <conditionalFormatting sqref="HX5">
    <cfRule type="expression" dxfId="47" priority="150">
      <formula>AND(TODAY()&gt;=HX$5,TODAY()&lt;#REF!)</formula>
    </cfRule>
  </conditionalFormatting>
  <conditionalFormatting sqref="HX6">
    <cfRule type="expression" dxfId="46" priority="29">
      <formula>AND(TODAY()&gt;=HX$5,TODAY()&lt;HY$5)</formula>
    </cfRule>
  </conditionalFormatting>
  <conditionalFormatting sqref="HY5:ID6">
    <cfRule type="expression" dxfId="45" priority="143">
      <formula>AND(TODAY()&gt;=HY$5,TODAY()&lt;HZ$5)</formula>
    </cfRule>
  </conditionalFormatting>
  <conditionalFormatting sqref="IE5">
    <cfRule type="expression" dxfId="44" priority="144">
      <formula>AND(TODAY()&gt;=IE$5,TODAY()&lt;#REF!)</formula>
    </cfRule>
  </conditionalFormatting>
  <conditionalFormatting sqref="IE6">
    <cfRule type="expression" dxfId="43" priority="26">
      <formula>AND(TODAY()&gt;=IE$5,TODAY()&lt;IF$5)</formula>
    </cfRule>
  </conditionalFormatting>
  <conditionalFormatting sqref="IF5:IK6">
    <cfRule type="expression" dxfId="42" priority="137">
      <formula>AND(TODAY()&gt;=IF$5,TODAY()&lt;IG$5)</formula>
    </cfRule>
  </conditionalFormatting>
  <conditionalFormatting sqref="IL5">
    <cfRule type="expression" dxfId="41" priority="138">
      <formula>AND(TODAY()&gt;=IL$5,TODAY()&lt;#REF!)</formula>
    </cfRule>
  </conditionalFormatting>
  <conditionalFormatting sqref="IL6">
    <cfRule type="expression" dxfId="40" priority="23">
      <formula>AND(TODAY()&gt;=IL$5,TODAY()&lt;IM$5)</formula>
    </cfRule>
  </conditionalFormatting>
  <conditionalFormatting sqref="IM5:IS6">
    <cfRule type="expression" dxfId="39" priority="14">
      <formula>AND(TODAY()&gt;=IM$5,TODAY()&lt;IN$5)</formula>
    </cfRule>
  </conditionalFormatting>
  <conditionalFormatting sqref="IT5:IY5">
    <cfRule type="expression" dxfId="38" priority="125">
      <formula>AND(TODAY()&gt;=IT$5,TODAY()&lt;IU$5)</formula>
    </cfRule>
  </conditionalFormatting>
  <conditionalFormatting sqref="IT6:WS6">
    <cfRule type="expression" dxfId="37" priority="17">
      <formula>AND(TODAY()&gt;=IT$5,TODAY()&lt;IU$5)</formula>
    </cfRule>
  </conditionalFormatting>
  <conditionalFormatting sqref="IZ5">
    <cfRule type="expression" dxfId="36" priority="126">
      <formula>AND(TODAY()&gt;=IZ$5,TODAY()&lt;#REF!)</formula>
    </cfRule>
  </conditionalFormatting>
  <conditionalFormatting sqref="JA5:JF5">
    <cfRule type="expression" dxfId="35" priority="119">
      <formula>AND(TODAY()&gt;=JA$5,TODAY()&lt;JB$5)</formula>
    </cfRule>
  </conditionalFormatting>
  <conditionalFormatting sqref="JG5">
    <cfRule type="expression" dxfId="34" priority="120">
      <formula>AND(TODAY()&gt;=JG$5,TODAY()&lt;#REF!)</formula>
    </cfRule>
  </conditionalFormatting>
  <conditionalFormatting sqref="JH5:JM5">
    <cfRule type="expression" dxfId="33" priority="113">
      <formula>AND(TODAY()&gt;=JH$5,TODAY()&lt;JI$5)</formula>
    </cfRule>
  </conditionalFormatting>
  <conditionalFormatting sqref="JN5">
    <cfRule type="expression" dxfId="32" priority="114">
      <formula>AND(TODAY()&gt;=JN$5,TODAY()&lt;#REF!)</formula>
    </cfRule>
  </conditionalFormatting>
  <conditionalFormatting sqref="JO5:JT5">
    <cfRule type="expression" dxfId="31" priority="107">
      <formula>AND(TODAY()&gt;=JO$5,TODAY()&lt;JP$5)</formula>
    </cfRule>
  </conditionalFormatting>
  <conditionalFormatting sqref="JU5">
    <cfRule type="expression" dxfId="30" priority="108">
      <formula>AND(TODAY()&gt;=JU$5,TODAY()&lt;#REF!)</formula>
    </cfRule>
  </conditionalFormatting>
  <conditionalFormatting sqref="JV5:KA5">
    <cfRule type="expression" dxfId="29" priority="101">
      <formula>AND(TODAY()&gt;=JV$5,TODAY()&lt;JW$5)</formula>
    </cfRule>
  </conditionalFormatting>
  <conditionalFormatting sqref="KB5">
    <cfRule type="expression" dxfId="28" priority="102">
      <formula>AND(TODAY()&gt;=KB$5,TODAY()&lt;#REF!)</formula>
    </cfRule>
  </conditionalFormatting>
  <conditionalFormatting sqref="KC5:KH5">
    <cfRule type="expression" dxfId="27" priority="95">
      <formula>AND(TODAY()&gt;=KC$5,TODAY()&lt;KD$5)</formula>
    </cfRule>
  </conditionalFormatting>
  <conditionalFormatting sqref="KI5">
    <cfRule type="expression" dxfId="26" priority="96">
      <formula>AND(TODAY()&gt;=KI$5,TODAY()&lt;#REF!)</formula>
    </cfRule>
  </conditionalFormatting>
  <conditionalFormatting sqref="KJ5:KO5">
    <cfRule type="expression" dxfId="25" priority="89">
      <formula>AND(TODAY()&gt;=KJ$5,TODAY()&lt;KK$5)</formula>
    </cfRule>
  </conditionalFormatting>
  <conditionalFormatting sqref="KP5">
    <cfRule type="expression" dxfId="24" priority="90">
      <formula>AND(TODAY()&gt;=KP$5,TODAY()&lt;#REF!)</formula>
    </cfRule>
  </conditionalFormatting>
  <conditionalFormatting sqref="KQ5:KV5">
    <cfRule type="expression" dxfId="23" priority="83">
      <formula>AND(TODAY()&gt;=KQ$5,TODAY()&lt;KR$5)</formula>
    </cfRule>
  </conditionalFormatting>
  <conditionalFormatting sqref="KW5">
    <cfRule type="expression" dxfId="22" priority="84">
      <formula>AND(TODAY()&gt;=KW$5,TODAY()&lt;#REF!)</formula>
    </cfRule>
  </conditionalFormatting>
  <conditionalFormatting sqref="KX5:LC5">
    <cfRule type="expression" dxfId="21" priority="77">
      <formula>AND(TODAY()&gt;=KX$5,TODAY()&lt;KY$5)</formula>
    </cfRule>
  </conditionalFormatting>
  <conditionalFormatting sqref="LD5">
    <cfRule type="expression" dxfId="20" priority="78">
      <formula>AND(TODAY()&gt;=LD$5,TODAY()&lt;#REF!)</formula>
    </cfRule>
  </conditionalFormatting>
  <conditionalFormatting sqref="LE70:LE71">
    <cfRule type="expression" dxfId="19" priority="8">
      <formula>AND(TODAY()&gt;=LE$5,TODAY()&lt;#REF!)</formula>
    </cfRule>
  </conditionalFormatting>
  <conditionalFormatting sqref="LE73:LF73">
    <cfRule type="expression" dxfId="18" priority="4" stopIfTrue="1">
      <formula>AND(Término_da_tarefa&gt;=LE$5,Início_da_tarefa&lt;LF$5)</formula>
    </cfRule>
    <cfRule type="expression" dxfId="17" priority="5">
      <formula>AND(TODAY()&gt;=LE$5,TODAY()&lt;LF$5)</formula>
    </cfRule>
  </conditionalFormatting>
  <conditionalFormatting sqref="LE5:LJ5">
    <cfRule type="expression" dxfId="16" priority="71">
      <formula>AND(TODAY()&gt;=LE$5,TODAY()&lt;LF$5)</formula>
    </cfRule>
  </conditionalFormatting>
  <conditionalFormatting sqref="LF70:LF71">
    <cfRule type="expression" dxfId="15" priority="7">
      <formula>AND(TODAY()&gt;=LF$5,TODAY()&lt;LG$5)</formula>
    </cfRule>
  </conditionalFormatting>
  <conditionalFormatting sqref="LK5">
    <cfRule type="expression" dxfId="14" priority="72">
      <formula>AND(TODAY()&gt;=LK$5,TODAY()&lt;#REF!)</formula>
    </cfRule>
  </conditionalFormatting>
  <conditionalFormatting sqref="LL5:LQ5">
    <cfRule type="expression" dxfId="13" priority="65">
      <formula>AND(TODAY()&gt;=LL$5,TODAY()&lt;LM$5)</formula>
    </cfRule>
  </conditionalFormatting>
  <conditionalFormatting sqref="LR5">
    <cfRule type="expression" dxfId="12" priority="66">
      <formula>AND(TODAY()&gt;=LR$5,TODAY()&lt;#REF!)</formula>
    </cfRule>
  </conditionalFormatting>
  <conditionalFormatting sqref="LS5:LX5">
    <cfRule type="expression" dxfId="11" priority="59">
      <formula>AND(TODAY()&gt;=LS$5,TODAY()&lt;LT$5)</formula>
    </cfRule>
  </conditionalFormatting>
  <conditionalFormatting sqref="LY5">
    <cfRule type="expression" dxfId="10" priority="60">
      <formula>AND(TODAY()&gt;=LY$5,TODAY()&lt;#REF!)</formula>
    </cfRule>
  </conditionalFormatting>
  <conditionalFormatting sqref="LZ5:ME5">
    <cfRule type="expression" dxfId="9" priority="53">
      <formula>AND(TODAY()&gt;=LZ$5,TODAY()&lt;MA$5)</formula>
    </cfRule>
  </conditionalFormatting>
  <conditionalFormatting sqref="MF5">
    <cfRule type="expression" dxfId="8"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7"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6"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C89 C180 C10:C64 C66:C80 C82:C87 C101:C132 C134:C152 C163:C178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3" customWidth="1"/>
    <col min="2" max="2" width="19.54296875" customWidth="1"/>
    <col min="3" max="3" width="15" bestFit="1" customWidth="1"/>
    <col min="4" max="4" width="16.453125" customWidth="1"/>
    <col min="5" max="5" width="10.453125" style="5" customWidth="1"/>
    <col min="6" max="6" width="10.453125" customWidth="1"/>
    <col min="7" max="7" width="2.45312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4" t="s">
        <v>193</v>
      </c>
      <c r="B1" s="37" t="s">
        <v>283</v>
      </c>
      <c r="C1" s="1"/>
      <c r="D1" s="2"/>
      <c r="E1" s="4"/>
      <c r="F1" s="32"/>
      <c r="H1" s="2"/>
      <c r="I1" s="51" t="s">
        <v>284</v>
      </c>
    </row>
    <row r="2" spans="1:239" ht="30" customHeight="1" x14ac:dyDescent="0.45">
      <c r="A2" s="33" t="s">
        <v>196</v>
      </c>
      <c r="B2" s="38" t="s">
        <v>285</v>
      </c>
      <c r="I2" s="160"/>
    </row>
    <row r="3" spans="1:239" ht="33" customHeight="1" x14ac:dyDescent="0.35">
      <c r="A3" s="33" t="s">
        <v>197</v>
      </c>
      <c r="B3" s="70" t="s">
        <v>198</v>
      </c>
      <c r="C3" s="69">
        <f>Início_do_projeto+120</f>
        <v>46051</v>
      </c>
      <c r="D3" s="68" t="s">
        <v>199</v>
      </c>
      <c r="E3" s="208">
        <v>45931</v>
      </c>
      <c r="F3" s="208"/>
      <c r="G3" s="64"/>
    </row>
    <row r="4" spans="1:239" ht="30" customHeight="1" x14ac:dyDescent="0.35">
      <c r="A4" s="34" t="s">
        <v>200</v>
      </c>
      <c r="C4" s="209" t="s">
        <v>201</v>
      </c>
      <c r="D4" s="210"/>
      <c r="E4" s="7">
        <v>1</v>
      </c>
      <c r="I4" s="205">
        <f>I5</f>
        <v>45929</v>
      </c>
      <c r="J4" s="206"/>
      <c r="K4" s="206"/>
      <c r="L4" s="206"/>
      <c r="M4" s="206"/>
      <c r="N4" s="206"/>
      <c r="O4" s="207"/>
      <c r="P4" s="205">
        <f>P5</f>
        <v>45936</v>
      </c>
      <c r="Q4" s="206"/>
      <c r="R4" s="206"/>
      <c r="S4" s="206"/>
      <c r="T4" s="206"/>
      <c r="U4" s="206"/>
      <c r="V4" s="207"/>
      <c r="W4" s="205">
        <f>W5</f>
        <v>45943</v>
      </c>
      <c r="X4" s="206"/>
      <c r="Y4" s="206"/>
      <c r="Z4" s="206"/>
      <c r="AA4" s="206"/>
      <c r="AB4" s="206"/>
      <c r="AC4" s="207"/>
      <c r="AD4" s="205">
        <f>AD5</f>
        <v>45950</v>
      </c>
      <c r="AE4" s="206"/>
      <c r="AF4" s="206"/>
      <c r="AG4" s="206"/>
      <c r="AH4" s="206"/>
      <c r="AI4" s="206"/>
      <c r="AJ4" s="207"/>
      <c r="AK4" s="205">
        <f>AK5</f>
        <v>45957</v>
      </c>
      <c r="AL4" s="206"/>
      <c r="AM4" s="206"/>
      <c r="AN4" s="206"/>
      <c r="AO4" s="206"/>
      <c r="AP4" s="206"/>
      <c r="AQ4" s="207"/>
      <c r="AR4" s="205">
        <f>AR5</f>
        <v>45964</v>
      </c>
      <c r="AS4" s="206"/>
      <c r="AT4" s="206"/>
      <c r="AU4" s="206"/>
      <c r="AV4" s="206"/>
      <c r="AW4" s="206"/>
      <c r="AX4" s="207"/>
      <c r="AY4" s="205">
        <f>AY5</f>
        <v>45971</v>
      </c>
      <c r="AZ4" s="206"/>
      <c r="BA4" s="206"/>
      <c r="BB4" s="206"/>
      <c r="BC4" s="206"/>
      <c r="BD4" s="206"/>
      <c r="BE4" s="207"/>
      <c r="BF4" s="205">
        <f>BF5</f>
        <v>45978</v>
      </c>
      <c r="BG4" s="206"/>
      <c r="BH4" s="206"/>
      <c r="BI4" s="206"/>
      <c r="BJ4" s="206"/>
      <c r="BK4" s="206"/>
      <c r="BL4" s="207"/>
      <c r="BM4" s="205">
        <f>BM5</f>
        <v>45985</v>
      </c>
      <c r="BN4" s="206"/>
      <c r="BO4" s="206"/>
      <c r="BP4" s="206"/>
      <c r="BQ4" s="206"/>
      <c r="BR4" s="206"/>
      <c r="BS4" s="207"/>
      <c r="BT4" s="205">
        <f>BT5</f>
        <v>45992</v>
      </c>
      <c r="BU4" s="206"/>
      <c r="BV4" s="206"/>
      <c r="BW4" s="206"/>
      <c r="BX4" s="206"/>
      <c r="BY4" s="206"/>
      <c r="BZ4" s="207"/>
      <c r="CA4" s="205">
        <f>CA5</f>
        <v>45999</v>
      </c>
      <c r="CB4" s="206"/>
      <c r="CC4" s="206"/>
      <c r="CD4" s="206"/>
      <c r="CE4" s="206"/>
      <c r="CF4" s="206"/>
      <c r="CG4" s="207"/>
      <c r="CH4" s="205">
        <f>CH5</f>
        <v>46006</v>
      </c>
      <c r="CI4" s="206"/>
      <c r="CJ4" s="206"/>
      <c r="CK4" s="206"/>
      <c r="CL4" s="206"/>
      <c r="CM4" s="206"/>
      <c r="CN4" s="207"/>
      <c r="CO4" s="205">
        <f>CO5</f>
        <v>46013</v>
      </c>
      <c r="CP4" s="206"/>
      <c r="CQ4" s="206"/>
      <c r="CR4" s="206"/>
      <c r="CS4" s="206"/>
      <c r="CT4" s="206"/>
      <c r="CU4" s="207"/>
      <c r="CV4" s="205">
        <f>CV5</f>
        <v>46020</v>
      </c>
      <c r="CW4" s="206"/>
      <c r="CX4" s="206"/>
      <c r="CY4" s="206"/>
      <c r="CZ4" s="206"/>
      <c r="DA4" s="206"/>
      <c r="DB4" s="207"/>
      <c r="DC4" s="205">
        <f>DC5</f>
        <v>46027</v>
      </c>
      <c r="DD4" s="206"/>
      <c r="DE4" s="206"/>
      <c r="DF4" s="206"/>
      <c r="DG4" s="206"/>
      <c r="DH4" s="206"/>
      <c r="DI4" s="207"/>
      <c r="DJ4" s="205">
        <f>DJ5</f>
        <v>46034</v>
      </c>
      <c r="DK4" s="206"/>
      <c r="DL4" s="206"/>
      <c r="DM4" s="206"/>
      <c r="DN4" s="206"/>
      <c r="DO4" s="206"/>
      <c r="DP4" s="207"/>
      <c r="DQ4" s="205">
        <f>DQ5</f>
        <v>46041</v>
      </c>
      <c r="DR4" s="206"/>
      <c r="DS4" s="206"/>
      <c r="DT4" s="206"/>
      <c r="DU4" s="206"/>
      <c r="DV4" s="206"/>
      <c r="DW4" s="207"/>
      <c r="DX4" s="205">
        <f>DX5</f>
        <v>46048</v>
      </c>
      <c r="DY4" s="206"/>
      <c r="DZ4" s="206"/>
      <c r="EA4" s="206"/>
      <c r="EB4" s="206"/>
      <c r="EC4" s="206"/>
      <c r="ED4" s="207"/>
      <c r="EE4" s="205">
        <f t="shared" ref="EE4" si="0">EE5</f>
        <v>46055</v>
      </c>
      <c r="EF4" s="206"/>
      <c r="EG4" s="206"/>
      <c r="EH4" s="206"/>
      <c r="EI4" s="206"/>
      <c r="EJ4" s="206"/>
      <c r="EK4" s="207"/>
      <c r="EL4" s="205">
        <f t="shared" ref="EL4" si="1">EL5</f>
        <v>46062</v>
      </c>
      <c r="EM4" s="206"/>
      <c r="EN4" s="206"/>
      <c r="EO4" s="206"/>
      <c r="EP4" s="206"/>
      <c r="EQ4" s="206"/>
      <c r="ER4" s="207"/>
      <c r="ES4" s="205">
        <f t="shared" ref="ES4" si="2">ES5</f>
        <v>46069</v>
      </c>
      <c r="ET4" s="206"/>
      <c r="EU4" s="206"/>
      <c r="EV4" s="206"/>
      <c r="EW4" s="206"/>
      <c r="EX4" s="206"/>
      <c r="EY4" s="207"/>
      <c r="EZ4" s="205">
        <f t="shared" ref="EZ4" si="3">EZ5</f>
        <v>46076</v>
      </c>
      <c r="FA4" s="206"/>
      <c r="FB4" s="206"/>
      <c r="FC4" s="206"/>
      <c r="FD4" s="206"/>
      <c r="FE4" s="206"/>
      <c r="FF4" s="207"/>
      <c r="FG4" s="205">
        <f t="shared" ref="FG4" si="4">FG5</f>
        <v>46083</v>
      </c>
      <c r="FH4" s="206"/>
      <c r="FI4" s="206"/>
      <c r="FJ4" s="206"/>
      <c r="FK4" s="206"/>
      <c r="FL4" s="206"/>
      <c r="FM4" s="207"/>
      <c r="FN4" s="205">
        <f t="shared" ref="FN4" si="5">FN5</f>
        <v>46090</v>
      </c>
      <c r="FO4" s="206"/>
      <c r="FP4" s="206"/>
      <c r="FQ4" s="206"/>
      <c r="FR4" s="206"/>
      <c r="FS4" s="206"/>
      <c r="FT4" s="207"/>
      <c r="FU4" s="205">
        <f t="shared" ref="FU4" si="6">FU5</f>
        <v>46097</v>
      </c>
      <c r="FV4" s="206"/>
      <c r="FW4" s="206"/>
      <c r="FX4" s="206"/>
      <c r="FY4" s="206"/>
      <c r="FZ4" s="206"/>
      <c r="GA4" s="207"/>
      <c r="GB4" s="205">
        <f t="shared" ref="GB4" si="7">GB5</f>
        <v>46104</v>
      </c>
      <c r="GC4" s="206"/>
      <c r="GD4" s="206"/>
      <c r="GE4" s="206"/>
      <c r="GF4" s="206"/>
      <c r="GG4" s="206"/>
      <c r="GH4" s="207"/>
      <c r="GI4" s="205">
        <f t="shared" ref="GI4" si="8">GI5</f>
        <v>46111</v>
      </c>
      <c r="GJ4" s="206"/>
      <c r="GK4" s="206"/>
      <c r="GL4" s="206"/>
      <c r="GM4" s="206"/>
      <c r="GN4" s="206"/>
      <c r="GO4" s="207"/>
      <c r="GP4" s="205">
        <f t="shared" ref="GP4" si="9">GP5</f>
        <v>46118</v>
      </c>
      <c r="GQ4" s="206"/>
      <c r="GR4" s="206"/>
      <c r="GS4" s="206"/>
      <c r="GT4" s="206"/>
      <c r="GU4" s="206"/>
      <c r="GV4" s="207"/>
      <c r="GW4" s="205">
        <f t="shared" ref="GW4" si="10">GW5</f>
        <v>46125</v>
      </c>
      <c r="GX4" s="206"/>
      <c r="GY4" s="206"/>
      <c r="GZ4" s="206"/>
      <c r="HA4" s="206"/>
      <c r="HB4" s="206"/>
      <c r="HC4" s="207"/>
      <c r="HD4" s="205">
        <f t="shared" ref="HD4" si="11">HD5</f>
        <v>46132</v>
      </c>
      <c r="HE4" s="206"/>
      <c r="HF4" s="206"/>
      <c r="HG4" s="206"/>
      <c r="HH4" s="206"/>
      <c r="HI4" s="206"/>
      <c r="HJ4" s="207"/>
      <c r="HK4" s="205">
        <f t="shared" ref="HK4" si="12">HK5</f>
        <v>46139</v>
      </c>
      <c r="HL4" s="206"/>
      <c r="HM4" s="206"/>
      <c r="HN4" s="206"/>
      <c r="HO4" s="206"/>
      <c r="HP4" s="206"/>
      <c r="HQ4" s="207"/>
      <c r="HR4" s="205">
        <f t="shared" ref="HR4" si="13">HR5</f>
        <v>46146</v>
      </c>
      <c r="HS4" s="206"/>
      <c r="HT4" s="206"/>
      <c r="HU4" s="206"/>
      <c r="HV4" s="206"/>
      <c r="HW4" s="206"/>
      <c r="HX4" s="207"/>
      <c r="HY4" s="205">
        <f t="shared" ref="HY4" si="14">HY5</f>
        <v>46153</v>
      </c>
      <c r="HZ4" s="206"/>
      <c r="IA4" s="206"/>
      <c r="IB4" s="206"/>
      <c r="IC4" s="206"/>
      <c r="ID4" s="206"/>
      <c r="IE4" s="207"/>
    </row>
    <row r="5" spans="1:239" ht="15" customHeight="1" x14ac:dyDescent="0.35">
      <c r="A5" s="34" t="s">
        <v>202</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203</v>
      </c>
      <c r="B6" s="8" t="s">
        <v>204</v>
      </c>
      <c r="C6" s="9" t="s">
        <v>205</v>
      </c>
      <c r="D6" s="9" t="s">
        <v>286</v>
      </c>
      <c r="E6" s="9" t="s">
        <v>206</v>
      </c>
      <c r="F6" s="9" t="s">
        <v>207</v>
      </c>
      <c r="G6" s="9"/>
      <c r="H6" s="9" t="s">
        <v>208</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209</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211</v>
      </c>
      <c r="B8" s="15" t="s">
        <v>287</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213</v>
      </c>
      <c r="B9" s="46" t="s">
        <v>288</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214</v>
      </c>
      <c r="B10" s="46" t="s">
        <v>289</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290</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291</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289</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292</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289</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220</v>
      </c>
      <c r="B16" s="18" t="s">
        <v>293</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288</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289</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291</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289</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292</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289</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232</v>
      </c>
      <c r="B23" s="21" t="s">
        <v>294</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288</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289</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291</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289</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292</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289</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280</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282</v>
      </c>
      <c r="B31" s="25" t="s">
        <v>281</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5" priority="4">
      <formula>AND(TODAY()&gt;=I$5,TODAY()&lt;J$5)</formula>
    </cfRule>
  </conditionalFormatting>
  <conditionalFormatting sqref="I7:BL31 BM8:IE31">
    <cfRule type="expression" dxfId="4" priority="2">
      <formula>AND(Início_da_tarefa&lt;=I$5,ROUNDDOWN((Término_da_tarefa-Início_da_tarefa+1)*Progresso_da_tarefa,0)+Início_da_tarefa-1&gt;=I$5)</formula>
    </cfRule>
    <cfRule type="expression" dxfId="3"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a9f3451a-73cb-4405-a932-26db050e40a8"/>
    <ds:schemaRef ds:uri="http://schemas.microsoft.com/office/2006/documentManagement/types"/>
    <ds:schemaRef ds:uri="http://purl.org/dc/terms/"/>
    <ds:schemaRef ds:uri="http://schemas.microsoft.com/office/2006/metadata/properties"/>
    <ds:schemaRef ds:uri="0d1dea18-7b56-4ac7-aa1d-7834839a8030"/>
    <ds:schemaRef ds:uri="http://schemas.microsoft.com/office/infopath/2007/PartnerControls"/>
    <ds:schemaRef ds:uri="http://www.w3.org/XML/1998/namespace"/>
    <ds:schemaRef ds:uri="http://purl.org/dc/elements/1.1/"/>
    <ds:schemaRef ds:uri="http://purl.org/dc/dcmitype/"/>
    <ds:schemaRef ds:uri="http://schemas.openxmlformats.org/package/2006/metadata/core-properties"/>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3</vt:i4>
      </vt:variant>
      <vt:variant>
        <vt:lpstr>Intervalos Nomeados</vt:lpstr>
      </vt:variant>
      <vt:variant>
        <vt:i4>11</vt:i4>
      </vt:variant>
    </vt:vector>
  </HeadingPairs>
  <TitlesOfParts>
    <vt:vector size="14" baseType="lpstr">
      <vt:lpstr>Equipe</vt:lpstr>
      <vt:lpstr>Planejamento IED</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2026-03-25T17:45:44Z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