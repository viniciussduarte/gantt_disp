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EstaPastaDeTrabalho"/>
  <xr:revisionPtr revIDLastSave="2215" documentId="101_S{B73360A1-8A99-5EFE-B3D7-B4540AB28558}" xr6:coauthVersionLast="47" xr6:coauthVersionMax="47" xr10:uidLastSave="{FA6FB2F8-F266-4A18-94BA-020A732FFA53}"/>
  <bookViews>
    <workbookView minimized="1" xWindow="1480" yWindow="1480" windowWidth="14400" windowHeight="7270" firstSheet="1" activeTab="1" xr2:uid="{00000000-000D-0000-FFFF-FFFF00000000}"/>
  </bookViews>
  <sheets>
    <sheet name="Equipe" sheetId="14" r:id="rId1"/>
    <sheet name="Planejamento IED" sheetId="11" r:id="rId2"/>
    <sheet name="3 Pessoas" sheetId="13" state="hidden" r:id="rId3"/>
  </sheets>
  <definedNames>
    <definedName name="_xlnm._FilterDatabase" localSheetId="0" hidden="1">Equipe!$A$1:$J$56</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9" i="11" l="1"/>
  <c r="E162" i="11"/>
  <c r="D172" i="11"/>
  <c r="E86" i="11" l="1"/>
  <c r="E172" i="11" l="1"/>
  <c r="D175" i="11" s="1"/>
  <c r="E175" i="11" s="1"/>
  <c r="D178" i="11" s="1"/>
  <c r="E178" i="11" s="1"/>
  <c r="E180" i="11"/>
  <c r="D182" i="11" s="1"/>
  <c r="E62" i="11"/>
  <c r="E63" i="11"/>
  <c r="E85" i="11"/>
  <c r="E84" i="11"/>
  <c r="E83" i="11"/>
  <c r="E82" i="11"/>
  <c r="E116" i="11" l="1"/>
  <c r="D119" i="11" s="1"/>
  <c r="E198" i="11"/>
  <c r="E126" i="11" l="1"/>
  <c r="D127" i="11" s="1"/>
  <c r="E127" i="11" s="1"/>
  <c r="D128" i="11" s="1"/>
  <c r="E128" i="11" s="1"/>
  <c r="E61" i="11"/>
  <c r="E60" i="11"/>
  <c r="E59" i="11"/>
  <c r="E110" i="11"/>
  <c r="D113" i="11" s="1"/>
  <c r="E113" i="11" s="1"/>
  <c r="E74" i="11"/>
  <c r="E75" i="11"/>
  <c r="E76" i="11"/>
  <c r="E77" i="11"/>
  <c r="E78" i="11"/>
  <c r="E79" i="11"/>
  <c r="E80" i="11"/>
  <c r="E58" i="11"/>
  <c r="E197" i="11"/>
  <c r="E161" i="11"/>
  <c r="E160" i="11"/>
  <c r="E159" i="11"/>
  <c r="E57" i="11"/>
  <c r="E56" i="11"/>
  <c r="E55" i="11"/>
  <c r="G104" i="11" l="1"/>
  <c r="G101" i="11"/>
  <c r="E195" i="11"/>
  <c r="E196" i="11" s="1"/>
  <c r="D194" i="11" l="1"/>
  <c r="G194" i="11" s="1"/>
  <c r="G158" i="11"/>
  <c r="G98" i="11" l="1"/>
  <c r="G160" i="11"/>
  <c r="G196" i="11"/>
  <c r="G195" i="11"/>
  <c r="G159" i="11"/>
  <c r="G197" i="11" l="1"/>
  <c r="G161" i="11"/>
  <c r="E108" i="11"/>
  <c r="D111" i="11" s="1"/>
  <c r="E71" i="11"/>
  <c r="E53" i="11" l="1"/>
  <c r="E54" i="11"/>
  <c r="E72" i="11" l="1"/>
  <c r="E51" i="11"/>
  <c r="E50" i="11"/>
  <c r="E49" i="11"/>
  <c r="E48" i="11"/>
  <c r="E109" i="11" l="1"/>
  <c r="E107" i="11"/>
  <c r="E112" i="11" l="1"/>
  <c r="E45" i="11"/>
  <c r="E46" i="11"/>
  <c r="E44" i="11"/>
  <c r="E151" i="11" l="1"/>
  <c r="E150" i="11"/>
  <c r="E149" i="11"/>
  <c r="E148" i="11"/>
  <c r="E147" i="11"/>
  <c r="G95" i="11"/>
  <c r="G96" i="11"/>
  <c r="G97" i="11"/>
  <c r="G94" i="11"/>
  <c r="E146" i="11"/>
  <c r="E145" i="11"/>
  <c r="E142" i="11"/>
  <c r="E143" i="11"/>
  <c r="E140" i="11"/>
  <c r="E139" i="11"/>
  <c r="D184" i="11"/>
  <c r="G183" i="11"/>
  <c r="E73" i="11"/>
  <c r="E106" i="11"/>
  <c r="E111" i="11" s="1"/>
  <c r="E103" i="11"/>
  <c r="E136" i="11"/>
  <c r="E135" i="11"/>
  <c r="E89" i="11"/>
  <c r="G88" i="11"/>
  <c r="D137" i="11"/>
  <c r="D138" i="11" s="1"/>
  <c r="E166" i="11"/>
  <c r="D168" i="11" s="1"/>
  <c r="E165" i="11"/>
  <c r="G164" i="11"/>
  <c r="C3" i="11"/>
  <c r="D14" i="11"/>
  <c r="E14" i="11" s="1"/>
  <c r="E13" i="11"/>
  <c r="E11" i="11"/>
  <c r="E10" i="11"/>
  <c r="E66" i="11"/>
  <c r="E115" i="11" l="1"/>
  <c r="E114" i="11"/>
  <c r="D118" i="11" s="1"/>
  <c r="D105" i="11"/>
  <c r="E105" i="11" s="1"/>
  <c r="E137" i="11"/>
  <c r="E144" i="11"/>
  <c r="E141" i="11"/>
  <c r="E138" i="11"/>
  <c r="E167" i="11"/>
  <c r="E170" i="11" s="1"/>
  <c r="D16" i="11"/>
  <c r="D15" i="11" s="1"/>
  <c r="D12" i="11"/>
  <c r="D173" i="11" l="1"/>
  <c r="E173" i="11" s="1"/>
  <c r="E119" i="11"/>
  <c r="D122" i="11" s="1"/>
  <c r="E118" i="11"/>
  <c r="D121" i="11" s="1"/>
  <c r="E15" i="11"/>
  <c r="D17" i="11"/>
  <c r="E17" i="11" s="1"/>
  <c r="E168" i="11"/>
  <c r="D171" i="11" s="1"/>
  <c r="E171" i="11" s="1"/>
  <c r="D117" i="11"/>
  <c r="D18" i="11"/>
  <c r="E18" i="11" s="1"/>
  <c r="E69" i="11"/>
  <c r="E16" i="11"/>
  <c r="E12" i="11"/>
  <c r="G154" i="11"/>
  <c r="F11" i="13"/>
  <c r="E11" i="13"/>
  <c r="H31" i="13"/>
  <c r="H30" i="13"/>
  <c r="H23" i="13"/>
  <c r="H16" i="13"/>
  <c r="E9" i="13"/>
  <c r="F9" i="13" s="1"/>
  <c r="H8" i="13"/>
  <c r="H7" i="13"/>
  <c r="I5" i="13"/>
  <c r="J5" i="13" s="1"/>
  <c r="K5" i="13" s="1"/>
  <c r="C3" i="13"/>
  <c r="G7" i="11"/>
  <c r="D176" i="11" l="1"/>
  <c r="E176" i="11" s="1"/>
  <c r="D179" i="11" s="1"/>
  <c r="E179" i="11" s="1"/>
  <c r="D181" i="11" s="1"/>
  <c r="D174" i="11"/>
  <c r="E174" i="11" s="1"/>
  <c r="D177" i="11" s="1"/>
  <c r="E177" i="11" s="1"/>
  <c r="E117" i="11"/>
  <c r="D120" i="11" s="1"/>
  <c r="E122" i="11"/>
  <c r="E121" i="11"/>
  <c r="D124" i="11" s="1"/>
  <c r="D19" i="11"/>
  <c r="E19" i="11" s="1"/>
  <c r="E70" i="11"/>
  <c r="I4" i="13"/>
  <c r="I6" i="13"/>
  <c r="J6" i="13"/>
  <c r="L5" i="13"/>
  <c r="K6" i="13"/>
  <c r="E182" i="11" l="1"/>
  <c r="E181" i="11"/>
  <c r="D125" i="11"/>
  <c r="E125" i="11" s="1"/>
  <c r="E120" i="11"/>
  <c r="D123" i="11" s="1"/>
  <c r="E124" i="11"/>
  <c r="D20" i="11"/>
  <c r="D21" i="11" s="1"/>
  <c r="E10" i="13"/>
  <c r="F10" i="13" s="1"/>
  <c r="E12" i="13" s="1"/>
  <c r="M5" i="13"/>
  <c r="L6" i="13"/>
  <c r="H9" i="13"/>
  <c r="H5" i="11"/>
  <c r="G202" i="11"/>
  <c r="G93" i="11"/>
  <c r="G90" i="11"/>
  <c r="G65" i="11"/>
  <c r="G9" i="11"/>
  <c r="E123"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2"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0"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2"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3"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6"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<sst xmlns="http://schemas.openxmlformats.org/spreadsheetml/2006/main" count="816" uniqueCount="304">
  <si>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</si>
  <si>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</si>
  <si>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</si>
  <si>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</si>
  <si>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</si>
  <si>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</si>
  <si>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</si>
  <si>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</si>
  <si>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</si>
  <si>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</si>
  <si>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</si>
  <si>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</si>
  <si>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</si>
  <si>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</si>
  <si>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</si>
  <si>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</si>
  <si>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</si>
  <si>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</si>
  <si>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</si>
  <si>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</si>
  <si>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</si>
  <si>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</si>
  <si>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</si>
  <si>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</si>
  <si>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</si>
  <si>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</si>
  <si>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</si>
  <si>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</si>
  <si>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</si>
  <si>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</si>
  <si>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</si>
  <si>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</si>
  <si>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</si>
  <si>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</si>
  <si>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</si>
  <si>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</si>
  <si>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</si>
  <si>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</si>
  <si>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</si>
  <si>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</si>
  <si>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</si>
  <si>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</si>
  <si>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</si>
  <si>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</si>
  <si>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</si>
  <si>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</si>
  <si>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</si>
  <si>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</si>
  <si>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</si>
  <si>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</si>
  <si>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</si>
  <si>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</si>
  <si>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</si>
  <si>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</si>
  <si>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</si>
  <si>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</si>
  <si>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</si>
  <si>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</si>
  <si>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</si>
  <si>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</si>
  <si>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</si>
  <si>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</si>
  <si>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</si>
  <si>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</si>
  <si>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</si>
  <si>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</si>
  <si>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</si>
  <si>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</si>
  <si>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</si>
  <si>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</si>
  <si>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</si>
  <si>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</si>
  <si>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</si>
  <si>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</si>
  <si>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</si>
  <si>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</si>
  <si>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</si>
  <si>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</si>
  <si>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</si>
  <si>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</si>
  <si>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</si>
  <si>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</si>
  <si>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</si>
  <si>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</si>
  <si>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</si>
  <si>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</si>
  <si>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</si>
  <si>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</si>
  <si>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</si>
  <si>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</si>
  <si>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</si>
  <si>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</si>
  <si>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</si>
  <si>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</si>
  <si>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</si>
  <si>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</si>
  <si>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</si>
  <si>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</si>
  <si>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</si>
  <si>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</si>
  <si>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</si>
  <si>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</si>
  <si>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</si>
  <si>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</si>
  <si>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</si>
  <si>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</si>
  <si>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</si>
  <si>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</si>
  <si>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</si>
  <si>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</si>
  <si>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</si>
  <si>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</si>
  <si>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</si>
  <si>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</si>
  <si>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</si>
  <si>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</si>
  <si>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</si>
  <si>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</si>
  <si>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</si>
  <si>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</si>
  <si>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</si>
  <si>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</si>
  <si>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</si>
  <si>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</si>
  <si>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</si>
  <si>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</si>
  <si>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</si>
  <si>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</si>
  <si>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</si>
  <si>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</si>
  <si>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</si>
  <si>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</si>
  <si>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</si>
  <si>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</si>
  <si>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</si>
  <si>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</si>
  <si>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</si>
  <si>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</si>
  <si>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</si>
  <si>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</si>
  <si>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</si>
  <si>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</si>
  <si>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</si>
  <si>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</si>
  <si>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</si>
  <si>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</si>
  <si>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</si>
  <si>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</si>
  <si>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</si>
  <si>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</si>
  <si>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</si>
  <si>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</si>
  <si>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</si>
  <si>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</si>
  <si>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</si>
  <si>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</si>
  <si>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</si>
  <si>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</si>
  <si>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</si>
  <si>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</si>
  <si>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</si>
  <si>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</si>
  <si>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</si>
  <si>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</si>
  <si>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</si>
  <si>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</si>
  <si>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</si>
  <si>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</si>
  <si>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</si>
  <si>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</si>
  <si>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</si>
  <si>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</si>
  <si>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</si>
  <si>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</si>
  <si>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</si>
  <si>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</si>
  <si>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</si>
  <si>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</si>
  <si>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</si>
  <si>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</si>
  <si>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</si>
  <si>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</si>
  <si>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</si>
  <si>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</si>
  <si>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</si>
  <si>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</si>
  <si>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</si>
  <si>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</si>
  <si>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</si>
  <si>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</si>
  <si>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</si>
  <si>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</si>
  <si>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</si>
  <si>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</si>
  <si>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</si>
  <si>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</si>
  <si>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</si>
  <si>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</si>
  <si>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</si>
  <si>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</si>
  <si>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</si>
  <si>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</si>
  <si>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</si>
  <si>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</si>
  <si>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</si>
  <si>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</si>
  <si>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</si>
  <si>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</si>
  <si>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</si>
  <si>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</si>
  <si>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</si>
  <si>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</si>
  <si>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</si>
  <si>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</si>
  <si>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</si>
  <si>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</si>
  <si>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</si>
  <si>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</si>
  <si>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</si>
  <si>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</si>
  <si>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</si>
  <si>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</si>
  <si>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</si>
  <si>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</si>
  <si>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</si>
  <si>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</si>
  <si>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</si>
  <si>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</si>
  <si>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</si>
  <si>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</si>
  <si>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</si>
  <si>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</si>
  <si>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</si>
  <si>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</si>
  <si>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</si>
  <si>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</si>
  <si>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</si>
  <si>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</si>
  <si>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</si>
  <si>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</si>
  <si>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</si>
  <si>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</si>
  <si>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</si>
  <si>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</si>
  <si>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</si>
  <si>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</si>
  <si>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</si>
  <si>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</si>
  <si>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</si>
  <si>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</si>
  <si>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</si>
  <si>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</si>
  <si>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</si>
  <si>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</si>
  <si>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</si>
  <si>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</si>
  <si>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</si>
  <si>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</si>
  <si>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</si>
  <si>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</si>
  <si>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</si>
  <si>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</si>
  <si>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</si>
  <si>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</si>
  <si>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</si>
  <si>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</si>
  <si>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</si>
  <si>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</si>
  <si>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</si>
  <si>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</si>
  <si>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</si>
  <si>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</si>
  <si>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</si>
  <si>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</si>
  <si>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</si>
  <si>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</si>
  <si>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</si>
  <si>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</si>
  <si>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</si>
  <si>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</si>
  <si>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</si>
  <si>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</si>
  <si>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</si>
  <si>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</si>
  <si>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</si>
  <si>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</si>
  <si>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</si>
  <si>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</si>
  <si>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</si>
  <si>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</si>
  <si>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</si>
  <si>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</si>
  <si>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</si>
  <si>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</si>
  <si>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</si>
  <si>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</si>
  <si>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</si>
  <si>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</si>
  <si>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</si>
  <si>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</si>
  <si>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Henrique Alberto Loureiro</t>
  </si>
  <si>
    <t>Reginaldo Alves</t>
  </si>
  <si>
    <t>Técnico Mecânica ATR</t>
  </si>
  <si>
    <t>Daniel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</si>
</sst>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3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0" fillId="45" borderId="2" xfId="11" applyFont="1" applyFill="1">
      <alignment horizontal="left" vertical="center" indent="2"/>
    </xf>
    <xf numFmtId="0" fontId="0" fillId="45" borderId="2" xfId="10" applyFont="1" applyFill="1">
      <alignment horizontal="center" vertical="center"/>
    </xf>
    <xf numFmtId="14" fontId="0" fillId="45" borderId="2" xfId="9" applyNumberFormat="1" applyFont="1" applyFill="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8" fontId="31" fillId="0" borderId="3" xfId="8" applyFo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9"/>
      <tableStyleElement type="headerRow" dxfId="108"/>
      <tableStyleElement type="totalRow" dxfId="107"/>
      <tableStyleElement type="firstColumn" dxfId="106"/>
      <tableStyleElement type="lastColumn" dxfId="105"/>
      <tableStyleElement type="firstRowStripe" dxfId="104"/>
      <tableStyleElement type="secondRowStripe" dxfId="103"/>
      <tableStyleElement type="firstColumnStripe" dxfId="102"/>
      <tableStyleElement type="secondColumnStripe" dxfId="101"/>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6"/>
  <sheetViews>
    <sheetView showGridLines="0" zoomScale="85" zoomScaleNormal="85" workbookViewId="0">
      <pane ySplit="1" topLeftCell="A2" activePane="bottomLeft" state="frozen"/>
      <selection pane="bottomLeft" activeCell="F23" sqref="F23"/>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453125" bestFit="1" customWidth="1"/>
    <col min="7" max="7" width="39.453125" customWidth="1"/>
    <col min="8" max="8" width="44.453125" customWidth="1"/>
    <col min="9" max="9" width="26.54296875" customWidth="1"/>
    <col min="10" max="10" width="22.54296875" style="5" customWidth="1"/>
  </cols>
  <sheetData>
    <row r="1" spans="1:10" x14ac:dyDescent="0.35">
      <c r="A1" s="88" t="s">
        <v>0</v>
      </c>
      <c r="B1" s="89" t="s">
        <v>1</v>
      </c>
      <c r="C1" s="89" t="s">
        <v>2</v>
      </c>
      <c r="D1" s="89" t="s">
        <v>3</v>
      </c>
      <c r="E1" s="90" t="s">
        <v>4</v>
      </c>
      <c r="F1" s="90" t="s">
        <v>5</v>
      </c>
      <c r="G1" s="90" t="s">
        <v>6</v>
      </c>
      <c r="H1" s="90" t="s">
        <v>7</v>
      </c>
      <c r="I1" s="153" t="s">
        <v>8</v>
      </c>
      <c r="J1" s="155" t="s">
        <v>9</v>
      </c>
    </row>
    <row r="2" spans="1:10" hidden="1" x14ac:dyDescent="0.35">
      <c r="A2" s="79" t="s">
        <v>10</v>
      </c>
      <c r="B2" s="91">
        <v>4612171</v>
      </c>
      <c r="C2" s="91" t="s">
        <v>11</v>
      </c>
      <c r="D2" s="92" t="s">
        <v>12</v>
      </c>
      <c r="E2" s="93" t="s">
        <v>13</v>
      </c>
      <c r="F2" s="93" t="s">
        <v>14</v>
      </c>
      <c r="G2" s="168" t="s">
        <v>15</v>
      </c>
      <c r="H2" s="93" t="s">
        <v>16</v>
      </c>
      <c r="I2" s="154" t="s">
        <v>17</v>
      </c>
      <c r="J2" s="156"/>
    </row>
    <row r="3" spans="1:10" hidden="1" x14ac:dyDescent="0.35">
      <c r="A3" s="79" t="s">
        <v>10</v>
      </c>
      <c r="B3" s="94">
        <v>4612050</v>
      </c>
      <c r="C3" s="94" t="s">
        <v>18</v>
      </c>
      <c r="D3" s="95" t="s">
        <v>12</v>
      </c>
      <c r="E3" s="93" t="s">
        <v>19</v>
      </c>
      <c r="F3" s="96" t="s">
        <v>14</v>
      </c>
      <c r="G3" s="169" t="s">
        <v>20</v>
      </c>
      <c r="H3" s="96" t="s">
        <v>21</v>
      </c>
      <c r="I3" s="154" t="s">
        <v>22</v>
      </c>
      <c r="J3" s="156"/>
    </row>
    <row r="4" spans="1:10" x14ac:dyDescent="0.35">
      <c r="A4" s="79" t="s">
        <v>10</v>
      </c>
      <c r="B4" s="91">
        <v>4612140</v>
      </c>
      <c r="C4" s="91" t="s">
        <v>23</v>
      </c>
      <c r="D4" s="92" t="s">
        <v>12</v>
      </c>
      <c r="E4" s="99" t="s">
        <v>24</v>
      </c>
      <c r="F4" s="93" t="s">
        <v>14</v>
      </c>
      <c r="G4" s="168" t="s">
        <v>25</v>
      </c>
      <c r="H4" s="93" t="s">
        <v>26</v>
      </c>
      <c r="I4" s="154" t="s">
        <v>17</v>
      </c>
      <c r="J4" s="156"/>
    </row>
    <row r="5" spans="1:10" hidden="1" x14ac:dyDescent="0.35">
      <c r="A5" s="79" t="s">
        <v>10</v>
      </c>
      <c r="B5" s="94">
        <v>9842940</v>
      </c>
      <c r="C5" s="94" t="s">
        <v>27</v>
      </c>
      <c r="D5" s="95" t="s">
        <v>12</v>
      </c>
      <c r="E5" s="96" t="s">
        <v>13</v>
      </c>
      <c r="F5" s="96" t="s">
        <v>14</v>
      </c>
      <c r="G5" s="169" t="s">
        <v>28</v>
      </c>
      <c r="H5" s="96" t="s">
        <v>29</v>
      </c>
      <c r="I5" s="154" t="s">
        <v>30</v>
      </c>
      <c r="J5" s="157"/>
    </row>
    <row r="6" spans="1:10" hidden="1" x14ac:dyDescent="0.35">
      <c r="A6" s="79" t="s">
        <v>31</v>
      </c>
      <c r="B6" s="91">
        <v>9886449</v>
      </c>
      <c r="C6" s="91" t="s">
        <v>32</v>
      </c>
      <c r="D6" s="92" t="s">
        <v>12</v>
      </c>
      <c r="E6" s="93" t="s">
        <v>13</v>
      </c>
      <c r="F6" s="93" t="s">
        <v>33</v>
      </c>
      <c r="G6" s="168" t="s">
        <v>34</v>
      </c>
      <c r="H6" s="93" t="s">
        <v>35</v>
      </c>
      <c r="I6" s="154" t="s">
        <v>22</v>
      </c>
      <c r="J6" s="157" t="s">
        <v>36</v>
      </c>
    </row>
    <row r="7" spans="1:10" hidden="1" x14ac:dyDescent="0.35">
      <c r="A7" s="97" t="s">
        <v>31</v>
      </c>
      <c r="B7" s="94">
        <v>4608721</v>
      </c>
      <c r="C7" s="94" t="s">
        <v>37</v>
      </c>
      <c r="D7" s="98" t="s">
        <v>12</v>
      </c>
      <c r="E7" s="99" t="s">
        <v>13</v>
      </c>
      <c r="F7" s="99" t="s">
        <v>14</v>
      </c>
      <c r="G7" s="158" t="s">
        <v>38</v>
      </c>
      <c r="H7" s="99" t="s">
        <v>39</v>
      </c>
      <c r="I7" s="154" t="s">
        <v>22</v>
      </c>
      <c r="J7" s="157"/>
    </row>
    <row r="8" spans="1:10" hidden="1" x14ac:dyDescent="0.35">
      <c r="A8" s="97" t="s">
        <v>31</v>
      </c>
      <c r="B8" s="91">
        <v>1385894</v>
      </c>
      <c r="C8" s="91" t="s">
        <v>40</v>
      </c>
      <c r="D8" s="100" t="s">
        <v>12</v>
      </c>
      <c r="E8" s="101" t="s">
        <v>13</v>
      </c>
      <c r="F8" s="101" t="s">
        <v>33</v>
      </c>
      <c r="G8" s="170" t="s">
        <v>41</v>
      </c>
      <c r="H8" s="101" t="s">
        <v>42</v>
      </c>
      <c r="I8" s="154" t="s">
        <v>22</v>
      </c>
      <c r="J8" s="157" t="s">
        <v>43</v>
      </c>
    </row>
    <row r="9" spans="1:10" hidden="1" x14ac:dyDescent="0.35">
      <c r="A9" s="97" t="s">
        <v>31</v>
      </c>
      <c r="B9" s="94">
        <v>4608685</v>
      </c>
      <c r="C9" s="94" t="s">
        <v>44</v>
      </c>
      <c r="D9" s="98" t="s">
        <v>12</v>
      </c>
      <c r="E9" s="99" t="s">
        <v>13</v>
      </c>
      <c r="F9" s="99" t="s">
        <v>14</v>
      </c>
      <c r="G9" s="158" t="s">
        <v>45</v>
      </c>
      <c r="H9" s="99" t="s">
        <v>46</v>
      </c>
      <c r="I9" s="154" t="s">
        <v>22</v>
      </c>
      <c r="J9" s="157"/>
    </row>
    <row r="10" spans="1:10" ht="43.5" hidden="1" x14ac:dyDescent="0.35">
      <c r="A10" s="97" t="s">
        <v>47</v>
      </c>
      <c r="B10" s="91">
        <v>9762281</v>
      </c>
      <c r="C10" s="91" t="s">
        <v>48</v>
      </c>
      <c r="D10" s="100" t="s">
        <v>12</v>
      </c>
      <c r="E10" s="101" t="s">
        <v>13</v>
      </c>
      <c r="F10" s="101" t="s">
        <v>33</v>
      </c>
      <c r="G10" s="170" t="s">
        <v>49</v>
      </c>
      <c r="H10" s="101" t="s">
        <v>50</v>
      </c>
      <c r="I10" s="154" t="s">
        <v>22</v>
      </c>
      <c r="J10" s="159" t="s">
        <v>51</v>
      </c>
    </row>
    <row r="11" spans="1:10" hidden="1" x14ac:dyDescent="0.35">
      <c r="A11" s="97" t="s">
        <v>47</v>
      </c>
      <c r="B11" s="94">
        <v>9683150</v>
      </c>
      <c r="C11" s="94" t="s">
        <v>52</v>
      </c>
      <c r="D11" s="98" t="s">
        <v>12</v>
      </c>
      <c r="E11" s="99" t="s">
        <v>13</v>
      </c>
      <c r="F11" s="99" t="s">
        <v>33</v>
      </c>
      <c r="G11" s="158" t="s">
        <v>53</v>
      </c>
      <c r="H11" s="99" t="s">
        <v>54</v>
      </c>
      <c r="I11" s="154" t="s">
        <v>22</v>
      </c>
      <c r="J11" s="157" t="s">
        <v>55</v>
      </c>
    </row>
    <row r="12" spans="1:10" hidden="1" x14ac:dyDescent="0.35">
      <c r="A12" s="79" t="s">
        <v>47</v>
      </c>
      <c r="B12" s="91">
        <v>2440812</v>
      </c>
      <c r="C12" s="91" t="s">
        <v>56</v>
      </c>
      <c r="D12" s="92" t="s">
        <v>57</v>
      </c>
      <c r="E12" s="93" t="s">
        <v>13</v>
      </c>
      <c r="F12" s="93" t="s">
        <v>33</v>
      </c>
      <c r="G12" s="168" t="s">
        <v>58</v>
      </c>
      <c r="H12" s="93" t="s">
        <v>59</v>
      </c>
      <c r="I12" s="154" t="s">
        <v>22</v>
      </c>
      <c r="J12" s="157"/>
    </row>
    <row r="13" spans="1:10" hidden="1" x14ac:dyDescent="0.35">
      <c r="A13" s="97" t="s">
        <v>47</v>
      </c>
      <c r="B13" s="94">
        <v>1381625</v>
      </c>
      <c r="C13" s="94" t="s">
        <v>60</v>
      </c>
      <c r="D13" s="95" t="s">
        <v>12</v>
      </c>
      <c r="E13" s="96" t="s">
        <v>13</v>
      </c>
      <c r="F13" s="96" t="s">
        <v>33</v>
      </c>
      <c r="G13" s="169" t="s">
        <v>61</v>
      </c>
      <c r="H13" s="96" t="s">
        <v>62</v>
      </c>
      <c r="I13" s="154" t="s">
        <v>22</v>
      </c>
      <c r="J13" s="157"/>
    </row>
    <row r="14" spans="1:10" hidden="1" x14ac:dyDescent="0.35">
      <c r="A14" s="79" t="s">
        <v>47</v>
      </c>
      <c r="B14" s="91">
        <v>4608389</v>
      </c>
      <c r="C14" s="91" t="s">
        <v>63</v>
      </c>
      <c r="D14" s="92" t="s">
        <v>12</v>
      </c>
      <c r="E14" s="93" t="s">
        <v>13</v>
      </c>
      <c r="F14" s="93" t="s">
        <v>14</v>
      </c>
      <c r="G14" s="168" t="s">
        <v>64</v>
      </c>
      <c r="H14" s="93" t="s">
        <v>65</v>
      </c>
      <c r="I14" s="154" t="s">
        <v>22</v>
      </c>
      <c r="J14" s="157"/>
    </row>
    <row r="15" spans="1:10" hidden="1" x14ac:dyDescent="0.35">
      <c r="A15" s="97" t="s">
        <v>10</v>
      </c>
      <c r="B15" s="94">
        <v>4608544</v>
      </c>
      <c r="C15" s="94" t="s">
        <v>66</v>
      </c>
      <c r="D15" s="95" t="s">
        <v>12</v>
      </c>
      <c r="E15" s="96" t="s">
        <v>19</v>
      </c>
      <c r="F15" s="96" t="s">
        <v>14</v>
      </c>
      <c r="G15" s="169" t="s">
        <v>67</v>
      </c>
      <c r="H15" s="96" t="s">
        <v>68</v>
      </c>
      <c r="I15" s="154" t="s">
        <v>22</v>
      </c>
      <c r="J15" s="157"/>
    </row>
    <row r="16" spans="1:10" hidden="1" x14ac:dyDescent="0.35">
      <c r="A16" s="97" t="s">
        <v>31</v>
      </c>
      <c r="B16" s="91">
        <v>4608474</v>
      </c>
      <c r="C16" s="91" t="s">
        <v>69</v>
      </c>
      <c r="D16" s="92" t="s">
        <v>12</v>
      </c>
      <c r="E16" s="93" t="s">
        <v>19</v>
      </c>
      <c r="F16" s="101" t="s">
        <v>14</v>
      </c>
      <c r="G16" s="170" t="s">
        <v>70</v>
      </c>
      <c r="H16" s="101" t="s">
        <v>71</v>
      </c>
      <c r="I16" s="154" t="s">
        <v>22</v>
      </c>
      <c r="J16" s="157"/>
    </row>
    <row r="17" spans="1:10" hidden="1" x14ac:dyDescent="0.35">
      <c r="A17" s="79" t="s">
        <v>31</v>
      </c>
      <c r="B17" s="94">
        <v>1386344</v>
      </c>
      <c r="C17" s="94" t="s">
        <v>72</v>
      </c>
      <c r="D17" s="98" t="s">
        <v>12</v>
      </c>
      <c r="E17" s="99" t="s">
        <v>19</v>
      </c>
      <c r="F17" s="99" t="s">
        <v>33</v>
      </c>
      <c r="G17" s="158" t="s">
        <v>73</v>
      </c>
      <c r="H17" s="99" t="s">
        <v>74</v>
      </c>
      <c r="I17" s="154" t="s">
        <v>22</v>
      </c>
      <c r="J17" s="157" t="s">
        <v>55</v>
      </c>
    </row>
    <row r="18" spans="1:10" hidden="1" x14ac:dyDescent="0.35">
      <c r="A18" s="79" t="s">
        <v>31</v>
      </c>
      <c r="B18" s="91">
        <v>4608684</v>
      </c>
      <c r="C18" s="91" t="s">
        <v>75</v>
      </c>
      <c r="D18" s="100" t="s">
        <v>12</v>
      </c>
      <c r="E18" s="101" t="s">
        <v>19</v>
      </c>
      <c r="F18" s="101" t="s">
        <v>14</v>
      </c>
      <c r="G18" s="170" t="s">
        <v>76</v>
      </c>
      <c r="H18" s="93" t="s">
        <v>77</v>
      </c>
      <c r="I18" s="154" t="s">
        <v>22</v>
      </c>
      <c r="J18" s="157"/>
    </row>
    <row r="19" spans="1:10" hidden="1" x14ac:dyDescent="0.35">
      <c r="A19" s="79" t="s">
        <v>47</v>
      </c>
      <c r="B19" s="94">
        <v>9612082</v>
      </c>
      <c r="C19" s="94" t="s">
        <v>78</v>
      </c>
      <c r="D19" s="98" t="s">
        <v>12</v>
      </c>
      <c r="E19" s="99" t="s">
        <v>19</v>
      </c>
      <c r="F19" s="96" t="s">
        <v>33</v>
      </c>
      <c r="G19" s="158" t="s">
        <v>79</v>
      </c>
      <c r="H19" s="99" t="s">
        <v>80</v>
      </c>
      <c r="I19" s="154" t="s">
        <v>22</v>
      </c>
      <c r="J19" s="157"/>
    </row>
    <row r="20" spans="1:10" hidden="1" x14ac:dyDescent="0.35">
      <c r="A20" s="79" t="s">
        <v>47</v>
      </c>
      <c r="B20" s="91">
        <v>9618720</v>
      </c>
      <c r="C20" s="91" t="s">
        <v>81</v>
      </c>
      <c r="D20" s="100" t="s">
        <v>12</v>
      </c>
      <c r="E20" s="101" t="s">
        <v>19</v>
      </c>
      <c r="F20" s="93" t="s">
        <v>33</v>
      </c>
      <c r="G20" s="170" t="s">
        <v>82</v>
      </c>
      <c r="H20" s="101" t="s">
        <v>83</v>
      </c>
      <c r="I20" s="154" t="s">
        <v>22</v>
      </c>
      <c r="J20" s="157" t="s">
        <v>43</v>
      </c>
    </row>
    <row r="21" spans="1:10" hidden="1" x14ac:dyDescent="0.35">
      <c r="A21" s="79" t="s">
        <v>47</v>
      </c>
      <c r="B21" s="94">
        <v>9724817</v>
      </c>
      <c r="C21" s="94" t="s">
        <v>84</v>
      </c>
      <c r="D21" s="98" t="s">
        <v>12</v>
      </c>
      <c r="E21" s="99" t="s">
        <v>19</v>
      </c>
      <c r="F21" s="96" t="s">
        <v>33</v>
      </c>
      <c r="G21" s="158" t="s">
        <v>85</v>
      </c>
      <c r="H21" s="99" t="s">
        <v>86</v>
      </c>
      <c r="I21" s="154" t="s">
        <v>22</v>
      </c>
      <c r="J21" s="157"/>
    </row>
    <row r="22" spans="1:10" hidden="1" x14ac:dyDescent="0.35">
      <c r="A22" s="79" t="s">
        <v>47</v>
      </c>
      <c r="B22" s="91">
        <v>2460800</v>
      </c>
      <c r="C22" s="91" t="s">
        <v>87</v>
      </c>
      <c r="D22" s="100" t="s">
        <v>57</v>
      </c>
      <c r="E22" s="101" t="s">
        <v>19</v>
      </c>
      <c r="F22" s="93" t="s">
        <v>33</v>
      </c>
      <c r="G22" s="168" t="s">
        <v>88</v>
      </c>
      <c r="H22" s="93" t="s">
        <v>89</v>
      </c>
      <c r="I22" s="154" t="s">
        <v>30</v>
      </c>
      <c r="J22" s="157"/>
    </row>
    <row r="23" spans="1:10" x14ac:dyDescent="0.35">
      <c r="A23" s="79" t="s">
        <v>10</v>
      </c>
      <c r="B23" s="94">
        <v>4608559</v>
      </c>
      <c r="C23" s="94" t="s">
        <v>90</v>
      </c>
      <c r="D23" s="98" t="s">
        <v>12</v>
      </c>
      <c r="E23" s="99" t="s">
        <v>24</v>
      </c>
      <c r="F23" s="99" t="s">
        <v>14</v>
      </c>
      <c r="G23" s="158" t="s">
        <v>91</v>
      </c>
      <c r="H23" s="99" t="s">
        <v>92</v>
      </c>
      <c r="I23" s="154" t="s">
        <v>22</v>
      </c>
      <c r="J23" s="156"/>
    </row>
    <row r="24" spans="1:10" x14ac:dyDescent="0.35">
      <c r="A24" s="79" t="s">
        <v>31</v>
      </c>
      <c r="B24" s="91">
        <v>4608411</v>
      </c>
      <c r="C24" s="91" t="s">
        <v>93</v>
      </c>
      <c r="D24" s="100" t="s">
        <v>12</v>
      </c>
      <c r="E24" s="101" t="s">
        <v>24</v>
      </c>
      <c r="F24" s="93" t="s">
        <v>14</v>
      </c>
      <c r="G24" s="170" t="s">
        <v>94</v>
      </c>
      <c r="H24" s="101" t="s">
        <v>95</v>
      </c>
      <c r="I24" s="154" t="s">
        <v>22</v>
      </c>
      <c r="J24" s="156"/>
    </row>
    <row r="25" spans="1:10" x14ac:dyDescent="0.35">
      <c r="A25" s="79" t="s">
        <v>31</v>
      </c>
      <c r="B25" s="94">
        <v>9634180</v>
      </c>
      <c r="C25" s="94" t="s">
        <v>96</v>
      </c>
      <c r="D25" s="95" t="s">
        <v>12</v>
      </c>
      <c r="E25" s="96" t="s">
        <v>24</v>
      </c>
      <c r="F25" s="96" t="s">
        <v>33</v>
      </c>
      <c r="G25" s="169" t="s">
        <v>97</v>
      </c>
      <c r="H25" s="96" t="s">
        <v>98</v>
      </c>
      <c r="I25" s="154" t="s">
        <v>22</v>
      </c>
      <c r="J25" s="156"/>
    </row>
    <row r="26" spans="1:10" x14ac:dyDescent="0.35">
      <c r="A26" s="79" t="s">
        <v>47</v>
      </c>
      <c r="B26" s="91">
        <v>4608780</v>
      </c>
      <c r="C26" s="91" t="s">
        <v>99</v>
      </c>
      <c r="D26" s="92" t="s">
        <v>12</v>
      </c>
      <c r="E26" s="93" t="s">
        <v>24</v>
      </c>
      <c r="F26" s="93" t="s">
        <v>14</v>
      </c>
      <c r="G26" s="168" t="s">
        <v>100</v>
      </c>
      <c r="H26" s="93" t="s">
        <v>101</v>
      </c>
      <c r="I26" s="154" t="s">
        <v>22</v>
      </c>
      <c r="J26" s="156"/>
    </row>
    <row r="27" spans="1:10" x14ac:dyDescent="0.35">
      <c r="A27" s="79" t="s">
        <v>47</v>
      </c>
      <c r="B27" s="94">
        <v>2475130</v>
      </c>
      <c r="C27" s="94" t="s">
        <v>102</v>
      </c>
      <c r="D27" s="95" t="s">
        <v>12</v>
      </c>
      <c r="E27" s="96" t="s">
        <v>24</v>
      </c>
      <c r="F27" s="96" t="s">
        <v>33</v>
      </c>
      <c r="G27" s="158" t="s">
        <v>103</v>
      </c>
      <c r="H27" s="99" t="s">
        <v>104</v>
      </c>
      <c r="I27" s="154" t="s">
        <v>30</v>
      </c>
      <c r="J27" s="157" t="s">
        <v>105</v>
      </c>
    </row>
    <row r="28" spans="1:10" x14ac:dyDescent="0.35">
      <c r="A28" s="79" t="s">
        <v>47</v>
      </c>
      <c r="B28" s="91">
        <v>2477135</v>
      </c>
      <c r="C28" s="91" t="s">
        <v>106</v>
      </c>
      <c r="D28" s="92" t="s">
        <v>12</v>
      </c>
      <c r="E28" s="93" t="s">
        <v>24</v>
      </c>
      <c r="F28" s="93" t="s">
        <v>33</v>
      </c>
      <c r="G28" s="170" t="s">
        <v>107</v>
      </c>
      <c r="H28" s="101" t="s">
        <v>108</v>
      </c>
      <c r="I28" s="154" t="s">
        <v>22</v>
      </c>
      <c r="J28" s="156"/>
    </row>
    <row r="29" spans="1:10" hidden="1" x14ac:dyDescent="0.35">
      <c r="A29" s="79" t="s">
        <v>10</v>
      </c>
      <c r="B29" s="94">
        <v>4606246</v>
      </c>
      <c r="C29" s="94" t="s">
        <v>109</v>
      </c>
      <c r="D29" s="95" t="s">
        <v>110</v>
      </c>
      <c r="E29" s="99" t="s">
        <v>111</v>
      </c>
      <c r="F29" s="96" t="s">
        <v>14</v>
      </c>
      <c r="G29" s="158" t="s">
        <v>112</v>
      </c>
      <c r="H29" s="99" t="s">
        <v>113</v>
      </c>
      <c r="I29" s="154" t="s">
        <v>22</v>
      </c>
      <c r="J29" s="157"/>
    </row>
    <row r="30" spans="1:10" hidden="1" x14ac:dyDescent="0.35">
      <c r="A30" s="79" t="s">
        <v>31</v>
      </c>
      <c r="B30" s="91">
        <v>4606308</v>
      </c>
      <c r="C30" s="91" t="s">
        <v>114</v>
      </c>
      <c r="D30" s="92" t="s">
        <v>110</v>
      </c>
      <c r="E30" s="101" t="s">
        <v>111</v>
      </c>
      <c r="F30" s="93" t="s">
        <v>14</v>
      </c>
      <c r="G30" s="170" t="s">
        <v>115</v>
      </c>
      <c r="H30" s="101" t="s">
        <v>116</v>
      </c>
      <c r="I30" s="154" t="s">
        <v>30</v>
      </c>
      <c r="J30" s="157"/>
    </row>
    <row r="31" spans="1:10" x14ac:dyDescent="0.35">
      <c r="A31" s="79" t="s">
        <v>31</v>
      </c>
      <c r="B31" s="94">
        <v>9634222</v>
      </c>
      <c r="C31" s="94" t="s">
        <v>117</v>
      </c>
      <c r="D31" s="95" t="s">
        <v>12</v>
      </c>
      <c r="E31" s="99" t="s">
        <v>24</v>
      </c>
      <c r="F31" s="96" t="s">
        <v>33</v>
      </c>
      <c r="G31" s="158" t="s">
        <v>118</v>
      </c>
      <c r="H31" s="99" t="s">
        <v>119</v>
      </c>
      <c r="I31" s="154" t="s">
        <v>22</v>
      </c>
      <c r="J31" s="157" t="s">
        <v>55</v>
      </c>
    </row>
    <row r="32" spans="1:10" hidden="1" x14ac:dyDescent="0.35">
      <c r="A32" s="79" t="s">
        <v>31</v>
      </c>
      <c r="B32" s="91">
        <v>229316</v>
      </c>
      <c r="C32" s="91" t="s">
        <v>120</v>
      </c>
      <c r="D32" s="91" t="s">
        <v>110</v>
      </c>
      <c r="E32" s="81" t="s">
        <v>111</v>
      </c>
      <c r="F32" s="81" t="s">
        <v>33</v>
      </c>
      <c r="G32" s="171" t="s">
        <v>121</v>
      </c>
      <c r="H32" s="81" t="s">
        <v>122</v>
      </c>
      <c r="I32" s="154" t="s">
        <v>22</v>
      </c>
      <c r="J32" s="157"/>
    </row>
    <row r="33" spans="1:10" hidden="1" x14ac:dyDescent="0.35">
      <c r="A33" s="79" t="s">
        <v>47</v>
      </c>
      <c r="B33" s="94">
        <v>2493288</v>
      </c>
      <c r="C33" s="94" t="s">
        <v>123</v>
      </c>
      <c r="D33" s="94" t="s">
        <v>110</v>
      </c>
      <c r="E33" s="80" t="s">
        <v>111</v>
      </c>
      <c r="F33" s="96" t="s">
        <v>33</v>
      </c>
      <c r="G33" s="172" t="s">
        <v>124</v>
      </c>
      <c r="H33" s="80" t="s">
        <v>125</v>
      </c>
      <c r="I33" s="154" t="s">
        <v>22</v>
      </c>
      <c r="J33" s="157"/>
    </row>
    <row r="34" spans="1:10" hidden="1" x14ac:dyDescent="0.35">
      <c r="A34" s="79" t="s">
        <v>47</v>
      </c>
      <c r="B34" s="91">
        <v>214272</v>
      </c>
      <c r="C34" s="91" t="s">
        <v>126</v>
      </c>
      <c r="D34" s="91" t="s">
        <v>110</v>
      </c>
      <c r="E34" s="81" t="s">
        <v>111</v>
      </c>
      <c r="F34" s="93" t="s">
        <v>33</v>
      </c>
      <c r="G34" s="171" t="s">
        <v>127</v>
      </c>
      <c r="H34" s="81" t="s">
        <v>128</v>
      </c>
      <c r="I34" s="154" t="s">
        <v>22</v>
      </c>
      <c r="J34" s="157"/>
    </row>
    <row r="35" spans="1:10" hidden="1" x14ac:dyDescent="0.35">
      <c r="A35" s="79" t="s">
        <v>47</v>
      </c>
      <c r="B35" s="94">
        <v>4606694</v>
      </c>
      <c r="C35" s="94" t="s">
        <v>129</v>
      </c>
      <c r="D35" s="95" t="s">
        <v>110</v>
      </c>
      <c r="E35" s="80" t="s">
        <v>111</v>
      </c>
      <c r="F35" s="80" t="s">
        <v>14</v>
      </c>
      <c r="G35" s="172" t="s">
        <v>130</v>
      </c>
      <c r="H35" s="80" t="s">
        <v>131</v>
      </c>
      <c r="I35" s="154" t="s">
        <v>30</v>
      </c>
      <c r="J35" s="157"/>
    </row>
    <row r="36" spans="1:10" hidden="1" x14ac:dyDescent="0.35">
      <c r="A36" s="79" t="s">
        <v>47</v>
      </c>
      <c r="B36" s="91">
        <v>2430855</v>
      </c>
      <c r="C36" s="91" t="s">
        <v>132</v>
      </c>
      <c r="D36" s="92" t="s">
        <v>12</v>
      </c>
      <c r="E36" s="81" t="s">
        <v>111</v>
      </c>
      <c r="F36" s="81" t="s">
        <v>33</v>
      </c>
      <c r="G36" s="171" t="s">
        <v>133</v>
      </c>
      <c r="H36" s="81" t="s">
        <v>134</v>
      </c>
      <c r="I36" s="154" t="s">
        <v>22</v>
      </c>
      <c r="J36" s="157"/>
    </row>
    <row r="37" spans="1:10" hidden="1" x14ac:dyDescent="0.35">
      <c r="A37" s="79" t="s">
        <v>47</v>
      </c>
      <c r="B37" s="94">
        <v>4604625</v>
      </c>
      <c r="C37" s="94" t="s">
        <v>135</v>
      </c>
      <c r="D37" s="95" t="s">
        <v>136</v>
      </c>
      <c r="E37" s="80" t="s">
        <v>111</v>
      </c>
      <c r="F37" s="80" t="s">
        <v>14</v>
      </c>
      <c r="G37" s="172" t="s">
        <v>137</v>
      </c>
      <c r="H37" s="80" t="s">
        <v>138</v>
      </c>
      <c r="I37" s="154" t="s">
        <v>22</v>
      </c>
      <c r="J37" s="157"/>
    </row>
    <row r="38" spans="1:10" hidden="1" x14ac:dyDescent="0.35">
      <c r="A38" s="79" t="s">
        <v>47</v>
      </c>
      <c r="B38" s="91">
        <v>4612098</v>
      </c>
      <c r="C38" s="91" t="s">
        <v>139</v>
      </c>
      <c r="D38" s="92" t="s">
        <v>12</v>
      </c>
      <c r="E38" s="93" t="s">
        <v>13</v>
      </c>
      <c r="F38" s="81" t="s">
        <v>14</v>
      </c>
      <c r="G38" s="171" t="s">
        <v>140</v>
      </c>
      <c r="H38" s="81" t="s">
        <v>141</v>
      </c>
      <c r="I38" s="154" t="s">
        <v>22</v>
      </c>
      <c r="J38" s="156"/>
    </row>
    <row r="39" spans="1:10" hidden="1" x14ac:dyDescent="0.35">
      <c r="A39" s="97" t="s">
        <v>47</v>
      </c>
      <c r="B39" s="94">
        <v>4612126</v>
      </c>
      <c r="C39" s="94" t="s">
        <v>142</v>
      </c>
      <c r="D39" s="95" t="s">
        <v>12</v>
      </c>
      <c r="E39" s="93" t="s">
        <v>19</v>
      </c>
      <c r="F39" s="80" t="s">
        <v>14</v>
      </c>
      <c r="G39" s="172" t="s">
        <v>143</v>
      </c>
      <c r="H39" s="80" t="s">
        <v>144</v>
      </c>
      <c r="I39" s="154" t="s">
        <v>22</v>
      </c>
      <c r="J39" s="156"/>
    </row>
    <row r="40" spans="1:10" x14ac:dyDescent="0.35">
      <c r="A40" s="79" t="s">
        <v>47</v>
      </c>
      <c r="B40" s="91">
        <v>2550195</v>
      </c>
      <c r="C40" s="91" t="s">
        <v>145</v>
      </c>
      <c r="D40" s="91" t="s">
        <v>57</v>
      </c>
      <c r="E40" s="81" t="s">
        <v>24</v>
      </c>
      <c r="F40" s="81" t="s">
        <v>33</v>
      </c>
      <c r="G40" s="171" t="s">
        <v>146</v>
      </c>
      <c r="H40" s="81" t="s">
        <v>147</v>
      </c>
      <c r="I40" s="154" t="s">
        <v>30</v>
      </c>
      <c r="J40" s="156"/>
    </row>
    <row r="41" spans="1:10" hidden="1" x14ac:dyDescent="0.35">
      <c r="A41" s="79" t="s">
        <v>47</v>
      </c>
      <c r="B41" s="94">
        <v>4613176</v>
      </c>
      <c r="C41" s="94" t="s">
        <v>148</v>
      </c>
      <c r="D41" s="95" t="s">
        <v>12</v>
      </c>
      <c r="E41" s="96" t="s">
        <v>19</v>
      </c>
      <c r="F41" s="80" t="s">
        <v>14</v>
      </c>
      <c r="G41" s="205" t="s">
        <v>149</v>
      </c>
      <c r="H41" s="80" t="s">
        <v>150</v>
      </c>
      <c r="I41" s="154"/>
      <c r="J41" s="156"/>
    </row>
    <row r="42" spans="1:10" x14ac:dyDescent="0.35">
      <c r="A42" s="79" t="s">
        <v>47</v>
      </c>
      <c r="B42" s="91">
        <v>4613186</v>
      </c>
      <c r="C42" s="91" t="s">
        <v>151</v>
      </c>
      <c r="D42" s="92" t="s">
        <v>12</v>
      </c>
      <c r="E42" s="93" t="s">
        <v>24</v>
      </c>
      <c r="F42" s="81" t="s">
        <v>14</v>
      </c>
      <c r="G42" s="206" t="s">
        <v>152</v>
      </c>
      <c r="H42" s="81" t="s">
        <v>153</v>
      </c>
      <c r="I42" s="154"/>
      <c r="J42" s="156"/>
    </row>
    <row r="43" spans="1:10" hidden="1" x14ac:dyDescent="0.35">
      <c r="A43" s="79" t="s">
        <v>31</v>
      </c>
      <c r="B43" s="94">
        <v>4612243</v>
      </c>
      <c r="C43" s="94" t="s">
        <v>154</v>
      </c>
      <c r="D43" s="95" t="s">
        <v>12</v>
      </c>
      <c r="E43" s="96" t="s">
        <v>13</v>
      </c>
      <c r="F43" s="80" t="s">
        <v>14</v>
      </c>
      <c r="G43" s="172" t="s">
        <v>155</v>
      </c>
      <c r="H43" s="80" t="s">
        <v>156</v>
      </c>
      <c r="I43" s="154" t="s">
        <v>22</v>
      </c>
      <c r="J43" s="156"/>
    </row>
    <row r="44" spans="1:10" hidden="1" x14ac:dyDescent="0.35">
      <c r="A44" s="79" t="s">
        <v>31</v>
      </c>
      <c r="B44" s="91">
        <v>4612389</v>
      </c>
      <c r="C44" s="91" t="s">
        <v>157</v>
      </c>
      <c r="D44" s="92" t="s">
        <v>12</v>
      </c>
      <c r="E44" s="96" t="s">
        <v>13</v>
      </c>
      <c r="F44" s="81" t="s">
        <v>14</v>
      </c>
      <c r="G44" s="171" t="s">
        <v>158</v>
      </c>
      <c r="H44" s="81" t="s">
        <v>159</v>
      </c>
      <c r="I44" s="154" t="s">
        <v>22</v>
      </c>
      <c r="J44" s="156"/>
    </row>
    <row r="45" spans="1:10" hidden="1" x14ac:dyDescent="0.35">
      <c r="A45" s="79" t="s">
        <v>31</v>
      </c>
      <c r="B45" s="94">
        <v>4612192</v>
      </c>
      <c r="C45" s="94" t="s">
        <v>160</v>
      </c>
      <c r="D45" s="95" t="s">
        <v>12</v>
      </c>
      <c r="E45" s="93" t="s">
        <v>19</v>
      </c>
      <c r="F45" s="80" t="s">
        <v>14</v>
      </c>
      <c r="G45" s="172" t="s">
        <v>161</v>
      </c>
      <c r="H45" s="80" t="s">
        <v>162</v>
      </c>
      <c r="I45" s="154" t="s">
        <v>30</v>
      </c>
      <c r="J45" s="156"/>
    </row>
    <row r="46" spans="1:10" x14ac:dyDescent="0.35">
      <c r="A46" s="79" t="s">
        <v>31</v>
      </c>
      <c r="B46" s="91">
        <v>4612393</v>
      </c>
      <c r="C46" s="91" t="s">
        <v>163</v>
      </c>
      <c r="D46" s="92" t="s">
        <v>12</v>
      </c>
      <c r="E46" s="99" t="s">
        <v>24</v>
      </c>
      <c r="F46" s="81" t="s">
        <v>14</v>
      </c>
      <c r="G46" s="171" t="s">
        <v>164</v>
      </c>
      <c r="H46" s="81" t="s">
        <v>165</v>
      </c>
      <c r="I46" s="154" t="s">
        <v>17</v>
      </c>
      <c r="J46" s="156"/>
    </row>
    <row r="47" spans="1:10" hidden="1" x14ac:dyDescent="0.35">
      <c r="A47" s="79" t="s">
        <v>31</v>
      </c>
      <c r="B47" s="94">
        <v>4612228</v>
      </c>
      <c r="C47" s="94" t="s">
        <v>166</v>
      </c>
      <c r="D47" s="95" t="s">
        <v>12</v>
      </c>
      <c r="E47" s="93" t="s">
        <v>19</v>
      </c>
      <c r="F47" s="80" t="s">
        <v>14</v>
      </c>
      <c r="G47" s="172" t="s">
        <v>167</v>
      </c>
      <c r="H47" s="80" t="s">
        <v>168</v>
      </c>
      <c r="I47" s="154" t="s">
        <v>22</v>
      </c>
      <c r="J47" s="156"/>
    </row>
    <row r="48" spans="1:10" x14ac:dyDescent="0.35">
      <c r="A48" s="79" t="s">
        <v>31</v>
      </c>
      <c r="B48" s="91">
        <v>4612247</v>
      </c>
      <c r="C48" s="91" t="s">
        <v>169</v>
      </c>
      <c r="D48" s="92" t="s">
        <v>12</v>
      </c>
      <c r="E48" s="99" t="s">
        <v>24</v>
      </c>
      <c r="F48" s="81" t="s">
        <v>14</v>
      </c>
      <c r="G48" s="171" t="s">
        <v>170</v>
      </c>
      <c r="H48" s="81" t="s">
        <v>171</v>
      </c>
      <c r="I48" s="154" t="s">
        <v>17</v>
      </c>
      <c r="J48" s="156"/>
    </row>
    <row r="49" spans="1:10" hidden="1" x14ac:dyDescent="0.35">
      <c r="A49" s="79" t="s">
        <v>31</v>
      </c>
      <c r="B49" s="94">
        <v>1385950</v>
      </c>
      <c r="C49" s="94" t="s">
        <v>172</v>
      </c>
      <c r="D49" s="95" t="s">
        <v>12</v>
      </c>
      <c r="E49" s="93" t="s">
        <v>19</v>
      </c>
      <c r="F49" s="80" t="s">
        <v>33</v>
      </c>
      <c r="G49" s="164" t="s">
        <v>173</v>
      </c>
      <c r="H49" s="80" t="s">
        <v>174</v>
      </c>
      <c r="I49" s="154"/>
      <c r="J49" s="156"/>
    </row>
    <row r="50" spans="1:10" hidden="1" x14ac:dyDescent="0.35">
      <c r="A50" s="79" t="s">
        <v>31</v>
      </c>
      <c r="B50" s="91">
        <v>1387328</v>
      </c>
      <c r="C50" s="91" t="s">
        <v>175</v>
      </c>
      <c r="D50" s="92" t="s">
        <v>12</v>
      </c>
      <c r="E50" s="93" t="s">
        <v>19</v>
      </c>
      <c r="F50" s="81" t="s">
        <v>33</v>
      </c>
      <c r="G50" s="165" t="s">
        <v>176</v>
      </c>
      <c r="H50" s="81" t="s">
        <v>177</v>
      </c>
      <c r="I50" s="154"/>
      <c r="J50" s="156"/>
    </row>
    <row r="51" spans="1:10" x14ac:dyDescent="0.35">
      <c r="A51" s="187" t="s">
        <v>31</v>
      </c>
      <c r="B51" s="188">
        <v>1385870</v>
      </c>
      <c r="C51" s="188" t="s">
        <v>178</v>
      </c>
      <c r="D51" s="189" t="s">
        <v>12</v>
      </c>
      <c r="E51" s="190" t="s">
        <v>24</v>
      </c>
      <c r="F51" s="191" t="s">
        <v>33</v>
      </c>
      <c r="G51" s="192" t="s">
        <v>179</v>
      </c>
      <c r="H51" s="191" t="s">
        <v>180</v>
      </c>
      <c r="I51" s="193"/>
      <c r="J51" s="194"/>
    </row>
    <row r="52" spans="1:10" x14ac:dyDescent="0.35">
      <c r="A52" s="195" t="s">
        <v>31</v>
      </c>
      <c r="B52" s="196">
        <v>1386288</v>
      </c>
      <c r="C52" s="196" t="s">
        <v>181</v>
      </c>
      <c r="D52" s="196" t="s">
        <v>12</v>
      </c>
      <c r="E52" s="197" t="s">
        <v>24</v>
      </c>
      <c r="F52" s="198" t="s">
        <v>33</v>
      </c>
      <c r="G52" s="199" t="s">
        <v>182</v>
      </c>
      <c r="H52" s="198" t="s">
        <v>183</v>
      </c>
      <c r="I52" s="157"/>
      <c r="J52" s="156"/>
    </row>
    <row r="53" spans="1:10" hidden="1" x14ac:dyDescent="0.35">
      <c r="A53" s="195" t="s">
        <v>31</v>
      </c>
      <c r="B53" s="200">
        <v>9678697</v>
      </c>
      <c r="C53" s="200" t="s">
        <v>184</v>
      </c>
      <c r="D53" s="200" t="s">
        <v>12</v>
      </c>
      <c r="E53" s="197" t="s">
        <v>13</v>
      </c>
      <c r="F53" s="197" t="s">
        <v>33</v>
      </c>
      <c r="G53" s="201" t="s">
        <v>185</v>
      </c>
      <c r="H53" s="197" t="s">
        <v>186</v>
      </c>
      <c r="I53" s="157"/>
      <c r="J53" s="156"/>
    </row>
    <row r="54" spans="1:10" hidden="1" x14ac:dyDescent="0.35">
      <c r="A54" s="195" t="s">
        <v>10</v>
      </c>
      <c r="B54" s="196">
        <v>9921954</v>
      </c>
      <c r="C54" s="196" t="s">
        <v>187</v>
      </c>
      <c r="D54" s="196" t="s">
        <v>12</v>
      </c>
      <c r="E54" s="198" t="s">
        <v>19</v>
      </c>
      <c r="F54" s="198" t="s">
        <v>33</v>
      </c>
      <c r="G54" s="199" t="s">
        <v>188</v>
      </c>
      <c r="H54" s="198" t="s">
        <v>189</v>
      </c>
      <c r="I54" s="157"/>
      <c r="J54" s="156"/>
    </row>
    <row r="55" spans="1:10" hidden="1" x14ac:dyDescent="0.35">
      <c r="A55" s="195" t="s">
        <v>10</v>
      </c>
      <c r="B55" s="200">
        <v>2448533</v>
      </c>
      <c r="C55" s="200" t="s">
        <v>190</v>
      </c>
      <c r="D55" s="200" t="s">
        <v>12</v>
      </c>
      <c r="E55" s="197" t="s">
        <v>13</v>
      </c>
      <c r="F55" s="197" t="s">
        <v>33</v>
      </c>
      <c r="G55" s="201" t="s">
        <v>191</v>
      </c>
      <c r="H55" s="197" t="s">
        <v>192</v>
      </c>
      <c r="I55" s="157"/>
      <c r="J55" s="156"/>
    </row>
    <row r="56" spans="1:10" hidden="1" x14ac:dyDescent="0.35">
      <c r="A56" s="195" t="s">
        <v>10</v>
      </c>
      <c r="B56" s="200">
        <v>4606426</v>
      </c>
      <c r="C56" s="200" t="s">
        <v>193</v>
      </c>
      <c r="D56" s="196" t="s">
        <v>110</v>
      </c>
      <c r="E56" s="197" t="s">
        <v>194</v>
      </c>
      <c r="F56" s="197"/>
      <c r="G56" s="201" t="s">
        <v>195</v>
      </c>
      <c r="H56" s="198" t="s">
        <v>196</v>
      </c>
      <c r="I56" s="156"/>
      <c r="J56" s="157"/>
    </row>
  </sheetData>
  <autoFilter ref="A1:J56" xr:uid="{CCFC853D-4B89-47CE-AA8F-BD4EA9CD1EC0}">
    <filterColumn colId="4">
      <filters>
        <filter val="P83"/>
      </filters>
    </filterColumn>
  </autoFilter>
  <phoneticPr fontId="30" type="noConversion"/>
  <conditionalFormatting sqref="A38:A56">
    <cfRule type="containsText" dxfId="100" priority="16" operator="containsText" text="ELET">
      <formula>NOT(ISERROR(SEARCH("ELET",A38)))</formula>
    </cfRule>
    <cfRule type="containsText" dxfId="99" priority="17" operator="containsText" text="INST">
      <formula>NOT(ISERROR(SEARCH("INST",A38)))</formula>
    </cfRule>
    <cfRule type="containsText" dxfId="98" priority="18" operator="containsText" text="MEC">
      <formula>NOT(ISERROR(SEARCH("MEC",A38)))</formula>
    </cfRule>
  </conditionalFormatting>
  <conditionalFormatting sqref="A56">
    <cfRule type="containsText" dxfId="97" priority="1" operator="containsText" text="ELET">
      <formula>NOT(ISERROR(SEARCH("ELET",A56)))</formula>
    </cfRule>
    <cfRule type="containsText" dxfId="96" priority="2" operator="containsText" text="INST">
      <formula>NOT(ISERROR(SEARCH("INST",A56)))</formula>
    </cfRule>
    <cfRule type="containsText" dxfId="95" priority="3" operator="containsText" text="MEC">
      <formula>NOT(ISERROR(SEARCH("MEC",A56)))</formula>
    </cfRule>
  </conditionalFormatting>
  <conditionalFormatting sqref="A1:G55 B56:G56">
    <cfRule type="containsText" dxfId="94" priority="28" operator="containsText" text="ELET">
      <formula>NOT(ISERROR(SEARCH("ELET",A1)))</formula>
    </cfRule>
    <cfRule type="containsText" dxfId="93" priority="29" operator="containsText" text="INST">
      <formula>NOT(ISERROR(SEARCH("INST",A1)))</formula>
    </cfRule>
    <cfRule type="containsText" dxfId="92" priority="30" operator="containsText" text="MEC">
      <formula>NOT(ISERROR(SEARCH("MEC",A1)))</formula>
    </cfRule>
  </conditionalFormatting>
  <conditionalFormatting sqref="D25:D31">
    <cfRule type="containsText" dxfId="91" priority="19" operator="containsText" text="ELET">
      <formula>NOT(ISERROR(SEARCH("ELET",D25)))</formula>
    </cfRule>
    <cfRule type="containsText" dxfId="90" priority="20" operator="containsText" text="INST">
      <formula>NOT(ISERROR(SEARCH("INST",D25)))</formula>
    </cfRule>
    <cfRule type="containsText" dxfId="89" priority="21" operator="containsText" text="MEC">
      <formula>NOT(ISERROR(SEARCH("MEC",D25)))</formula>
    </cfRule>
  </conditionalFormatting>
  <conditionalFormatting sqref="D35:D56">
    <cfRule type="containsText" dxfId="88" priority="13" operator="containsText" text="ELET">
      <formula>NOT(ISERROR(SEARCH("ELET",D35)))</formula>
    </cfRule>
    <cfRule type="containsText" dxfId="87" priority="14" operator="containsText" text="INST">
      <formula>NOT(ISERROR(SEARCH("INST",D35)))</formula>
    </cfRule>
    <cfRule type="containsText" dxfId="86" priority="15" operator="containsText" text="MEC">
      <formula>NOT(ISERROR(SEARCH("MEC",D35)))</formula>
    </cfRule>
  </conditionalFormatting>
  <conditionalFormatting sqref="E4">
    <cfRule type="containsText" dxfId="85" priority="7" operator="containsText" text="ELET">
      <formula>NOT(ISERROR(SEARCH("ELET",E4)))</formula>
    </cfRule>
    <cfRule type="containsText" dxfId="84" priority="8" operator="containsText" text="INST">
      <formula>NOT(ISERROR(SEARCH("INST",E4)))</formula>
    </cfRule>
    <cfRule type="containsText" dxfId="83" priority="9" operator="containsText" text="MEC">
      <formula>NOT(ISERROR(SEARCH("MEC",E4)))</formula>
    </cfRule>
  </conditionalFormatting>
  <conditionalFormatting sqref="E18:E22">
    <cfRule type="containsText" dxfId="82" priority="25" operator="containsText" text="ELET">
      <formula>NOT(ISERROR(SEARCH("ELET",E18)))</formula>
    </cfRule>
    <cfRule type="containsText" dxfId="81" priority="26" operator="containsText" text="INST">
      <formula>NOT(ISERROR(SEARCH("INST",E18)))</formula>
    </cfRule>
    <cfRule type="containsText" dxfId="80" priority="27" operator="containsText" text="MEC">
      <formula>NOT(ISERROR(SEARCH("MEC",E18)))</formula>
    </cfRule>
  </conditionalFormatting>
  <conditionalFormatting sqref="E22:E28">
    <cfRule type="containsText" dxfId="79" priority="22" operator="containsText" text="ELET">
      <formula>NOT(ISERROR(SEARCH("ELET",E22)))</formula>
    </cfRule>
    <cfRule type="containsText" dxfId="78" priority="23" operator="containsText" text="INST">
      <formula>NOT(ISERROR(SEARCH("INST",E22)))</formula>
    </cfRule>
    <cfRule type="containsText" dxfId="77" priority="24" operator="containsText" text="MEC">
      <formula>NOT(ISERROR(SEARCH("MEC",E22)))</formula>
    </cfRule>
  </conditionalFormatting>
  <conditionalFormatting sqref="E46">
    <cfRule type="containsText" dxfId="76" priority="4" operator="containsText" text="ELET">
      <formula>NOT(ISERROR(SEARCH("ELET",E46)))</formula>
    </cfRule>
    <cfRule type="containsText" dxfId="75" priority="5" operator="containsText" text="INST">
      <formula>NOT(ISERROR(SEARCH("INST",E46)))</formula>
    </cfRule>
    <cfRule type="containsText" dxfId="74" priority="6" operator="containsText" text="MEC">
      <formula>NOT(ISERROR(SEARCH("MEC",E46)))</formula>
    </cfRule>
  </conditionalFormatting>
  <conditionalFormatting sqref="E48:E56">
    <cfRule type="containsText" dxfId="73" priority="10" operator="containsText" text="ELET">
      <formula>NOT(ISERROR(SEARCH("ELET",E48)))</formula>
    </cfRule>
    <cfRule type="containsText" dxfId="72" priority="11" operator="containsText" text="INST">
      <formula>NOT(ISERROR(SEARCH("INST",E48)))</formula>
    </cfRule>
    <cfRule type="containsText" dxfId="71" priority="12" operator="containsText" text="MEC">
      <formula>NOT(ISERROR(SEARCH("MEC",E48)))</formula>
    </cfRule>
  </conditionalFormatting>
  <conditionalFormatting sqref="I1:J1">
    <cfRule type="containsText" dxfId="70" priority="61" operator="containsText" text="ELET">
      <formula>NOT(ISERROR(SEARCH("ELET",I1)))</formula>
    </cfRule>
    <cfRule type="containsText" dxfId="69" priority="62" operator="containsText" text="INST">
      <formula>NOT(ISERROR(SEARCH("INST",I1)))</formula>
    </cfRule>
    <cfRule type="containsText" dxfId="68" priority="63"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3"/>
  <sheetViews>
    <sheetView showGridLines="0" tabSelected="1" showRuler="0" zoomScale="70" zoomScaleNormal="70" zoomScalePageLayoutView="70" workbookViewId="0">
      <pane xSplit="7" ySplit="6" topLeftCell="H100" activePane="bottomRight" state="frozen"/>
      <selection pane="topRight" activeCell="H1" sqref="H1"/>
      <selection pane="bottomLeft" activeCell="A7" sqref="A7"/>
      <selection pane="bottomRight" activeCell="R120" sqref="R120"/>
    </sheetView>
  </sheetViews>
  <sheetFormatPr defaultColWidth="9.453125" defaultRowHeight="14.5" outlineLevelRow="1" x14ac:dyDescent="0.35"/>
  <cols>
    <col min="1" max="1" width="0.453125" customWidth="1"/>
    <col min="2" max="2" width="37.54296875" bestFit="1" customWidth="1"/>
    <col min="3" max="3" width="27.81640625" style="5" bestFit="1" customWidth="1"/>
    <col min="4" max="4" width="21" style="111" bestFit="1" customWidth="1"/>
    <col min="5" max="5" width="19" style="111" customWidth="1"/>
    <col min="6" max="7" width="4.453125" customWidth="1"/>
    <col min="8" max="9" width="0.453125" customWidth="1"/>
    <col min="10" max="10" width="2.54296875" bestFit="1" customWidth="1"/>
    <col min="11" max="19" width="2" bestFit="1" customWidth="1"/>
    <col min="20" max="24" width="2.54296875" bestFit="1" customWidth="1"/>
    <col min="25" max="25" width="6.81640625" bestFit="1" customWidth="1"/>
    <col min="26" max="41" width="2.54296875" bestFit="1" customWidth="1"/>
    <col min="42" max="50" width="2" bestFit="1" customWidth="1"/>
    <col min="51" max="69" width="2.54296875" bestFit="1" customWidth="1"/>
    <col min="70" max="78" width="2" bestFit="1" customWidth="1"/>
    <col min="79" max="100" width="2.54296875" bestFit="1" customWidth="1"/>
    <col min="101" max="109" width="2" bestFit="1" customWidth="1"/>
    <col min="110" max="130" width="2.54296875" bestFit="1" customWidth="1"/>
    <col min="131" max="139" width="2" bestFit="1" customWidth="1"/>
    <col min="140" max="161" width="2.54296875" bestFit="1" customWidth="1"/>
    <col min="162" max="170" width="2" bestFit="1" customWidth="1"/>
    <col min="171" max="191" width="2.54296875" bestFit="1" customWidth="1"/>
    <col min="192" max="200" width="2" bestFit="1" customWidth="1"/>
    <col min="201" max="222" width="2.54296875" bestFit="1" customWidth="1"/>
    <col min="223" max="231" width="2" bestFit="1" customWidth="1"/>
    <col min="232" max="253" width="2.54296875" bestFit="1" customWidth="1"/>
    <col min="254" max="262" width="2" bestFit="1" customWidth="1"/>
    <col min="263" max="283" width="2.54296875" bestFit="1" customWidth="1"/>
    <col min="284" max="292" width="2" bestFit="1" customWidth="1"/>
    <col min="293" max="314" width="2.54296875" bestFit="1" customWidth="1"/>
    <col min="315" max="323" width="2" bestFit="1" customWidth="1"/>
    <col min="324" max="617" width="2.54296875" bestFit="1" customWidth="1"/>
  </cols>
  <sheetData>
    <row r="1" spans="1:617" ht="9.65" customHeight="1" x14ac:dyDescent="0.65">
      <c r="A1" s="34" t="s">
        <v>197</v>
      </c>
      <c r="B1" s="37" t="s">
        <v>198</v>
      </c>
      <c r="C1" s="134"/>
      <c r="D1" s="110"/>
      <c r="E1" s="110"/>
      <c r="G1" s="2"/>
      <c r="H1" s="51"/>
      <c r="I1" s="51"/>
      <c r="BT1" s="214" t="s">
        <v>199</v>
      </c>
      <c r="BU1" s="214"/>
      <c r="BV1" s="214"/>
      <c r="CQ1" s="212"/>
      <c r="CR1" s="212"/>
      <c r="CX1" s="211"/>
      <c r="CY1" s="211"/>
      <c r="EK1" s="212"/>
    </row>
    <row r="2" spans="1:617" ht="9.65" customHeight="1" x14ac:dyDescent="0.45">
      <c r="A2" s="33" t="s">
        <v>200</v>
      </c>
      <c r="B2" s="38"/>
      <c r="BT2" s="214"/>
      <c r="BU2" s="214"/>
      <c r="BV2" s="214"/>
      <c r="CQ2" s="212"/>
      <c r="CR2" s="212"/>
      <c r="CX2" s="211"/>
      <c r="CY2" s="211"/>
      <c r="EK2" s="212"/>
    </row>
    <row r="3" spans="1:617" ht="9.65" customHeight="1" x14ac:dyDescent="0.35">
      <c r="A3" s="33" t="s">
        <v>201</v>
      </c>
      <c r="B3" s="70" t="s">
        <v>202</v>
      </c>
      <c r="C3" s="135">
        <f>Início_do_projeto+660</f>
        <v>46318</v>
      </c>
      <c r="D3" s="112" t="s">
        <v>203</v>
      </c>
      <c r="E3" s="215">
        <v>45658</v>
      </c>
      <c r="F3" s="215"/>
      <c r="BT3" s="214"/>
      <c r="BU3" s="214"/>
      <c r="BV3" s="214"/>
      <c r="CQ3" s="212"/>
      <c r="CR3" s="212"/>
      <c r="CX3" s="211"/>
      <c r="CY3" s="211"/>
      <c r="EK3" s="212"/>
    </row>
    <row r="4" spans="1:617" ht="9.65" customHeight="1" x14ac:dyDescent="0.35">
      <c r="A4" s="34" t="s">
        <v>204</v>
      </c>
      <c r="D4" s="113" t="s">
        <v>205</v>
      </c>
      <c r="F4" s="7">
        <v>1</v>
      </c>
      <c r="H4" s="207">
        <f>H5</f>
        <v>45656</v>
      </c>
      <c r="I4" s="208"/>
      <c r="J4" s="208"/>
      <c r="K4" s="208"/>
      <c r="L4" s="208"/>
      <c r="M4" s="208"/>
      <c r="N4" s="208"/>
      <c r="O4" s="209"/>
      <c r="P4" s="207">
        <f>P5</f>
        <v>45663</v>
      </c>
      <c r="Q4" s="208"/>
      <c r="R4" s="208"/>
      <c r="S4" s="208"/>
      <c r="T4" s="208"/>
      <c r="U4" s="208"/>
      <c r="V4" s="209"/>
      <c r="W4" s="207">
        <f>W5</f>
        <v>45670</v>
      </c>
      <c r="X4" s="208"/>
      <c r="Y4" s="208"/>
      <c r="Z4" s="208"/>
      <c r="AA4" s="208"/>
      <c r="AB4" s="208"/>
      <c r="AC4" s="209"/>
      <c r="AD4" s="207">
        <f>AD5</f>
        <v>45677</v>
      </c>
      <c r="AE4" s="208"/>
      <c r="AF4" s="208"/>
      <c r="AG4" s="208"/>
      <c r="AH4" s="208"/>
      <c r="AI4" s="208"/>
      <c r="AJ4" s="209"/>
      <c r="AK4" s="207">
        <f>AK5</f>
        <v>45684</v>
      </c>
      <c r="AL4" s="208"/>
      <c r="AM4" s="208"/>
      <c r="AN4" s="208"/>
      <c r="AO4" s="208"/>
      <c r="AP4" s="208"/>
      <c r="AQ4" s="209"/>
      <c r="AR4" s="207">
        <f>AR5</f>
        <v>45691</v>
      </c>
      <c r="AS4" s="208"/>
      <c r="AT4" s="208"/>
      <c r="AU4" s="208"/>
      <c r="AV4" s="208"/>
      <c r="AW4" s="208"/>
      <c r="AX4" s="209"/>
      <c r="AY4" s="207">
        <f>AY5</f>
        <v>45698</v>
      </c>
      <c r="AZ4" s="208"/>
      <c r="BA4" s="208"/>
      <c r="BB4" s="208"/>
      <c r="BC4" s="208"/>
      <c r="BD4" s="208"/>
      <c r="BE4" s="209"/>
      <c r="BF4" s="207">
        <f>BF5</f>
        <v>45705</v>
      </c>
      <c r="BG4" s="208"/>
      <c r="BH4" s="208"/>
      <c r="BI4" s="208"/>
      <c r="BJ4" s="208"/>
      <c r="BK4" s="208"/>
      <c r="BL4" s="209"/>
      <c r="BM4" s="207">
        <f>BM5</f>
        <v>45712</v>
      </c>
      <c r="BN4" s="208"/>
      <c r="BO4" s="208"/>
      <c r="BP4" s="208"/>
      <c r="BQ4" s="208"/>
      <c r="BR4" s="208"/>
      <c r="BS4" s="209"/>
      <c r="BT4" s="207">
        <f>BT5</f>
        <v>45719</v>
      </c>
      <c r="BU4" s="208"/>
      <c r="BV4" s="208"/>
      <c r="BW4" s="208"/>
      <c r="BX4" s="208"/>
      <c r="BY4" s="208"/>
      <c r="BZ4" s="209"/>
      <c r="CA4" s="207">
        <f>CA5</f>
        <v>45726</v>
      </c>
      <c r="CB4" s="208"/>
      <c r="CC4" s="208"/>
      <c r="CD4" s="208"/>
      <c r="CE4" s="208"/>
      <c r="CF4" s="208"/>
      <c r="CG4" s="209"/>
      <c r="CH4" s="207">
        <f>CH5</f>
        <v>45733</v>
      </c>
      <c r="CI4" s="208"/>
      <c r="CJ4" s="208"/>
      <c r="CK4" s="208"/>
      <c r="CL4" s="208"/>
      <c r="CM4" s="208"/>
      <c r="CN4" s="209"/>
      <c r="CO4" s="207">
        <f>CO5</f>
        <v>45740</v>
      </c>
      <c r="CP4" s="208"/>
      <c r="CQ4" s="208"/>
      <c r="CR4" s="208"/>
      <c r="CS4" s="208"/>
      <c r="CT4" s="208"/>
      <c r="CU4" s="209"/>
      <c r="CV4" s="207">
        <f>CV5</f>
        <v>45747</v>
      </c>
      <c r="CW4" s="208"/>
      <c r="CX4" s="208"/>
      <c r="CY4" s="208"/>
      <c r="CZ4" s="208"/>
      <c r="DA4" s="208"/>
      <c r="DB4" s="209"/>
      <c r="DC4" s="207">
        <f>DC5</f>
        <v>45754</v>
      </c>
      <c r="DD4" s="208"/>
      <c r="DE4" s="208"/>
      <c r="DF4" s="208"/>
      <c r="DG4" s="208"/>
      <c r="DH4" s="208"/>
      <c r="DI4" s="209"/>
      <c r="DJ4" s="207">
        <f>DJ5</f>
        <v>45761</v>
      </c>
      <c r="DK4" s="208"/>
      <c r="DL4" s="208"/>
      <c r="DM4" s="208"/>
      <c r="DN4" s="208"/>
      <c r="DO4" s="208"/>
      <c r="DP4" s="209"/>
      <c r="DQ4" s="207">
        <f>DQ5</f>
        <v>45768</v>
      </c>
      <c r="DR4" s="208"/>
      <c r="DS4" s="208"/>
      <c r="DT4" s="208"/>
      <c r="DU4" s="208"/>
      <c r="DV4" s="208"/>
      <c r="DW4" s="209"/>
      <c r="DX4" s="207">
        <f>DX5</f>
        <v>45775</v>
      </c>
      <c r="DY4" s="208"/>
      <c r="DZ4" s="208"/>
      <c r="EA4" s="208"/>
      <c r="EB4" s="208"/>
      <c r="EC4" s="208"/>
      <c r="ED4" s="209"/>
      <c r="EE4" s="207">
        <f t="shared" ref="EE4" si="0">EE5</f>
        <v>45782</v>
      </c>
      <c r="EF4" s="208"/>
      <c r="EG4" s="208"/>
      <c r="EH4" s="208"/>
      <c r="EI4" s="208"/>
      <c r="EJ4" s="208"/>
      <c r="EK4" s="209"/>
      <c r="EL4" s="207">
        <f t="shared" ref="EL4" si="1">EL5</f>
        <v>45789</v>
      </c>
      <c r="EM4" s="208"/>
      <c r="EN4" s="208"/>
      <c r="EO4" s="208"/>
      <c r="EP4" s="208"/>
      <c r="EQ4" s="208"/>
      <c r="ER4" s="209"/>
      <c r="ES4" s="207">
        <f t="shared" ref="ES4" si="2">ES5</f>
        <v>45796</v>
      </c>
      <c r="ET4" s="208"/>
      <c r="EU4" s="208"/>
      <c r="EV4" s="208"/>
      <c r="EW4" s="208"/>
      <c r="EX4" s="208"/>
      <c r="EY4" s="209"/>
      <c r="EZ4" s="207">
        <f t="shared" ref="EZ4" si="3">EZ5</f>
        <v>45803</v>
      </c>
      <c r="FA4" s="208"/>
      <c r="FB4" s="208"/>
      <c r="FC4" s="208"/>
      <c r="FD4" s="208"/>
      <c r="FE4" s="208"/>
      <c r="FF4" s="209"/>
      <c r="FG4" s="207">
        <f t="shared" ref="FG4" si="4">FG5</f>
        <v>45810</v>
      </c>
      <c r="FH4" s="208"/>
      <c r="FI4" s="208"/>
      <c r="FJ4" s="208"/>
      <c r="FK4" s="208"/>
      <c r="FL4" s="208"/>
      <c r="FM4" s="209"/>
      <c r="FN4" s="207">
        <f t="shared" ref="FN4" si="5">FN5</f>
        <v>45817</v>
      </c>
      <c r="FO4" s="208"/>
      <c r="FP4" s="208"/>
      <c r="FQ4" s="208"/>
      <c r="FR4" s="208"/>
      <c r="FS4" s="208"/>
      <c r="FT4" s="209"/>
      <c r="FU4" s="207">
        <f t="shared" ref="FU4" si="6">FU5</f>
        <v>45824</v>
      </c>
      <c r="FV4" s="208"/>
      <c r="FW4" s="208"/>
      <c r="FX4" s="208"/>
      <c r="FY4" s="208"/>
      <c r="FZ4" s="208"/>
      <c r="GA4" s="209"/>
      <c r="GB4" s="207">
        <f t="shared" ref="GB4" si="7">GB5</f>
        <v>45831</v>
      </c>
      <c r="GC4" s="208"/>
      <c r="GD4" s="208"/>
      <c r="GE4" s="208"/>
      <c r="GF4" s="208"/>
      <c r="GG4" s="208"/>
      <c r="GH4" s="209"/>
      <c r="GI4" s="207">
        <f t="shared" ref="GI4" si="8">GI5</f>
        <v>45838</v>
      </c>
      <c r="GJ4" s="208"/>
      <c r="GK4" s="208"/>
      <c r="GL4" s="208"/>
      <c r="GM4" s="208"/>
      <c r="GN4" s="208"/>
      <c r="GO4" s="209"/>
      <c r="GP4" s="207">
        <f t="shared" ref="GP4" si="9">GP5</f>
        <v>45845</v>
      </c>
      <c r="GQ4" s="208"/>
      <c r="GR4" s="208"/>
      <c r="GS4" s="208"/>
      <c r="GT4" s="208"/>
      <c r="GU4" s="208"/>
      <c r="GV4" s="209"/>
      <c r="GW4" s="207">
        <f t="shared" ref="GW4" si="10">GW5</f>
        <v>45852</v>
      </c>
      <c r="GX4" s="208"/>
      <c r="GY4" s="208"/>
      <c r="GZ4" s="208"/>
      <c r="HA4" s="208"/>
      <c r="HB4" s="208"/>
      <c r="HC4" s="209"/>
      <c r="HD4" s="207">
        <f t="shared" ref="HD4" si="11">HD5</f>
        <v>45859</v>
      </c>
      <c r="HE4" s="208"/>
      <c r="HF4" s="208"/>
      <c r="HG4" s="208"/>
      <c r="HH4" s="208"/>
      <c r="HI4" s="208"/>
      <c r="HJ4" s="209"/>
      <c r="HK4" s="207">
        <f t="shared" ref="HK4" si="12">HK5</f>
        <v>45866</v>
      </c>
      <c r="HL4" s="208"/>
      <c r="HM4" s="208"/>
      <c r="HN4" s="208"/>
      <c r="HO4" s="208"/>
      <c r="HP4" s="208"/>
      <c r="HQ4" s="209"/>
      <c r="HR4" s="207">
        <f t="shared" ref="HR4" si="13">HR5</f>
        <v>45873</v>
      </c>
      <c r="HS4" s="208"/>
      <c r="HT4" s="208"/>
      <c r="HU4" s="208"/>
      <c r="HV4" s="208"/>
      <c r="HW4" s="208"/>
      <c r="HX4" s="209"/>
      <c r="HY4" s="207">
        <f t="shared" ref="HY4" si="14">HY5</f>
        <v>45880</v>
      </c>
      <c r="HZ4" s="208"/>
      <c r="IA4" s="208"/>
      <c r="IB4" s="208"/>
      <c r="IC4" s="208"/>
      <c r="ID4" s="208"/>
      <c r="IE4" s="209"/>
      <c r="IF4" s="207">
        <f t="shared" ref="IF4" si="15">IF5</f>
        <v>45887</v>
      </c>
      <c r="IG4" s="208"/>
      <c r="IH4" s="208"/>
      <c r="II4" s="208"/>
      <c r="IJ4" s="208"/>
      <c r="IK4" s="208"/>
      <c r="IL4" s="209"/>
      <c r="IM4" s="207">
        <f t="shared" ref="IM4" si="16">IM5</f>
        <v>45894</v>
      </c>
      <c r="IN4" s="208"/>
      <c r="IO4" s="208"/>
      <c r="IP4" s="208"/>
      <c r="IQ4" s="208"/>
      <c r="IR4" s="208"/>
      <c r="IS4" s="209"/>
      <c r="IT4" s="207">
        <f t="shared" ref="IT4" si="17">IT5</f>
        <v>45901</v>
      </c>
      <c r="IU4" s="208"/>
      <c r="IV4" s="208"/>
      <c r="IW4" s="208"/>
      <c r="IX4" s="208"/>
      <c r="IY4" s="208"/>
      <c r="IZ4" s="209"/>
      <c r="JA4" s="207">
        <f t="shared" ref="JA4" si="18">JA5</f>
        <v>45908</v>
      </c>
      <c r="JB4" s="208"/>
      <c r="JC4" s="208"/>
      <c r="JD4" s="208"/>
      <c r="JE4" s="208"/>
      <c r="JF4" s="208"/>
      <c r="JG4" s="209"/>
      <c r="JH4" s="207">
        <f t="shared" ref="JH4" si="19">JH5</f>
        <v>45915</v>
      </c>
      <c r="JI4" s="208"/>
      <c r="JJ4" s="208"/>
      <c r="JK4" s="208"/>
      <c r="JL4" s="208"/>
      <c r="JM4" s="208"/>
      <c r="JN4" s="209"/>
      <c r="JO4" s="207">
        <f t="shared" ref="JO4" si="20">JO5</f>
        <v>45922</v>
      </c>
      <c r="JP4" s="208"/>
      <c r="JQ4" s="208"/>
      <c r="JR4" s="208"/>
      <c r="JS4" s="208"/>
      <c r="JT4" s="208"/>
      <c r="JU4" s="209"/>
      <c r="JV4" s="207">
        <f t="shared" ref="JV4" si="21">JV5</f>
        <v>45929</v>
      </c>
      <c r="JW4" s="208"/>
      <c r="JX4" s="208"/>
      <c r="JY4" s="208"/>
      <c r="JZ4" s="208"/>
      <c r="KA4" s="208"/>
      <c r="KB4" s="209"/>
      <c r="KC4" s="207">
        <f t="shared" ref="KC4" si="22">KC5</f>
        <v>45936</v>
      </c>
      <c r="KD4" s="208"/>
      <c r="KE4" s="208"/>
      <c r="KF4" s="208"/>
      <c r="KG4" s="208"/>
      <c r="KH4" s="208"/>
      <c r="KI4" s="209"/>
      <c r="KJ4" s="207">
        <f t="shared" ref="KJ4" si="23">KJ5</f>
        <v>45943</v>
      </c>
      <c r="KK4" s="208"/>
      <c r="KL4" s="208"/>
      <c r="KM4" s="208"/>
      <c r="KN4" s="208"/>
      <c r="KO4" s="208"/>
      <c r="KP4" s="209"/>
      <c r="KQ4" s="207">
        <f t="shared" ref="KQ4" si="24">KQ5</f>
        <v>45950</v>
      </c>
      <c r="KR4" s="208"/>
      <c r="KS4" s="208"/>
      <c r="KT4" s="208"/>
      <c r="KU4" s="208"/>
      <c r="KV4" s="208"/>
      <c r="KW4" s="209"/>
      <c r="KX4" s="207">
        <f t="shared" ref="KX4" si="25">KX5</f>
        <v>45957</v>
      </c>
      <c r="KY4" s="208"/>
      <c r="KZ4" s="208"/>
      <c r="LA4" s="208"/>
      <c r="LB4" s="208"/>
      <c r="LC4" s="208"/>
      <c r="LD4" s="209"/>
      <c r="LE4" s="207">
        <f t="shared" ref="LE4" si="26">LE5</f>
        <v>45964</v>
      </c>
      <c r="LF4" s="208"/>
      <c r="LG4" s="208"/>
      <c r="LH4" s="208"/>
      <c r="LI4" s="208"/>
      <c r="LJ4" s="208"/>
      <c r="LK4" s="209"/>
      <c r="LL4" s="207">
        <f t="shared" ref="LL4" si="27">LL5</f>
        <v>45971</v>
      </c>
      <c r="LM4" s="208"/>
      <c r="LN4" s="208"/>
      <c r="LO4" s="208"/>
      <c r="LP4" s="208"/>
      <c r="LQ4" s="208"/>
      <c r="LR4" s="209"/>
      <c r="LS4" s="207">
        <f t="shared" ref="LS4" si="28">LS5</f>
        <v>45978</v>
      </c>
      <c r="LT4" s="207"/>
      <c r="LU4" s="207"/>
      <c r="LV4" s="207"/>
      <c r="LW4" s="207"/>
      <c r="LX4" s="207"/>
      <c r="LY4" s="207"/>
      <c r="LZ4" s="207">
        <f t="shared" ref="LZ4" si="29">LZ5</f>
        <v>45985</v>
      </c>
      <c r="MA4" s="208"/>
      <c r="MB4" s="208"/>
      <c r="MC4" s="208"/>
      <c r="MD4" s="208"/>
      <c r="ME4" s="208"/>
      <c r="MF4" s="209"/>
      <c r="MG4" s="207">
        <f t="shared" ref="MG4" si="30">MG5</f>
        <v>45992</v>
      </c>
      <c r="MH4" s="208"/>
      <c r="MI4" s="208"/>
      <c r="MJ4" s="208"/>
      <c r="MK4" s="208"/>
      <c r="ML4" s="208"/>
      <c r="MM4" s="209"/>
      <c r="MN4" s="207">
        <f t="shared" ref="MN4:OY4" si="31">MN5</f>
        <v>45999</v>
      </c>
      <c r="MO4" s="208"/>
      <c r="MP4" s="208"/>
      <c r="MQ4" s="208"/>
      <c r="MR4" s="208"/>
      <c r="MS4" s="208"/>
      <c r="MT4" s="209"/>
      <c r="MU4" s="207">
        <f t="shared" si="31"/>
        <v>46006</v>
      </c>
      <c r="MV4" s="208"/>
      <c r="MW4" s="208"/>
      <c r="MX4" s="208"/>
      <c r="MY4" s="208"/>
      <c r="MZ4" s="208"/>
      <c r="NA4" s="209"/>
      <c r="NB4" s="207">
        <f t="shared" si="31"/>
        <v>46013</v>
      </c>
      <c r="NC4" s="208"/>
      <c r="ND4" s="208"/>
      <c r="NE4" s="208"/>
      <c r="NF4" s="208"/>
      <c r="NG4" s="208"/>
      <c r="NH4" s="209"/>
      <c r="NI4" s="207">
        <f t="shared" si="31"/>
        <v>46020</v>
      </c>
      <c r="NJ4" s="208"/>
      <c r="NK4" s="208"/>
      <c r="NL4" s="208"/>
      <c r="NM4" s="208"/>
      <c r="NN4" s="208"/>
      <c r="NO4" s="209"/>
      <c r="NP4" s="207">
        <f t="shared" si="31"/>
        <v>46027</v>
      </c>
      <c r="NQ4" s="208"/>
      <c r="NR4" s="208"/>
      <c r="NS4" s="208"/>
      <c r="NT4" s="208"/>
      <c r="NU4" s="208"/>
      <c r="NV4" s="209"/>
      <c r="NW4" s="183">
        <f t="shared" si="31"/>
        <v>46034</v>
      </c>
      <c r="NX4" s="184"/>
      <c r="NY4" s="184"/>
      <c r="NZ4" s="184"/>
      <c r="OA4" s="184"/>
      <c r="OB4" s="207"/>
      <c r="OC4" s="208"/>
      <c r="OD4" s="208">
        <f t="shared" si="31"/>
        <v>46041</v>
      </c>
      <c r="OE4" s="208"/>
      <c r="OF4" s="208"/>
      <c r="OG4" s="208"/>
      <c r="OH4" s="209"/>
      <c r="OI4" s="184"/>
      <c r="OJ4" s="185"/>
      <c r="OK4" s="183">
        <f t="shared" si="31"/>
        <v>46048</v>
      </c>
      <c r="OL4" s="184"/>
      <c r="OM4" s="184"/>
      <c r="ON4" s="207"/>
      <c r="OO4" s="208"/>
      <c r="OP4" s="208"/>
      <c r="OQ4" s="208"/>
      <c r="OR4" s="208">
        <f t="shared" si="31"/>
        <v>46055</v>
      </c>
      <c r="OS4" s="208"/>
      <c r="OT4" s="209"/>
      <c r="OU4" s="184"/>
      <c r="OV4" s="184"/>
      <c r="OW4" s="184"/>
      <c r="OX4" s="185"/>
      <c r="OY4" s="183">
        <f t="shared" si="31"/>
        <v>46062</v>
      </c>
      <c r="OZ4" s="207"/>
      <c r="PA4" s="208"/>
      <c r="PB4" s="208"/>
      <c r="PC4" s="208"/>
      <c r="PD4" s="208"/>
      <c r="PE4" s="208"/>
      <c r="PF4" s="209">
        <f t="shared" ref="PF4:RQ4" si="32">PF5</f>
        <v>46069</v>
      </c>
      <c r="PG4" s="184"/>
      <c r="PH4" s="184"/>
      <c r="PI4" s="184"/>
      <c r="PJ4" s="184"/>
      <c r="PK4" s="184"/>
      <c r="PL4" s="207"/>
      <c r="PM4" s="208">
        <f t="shared" si="32"/>
        <v>46076</v>
      </c>
      <c r="PN4" s="208"/>
      <c r="PO4" s="208"/>
      <c r="PP4" s="208"/>
      <c r="PQ4" s="208"/>
      <c r="PR4" s="209"/>
      <c r="PS4" s="185"/>
      <c r="PT4" s="183">
        <f t="shared" si="32"/>
        <v>46083</v>
      </c>
      <c r="PU4" s="184"/>
      <c r="PV4" s="184"/>
      <c r="PW4" s="184"/>
      <c r="PX4" s="207"/>
      <c r="PY4" s="208"/>
      <c r="PZ4" s="208"/>
      <c r="QA4" s="208">
        <f t="shared" si="32"/>
        <v>46090</v>
      </c>
      <c r="QB4" s="208"/>
      <c r="QC4" s="208"/>
      <c r="QD4" s="209"/>
      <c r="QE4" s="184"/>
      <c r="QF4" s="184"/>
      <c r="QG4" s="185"/>
      <c r="QH4" s="183">
        <f t="shared" si="32"/>
        <v>46097</v>
      </c>
      <c r="QI4" s="184"/>
      <c r="QJ4" s="207"/>
      <c r="QK4" s="208"/>
      <c r="QL4" s="208"/>
      <c r="QM4" s="208"/>
      <c r="QN4" s="208"/>
      <c r="QO4" s="208">
        <f t="shared" si="32"/>
        <v>46104</v>
      </c>
      <c r="QP4" s="209"/>
      <c r="QQ4" s="184"/>
      <c r="QR4" s="184"/>
      <c r="QS4" s="184"/>
      <c r="QT4" s="184"/>
      <c r="QU4" s="185"/>
      <c r="QV4" s="207">
        <f t="shared" si="32"/>
        <v>46111</v>
      </c>
      <c r="QW4" s="208"/>
      <c r="QX4" s="208"/>
      <c r="QY4" s="208"/>
      <c r="QZ4" s="208"/>
      <c r="RA4" s="208"/>
      <c r="RB4" s="209"/>
      <c r="RC4" s="183">
        <f t="shared" si="32"/>
        <v>46118</v>
      </c>
      <c r="RD4" s="184"/>
      <c r="RE4" s="184"/>
      <c r="RF4" s="184"/>
      <c r="RG4" s="184"/>
      <c r="RH4" s="207"/>
      <c r="RI4" s="208"/>
      <c r="RJ4" s="208">
        <f t="shared" si="32"/>
        <v>46125</v>
      </c>
      <c r="RK4" s="208"/>
      <c r="RL4" s="208"/>
      <c r="RM4" s="208"/>
      <c r="RN4" s="209"/>
      <c r="RO4" s="184"/>
      <c r="RP4" s="185"/>
      <c r="RQ4" s="183">
        <f t="shared" si="32"/>
        <v>46132</v>
      </c>
      <c r="RR4" s="184"/>
      <c r="RS4" s="184"/>
      <c r="RT4" s="207"/>
      <c r="RU4" s="208"/>
      <c r="RV4" s="208"/>
      <c r="RW4" s="208"/>
      <c r="RX4" s="208">
        <f t="shared" ref="RX4:UI4" si="33">RX5</f>
        <v>46139</v>
      </c>
      <c r="RY4" s="208"/>
      <c r="RZ4" s="209"/>
      <c r="SA4" s="184"/>
      <c r="SB4" s="184"/>
      <c r="SC4" s="184"/>
      <c r="SD4" s="185"/>
      <c r="SE4" s="183">
        <f t="shared" si="33"/>
        <v>46146</v>
      </c>
      <c r="SF4" s="207"/>
      <c r="SG4" s="208"/>
      <c r="SH4" s="208"/>
      <c r="SI4" s="208"/>
      <c r="SJ4" s="208"/>
      <c r="SK4" s="208"/>
      <c r="SL4" s="209">
        <f t="shared" si="33"/>
        <v>46153</v>
      </c>
      <c r="SM4" s="184"/>
      <c r="SN4" s="184"/>
      <c r="SO4" s="184"/>
      <c r="SP4" s="184"/>
      <c r="SQ4" s="184"/>
      <c r="SR4" s="207"/>
      <c r="SS4" s="208">
        <f t="shared" si="33"/>
        <v>46160</v>
      </c>
      <c r="ST4" s="208"/>
      <c r="SU4" s="208"/>
      <c r="SV4" s="208"/>
      <c r="SW4" s="208"/>
      <c r="SX4" s="209"/>
      <c r="SY4" s="185"/>
      <c r="SZ4" s="183">
        <f t="shared" si="33"/>
        <v>46167</v>
      </c>
      <c r="TA4" s="184"/>
      <c r="TB4" s="184"/>
      <c r="TC4" s="184"/>
      <c r="TD4" s="207"/>
      <c r="TE4" s="208"/>
      <c r="TF4" s="208"/>
      <c r="TG4" s="208">
        <f t="shared" si="33"/>
        <v>46174</v>
      </c>
      <c r="TH4" s="208"/>
      <c r="TI4" s="208"/>
      <c r="TJ4" s="209"/>
      <c r="TK4" s="184"/>
      <c r="TL4" s="184"/>
      <c r="TM4" s="185"/>
      <c r="TN4" s="183">
        <f t="shared" si="33"/>
        <v>46181</v>
      </c>
      <c r="TO4" s="184"/>
      <c r="TP4" s="207"/>
      <c r="TQ4" s="208"/>
      <c r="TR4" s="208"/>
      <c r="TS4" s="208"/>
      <c r="TT4" s="208"/>
      <c r="TU4" s="208">
        <f t="shared" si="33"/>
        <v>46188</v>
      </c>
      <c r="TV4" s="209"/>
      <c r="TW4" s="184"/>
      <c r="TX4" s="184"/>
      <c r="TY4" s="184"/>
      <c r="TZ4" s="184"/>
      <c r="UA4" s="185"/>
      <c r="UB4" s="207">
        <f t="shared" si="33"/>
        <v>46195</v>
      </c>
      <c r="UC4" s="208"/>
      <c r="UD4" s="208"/>
      <c r="UE4" s="208"/>
      <c r="UF4" s="208"/>
      <c r="UG4" s="208"/>
      <c r="UH4" s="209"/>
      <c r="UI4" s="183">
        <f t="shared" si="33"/>
        <v>46202</v>
      </c>
      <c r="UJ4" s="184"/>
      <c r="UK4" s="184"/>
      <c r="UL4" s="184"/>
      <c r="UM4" s="184"/>
      <c r="UN4" s="207"/>
      <c r="UO4" s="208"/>
      <c r="UP4" s="208">
        <f t="shared" ref="UP4:WM4" si="34">UP5</f>
        <v>46209</v>
      </c>
      <c r="UQ4" s="208"/>
      <c r="UR4" s="208"/>
      <c r="US4" s="208"/>
      <c r="UT4" s="209"/>
      <c r="UU4" s="184"/>
      <c r="UV4" s="185"/>
      <c r="UW4" s="183">
        <f t="shared" si="34"/>
        <v>46216</v>
      </c>
      <c r="UX4" s="184"/>
      <c r="UY4" s="184"/>
      <c r="UZ4" s="207"/>
      <c r="VA4" s="208"/>
      <c r="VB4" s="208"/>
      <c r="VC4" s="208"/>
      <c r="VD4" s="208">
        <f t="shared" si="34"/>
        <v>46223</v>
      </c>
      <c r="VE4" s="208"/>
      <c r="VF4" s="209"/>
      <c r="VG4" s="184"/>
      <c r="VH4" s="184"/>
      <c r="VI4" s="184"/>
      <c r="VJ4" s="185"/>
      <c r="VK4" s="183">
        <f t="shared" si="34"/>
        <v>46230</v>
      </c>
      <c r="VL4" s="207"/>
      <c r="VM4" s="208"/>
      <c r="VN4" s="208"/>
      <c r="VO4" s="208"/>
      <c r="VP4" s="208"/>
      <c r="VQ4" s="208"/>
      <c r="VR4" s="209">
        <f t="shared" si="34"/>
        <v>46237</v>
      </c>
      <c r="VS4" s="184"/>
      <c r="VT4" s="184"/>
      <c r="VU4" s="184"/>
      <c r="VV4" s="184"/>
      <c r="VW4" s="184"/>
      <c r="VX4" s="207"/>
      <c r="VY4" s="208">
        <f t="shared" si="34"/>
        <v>46244</v>
      </c>
      <c r="VZ4" s="208"/>
      <c r="WA4" s="208"/>
      <c r="WB4" s="208"/>
      <c r="WC4" s="208"/>
      <c r="WD4" s="209"/>
      <c r="WE4" s="185"/>
      <c r="WF4" s="183">
        <f t="shared" si="34"/>
        <v>46251</v>
      </c>
      <c r="WG4" s="184"/>
      <c r="WH4" s="184"/>
      <c r="WI4" s="184"/>
      <c r="WJ4" s="207"/>
      <c r="WK4" s="208"/>
      <c r="WL4" s="208"/>
      <c r="WM4" s="208">
        <f t="shared" si="34"/>
        <v>46258</v>
      </c>
      <c r="WN4" s="208"/>
      <c r="WO4" s="208"/>
      <c r="WP4" s="209"/>
      <c r="WQ4" s="184"/>
      <c r="WR4" s="184"/>
      <c r="WS4" s="185"/>
    </row>
    <row r="5" spans="1:617" ht="9.65" customHeight="1" x14ac:dyDescent="0.35">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5" customHeight="1" thickBot="1" x14ac:dyDescent="0.4">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x14ac:dyDescent="0.4">
      <c r="A7" s="33" t="s">
        <v>213</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 thickBot="1" x14ac:dyDescent="0.4">
      <c r="A8" s="33"/>
      <c r="B8" s="213" t="s">
        <v>214</v>
      </c>
      <c r="C8" s="213"/>
      <c r="D8" s="213"/>
      <c r="E8" s="213"/>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5" customHeight="1" outlineLevel="1" thickBot="1" x14ac:dyDescent="0.4">
      <c r="A9" s="34" t="s">
        <v>215</v>
      </c>
      <c r="B9" s="210" t="s">
        <v>216</v>
      </c>
      <c r="C9" s="210"/>
      <c r="D9" s="210"/>
      <c r="E9" s="210"/>
      <c r="F9" s="14"/>
      <c r="G9" s="14" t="str">
        <f t="shared" ref="G9:G202"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5" hidden="1" customHeight="1" outlineLevel="1" thickBot="1" x14ac:dyDescent="0.4">
      <c r="A10" s="34" t="s">
        <v>217</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x14ac:dyDescent="0.4">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5" hidden="1" customHeight="1" outlineLevel="1" thickBot="1" x14ac:dyDescent="0.4">
      <c r="A12" s="34" t="s">
        <v>218</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x14ac:dyDescent="0.4">
      <c r="A13" s="33"/>
      <c r="B13" s="177"/>
      <c r="C13" s="178" t="s">
        <v>219</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x14ac:dyDescent="0.4">
      <c r="A14" s="33"/>
      <c r="B14" s="180"/>
      <c r="C14" s="178" t="s">
        <v>220</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x14ac:dyDescent="0.4">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x14ac:dyDescent="0.4">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x14ac:dyDescent="0.4">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x14ac:dyDescent="0.4">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x14ac:dyDescent="0.4">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x14ac:dyDescent="0.4">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x14ac:dyDescent="0.4">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x14ac:dyDescent="0.4">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x14ac:dyDescent="0.4">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x14ac:dyDescent="0.4">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x14ac:dyDescent="0.4">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x14ac:dyDescent="0.4">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x14ac:dyDescent="0.4">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x14ac:dyDescent="0.4">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x14ac:dyDescent="0.4">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x14ac:dyDescent="0.4">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x14ac:dyDescent="0.4">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x14ac:dyDescent="0.4">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x14ac:dyDescent="0.4">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x14ac:dyDescent="0.4">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x14ac:dyDescent="0.4">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x14ac:dyDescent="0.4">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x14ac:dyDescent="0.4">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x14ac:dyDescent="0.4">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x14ac:dyDescent="0.4">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x14ac:dyDescent="0.4">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x14ac:dyDescent="0.4">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x14ac:dyDescent="0.4">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x14ac:dyDescent="0.4">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x14ac:dyDescent="0.4">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x14ac:dyDescent="0.4">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x14ac:dyDescent="0.4">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x14ac:dyDescent="0.4">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x14ac:dyDescent="0.4">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x14ac:dyDescent="0.4">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x14ac:dyDescent="0.4">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x14ac:dyDescent="0.4">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x14ac:dyDescent="0.4">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x14ac:dyDescent="0.4">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x14ac:dyDescent="0.4">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x14ac:dyDescent="0.4">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x14ac:dyDescent="0.4">
      <c r="A56" s="33"/>
      <c r="B56" s="178" t="s">
        <v>221</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x14ac:dyDescent="0.4">
      <c r="A57" s="33"/>
      <c r="B57" s="178" t="s">
        <v>221</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x14ac:dyDescent="0.4">
      <c r="A58" s="33"/>
      <c r="B58" s="178" t="s">
        <v>221</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x14ac:dyDescent="0.4">
      <c r="A59" s="33"/>
      <c r="B59" s="178" t="s">
        <v>222</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x14ac:dyDescent="0.4">
      <c r="A60" s="33"/>
      <c r="B60" s="178" t="s">
        <v>221</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x14ac:dyDescent="0.4">
      <c r="A61" s="33"/>
      <c r="B61" s="178" t="s">
        <v>223</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x14ac:dyDescent="0.4">
      <c r="A62" s="33"/>
      <c r="B62" s="178" t="s">
        <v>221</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x14ac:dyDescent="0.4">
      <c r="A63" s="33"/>
      <c r="B63" s="178" t="s">
        <v>223</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x14ac:dyDescent="0.4">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x14ac:dyDescent="0.4">
      <c r="A65" s="34" t="s">
        <v>224</v>
      </c>
      <c r="B65" s="217" t="s">
        <v>225</v>
      </c>
      <c r="C65" s="217"/>
      <c r="D65" s="217"/>
      <c r="E65" s="217"/>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hidden="1" outlineLevel="1" thickBot="1" x14ac:dyDescent="0.4">
      <c r="A66" s="33"/>
      <c r="B66" s="47" t="s">
        <v>226</v>
      </c>
      <c r="C66" s="42" t="s">
        <v>227</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hidden="1" outlineLevel="1" thickBot="1" x14ac:dyDescent="0.4">
      <c r="A67" s="33"/>
      <c r="B67" s="47" t="s">
        <v>228</v>
      </c>
      <c r="C67" s="42" t="s">
        <v>229</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hidden="1" outlineLevel="1" thickBot="1" x14ac:dyDescent="0.4">
      <c r="A68" s="33"/>
      <c r="B68" s="47" t="s">
        <v>226</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hidden="1" outlineLevel="1" thickBot="1" x14ac:dyDescent="0.4">
      <c r="A69" s="33"/>
      <c r="B69" s="47" t="s">
        <v>226</v>
      </c>
      <c r="C69" s="42" t="s">
        <v>230</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hidden="1" outlineLevel="1" thickBot="1" x14ac:dyDescent="0.4">
      <c r="A70" s="33"/>
      <c r="B70" s="47" t="s">
        <v>228</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hidden="1" outlineLevel="1" thickBot="1" x14ac:dyDescent="0.4">
      <c r="A71" s="33"/>
      <c r="B71" s="47" t="s">
        <v>226</v>
      </c>
      <c r="C71" s="42" t="s">
        <v>227</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hidden="1" outlineLevel="1" thickBot="1" x14ac:dyDescent="0.4">
      <c r="A72" s="33"/>
      <c r="B72" s="47" t="s">
        <v>228</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x14ac:dyDescent="0.4">
      <c r="A73" s="33"/>
      <c r="B73" s="47" t="s">
        <v>226</v>
      </c>
      <c r="C73" s="42" t="s">
        <v>230</v>
      </c>
      <c r="D73" s="116">
        <v>46089</v>
      </c>
      <c r="E73" s="229">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x14ac:dyDescent="0.4">
      <c r="A74" s="33"/>
      <c r="B74" s="47" t="s">
        <v>228</v>
      </c>
      <c r="C74" s="42" t="s">
        <v>35</v>
      </c>
      <c r="D74" s="116">
        <v>46097</v>
      </c>
      <c r="E74" s="229">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x14ac:dyDescent="0.4">
      <c r="A75" s="33"/>
      <c r="B75" s="47" t="s">
        <v>226</v>
      </c>
      <c r="C75" s="42" t="s">
        <v>227</v>
      </c>
      <c r="D75" s="229">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x14ac:dyDescent="0.4">
      <c r="A76" s="33"/>
      <c r="B76" s="47" t="s">
        <v>228</v>
      </c>
      <c r="C76" s="42" t="s">
        <v>42</v>
      </c>
      <c r="D76" s="229">
        <v>46155</v>
      </c>
      <c r="E76" s="116">
        <f t="shared" si="594"/>
        <v>46234</v>
      </c>
      <c r="F76" s="14"/>
      <c r="G76" s="14">
        <v>79</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x14ac:dyDescent="0.4">
      <c r="A77" s="33"/>
      <c r="B77" s="47" t="s">
        <v>226</v>
      </c>
      <c r="C77" s="42" t="s">
        <v>230</v>
      </c>
      <c r="D77" s="116">
        <v>46211</v>
      </c>
      <c r="E77" s="116">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x14ac:dyDescent="0.4">
      <c r="A78" s="33"/>
      <c r="B78" s="47" t="s">
        <v>228</v>
      </c>
      <c r="C78" s="42" t="s">
        <v>35</v>
      </c>
      <c r="D78" s="116">
        <v>46229</v>
      </c>
      <c r="E78" s="116">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x14ac:dyDescent="0.4">
      <c r="A79" s="33"/>
      <c r="B79" s="47" t="s">
        <v>226</v>
      </c>
      <c r="C79" s="42" t="s">
        <v>227</v>
      </c>
      <c r="D79" s="116">
        <v>46273</v>
      </c>
      <c r="E79" s="116">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x14ac:dyDescent="0.4">
      <c r="A80" s="33"/>
      <c r="B80" s="47" t="s">
        <v>228</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x14ac:dyDescent="0.4">
      <c r="A81" s="33"/>
      <c r="B81" s="218" t="s">
        <v>231</v>
      </c>
      <c r="C81" s="218"/>
      <c r="D81" s="218"/>
      <c r="E81" s="218"/>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x14ac:dyDescent="0.4">
      <c r="A82" s="33"/>
      <c r="B82" s="47" t="s">
        <v>232</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x14ac:dyDescent="0.4">
      <c r="A83" s="33"/>
      <c r="B83" s="47" t="s">
        <v>233</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x14ac:dyDescent="0.4">
      <c r="A84" s="33"/>
      <c r="B84" s="47" t="s">
        <v>233</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x14ac:dyDescent="0.4">
      <c r="A85" s="33"/>
      <c r="B85" s="47" t="s">
        <v>234</v>
      </c>
      <c r="C85" s="42" t="s">
        <v>134</v>
      </c>
      <c r="D85" s="116">
        <v>46107</v>
      </c>
      <c r="E85" s="229">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x14ac:dyDescent="0.4">
      <c r="A86" s="33"/>
      <c r="B86" s="47" t="s">
        <v>234</v>
      </c>
      <c r="C86" s="42" t="s">
        <v>131</v>
      </c>
      <c r="D86" s="229">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x14ac:dyDescent="0.4">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x14ac:dyDescent="0.4">
      <c r="A88" s="33"/>
      <c r="B88" s="218" t="s">
        <v>235</v>
      </c>
      <c r="C88" s="218"/>
      <c r="D88" s="218"/>
      <c r="E88" s="218"/>
      <c r="F88" s="14"/>
      <c r="G88" s="14" t="str">
        <f t="shared"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x14ac:dyDescent="0.4">
      <c r="A89" s="33" t="s">
        <v>236</v>
      </c>
      <c r="B89" s="84" t="s">
        <v>226</v>
      </c>
      <c r="C89" s="137" t="s">
        <v>230</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x14ac:dyDescent="0.4">
      <c r="A90" s="33"/>
      <c r="B90" s="219" t="s">
        <v>237</v>
      </c>
      <c r="C90" s="219"/>
      <c r="D90" s="219"/>
      <c r="E90" s="219"/>
      <c r="F90" s="14"/>
      <c r="G90" s="14" t="str">
        <f t="shared"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x14ac:dyDescent="0.4">
      <c r="A91" s="33" t="s">
        <v>236</v>
      </c>
      <c r="B91" s="48" t="s">
        <v>238</v>
      </c>
      <c r="C91" s="44" t="s">
        <v>239</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x14ac:dyDescent="0.4">
      <c r="A92" s="33"/>
      <c r="B92" s="82" t="s">
        <v>238</v>
      </c>
      <c r="C92" s="138" t="s">
        <v>240</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x14ac:dyDescent="0.4">
      <c r="A93" s="33"/>
      <c r="B93" s="220" t="s">
        <v>241</v>
      </c>
      <c r="C93" s="220"/>
      <c r="D93" s="220"/>
      <c r="E93" s="220"/>
      <c r="F93" s="14"/>
      <c r="G93" s="14" t="str">
        <f t="shared"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hidden="1" outlineLevel="1" thickBot="1" x14ac:dyDescent="0.4">
      <c r="A94" s="33" t="s">
        <v>236</v>
      </c>
      <c r="B94" s="85" t="s">
        <v>242</v>
      </c>
      <c r="C94" s="139" t="s">
        <v>243</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hidden="1" outlineLevel="1" thickBot="1" x14ac:dyDescent="0.4">
      <c r="A95" s="33"/>
      <c r="B95" s="85" t="s">
        <v>242</v>
      </c>
      <c r="C95" s="139" t="s">
        <v>244</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hidden="1" outlineLevel="1" thickBot="1" x14ac:dyDescent="0.4">
      <c r="A96" s="33"/>
      <c r="B96" s="85" t="s">
        <v>245</v>
      </c>
      <c r="C96" s="145" t="s">
        <v>240</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x14ac:dyDescent="0.4">
      <c r="A97" s="33"/>
      <c r="B97" s="85" t="s">
        <v>246</v>
      </c>
      <c r="C97" s="139" t="s">
        <v>247</v>
      </c>
      <c r="D97" s="120">
        <v>46104</v>
      </c>
      <c r="E97" s="230">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x14ac:dyDescent="0.4">
      <c r="A98" s="33"/>
      <c r="B98" s="85" t="s">
        <v>242</v>
      </c>
      <c r="C98" s="139" t="s">
        <v>248</v>
      </c>
      <c r="D98" s="230">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x14ac:dyDescent="0.4">
      <c r="A99" s="33"/>
      <c r="B99" s="85" t="s">
        <v>245</v>
      </c>
      <c r="C99" s="139" t="s">
        <v>303</v>
      </c>
      <c r="D99" s="230">
        <v>46202</v>
      </c>
      <c r="E99" s="120">
        <f>D99+G99</f>
        <v>46255</v>
      </c>
      <c r="F99" s="14"/>
      <c r="G99" s="14">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6" outlineLevel="1" thickBot="1" x14ac:dyDescent="0.4">
      <c r="A100" s="33"/>
      <c r="B100" s="221" t="s">
        <v>249</v>
      </c>
      <c r="C100" s="221"/>
      <c r="D100" s="221"/>
      <c r="E100" s="221"/>
      <c r="F100" s="14"/>
      <c r="G100" s="14"/>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thickBot="1" x14ac:dyDescent="0.4">
      <c r="A101" s="33"/>
      <c r="B101" s="216" t="s">
        <v>250</v>
      </c>
      <c r="C101" s="216"/>
      <c r="D101" s="216"/>
      <c r="E101" s="216"/>
      <c r="F101" s="14"/>
      <c r="G101" s="14" t="str">
        <f t="shared" si="586"/>
        <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customHeight="1" outlineLevel="1" thickBot="1" x14ac:dyDescent="0.4">
      <c r="A102" s="34" t="s">
        <v>224</v>
      </c>
      <c r="B102" s="47" t="s">
        <v>251</v>
      </c>
      <c r="C102" s="42" t="s">
        <v>119</v>
      </c>
      <c r="D102" s="116">
        <v>45820</v>
      </c>
      <c r="E102" s="116">
        <f>D102+G102-1</f>
        <v>45873</v>
      </c>
      <c r="F102" s="14"/>
      <c r="G102" s="14">
        <v>54</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hidden="1" outlineLevel="1" thickBot="1" x14ac:dyDescent="0.4">
      <c r="A103" s="33"/>
      <c r="B103" s="47" t="s">
        <v>252</v>
      </c>
      <c r="C103" s="42" t="s">
        <v>83</v>
      </c>
      <c r="D103" s="116">
        <v>45855</v>
      </c>
      <c r="E103" s="116">
        <f>D103+G103</f>
        <v>45911</v>
      </c>
      <c r="F103" s="14"/>
      <c r="G103" s="14">
        <v>56</v>
      </c>
      <c r="H103" s="29"/>
      <c r="I103" s="29"/>
      <c r="J103" s="29"/>
      <c r="K103" s="29"/>
      <c r="L103" s="29"/>
      <c r="M103" s="29"/>
      <c r="N103" s="29"/>
      <c r="O103" s="29"/>
      <c r="P103" s="29"/>
      <c r="Q103" s="29"/>
      <c r="R103" s="29"/>
      <c r="S103" s="29"/>
      <c r="T103" s="29"/>
      <c r="U103" s="30"/>
      <c r="V103" s="30"/>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hidden="1" outlineLevel="1" thickBot="1" x14ac:dyDescent="0.4">
      <c r="A104" s="33"/>
      <c r="B104" s="47" t="s">
        <v>251</v>
      </c>
      <c r="C104" s="42" t="s">
        <v>42</v>
      </c>
      <c r="D104" s="116">
        <v>45876</v>
      </c>
      <c r="E104" s="116">
        <v>45925</v>
      </c>
      <c r="F104" s="14"/>
      <c r="G104" s="14">
        <f>E104-D104</f>
        <v>49</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outlineLevel="1" thickBot="1" x14ac:dyDescent="0.4">
      <c r="A105" s="33"/>
      <c r="B105" s="47" t="s">
        <v>252</v>
      </c>
      <c r="C105" s="42" t="s">
        <v>134</v>
      </c>
      <c r="D105" s="116">
        <f>E103</f>
        <v>45911</v>
      </c>
      <c r="E105" s="116">
        <f t="shared" ref="E105:E106" si="597">D105+G105</f>
        <v>45967</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x14ac:dyDescent="0.4">
      <c r="A106" s="33"/>
      <c r="B106" s="47" t="s">
        <v>251</v>
      </c>
      <c r="C106" s="42" t="s">
        <v>39</v>
      </c>
      <c r="D106" s="116">
        <v>45932</v>
      </c>
      <c r="E106" s="116">
        <f t="shared" si="597"/>
        <v>45988</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x14ac:dyDescent="0.4">
      <c r="A107" s="33"/>
      <c r="B107" s="47" t="s">
        <v>252</v>
      </c>
      <c r="C107" s="42" t="s">
        <v>62</v>
      </c>
      <c r="D107" s="116">
        <v>45974</v>
      </c>
      <c r="E107" s="116">
        <f t="shared" ref="E107:E125" si="598">D107+G107-1</f>
        <v>46029</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x14ac:dyDescent="0.4">
      <c r="A108" s="33"/>
      <c r="B108" s="47" t="s">
        <v>251</v>
      </c>
      <c r="C108" s="42" t="s">
        <v>229</v>
      </c>
      <c r="D108" s="116">
        <v>45996</v>
      </c>
      <c r="E108" s="116">
        <f>D108+G108-1</f>
        <v>46051</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x14ac:dyDescent="0.4">
      <c r="A109" s="33"/>
      <c r="B109" s="146" t="s">
        <v>253</v>
      </c>
      <c r="C109" s="147" t="s">
        <v>122</v>
      </c>
      <c r="D109" s="148">
        <v>45988</v>
      </c>
      <c r="E109" s="148">
        <f t="shared" si="598"/>
        <v>46043</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x14ac:dyDescent="0.4">
      <c r="A110" s="33"/>
      <c r="B110" s="47" t="s">
        <v>252</v>
      </c>
      <c r="C110" s="42" t="s">
        <v>83</v>
      </c>
      <c r="D110" s="116">
        <v>46034</v>
      </c>
      <c r="E110" s="116">
        <f>D110+G110</f>
        <v>46085</v>
      </c>
      <c r="F110" s="14"/>
      <c r="G110" s="14">
        <v>51</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hidden="1" outlineLevel="1" thickBot="1" x14ac:dyDescent="0.4">
      <c r="A111" s="33"/>
      <c r="B111" s="47" t="s">
        <v>251</v>
      </c>
      <c r="C111" s="42" t="s">
        <v>95</v>
      </c>
      <c r="D111" s="116">
        <f>E108</f>
        <v>46051</v>
      </c>
      <c r="E111" s="116">
        <f t="shared" si="598"/>
        <v>46106</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x14ac:dyDescent="0.4">
      <c r="A112" s="33"/>
      <c r="B112" s="146" t="s">
        <v>253</v>
      </c>
      <c r="C112" s="147" t="s">
        <v>254</v>
      </c>
      <c r="D112" s="148">
        <v>46058</v>
      </c>
      <c r="E112" s="148">
        <f t="shared" si="598"/>
        <v>46113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x14ac:dyDescent="0.4">
      <c r="A113" s="33"/>
      <c r="B113" s="47" t="s">
        <v>252</v>
      </c>
      <c r="C113" s="42" t="s">
        <v>86</v>
      </c>
      <c r="D113" s="116">
        <f>E110+8</f>
        <v>46093</v>
      </c>
      <c r="E113" s="229">
        <f>D113+G113-1</f>
        <v>46148</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x14ac:dyDescent="0.4">
      <c r="A114" s="33"/>
      <c r="B114" s="47" t="s">
        <v>251</v>
      </c>
      <c r="C114" s="42" t="s">
        <v>229</v>
      </c>
      <c r="D114" s="116">
        <v>46114</v>
      </c>
      <c r="E114" s="229">
        <f t="shared" si="598"/>
        <v>46169</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x14ac:dyDescent="0.4">
      <c r="A115" s="33"/>
      <c r="B115" s="146" t="s">
        <v>253</v>
      </c>
      <c r="C115" s="147" t="s">
        <v>113</v>
      </c>
      <c r="D115" s="148">
        <v>46065</v>
      </c>
      <c r="E115" s="148">
        <f t="shared" si="598"/>
        <v>46120</v>
      </c>
      <c r="F115" s="14"/>
      <c r="G115" s="14">
        <v>56</v>
      </c>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x14ac:dyDescent="0.4">
      <c r="A116" s="33"/>
      <c r="B116" s="146" t="s">
        <v>253</v>
      </c>
      <c r="C116" s="147" t="s">
        <v>116</v>
      </c>
      <c r="D116" s="231">
        <v>46121</v>
      </c>
      <c r="E116" s="231">
        <f>D116+G116-1</f>
        <v>46176</v>
      </c>
      <c r="F116" s="14"/>
      <c r="G116" s="14">
        <v>56</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x14ac:dyDescent="0.4">
      <c r="A117" s="33"/>
      <c r="B117" s="47" t="s">
        <v>252</v>
      </c>
      <c r="C117" s="42" t="s">
        <v>83</v>
      </c>
      <c r="D117" s="229">
        <f>E113+1</f>
        <v>46149</v>
      </c>
      <c r="E117" s="116">
        <f>D117+G117-1</f>
        <v>46211</v>
      </c>
      <c r="F117" s="14"/>
      <c r="G117" s="14">
        <v>63</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x14ac:dyDescent="0.4">
      <c r="A118" s="33"/>
      <c r="B118" s="47" t="s">
        <v>251</v>
      </c>
      <c r="C118" s="42" t="s">
        <v>174</v>
      </c>
      <c r="D118" s="229">
        <f>E114+1</f>
        <v>46170</v>
      </c>
      <c r="E118" s="116">
        <f t="shared" si="598"/>
        <v>46225</v>
      </c>
      <c r="F118" s="14"/>
      <c r="G118" s="14">
        <v>56</v>
      </c>
      <c r="H118" s="14"/>
      <c r="I118" s="14"/>
      <c r="J118" s="29"/>
      <c r="K118" s="29"/>
      <c r="L118" s="29"/>
      <c r="M118" s="29"/>
      <c r="N118" s="29"/>
      <c r="O118" s="29"/>
      <c r="P118" s="29"/>
      <c r="Q118" s="29"/>
      <c r="R118" s="29"/>
      <c r="S118" s="29"/>
      <c r="T118" s="29"/>
      <c r="U118" s="29"/>
      <c r="V118" s="29"/>
      <c r="W118" s="29"/>
      <c r="X118" s="29"/>
      <c r="Y118" s="176"/>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x14ac:dyDescent="0.4">
      <c r="A119" s="33"/>
      <c r="B119" s="146" t="s">
        <v>253</v>
      </c>
      <c r="C119" s="147" t="s">
        <v>122</v>
      </c>
      <c r="D119" s="148">
        <f>E116+1</f>
        <v>46177</v>
      </c>
      <c r="E119" s="148">
        <f t="shared" si="598"/>
        <v>46232</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x14ac:dyDescent="0.4">
      <c r="A120" s="33"/>
      <c r="B120" s="47" t="s">
        <v>252</v>
      </c>
      <c r="C120" s="42" t="s">
        <v>86</v>
      </c>
      <c r="D120" s="116">
        <f>E117+1</f>
        <v>46212</v>
      </c>
      <c r="E120" s="116">
        <f t="shared" si="598"/>
        <v>46280</v>
      </c>
      <c r="F120" s="14"/>
      <c r="G120" s="14">
        <v>69</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x14ac:dyDescent="0.4">
      <c r="A121" s="33"/>
      <c r="B121" s="47" t="s">
        <v>251</v>
      </c>
      <c r="C121" s="42" t="s">
        <v>229</v>
      </c>
      <c r="D121" s="116">
        <f t="shared" ref="D120:D125" si="599">E118+1</f>
        <v>46226</v>
      </c>
      <c r="E121" s="116">
        <f t="shared" si="598"/>
        <v>46280</v>
      </c>
      <c r="F121" s="14"/>
      <c r="G121" s="14">
        <v>55</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x14ac:dyDescent="0.4">
      <c r="A122" s="33" t="s">
        <v>255</v>
      </c>
      <c r="B122" s="146" t="s">
        <v>253</v>
      </c>
      <c r="C122" s="147" t="s">
        <v>256</v>
      </c>
      <c r="D122" s="148">
        <f t="shared" si="599"/>
        <v>46233</v>
      </c>
      <c r="E122" s="148">
        <f t="shared" si="598"/>
        <v>46288</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x14ac:dyDescent="0.4">
      <c r="A123" s="33"/>
      <c r="B123" s="47" t="s">
        <v>252</v>
      </c>
      <c r="C123" s="42" t="s">
        <v>83</v>
      </c>
      <c r="D123" s="116">
        <f t="shared" si="599"/>
        <v>46281</v>
      </c>
      <c r="E123" s="116">
        <f t="shared" si="598"/>
        <v>46336</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x14ac:dyDescent="0.4">
      <c r="A124" s="33"/>
      <c r="B124" s="47" t="s">
        <v>251</v>
      </c>
      <c r="C124" s="42"/>
      <c r="D124" s="116">
        <f t="shared" si="599"/>
        <v>46281</v>
      </c>
      <c r="E124" s="116">
        <f t="shared" si="598"/>
        <v>46336</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x14ac:dyDescent="0.4">
      <c r="A125" s="33"/>
      <c r="B125" s="146" t="s">
        <v>253</v>
      </c>
      <c r="C125" s="147" t="s">
        <v>256</v>
      </c>
      <c r="D125" s="148">
        <f t="shared" si="599"/>
        <v>46289</v>
      </c>
      <c r="E125" s="148">
        <f t="shared" si="598"/>
        <v>46344</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x14ac:dyDescent="0.4">
      <c r="A126" s="33"/>
      <c r="B126" s="173" t="s">
        <v>257</v>
      </c>
      <c r="C126" s="174" t="s">
        <v>258</v>
      </c>
      <c r="D126" s="175">
        <v>46114</v>
      </c>
      <c r="E126" s="232">
        <f t="shared" ref="E126:E128" si="600">D126+G126-1</f>
        <v>46169</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x14ac:dyDescent="0.4">
      <c r="A127" s="33"/>
      <c r="B127" s="173" t="s">
        <v>257</v>
      </c>
      <c r="C127" s="174" t="s">
        <v>258</v>
      </c>
      <c r="D127" s="232">
        <f>E126+1</f>
        <v>46170</v>
      </c>
      <c r="E127" s="175">
        <f t="shared" si="600"/>
        <v>46225</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x14ac:dyDescent="0.4">
      <c r="A128" s="33"/>
      <c r="B128" s="173" t="s">
        <v>257</v>
      </c>
      <c r="C128" s="174" t="s">
        <v>258</v>
      </c>
      <c r="D128" s="175">
        <f t="shared" ref="D128" si="601">E127+1</f>
        <v>46226</v>
      </c>
      <c r="E128" s="175">
        <f t="shared" si="600"/>
        <v>46281</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x14ac:dyDescent="0.4">
      <c r="A129" s="33"/>
      <c r="B129" s="173"/>
      <c r="C129" s="174"/>
      <c r="D129" s="175"/>
      <c r="E129" s="175"/>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x14ac:dyDescent="0.4">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x14ac:dyDescent="0.4">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x14ac:dyDescent="0.4">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x14ac:dyDescent="0.4">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x14ac:dyDescent="0.4">
      <c r="A134" s="33"/>
      <c r="B134" s="24" t="s">
        <v>259</v>
      </c>
      <c r="C134" s="140"/>
      <c r="D134" s="121"/>
      <c r="E134" s="122"/>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x14ac:dyDescent="0.4">
      <c r="A135" s="33"/>
      <c r="B135" s="85" t="s">
        <v>260</v>
      </c>
      <c r="C135" s="102" t="s">
        <v>89</v>
      </c>
      <c r="D135" s="123">
        <v>45754</v>
      </c>
      <c r="E135" s="123">
        <f>D135+G135</f>
        <v>45758</v>
      </c>
      <c r="F135" s="14"/>
      <c r="G135" s="14">
        <v>4</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x14ac:dyDescent="0.4">
      <c r="A136" s="33"/>
      <c r="B136" s="85" t="s">
        <v>221</v>
      </c>
      <c r="C136" s="102" t="s">
        <v>229</v>
      </c>
      <c r="D136" s="230">
        <v>45782</v>
      </c>
      <c r="E136" s="123">
        <f>D136+G136-1</f>
        <v>45793</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x14ac:dyDescent="0.4">
      <c r="A137" s="33"/>
      <c r="B137" s="85" t="s">
        <v>261</v>
      </c>
      <c r="C137" s="102" t="s">
        <v>86</v>
      </c>
      <c r="D137" s="123">
        <f>D136+35</f>
        <v>45817</v>
      </c>
      <c r="E137" s="123">
        <f t="shared" ref="E137:E146" si="602">D137+G137-1</f>
        <v>45828</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x14ac:dyDescent="0.4">
      <c r="A138" s="33"/>
      <c r="B138" s="85" t="s">
        <v>221</v>
      </c>
      <c r="C138" s="102" t="s">
        <v>35</v>
      </c>
      <c r="D138" s="123">
        <f t="shared" ref="D138" si="603">D137+35</f>
        <v>45852</v>
      </c>
      <c r="E138" s="123">
        <f t="shared" si="602"/>
        <v>45863</v>
      </c>
      <c r="F138" s="14"/>
      <c r="G138" s="14">
        <v>12</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x14ac:dyDescent="0.4">
      <c r="A139" s="33"/>
      <c r="B139" s="85" t="s">
        <v>221</v>
      </c>
      <c r="C139" s="102" t="s">
        <v>165</v>
      </c>
      <c r="D139" s="123">
        <v>45852</v>
      </c>
      <c r="E139" s="123">
        <f t="shared" si="602"/>
        <v>45856</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x14ac:dyDescent="0.4">
      <c r="A140" s="33"/>
      <c r="B140" s="85" t="s">
        <v>221</v>
      </c>
      <c r="C140" s="102" t="s">
        <v>168</v>
      </c>
      <c r="D140" s="123">
        <v>45859</v>
      </c>
      <c r="E140" s="123">
        <f t="shared" si="602"/>
        <v>45863</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x14ac:dyDescent="0.4">
      <c r="A141" s="33"/>
      <c r="B141" s="85" t="s">
        <v>261</v>
      </c>
      <c r="C141" s="102" t="s">
        <v>80</v>
      </c>
      <c r="D141" s="123">
        <v>45894</v>
      </c>
      <c r="E141" s="123">
        <f t="shared" si="602"/>
        <v>45905</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x14ac:dyDescent="0.4">
      <c r="A142" s="33"/>
      <c r="B142" s="85" t="s">
        <v>261</v>
      </c>
      <c r="C142" s="102" t="s">
        <v>144</v>
      </c>
      <c r="D142" s="123">
        <v>45901</v>
      </c>
      <c r="E142" s="123">
        <f t="shared" si="602"/>
        <v>45905</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x14ac:dyDescent="0.4">
      <c r="A143" s="33"/>
      <c r="B143" s="85" t="s">
        <v>223</v>
      </c>
      <c r="C143" s="102" t="s">
        <v>21</v>
      </c>
      <c r="D143" s="123">
        <v>45894</v>
      </c>
      <c r="E143" s="123">
        <f t="shared" si="602"/>
        <v>45898</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x14ac:dyDescent="0.4">
      <c r="A144" s="33"/>
      <c r="B144" s="85" t="s">
        <v>261</v>
      </c>
      <c r="C144" s="102" t="s">
        <v>101</v>
      </c>
      <c r="D144" s="123">
        <v>45929</v>
      </c>
      <c r="E144" s="123">
        <f t="shared" si="602"/>
        <v>45940</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x14ac:dyDescent="0.4">
      <c r="A145" s="33"/>
      <c r="B145" s="85" t="s">
        <v>223</v>
      </c>
      <c r="C145" s="102" t="s">
        <v>26</v>
      </c>
      <c r="D145" s="123">
        <v>45929</v>
      </c>
      <c r="E145" s="123">
        <f t="shared" si="602"/>
        <v>45933</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x14ac:dyDescent="0.4">
      <c r="A146" s="33"/>
      <c r="B146" s="85" t="s">
        <v>221</v>
      </c>
      <c r="C146" s="102" t="s">
        <v>162</v>
      </c>
      <c r="D146" s="123">
        <v>45936</v>
      </c>
      <c r="E146" s="123">
        <f t="shared" si="602"/>
        <v>45940</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x14ac:dyDescent="0.4">
      <c r="A147" s="33"/>
      <c r="B147" s="149" t="s">
        <v>221</v>
      </c>
      <c r="C147" s="150"/>
      <c r="D147" s="151">
        <v>45964</v>
      </c>
      <c r="E147" s="151">
        <f t="shared" ref="E147:E151" si="604">D147+G147-1</f>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x14ac:dyDescent="0.4">
      <c r="A148" s="33"/>
      <c r="B148" s="149" t="s">
        <v>223</v>
      </c>
      <c r="C148" s="150"/>
      <c r="D148" s="151">
        <v>45964</v>
      </c>
      <c r="E148" s="151">
        <f t="shared" si="604"/>
        <v>45975</v>
      </c>
      <c r="F148" s="152"/>
      <c r="G148" s="152">
        <v>12</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x14ac:dyDescent="0.4">
      <c r="A149" s="33"/>
      <c r="B149" s="149" t="s">
        <v>261</v>
      </c>
      <c r="C149" s="150"/>
      <c r="D149" s="151">
        <v>45957</v>
      </c>
      <c r="E149" s="151">
        <f t="shared" si="604"/>
        <v>45961</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x14ac:dyDescent="0.4">
      <c r="A150" s="33"/>
      <c r="B150" s="149" t="s">
        <v>221</v>
      </c>
      <c r="C150" s="150"/>
      <c r="D150" s="151">
        <v>45964</v>
      </c>
      <c r="E150" s="151">
        <f t="shared" si="604"/>
        <v>45968</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x14ac:dyDescent="0.4">
      <c r="A151" s="33"/>
      <c r="B151" s="149" t="s">
        <v>221</v>
      </c>
      <c r="C151" s="150"/>
      <c r="D151" s="151">
        <v>45971</v>
      </c>
      <c r="E151" s="151">
        <f t="shared" si="604"/>
        <v>45975</v>
      </c>
      <c r="F151" s="152"/>
      <c r="G151" s="152">
        <v>5</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x14ac:dyDescent="0.4">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x14ac:dyDescent="0.4">
      <c r="A153" s="33"/>
      <c r="B153" s="85"/>
      <c r="C153" s="102"/>
      <c r="D153" s="123"/>
      <c r="E153" s="123"/>
      <c r="F153" s="14"/>
      <c r="G153" s="14"/>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x14ac:dyDescent="0.4">
      <c r="A154" s="33"/>
      <c r="B154" s="83" t="s">
        <v>262</v>
      </c>
      <c r="C154" s="141"/>
      <c r="D154" s="124"/>
      <c r="E154" s="125"/>
      <c r="F154" s="14"/>
      <c r="G154" s="14" t="str">
        <f t="shared" si="586"/>
        <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x14ac:dyDescent="0.4">
      <c r="A155" s="33" t="s">
        <v>236</v>
      </c>
      <c r="B155" s="84" t="s">
        <v>242</v>
      </c>
      <c r="C155" s="142" t="s">
        <v>263</v>
      </c>
      <c r="D155" s="233">
        <v>45769</v>
      </c>
      <c r="E155" s="233">
        <v>45856</v>
      </c>
      <c r="F155" s="14"/>
      <c r="G155" s="14">
        <v>87</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x14ac:dyDescent="0.4">
      <c r="A156" s="33"/>
      <c r="B156" s="86" t="s">
        <v>245</v>
      </c>
      <c r="C156" s="142" t="s">
        <v>264</v>
      </c>
      <c r="D156" s="117">
        <v>45838</v>
      </c>
      <c r="E156" s="117">
        <v>45884</v>
      </c>
      <c r="F156" s="14"/>
      <c r="G156" s="14">
        <v>46</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x14ac:dyDescent="0.4">
      <c r="A157" s="33"/>
      <c r="B157" s="222" t="s">
        <v>265</v>
      </c>
      <c r="C157" s="222"/>
      <c r="D157" s="222"/>
      <c r="E157" s="222"/>
      <c r="F157" s="14"/>
      <c r="G157" s="14"/>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x14ac:dyDescent="0.4">
      <c r="A158" s="33"/>
      <c r="B158" s="161" t="s">
        <v>242</v>
      </c>
      <c r="C158" s="162" t="s">
        <v>266</v>
      </c>
      <c r="D158" s="163">
        <v>45971</v>
      </c>
      <c r="E158" s="163">
        <v>45996</v>
      </c>
      <c r="F158" s="14"/>
      <c r="G158" s="14">
        <f>E158-D158</f>
        <v>25</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x14ac:dyDescent="0.4">
      <c r="A159" s="33"/>
      <c r="B159" s="87" t="s">
        <v>267</v>
      </c>
      <c r="C159" s="41" t="s">
        <v>263</v>
      </c>
      <c r="D159" s="126">
        <v>46034</v>
      </c>
      <c r="E159" s="126">
        <f>D159+53</f>
        <v>46087</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x14ac:dyDescent="0.4">
      <c r="A160" s="33"/>
      <c r="B160" s="87" t="s">
        <v>245</v>
      </c>
      <c r="C160" s="41" t="s">
        <v>268</v>
      </c>
      <c r="D160" s="126">
        <v>46104</v>
      </c>
      <c r="E160" s="234">
        <f>D160+53</f>
        <v>46157</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x14ac:dyDescent="0.4">
      <c r="A161" s="33"/>
      <c r="B161" s="87" t="s">
        <v>246</v>
      </c>
      <c r="C161" s="41" t="s">
        <v>269</v>
      </c>
      <c r="D161" s="234">
        <v>46160</v>
      </c>
      <c r="E161" s="126">
        <f>D161+53</f>
        <v>46213</v>
      </c>
      <c r="F161" s="14"/>
      <c r="G161" s="14">
        <f>E161-D161</f>
        <v>53</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x14ac:dyDescent="0.4">
      <c r="A162" s="33"/>
      <c r="B162" s="87" t="s">
        <v>302</v>
      </c>
      <c r="C162" s="41" t="s">
        <v>301</v>
      </c>
      <c r="D162" s="234">
        <v>46216</v>
      </c>
      <c r="E162" s="126">
        <f>D162+G162</f>
        <v>46269</v>
      </c>
      <c r="F162" s="14"/>
      <c r="G162" s="14">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6" outlineLevel="1" thickBot="1" x14ac:dyDescent="0.4">
      <c r="A163" s="33"/>
      <c r="B163" s="221" t="s">
        <v>214</v>
      </c>
      <c r="C163" s="221"/>
      <c r="D163" s="221"/>
      <c r="E163" s="221"/>
      <c r="F163" s="14"/>
      <c r="G163" s="14"/>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thickBot="1" x14ac:dyDescent="0.4">
      <c r="A164" s="33"/>
      <c r="B164" s="216" t="s">
        <v>270</v>
      </c>
      <c r="C164" s="216"/>
      <c r="D164" s="216"/>
      <c r="E164" s="216"/>
      <c r="F164" s="14"/>
      <c r="G164" s="14" t="str">
        <f t="shared" si="586"/>
        <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2.65" hidden="1" customHeight="1" outlineLevel="1" thickBot="1" x14ac:dyDescent="0.4">
      <c r="A165" s="34" t="s">
        <v>224</v>
      </c>
      <c r="B165" s="47" t="s">
        <v>271</v>
      </c>
      <c r="C165" s="42" t="s">
        <v>104</v>
      </c>
      <c r="D165" s="116">
        <v>45964</v>
      </c>
      <c r="E165" s="116">
        <f t="shared" ref="E165:E171" si="605">D165+G165</f>
        <v>46050</v>
      </c>
      <c r="F165" s="14"/>
      <c r="G165" s="14">
        <v>86</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x14ac:dyDescent="0.4">
      <c r="A166" s="33"/>
      <c r="B166" s="47" t="s">
        <v>272</v>
      </c>
      <c r="C166" s="42" t="s">
        <v>119</v>
      </c>
      <c r="D166" s="229">
        <v>46037</v>
      </c>
      <c r="E166" s="229">
        <f t="shared" si="605"/>
        <v>46204</v>
      </c>
      <c r="F166" s="14"/>
      <c r="G166" s="186">
        <v>167</v>
      </c>
      <c r="H166" s="29"/>
      <c r="I166" s="29"/>
      <c r="J166" s="29"/>
      <c r="K166" s="29"/>
      <c r="L166" s="29"/>
      <c r="M166" s="29"/>
      <c r="N166" s="29"/>
      <c r="O166" s="29"/>
      <c r="P166" s="29"/>
      <c r="Q166" s="29"/>
      <c r="R166" s="29"/>
      <c r="S166" s="29"/>
      <c r="T166" s="29"/>
      <c r="U166" s="30"/>
      <c r="V166" s="30"/>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x14ac:dyDescent="0.4">
      <c r="A167" s="33"/>
      <c r="B167" s="47" t="s">
        <v>271</v>
      </c>
      <c r="C167" s="42" t="s">
        <v>108</v>
      </c>
      <c r="D167" s="116">
        <v>46058</v>
      </c>
      <c r="E167" s="116">
        <f t="shared" si="605"/>
        <v>46114</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x14ac:dyDescent="0.4">
      <c r="A168" s="33"/>
      <c r="B168" s="47" t="s">
        <v>272</v>
      </c>
      <c r="C168" s="42" t="s">
        <v>273</v>
      </c>
      <c r="D168" s="116">
        <f>E166</f>
        <v>46204</v>
      </c>
      <c r="E168" s="116">
        <f t="shared" si="605"/>
        <v>46290</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x14ac:dyDescent="0.4">
      <c r="A169" s="33"/>
      <c r="B169" s="146" t="s">
        <v>253</v>
      </c>
      <c r="C169" s="147" t="s">
        <v>274</v>
      </c>
      <c r="D169" s="231">
        <v>46132</v>
      </c>
      <c r="E169" s="231">
        <v>46192</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x14ac:dyDescent="0.4">
      <c r="A170" s="33"/>
      <c r="B170" s="47" t="s">
        <v>271</v>
      </c>
      <c r="C170" s="42" t="s">
        <v>104</v>
      </c>
      <c r="D170" s="229">
        <v>46118</v>
      </c>
      <c r="E170" s="229">
        <f>D170+G170</f>
        <v>46204</v>
      </c>
      <c r="F170" s="14"/>
      <c r="G170" s="14">
        <v>86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x14ac:dyDescent="0.4">
      <c r="A171" s="33"/>
      <c r="B171" s="47" t="s">
        <v>272</v>
      </c>
      <c r="C171" s="42" t="s">
        <v>180</v>
      </c>
      <c r="D171" s="116">
        <f t="shared" ref="D171:D179" si="606">E168</f>
        <v>46290</v>
      </c>
      <c r="E171" s="116">
        <f t="shared" si="605"/>
        <v>46376</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x14ac:dyDescent="0.4">
      <c r="A172" s="33"/>
      <c r="B172" s="146" t="s">
        <v>253</v>
      </c>
      <c r="C172" s="147" t="s">
        <v>196</v>
      </c>
      <c r="D172" s="148">
        <f t="shared" si="606"/>
        <v>46192</v>
      </c>
      <c r="E172" s="148">
        <f t="shared" ref="E172" si="607">D172+G172-1</f>
        <v>46247</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x14ac:dyDescent="0.4">
      <c r="A173" s="33"/>
      <c r="B173" s="47" t="s">
        <v>271</v>
      </c>
      <c r="C173" s="42" t="s">
        <v>108</v>
      </c>
      <c r="D173" s="116">
        <f t="shared" si="606"/>
        <v>46204</v>
      </c>
      <c r="E173" s="116">
        <f>D173+G173</f>
        <v>46290</v>
      </c>
      <c r="F173" s="14"/>
      <c r="G173" s="14">
        <v>86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x14ac:dyDescent="0.4">
      <c r="A174" s="33"/>
      <c r="B174" s="47" t="s">
        <v>272</v>
      </c>
      <c r="C174" s="42" t="s">
        <v>183</v>
      </c>
      <c r="D174" s="116">
        <f t="shared" si="606"/>
        <v>46376</v>
      </c>
      <c r="E174" s="116">
        <f t="shared" ref="E174" si="608">D174+G174</f>
        <v>46462</v>
      </c>
      <c r="F174" s="14"/>
      <c r="G174" s="14">
        <v>86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x14ac:dyDescent="0.4">
      <c r="A175" s="33"/>
      <c r="B175" s="146" t="s">
        <v>253</v>
      </c>
      <c r="C175" s="147"/>
      <c r="D175" s="148">
        <f t="shared" si="606"/>
        <v>46247</v>
      </c>
      <c r="E175" s="148">
        <f t="shared" ref="E175" si="609">D175+G175-1</f>
        <v>46302</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x14ac:dyDescent="0.4">
      <c r="A176" s="33"/>
      <c r="B176" s="47" t="s">
        <v>271</v>
      </c>
      <c r="C176" s="42"/>
      <c r="D176" s="116">
        <f t="shared" si="606"/>
        <v>46290</v>
      </c>
      <c r="E176" s="116">
        <f>D176+G176</f>
        <v>46346</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x14ac:dyDescent="0.4">
      <c r="A177" s="33"/>
      <c r="B177" s="47" t="s">
        <v>272</v>
      </c>
      <c r="C177" s="42"/>
      <c r="D177" s="116">
        <f t="shared" si="606"/>
        <v>46462</v>
      </c>
      <c r="E177" s="116">
        <f t="shared" ref="E177" si="610">D177+G177</f>
        <v>46518</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x14ac:dyDescent="0.4">
      <c r="A178" s="33"/>
      <c r="B178" s="202" t="s">
        <v>253</v>
      </c>
      <c r="C178" s="203" t="s">
        <v>119</v>
      </c>
      <c r="D178" s="204">
        <f t="shared" si="606"/>
        <v>46302</v>
      </c>
      <c r="E178" s="204">
        <f>D178+G178-1</f>
        <v>46387</v>
      </c>
      <c r="F178" s="14"/>
      <c r="G178" s="14">
        <v>86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x14ac:dyDescent="0.4">
      <c r="A179" s="33"/>
      <c r="B179" s="47" t="s">
        <v>271</v>
      </c>
      <c r="C179" s="42"/>
      <c r="D179" s="116">
        <f t="shared" si="606"/>
        <v>46346</v>
      </c>
      <c r="E179" s="116">
        <f>D179+G179</f>
        <v>46402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x14ac:dyDescent="0.4">
      <c r="A180" s="33"/>
      <c r="B180" s="47" t="s">
        <v>272</v>
      </c>
      <c r="C180" s="42"/>
      <c r="D180" s="116">
        <v>46374</v>
      </c>
      <c r="E180" s="116">
        <f t="shared" ref="E180" si="611">D180+G180</f>
        <v>46430</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x14ac:dyDescent="0.4">
      <c r="A181" s="33"/>
      <c r="B181" s="47" t="s">
        <v>271</v>
      </c>
      <c r="C181" s="42"/>
      <c r="D181" s="116">
        <f>E179</f>
        <v>46402</v>
      </c>
      <c r="E181" s="116">
        <f>D181+G181</f>
        <v>46458</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x14ac:dyDescent="0.4">
      <c r="A182" s="33"/>
      <c r="B182" s="47" t="s">
        <v>272</v>
      </c>
      <c r="C182" s="42"/>
      <c r="D182" s="116">
        <f>E180</f>
        <v>46430</v>
      </c>
      <c r="E182" s="116">
        <f t="shared" ref="E182" si="612">D182+G182</f>
        <v>46486</v>
      </c>
      <c r="F182" s="14"/>
      <c r="G182" s="14">
        <v>56</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x14ac:dyDescent="0.4">
      <c r="A183" s="33"/>
      <c r="B183" s="83" t="s">
        <v>275</v>
      </c>
      <c r="C183" s="141"/>
      <c r="D183" s="124"/>
      <c r="E183" s="125"/>
      <c r="F183" s="14"/>
      <c r="G183" s="14" t="str">
        <f t="shared" si="586"/>
        <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x14ac:dyDescent="0.4">
      <c r="A184" s="33" t="s">
        <v>236</v>
      </c>
      <c r="B184" s="84" t="s">
        <v>271</v>
      </c>
      <c r="C184" s="137" t="s">
        <v>62</v>
      </c>
      <c r="D184" s="117">
        <f>E184-G184</f>
        <v>45853</v>
      </c>
      <c r="E184" s="117">
        <v>45898</v>
      </c>
      <c r="F184" s="14"/>
      <c r="G184" s="14">
        <v>45</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x14ac:dyDescent="0.4">
      <c r="A185" s="33"/>
      <c r="B185" s="21" t="s">
        <v>276</v>
      </c>
      <c r="C185" s="143"/>
      <c r="D185" s="127"/>
      <c r="E185" s="128"/>
      <c r="F185" s="14"/>
      <c r="G185" s="14"/>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x14ac:dyDescent="0.4">
      <c r="A186" s="33"/>
      <c r="B186" s="82" t="s">
        <v>246</v>
      </c>
      <c r="C186" s="138" t="s">
        <v>277</v>
      </c>
      <c r="D186" s="119">
        <v>45735</v>
      </c>
      <c r="E186" s="119">
        <v>45814</v>
      </c>
      <c r="F186" s="14"/>
      <c r="G186" s="14">
        <v>79</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x14ac:dyDescent="0.4">
      <c r="A187" s="33"/>
      <c r="B187" s="82" t="s">
        <v>246</v>
      </c>
      <c r="C187" s="138" t="s">
        <v>269</v>
      </c>
      <c r="D187" s="119">
        <v>45817</v>
      </c>
      <c r="E187" s="119">
        <v>45870</v>
      </c>
      <c r="F187" s="14"/>
      <c r="G187" s="14">
        <v>53</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x14ac:dyDescent="0.4">
      <c r="A188" s="33"/>
      <c r="B188" s="82" t="s">
        <v>242</v>
      </c>
      <c r="C188" s="138" t="s">
        <v>278</v>
      </c>
      <c r="D188" s="119">
        <v>45873</v>
      </c>
      <c r="E188" s="119">
        <v>45898</v>
      </c>
      <c r="F188" s="14"/>
      <c r="G188" s="14">
        <v>25</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x14ac:dyDescent="0.4">
      <c r="A189" s="33"/>
      <c r="B189" s="82"/>
      <c r="C189" s="138"/>
      <c r="D189" s="119"/>
      <c r="E189" s="119"/>
      <c r="F189" s="14"/>
      <c r="G189" s="14">
        <v>25</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x14ac:dyDescent="0.4">
      <c r="A190" s="33"/>
      <c r="B190" s="103" t="s">
        <v>279</v>
      </c>
      <c r="C190" s="108"/>
      <c r="D190" s="129"/>
      <c r="E190" s="130"/>
      <c r="F190" s="104" t="s">
        <v>280</v>
      </c>
      <c r="G190" s="104" t="s">
        <v>280</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x14ac:dyDescent="0.4">
      <c r="A191" s="33"/>
      <c r="B191" s="105" t="s">
        <v>245</v>
      </c>
      <c r="C191" s="144" t="s">
        <v>281</v>
      </c>
      <c r="D191" s="109">
        <v>45818</v>
      </c>
      <c r="E191" s="109">
        <v>45870</v>
      </c>
      <c r="F191" s="106" t="s">
        <v>280</v>
      </c>
      <c r="G191" s="106">
        <v>52</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x14ac:dyDescent="0.4">
      <c r="A192" s="33"/>
      <c r="B192" s="105" t="s">
        <v>245</v>
      </c>
      <c r="C192" s="144" t="s">
        <v>240</v>
      </c>
      <c r="D192" s="109">
        <v>45873</v>
      </c>
      <c r="E192" s="109">
        <v>45929</v>
      </c>
      <c r="F192" s="106" t="s">
        <v>280</v>
      </c>
      <c r="G192" s="106">
        <v>56</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x14ac:dyDescent="0.4">
      <c r="A193" s="33"/>
      <c r="B193" s="24" t="s">
        <v>282</v>
      </c>
      <c r="C193" s="140"/>
      <c r="D193" s="121"/>
      <c r="E193" s="122"/>
      <c r="F193" s="14"/>
      <c r="G193" s="14"/>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x14ac:dyDescent="0.4">
      <c r="A194" s="33"/>
      <c r="B194" s="85" t="s">
        <v>242</v>
      </c>
      <c r="C194" s="145" t="s">
        <v>266</v>
      </c>
      <c r="D194" s="123">
        <f>E158+3</f>
        <v>45999</v>
      </c>
      <c r="E194" s="123">
        <v>46028</v>
      </c>
      <c r="F194" s="14"/>
      <c r="G194" s="14">
        <f>E194-D194</f>
        <v>29</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x14ac:dyDescent="0.4">
      <c r="A195" s="33"/>
      <c r="B195" s="85" t="s">
        <v>246</v>
      </c>
      <c r="C195" s="145" t="s">
        <v>277</v>
      </c>
      <c r="D195" s="123">
        <v>46048</v>
      </c>
      <c r="E195" s="123">
        <f>D195+53</f>
        <v>46101</v>
      </c>
      <c r="F195" s="14"/>
      <c r="G195" s="14">
        <f>E195-D195</f>
        <v>53</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x14ac:dyDescent="0.4">
      <c r="A196" s="33"/>
      <c r="B196" s="85" t="s">
        <v>242</v>
      </c>
      <c r="C196" s="145" t="s">
        <v>283</v>
      </c>
      <c r="D196" s="123">
        <v>46090</v>
      </c>
      <c r="E196" s="230">
        <f>D196+53</f>
        <v>46143</v>
      </c>
      <c r="F196" s="14"/>
      <c r="G196" s="14">
        <f>E196-D196</f>
        <v>53</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x14ac:dyDescent="0.4">
      <c r="A197" s="33"/>
      <c r="B197" s="85" t="s">
        <v>245</v>
      </c>
      <c r="C197" s="145" t="s">
        <v>281</v>
      </c>
      <c r="D197" s="230">
        <v>46153</v>
      </c>
      <c r="E197" s="123">
        <f>D197+53</f>
        <v>46206</v>
      </c>
      <c r="F197" s="14"/>
      <c r="G197" s="14">
        <f>E197-D197</f>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x14ac:dyDescent="0.4">
      <c r="A198" s="33"/>
      <c r="B198" s="85" t="s">
        <v>246</v>
      </c>
      <c r="C198" s="145" t="s">
        <v>300</v>
      </c>
      <c r="D198" s="123">
        <v>46209</v>
      </c>
      <c r="E198" s="123">
        <f>D198+G198</f>
        <v>46262</v>
      </c>
      <c r="F198" s="14"/>
      <c r="G198" s="14">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x14ac:dyDescent="0.4">
      <c r="A199" s="33"/>
      <c r="B199" s="85"/>
      <c r="C199" s="145"/>
      <c r="D199" s="123"/>
      <c r="E199" s="123"/>
      <c r="F199" s="14"/>
      <c r="G199" s="14"/>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x14ac:dyDescent="0.4">
      <c r="A200" s="33"/>
      <c r="B200" s="85"/>
      <c r="C200" s="145"/>
      <c r="D200" s="123"/>
      <c r="E200" s="123"/>
      <c r="F200" s="14"/>
      <c r="G200" s="14"/>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x14ac:dyDescent="0.4">
      <c r="A201" s="33"/>
      <c r="B201" s="49"/>
      <c r="C201" s="45"/>
      <c r="D201" s="131"/>
      <c r="E201" s="131"/>
      <c r="F201" s="14"/>
      <c r="G201" s="14">
        <v>111</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thickBot="1" x14ac:dyDescent="0.4">
      <c r="A202" s="33" t="s">
        <v>284</v>
      </c>
      <c r="B202" s="25" t="s">
        <v>285</v>
      </c>
      <c r="C202" s="26"/>
      <c r="D202" s="132"/>
      <c r="E202" s="133"/>
      <c r="F202" s="28"/>
      <c r="G202" s="28" t="str">
        <f t="shared" si="586"/>
        <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409.6" thickBot="1" x14ac:dyDescent="0.4">
      <c r="A203" s="34" t="s">
        <v>286</v>
      </c>
      <c r="B203"/>
      <c r="C203" s="5"/>
      <c r="D203" s="111"/>
      <c r="E203" s="111"/>
      <c r="F203"/>
      <c r="G203"/>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c r="AJ203" s="31"/>
      <c r="AK203" s="31"/>
      <c r="AL203" s="31"/>
      <c r="AM203" s="31"/>
      <c r="AN203" s="31"/>
      <c r="AO203" s="31"/>
      <c r="AP203" s="31"/>
      <c r="AQ203" s="31"/>
      <c r="AR203" s="31"/>
      <c r="AS203" s="31"/>
      <c r="AT203" s="31"/>
      <c r="AU203" s="31"/>
      <c r="AV203" s="31"/>
      <c r="AW203" s="31"/>
      <c r="AX203" s="31"/>
      <c r="AY203" s="31"/>
      <c r="AZ203" s="31"/>
      <c r="BA203" s="31"/>
      <c r="BB203" s="31"/>
      <c r="BC203" s="31"/>
      <c r="BD203" s="31"/>
      <c r="BE203" s="31"/>
      <c r="BF203" s="31"/>
      <c r="BG203" s="31"/>
      <c r="BH203" s="31"/>
      <c r="BI203" s="31"/>
      <c r="BJ203" s="31"/>
      <c r="BK203" s="31"/>
      <c r="BL203" s="31"/>
      <c r="BM203" s="31"/>
      <c r="BN203" s="31"/>
      <c r="BO203" s="31"/>
      <c r="BP203" s="31"/>
      <c r="BQ203" s="31"/>
      <c r="BR203" s="31"/>
      <c r="BS203" s="31"/>
      <c r="BT203" s="31"/>
      <c r="BU203" s="31"/>
      <c r="BV203" s="31"/>
      <c r="BW203" s="31"/>
      <c r="BX203" s="31"/>
      <c r="BY203" s="31"/>
      <c r="BZ203" s="31"/>
      <c r="CA203" s="31"/>
      <c r="CB203" s="31"/>
      <c r="CC203" s="31"/>
      <c r="CD203" s="31"/>
      <c r="CE203" s="31"/>
      <c r="CF203" s="31"/>
      <c r="CG203" s="31"/>
      <c r="CH203" s="31"/>
      <c r="CI203" s="31"/>
      <c r="CJ203" s="31"/>
      <c r="CK203" s="31"/>
      <c r="CL203" s="31"/>
      <c r="CM203" s="31"/>
      <c r="CN203" s="31"/>
      <c r="CO203" s="31"/>
      <c r="CP203" s="31"/>
      <c r="CQ203" s="31"/>
      <c r="CR203" s="31"/>
      <c r="CS203" s="31"/>
      <c r="CT203" s="31"/>
      <c r="CU203" s="31"/>
      <c r="CV203" s="31"/>
      <c r="CW203" s="31"/>
      <c r="CX203" s="31"/>
      <c r="CY203" s="31"/>
      <c r="CZ203" s="31"/>
      <c r="DA203" s="31"/>
      <c r="DB203" s="31"/>
      <c r="DC203" s="31"/>
      <c r="DD203" s="31"/>
      <c r="DE203" s="31"/>
      <c r="DF203" s="31"/>
      <c r="DG203" s="31"/>
      <c r="DH203" s="31"/>
      <c r="DI203" s="31"/>
      <c r="DJ203" s="31"/>
      <c r="DK203" s="31"/>
      <c r="DL203" s="31"/>
      <c r="DM203" s="31"/>
      <c r="DN203" s="31"/>
      <c r="DO203" s="31"/>
      <c r="DP203" s="31"/>
      <c r="DQ203" s="31"/>
      <c r="DR203" s="31"/>
      <c r="DS203" s="31"/>
      <c r="DT203" s="31"/>
      <c r="DU203" s="31"/>
      <c r="DV203" s="31"/>
      <c r="DW203" s="31"/>
      <c r="DX203" s="31"/>
      <c r="DY203" s="31"/>
      <c r="DZ203" s="31"/>
      <c r="EA203" s="31"/>
      <c r="EB203" s="31"/>
      <c r="EC203" s="31"/>
      <c r="ED203" s="31"/>
      <c r="EE203" s="31"/>
      <c r="EF203" s="31"/>
      <c r="EG203" s="31"/>
      <c r="EH203" s="31"/>
      <c r="EI203" s="31"/>
      <c r="EJ203" s="31"/>
      <c r="EK203" s="31"/>
      <c r="EL203" s="31"/>
      <c r="EM203" s="31"/>
      <c r="EN203" s="31"/>
      <c r="EO203" s="31"/>
      <c r="EP203" s="31"/>
      <c r="EQ203" s="31"/>
      <c r="ER203" s="31"/>
      <c r="ES203" s="31"/>
      <c r="ET203" s="31"/>
      <c r="EU203" s="31"/>
      <c r="EV203" s="31"/>
      <c r="EW203" s="31"/>
      <c r="EX203" s="31"/>
      <c r="EY203" s="31"/>
      <c r="EZ203" s="31"/>
      <c r="FA203" s="31"/>
      <c r="FB203" s="31"/>
      <c r="FC203" s="31"/>
      <c r="FD203" s="31"/>
      <c r="FE203" s="31"/>
      <c r="FF203" s="31"/>
      <c r="FG203" s="31"/>
      <c r="FH203" s="31"/>
      <c r="FI203" s="31"/>
      <c r="FJ203" s="31"/>
      <c r="FK203" s="31"/>
      <c r="FL203" s="31"/>
      <c r="FM203" s="31"/>
      <c r="FN203" s="31"/>
      <c r="FO203" s="31"/>
      <c r="FP203" s="31"/>
      <c r="FQ203" s="31"/>
      <c r="FR203" s="31"/>
      <c r="FS203" s="31"/>
      <c r="FT203" s="31"/>
      <c r="FU203" s="31"/>
      <c r="FV203" s="31"/>
      <c r="FW203" s="31"/>
      <c r="FX203" s="31"/>
      <c r="FY203" s="31"/>
      <c r="FZ203" s="31"/>
      <c r="GA203" s="31"/>
      <c r="GB203" s="31"/>
      <c r="GC203" s="31"/>
      <c r="GD203" s="31"/>
      <c r="GE203" s="31"/>
      <c r="GF203" s="31"/>
      <c r="GG203" s="31"/>
      <c r="GH203" s="31"/>
      <c r="GI203" s="31"/>
      <c r="GJ203" s="31"/>
      <c r="GK203" s="31"/>
      <c r="GL203" s="31"/>
      <c r="GM203" s="31"/>
      <c r="GN203" s="31"/>
      <c r="GO203" s="31"/>
      <c r="GP203" s="31"/>
      <c r="GQ203" s="31"/>
      <c r="GR203" s="31"/>
      <c r="GS203" s="31"/>
      <c r="GT203" s="31"/>
      <c r="GU203" s="31"/>
      <c r="GV203" s="31"/>
      <c r="GW203" s="31"/>
      <c r="GX203" s="31"/>
      <c r="GY203" s="31"/>
      <c r="GZ203" s="31"/>
      <c r="HA203" s="31"/>
      <c r="HB203" s="31"/>
      <c r="HC203" s="31"/>
      <c r="HD203" s="31"/>
      <c r="HE203" s="31"/>
      <c r="HF203" s="31"/>
      <c r="HG203" s="31"/>
      <c r="HH203" s="31"/>
      <c r="HI203" s="31"/>
      <c r="HJ203" s="31"/>
      <c r="HK203" s="31"/>
      <c r="HL203" s="31"/>
      <c r="HM203" s="31"/>
      <c r="HN203" s="31"/>
      <c r="HO203" s="31"/>
      <c r="HP203" s="31"/>
      <c r="HQ203" s="31"/>
      <c r="HR203" s="31"/>
      <c r="HS203" s="31"/>
      <c r="HT203" s="31"/>
      <c r="HU203" s="31"/>
      <c r="HV203" s="31"/>
      <c r="HW203" s="31"/>
      <c r="HX203" s="31"/>
      <c r="HY203" s="31"/>
      <c r="HZ203" s="31"/>
      <c r="IA203" s="31"/>
      <c r="IB203" s="31"/>
      <c r="IC203" s="31"/>
      <c r="ID203" s="31"/>
      <c r="IE203" s="31"/>
      <c r="IF203" s="31"/>
      <c r="IG203" s="31"/>
      <c r="IH203" s="31"/>
      <c r="II203" s="31"/>
      <c r="IJ203" s="31"/>
      <c r="IK203" s="31"/>
      <c r="IL203" s="31"/>
      <c r="IM203" s="31"/>
      <c r="IN203" s="31"/>
      <c r="IO203" s="31"/>
      <c r="IP203" s="31"/>
      <c r="IQ203" s="31"/>
      <c r="IR203" s="31"/>
      <c r="IS203" s="31"/>
      <c r="IT203" s="31"/>
      <c r="IU203" s="31"/>
      <c r="IV203" s="31"/>
      <c r="IW203" s="31"/>
      <c r="IX203" s="31"/>
      <c r="IY203" s="31"/>
      <c r="IZ203" s="31"/>
      <c r="JA203" s="31"/>
      <c r="JB203" s="31"/>
      <c r="JC203" s="31"/>
      <c r="JD203" s="31"/>
      <c r="JE203" s="31"/>
      <c r="JF203" s="31"/>
      <c r="JG203" s="31"/>
      <c r="JH203" s="31"/>
      <c r="JI203" s="31"/>
      <c r="JJ203" s="31"/>
      <c r="JK203" s="31"/>
      <c r="JL203" s="31"/>
      <c r="JM203" s="31"/>
      <c r="JN203" s="31"/>
      <c r="JO203" s="31"/>
      <c r="JP203" s="31"/>
      <c r="JQ203" s="31"/>
      <c r="JR203" s="31"/>
      <c r="JS203" s="31"/>
      <c r="JT203" s="31"/>
      <c r="JU203" s="31"/>
      <c r="JV203" s="31"/>
      <c r="JW203" s="31"/>
      <c r="JX203" s="31"/>
      <c r="JY203" s="31"/>
      <c r="JZ203" s="31"/>
      <c r="KA203" s="31"/>
      <c r="KB203" s="31"/>
      <c r="KC203" s="31"/>
      <c r="KD203" s="31"/>
      <c r="KE203" s="31"/>
      <c r="KF203" s="31"/>
      <c r="KG203" s="31"/>
      <c r="KH203" s="31"/>
      <c r="KI203" s="31"/>
      <c r="KJ203" s="31"/>
      <c r="KK203" s="31"/>
      <c r="KL203" s="31"/>
      <c r="KM203" s="31"/>
      <c r="KN203" s="31"/>
      <c r="KO203" s="31"/>
      <c r="KP203" s="31"/>
      <c r="KQ203" s="31"/>
      <c r="KR203" s="31"/>
      <c r="KS203" s="31"/>
      <c r="KT203" s="31"/>
      <c r="KU203" s="31"/>
      <c r="KV203" s="31"/>
      <c r="KW203" s="31"/>
      <c r="KX203" s="31"/>
      <c r="KY203" s="31"/>
      <c r="KZ203" s="31"/>
      <c r="LA203" s="31"/>
      <c r="LB203" s="31"/>
      <c r="LC203" s="31"/>
      <c r="LD203" s="31"/>
      <c r="LE203" s="31"/>
      <c r="LF203" s="31"/>
      <c r="LG203" s="31"/>
      <c r="LH203" s="31"/>
      <c r="LI203" s="31"/>
      <c r="LJ203" s="31"/>
      <c r="LK203" s="31"/>
      <c r="LL203" s="31"/>
      <c r="LM203" s="31"/>
      <c r="LN203" s="31"/>
      <c r="LO203" s="31"/>
      <c r="LP203" s="31"/>
      <c r="LQ203" s="31"/>
      <c r="LR203" s="31"/>
      <c r="LS203" s="31"/>
      <c r="LT203" s="31"/>
      <c r="LU203" s="31"/>
      <c r="LV203" s="31"/>
      <c r="LW203" s="31"/>
      <c r="LX203" s="31"/>
      <c r="LY203" s="31"/>
      <c r="LZ203" s="31"/>
      <c r="MA203" s="31"/>
      <c r="MB203" s="31"/>
      <c r="MC203" s="31"/>
      <c r="MD203" s="31"/>
      <c r="ME203" s="31"/>
      <c r="MF203" s="31"/>
      <c r="MG203" s="31"/>
      <c r="MH203" s="31"/>
      <c r="MI203" s="31"/>
      <c r="MJ203" s="31"/>
      <c r="MK203" s="31"/>
      <c r="ML203" s="31"/>
      <c r="MM203" s="31"/>
      <c r="MN203" s="31"/>
      <c r="MO203" s="31"/>
      <c r="MP203" s="31"/>
      <c r="MQ203" s="31"/>
      <c r="MR203" s="31"/>
      <c r="MS203" s="31"/>
      <c r="MT203" s="31"/>
      <c r="MU203" s="31"/>
      <c r="MV203" s="31"/>
      <c r="MW203" s="31"/>
      <c r="MX203" s="31"/>
      <c r="MY203" s="31"/>
      <c r="MZ203" s="31"/>
      <c r="NA203" s="31"/>
      <c r="NB203" s="31"/>
      <c r="NC203" s="31"/>
      <c r="ND203" s="31"/>
      <c r="NE203" s="31"/>
      <c r="NF203" s="31"/>
      <c r="NG203" s="31"/>
      <c r="NH203" s="31"/>
      <c r="NI203" s="31"/>
      <c r="NJ203" s="31"/>
      <c r="NK203" s="31"/>
      <c r="NL203" s="31"/>
      <c r="NM203" s="31"/>
      <c r="NN203" s="31"/>
      <c r="NO203" s="31"/>
      <c r="NP203" s="31"/>
      <c r="NQ203" s="31"/>
      <c r="NR203" s="31"/>
      <c r="NS203" s="31"/>
      <c r="NT203" s="31"/>
      <c r="NU203" s="31"/>
      <c r="NV203" s="31"/>
      <c r="NW203" s="31"/>
      <c r="NX203" s="31"/>
      <c r="NY203" s="31"/>
      <c r="NZ203" s="31"/>
      <c r="OA203" s="31"/>
      <c r="OB203" s="31"/>
      <c r="OC203" s="31"/>
      <c r="OD203" s="31"/>
      <c r="OE203" s="31"/>
      <c r="OF203" s="31"/>
      <c r="OG203" s="31"/>
      <c r="OH203" s="31"/>
      <c r="OI203" s="31"/>
      <c r="OJ203" s="31"/>
      <c r="OK203" s="31"/>
      <c r="OL203" s="31"/>
      <c r="OM203" s="31"/>
      <c r="ON203" s="31"/>
      <c r="OO203" s="31"/>
      <c r="OP203" s="31"/>
      <c r="OQ203" s="31"/>
      <c r="OR203" s="31"/>
      <c r="OS203" s="31"/>
      <c r="OT203" s="31"/>
      <c r="OU203" s="31"/>
      <c r="OV203" s="31"/>
      <c r="OW203" s="31"/>
      <c r="OX203" s="31"/>
      <c r="OY203" s="31"/>
      <c r="OZ203" s="31"/>
      <c r="PA203" s="31"/>
      <c r="PB203" s="31"/>
      <c r="PC203" s="31"/>
      <c r="PD203" s="31"/>
      <c r="PE203" s="31"/>
      <c r="PF203" s="31"/>
      <c r="PG203" s="31"/>
      <c r="PH203" s="31"/>
      <c r="PI203" s="31"/>
      <c r="PJ203" s="31"/>
      <c r="PK203" s="31"/>
      <c r="PL203" s="31"/>
      <c r="PM203" s="31"/>
      <c r="PN203" s="31"/>
      <c r="PO203" s="31"/>
      <c r="PP203" s="31"/>
      <c r="PQ203" s="31"/>
      <c r="PR203" s="31"/>
      <c r="PS203" s="31"/>
      <c r="PT203" s="31"/>
      <c r="PU203" s="31"/>
      <c r="PV203" s="31"/>
      <c r="PW203" s="31"/>
      <c r="PX203" s="31"/>
      <c r="PY203" s="31"/>
      <c r="PZ203" s="31"/>
      <c r="QA203" s="31"/>
      <c r="QB203" s="31"/>
      <c r="QC203" s="31"/>
      <c r="QD203" s="31"/>
      <c r="QE203" s="31"/>
      <c r="QF203" s="31"/>
      <c r="QG203" s="31"/>
      <c r="QH203" s="31"/>
      <c r="QI203" s="31"/>
      <c r="QJ203" s="31"/>
      <c r="QK203" s="31"/>
      <c r="QL203" s="31"/>
      <c r="QM203" s="31"/>
      <c r="QN203" s="31"/>
      <c r="QO203" s="31"/>
      <c r="QP203" s="31"/>
      <c r="QQ203" s="31"/>
      <c r="QR203" s="31"/>
      <c r="QS203" s="31"/>
      <c r="QT203" s="31"/>
      <c r="QU203" s="31"/>
      <c r="QV203" s="31"/>
      <c r="QW203" s="31"/>
      <c r="QX203" s="31"/>
      <c r="QY203" s="31"/>
      <c r="QZ203" s="31"/>
      <c r="RA203" s="31"/>
      <c r="RB203" s="31"/>
      <c r="RC203" s="31"/>
      <c r="RD203" s="31"/>
      <c r="RE203" s="31"/>
      <c r="RF203" s="31"/>
      <c r="RG203" s="31"/>
      <c r="RH203" s="31"/>
      <c r="RI203" s="31"/>
      <c r="RJ203" s="31"/>
      <c r="RK203" s="31"/>
      <c r="RL203" s="31"/>
      <c r="RM203" s="31"/>
      <c r="RN203" s="31"/>
      <c r="RO203" s="31"/>
      <c r="RP203" s="31"/>
      <c r="RQ203" s="31"/>
      <c r="RR203" s="31"/>
      <c r="RS203" s="31"/>
      <c r="RT203" s="31"/>
      <c r="RU203" s="31"/>
      <c r="RV203" s="31"/>
      <c r="RW203" s="31"/>
      <c r="RX203" s="31"/>
      <c r="RY203" s="31"/>
      <c r="RZ203" s="31"/>
      <c r="SA203" s="31"/>
      <c r="SB203" s="31"/>
      <c r="SC203" s="31"/>
      <c r="SD203" s="31"/>
      <c r="SE203" s="31"/>
      <c r="SF203" s="31"/>
      <c r="SG203" s="31"/>
      <c r="SH203" s="31"/>
      <c r="SI203" s="31"/>
      <c r="SJ203" s="31"/>
      <c r="SK203" s="31"/>
      <c r="SL203" s="31"/>
      <c r="SM203" s="31"/>
      <c r="SN203" s="31"/>
      <c r="SO203" s="31"/>
      <c r="SP203" s="31"/>
      <c r="SQ203" s="31"/>
      <c r="SR203" s="31"/>
      <c r="SS203" s="31"/>
      <c r="ST203" s="31"/>
      <c r="SU203" s="31"/>
      <c r="SV203" s="31"/>
      <c r="SW203" s="31"/>
      <c r="SX203" s="31"/>
      <c r="SY203" s="31"/>
      <c r="SZ203" s="31"/>
      <c r="TA203" s="31"/>
      <c r="TB203" s="31"/>
      <c r="TC203" s="31"/>
      <c r="TD203" s="31"/>
      <c r="TE203" s="31"/>
      <c r="TF203" s="31"/>
      <c r="TG203" s="31"/>
      <c r="TH203" s="31"/>
      <c r="TI203" s="31"/>
      <c r="TJ203" s="31"/>
      <c r="TK203" s="31"/>
      <c r="TL203" s="31"/>
      <c r="TM203" s="31"/>
      <c r="TN203" s="31"/>
      <c r="TO203" s="31"/>
      <c r="TP203" s="31"/>
      <c r="TQ203" s="31"/>
      <c r="TR203" s="31"/>
      <c r="TS203" s="31"/>
      <c r="TT203" s="31"/>
      <c r="TU203" s="31"/>
      <c r="TV203" s="31"/>
      <c r="TW203" s="31"/>
      <c r="TX203" s="31"/>
      <c r="TY203" s="31"/>
      <c r="TZ203" s="31"/>
      <c r="UA203" s="31"/>
      <c r="UB203" s="31"/>
      <c r="UC203" s="31"/>
      <c r="UD203" s="31"/>
      <c r="UE203" s="31"/>
      <c r="UF203" s="31"/>
      <c r="UG203" s="31"/>
      <c r="UH203" s="31"/>
      <c r="UI203" s="31"/>
      <c r="UJ203" s="31"/>
      <c r="UK203" s="31"/>
      <c r="UL203" s="31"/>
      <c r="UM203" s="31"/>
      <c r="UN203" s="31"/>
      <c r="UO203" s="31"/>
      <c r="UP203" s="31"/>
      <c r="UQ203" s="31"/>
      <c r="UR203" s="31"/>
      <c r="US203" s="31"/>
      <c r="UT203" s="31"/>
      <c r="UU203" s="31"/>
      <c r="UV203" s="31"/>
      <c r="UW203" s="31"/>
      <c r="UX203" s="31"/>
      <c r="UY203" s="31"/>
      <c r="UZ203" s="31"/>
      <c r="VA203" s="31"/>
      <c r="VB203" s="31"/>
      <c r="VC203" s="31"/>
      <c r="VD203" s="31"/>
      <c r="VE203" s="31"/>
      <c r="VF203" s="31"/>
      <c r="VG203" s="31"/>
      <c r="VH203" s="31"/>
      <c r="VI203" s="31"/>
      <c r="VJ203" s="31"/>
      <c r="VK203" s="31"/>
      <c r="VL203" s="31"/>
      <c r="VM203" s="31"/>
      <c r="VN203" s="31"/>
      <c r="VO203" s="31"/>
      <c r="VP203" s="31"/>
      <c r="VQ203" s="31"/>
      <c r="VR203" s="31"/>
      <c r="VS203" s="31"/>
      <c r="VT203" s="31"/>
      <c r="VU203" s="31"/>
      <c r="VV203" s="31"/>
      <c r="VW203" s="31"/>
      <c r="VX203" s="31"/>
      <c r="VY203" s="31"/>
      <c r="VZ203" s="31"/>
      <c r="WA203" s="31"/>
      <c r="WB203" s="31"/>
      <c r="WC203" s="31"/>
      <c r="WD203" s="31"/>
      <c r="WE203" s="31"/>
      <c r="WF203" s="31"/>
      <c r="WG203" s="31"/>
      <c r="WH203" s="31"/>
      <c r="WI203" s="31"/>
      <c r="WJ203" s="31"/>
      <c r="WK203" s="31"/>
      <c r="WL203" s="31"/>
      <c r="WM203" s="31"/>
      <c r="WN203" s="31"/>
      <c r="WO203" s="31"/>
      <c r="WP203" s="31"/>
      <c r="WQ203" s="31"/>
      <c r="WR203" s="31"/>
      <c r="WS203"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4:E164"/>
    <mergeCell ref="B65:E65"/>
    <mergeCell ref="B88:E88"/>
    <mergeCell ref="B90:E90"/>
    <mergeCell ref="B93:E93"/>
    <mergeCell ref="B163:E163"/>
    <mergeCell ref="B100:E100"/>
    <mergeCell ref="B101:E101"/>
    <mergeCell ref="B157:E157"/>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3 H135:I203">
    <cfRule type="expression" dxfId="67" priority="212">
      <formula>AND(TODAY()&gt;=H$5,TODAY()&lt;J$5)</formula>
    </cfRule>
  </conditionalFormatting>
  <conditionalFormatting sqref="H7:I103 H135:I203">
    <cfRule type="expression" dxfId="66" priority="220" stopIfTrue="1">
      <formula>AND(Término_da_tarefa&gt;=H$5,Início_da_tarefa&lt;J$5)</formula>
    </cfRule>
  </conditionalFormatting>
  <conditionalFormatting sqref="H48:WS103 H7:BL13 BM9:FZ13 GA9:WS47 H14:FZ47 LE75:LF172 J104:WS134 H135:WS203 LE183:LF250">
    <cfRule type="expression" dxfId="65" priority="203">
      <formula>AND(Início_da_tarefa&lt;=H$5,ROUNDDOWN((Término_da_tarefa-Início_da_tarefa+1)*Progresso_da_tarefa,0)+Início_da_tarefa-1&gt;=H$5)</formula>
    </cfRule>
  </conditionalFormatting>
  <conditionalFormatting sqref="J5:BL13 BM9:FZ13 GA9:WS47 J14:FZ47 J48:WS203 LE183:LF250 BM5:GN6">
    <cfRule type="expression" dxfId="64" priority="209">
      <formula>AND(TODAY()&gt;=J$5,TODAY()&lt;K$5)</formula>
    </cfRule>
  </conditionalFormatting>
  <conditionalFormatting sqref="J7:BL13 BM9:FZ13 GA9:WS47 J14:FZ47 J48:WS203 LE183:LF250">
    <cfRule type="expression" dxfId="63" priority="204" stopIfTrue="1">
      <formula>AND(Término_da_tarefa&gt;=J$5,Início_da_tarefa&lt;K$5)</formula>
    </cfRule>
  </conditionalFormatting>
  <conditionalFormatting sqref="BM8:WS8">
    <cfRule type="expression" dxfId="62" priority="9">
      <formula>AND(Início_da_tarefa&lt;=BM$5,ROUNDDOWN((Término_da_tarefa-Início_da_tarefa+1)*Progresso_da_tarefa,0)+Início_da_tarefa-1&gt;=BM$5)</formula>
    </cfRule>
    <cfRule type="expression" dxfId="61" priority="10" stopIfTrue="1">
      <formula>AND(Término_da_tarefa&gt;=BM$5,Início_da_tarefa&lt;BN$5)</formula>
    </cfRule>
    <cfRule type="expression" dxfId="60" priority="11">
      <formula>AND(TODAY()&gt;=BM$5,TODAY()&lt;BN$5)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4" stopIfTrue="1">
      <formula>AND(Término_da_tarefa&gt;=LE$5,Início_da_tarefa&lt;LF$5)</formula>
    </cfRule>
    <cfRule type="expression" dxfId="14" priority="5">
      <formula>AND(TODAY()&gt;=LE$5,TODAY()&lt;LF$5)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C184 C10:C64 C66:C80 C82:C87 C102:C133 C135:C153 C165:C182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3" customWidth="1"/>
    <col min="2" max="2" width="19.54296875" customWidth="1"/>
    <col min="3" max="3" width="15" bestFit="1" customWidth="1"/>
    <col min="4" max="4" width="16.453125" customWidth="1"/>
    <col min="5" max="5" width="10.453125" style="5" customWidth="1"/>
    <col min="6" max="6" width="10.453125" customWidth="1"/>
    <col min="7" max="7" width="2.45312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4" t="s">
        <v>287</v>
      </c>
      <c r="B1" s="37" t="s">
        <v>288</v>
      </c>
      <c r="C1" s="1"/>
      <c r="D1" s="2"/>
      <c r="E1" s="4"/>
      <c r="F1" s="32"/>
      <c r="H1" s="2"/>
      <c r="I1" s="51" t="s">
        <v>289</v>
      </c>
    </row>
    <row r="2" spans="1:239" ht="30" customHeight="1" x14ac:dyDescent="0.45">
      <c r="A2" s="33" t="s">
        <v>200</v>
      </c>
      <c r="B2" s="38" t="s">
        <v>290</v>
      </c>
      <c r="I2" s="160"/>
    </row>
    <row r="3" spans="1:239" ht="33" customHeight="1" x14ac:dyDescent="0.35">
      <c r="A3" s="33" t="s">
        <v>201</v>
      </c>
      <c r="B3" s="70" t="s">
        <v>202</v>
      </c>
      <c r="C3" s="69">
        <f>Início_do_projeto+120</f>
        <v>46051</v>
      </c>
      <c r="D3" s="68" t="s">
        <v>203</v>
      </c>
      <c r="E3" s="226">
        <v>45931</v>
      </c>
      <c r="F3" s="226"/>
      <c r="G3" s="64"/>
    </row>
    <row r="4" spans="1:239" ht="30" customHeight="1" x14ac:dyDescent="0.35">
      <c r="A4" s="34" t="s">
        <v>204</v>
      </c>
      <c r="C4" s="227" t="s">
        <v>205</v>
      </c>
      <c r="D4" s="228"/>
      <c r="E4" s="7">
        <v>1</v>
      </c>
      <c r="I4" s="223">
        <f>I5</f>
        <v>45929</v>
      </c>
      <c r="J4" s="224"/>
      <c r="K4" s="224"/>
      <c r="L4" s="224"/>
      <c r="M4" s="224"/>
      <c r="N4" s="224"/>
      <c r="O4" s="225"/>
      <c r="P4" s="223">
        <f>P5</f>
        <v>45936</v>
      </c>
      <c r="Q4" s="224"/>
      <c r="R4" s="224"/>
      <c r="S4" s="224"/>
      <c r="T4" s="224"/>
      <c r="U4" s="224"/>
      <c r="V4" s="225"/>
      <c r="W4" s="223">
        <f>W5</f>
        <v>45943</v>
      </c>
      <c r="X4" s="224"/>
      <c r="Y4" s="224"/>
      <c r="Z4" s="224"/>
      <c r="AA4" s="224"/>
      <c r="AB4" s="224"/>
      <c r="AC4" s="225"/>
      <c r="AD4" s="223">
        <f>AD5</f>
        <v>45950</v>
      </c>
      <c r="AE4" s="224"/>
      <c r="AF4" s="224"/>
      <c r="AG4" s="224"/>
      <c r="AH4" s="224"/>
      <c r="AI4" s="224"/>
      <c r="AJ4" s="225"/>
      <c r="AK4" s="223">
        <f>AK5</f>
        <v>45957</v>
      </c>
      <c r="AL4" s="224"/>
      <c r="AM4" s="224"/>
      <c r="AN4" s="224"/>
      <c r="AO4" s="224"/>
      <c r="AP4" s="224"/>
      <c r="AQ4" s="225"/>
      <c r="AR4" s="223">
        <f>AR5</f>
        <v>45964</v>
      </c>
      <c r="AS4" s="224"/>
      <c r="AT4" s="224"/>
      <c r="AU4" s="224"/>
      <c r="AV4" s="224"/>
      <c r="AW4" s="224"/>
      <c r="AX4" s="225"/>
      <c r="AY4" s="223">
        <f>AY5</f>
        <v>45971</v>
      </c>
      <c r="AZ4" s="224"/>
      <c r="BA4" s="224"/>
      <c r="BB4" s="224"/>
      <c r="BC4" s="224"/>
      <c r="BD4" s="224"/>
      <c r="BE4" s="225"/>
      <c r="BF4" s="223">
        <f>BF5</f>
        <v>45978</v>
      </c>
      <c r="BG4" s="224"/>
      <c r="BH4" s="224"/>
      <c r="BI4" s="224"/>
      <c r="BJ4" s="224"/>
      <c r="BK4" s="224"/>
      <c r="BL4" s="225"/>
      <c r="BM4" s="223">
        <f>BM5</f>
        <v>45985</v>
      </c>
      <c r="BN4" s="224"/>
      <c r="BO4" s="224"/>
      <c r="BP4" s="224"/>
      <c r="BQ4" s="224"/>
      <c r="BR4" s="224"/>
      <c r="BS4" s="225"/>
      <c r="BT4" s="223">
        <f>BT5</f>
        <v>45992</v>
      </c>
      <c r="BU4" s="224"/>
      <c r="BV4" s="224"/>
      <c r="BW4" s="224"/>
      <c r="BX4" s="224"/>
      <c r="BY4" s="224"/>
      <c r="BZ4" s="225"/>
      <c r="CA4" s="223">
        <f>CA5</f>
        <v>45999</v>
      </c>
      <c r="CB4" s="224"/>
      <c r="CC4" s="224"/>
      <c r="CD4" s="224"/>
      <c r="CE4" s="224"/>
      <c r="CF4" s="224"/>
      <c r="CG4" s="225"/>
      <c r="CH4" s="223">
        <f>CH5</f>
        <v>46006</v>
      </c>
      <c r="CI4" s="224"/>
      <c r="CJ4" s="224"/>
      <c r="CK4" s="224"/>
      <c r="CL4" s="224"/>
      <c r="CM4" s="224"/>
      <c r="CN4" s="225"/>
      <c r="CO4" s="223">
        <f>CO5</f>
        <v>46013</v>
      </c>
      <c r="CP4" s="224"/>
      <c r="CQ4" s="224"/>
      <c r="CR4" s="224"/>
      <c r="CS4" s="224"/>
      <c r="CT4" s="224"/>
      <c r="CU4" s="225"/>
      <c r="CV4" s="223">
        <f>CV5</f>
        <v>46020</v>
      </c>
      <c r="CW4" s="224"/>
      <c r="CX4" s="224"/>
      <c r="CY4" s="224"/>
      <c r="CZ4" s="224"/>
      <c r="DA4" s="224"/>
      <c r="DB4" s="225"/>
      <c r="DC4" s="223">
        <f>DC5</f>
        <v>46027</v>
      </c>
      <c r="DD4" s="224"/>
      <c r="DE4" s="224"/>
      <c r="DF4" s="224"/>
      <c r="DG4" s="224"/>
      <c r="DH4" s="224"/>
      <c r="DI4" s="225"/>
      <c r="DJ4" s="223">
        <f>DJ5</f>
        <v>46034</v>
      </c>
      <c r="DK4" s="224"/>
      <c r="DL4" s="224"/>
      <c r="DM4" s="224"/>
      <c r="DN4" s="224"/>
      <c r="DO4" s="224"/>
      <c r="DP4" s="225"/>
      <c r="DQ4" s="223">
        <f>DQ5</f>
        <v>46041</v>
      </c>
      <c r="DR4" s="224"/>
      <c r="DS4" s="224"/>
      <c r="DT4" s="224"/>
      <c r="DU4" s="224"/>
      <c r="DV4" s="224"/>
      <c r="DW4" s="225"/>
      <c r="DX4" s="223">
        <f>DX5</f>
        <v>46048</v>
      </c>
      <c r="DY4" s="224"/>
      <c r="DZ4" s="224"/>
      <c r="EA4" s="224"/>
      <c r="EB4" s="224"/>
      <c r="EC4" s="224"/>
      <c r="ED4" s="225"/>
      <c r="EE4" s="223">
        <f t="shared" ref="EE4" si="0">EE5</f>
        <v>46055</v>
      </c>
      <c r="EF4" s="224"/>
      <c r="EG4" s="224"/>
      <c r="EH4" s="224"/>
      <c r="EI4" s="224"/>
      <c r="EJ4" s="224"/>
      <c r="EK4" s="225"/>
      <c r="EL4" s="223">
        <f t="shared" ref="EL4" si="1">EL5</f>
        <v>46062</v>
      </c>
      <c r="EM4" s="224"/>
      <c r="EN4" s="224"/>
      <c r="EO4" s="224"/>
      <c r="EP4" s="224"/>
      <c r="EQ4" s="224"/>
      <c r="ER4" s="225"/>
      <c r="ES4" s="223">
        <f t="shared" ref="ES4" si="2">ES5</f>
        <v>46069</v>
      </c>
      <c r="ET4" s="224"/>
      <c r="EU4" s="224"/>
      <c r="EV4" s="224"/>
      <c r="EW4" s="224"/>
      <c r="EX4" s="224"/>
      <c r="EY4" s="225"/>
      <c r="EZ4" s="223">
        <f t="shared" ref="EZ4" si="3">EZ5</f>
        <v>46076</v>
      </c>
      <c r="FA4" s="224"/>
      <c r="FB4" s="224"/>
      <c r="FC4" s="224"/>
      <c r="FD4" s="224"/>
      <c r="FE4" s="224"/>
      <c r="FF4" s="225"/>
      <c r="FG4" s="223">
        <f t="shared" ref="FG4" si="4">FG5</f>
        <v>46083</v>
      </c>
      <c r="FH4" s="224"/>
      <c r="FI4" s="224"/>
      <c r="FJ4" s="224"/>
      <c r="FK4" s="224"/>
      <c r="FL4" s="224"/>
      <c r="FM4" s="225"/>
      <c r="FN4" s="223">
        <f t="shared" ref="FN4" si="5">FN5</f>
        <v>46090</v>
      </c>
      <c r="FO4" s="224"/>
      <c r="FP4" s="224"/>
      <c r="FQ4" s="224"/>
      <c r="FR4" s="224"/>
      <c r="FS4" s="224"/>
      <c r="FT4" s="225"/>
      <c r="FU4" s="223">
        <f t="shared" ref="FU4" si="6">FU5</f>
        <v>46097</v>
      </c>
      <c r="FV4" s="224"/>
      <c r="FW4" s="224"/>
      <c r="FX4" s="224"/>
      <c r="FY4" s="224"/>
      <c r="FZ4" s="224"/>
      <c r="GA4" s="225"/>
      <c r="GB4" s="223">
        <f t="shared" ref="GB4" si="7">GB5</f>
        <v>46104</v>
      </c>
      <c r="GC4" s="224"/>
      <c r="GD4" s="224"/>
      <c r="GE4" s="224"/>
      <c r="GF4" s="224"/>
      <c r="GG4" s="224"/>
      <c r="GH4" s="225"/>
      <c r="GI4" s="223">
        <f t="shared" ref="GI4" si="8">GI5</f>
        <v>46111</v>
      </c>
      <c r="GJ4" s="224"/>
      <c r="GK4" s="224"/>
      <c r="GL4" s="224"/>
      <c r="GM4" s="224"/>
      <c r="GN4" s="224"/>
      <c r="GO4" s="225"/>
      <c r="GP4" s="223">
        <f t="shared" ref="GP4" si="9">GP5</f>
        <v>46118</v>
      </c>
      <c r="GQ4" s="224"/>
      <c r="GR4" s="224"/>
      <c r="GS4" s="224"/>
      <c r="GT4" s="224"/>
      <c r="GU4" s="224"/>
      <c r="GV4" s="225"/>
      <c r="GW4" s="223">
        <f t="shared" ref="GW4" si="10">GW5</f>
        <v>46125</v>
      </c>
      <c r="GX4" s="224"/>
      <c r="GY4" s="224"/>
      <c r="GZ4" s="224"/>
      <c r="HA4" s="224"/>
      <c r="HB4" s="224"/>
      <c r="HC4" s="225"/>
      <c r="HD4" s="223">
        <f t="shared" ref="HD4" si="11">HD5</f>
        <v>46132</v>
      </c>
      <c r="HE4" s="224"/>
      <c r="HF4" s="224"/>
      <c r="HG4" s="224"/>
      <c r="HH4" s="224"/>
      <c r="HI4" s="224"/>
      <c r="HJ4" s="225"/>
      <c r="HK4" s="223">
        <f t="shared" ref="HK4" si="12">HK5</f>
        <v>46139</v>
      </c>
      <c r="HL4" s="224"/>
      <c r="HM4" s="224"/>
      <c r="HN4" s="224"/>
      <c r="HO4" s="224"/>
      <c r="HP4" s="224"/>
      <c r="HQ4" s="225"/>
      <c r="HR4" s="223">
        <f t="shared" ref="HR4" si="13">HR5</f>
        <v>46146</v>
      </c>
      <c r="HS4" s="224"/>
      <c r="HT4" s="224"/>
      <c r="HU4" s="224"/>
      <c r="HV4" s="224"/>
      <c r="HW4" s="224"/>
      <c r="HX4" s="225"/>
      <c r="HY4" s="223">
        <f t="shared" ref="HY4" si="14">HY5</f>
        <v>46153</v>
      </c>
      <c r="HZ4" s="224"/>
      <c r="IA4" s="224"/>
      <c r="IB4" s="224"/>
      <c r="IC4" s="224"/>
      <c r="ID4" s="224"/>
      <c r="IE4" s="225"/>
    </row>
    <row r="5" spans="1:239" ht="15" customHeight="1" x14ac:dyDescent="0.35">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207</v>
      </c>
      <c r="B6" s="8" t="s">
        <v>208</v>
      </c>
      <c r="C6" s="9" t="s">
        <v>209</v>
      </c>
      <c r="D6" s="9" t="s">
        <v>291</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213</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215</v>
      </c>
      <c r="B8" s="15" t="s">
        <v>292</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217</v>
      </c>
      <c r="B9" s="46" t="s">
        <v>293</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218</v>
      </c>
      <c r="B10" s="46" t="s">
        <v>294</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295</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296</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294</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297</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294</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224</v>
      </c>
      <c r="B16" s="18" t="s">
        <v>298</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293</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294</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296</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294</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297</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294</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236</v>
      </c>
      <c r="B23" s="21" t="s">
        <v>299</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293</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294</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296</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294</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297</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294</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284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286</v>
      </c>
      <c r="B31" s="25" t="s">
        <v>285</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purl.org/dc/dcmitype/"/>
    <ds:schemaRef ds:uri="http://purl.org/dc/terms/"/>
    <ds:schemaRef ds:uri="http://schemas.microsoft.com/office/infopath/2007/PartnerControls"/>
    <ds:schemaRef ds:uri="http://purl.org/dc/elements/1.1/"/>
    <ds:schemaRef ds:uri="http://schemas.openxmlformats.org/package/2006/metadata/core-properties"/>
    <ds:schemaRef ds:uri="http://www.w3.org/XML/1998/namespace"/>
    <ds:schemaRef ds:uri="http://schemas.microsoft.com/office/2006/documentManagement/types"/>
    <ds:schemaRef ds:uri="a9f3451a-73cb-4405-a932-26db050e40a8"/>
    <ds:schemaRef ds:uri="0d1dea18-7b56-4ac7-aa1d-7834839a8030"/>
    <ds:schemaRef ds:uri="http://schemas.microsoft.com/office/2006/metadata/properties"/>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3</vt:i4>
      </vt:variant>
      <vt:variant>
        <vt:lpstr>Intervalos Nomeados</vt:lpstr>
      </vt:variant>
      <vt:variant>
        <vt:i4>11</vt:i4>
      </vt:variant>
    </vt:vector>
  </HeadingPairs>
  <TitlesOfParts>
    <vt:vector size="14" baseType="lpstr">
      <vt:lpstr>Equipe</vt:lpstr>
      <vt:lpstr>Planejamento IED</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2026-04-29T00:53:09Z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