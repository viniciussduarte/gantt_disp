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EstaPastaDeTrabalho"/>
  <xr:revisionPtr revIDLastSave="2608" documentId="101_S{B73360A1-8A99-5EFE-B3D7-B4540AB28558}" xr6:coauthVersionLast="47" xr6:coauthVersionMax="47" xr10:uidLastSave="{8782F5D0-E762-4498-8D15-B0DE76D08C01}"/>
  <bookViews>
    <workbookView xWindow="-110" yWindow="-110" windowWidth="19420" windowHeight="1030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Equipe!$A$1:$J$56</definedName>
    <definedName name="_xlnm._FilterDatabase" localSheetId="1" hidden="1">'Planejamento IED'!$A$6:$WS$61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7" i="11" l="1"/>
  <c r="E122" i="11"/>
  <c r="E181" i="11"/>
  <c r="E184" i="11"/>
  <c r="G166" i="11"/>
  <c r="E165" i="11"/>
  <c r="G102" i="11"/>
  <c r="E75" i="11" l="1"/>
  <c r="D132" i="11"/>
  <c r="E87" i="11"/>
  <c r="E86" i="11" l="1"/>
  <c r="E179" i="11" l="1"/>
  <c r="D180" i="11" s="1"/>
  <c r="E180" i="11" s="1"/>
  <c r="E62" i="11"/>
  <c r="E63" i="11"/>
  <c r="E85" i="11"/>
  <c r="E84" i="11"/>
  <c r="E83" i="11"/>
  <c r="E82" i="11"/>
  <c r="D182" i="11" l="1"/>
  <c r="E119" i="11"/>
  <c r="E200" i="11"/>
  <c r="D201" i="11" s="1"/>
  <c r="E201" i="11" s="1"/>
  <c r="D202" i="11" s="1"/>
  <c r="E202" i="11" s="1"/>
  <c r="D203" i="11" s="1"/>
  <c r="E203" i="11" s="1"/>
  <c r="E129" i="11" l="1"/>
  <c r="D130" i="11" s="1"/>
  <c r="E130" i="11" s="1"/>
  <c r="D131" i="11" s="1"/>
  <c r="E131" i="11" s="1"/>
  <c r="E61" i="11"/>
  <c r="E60" i="11"/>
  <c r="E59" i="11"/>
  <c r="E113" i="11"/>
  <c r="D116" i="11" s="1"/>
  <c r="E116" i="11" s="1"/>
  <c r="E74" i="11"/>
  <c r="E76" i="11"/>
  <c r="E77" i="11"/>
  <c r="E78" i="11"/>
  <c r="E79" i="11"/>
  <c r="E80" i="11"/>
  <c r="E58" i="11"/>
  <c r="E199" i="11"/>
  <c r="E164" i="11"/>
  <c r="E163" i="11"/>
  <c r="E162" i="11"/>
  <c r="E57" i="11"/>
  <c r="E56" i="11"/>
  <c r="E55" i="11"/>
  <c r="G107" i="11" l="1"/>
  <c r="G104" i="11"/>
  <c r="E197" i="11"/>
  <c r="E198" i="11" s="1"/>
  <c r="D196" i="11" l="1"/>
  <c r="G196" i="11" s="1"/>
  <c r="G161" i="11"/>
  <c r="G100" i="11" l="1"/>
  <c r="G163" i="11"/>
  <c r="G198" i="11"/>
  <c r="G197" i="11"/>
  <c r="G162" i="11"/>
  <c r="G199" i="11" l="1"/>
  <c r="G164" i="11"/>
  <c r="E111" i="11"/>
  <c r="D114" i="11" s="1"/>
  <c r="E71" i="11"/>
  <c r="E53" i="11" l="1"/>
  <c r="E54" i="11"/>
  <c r="E72" i="11" l="1"/>
  <c r="E51" i="11"/>
  <c r="E50" i="11"/>
  <c r="E49" i="11"/>
  <c r="E48" i="11"/>
  <c r="E112" i="11" l="1"/>
  <c r="E110" i="11"/>
  <c r="E115" i="11" l="1"/>
  <c r="E45" i="11"/>
  <c r="E46" i="11"/>
  <c r="E44" i="11"/>
  <c r="E154" i="11" l="1"/>
  <c r="E153" i="11"/>
  <c r="E152" i="11"/>
  <c r="E151" i="11"/>
  <c r="E150" i="11"/>
  <c r="G97" i="11"/>
  <c r="G98" i="11"/>
  <c r="G99" i="11"/>
  <c r="G96" i="11"/>
  <c r="E149" i="11"/>
  <c r="E148" i="11"/>
  <c r="E145" i="11"/>
  <c r="E146" i="11"/>
  <c r="E143" i="11"/>
  <c r="E142" i="11"/>
  <c r="D186" i="11"/>
  <c r="G185" i="11"/>
  <c r="E73" i="11"/>
  <c r="E109" i="11"/>
  <c r="E114" i="11" s="1"/>
  <c r="E106" i="11"/>
  <c r="E139" i="11"/>
  <c r="E138" i="11"/>
  <c r="E91" i="11"/>
  <c r="G90" i="11"/>
  <c r="D140" i="11"/>
  <c r="D141" i="11" s="1"/>
  <c r="E170" i="11"/>
  <c r="D172" i="11" s="1"/>
  <c r="E169" i="11"/>
  <c r="G168" i="11"/>
  <c r="C3" i="11"/>
  <c r="D14" i="11"/>
  <c r="E14" i="11" s="1"/>
  <c r="E13" i="11"/>
  <c r="E11" i="11"/>
  <c r="E10" i="11"/>
  <c r="E66" i="11"/>
  <c r="E118" i="11" l="1"/>
  <c r="E117" i="11"/>
  <c r="D121" i="11" s="1"/>
  <c r="D108" i="11"/>
  <c r="E108" i="11" s="1"/>
  <c r="E140" i="11"/>
  <c r="E147" i="11"/>
  <c r="E144" i="11"/>
  <c r="E141" i="11"/>
  <c r="E171" i="11"/>
  <c r="E174" i="11" s="1"/>
  <c r="D16" i="11"/>
  <c r="D15" i="11" s="1"/>
  <c r="D12" i="11"/>
  <c r="D175" i="11" l="1"/>
  <c r="E175" i="11" s="1"/>
  <c r="E121" i="11"/>
  <c r="D124" i="11" s="1"/>
  <c r="E15" i="11"/>
  <c r="D17" i="11"/>
  <c r="E17" i="11" s="1"/>
  <c r="E172" i="11"/>
  <c r="D173" i="11" s="1"/>
  <c r="E173" i="11" s="1"/>
  <c r="D120" i="11"/>
  <c r="D18" i="11"/>
  <c r="E18" i="11" s="1"/>
  <c r="E69" i="11"/>
  <c r="E16" i="11"/>
  <c r="E12" i="11"/>
  <c r="G157" i="11"/>
  <c r="F11" i="13"/>
  <c r="E11" i="13"/>
  <c r="H31" i="13"/>
  <c r="H30" i="13"/>
  <c r="H23" i="13"/>
  <c r="H16" i="13"/>
  <c r="E9" i="13"/>
  <c r="F9" i="13" s="1"/>
  <c r="H8" i="13"/>
  <c r="H7" i="13"/>
  <c r="I5" i="13"/>
  <c r="J5" i="13" s="1"/>
  <c r="K5" i="13" s="1"/>
  <c r="C3" i="13"/>
  <c r="G7" i="11"/>
  <c r="D176" i="11" l="1"/>
  <c r="E176" i="11" s="1"/>
  <c r="D177" i="11" s="1"/>
  <c r="E177" i="11" s="1"/>
  <c r="E120" i="11"/>
  <c r="D123" i="11" s="1"/>
  <c r="E124" i="11"/>
  <c r="D19" i="11"/>
  <c r="E19" i="11" s="1"/>
  <c r="E70" i="11"/>
  <c r="I4" i="13"/>
  <c r="I6" i="13"/>
  <c r="J6" i="13"/>
  <c r="L5" i="13"/>
  <c r="K6" i="13"/>
  <c r="E182" i="11" l="1"/>
  <c r="E183" i="11"/>
  <c r="D128" i="11"/>
  <c r="E128" i="11" s="1"/>
  <c r="E123" i="11"/>
  <c r="D20" i="11"/>
  <c r="D21" i="11" s="1"/>
  <c r="E10" i="13"/>
  <c r="F10" i="13" s="1"/>
  <c r="E12" i="13" s="1"/>
  <c r="M5" i="13"/>
  <c r="L6" i="13"/>
  <c r="H9" i="13"/>
  <c r="H5" i="11"/>
  <c r="G206" i="11"/>
  <c r="G95" i="11"/>
  <c r="G92" i="11"/>
  <c r="G65" i="11"/>
  <c r="G9" i="11"/>
  <c r="E20" i="11" l="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5"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 r="E101"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tc={C2788AD7-7725-4F18-AEFD-2C7C0ADF13FC}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13"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5"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16"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9"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 ref="E119" authorId="2" shapeId="0" xr:uid="{C2788AD7-7725-4F18-AEFD-2C7C0ADF13FC}">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Retorno antecipado em dois dias por causa do preço das passagens
</t>
      </text>
    </comment>
  </commentList>
</comments>
</file>

<file path=xl/sharedStrings.xml><?xml version="1.0" encoding="utf-8"?>
<sst xmlns="http://schemas.openxmlformats.org/spreadsheetml/2006/main" count="866" uniqueCount="328">
  <si>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</si>
  <si>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</si>
  <si>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</si>
  <si>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</si>
  <si>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</si>
  <si>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</si>
  <si>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</si>
  <si>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</si>
  <si>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</si>
  <si>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</si>
  <si>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</si>
  <si>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</si>
  <si>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</si>
  <si>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</si>
  <si>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</si>
  <si>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</si>
  <si>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</si>
  <si>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</si>
  <si>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</si>
  <si>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</si>
  <si>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</si>
  <si>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</si>
  <si>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</si>
  <si>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</si>
  <si>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</si>
  <si>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</si>
  <si>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</si>
  <si>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</si>
  <si>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</si>
  <si>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</si>
  <si>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</si>
  <si>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</si>
  <si>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</si>
  <si>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</si>
  <si>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</si>
  <si>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</si>
  <si>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</si>
  <si>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</si>
  <si>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</si>
  <si>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</si>
  <si>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</si>
  <si>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</si>
  <si>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</si>
  <si>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</si>
  <si>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</si>
  <si>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</si>
  <si>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</si>
  <si>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</si>
  <si>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</si>
  <si>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</si>
  <si>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</si>
  <si>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</si>
  <si>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</si>
  <si>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</si>
  <si>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</si>
  <si>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</si>
  <si>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</si>
  <si>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</si>
  <si>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</si>
  <si>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</si>
  <si>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</si>
  <si>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</si>
  <si>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</si>
  <si>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</si>
  <si>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</si>
  <si>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</si>
  <si>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</si>
  <si>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</si>
  <si>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</si>
  <si>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</si>
  <si>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</si>
  <si>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</si>
  <si>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</si>
  <si>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</si>
  <si>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</si>
  <si>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</si>
  <si>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</si>
  <si>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</si>
  <si>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</si>
  <si>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</si>
  <si>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</si>
  <si>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</si>
  <si>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</si>
  <si>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</si>
  <si>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</si>
  <si>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</si>
  <si>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</si>
  <si>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</si>
  <si>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</si>
  <si>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</si>
  <si>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</si>
  <si>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</si>
  <si>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</si>
  <si>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</si>
  <si>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</si>
  <si>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</si>
  <si>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</si>
  <si>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</si>
  <si>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</si>
  <si>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</si>
  <si>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</si>
  <si>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</si>
  <si>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</si>
  <si>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</si>
  <si>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</si>
  <si>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</si>
  <si>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</si>
  <si>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</si>
  <si>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</si>
  <si>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</si>
  <si>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</si>
  <si>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</si>
  <si>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</si>
  <si>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</si>
  <si>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</si>
  <si>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</si>
  <si>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</si>
  <si>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</si>
  <si>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</si>
  <si>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</si>
  <si>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</si>
  <si>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</si>
  <si>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</si>
  <si>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</si>
  <si>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</si>
  <si>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</si>
  <si>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</si>
  <si>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</si>
  <si>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</si>
  <si>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</si>
  <si>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</si>
  <si>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</si>
  <si>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</si>
  <si>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</si>
  <si>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</si>
  <si>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</si>
  <si>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</si>
  <si>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</si>
  <si>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</si>
  <si>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</si>
  <si>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</si>
  <si>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</si>
  <si>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</si>
  <si>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</si>
  <si>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</si>
  <si>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</si>
  <si>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</si>
  <si>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</si>
  <si>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</si>
  <si>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</si>
  <si>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</si>
  <si>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</si>
  <si>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</si>
  <si>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</si>
  <si>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</si>
  <si>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</si>
  <si>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</si>
  <si>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</si>
  <si>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</si>
  <si>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</si>
  <si>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</si>
  <si>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</si>
  <si>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</si>
  <si>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</si>
  <si>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</si>
  <si>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</si>
  <si>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</si>
  <si>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</si>
  <si>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</si>
  <si>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</si>
  <si>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</si>
  <si>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</si>
  <si>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</si>
  <si>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</si>
  <si>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</si>
  <si>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</si>
  <si>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</si>
  <si>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</si>
  <si>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</si>
  <si>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</si>
  <si>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</si>
  <si>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</si>
  <si>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</si>
  <si>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</si>
  <si>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</si>
  <si>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</si>
  <si>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</si>
  <si>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</si>
  <si>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</si>
  <si>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</si>
  <si>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</si>
  <si>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</si>
  <si>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</si>
  <si>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</si>
  <si>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</si>
  <si>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</si>
  <si>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</si>
  <si>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JULIE CORREIA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</si>
  <si>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</si>
  <si>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</si>
  <si>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</si>
  <si>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</si>
  <si>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</si>
  <si>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</si>
  <si>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</si>
  <si>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</si>
  <si>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</si>
  <si>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</si>
  <si>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</si>
  <si>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</si>
  <si>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</si>
  <si>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</si>
  <si>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</si>
  <si>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</si>
  <si>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</si>
  <si>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</si>
  <si>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</si>
  <si>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</si>
  <si>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</si>
  <si>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</si>
  <si>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</si>
  <si>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</si>
  <si>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</si>
  <si>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</si>
  <si>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</si>
  <si>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</si>
  <si>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</si>
  <si>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</si>
  <si>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</si>
  <si>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</si>
  <si>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</si>
  <si>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</si>
  <si>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</si>
  <si>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</si>
  <si>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</si>
  <si>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</si>
  <si>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</si>
  <si>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</si>
  <si>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</si>
  <si>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</si>
  <si>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</si>
  <si>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</si>
  <si>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</si>
  <si>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</si>
  <si>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</si>
  <si>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</si>
  <si>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</si>
  <si>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</si>
  <si>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</si>
  <si>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</si>
  <si>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Daniel</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</si>
  <si>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</si>
  <si>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</si>
  <si>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</si>
  <si>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</si>
  <si>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</si>
  <si>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</si>
  <si>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</si>
  <si>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</si>
  <si>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</si>
  <si>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</si>
  <si>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</si>
  <si>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</si>
  <si>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</si>
  <si>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</si>
  <si>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</si>
  <si>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</si>
  <si>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</si>
  <si>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</si>
  <si>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</si>
  <si>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</si>
  <si>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</si>
  <si>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Técnico Mecânica ATR</t>
  </si>
  <si>
    <t>Reginaldo Alves</t>
  </si>
  <si>
    <t>Singapura (P-83 - CGM)</t>
  </si>
  <si>
    <t>Mecânica CGM (P-83)</t>
  </si>
  <si>
    <t>Instrumentação CGM (P-83)</t>
  </si>
  <si>
    <t>VICTOR LÊDO</t>
  </si>
  <si>
    <t>Engenharia CGM (ELE)</t>
  </si>
  <si>
    <t>Elienai de Oliveira Macedo</t>
  </si>
  <si>
    <t>Engenharia CGM (MEC)</t>
  </si>
  <si>
    <t>Engenharia CGM (INS)</t>
  </si>
  <si>
    <t>Nantong - China (P-83 - CGM)</t>
  </si>
  <si>
    <t>Yantai - China (P-83 - ATR)</t>
  </si>
  <si>
    <t>João Eduardo</t>
  </si>
  <si>
    <t>Rodrigo D'Amico</t>
  </si>
  <si>
    <t>M-17 Batam (P-83 - ATR)</t>
  </si>
  <si>
    <t> </t>
  </si>
  <si>
    <t>Ana Clara</t>
  </si>
  <si>
    <t>Singapura (P-83 - ATR)</t>
  </si>
  <si>
    <t>Rafael Pitta</t>
  </si>
  <si>
    <t>Henrique Alberto Loureiro</t>
  </si>
  <si>
    <t>Esta é uma linha vazia</t>
  </si>
  <si>
    <t>Insira novas linhas ACIMA desta</t>
  </si>
  <si>
    <t>Esta linha marca o final do Cronograma do projeto. NÃO insira nada nessa linha. 
Insira novas linhas ACIMA desta linha para continuar a construção do cronograma de projeto.</t>
  </si>
  <si>
    <t>Matrícula - Nome</t>
  </si>
  <si>
    <t>Equipe</t>
  </si>
  <si>
    <t>Tutor</t>
  </si>
  <si>
    <t>4613176 - Filipi Marquezine De Souza Lopes Pinto</t>
  </si>
  <si>
    <t>CGM</t>
  </si>
  <si>
    <t>Anderson José Soares</t>
  </si>
  <si>
    <t>4613498 - Aline Fernanda Silva Araujo</t>
  </si>
  <si>
    <t>Carlos Augusto Santos Anjos</t>
  </si>
  <si>
    <t>4613186 - Edison Novaes Do Amaral</t>
  </si>
  <si>
    <t>Tadeu Menegussi Neves</t>
  </si>
  <si>
    <t>4612389 - Ronald Quaresma Da Silva Junior</t>
  </si>
  <si>
    <t>Pietro Serpa konzgen</t>
  </si>
  <si>
    <t>4612393 - Jailton Dos Santos Conceicao</t>
  </si>
  <si>
    <t>Antônio Rafael Pinto Cunha</t>
  </si>
  <si>
    <t>4612192 - Victor Fernandes Campos</t>
  </si>
  <si>
    <t>4612243 - Pablo Pereira Almeida</t>
  </si>
  <si>
    <t>4612247 - Ricardo Uema</t>
  </si>
  <si>
    <t>4612228 - Luiz Gustavo Carrasco Serpa</t>
  </si>
  <si>
    <t>4612098 - Andre Luiz Da Silva</t>
  </si>
  <si>
    <t>4612126 - Thielles Milbratz Gustavo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</si>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</sst>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3"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s>
  <fills count="6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
      <patternFill patternType="solid">
        <fgColor rgb="FF00B0F0"/>
        <bgColor indexed="64"/>
      </patternFill>
    </fill>
    <fill>
      <patternFill patternType="solid">
        <fgColor rgb="FF00B050"/>
        <bgColor indexed="64"/>
      </patternFill>
    </fill>
  </fills>
  <borders count="35">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right/>
      <top style="medium">
        <color rgb="FFD9D9D9"/>
      </top>
      <bottom style="medium">
        <color theme="0" tint="-0.14996795556505021"/>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5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3" fillId="0" borderId="17" xfId="53" applyFont="1" applyBorder="1" applyAlignment="1">
      <alignment horizontal="center" vertical="center"/>
    </xf>
    <xf numFmtId="0" fontId="3" fillId="48" borderId="17" xfId="53" applyFont="1" applyFill="1" applyBorder="1" applyAlignment="1">
      <alignment horizontal="center" vertical="center"/>
    </xf>
    <xf numFmtId="14" fontId="6" fillId="4" borderId="2" xfId="9" applyNumberFormat="1" applyFont="1" applyFill="1">
      <alignment horizontal="center" vertical="center"/>
    </xf>
    <xf numFmtId="14" fontId="6" fillId="10" borderId="2" xfId="9" applyNumberFormat="1" applyFont="1" applyFill="1">
      <alignment horizontal="center" vertical="center"/>
    </xf>
    <xf numFmtId="14" fontId="6" fillId="45" borderId="2" xfId="9" applyNumberFormat="1" applyFont="1" applyFill="1">
      <alignment horizontal="center" vertical="center"/>
    </xf>
    <xf numFmtId="14" fontId="6" fillId="57" borderId="2" xfId="9" applyNumberFormat="1" applyFont="1" applyFill="1">
      <alignment horizontal="center" vertical="center"/>
    </xf>
    <xf numFmtId="14" fontId="6" fillId="50" borderId="2" xfId="9" applyNumberFormat="1" applyFont="1" applyFill="1">
      <alignment horizontal="center" vertical="center"/>
    </xf>
    <xf numFmtId="14" fontId="6" fillId="9" borderId="2" xfId="9" applyNumberFormat="1" applyFont="1" applyFill="1">
      <alignment horizontal="center" vertical="center"/>
    </xf>
    <xf numFmtId="14" fontId="0" fillId="4" borderId="2" xfId="9" applyNumberFormat="1" applyFont="1" applyFill="1">
      <alignment horizontal="center" vertical="center"/>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0" fillId="0" borderId="17" xfId="0" applyBorder="1" applyAlignment="1">
      <alignment horizontal="center"/>
    </xf>
    <xf numFmtId="0" fontId="33" fillId="0" borderId="27" xfId="53" applyBorder="1" applyAlignment="1">
      <alignment horizontal="center" vertical="center"/>
    </xf>
    <xf numFmtId="0" fontId="0" fillId="58" borderId="2" xfId="11" applyFont="1" applyFill="1">
      <alignment horizontal="left" vertical="center" indent="2"/>
    </xf>
    <xf numFmtId="0" fontId="0" fillId="58" borderId="2" xfId="10" applyFont="1" applyFill="1">
      <alignment horizontal="center" vertical="center"/>
    </xf>
    <xf numFmtId="14" fontId="0" fillId="58" borderId="2" xfId="9" applyNumberFormat="1" applyFont="1" applyFill="1">
      <alignment horizontal="center" vertical="center"/>
    </xf>
    <xf numFmtId="0" fontId="9" fillId="58" borderId="2" xfId="11" applyFill="1">
      <alignment horizontal="left" vertical="center" indent="2"/>
    </xf>
    <xf numFmtId="0" fontId="9" fillId="58" borderId="2" xfId="10" applyFill="1">
      <alignment horizontal="center" vertical="center"/>
    </xf>
    <xf numFmtId="14" fontId="9" fillId="58" borderId="2" xfId="9" applyNumberFormat="1" applyFill="1">
      <alignment horizontal="center" vertical="center"/>
    </xf>
    <xf numFmtId="0" fontId="9" fillId="59" borderId="2" xfId="11" applyFill="1">
      <alignment horizontal="left" vertical="center" indent="2"/>
    </xf>
    <xf numFmtId="0" fontId="9" fillId="59" borderId="2" xfId="10" applyFill="1">
      <alignment horizontal="center" vertical="center"/>
    </xf>
    <xf numFmtId="14" fontId="6" fillId="59" borderId="2" xfId="9" applyNumberFormat="1" applyFont="1" applyFill="1">
      <alignment horizontal="center" vertical="center"/>
    </xf>
    <xf numFmtId="14" fontId="9" fillId="59" borderId="2" xfId="9" applyNumberFormat="1" applyFill="1">
      <alignment horizontal="center" vertical="center"/>
    </xf>
    <xf numFmtId="0" fontId="0" fillId="59" borderId="2" xfId="11" applyFont="1" applyFill="1">
      <alignment horizontal="left" vertical="center" indent="2"/>
    </xf>
    <xf numFmtId="0" fontId="0" fillId="59" borderId="2" xfId="10" applyFont="1" applyFill="1">
      <alignment horizontal="center" vertical="center"/>
    </xf>
    <xf numFmtId="14" fontId="0" fillId="59" borderId="2" xfId="9" applyNumberFormat="1" applyFont="1" applyFill="1">
      <alignment horizontal="center" vertical="center"/>
    </xf>
    <xf numFmtId="14" fontId="0" fillId="45" borderId="2" xfId="9" applyNumberFormat="1" applyFont="1" applyFill="1">
      <alignment horizontal="center" vertical="center"/>
    </xf>
    <xf numFmtId="14" fontId="0" fillId="57" borderId="2" xfId="9" applyNumberFormat="1" applyFont="1" applyFill="1">
      <alignment horizontal="center" vertical="center"/>
    </xf>
    <xf numFmtId="0" fontId="6" fillId="5" borderId="34" xfId="0" applyFont="1" applyFill="1"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8" fontId="31" fillId="0" borderId="3" xfId="8" applyFont="1">
      <alignment horizontal="center" vertical="center"/>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3">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12"/>
      <tableStyleElement type="headerRow" dxfId="111"/>
      <tableStyleElement type="totalRow" dxfId="110"/>
      <tableStyleElement type="firstColumn" dxfId="109"/>
      <tableStyleElement type="lastColumn" dxfId="108"/>
      <tableStyleElement type="firstRowStripe" dxfId="107"/>
      <tableStyleElement type="secondRowStripe" dxfId="106"/>
      <tableStyleElement type="firstColumnStripe" dxfId="105"/>
      <tableStyleElement type="secondColumnStripe" dxfId="104"/>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5" dT="2025-11-27T18:22:56.52" personId="{00000000-0000-0000-0000-000000000000}" id="{43E89E34-EEDA-43A1-BD5D-31839B76977C}">
    <text>Luis Vitor Viegas Gonçalves - EEDSE</text>
  </threadedComment>
  <threadedComment ref="E119" dT="2026-05-15T04:20:41.05" personId="{00000000-0000-0000-0000-000000000000}" id="{C2788AD7-7725-4F18-AEFD-2C7C0ADF13FC}">
    <text xml:space="preserve">Retorno antecipado em dois dias por causa do preço das passagens
</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7"/>
  <sheetViews>
    <sheetView showGridLines="0" zoomScale="85" zoomScaleNormal="85" workbookViewId="0">
      <pane ySplit="1" topLeftCell="A2" activePane="bottomLeft" state="frozen"/>
      <selection pane="bottomLeft" activeCell="F23" sqref="F23"/>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453125" bestFit="1" customWidth="1"/>
    <col min="7" max="7" width="39.453125" customWidth="1"/>
    <col min="8" max="8" width="44.453125" customWidth="1"/>
    <col min="9" max="9" width="26.54296875" customWidth="1"/>
    <col min="10" max="10" width="22.54296875" style="5" customWidth="1"/>
  </cols>
  <sheetData>
    <row r="1" spans="1:10" x14ac:dyDescent="0.35">
      <c r="A1" s="88" t="s">
        <v>0</v>
      </c>
      <c r="B1" s="89" t="s">
        <v>1</v>
      </c>
      <c r="C1" s="89" t="s">
        <v>2</v>
      </c>
      <c r="D1" s="89" t="s">
        <v>3</v>
      </c>
      <c r="E1" s="90" t="s">
        <v>4</v>
      </c>
      <c r="F1" s="90" t="s">
        <v>5</v>
      </c>
      <c r="G1" s="90" t="s">
        <v>6</v>
      </c>
      <c r="H1" s="90" t="s">
        <v>7</v>
      </c>
      <c r="I1" s="153" t="s">
        <v>8</v>
      </c>
      <c r="J1" s="155" t="s">
        <v>9</v>
      </c>
    </row>
    <row r="2" spans="1:10" x14ac:dyDescent="0.35">
      <c r="A2" s="79" t="s">
        <v>10</v>
      </c>
      <c r="B2" s="91">
        <v>4612171</v>
      </c>
      <c r="C2" s="91" t="s">
        <v>11</v>
      </c>
      <c r="D2" s="92" t="s">
        <v>12</v>
      </c>
      <c r="E2" s="93" t="s">
        <v>13</v>
      </c>
      <c r="F2" s="93" t="s">
        <v>14</v>
      </c>
      <c r="G2" s="168" t="s">
        <v>15</v>
      </c>
      <c r="H2" s="93" t="s">
        <v>16</v>
      </c>
      <c r="I2" s="154" t="s">
        <v>17</v>
      </c>
      <c r="J2" s="156"/>
    </row>
    <row r="3" spans="1:10" x14ac:dyDescent="0.35">
      <c r="A3" s="79" t="s">
        <v>10</v>
      </c>
      <c r="B3" s="94">
        <v>4612050</v>
      </c>
      <c r="C3" s="94" t="s">
        <v>18</v>
      </c>
      <c r="D3" s="95" t="s">
        <v>12</v>
      </c>
      <c r="E3" s="93" t="s">
        <v>19</v>
      </c>
      <c r="F3" s="96" t="s">
        <v>14</v>
      </c>
      <c r="G3" s="169" t="s">
        <v>20</v>
      </c>
      <c r="H3" s="96" t="s">
        <v>21</v>
      </c>
      <c r="I3" s="154" t="s">
        <v>22</v>
      </c>
      <c r="J3" s="156"/>
    </row>
    <row r="4" spans="1:10" x14ac:dyDescent="0.35">
      <c r="A4" s="79" t="s">
        <v>10</v>
      </c>
      <c r="B4" s="91">
        <v>4612140</v>
      </c>
      <c r="C4" s="91" t="s">
        <v>23</v>
      </c>
      <c r="D4" s="92" t="s">
        <v>12</v>
      </c>
      <c r="E4" s="99" t="s">
        <v>24</v>
      </c>
      <c r="F4" s="93" t="s">
        <v>14</v>
      </c>
      <c r="G4" s="168" t="s">
        <v>25</v>
      </c>
      <c r="H4" s="93" t="s">
        <v>26</v>
      </c>
      <c r="I4" s="154" t="s">
        <v>17</v>
      </c>
      <c r="J4" s="156"/>
    </row>
    <row r="5" spans="1:10" x14ac:dyDescent="0.35">
      <c r="A5" s="79" t="s">
        <v>10</v>
      </c>
      <c r="B5" s="94">
        <v>9842940</v>
      </c>
      <c r="C5" s="94" t="s">
        <v>27</v>
      </c>
      <c r="D5" s="95" t="s">
        <v>12</v>
      </c>
      <c r="E5" s="96" t="s">
        <v>13</v>
      </c>
      <c r="F5" s="96" t="s">
        <v>14</v>
      </c>
      <c r="G5" s="169" t="s">
        <v>28</v>
      </c>
      <c r="H5" s="96" t="s">
        <v>29</v>
      </c>
      <c r="I5" s="154" t="s">
        <v>30</v>
      </c>
      <c r="J5" s="157"/>
    </row>
    <row r="6" spans="1:10" x14ac:dyDescent="0.35">
      <c r="A6" s="79" t="s">
        <v>31</v>
      </c>
      <c r="B6" s="91">
        <v>9886449</v>
      </c>
      <c r="C6" s="91" t="s">
        <v>32</v>
      </c>
      <c r="D6" s="92" t="s">
        <v>12</v>
      </c>
      <c r="E6" s="93" t="s">
        <v>13</v>
      </c>
      <c r="F6" s="93" t="s">
        <v>33</v>
      </c>
      <c r="G6" s="168" t="s">
        <v>34</v>
      </c>
      <c r="H6" s="93" t="s">
        <v>35</v>
      </c>
      <c r="I6" s="154" t="s">
        <v>22</v>
      </c>
      <c r="J6" s="157" t="s">
        <v>36</v>
      </c>
    </row>
    <row r="7" spans="1:10" x14ac:dyDescent="0.35">
      <c r="A7" s="97" t="s">
        <v>31</v>
      </c>
      <c r="B7" s="94">
        <v>4608721</v>
      </c>
      <c r="C7" s="94" t="s">
        <v>37</v>
      </c>
      <c r="D7" s="98" t="s">
        <v>12</v>
      </c>
      <c r="E7" s="99" t="s">
        <v>13</v>
      </c>
      <c r="F7" s="99" t="s">
        <v>14</v>
      </c>
      <c r="G7" s="158" t="s">
        <v>38</v>
      </c>
      <c r="H7" s="99" t="s">
        <v>39</v>
      </c>
      <c r="I7" s="154" t="s">
        <v>22</v>
      </c>
      <c r="J7" s="157"/>
    </row>
    <row r="8" spans="1:10" x14ac:dyDescent="0.35">
      <c r="A8" s="97" t="s">
        <v>31</v>
      </c>
      <c r="B8" s="91">
        <v>1385894</v>
      </c>
      <c r="C8" s="91" t="s">
        <v>40</v>
      </c>
      <c r="D8" s="100" t="s">
        <v>12</v>
      </c>
      <c r="E8" s="101" t="s">
        <v>13</v>
      </c>
      <c r="F8" s="101" t="s">
        <v>33</v>
      </c>
      <c r="G8" s="170" t="s">
        <v>41</v>
      </c>
      <c r="H8" s="101" t="s">
        <v>42</v>
      </c>
      <c r="I8" s="154" t="s">
        <v>22</v>
      </c>
      <c r="J8" s="157" t="s">
        <v>43</v>
      </c>
    </row>
    <row r="9" spans="1:10" x14ac:dyDescent="0.35">
      <c r="A9" s="97" t="s">
        <v>31</v>
      </c>
      <c r="B9" s="94">
        <v>4608685</v>
      </c>
      <c r="C9" s="94" t="s">
        <v>44</v>
      </c>
      <c r="D9" s="98" t="s">
        <v>12</v>
      </c>
      <c r="E9" s="99" t="s">
        <v>13</v>
      </c>
      <c r="F9" s="99" t="s">
        <v>14</v>
      </c>
      <c r="G9" s="158" t="s">
        <v>45</v>
      </c>
      <c r="H9" s="99" t="s">
        <v>46</v>
      </c>
      <c r="I9" s="154" t="s">
        <v>22</v>
      </c>
      <c r="J9" s="157"/>
    </row>
    <row r="10" spans="1:10" ht="43.5" x14ac:dyDescent="0.35">
      <c r="A10" s="97" t="s">
        <v>47</v>
      </c>
      <c r="B10" s="91">
        <v>9762281</v>
      </c>
      <c r="C10" s="91" t="s">
        <v>48</v>
      </c>
      <c r="D10" s="100" t="s">
        <v>12</v>
      </c>
      <c r="E10" s="101" t="s">
        <v>13</v>
      </c>
      <c r="F10" s="101" t="s">
        <v>33</v>
      </c>
      <c r="G10" s="170" t="s">
        <v>49</v>
      </c>
      <c r="H10" s="101" t="s">
        <v>50</v>
      </c>
      <c r="I10" s="154" t="s">
        <v>22</v>
      </c>
      <c r="J10" s="159" t="s">
        <v>51</v>
      </c>
    </row>
    <row r="11" spans="1:10" x14ac:dyDescent="0.35">
      <c r="A11" s="97" t="s">
        <v>47</v>
      </c>
      <c r="B11" s="94">
        <v>9683150</v>
      </c>
      <c r="C11" s="94" t="s">
        <v>52</v>
      </c>
      <c r="D11" s="98" t="s">
        <v>12</v>
      </c>
      <c r="E11" s="99" t="s">
        <v>13</v>
      </c>
      <c r="F11" s="99" t="s">
        <v>33</v>
      </c>
      <c r="G11" s="158" t="s">
        <v>53</v>
      </c>
      <c r="H11" s="99" t="s">
        <v>54</v>
      </c>
      <c r="I11" s="154" t="s">
        <v>22</v>
      </c>
      <c r="J11" s="157" t="s">
        <v>55</v>
      </c>
    </row>
    <row r="12" spans="1:10" x14ac:dyDescent="0.35">
      <c r="A12" s="79" t="s">
        <v>47</v>
      </c>
      <c r="B12" s="91">
        <v>2440812</v>
      </c>
      <c r="C12" s="91" t="s">
        <v>56</v>
      </c>
      <c r="D12" s="92" t="s">
        <v>57</v>
      </c>
      <c r="E12" s="93" t="s">
        <v>13</v>
      </c>
      <c r="F12" s="93" t="s">
        <v>33</v>
      </c>
      <c r="G12" s="168" t="s">
        <v>58</v>
      </c>
      <c r="H12" s="93" t="s">
        <v>59</v>
      </c>
      <c r="I12" s="154" t="s">
        <v>22</v>
      </c>
      <c r="J12" s="157"/>
    </row>
    <row r="13" spans="1:10" x14ac:dyDescent="0.35">
      <c r="A13" s="97" t="s">
        <v>47</v>
      </c>
      <c r="B13" s="94">
        <v>1381625</v>
      </c>
      <c r="C13" s="94" t="s">
        <v>60</v>
      </c>
      <c r="D13" s="95" t="s">
        <v>12</v>
      </c>
      <c r="E13" s="96" t="s">
        <v>13</v>
      </c>
      <c r="F13" s="96" t="s">
        <v>33</v>
      </c>
      <c r="G13" s="169" t="s">
        <v>61</v>
      </c>
      <c r="H13" s="96" t="s">
        <v>62</v>
      </c>
      <c r="I13" s="154" t="s">
        <v>22</v>
      </c>
      <c r="J13" s="157"/>
    </row>
    <row r="14" spans="1:10" x14ac:dyDescent="0.35">
      <c r="A14" s="79" t="s">
        <v>47</v>
      </c>
      <c r="B14" s="91">
        <v>4608389</v>
      </c>
      <c r="C14" s="91" t="s">
        <v>63</v>
      </c>
      <c r="D14" s="92" t="s">
        <v>12</v>
      </c>
      <c r="E14" s="93" t="s">
        <v>13</v>
      </c>
      <c r="F14" s="93" t="s">
        <v>14</v>
      </c>
      <c r="G14" s="168" t="s">
        <v>64</v>
      </c>
      <c r="H14" s="93" t="s">
        <v>65</v>
      </c>
      <c r="I14" s="154" t="s">
        <v>22</v>
      </c>
      <c r="J14" s="157"/>
    </row>
    <row r="15" spans="1:10" x14ac:dyDescent="0.35">
      <c r="A15" s="97" t="s">
        <v>10</v>
      </c>
      <c r="B15" s="94">
        <v>4608544</v>
      </c>
      <c r="C15" s="94" t="s">
        <v>66</v>
      </c>
      <c r="D15" s="95" t="s">
        <v>12</v>
      </c>
      <c r="E15" s="96" t="s">
        <v>19</v>
      </c>
      <c r="F15" s="96" t="s">
        <v>14</v>
      </c>
      <c r="G15" s="169" t="s">
        <v>67</v>
      </c>
      <c r="H15" s="96" t="s">
        <v>68</v>
      </c>
      <c r="I15" s="154" t="s">
        <v>22</v>
      </c>
      <c r="J15" s="157"/>
    </row>
    <row r="16" spans="1:10" x14ac:dyDescent="0.35">
      <c r="A16" s="97" t="s">
        <v>31</v>
      </c>
      <c r="B16" s="91">
        <v>4608474</v>
      </c>
      <c r="C16" s="91" t="s">
        <v>69</v>
      </c>
      <c r="D16" s="92" t="s">
        <v>12</v>
      </c>
      <c r="E16" s="93" t="s">
        <v>19</v>
      </c>
      <c r="F16" s="101" t="s">
        <v>14</v>
      </c>
      <c r="G16" s="170" t="s">
        <v>70</v>
      </c>
      <c r="H16" s="101" t="s">
        <v>71</v>
      </c>
      <c r="I16" s="154" t="s">
        <v>22</v>
      </c>
      <c r="J16" s="157"/>
    </row>
    <row r="17" spans="1:10" x14ac:dyDescent="0.35">
      <c r="A17" s="79" t="s">
        <v>31</v>
      </c>
      <c r="B17" s="94">
        <v>1386344</v>
      </c>
      <c r="C17" s="94" t="s">
        <v>72</v>
      </c>
      <c r="D17" s="98" t="s">
        <v>12</v>
      </c>
      <c r="E17" s="99" t="s">
        <v>19</v>
      </c>
      <c r="F17" s="99" t="s">
        <v>33</v>
      </c>
      <c r="G17" s="158" t="s">
        <v>73</v>
      </c>
      <c r="H17" s="99" t="s">
        <v>74</v>
      </c>
      <c r="I17" s="154" t="s">
        <v>22</v>
      </c>
      <c r="J17" s="157" t="s">
        <v>55</v>
      </c>
    </row>
    <row r="18" spans="1:10" x14ac:dyDescent="0.35">
      <c r="A18" s="79" t="s">
        <v>31</v>
      </c>
      <c r="B18" s="91">
        <v>4608684</v>
      </c>
      <c r="C18" s="91" t="s">
        <v>75</v>
      </c>
      <c r="D18" s="100" t="s">
        <v>12</v>
      </c>
      <c r="E18" s="101" t="s">
        <v>19</v>
      </c>
      <c r="F18" s="101" t="s">
        <v>14</v>
      </c>
      <c r="G18" s="170" t="s">
        <v>76</v>
      </c>
      <c r="H18" s="93" t="s">
        <v>77</v>
      </c>
      <c r="I18" s="154" t="s">
        <v>22</v>
      </c>
      <c r="J18" s="157"/>
    </row>
    <row r="19" spans="1:10" x14ac:dyDescent="0.35">
      <c r="A19" s="79" t="s">
        <v>47</v>
      </c>
      <c r="B19" s="94">
        <v>9612082</v>
      </c>
      <c r="C19" s="94" t="s">
        <v>78</v>
      </c>
      <c r="D19" s="98" t="s">
        <v>12</v>
      </c>
      <c r="E19" s="99" t="s">
        <v>19</v>
      </c>
      <c r="F19" s="96" t="s">
        <v>33</v>
      </c>
      <c r="G19" s="158" t="s">
        <v>79</v>
      </c>
      <c r="H19" s="99" t="s">
        <v>80</v>
      </c>
      <c r="I19" s="154" t="s">
        <v>22</v>
      </c>
      <c r="J19" s="157"/>
    </row>
    <row r="20" spans="1:10" x14ac:dyDescent="0.35">
      <c r="A20" s="79" t="s">
        <v>47</v>
      </c>
      <c r="B20" s="91">
        <v>9618720</v>
      </c>
      <c r="C20" s="91" t="s">
        <v>81</v>
      </c>
      <c r="D20" s="100" t="s">
        <v>12</v>
      </c>
      <c r="E20" s="101" t="s">
        <v>19</v>
      </c>
      <c r="F20" s="93" t="s">
        <v>33</v>
      </c>
      <c r="G20" s="170" t="s">
        <v>82</v>
      </c>
      <c r="H20" s="101" t="s">
        <v>83</v>
      </c>
      <c r="I20" s="154" t="s">
        <v>22</v>
      </c>
      <c r="J20" s="157" t="s">
        <v>43</v>
      </c>
    </row>
    <row r="21" spans="1:10" x14ac:dyDescent="0.35">
      <c r="A21" s="79" t="s">
        <v>47</v>
      </c>
      <c r="B21" s="94">
        <v>9724817</v>
      </c>
      <c r="C21" s="94" t="s">
        <v>84</v>
      </c>
      <c r="D21" s="98" t="s">
        <v>12</v>
      </c>
      <c r="E21" s="99" t="s">
        <v>19</v>
      </c>
      <c r="F21" s="96" t="s">
        <v>33</v>
      </c>
      <c r="G21" s="158" t="s">
        <v>85</v>
      </c>
      <c r="H21" s="99" t="s">
        <v>86</v>
      </c>
      <c r="I21" s="154" t="s">
        <v>22</v>
      </c>
      <c r="J21" s="157"/>
    </row>
    <row r="22" spans="1:10" x14ac:dyDescent="0.35">
      <c r="A22" s="79" t="s">
        <v>47</v>
      </c>
      <c r="B22" s="91">
        <v>2460800</v>
      </c>
      <c r="C22" s="91" t="s">
        <v>87</v>
      </c>
      <c r="D22" s="100" t="s">
        <v>57</v>
      </c>
      <c r="E22" s="101" t="s">
        <v>19</v>
      </c>
      <c r="F22" s="93" t="s">
        <v>33</v>
      </c>
      <c r="G22" s="168" t="s">
        <v>88</v>
      </c>
      <c r="H22" s="93" t="s">
        <v>89</v>
      </c>
      <c r="I22" s="154" t="s">
        <v>30</v>
      </c>
      <c r="J22" s="157"/>
    </row>
    <row r="23" spans="1:10" x14ac:dyDescent="0.35">
      <c r="A23" s="79" t="s">
        <v>10</v>
      </c>
      <c r="B23" s="94">
        <v>4608559</v>
      </c>
      <c r="C23" s="94" t="s">
        <v>90</v>
      </c>
      <c r="D23" s="98" t="s">
        <v>12</v>
      </c>
      <c r="E23" s="99" t="s">
        <v>24</v>
      </c>
      <c r="F23" s="99" t="s">
        <v>14</v>
      </c>
      <c r="G23" s="158" t="s">
        <v>91</v>
      </c>
      <c r="H23" s="99" t="s">
        <v>92</v>
      </c>
      <c r="I23" s="154" t="s">
        <v>22</v>
      </c>
      <c r="J23" s="156"/>
    </row>
    <row r="24" spans="1:10" x14ac:dyDescent="0.35">
      <c r="A24" s="79" t="s">
        <v>31</v>
      </c>
      <c r="B24" s="91">
        <v>4608411</v>
      </c>
      <c r="C24" s="91" t="s">
        <v>93</v>
      </c>
      <c r="D24" s="100" t="s">
        <v>12</v>
      </c>
      <c r="E24" s="101" t="s">
        <v>24</v>
      </c>
      <c r="F24" s="93" t="s">
        <v>14</v>
      </c>
      <c r="G24" s="170" t="s">
        <v>94</v>
      </c>
      <c r="H24" s="101" t="s">
        <v>95</v>
      </c>
      <c r="I24" s="154" t="s">
        <v>22</v>
      </c>
      <c r="J24" s="156"/>
    </row>
    <row r="25" spans="1:10" x14ac:dyDescent="0.35">
      <c r="A25" s="79" t="s">
        <v>31</v>
      </c>
      <c r="B25" s="94">
        <v>9634180</v>
      </c>
      <c r="C25" s="94" t="s">
        <v>96</v>
      </c>
      <c r="D25" s="95" t="s">
        <v>12</v>
      </c>
      <c r="E25" s="96" t="s">
        <v>24</v>
      </c>
      <c r="F25" s="96" t="s">
        <v>33</v>
      </c>
      <c r="G25" s="169" t="s">
        <v>97</v>
      </c>
      <c r="H25" s="96" t="s">
        <v>98</v>
      </c>
      <c r="I25" s="154" t="s">
        <v>22</v>
      </c>
      <c r="J25" s="156"/>
    </row>
    <row r="26" spans="1:10" x14ac:dyDescent="0.35">
      <c r="A26" s="79" t="s">
        <v>47</v>
      </c>
      <c r="B26" s="91">
        <v>4608780</v>
      </c>
      <c r="C26" s="91" t="s">
        <v>99</v>
      </c>
      <c r="D26" s="92" t="s">
        <v>12</v>
      </c>
      <c r="E26" s="93" t="s">
        <v>24</v>
      </c>
      <c r="F26" s="93" t="s">
        <v>14</v>
      </c>
      <c r="G26" s="168" t="s">
        <v>100</v>
      </c>
      <c r="H26" s="93" t="s">
        <v>101</v>
      </c>
      <c r="I26" s="154" t="s">
        <v>22</v>
      </c>
      <c r="J26" s="156"/>
    </row>
    <row r="27" spans="1:10" x14ac:dyDescent="0.35">
      <c r="A27" s="79" t="s">
        <v>47</v>
      </c>
      <c r="B27" s="94">
        <v>2475130</v>
      </c>
      <c r="C27" s="94" t="s">
        <v>102</v>
      </c>
      <c r="D27" s="95" t="s">
        <v>12</v>
      </c>
      <c r="E27" s="96" t="s">
        <v>24</v>
      </c>
      <c r="F27" s="96" t="s">
        <v>33</v>
      </c>
      <c r="G27" s="158" t="s">
        <v>103</v>
      </c>
      <c r="H27" s="99" t="s">
        <v>104</v>
      </c>
      <c r="I27" s="154" t="s">
        <v>30</v>
      </c>
      <c r="J27" s="157" t="s">
        <v>105</v>
      </c>
    </row>
    <row r="28" spans="1:10" x14ac:dyDescent="0.35">
      <c r="A28" s="79" t="s">
        <v>47</v>
      </c>
      <c r="B28" s="91">
        <v>2477135</v>
      </c>
      <c r="C28" s="91" t="s">
        <v>106</v>
      </c>
      <c r="D28" s="92" t="s">
        <v>12</v>
      </c>
      <c r="E28" s="93" t="s">
        <v>24</v>
      </c>
      <c r="F28" s="93" t="s">
        <v>33</v>
      </c>
      <c r="G28" s="170" t="s">
        <v>107</v>
      </c>
      <c r="H28" s="101" t="s">
        <v>108</v>
      </c>
      <c r="I28" s="154" t="s">
        <v>22</v>
      </c>
      <c r="J28" s="156"/>
    </row>
    <row r="29" spans="1:10" x14ac:dyDescent="0.35">
      <c r="A29" s="79" t="s">
        <v>10</v>
      </c>
      <c r="B29" s="94">
        <v>4606246</v>
      </c>
      <c r="C29" s="94" t="s">
        <v>109</v>
      </c>
      <c r="D29" s="95" t="s">
        <v>110</v>
      </c>
      <c r="E29" s="99" t="s">
        <v>111</v>
      </c>
      <c r="F29" s="96" t="s">
        <v>14</v>
      </c>
      <c r="G29" s="158" t="s">
        <v>112</v>
      </c>
      <c r="H29" s="99" t="s">
        <v>113</v>
      </c>
      <c r="I29" s="154" t="s">
        <v>22</v>
      </c>
      <c r="J29" s="157"/>
    </row>
    <row r="30" spans="1:10" x14ac:dyDescent="0.35">
      <c r="A30" s="79" t="s">
        <v>31</v>
      </c>
      <c r="B30" s="91">
        <v>4606308</v>
      </c>
      <c r="C30" s="91" t="s">
        <v>114</v>
      </c>
      <c r="D30" s="92" t="s">
        <v>110</v>
      </c>
      <c r="E30" s="101" t="s">
        <v>111</v>
      </c>
      <c r="F30" s="93" t="s">
        <v>14</v>
      </c>
      <c r="G30" s="170" t="s">
        <v>115</v>
      </c>
      <c r="H30" s="101" t="s">
        <v>116</v>
      </c>
      <c r="I30" s="154" t="s">
        <v>30</v>
      </c>
      <c r="J30" s="157"/>
    </row>
    <row r="31" spans="1:10" x14ac:dyDescent="0.35">
      <c r="A31" s="79" t="s">
        <v>31</v>
      </c>
      <c r="B31" s="94">
        <v>9634222</v>
      </c>
      <c r="C31" s="94" t="s">
        <v>117</v>
      </c>
      <c r="D31" s="95" t="s">
        <v>12</v>
      </c>
      <c r="E31" s="99" t="s">
        <v>24</v>
      </c>
      <c r="F31" s="96" t="s">
        <v>33</v>
      </c>
      <c r="G31" s="158" t="s">
        <v>118</v>
      </c>
      <c r="H31" s="99" t="s">
        <v>119</v>
      </c>
      <c r="I31" s="154" t="s">
        <v>22</v>
      </c>
      <c r="J31" s="157" t="s">
        <v>55</v>
      </c>
    </row>
    <row r="32" spans="1:10" x14ac:dyDescent="0.35">
      <c r="A32" s="79" t="s">
        <v>31</v>
      </c>
      <c r="B32" s="91">
        <v>229316</v>
      </c>
      <c r="C32" s="91" t="s">
        <v>120</v>
      </c>
      <c r="D32" s="91" t="s">
        <v>110</v>
      </c>
      <c r="E32" s="81" t="s">
        <v>111</v>
      </c>
      <c r="F32" s="81" t="s">
        <v>33</v>
      </c>
      <c r="G32" s="171" t="s">
        <v>121</v>
      </c>
      <c r="H32" s="81" t="s">
        <v>122</v>
      </c>
      <c r="I32" s="154" t="s">
        <v>22</v>
      </c>
      <c r="J32" s="157"/>
    </row>
    <row r="33" spans="1:10" x14ac:dyDescent="0.35">
      <c r="A33" s="79" t="s">
        <v>47</v>
      </c>
      <c r="B33" s="94">
        <v>2493288</v>
      </c>
      <c r="C33" s="94" t="s">
        <v>123</v>
      </c>
      <c r="D33" s="94" t="s">
        <v>110</v>
      </c>
      <c r="E33" s="80" t="s">
        <v>111</v>
      </c>
      <c r="F33" s="96" t="s">
        <v>33</v>
      </c>
      <c r="G33" s="172" t="s">
        <v>124</v>
      </c>
      <c r="H33" s="80" t="s">
        <v>125</v>
      </c>
      <c r="I33" s="154" t="s">
        <v>22</v>
      </c>
      <c r="J33" s="157"/>
    </row>
    <row r="34" spans="1:10" x14ac:dyDescent="0.35">
      <c r="A34" s="79" t="s">
        <v>47</v>
      </c>
      <c r="B34" s="91">
        <v>214272</v>
      </c>
      <c r="C34" s="91" t="s">
        <v>126</v>
      </c>
      <c r="D34" s="91" t="s">
        <v>110</v>
      </c>
      <c r="E34" s="81" t="s">
        <v>111</v>
      </c>
      <c r="F34" s="93" t="s">
        <v>33</v>
      </c>
      <c r="G34" s="171" t="s">
        <v>127</v>
      </c>
      <c r="H34" s="81" t="s">
        <v>128</v>
      </c>
      <c r="I34" s="154" t="s">
        <v>22</v>
      </c>
      <c r="J34" s="157"/>
    </row>
    <row r="35" spans="1:10" x14ac:dyDescent="0.35">
      <c r="A35" s="79" t="s">
        <v>47</v>
      </c>
      <c r="B35" s="94">
        <v>4606694</v>
      </c>
      <c r="C35" s="94" t="s">
        <v>129</v>
      </c>
      <c r="D35" s="95" t="s">
        <v>110</v>
      </c>
      <c r="E35" s="80" t="s">
        <v>111</v>
      </c>
      <c r="F35" s="80" t="s">
        <v>14</v>
      </c>
      <c r="G35" s="172" t="s">
        <v>130</v>
      </c>
      <c r="H35" s="80" t="s">
        <v>131</v>
      </c>
      <c r="I35" s="154" t="s">
        <v>30</v>
      </c>
      <c r="J35" s="157"/>
    </row>
    <row r="36" spans="1:10" x14ac:dyDescent="0.35">
      <c r="A36" s="79" t="s">
        <v>47</v>
      </c>
      <c r="B36" s="91">
        <v>2430855</v>
      </c>
      <c r="C36" s="91" t="s">
        <v>132</v>
      </c>
      <c r="D36" s="92" t="s">
        <v>12</v>
      </c>
      <c r="E36" s="81" t="s">
        <v>111</v>
      </c>
      <c r="F36" s="81" t="s">
        <v>33</v>
      </c>
      <c r="G36" s="171" t="s">
        <v>133</v>
      </c>
      <c r="H36" s="81" t="s">
        <v>134</v>
      </c>
      <c r="I36" s="154" t="s">
        <v>22</v>
      </c>
      <c r="J36" s="157"/>
    </row>
    <row r="37" spans="1:10" x14ac:dyDescent="0.35">
      <c r="A37" s="79" t="s">
        <v>47</v>
      </c>
      <c r="B37" s="94">
        <v>4604625</v>
      </c>
      <c r="C37" s="94" t="s">
        <v>135</v>
      </c>
      <c r="D37" s="95" t="s">
        <v>136</v>
      </c>
      <c r="E37" s="80" t="s">
        <v>111</v>
      </c>
      <c r="F37" s="80" t="s">
        <v>14</v>
      </c>
      <c r="G37" s="172" t="s">
        <v>137</v>
      </c>
      <c r="H37" s="80" t="s">
        <v>138</v>
      </c>
      <c r="I37" s="154" t="s">
        <v>22</v>
      </c>
      <c r="J37" s="157"/>
    </row>
    <row r="38" spans="1:10" x14ac:dyDescent="0.35">
      <c r="A38" s="79" t="s">
        <v>47</v>
      </c>
      <c r="B38" s="91">
        <v>4612098</v>
      </c>
      <c r="C38" s="91" t="s">
        <v>139</v>
      </c>
      <c r="D38" s="92" t="s">
        <v>12</v>
      </c>
      <c r="E38" s="93" t="s">
        <v>13</v>
      </c>
      <c r="F38" s="81" t="s">
        <v>14</v>
      </c>
      <c r="G38" s="171" t="s">
        <v>140</v>
      </c>
      <c r="H38" s="81" t="s">
        <v>141</v>
      </c>
      <c r="I38" s="154" t="s">
        <v>22</v>
      </c>
      <c r="J38" s="156"/>
    </row>
    <row r="39" spans="1:10" x14ac:dyDescent="0.35">
      <c r="A39" s="97" t="s">
        <v>47</v>
      </c>
      <c r="B39" s="94">
        <v>4612126</v>
      </c>
      <c r="C39" s="94" t="s">
        <v>142</v>
      </c>
      <c r="D39" s="95" t="s">
        <v>12</v>
      </c>
      <c r="E39" s="93" t="s">
        <v>19</v>
      </c>
      <c r="F39" s="80" t="s">
        <v>14</v>
      </c>
      <c r="G39" s="172" t="s">
        <v>143</v>
      </c>
      <c r="H39" s="80" t="s">
        <v>144</v>
      </c>
      <c r="I39" s="154" t="s">
        <v>22</v>
      </c>
      <c r="J39" s="156"/>
    </row>
    <row r="40" spans="1:10" x14ac:dyDescent="0.35">
      <c r="A40" s="79" t="s">
        <v>47</v>
      </c>
      <c r="B40" s="91">
        <v>2550195</v>
      </c>
      <c r="C40" s="91" t="s">
        <v>145</v>
      </c>
      <c r="D40" s="91" t="s">
        <v>57</v>
      </c>
      <c r="E40" s="81" t="s">
        <v>24</v>
      </c>
      <c r="F40" s="81" t="s">
        <v>33</v>
      </c>
      <c r="G40" s="171" t="s">
        <v>146</v>
      </c>
      <c r="H40" s="81" t="s">
        <v>147</v>
      </c>
      <c r="I40" s="154" t="s">
        <v>30</v>
      </c>
      <c r="J40" s="156"/>
    </row>
    <row r="41" spans="1:10" x14ac:dyDescent="0.35">
      <c r="A41" s="79" t="s">
        <v>47</v>
      </c>
      <c r="B41" s="94">
        <v>4613176</v>
      </c>
      <c r="C41" s="94" t="s">
        <v>148</v>
      </c>
      <c r="D41" s="95" t="s">
        <v>12</v>
      </c>
      <c r="E41" s="96" t="s">
        <v>19</v>
      </c>
      <c r="F41" s="80" t="s">
        <v>14</v>
      </c>
      <c r="G41" s="202" t="s">
        <v>149</v>
      </c>
      <c r="H41" s="80" t="s">
        <v>150</v>
      </c>
      <c r="I41" s="154"/>
      <c r="J41" s="156"/>
    </row>
    <row r="42" spans="1:10" x14ac:dyDescent="0.35">
      <c r="A42" s="79" t="s">
        <v>47</v>
      </c>
      <c r="B42" s="91">
        <v>4613186</v>
      </c>
      <c r="C42" s="91" t="s">
        <v>151</v>
      </c>
      <c r="D42" s="92" t="s">
        <v>12</v>
      </c>
      <c r="E42" s="93" t="s">
        <v>24</v>
      </c>
      <c r="F42" s="81" t="s">
        <v>14</v>
      </c>
      <c r="G42" s="203" t="s">
        <v>152</v>
      </c>
      <c r="H42" s="81" t="s">
        <v>153</v>
      </c>
      <c r="I42" s="154"/>
      <c r="J42" s="156"/>
    </row>
    <row r="43" spans="1:10" x14ac:dyDescent="0.35">
      <c r="A43" s="79" t="s">
        <v>31</v>
      </c>
      <c r="B43" s="94">
        <v>4612243</v>
      </c>
      <c r="C43" s="94" t="s">
        <v>154</v>
      </c>
      <c r="D43" s="95" t="s">
        <v>12</v>
      </c>
      <c r="E43" s="96" t="s">
        <v>13</v>
      </c>
      <c r="F43" s="80" t="s">
        <v>14</v>
      </c>
      <c r="G43" s="172" t="s">
        <v>155</v>
      </c>
      <c r="H43" s="80" t="s">
        <v>156</v>
      </c>
      <c r="I43" s="154" t="s">
        <v>22</v>
      </c>
      <c r="J43" s="156"/>
    </row>
    <row r="44" spans="1:10" x14ac:dyDescent="0.35">
      <c r="A44" s="79" t="s">
        <v>31</v>
      </c>
      <c r="B44" s="91">
        <v>4612389</v>
      </c>
      <c r="C44" s="91" t="s">
        <v>157</v>
      </c>
      <c r="D44" s="92" t="s">
        <v>12</v>
      </c>
      <c r="E44" s="96" t="s">
        <v>13</v>
      </c>
      <c r="F44" s="81" t="s">
        <v>14</v>
      </c>
      <c r="G44" s="171" t="s">
        <v>158</v>
      </c>
      <c r="H44" s="81" t="s">
        <v>159</v>
      </c>
      <c r="I44" s="154" t="s">
        <v>22</v>
      </c>
      <c r="J44" s="156"/>
    </row>
    <row r="45" spans="1:10" x14ac:dyDescent="0.35">
      <c r="A45" s="79" t="s">
        <v>31</v>
      </c>
      <c r="B45" s="94">
        <v>4612192</v>
      </c>
      <c r="C45" s="94" t="s">
        <v>160</v>
      </c>
      <c r="D45" s="95" t="s">
        <v>12</v>
      </c>
      <c r="E45" s="93" t="s">
        <v>19</v>
      </c>
      <c r="F45" s="80" t="s">
        <v>14</v>
      </c>
      <c r="G45" s="172" t="s">
        <v>161</v>
      </c>
      <c r="H45" s="80" t="s">
        <v>162</v>
      </c>
      <c r="I45" s="154" t="s">
        <v>30</v>
      </c>
      <c r="J45" s="156"/>
    </row>
    <row r="46" spans="1:10" x14ac:dyDescent="0.35">
      <c r="A46" s="79" t="s">
        <v>31</v>
      </c>
      <c r="B46" s="91">
        <v>4612393</v>
      </c>
      <c r="C46" s="91" t="s">
        <v>163</v>
      </c>
      <c r="D46" s="92" t="s">
        <v>12</v>
      </c>
      <c r="E46" s="99" t="s">
        <v>24</v>
      </c>
      <c r="F46" s="81" t="s">
        <v>14</v>
      </c>
      <c r="G46" s="171" t="s">
        <v>164</v>
      </c>
      <c r="H46" s="81" t="s">
        <v>165</v>
      </c>
      <c r="I46" s="154" t="s">
        <v>17</v>
      </c>
      <c r="J46" s="156"/>
    </row>
    <row r="47" spans="1:10" x14ac:dyDescent="0.35">
      <c r="A47" s="79" t="s">
        <v>31</v>
      </c>
      <c r="B47" s="94">
        <v>4612228</v>
      </c>
      <c r="C47" s="94" t="s">
        <v>166</v>
      </c>
      <c r="D47" s="95" t="s">
        <v>12</v>
      </c>
      <c r="E47" s="93" t="s">
        <v>19</v>
      </c>
      <c r="F47" s="80" t="s">
        <v>14</v>
      </c>
      <c r="G47" s="172" t="s">
        <v>167</v>
      </c>
      <c r="H47" s="80" t="s">
        <v>168</v>
      </c>
      <c r="I47" s="154" t="s">
        <v>22</v>
      </c>
      <c r="J47" s="156"/>
    </row>
    <row r="48" spans="1:10" x14ac:dyDescent="0.35">
      <c r="A48" s="79" t="s">
        <v>31</v>
      </c>
      <c r="B48" s="91">
        <v>4612247</v>
      </c>
      <c r="C48" s="91" t="s">
        <v>169</v>
      </c>
      <c r="D48" s="92" t="s">
        <v>12</v>
      </c>
      <c r="E48" s="99" t="s">
        <v>24</v>
      </c>
      <c r="F48" s="81" t="s">
        <v>14</v>
      </c>
      <c r="G48" s="171" t="s">
        <v>170</v>
      </c>
      <c r="H48" s="81" t="s">
        <v>171</v>
      </c>
      <c r="I48" s="154" t="s">
        <v>17</v>
      </c>
      <c r="J48" s="156"/>
    </row>
    <row r="49" spans="1:10" x14ac:dyDescent="0.35">
      <c r="A49" s="79" t="s">
        <v>31</v>
      </c>
      <c r="B49" s="94">
        <v>1385950</v>
      </c>
      <c r="C49" s="94" t="s">
        <v>172</v>
      </c>
      <c r="D49" s="95" t="s">
        <v>12</v>
      </c>
      <c r="E49" s="93" t="s">
        <v>19</v>
      </c>
      <c r="F49" s="80" t="s">
        <v>33</v>
      </c>
      <c r="G49" s="164" t="s">
        <v>173</v>
      </c>
      <c r="H49" s="80" t="s">
        <v>174</v>
      </c>
      <c r="I49" s="154"/>
      <c r="J49" s="156"/>
    </row>
    <row r="50" spans="1:10" x14ac:dyDescent="0.35">
      <c r="A50" s="79" t="s">
        <v>31</v>
      </c>
      <c r="B50" s="91">
        <v>1387328</v>
      </c>
      <c r="C50" s="91" t="s">
        <v>175</v>
      </c>
      <c r="D50" s="92" t="s">
        <v>12</v>
      </c>
      <c r="E50" s="93" t="s">
        <v>19</v>
      </c>
      <c r="F50" s="81" t="s">
        <v>33</v>
      </c>
      <c r="G50" s="165" t="s">
        <v>176</v>
      </c>
      <c r="H50" s="81" t="s">
        <v>177</v>
      </c>
      <c r="I50" s="154"/>
      <c r="J50" s="156"/>
    </row>
    <row r="51" spans="1:10" x14ac:dyDescent="0.35">
      <c r="A51" s="187" t="s">
        <v>31</v>
      </c>
      <c r="B51" s="188">
        <v>1385870</v>
      </c>
      <c r="C51" s="188" t="s">
        <v>178</v>
      </c>
      <c r="D51" s="189" t="s">
        <v>12</v>
      </c>
      <c r="E51" s="190" t="s">
        <v>24</v>
      </c>
      <c r="F51" s="191" t="s">
        <v>33</v>
      </c>
      <c r="G51" s="192" t="s">
        <v>179</v>
      </c>
      <c r="H51" s="191" t="s">
        <v>180</v>
      </c>
      <c r="I51" s="193"/>
      <c r="J51" s="194"/>
    </row>
    <row r="52" spans="1:10" x14ac:dyDescent="0.35">
      <c r="A52" s="195" t="s">
        <v>31</v>
      </c>
      <c r="B52" s="196">
        <v>1386288</v>
      </c>
      <c r="C52" s="196" t="s">
        <v>181</v>
      </c>
      <c r="D52" s="196" t="s">
        <v>12</v>
      </c>
      <c r="E52" s="197" t="s">
        <v>24</v>
      </c>
      <c r="F52" s="198" t="s">
        <v>33</v>
      </c>
      <c r="G52" s="199" t="s">
        <v>182</v>
      </c>
      <c r="H52" s="198" t="s">
        <v>183</v>
      </c>
      <c r="I52" s="157"/>
      <c r="J52" s="156"/>
    </row>
    <row r="53" spans="1:10" x14ac:dyDescent="0.35">
      <c r="A53" s="195" t="s">
        <v>31</v>
      </c>
      <c r="B53" s="200">
        <v>9678697</v>
      </c>
      <c r="C53" s="200" t="s">
        <v>184</v>
      </c>
      <c r="D53" s="200" t="s">
        <v>12</v>
      </c>
      <c r="E53" s="197" t="s">
        <v>13</v>
      </c>
      <c r="F53" s="197" t="s">
        <v>33</v>
      </c>
      <c r="G53" s="201" t="s">
        <v>185</v>
      </c>
      <c r="H53" s="197" t="s">
        <v>186</v>
      </c>
      <c r="I53" s="157"/>
      <c r="J53" s="156"/>
    </row>
    <row r="54" spans="1:10" x14ac:dyDescent="0.35">
      <c r="A54" s="195" t="s">
        <v>10</v>
      </c>
      <c r="B54" s="196">
        <v>9921954</v>
      </c>
      <c r="C54" s="196" t="s">
        <v>187</v>
      </c>
      <c r="D54" s="196" t="s">
        <v>12</v>
      </c>
      <c r="E54" s="198" t="s">
        <v>19</v>
      </c>
      <c r="F54" s="198" t="s">
        <v>33</v>
      </c>
      <c r="G54" s="199" t="s">
        <v>188</v>
      </c>
      <c r="H54" s="198" t="s">
        <v>189</v>
      </c>
      <c r="I54" s="157"/>
      <c r="J54" s="156"/>
    </row>
    <row r="55" spans="1:10" x14ac:dyDescent="0.35">
      <c r="A55" s="195" t="s">
        <v>10</v>
      </c>
      <c r="B55" s="200">
        <v>2448533</v>
      </c>
      <c r="C55" s="200" t="s">
        <v>190</v>
      </c>
      <c r="D55" s="200" t="s">
        <v>12</v>
      </c>
      <c r="E55" s="197" t="s">
        <v>13</v>
      </c>
      <c r="F55" s="197" t="s">
        <v>33</v>
      </c>
      <c r="G55" s="201" t="s">
        <v>191</v>
      </c>
      <c r="H55" s="197" t="s">
        <v>192</v>
      </c>
      <c r="I55" s="157"/>
      <c r="J55" s="156"/>
    </row>
    <row r="56" spans="1:10" x14ac:dyDescent="0.35">
      <c r="A56" s="195" t="s">
        <v>10</v>
      </c>
      <c r="B56" s="200">
        <v>4606426</v>
      </c>
      <c r="C56" s="200" t="s">
        <v>193</v>
      </c>
      <c r="D56" s="196" t="s">
        <v>110</v>
      </c>
      <c r="E56" s="197" t="s">
        <v>194</v>
      </c>
      <c r="F56" s="197"/>
      <c r="G56" s="201" t="s">
        <v>195</v>
      </c>
      <c r="H56" s="198" t="s">
        <v>196</v>
      </c>
      <c r="I56" s="156"/>
      <c r="J56" s="157"/>
    </row>
    <row r="57" spans="1:10" x14ac:dyDescent="0.35">
      <c r="A57" s="195" t="s">
        <v>31</v>
      </c>
      <c r="B57" s="200"/>
      <c r="C57" s="200"/>
      <c r="D57" s="196" t="s">
        <v>110</v>
      </c>
      <c r="E57" s="197"/>
      <c r="F57" s="197"/>
      <c r="G57" s="214"/>
      <c r="H57" s="198" t="s">
        <v>197</v>
      </c>
      <c r="I57" s="156"/>
      <c r="J57" s="157"/>
    </row>
  </sheetData>
  <autoFilter ref="A1:J56" xr:uid="{CCFC853D-4B89-47CE-AA8F-BD4EA9CD1EC0}"/>
  <phoneticPr fontId="30" type="noConversion"/>
  <conditionalFormatting sqref="A38:A57">
    <cfRule type="containsText" dxfId="103" priority="19" operator="containsText" text="ELET">
      <formula>NOT(ISERROR(SEARCH("ELET",A38)))</formula>
    </cfRule>
    <cfRule type="containsText" dxfId="102" priority="21" operator="containsText" text="MEC">
      <formula>NOT(ISERROR(SEARCH("MEC",A38)))</formula>
    </cfRule>
    <cfRule type="containsText" dxfId="101" priority="20" operator="containsText" text="INST">
      <formula>NOT(ISERROR(SEARCH("INST",A38)))</formula>
    </cfRule>
  </conditionalFormatting>
  <conditionalFormatting sqref="A56:A57">
    <cfRule type="containsText" dxfId="100" priority="4" operator="containsText" text="ELET">
      <formula>NOT(ISERROR(SEARCH("ELET",A56)))</formula>
    </cfRule>
    <cfRule type="containsText" dxfId="99" priority="5" operator="containsText" text="INST">
      <formula>NOT(ISERROR(SEARCH("INST",A56)))</formula>
    </cfRule>
    <cfRule type="containsText" dxfId="98" priority="6" operator="containsText" text="MEC">
      <formula>NOT(ISERROR(SEARCH("MEC",A56)))</formula>
    </cfRule>
  </conditionalFormatting>
  <conditionalFormatting sqref="A57">
    <cfRule type="containsText" dxfId="97" priority="2" operator="containsText" text="INST">
      <formula>NOT(ISERROR(SEARCH("INST",A57)))</formula>
    </cfRule>
    <cfRule type="containsText" dxfId="96" priority="3" operator="containsText" text="MEC">
      <formula>NOT(ISERROR(SEARCH("MEC",A57)))</formula>
    </cfRule>
    <cfRule type="containsText" dxfId="95" priority="1" operator="containsText" text="ELET">
      <formula>NOT(ISERROR(SEARCH("ELET",A57)))</formula>
    </cfRule>
  </conditionalFormatting>
  <conditionalFormatting sqref="A1:G55 B56:G57">
    <cfRule type="containsText" dxfId="94" priority="31" operator="containsText" text="ELET">
      <formula>NOT(ISERROR(SEARCH("ELET",A1)))</formula>
    </cfRule>
    <cfRule type="containsText" dxfId="93" priority="32" operator="containsText" text="INST">
      <formula>NOT(ISERROR(SEARCH("INST",A1)))</formula>
    </cfRule>
    <cfRule type="containsText" dxfId="92" priority="33" operator="containsText" text="MEC">
      <formula>NOT(ISERROR(SEARCH("MEC",A1)))</formula>
    </cfRule>
  </conditionalFormatting>
  <conditionalFormatting sqref="D25:D31">
    <cfRule type="containsText" dxfId="91" priority="22" operator="containsText" text="ELET">
      <formula>NOT(ISERROR(SEARCH("ELET",D25)))</formula>
    </cfRule>
    <cfRule type="containsText" dxfId="90" priority="23" operator="containsText" text="INST">
      <formula>NOT(ISERROR(SEARCH("INST",D25)))</formula>
    </cfRule>
    <cfRule type="containsText" dxfId="89" priority="24" operator="containsText" text="MEC">
      <formula>NOT(ISERROR(SEARCH("MEC",D25)))</formula>
    </cfRule>
  </conditionalFormatting>
  <conditionalFormatting sqref="D35:D57">
    <cfRule type="containsText" dxfId="88" priority="16" operator="containsText" text="ELET">
      <formula>NOT(ISERROR(SEARCH("ELET",D35)))</formula>
    </cfRule>
    <cfRule type="containsText" dxfId="87" priority="18" operator="containsText" text="MEC">
      <formula>NOT(ISERROR(SEARCH("MEC",D35)))</formula>
    </cfRule>
    <cfRule type="containsText" dxfId="86" priority="17" operator="containsText" text="INST">
      <formula>NOT(ISERROR(SEARCH("INST",D35)))</formula>
    </cfRule>
  </conditionalFormatting>
  <conditionalFormatting sqref="E4">
    <cfRule type="containsText" dxfId="85" priority="10" operator="containsText" text="ELET">
      <formula>NOT(ISERROR(SEARCH("ELET",E4)))</formula>
    </cfRule>
    <cfRule type="containsText" dxfId="84" priority="11" operator="containsText" text="INST">
      <formula>NOT(ISERROR(SEARCH("INST",E4)))</formula>
    </cfRule>
    <cfRule type="containsText" dxfId="83" priority="12" operator="containsText" text="MEC">
      <formula>NOT(ISERROR(SEARCH("MEC",E4)))</formula>
    </cfRule>
  </conditionalFormatting>
  <conditionalFormatting sqref="E18:E22">
    <cfRule type="containsText" dxfId="82" priority="28" operator="containsText" text="ELET">
      <formula>NOT(ISERROR(SEARCH("ELET",E18)))</formula>
    </cfRule>
    <cfRule type="containsText" dxfId="81" priority="29" operator="containsText" text="INST">
      <formula>NOT(ISERROR(SEARCH("INST",E18)))</formula>
    </cfRule>
    <cfRule type="containsText" dxfId="80" priority="30" operator="containsText" text="MEC">
      <formula>NOT(ISERROR(SEARCH("MEC",E18)))</formula>
    </cfRule>
  </conditionalFormatting>
  <conditionalFormatting sqref="E22:E28">
    <cfRule type="containsText" dxfId="79" priority="25" operator="containsText" text="ELET">
      <formula>NOT(ISERROR(SEARCH("ELET",E22)))</formula>
    </cfRule>
    <cfRule type="containsText" dxfId="78" priority="26" operator="containsText" text="INST">
      <formula>NOT(ISERROR(SEARCH("INST",E22)))</formula>
    </cfRule>
    <cfRule type="containsText" dxfId="77" priority="27" operator="containsText" text="MEC">
      <formula>NOT(ISERROR(SEARCH("MEC",E22)))</formula>
    </cfRule>
  </conditionalFormatting>
  <conditionalFormatting sqref="E46">
    <cfRule type="containsText" dxfId="76" priority="7" operator="containsText" text="ELET">
      <formula>NOT(ISERROR(SEARCH("ELET",E46)))</formula>
    </cfRule>
    <cfRule type="containsText" dxfId="75" priority="8" operator="containsText" text="INST">
      <formula>NOT(ISERROR(SEARCH("INST",E46)))</formula>
    </cfRule>
    <cfRule type="containsText" dxfId="74" priority="9" operator="containsText" text="MEC">
      <formula>NOT(ISERROR(SEARCH("MEC",E46)))</formula>
    </cfRule>
  </conditionalFormatting>
  <conditionalFormatting sqref="E48:E57">
    <cfRule type="containsText" dxfId="73" priority="13" operator="containsText" text="ELET">
      <formula>NOT(ISERROR(SEARCH("ELET",E48)))</formula>
    </cfRule>
    <cfRule type="containsText" dxfId="72" priority="14" operator="containsText" text="INST">
      <formula>NOT(ISERROR(SEARCH("INST",E48)))</formula>
    </cfRule>
    <cfRule type="containsText" dxfId="71" priority="15" operator="containsText" text="MEC">
      <formula>NOT(ISERROR(SEARCH("MEC",E48)))</formula>
    </cfRule>
  </conditionalFormatting>
  <conditionalFormatting sqref="I1:J1">
    <cfRule type="containsText" dxfId="70" priority="64" operator="containsText" text="ELET">
      <formula>NOT(ISERROR(SEARCH("ELET",I1)))</formula>
    </cfRule>
    <cfRule type="containsText" dxfId="69" priority="65" operator="containsText" text="INST">
      <formula>NOT(ISERROR(SEARCH("INST",I1)))</formula>
    </cfRule>
    <cfRule type="containsText" dxfId="68" priority="66"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7"/>
  <sheetViews>
    <sheetView showGridLines="0" tabSelected="1" showRuler="0" zoomScale="70" zoomScaleNormal="70" zoomScalePageLayoutView="70" workbookViewId="0">
      <pane xSplit="7" ySplit="6" topLeftCell="H9" activePane="bottomRight" state="frozen"/>
      <selection pane="topRight" activeCell="H1" sqref="H1"/>
      <selection pane="bottomLeft" activeCell="A7" sqref="A7"/>
      <selection pane="bottomRight" activeCell="G77" sqref="G77"/>
    </sheetView>
  </sheetViews>
  <sheetFormatPr defaultColWidth="9.453125" defaultRowHeight="14.5" outlineLevelRow="1" x14ac:dyDescent="0.35"/>
  <cols>
    <col min="1" max="1" width="0.453125" customWidth="1"/>
    <col min="2" max="2" width="37.54296875" bestFit="1" customWidth="1"/>
    <col min="3" max="3" width="27.6328125" style="5" bestFit="1" customWidth="1"/>
    <col min="4" max="4" width="21" style="111" bestFit="1" customWidth="1"/>
    <col min="5" max="5" width="19" style="111" customWidth="1"/>
    <col min="6" max="7" width="4.453125" customWidth="1"/>
    <col min="8" max="9" width="0.453125" customWidth="1"/>
    <col min="10" max="10" width="2.54296875" bestFit="1" customWidth="1"/>
    <col min="11" max="19" width="2" bestFit="1" customWidth="1"/>
    <col min="20" max="24" width="2.54296875" bestFit="1" customWidth="1"/>
    <col min="25" max="25" width="6.6328125" bestFit="1" customWidth="1"/>
    <col min="26" max="41" width="2.54296875" bestFit="1" customWidth="1"/>
    <col min="42" max="50" width="2" bestFit="1" customWidth="1"/>
    <col min="51" max="69" width="2.54296875" bestFit="1" customWidth="1"/>
    <col min="70" max="78" width="2" bestFit="1" customWidth="1"/>
    <col min="79" max="100" width="2.54296875" bestFit="1" customWidth="1"/>
    <col min="101" max="109" width="2" bestFit="1" customWidth="1"/>
    <col min="110" max="130" width="2.54296875" bestFit="1" customWidth="1"/>
    <col min="131" max="139" width="2" bestFit="1" customWidth="1"/>
    <col min="140" max="161" width="2.54296875" bestFit="1" customWidth="1"/>
    <col min="162" max="170" width="2" bestFit="1" customWidth="1"/>
    <col min="171" max="191" width="2.54296875" bestFit="1" customWidth="1"/>
    <col min="192" max="200" width="2" bestFit="1" customWidth="1"/>
    <col min="201" max="222" width="2.54296875" bestFit="1" customWidth="1"/>
    <col min="223" max="231" width="2" bestFit="1" customWidth="1"/>
    <col min="232" max="253" width="2.54296875" bestFit="1" customWidth="1"/>
    <col min="254" max="262" width="2" bestFit="1" customWidth="1"/>
    <col min="263" max="283" width="2.54296875" bestFit="1" customWidth="1"/>
    <col min="284" max="292" width="2" bestFit="1" customWidth="1"/>
    <col min="293" max="314" width="2.54296875" bestFit="1" customWidth="1"/>
    <col min="315" max="323" width="2" bestFit="1" customWidth="1"/>
    <col min="324" max="617" width="2.54296875" bestFit="1" customWidth="1"/>
  </cols>
  <sheetData>
    <row r="1" spans="1:617" ht="9.65" customHeight="1" x14ac:dyDescent="0.65">
      <c r="A1" s="34" t="s">
        <v>198</v>
      </c>
      <c r="B1" s="37" t="s">
        <v>199</v>
      </c>
      <c r="C1" s="134"/>
      <c r="D1" s="110"/>
      <c r="E1" s="110"/>
      <c r="G1" s="2"/>
      <c r="H1" s="51"/>
      <c r="I1" s="51"/>
      <c r="BT1" s="246" t="s">
        <v>200</v>
      </c>
      <c r="BU1" s="246"/>
      <c r="BV1" s="246"/>
      <c r="CQ1" s="244"/>
      <c r="CR1" s="244"/>
      <c r="CX1" s="243"/>
      <c r="CY1" s="243"/>
      <c r="EK1" s="244"/>
    </row>
    <row r="2" spans="1:617" ht="9.65" customHeight="1" x14ac:dyDescent="0.45">
      <c r="A2" s="33" t="s">
        <v>201</v>
      </c>
      <c r="B2" s="38"/>
      <c r="BT2" s="246"/>
      <c r="BU2" s="246"/>
      <c r="BV2" s="246"/>
      <c r="CQ2" s="244"/>
      <c r="CR2" s="244"/>
      <c r="CX2" s="243"/>
      <c r="CY2" s="243"/>
      <c r="EK2" s="244"/>
    </row>
    <row r="3" spans="1:617" ht="9.65" customHeight="1" x14ac:dyDescent="0.35">
      <c r="A3" s="33" t="s">
        <v>202</v>
      </c>
      <c r="B3" s="70" t="s">
        <v>203</v>
      </c>
      <c r="C3" s="135">
        <f>Início_do_projeto+660</f>
        <v>46318</v>
      </c>
      <c r="D3" s="112" t="s">
        <v>204</v>
      </c>
      <c r="E3" s="241">
        <v>45658</v>
      </c>
      <c r="F3" s="241"/>
      <c r="BT3" s="246"/>
      <c r="BU3" s="246"/>
      <c r="BV3" s="246"/>
      <c r="CQ3" s="244"/>
      <c r="CR3" s="244"/>
      <c r="CX3" s="243"/>
      <c r="CY3" s="243"/>
      <c r="EK3" s="244"/>
    </row>
    <row r="4" spans="1:617" ht="9.65" customHeight="1" x14ac:dyDescent="0.35">
      <c r="A4" s="34" t="s">
        <v>205</v>
      </c>
      <c r="D4" s="113" t="s">
        <v>206</v>
      </c>
      <c r="F4" s="7">
        <v>1</v>
      </c>
      <c r="H4" s="231">
        <f>H5</f>
        <v>45656</v>
      </c>
      <c r="I4" s="232"/>
      <c r="J4" s="232"/>
      <c r="K4" s="232"/>
      <c r="L4" s="232"/>
      <c r="M4" s="232"/>
      <c r="N4" s="232"/>
      <c r="O4" s="233"/>
      <c r="P4" s="231">
        <f>P5</f>
        <v>45663</v>
      </c>
      <c r="Q4" s="232"/>
      <c r="R4" s="232"/>
      <c r="S4" s="232"/>
      <c r="T4" s="232"/>
      <c r="U4" s="232"/>
      <c r="V4" s="233"/>
      <c r="W4" s="231">
        <f>W5</f>
        <v>45670</v>
      </c>
      <c r="X4" s="232"/>
      <c r="Y4" s="232"/>
      <c r="Z4" s="232"/>
      <c r="AA4" s="232"/>
      <c r="AB4" s="232"/>
      <c r="AC4" s="233"/>
      <c r="AD4" s="231">
        <f>AD5</f>
        <v>45677</v>
      </c>
      <c r="AE4" s="232"/>
      <c r="AF4" s="232"/>
      <c r="AG4" s="232"/>
      <c r="AH4" s="232"/>
      <c r="AI4" s="232"/>
      <c r="AJ4" s="233"/>
      <c r="AK4" s="231">
        <f>AK5</f>
        <v>45684</v>
      </c>
      <c r="AL4" s="232"/>
      <c r="AM4" s="232"/>
      <c r="AN4" s="232"/>
      <c r="AO4" s="232"/>
      <c r="AP4" s="232"/>
      <c r="AQ4" s="233"/>
      <c r="AR4" s="231">
        <f>AR5</f>
        <v>45691</v>
      </c>
      <c r="AS4" s="232"/>
      <c r="AT4" s="232"/>
      <c r="AU4" s="232"/>
      <c r="AV4" s="232"/>
      <c r="AW4" s="232"/>
      <c r="AX4" s="233"/>
      <c r="AY4" s="231">
        <f>AY5</f>
        <v>45698</v>
      </c>
      <c r="AZ4" s="232"/>
      <c r="BA4" s="232"/>
      <c r="BB4" s="232"/>
      <c r="BC4" s="232"/>
      <c r="BD4" s="232"/>
      <c r="BE4" s="233"/>
      <c r="BF4" s="231">
        <f>BF5</f>
        <v>45705</v>
      </c>
      <c r="BG4" s="232"/>
      <c r="BH4" s="232"/>
      <c r="BI4" s="232"/>
      <c r="BJ4" s="232"/>
      <c r="BK4" s="232"/>
      <c r="BL4" s="233"/>
      <c r="BM4" s="231">
        <f>BM5</f>
        <v>45712</v>
      </c>
      <c r="BN4" s="232"/>
      <c r="BO4" s="232"/>
      <c r="BP4" s="232"/>
      <c r="BQ4" s="232"/>
      <c r="BR4" s="232"/>
      <c r="BS4" s="233"/>
      <c r="BT4" s="231">
        <f>BT5</f>
        <v>45719</v>
      </c>
      <c r="BU4" s="232"/>
      <c r="BV4" s="232"/>
      <c r="BW4" s="232"/>
      <c r="BX4" s="232"/>
      <c r="BY4" s="232"/>
      <c r="BZ4" s="233"/>
      <c r="CA4" s="231">
        <f>CA5</f>
        <v>45726</v>
      </c>
      <c r="CB4" s="232"/>
      <c r="CC4" s="232"/>
      <c r="CD4" s="232"/>
      <c r="CE4" s="232"/>
      <c r="CF4" s="232"/>
      <c r="CG4" s="233"/>
      <c r="CH4" s="231">
        <f>CH5</f>
        <v>45733</v>
      </c>
      <c r="CI4" s="232"/>
      <c r="CJ4" s="232"/>
      <c r="CK4" s="232"/>
      <c r="CL4" s="232"/>
      <c r="CM4" s="232"/>
      <c r="CN4" s="233"/>
      <c r="CO4" s="231">
        <f>CO5</f>
        <v>45740</v>
      </c>
      <c r="CP4" s="232"/>
      <c r="CQ4" s="232"/>
      <c r="CR4" s="232"/>
      <c r="CS4" s="232"/>
      <c r="CT4" s="232"/>
      <c r="CU4" s="233"/>
      <c r="CV4" s="231">
        <f>CV5</f>
        <v>45747</v>
      </c>
      <c r="CW4" s="232"/>
      <c r="CX4" s="232"/>
      <c r="CY4" s="232"/>
      <c r="CZ4" s="232"/>
      <c r="DA4" s="232"/>
      <c r="DB4" s="233"/>
      <c r="DC4" s="231">
        <f>DC5</f>
        <v>45754</v>
      </c>
      <c r="DD4" s="232"/>
      <c r="DE4" s="232"/>
      <c r="DF4" s="232"/>
      <c r="DG4" s="232"/>
      <c r="DH4" s="232"/>
      <c r="DI4" s="233"/>
      <c r="DJ4" s="231">
        <f>DJ5</f>
        <v>45761</v>
      </c>
      <c r="DK4" s="232"/>
      <c r="DL4" s="232"/>
      <c r="DM4" s="232"/>
      <c r="DN4" s="232"/>
      <c r="DO4" s="232"/>
      <c r="DP4" s="233"/>
      <c r="DQ4" s="231">
        <f>DQ5</f>
        <v>45768</v>
      </c>
      <c r="DR4" s="232"/>
      <c r="DS4" s="232"/>
      <c r="DT4" s="232"/>
      <c r="DU4" s="232"/>
      <c r="DV4" s="232"/>
      <c r="DW4" s="233"/>
      <c r="DX4" s="231">
        <f>DX5</f>
        <v>45775</v>
      </c>
      <c r="DY4" s="232"/>
      <c r="DZ4" s="232"/>
      <c r="EA4" s="232"/>
      <c r="EB4" s="232"/>
      <c r="EC4" s="232"/>
      <c r="ED4" s="233"/>
      <c r="EE4" s="231">
        <f t="shared" ref="EE4" si="0">EE5</f>
        <v>45782</v>
      </c>
      <c r="EF4" s="232"/>
      <c r="EG4" s="232"/>
      <c r="EH4" s="232"/>
      <c r="EI4" s="232"/>
      <c r="EJ4" s="232"/>
      <c r="EK4" s="233"/>
      <c r="EL4" s="231">
        <f t="shared" ref="EL4" si="1">EL5</f>
        <v>45789</v>
      </c>
      <c r="EM4" s="232"/>
      <c r="EN4" s="232"/>
      <c r="EO4" s="232"/>
      <c r="EP4" s="232"/>
      <c r="EQ4" s="232"/>
      <c r="ER4" s="233"/>
      <c r="ES4" s="231">
        <f t="shared" ref="ES4" si="2">ES5</f>
        <v>45796</v>
      </c>
      <c r="ET4" s="232"/>
      <c r="EU4" s="232"/>
      <c r="EV4" s="232"/>
      <c r="EW4" s="232"/>
      <c r="EX4" s="232"/>
      <c r="EY4" s="233"/>
      <c r="EZ4" s="231">
        <f t="shared" ref="EZ4" si="3">EZ5</f>
        <v>45803</v>
      </c>
      <c r="FA4" s="232"/>
      <c r="FB4" s="232"/>
      <c r="FC4" s="232"/>
      <c r="FD4" s="232"/>
      <c r="FE4" s="232"/>
      <c r="FF4" s="233"/>
      <c r="FG4" s="231">
        <f t="shared" ref="FG4" si="4">FG5</f>
        <v>45810</v>
      </c>
      <c r="FH4" s="232"/>
      <c r="FI4" s="232"/>
      <c r="FJ4" s="232"/>
      <c r="FK4" s="232"/>
      <c r="FL4" s="232"/>
      <c r="FM4" s="233"/>
      <c r="FN4" s="231">
        <f t="shared" ref="FN4" si="5">FN5</f>
        <v>45817</v>
      </c>
      <c r="FO4" s="232"/>
      <c r="FP4" s="232"/>
      <c r="FQ4" s="232"/>
      <c r="FR4" s="232"/>
      <c r="FS4" s="232"/>
      <c r="FT4" s="233"/>
      <c r="FU4" s="231">
        <f t="shared" ref="FU4" si="6">FU5</f>
        <v>45824</v>
      </c>
      <c r="FV4" s="232"/>
      <c r="FW4" s="232"/>
      <c r="FX4" s="232"/>
      <c r="FY4" s="232"/>
      <c r="FZ4" s="232"/>
      <c r="GA4" s="233"/>
      <c r="GB4" s="231">
        <f t="shared" ref="GB4" si="7">GB5</f>
        <v>45831</v>
      </c>
      <c r="GC4" s="232"/>
      <c r="GD4" s="232"/>
      <c r="GE4" s="232"/>
      <c r="GF4" s="232"/>
      <c r="GG4" s="232"/>
      <c r="GH4" s="233"/>
      <c r="GI4" s="231">
        <f t="shared" ref="GI4" si="8">GI5</f>
        <v>45838</v>
      </c>
      <c r="GJ4" s="232"/>
      <c r="GK4" s="232"/>
      <c r="GL4" s="232"/>
      <c r="GM4" s="232"/>
      <c r="GN4" s="232"/>
      <c r="GO4" s="233"/>
      <c r="GP4" s="231">
        <f t="shared" ref="GP4" si="9">GP5</f>
        <v>45845</v>
      </c>
      <c r="GQ4" s="232"/>
      <c r="GR4" s="232"/>
      <c r="GS4" s="232"/>
      <c r="GT4" s="232"/>
      <c r="GU4" s="232"/>
      <c r="GV4" s="233"/>
      <c r="GW4" s="231">
        <f t="shared" ref="GW4" si="10">GW5</f>
        <v>45852</v>
      </c>
      <c r="GX4" s="232"/>
      <c r="GY4" s="232"/>
      <c r="GZ4" s="232"/>
      <c r="HA4" s="232"/>
      <c r="HB4" s="232"/>
      <c r="HC4" s="233"/>
      <c r="HD4" s="231">
        <f t="shared" ref="HD4" si="11">HD5</f>
        <v>45859</v>
      </c>
      <c r="HE4" s="232"/>
      <c r="HF4" s="232"/>
      <c r="HG4" s="232"/>
      <c r="HH4" s="232"/>
      <c r="HI4" s="232"/>
      <c r="HJ4" s="233"/>
      <c r="HK4" s="231">
        <f t="shared" ref="HK4" si="12">HK5</f>
        <v>45866</v>
      </c>
      <c r="HL4" s="232"/>
      <c r="HM4" s="232"/>
      <c r="HN4" s="232"/>
      <c r="HO4" s="232"/>
      <c r="HP4" s="232"/>
      <c r="HQ4" s="233"/>
      <c r="HR4" s="231">
        <f t="shared" ref="HR4" si="13">HR5</f>
        <v>45873</v>
      </c>
      <c r="HS4" s="232"/>
      <c r="HT4" s="232"/>
      <c r="HU4" s="232"/>
      <c r="HV4" s="232"/>
      <c r="HW4" s="232"/>
      <c r="HX4" s="233"/>
      <c r="HY4" s="231">
        <f t="shared" ref="HY4" si="14">HY5</f>
        <v>45880</v>
      </c>
      <c r="HZ4" s="232"/>
      <c r="IA4" s="232"/>
      <c r="IB4" s="232"/>
      <c r="IC4" s="232"/>
      <c r="ID4" s="232"/>
      <c r="IE4" s="233"/>
      <c r="IF4" s="231">
        <f t="shared" ref="IF4" si="15">IF5</f>
        <v>45887</v>
      </c>
      <c r="IG4" s="232"/>
      <c r="IH4" s="232"/>
      <c r="II4" s="232"/>
      <c r="IJ4" s="232"/>
      <c r="IK4" s="232"/>
      <c r="IL4" s="233"/>
      <c r="IM4" s="231">
        <f t="shared" ref="IM4" si="16">IM5</f>
        <v>45894</v>
      </c>
      <c r="IN4" s="232"/>
      <c r="IO4" s="232"/>
      <c r="IP4" s="232"/>
      <c r="IQ4" s="232"/>
      <c r="IR4" s="232"/>
      <c r="IS4" s="233"/>
      <c r="IT4" s="231">
        <f t="shared" ref="IT4" si="17">IT5</f>
        <v>45901</v>
      </c>
      <c r="IU4" s="232"/>
      <c r="IV4" s="232"/>
      <c r="IW4" s="232"/>
      <c r="IX4" s="232"/>
      <c r="IY4" s="232"/>
      <c r="IZ4" s="233"/>
      <c r="JA4" s="231">
        <f t="shared" ref="JA4" si="18">JA5</f>
        <v>45908</v>
      </c>
      <c r="JB4" s="232"/>
      <c r="JC4" s="232"/>
      <c r="JD4" s="232"/>
      <c r="JE4" s="232"/>
      <c r="JF4" s="232"/>
      <c r="JG4" s="233"/>
      <c r="JH4" s="231">
        <f t="shared" ref="JH4" si="19">JH5</f>
        <v>45915</v>
      </c>
      <c r="JI4" s="232"/>
      <c r="JJ4" s="232"/>
      <c r="JK4" s="232"/>
      <c r="JL4" s="232"/>
      <c r="JM4" s="232"/>
      <c r="JN4" s="233"/>
      <c r="JO4" s="231">
        <f t="shared" ref="JO4" si="20">JO5</f>
        <v>45922</v>
      </c>
      <c r="JP4" s="232"/>
      <c r="JQ4" s="232"/>
      <c r="JR4" s="232"/>
      <c r="JS4" s="232"/>
      <c r="JT4" s="232"/>
      <c r="JU4" s="233"/>
      <c r="JV4" s="231">
        <f t="shared" ref="JV4" si="21">JV5</f>
        <v>45929</v>
      </c>
      <c r="JW4" s="232"/>
      <c r="JX4" s="232"/>
      <c r="JY4" s="232"/>
      <c r="JZ4" s="232"/>
      <c r="KA4" s="232"/>
      <c r="KB4" s="233"/>
      <c r="KC4" s="231">
        <f t="shared" ref="KC4" si="22">KC5</f>
        <v>45936</v>
      </c>
      <c r="KD4" s="232"/>
      <c r="KE4" s="232"/>
      <c r="KF4" s="232"/>
      <c r="KG4" s="232"/>
      <c r="KH4" s="232"/>
      <c r="KI4" s="233"/>
      <c r="KJ4" s="231">
        <f t="shared" ref="KJ4" si="23">KJ5</f>
        <v>45943</v>
      </c>
      <c r="KK4" s="232"/>
      <c r="KL4" s="232"/>
      <c r="KM4" s="232"/>
      <c r="KN4" s="232"/>
      <c r="KO4" s="232"/>
      <c r="KP4" s="233"/>
      <c r="KQ4" s="231">
        <f t="shared" ref="KQ4" si="24">KQ5</f>
        <v>45950</v>
      </c>
      <c r="KR4" s="232"/>
      <c r="KS4" s="232"/>
      <c r="KT4" s="232"/>
      <c r="KU4" s="232"/>
      <c r="KV4" s="232"/>
      <c r="KW4" s="233"/>
      <c r="KX4" s="231">
        <f t="shared" ref="KX4" si="25">KX5</f>
        <v>45957</v>
      </c>
      <c r="KY4" s="232"/>
      <c r="KZ4" s="232"/>
      <c r="LA4" s="232"/>
      <c r="LB4" s="232"/>
      <c r="LC4" s="232"/>
      <c r="LD4" s="233"/>
      <c r="LE4" s="231">
        <f t="shared" ref="LE4" si="26">LE5</f>
        <v>45964</v>
      </c>
      <c r="LF4" s="232"/>
      <c r="LG4" s="232"/>
      <c r="LH4" s="232"/>
      <c r="LI4" s="232"/>
      <c r="LJ4" s="232"/>
      <c r="LK4" s="233"/>
      <c r="LL4" s="231">
        <f t="shared" ref="LL4" si="27">LL5</f>
        <v>45971</v>
      </c>
      <c r="LM4" s="232"/>
      <c r="LN4" s="232"/>
      <c r="LO4" s="232"/>
      <c r="LP4" s="232"/>
      <c r="LQ4" s="232"/>
      <c r="LR4" s="233"/>
      <c r="LS4" s="231">
        <f t="shared" ref="LS4" si="28">LS5</f>
        <v>45978</v>
      </c>
      <c r="LT4" s="231"/>
      <c r="LU4" s="231"/>
      <c r="LV4" s="231"/>
      <c r="LW4" s="231"/>
      <c r="LX4" s="231"/>
      <c r="LY4" s="231"/>
      <c r="LZ4" s="231">
        <f t="shared" ref="LZ4" si="29">LZ5</f>
        <v>45985</v>
      </c>
      <c r="MA4" s="232"/>
      <c r="MB4" s="232"/>
      <c r="MC4" s="232"/>
      <c r="MD4" s="232"/>
      <c r="ME4" s="232"/>
      <c r="MF4" s="233"/>
      <c r="MG4" s="231">
        <f t="shared" ref="MG4" si="30">MG5</f>
        <v>45992</v>
      </c>
      <c r="MH4" s="232"/>
      <c r="MI4" s="232"/>
      <c r="MJ4" s="232"/>
      <c r="MK4" s="232"/>
      <c r="ML4" s="232"/>
      <c r="MM4" s="233"/>
      <c r="MN4" s="231">
        <f t="shared" ref="MN4:OY4" si="31">MN5</f>
        <v>45999</v>
      </c>
      <c r="MO4" s="232"/>
      <c r="MP4" s="232"/>
      <c r="MQ4" s="232"/>
      <c r="MR4" s="232"/>
      <c r="MS4" s="232"/>
      <c r="MT4" s="233"/>
      <c r="MU4" s="231">
        <f t="shared" si="31"/>
        <v>46006</v>
      </c>
      <c r="MV4" s="232"/>
      <c r="MW4" s="232"/>
      <c r="MX4" s="232"/>
      <c r="MY4" s="232"/>
      <c r="MZ4" s="232"/>
      <c r="NA4" s="233"/>
      <c r="NB4" s="231">
        <f t="shared" si="31"/>
        <v>46013</v>
      </c>
      <c r="NC4" s="232"/>
      <c r="ND4" s="232"/>
      <c r="NE4" s="232"/>
      <c r="NF4" s="232"/>
      <c r="NG4" s="232"/>
      <c r="NH4" s="233"/>
      <c r="NI4" s="231">
        <f t="shared" si="31"/>
        <v>46020</v>
      </c>
      <c r="NJ4" s="232"/>
      <c r="NK4" s="232"/>
      <c r="NL4" s="232"/>
      <c r="NM4" s="232"/>
      <c r="NN4" s="232"/>
      <c r="NO4" s="233"/>
      <c r="NP4" s="231">
        <f t="shared" si="31"/>
        <v>46027</v>
      </c>
      <c r="NQ4" s="232"/>
      <c r="NR4" s="232"/>
      <c r="NS4" s="232"/>
      <c r="NT4" s="232"/>
      <c r="NU4" s="232"/>
      <c r="NV4" s="233"/>
      <c r="NW4" s="183">
        <f t="shared" si="31"/>
        <v>46034</v>
      </c>
      <c r="NX4" s="184"/>
      <c r="NY4" s="184"/>
      <c r="NZ4" s="184"/>
      <c r="OA4" s="184"/>
      <c r="OB4" s="231"/>
      <c r="OC4" s="232"/>
      <c r="OD4" s="232">
        <f t="shared" si="31"/>
        <v>46041</v>
      </c>
      <c r="OE4" s="232"/>
      <c r="OF4" s="232"/>
      <c r="OG4" s="232"/>
      <c r="OH4" s="233"/>
      <c r="OI4" s="184"/>
      <c r="OJ4" s="185"/>
      <c r="OK4" s="183">
        <f t="shared" si="31"/>
        <v>46048</v>
      </c>
      <c r="OL4" s="184"/>
      <c r="OM4" s="184"/>
      <c r="ON4" s="231"/>
      <c r="OO4" s="232"/>
      <c r="OP4" s="232"/>
      <c r="OQ4" s="232"/>
      <c r="OR4" s="232">
        <f t="shared" si="31"/>
        <v>46055</v>
      </c>
      <c r="OS4" s="232"/>
      <c r="OT4" s="233"/>
      <c r="OU4" s="184"/>
      <c r="OV4" s="184"/>
      <c r="OW4" s="184"/>
      <c r="OX4" s="185"/>
      <c r="OY4" s="183">
        <f t="shared" si="31"/>
        <v>46062</v>
      </c>
      <c r="OZ4" s="231"/>
      <c r="PA4" s="232"/>
      <c r="PB4" s="232"/>
      <c r="PC4" s="232"/>
      <c r="PD4" s="232"/>
      <c r="PE4" s="232"/>
      <c r="PF4" s="233">
        <f t="shared" ref="PF4:RQ4" si="32">PF5</f>
        <v>46069</v>
      </c>
      <c r="PG4" s="184"/>
      <c r="PH4" s="184"/>
      <c r="PI4" s="184"/>
      <c r="PJ4" s="184"/>
      <c r="PK4" s="184"/>
      <c r="PL4" s="231"/>
      <c r="PM4" s="232">
        <f t="shared" si="32"/>
        <v>46076</v>
      </c>
      <c r="PN4" s="232"/>
      <c r="PO4" s="232"/>
      <c r="PP4" s="232"/>
      <c r="PQ4" s="232"/>
      <c r="PR4" s="233"/>
      <c r="PS4" s="185"/>
      <c r="PT4" s="183">
        <f t="shared" si="32"/>
        <v>46083</v>
      </c>
      <c r="PU4" s="184"/>
      <c r="PV4" s="184"/>
      <c r="PW4" s="184"/>
      <c r="PX4" s="231"/>
      <c r="PY4" s="232"/>
      <c r="PZ4" s="232"/>
      <c r="QA4" s="232">
        <f t="shared" si="32"/>
        <v>46090</v>
      </c>
      <c r="QB4" s="232"/>
      <c r="QC4" s="232"/>
      <c r="QD4" s="233"/>
      <c r="QE4" s="184"/>
      <c r="QF4" s="184"/>
      <c r="QG4" s="185"/>
      <c r="QH4" s="183">
        <f t="shared" si="32"/>
        <v>46097</v>
      </c>
      <c r="QI4" s="184"/>
      <c r="QJ4" s="231"/>
      <c r="QK4" s="232"/>
      <c r="QL4" s="232"/>
      <c r="QM4" s="232"/>
      <c r="QN4" s="232"/>
      <c r="QO4" s="232">
        <f t="shared" si="32"/>
        <v>46104</v>
      </c>
      <c r="QP4" s="233"/>
      <c r="QQ4" s="184"/>
      <c r="QR4" s="184"/>
      <c r="QS4" s="184"/>
      <c r="QT4" s="184"/>
      <c r="QU4" s="185"/>
      <c r="QV4" s="231">
        <f t="shared" si="32"/>
        <v>46111</v>
      </c>
      <c r="QW4" s="232"/>
      <c r="QX4" s="232"/>
      <c r="QY4" s="232"/>
      <c r="QZ4" s="232"/>
      <c r="RA4" s="232"/>
      <c r="RB4" s="233"/>
      <c r="RC4" s="183">
        <f t="shared" si="32"/>
        <v>46118</v>
      </c>
      <c r="RD4" s="184"/>
      <c r="RE4" s="184"/>
      <c r="RF4" s="184"/>
      <c r="RG4" s="184"/>
      <c r="RH4" s="231"/>
      <c r="RI4" s="232"/>
      <c r="RJ4" s="232">
        <f t="shared" si="32"/>
        <v>46125</v>
      </c>
      <c r="RK4" s="232"/>
      <c r="RL4" s="232"/>
      <c r="RM4" s="232"/>
      <c r="RN4" s="233"/>
      <c r="RO4" s="184"/>
      <c r="RP4" s="185"/>
      <c r="RQ4" s="183">
        <f t="shared" si="32"/>
        <v>46132</v>
      </c>
      <c r="RR4" s="184"/>
      <c r="RS4" s="184"/>
      <c r="RT4" s="231"/>
      <c r="RU4" s="232"/>
      <c r="RV4" s="232"/>
      <c r="RW4" s="232"/>
      <c r="RX4" s="232">
        <f t="shared" ref="RX4:UI4" si="33">RX5</f>
        <v>46139</v>
      </c>
      <c r="RY4" s="232"/>
      <c r="RZ4" s="233"/>
      <c r="SA4" s="184"/>
      <c r="SB4" s="184"/>
      <c r="SC4" s="184"/>
      <c r="SD4" s="185"/>
      <c r="SE4" s="183">
        <f t="shared" si="33"/>
        <v>46146</v>
      </c>
      <c r="SF4" s="231"/>
      <c r="SG4" s="232"/>
      <c r="SH4" s="232"/>
      <c r="SI4" s="232"/>
      <c r="SJ4" s="232"/>
      <c r="SK4" s="232"/>
      <c r="SL4" s="233">
        <f t="shared" si="33"/>
        <v>46153</v>
      </c>
      <c r="SM4" s="184"/>
      <c r="SN4" s="184"/>
      <c r="SO4" s="184"/>
      <c r="SP4" s="184"/>
      <c r="SQ4" s="184"/>
      <c r="SR4" s="231"/>
      <c r="SS4" s="232">
        <f t="shared" si="33"/>
        <v>46160</v>
      </c>
      <c r="ST4" s="232"/>
      <c r="SU4" s="232"/>
      <c r="SV4" s="232"/>
      <c r="SW4" s="232"/>
      <c r="SX4" s="233"/>
      <c r="SY4" s="185"/>
      <c r="SZ4" s="183">
        <f t="shared" si="33"/>
        <v>46167</v>
      </c>
      <c r="TA4" s="184"/>
      <c r="TB4" s="184"/>
      <c r="TC4" s="184"/>
      <c r="TD4" s="231"/>
      <c r="TE4" s="232"/>
      <c r="TF4" s="232"/>
      <c r="TG4" s="232">
        <f t="shared" si="33"/>
        <v>46174</v>
      </c>
      <c r="TH4" s="232"/>
      <c r="TI4" s="232"/>
      <c r="TJ4" s="233"/>
      <c r="TK4" s="184"/>
      <c r="TL4" s="184"/>
      <c r="TM4" s="185"/>
      <c r="TN4" s="183">
        <f t="shared" si="33"/>
        <v>46181</v>
      </c>
      <c r="TO4" s="184"/>
      <c r="TP4" s="231"/>
      <c r="TQ4" s="232"/>
      <c r="TR4" s="232"/>
      <c r="TS4" s="232"/>
      <c r="TT4" s="232"/>
      <c r="TU4" s="232">
        <f t="shared" si="33"/>
        <v>46188</v>
      </c>
      <c r="TV4" s="233"/>
      <c r="TW4" s="184"/>
      <c r="TX4" s="184"/>
      <c r="TY4" s="184"/>
      <c r="TZ4" s="184"/>
      <c r="UA4" s="185"/>
      <c r="UB4" s="231">
        <f t="shared" si="33"/>
        <v>46195</v>
      </c>
      <c r="UC4" s="232"/>
      <c r="UD4" s="232"/>
      <c r="UE4" s="232"/>
      <c r="UF4" s="232"/>
      <c r="UG4" s="232"/>
      <c r="UH4" s="233"/>
      <c r="UI4" s="183">
        <f t="shared" si="33"/>
        <v>46202</v>
      </c>
      <c r="UJ4" s="184"/>
      <c r="UK4" s="184"/>
      <c r="UL4" s="184"/>
      <c r="UM4" s="184"/>
      <c r="UN4" s="231"/>
      <c r="UO4" s="232"/>
      <c r="UP4" s="232">
        <f t="shared" ref="UP4:WM4" si="34">UP5</f>
        <v>46209</v>
      </c>
      <c r="UQ4" s="232"/>
      <c r="UR4" s="232"/>
      <c r="US4" s="232"/>
      <c r="UT4" s="233"/>
      <c r="UU4" s="184"/>
      <c r="UV4" s="185"/>
      <c r="UW4" s="183">
        <f t="shared" si="34"/>
        <v>46216</v>
      </c>
      <c r="UX4" s="184"/>
      <c r="UY4" s="184"/>
      <c r="UZ4" s="231"/>
      <c r="VA4" s="232"/>
      <c r="VB4" s="232"/>
      <c r="VC4" s="232"/>
      <c r="VD4" s="232">
        <f t="shared" si="34"/>
        <v>46223</v>
      </c>
      <c r="VE4" s="232"/>
      <c r="VF4" s="233"/>
      <c r="VG4" s="184"/>
      <c r="VH4" s="184"/>
      <c r="VI4" s="184"/>
      <c r="VJ4" s="185"/>
      <c r="VK4" s="183">
        <f t="shared" si="34"/>
        <v>46230</v>
      </c>
      <c r="VL4" s="231"/>
      <c r="VM4" s="232"/>
      <c r="VN4" s="232"/>
      <c r="VO4" s="232"/>
      <c r="VP4" s="232"/>
      <c r="VQ4" s="232"/>
      <c r="VR4" s="233">
        <f t="shared" si="34"/>
        <v>46237</v>
      </c>
      <c r="VS4" s="184"/>
      <c r="VT4" s="184"/>
      <c r="VU4" s="184"/>
      <c r="VV4" s="184"/>
      <c r="VW4" s="184"/>
      <c r="VX4" s="231"/>
      <c r="VY4" s="232">
        <f t="shared" si="34"/>
        <v>46244</v>
      </c>
      <c r="VZ4" s="232"/>
      <c r="WA4" s="232"/>
      <c r="WB4" s="232"/>
      <c r="WC4" s="232"/>
      <c r="WD4" s="233"/>
      <c r="WE4" s="185"/>
      <c r="WF4" s="183">
        <f t="shared" si="34"/>
        <v>46251</v>
      </c>
      <c r="WG4" s="184"/>
      <c r="WH4" s="184"/>
      <c r="WI4" s="184"/>
      <c r="WJ4" s="231"/>
      <c r="WK4" s="232"/>
      <c r="WL4" s="232"/>
      <c r="WM4" s="232">
        <f t="shared" si="34"/>
        <v>46258</v>
      </c>
      <c r="WN4" s="232"/>
      <c r="WO4" s="232"/>
      <c r="WP4" s="233"/>
      <c r="WQ4" s="184"/>
      <c r="WR4" s="184"/>
      <c r="WS4" s="185"/>
    </row>
    <row r="5" spans="1:617" ht="9.65" customHeight="1" x14ac:dyDescent="0.35">
      <c r="A5" s="34" t="s">
        <v>207</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5" customHeight="1" thickBot="1" x14ac:dyDescent="0.4">
      <c r="A6" s="34" t="s">
        <v>208</v>
      </c>
      <c r="B6" s="8" t="s">
        <v>209</v>
      </c>
      <c r="C6" s="9" t="s">
        <v>210</v>
      </c>
      <c r="D6" s="115" t="s">
        <v>211</v>
      </c>
      <c r="E6" s="115" t="s">
        <v>212</v>
      </c>
      <c r="F6" s="9"/>
      <c r="G6" s="9" t="s">
        <v>213</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x14ac:dyDescent="0.4">
      <c r="A7" s="33" t="s">
        <v>214</v>
      </c>
      <c r="C7" s="136"/>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6" thickBot="1" x14ac:dyDescent="0.4">
      <c r="A8" s="33"/>
      <c r="B8" s="245" t="s">
        <v>215</v>
      </c>
      <c r="C8" s="245"/>
      <c r="D8" s="245"/>
      <c r="E8" s="245"/>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75" customHeight="1" outlineLevel="1" thickBot="1" x14ac:dyDescent="0.4">
      <c r="A9" s="34" t="s">
        <v>216</v>
      </c>
      <c r="B9" s="242" t="s">
        <v>217</v>
      </c>
      <c r="C9" s="242"/>
      <c r="D9" s="242"/>
      <c r="E9" s="242"/>
      <c r="F9" s="14"/>
      <c r="G9" s="14" t="str">
        <f t="shared" ref="G9:G206"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5" hidden="1" customHeight="1" outlineLevel="1" thickBot="1" x14ac:dyDescent="0.4">
      <c r="A10" s="34" t="s">
        <v>218</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hidden="1" outlineLevel="1" thickBot="1" x14ac:dyDescent="0.4">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5" hidden="1" customHeight="1" outlineLevel="1" thickBot="1" x14ac:dyDescent="0.4">
      <c r="A12" s="34" t="s">
        <v>219</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hidden="1" outlineLevel="1" thickBot="1" x14ac:dyDescent="0.4">
      <c r="A13" s="33"/>
      <c r="B13" s="177"/>
      <c r="C13" s="178" t="s">
        <v>220</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hidden="1" outlineLevel="1" thickBot="1" x14ac:dyDescent="0.4">
      <c r="A14" s="33"/>
      <c r="B14" s="180"/>
      <c r="C14" s="178" t="s">
        <v>221</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hidden="1" outlineLevel="1" thickBot="1" x14ac:dyDescent="0.4">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hidden="1" outlineLevel="1" thickBot="1" x14ac:dyDescent="0.4">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hidden="1" outlineLevel="1" thickBot="1" x14ac:dyDescent="0.4">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hidden="1" outlineLevel="1" thickBot="1" x14ac:dyDescent="0.4">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hidden="1" outlineLevel="1" thickBot="1" x14ac:dyDescent="0.4">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hidden="1" outlineLevel="1" thickBot="1" x14ac:dyDescent="0.4">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hidden="1" outlineLevel="1" thickBot="1" x14ac:dyDescent="0.4">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hidden="1" outlineLevel="1" thickBot="1" x14ac:dyDescent="0.4">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hidden="1" outlineLevel="1" thickBot="1" x14ac:dyDescent="0.4">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hidden="1" outlineLevel="1" thickBot="1" x14ac:dyDescent="0.4">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hidden="1" outlineLevel="1" thickBot="1" x14ac:dyDescent="0.4">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hidden="1" outlineLevel="1" thickBot="1" x14ac:dyDescent="0.4">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hidden="1" outlineLevel="1" thickBot="1" x14ac:dyDescent="0.4">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hidden="1" outlineLevel="1" thickBot="1" x14ac:dyDescent="0.4">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hidden="1" outlineLevel="1" thickBot="1" x14ac:dyDescent="0.4">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hidden="1" outlineLevel="1" thickBot="1" x14ac:dyDescent="0.4">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hidden="1" outlineLevel="1" thickBot="1" x14ac:dyDescent="0.4">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hidden="1" outlineLevel="1" thickBot="1" x14ac:dyDescent="0.4">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hidden="1" outlineLevel="1" thickBot="1" x14ac:dyDescent="0.4">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hidden="1" outlineLevel="1" thickBot="1" x14ac:dyDescent="0.4">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hidden="1" outlineLevel="1" thickBot="1" x14ac:dyDescent="0.4">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hidden="1" outlineLevel="1" thickBot="1" x14ac:dyDescent="0.4">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hidden="1" outlineLevel="1" thickBot="1" x14ac:dyDescent="0.4">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hidden="1" outlineLevel="1" thickBot="1" x14ac:dyDescent="0.4">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hidden="1" outlineLevel="1" thickBot="1" x14ac:dyDescent="0.4">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hidden="1" outlineLevel="1" thickBot="1" x14ac:dyDescent="0.4">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hidden="1" outlineLevel="1" thickBot="1" x14ac:dyDescent="0.4">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hidden="1" outlineLevel="1" thickBot="1" x14ac:dyDescent="0.4">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hidden="1" outlineLevel="1" thickBot="1" x14ac:dyDescent="0.4">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hidden="1" outlineLevel="1" thickBot="1" x14ac:dyDescent="0.4">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hidden="1" outlineLevel="1" thickBot="1" x14ac:dyDescent="0.4">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hidden="1" outlineLevel="1" thickBot="1" x14ac:dyDescent="0.4">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hidden="1" outlineLevel="1" thickBot="1" x14ac:dyDescent="0.4">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hidden="1" outlineLevel="1" thickBot="1" x14ac:dyDescent="0.4">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hidden="1" outlineLevel="1" thickBot="1" x14ac:dyDescent="0.4">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hidden="1" outlineLevel="1" thickBot="1" x14ac:dyDescent="0.4">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hidden="1" outlineLevel="1" thickBot="1" x14ac:dyDescent="0.4">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hidden="1" outlineLevel="1" thickBot="1" x14ac:dyDescent="0.4">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hidden="1" outlineLevel="1" thickBot="1" x14ac:dyDescent="0.4">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hidden="1" outlineLevel="1" thickBot="1" x14ac:dyDescent="0.4">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hidden="1" outlineLevel="1" thickBot="1" x14ac:dyDescent="0.4">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hidden="1" outlineLevel="1" thickBot="1" x14ac:dyDescent="0.4">
      <c r="A56" s="33"/>
      <c r="B56" s="178" t="s">
        <v>222</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hidden="1" outlineLevel="1" thickBot="1" x14ac:dyDescent="0.4">
      <c r="A57" s="33"/>
      <c r="B57" s="178" t="s">
        <v>222</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hidden="1" outlineLevel="1" thickBot="1" x14ac:dyDescent="0.4">
      <c r="A58" s="33"/>
      <c r="B58" s="178" t="s">
        <v>222</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hidden="1" outlineLevel="1" thickBot="1" x14ac:dyDescent="0.4">
      <c r="A59" s="33"/>
      <c r="B59" s="178" t="s">
        <v>223</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x14ac:dyDescent="0.4">
      <c r="A60" s="33"/>
      <c r="B60" s="178" t="s">
        <v>222</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x14ac:dyDescent="0.4">
      <c r="A61" s="33"/>
      <c r="B61" s="178" t="s">
        <v>224</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x14ac:dyDescent="0.4">
      <c r="A62" s="33"/>
      <c r="B62" s="178" t="s">
        <v>222</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x14ac:dyDescent="0.4">
      <c r="A63" s="33"/>
      <c r="B63" s="178" t="s">
        <v>224</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x14ac:dyDescent="0.4">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x14ac:dyDescent="0.4">
      <c r="A65" s="34" t="s">
        <v>225</v>
      </c>
      <c r="B65" s="235" t="s">
        <v>226</v>
      </c>
      <c r="C65" s="235"/>
      <c r="D65" s="235"/>
      <c r="E65" s="235"/>
      <c r="F65" s="14"/>
      <c r="G65" s="14" t="str">
        <f t="shared"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x14ac:dyDescent="0.4">
      <c r="A66" s="33"/>
      <c r="B66" s="47" t="s">
        <v>227</v>
      </c>
      <c r="C66" s="42" t="s">
        <v>228</v>
      </c>
      <c r="D66" s="116">
        <v>45768</v>
      </c>
      <c r="E66" s="204">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x14ac:dyDescent="0.4">
      <c r="A67" s="33"/>
      <c r="B67" s="47" t="s">
        <v>229</v>
      </c>
      <c r="C67" s="42" t="s">
        <v>230</v>
      </c>
      <c r="D67" s="204">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x14ac:dyDescent="0.4">
      <c r="A68" s="33"/>
      <c r="B68" s="47" t="s">
        <v>227</v>
      </c>
      <c r="C68" s="42" t="s">
        <v>86</v>
      </c>
      <c r="D68" s="204">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hidden="1" outlineLevel="1" thickBot="1" x14ac:dyDescent="0.4">
      <c r="A69" s="33"/>
      <c r="B69" s="47" t="s">
        <v>227</v>
      </c>
      <c r="C69" s="42" t="s">
        <v>231</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hidden="1" outlineLevel="1" thickBot="1" x14ac:dyDescent="0.4">
      <c r="A70" s="33"/>
      <c r="B70" s="47" t="s">
        <v>229</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hidden="1" outlineLevel="1" thickBot="1" x14ac:dyDescent="0.4">
      <c r="A71" s="33"/>
      <c r="B71" s="47" t="s">
        <v>227</v>
      </c>
      <c r="C71" s="42" t="s">
        <v>228</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hidden="1" outlineLevel="1" thickBot="1" x14ac:dyDescent="0.4">
      <c r="A72" s="33"/>
      <c r="B72" s="47" t="s">
        <v>229</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hidden="1" outlineLevel="1" thickBot="1" x14ac:dyDescent="0.4">
      <c r="A73" s="33"/>
      <c r="B73" s="47" t="s">
        <v>227</v>
      </c>
      <c r="C73" s="42" t="s">
        <v>231</v>
      </c>
      <c r="D73" s="116">
        <v>46089</v>
      </c>
      <c r="E73" s="210">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hidden="1" outlineLevel="1" thickBot="1" x14ac:dyDescent="0.4">
      <c r="A74" s="33"/>
      <c r="B74" s="47" t="s">
        <v>229</v>
      </c>
      <c r="C74" s="42" t="s">
        <v>35</v>
      </c>
      <c r="D74" s="116">
        <v>46097</v>
      </c>
      <c r="E74" s="210">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x14ac:dyDescent="0.4">
      <c r="A75" s="33"/>
      <c r="B75" s="47" t="s">
        <v>227</v>
      </c>
      <c r="C75" s="42" t="s">
        <v>228</v>
      </c>
      <c r="D75" s="210">
        <v>46149</v>
      </c>
      <c r="E75" s="204">
        <f>D75+G75</f>
        <v>46211</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x14ac:dyDescent="0.4">
      <c r="A76" s="33"/>
      <c r="B76" s="47" t="s">
        <v>229</v>
      </c>
      <c r="C76" s="42" t="s">
        <v>42</v>
      </c>
      <c r="D76" s="210">
        <v>46155</v>
      </c>
      <c r="E76" s="204">
        <f t="shared" si="594"/>
        <v>46263</v>
      </c>
      <c r="F76" s="14"/>
      <c r="G76" s="14">
        <v>108</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x14ac:dyDescent="0.4">
      <c r="A77" s="33"/>
      <c r="B77" s="47" t="s">
        <v>227</v>
      </c>
      <c r="C77" s="42" t="s">
        <v>231</v>
      </c>
      <c r="D77" s="204">
        <v>46209</v>
      </c>
      <c r="E77" s="116">
        <f t="shared" si="594"/>
        <v>46263</v>
      </c>
      <c r="F77" s="14"/>
      <c r="G77" s="14">
        <v>54</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x14ac:dyDescent="0.4">
      <c r="A78" s="33"/>
      <c r="B78" s="47" t="s">
        <v>229</v>
      </c>
      <c r="C78" s="42" t="s">
        <v>35</v>
      </c>
      <c r="D78" s="204">
        <v>46226</v>
      </c>
      <c r="E78" s="116">
        <f t="shared" si="594"/>
        <v>46265</v>
      </c>
      <c r="F78" s="14"/>
      <c r="G78" s="14">
        <v>39</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hidden="1" outlineLevel="1" thickBot="1" x14ac:dyDescent="0.4">
      <c r="A79" s="33"/>
      <c r="B79" s="47" t="s">
        <v>227</v>
      </c>
      <c r="C79" s="42" t="s">
        <v>228</v>
      </c>
      <c r="D79" s="116">
        <v>46272</v>
      </c>
      <c r="E79" s="116">
        <f t="shared" si="594"/>
        <v>46334</v>
      </c>
      <c r="F79" s="14"/>
      <c r="G79" s="14">
        <v>62</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hidden="1" outlineLevel="1" thickBot="1" x14ac:dyDescent="0.4">
      <c r="A80" s="33"/>
      <c r="B80" s="47" t="s">
        <v>229</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x14ac:dyDescent="0.4">
      <c r="A81" s="33"/>
      <c r="B81" s="236" t="s">
        <v>232</v>
      </c>
      <c r="C81" s="236"/>
      <c r="D81" s="236"/>
      <c r="E81" s="236"/>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hidden="1" outlineLevel="1" thickBot="1" x14ac:dyDescent="0.4">
      <c r="A82" s="33"/>
      <c r="B82" s="47" t="s">
        <v>233</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hidden="1" outlineLevel="1" thickBot="1" x14ac:dyDescent="0.4">
      <c r="A83" s="33"/>
      <c r="B83" s="47" t="s">
        <v>234</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hidden="1" outlineLevel="1" thickBot="1" x14ac:dyDescent="0.4">
      <c r="A84" s="33"/>
      <c r="B84" s="47" t="s">
        <v>234</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hidden="1" outlineLevel="1" thickBot="1" x14ac:dyDescent="0.4">
      <c r="A85" s="33"/>
      <c r="B85" s="47" t="s">
        <v>235</v>
      </c>
      <c r="C85" s="42" t="s">
        <v>134</v>
      </c>
      <c r="D85" s="116">
        <v>46107</v>
      </c>
      <c r="E85" s="204">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x14ac:dyDescent="0.4">
      <c r="A86" s="33"/>
      <c r="B86" s="47" t="s">
        <v>235</v>
      </c>
      <c r="C86" s="42" t="s">
        <v>131</v>
      </c>
      <c r="D86" s="210">
        <v>46161</v>
      </c>
      <c r="E86" s="204">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x14ac:dyDescent="0.4">
      <c r="A87" s="33"/>
      <c r="B87" s="47" t="s">
        <v>235</v>
      </c>
      <c r="C87" s="42" t="s">
        <v>125</v>
      </c>
      <c r="D87" s="204">
        <v>46217</v>
      </c>
      <c r="E87" s="116">
        <f>D87+G87</f>
        <v>46263</v>
      </c>
      <c r="F87" s="14"/>
      <c r="G87" s="14">
        <v>46</v>
      </c>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x14ac:dyDescent="0.4">
      <c r="A88" s="33"/>
      <c r="B88" s="47"/>
      <c r="C88" s="42"/>
      <c r="D88" s="204"/>
      <c r="E88" s="116"/>
      <c r="F88" s="14"/>
      <c r="G88" s="14"/>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x14ac:dyDescent="0.4">
      <c r="A89" s="33"/>
      <c r="B89" s="47"/>
      <c r="C89" s="42"/>
      <c r="D89" s="116"/>
      <c r="E89" s="116"/>
      <c r="F89" s="14"/>
      <c r="G89" s="14"/>
      <c r="H89" s="29"/>
      <c r="I89" s="29"/>
      <c r="J89" s="29"/>
      <c r="K89" s="29"/>
      <c r="L89" s="29"/>
      <c r="M89" s="29"/>
      <c r="N89" s="29"/>
      <c r="O89" s="29"/>
      <c r="P89" s="29"/>
      <c r="Q89" s="29"/>
      <c r="R89" s="29"/>
      <c r="S89" s="29"/>
      <c r="T89" s="29"/>
      <c r="U89" s="29"/>
      <c r="V89" s="29"/>
      <c r="W89" s="29"/>
      <c r="X89" s="29"/>
      <c r="Y89" s="30"/>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x14ac:dyDescent="0.4">
      <c r="A90" s="33"/>
      <c r="B90" s="236" t="s">
        <v>236</v>
      </c>
      <c r="C90" s="236"/>
      <c r="D90" s="236"/>
      <c r="E90" s="236"/>
      <c r="F90" s="14"/>
      <c r="G90" s="14" t="str">
        <f t="shared" si="586"/>
        <v/>
      </c>
      <c r="H90" s="29"/>
      <c r="I90" s="29"/>
      <c r="J90" s="29"/>
      <c r="K90" s="29"/>
      <c r="L90" s="29"/>
      <c r="M90" s="29"/>
      <c r="N90" s="29"/>
      <c r="O90" s="29"/>
      <c r="P90" s="29"/>
      <c r="Q90" s="29"/>
      <c r="R90" s="29"/>
      <c r="S90" s="29"/>
      <c r="T90" s="29"/>
      <c r="U90" s="29"/>
      <c r="V90" s="29"/>
      <c r="W90" s="29"/>
      <c r="X90" s="29"/>
      <c r="Y90" s="30"/>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x14ac:dyDescent="0.4">
      <c r="A91" s="33" t="s">
        <v>237</v>
      </c>
      <c r="B91" s="84" t="s">
        <v>227</v>
      </c>
      <c r="C91" s="137" t="s">
        <v>231</v>
      </c>
      <c r="D91" s="117">
        <v>45774</v>
      </c>
      <c r="E91" s="208">
        <f>D91+G91</f>
        <v>45819</v>
      </c>
      <c r="F91" s="14"/>
      <c r="G91" s="14">
        <v>45</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hidden="1" outlineLevel="1" thickBot="1" x14ac:dyDescent="0.4">
      <c r="A92" s="33"/>
      <c r="B92" s="237" t="s">
        <v>238</v>
      </c>
      <c r="C92" s="237"/>
      <c r="D92" s="237"/>
      <c r="E92" s="237"/>
      <c r="F92" s="14"/>
      <c r="G92" s="14" t="str">
        <f t="shared" si="586"/>
        <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hidden="1" outlineLevel="1" thickBot="1" x14ac:dyDescent="0.4">
      <c r="A93" s="33" t="s">
        <v>237</v>
      </c>
      <c r="B93" s="48" t="s">
        <v>239</v>
      </c>
      <c r="C93" s="44" t="s">
        <v>240</v>
      </c>
      <c r="D93" s="118">
        <v>45635</v>
      </c>
      <c r="E93" s="118">
        <v>45681</v>
      </c>
      <c r="F93" s="14"/>
      <c r="G93" s="14">
        <v>7</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hidden="1" outlineLevel="1" thickBot="1" x14ac:dyDescent="0.4">
      <c r="A94" s="33"/>
      <c r="B94" s="82" t="s">
        <v>239</v>
      </c>
      <c r="C94" s="138" t="s">
        <v>241</v>
      </c>
      <c r="D94" s="119">
        <v>45698</v>
      </c>
      <c r="E94" s="119">
        <v>45757</v>
      </c>
      <c r="F94" s="14"/>
      <c r="G94" s="14">
        <v>7</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x14ac:dyDescent="0.4">
      <c r="A95" s="33"/>
      <c r="B95" s="238" t="s">
        <v>242</v>
      </c>
      <c r="C95" s="238"/>
      <c r="D95" s="238"/>
      <c r="E95" s="238"/>
      <c r="F95" s="14"/>
      <c r="G95" s="14" t="str">
        <f t="shared" si="586"/>
        <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hidden="1" outlineLevel="1" thickBot="1" x14ac:dyDescent="0.4">
      <c r="A96" s="33" t="s">
        <v>237</v>
      </c>
      <c r="B96" s="85" t="s">
        <v>243</v>
      </c>
      <c r="C96" s="139" t="s">
        <v>244</v>
      </c>
      <c r="D96" s="120">
        <v>45866</v>
      </c>
      <c r="E96" s="120">
        <v>45891</v>
      </c>
      <c r="F96" s="14"/>
      <c r="G96" s="14">
        <f>E96-D96</f>
        <v>25</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hidden="1" outlineLevel="1" thickBot="1" x14ac:dyDescent="0.4">
      <c r="A97" s="33"/>
      <c r="B97" s="85" t="s">
        <v>243</v>
      </c>
      <c r="C97" s="139" t="s">
        <v>245</v>
      </c>
      <c r="D97" s="120">
        <v>45922</v>
      </c>
      <c r="E97" s="120">
        <v>45975</v>
      </c>
      <c r="F97" s="14"/>
      <c r="G97" s="14">
        <f t="shared" ref="G97:G99" si="596">E97-D97</f>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hidden="1" outlineLevel="1" thickBot="1" x14ac:dyDescent="0.4">
      <c r="A98" s="33"/>
      <c r="B98" s="85" t="s">
        <v>246</v>
      </c>
      <c r="C98" s="145" t="s">
        <v>241</v>
      </c>
      <c r="D98" s="123">
        <v>46041</v>
      </c>
      <c r="E98" s="123">
        <v>46094</v>
      </c>
      <c r="F98" s="14"/>
      <c r="G98" s="14">
        <f t="shared" si="596"/>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 hidden="1" outlineLevel="1" thickBot="1" x14ac:dyDescent="0.4">
      <c r="A99" s="33"/>
      <c r="B99" s="85" t="s">
        <v>247</v>
      </c>
      <c r="C99" s="139" t="s">
        <v>248</v>
      </c>
      <c r="D99" s="120">
        <v>46104</v>
      </c>
      <c r="E99" s="205">
        <v>46157</v>
      </c>
      <c r="F99" s="14"/>
      <c r="G99" s="14">
        <f t="shared" si="596"/>
        <v>53</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outlineLevel="1" thickBot="1" x14ac:dyDescent="0.4">
      <c r="A100" s="33"/>
      <c r="B100" s="85" t="s">
        <v>243</v>
      </c>
      <c r="C100" s="139" t="s">
        <v>249</v>
      </c>
      <c r="D100" s="123">
        <v>46146</v>
      </c>
      <c r="E100" s="205">
        <v>46199</v>
      </c>
      <c r="F100" s="14"/>
      <c r="G100" s="14">
        <f>E100-D100</f>
        <v>53</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outlineLevel="1" thickBot="1" x14ac:dyDescent="0.4">
      <c r="A101" s="33"/>
      <c r="B101" s="85" t="s">
        <v>246</v>
      </c>
      <c r="C101" s="139" t="s">
        <v>250</v>
      </c>
      <c r="D101" s="205">
        <v>46202</v>
      </c>
      <c r="E101" s="120">
        <f>D101+G101</f>
        <v>46255</v>
      </c>
      <c r="F101" s="14"/>
      <c r="G101" s="14">
        <v>53</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outlineLevel="1" thickBot="1" x14ac:dyDescent="0.4">
      <c r="A102" s="33"/>
      <c r="B102" s="85" t="s">
        <v>246</v>
      </c>
      <c r="C102" s="145" t="s">
        <v>241</v>
      </c>
      <c r="D102" s="205">
        <v>46223</v>
      </c>
      <c r="E102" s="120">
        <v>46234</v>
      </c>
      <c r="F102" s="14"/>
      <c r="G102" s="14">
        <f>E102-D102</f>
        <v>11</v>
      </c>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6" outlineLevel="1" thickBot="1" x14ac:dyDescent="0.4">
      <c r="A103" s="33"/>
      <c r="B103" s="239" t="s">
        <v>251</v>
      </c>
      <c r="C103" s="239"/>
      <c r="D103" s="239"/>
      <c r="E103" s="239"/>
      <c r="F103" s="14"/>
      <c r="G103" s="14"/>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thickBot="1" x14ac:dyDescent="0.4">
      <c r="A104" s="33"/>
      <c r="B104" s="234" t="s">
        <v>252</v>
      </c>
      <c r="C104" s="234"/>
      <c r="D104" s="234"/>
      <c r="E104" s="234"/>
      <c r="F104" s="14"/>
      <c r="G104" s="14" t="str">
        <f t="shared" si="586"/>
        <v/>
      </c>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hidden="1" customHeight="1" outlineLevel="1" thickBot="1" x14ac:dyDescent="0.4">
      <c r="A105" s="34" t="s">
        <v>225</v>
      </c>
      <c r="B105" s="47" t="s">
        <v>253</v>
      </c>
      <c r="C105" s="42" t="s">
        <v>119</v>
      </c>
      <c r="D105" s="116">
        <v>45820</v>
      </c>
      <c r="E105" s="116">
        <f>D105+G105-1</f>
        <v>45873</v>
      </c>
      <c r="F105" s="14"/>
      <c r="G105" s="14">
        <v>54</v>
      </c>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hidden="1" outlineLevel="1" thickBot="1" x14ac:dyDescent="0.4">
      <c r="A106" s="33"/>
      <c r="B106" s="47" t="s">
        <v>254</v>
      </c>
      <c r="C106" s="42" t="s">
        <v>83</v>
      </c>
      <c r="D106" s="116">
        <v>45855</v>
      </c>
      <c r="E106" s="116">
        <f>D106+G106</f>
        <v>45911</v>
      </c>
      <c r="F106" s="14"/>
      <c r="G106" s="14">
        <v>56</v>
      </c>
      <c r="H106" s="29"/>
      <c r="I106" s="29"/>
      <c r="J106" s="29"/>
      <c r="K106" s="29"/>
      <c r="L106" s="29"/>
      <c r="M106" s="29"/>
      <c r="N106" s="29"/>
      <c r="O106" s="29"/>
      <c r="P106" s="29"/>
      <c r="Q106" s="29"/>
      <c r="R106" s="29"/>
      <c r="S106" s="29"/>
      <c r="T106" s="29"/>
      <c r="U106" s="30"/>
      <c r="V106" s="30"/>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hidden="1" outlineLevel="1" thickBot="1" x14ac:dyDescent="0.4">
      <c r="A107" s="33"/>
      <c r="B107" s="47" t="s">
        <v>253</v>
      </c>
      <c r="C107" s="42" t="s">
        <v>42</v>
      </c>
      <c r="D107" s="116">
        <v>45876</v>
      </c>
      <c r="E107" s="116">
        <v>45925</v>
      </c>
      <c r="F107" s="14"/>
      <c r="G107" s="14">
        <f>E107-D107</f>
        <v>49</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hidden="1" outlineLevel="1" thickBot="1" x14ac:dyDescent="0.4">
      <c r="A108" s="33"/>
      <c r="B108" s="47" t="s">
        <v>254</v>
      </c>
      <c r="C108" s="42" t="s">
        <v>134</v>
      </c>
      <c r="D108" s="116">
        <f>E106</f>
        <v>45911</v>
      </c>
      <c r="E108" s="116">
        <f t="shared" ref="E108:E109" si="597">D108+G108</f>
        <v>45967</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hidden="1" outlineLevel="1" thickBot="1" x14ac:dyDescent="0.4">
      <c r="A109" s="33"/>
      <c r="B109" s="47" t="s">
        <v>253</v>
      </c>
      <c r="C109" s="42" t="s">
        <v>39</v>
      </c>
      <c r="D109" s="116">
        <v>45932</v>
      </c>
      <c r="E109" s="116">
        <f t="shared" si="597"/>
        <v>45988</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hidden="1" outlineLevel="1" thickBot="1" x14ac:dyDescent="0.4">
      <c r="A110" s="33"/>
      <c r="B110" s="47" t="s">
        <v>254</v>
      </c>
      <c r="C110" s="42" t="s">
        <v>62</v>
      </c>
      <c r="D110" s="116">
        <v>45974</v>
      </c>
      <c r="E110" s="116">
        <f t="shared" ref="E110:E128" si="598">D110+G110-1</f>
        <v>46029</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hidden="1" outlineLevel="1" thickBot="1" x14ac:dyDescent="0.4">
      <c r="A111" s="33"/>
      <c r="B111" s="47" t="s">
        <v>253</v>
      </c>
      <c r="C111" s="42" t="s">
        <v>230</v>
      </c>
      <c r="D111" s="116">
        <v>45996</v>
      </c>
      <c r="E111" s="116">
        <f>D111+G111-1</f>
        <v>46051</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hidden="1" outlineLevel="1" thickBot="1" x14ac:dyDescent="0.4">
      <c r="A112" s="33"/>
      <c r="B112" s="146" t="s">
        <v>255</v>
      </c>
      <c r="C112" s="147" t="s">
        <v>122</v>
      </c>
      <c r="D112" s="148">
        <v>45988</v>
      </c>
      <c r="E112" s="148">
        <f t="shared" si="598"/>
        <v>46043</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hidden="1" outlineLevel="1" thickBot="1" x14ac:dyDescent="0.4">
      <c r="A113" s="33"/>
      <c r="B113" s="47" t="s">
        <v>254</v>
      </c>
      <c r="C113" s="42" t="s">
        <v>83</v>
      </c>
      <c r="D113" s="116">
        <v>46034</v>
      </c>
      <c r="E113" s="116">
        <f>D113+G113</f>
        <v>46085</v>
      </c>
      <c r="F113" s="14"/>
      <c r="G113" s="14">
        <v>51</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hidden="1" outlineLevel="1" thickBot="1" x14ac:dyDescent="0.4">
      <c r="A114" s="33"/>
      <c r="B114" s="47" t="s">
        <v>253</v>
      </c>
      <c r="C114" s="42" t="s">
        <v>95</v>
      </c>
      <c r="D114" s="116">
        <f>E111</f>
        <v>46051</v>
      </c>
      <c r="E114" s="116">
        <f t="shared" si="598"/>
        <v>46106</v>
      </c>
      <c r="F114" s="14"/>
      <c r="G114" s="14">
        <v>56</v>
      </c>
      <c r="H114" s="14">
        <v>54</v>
      </c>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hidden="1" outlineLevel="1" thickBot="1" x14ac:dyDescent="0.4">
      <c r="A115" s="33"/>
      <c r="B115" s="146" t="s">
        <v>255</v>
      </c>
      <c r="C115" s="147" t="s">
        <v>256</v>
      </c>
      <c r="D115" s="148">
        <v>46058</v>
      </c>
      <c r="E115" s="148">
        <f t="shared" si="598"/>
        <v>46113</v>
      </c>
      <c r="F115" s="14"/>
      <c r="G115" s="14">
        <v>56</v>
      </c>
      <c r="H115" s="14">
        <v>54</v>
      </c>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hidden="1" outlineLevel="1" thickBot="1" x14ac:dyDescent="0.4">
      <c r="A116" s="33"/>
      <c r="B116" s="47" t="s">
        <v>254</v>
      </c>
      <c r="C116" s="42" t="s">
        <v>86</v>
      </c>
      <c r="D116" s="116">
        <f>E113+8</f>
        <v>46093</v>
      </c>
      <c r="E116" s="204">
        <f>D116+G116-1</f>
        <v>46148</v>
      </c>
      <c r="F116" s="14"/>
      <c r="G116" s="14">
        <v>56</v>
      </c>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hidden="1" outlineLevel="1" thickBot="1" x14ac:dyDescent="0.4">
      <c r="A117" s="33"/>
      <c r="B117" s="47" t="s">
        <v>253</v>
      </c>
      <c r="C117" s="42" t="s">
        <v>230</v>
      </c>
      <c r="D117" s="116">
        <v>46114</v>
      </c>
      <c r="E117" s="204">
        <f t="shared" si="598"/>
        <v>46169</v>
      </c>
      <c r="F117" s="14"/>
      <c r="G117" s="14">
        <v>56</v>
      </c>
      <c r="H117" s="14">
        <v>54</v>
      </c>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hidden="1" outlineLevel="1" thickBot="1" x14ac:dyDescent="0.4">
      <c r="A118" s="33"/>
      <c r="B118" s="146" t="s">
        <v>255</v>
      </c>
      <c r="C118" s="147" t="s">
        <v>113</v>
      </c>
      <c r="D118" s="148">
        <v>46065</v>
      </c>
      <c r="E118" s="148">
        <f t="shared" si="598"/>
        <v>46120</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x14ac:dyDescent="0.4">
      <c r="A119" s="33"/>
      <c r="B119" s="146" t="s">
        <v>255</v>
      </c>
      <c r="C119" s="147" t="s">
        <v>116</v>
      </c>
      <c r="D119" s="228">
        <v>46121</v>
      </c>
      <c r="E119" s="206">
        <f>D119+G119-1</f>
        <v>46174</v>
      </c>
      <c r="F119" s="14"/>
      <c r="G119" s="14">
        <v>54</v>
      </c>
      <c r="H119" s="14"/>
      <c r="I119" s="14"/>
      <c r="J119" s="29"/>
      <c r="K119" s="29"/>
      <c r="L119" s="29"/>
      <c r="M119" s="29"/>
      <c r="N119" s="29"/>
      <c r="O119" s="29"/>
      <c r="P119" s="29"/>
      <c r="Q119" s="29"/>
      <c r="R119" s="29"/>
      <c r="S119" s="29"/>
      <c r="T119" s="29"/>
      <c r="U119" s="29"/>
      <c r="V119" s="29"/>
      <c r="W119" s="29"/>
      <c r="X119" s="29"/>
      <c r="Y119" s="176"/>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x14ac:dyDescent="0.4">
      <c r="A120" s="33"/>
      <c r="B120" s="47" t="s">
        <v>254</v>
      </c>
      <c r="C120" s="42" t="s">
        <v>83</v>
      </c>
      <c r="D120" s="210">
        <f>E116+1</f>
        <v>46149</v>
      </c>
      <c r="E120" s="204">
        <f>D120+G120-1</f>
        <v>46211</v>
      </c>
      <c r="F120" s="14"/>
      <c r="G120" s="14">
        <v>63</v>
      </c>
      <c r="H120" s="14"/>
      <c r="I120" s="14"/>
      <c r="J120" s="29"/>
      <c r="K120" s="29"/>
      <c r="L120" s="29"/>
      <c r="M120" s="29"/>
      <c r="N120" s="29"/>
      <c r="O120" s="29"/>
      <c r="P120" s="29"/>
      <c r="Q120" s="29"/>
      <c r="R120" s="29"/>
      <c r="S120" s="29"/>
      <c r="T120" s="29"/>
      <c r="U120" s="29"/>
      <c r="V120" s="29"/>
      <c r="W120" s="29"/>
      <c r="X120" s="29"/>
      <c r="Y120" s="176"/>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x14ac:dyDescent="0.4">
      <c r="A121" s="33"/>
      <c r="B121" s="47" t="s">
        <v>253</v>
      </c>
      <c r="C121" s="42" t="s">
        <v>174</v>
      </c>
      <c r="D121" s="210">
        <f>E117+1</f>
        <v>46170</v>
      </c>
      <c r="E121" s="204">
        <f t="shared" si="598"/>
        <v>46225</v>
      </c>
      <c r="F121" s="14"/>
      <c r="G121" s="14">
        <v>56</v>
      </c>
      <c r="H121" s="14"/>
      <c r="I121" s="14"/>
      <c r="J121" s="29"/>
      <c r="K121" s="29"/>
      <c r="L121" s="29"/>
      <c r="M121" s="29"/>
      <c r="N121" s="29"/>
      <c r="O121" s="29"/>
      <c r="P121" s="29"/>
      <c r="Q121" s="29"/>
      <c r="R121" s="29"/>
      <c r="S121" s="29"/>
      <c r="T121" s="29"/>
      <c r="U121" s="29"/>
      <c r="V121" s="29"/>
      <c r="W121" s="29"/>
      <c r="X121" s="29"/>
      <c r="Y121" s="176"/>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x14ac:dyDescent="0.4">
      <c r="A122" s="33"/>
      <c r="B122" s="146" t="s">
        <v>255</v>
      </c>
      <c r="C122" s="147" t="s">
        <v>122</v>
      </c>
      <c r="D122" s="148">
        <v>46177</v>
      </c>
      <c r="E122" s="206">
        <f>D122+G122-1</f>
        <v>46232</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x14ac:dyDescent="0.4">
      <c r="A123" s="33"/>
      <c r="B123" s="47" t="s">
        <v>254</v>
      </c>
      <c r="C123" s="42" t="s">
        <v>86</v>
      </c>
      <c r="D123" s="204">
        <f>E120+1</f>
        <v>46212</v>
      </c>
      <c r="E123" s="116">
        <f t="shared" si="598"/>
        <v>46280</v>
      </c>
      <c r="F123" s="14"/>
      <c r="G123" s="14">
        <v>69</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x14ac:dyDescent="0.4">
      <c r="A124" s="33"/>
      <c r="B124" s="47" t="s">
        <v>253</v>
      </c>
      <c r="C124" s="42" t="s">
        <v>230</v>
      </c>
      <c r="D124" s="204">
        <f t="shared" ref="D124:D128" si="599">E121+1</f>
        <v>46226</v>
      </c>
      <c r="E124" s="116">
        <f t="shared" si="598"/>
        <v>46280</v>
      </c>
      <c r="F124" s="14"/>
      <c r="G124" s="14">
        <v>55</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x14ac:dyDescent="0.4">
      <c r="A125" s="33" t="s">
        <v>257</v>
      </c>
      <c r="B125" s="146" t="s">
        <v>255</v>
      </c>
      <c r="C125" s="147" t="s">
        <v>197</v>
      </c>
      <c r="D125" s="206">
        <v>46233</v>
      </c>
      <c r="E125" s="148">
        <v>46280</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x14ac:dyDescent="0.4">
      <c r="A126" s="33"/>
      <c r="B126" s="47" t="s">
        <v>254</v>
      </c>
      <c r="C126" s="42"/>
      <c r="D126" s="204"/>
      <c r="E126" s="116"/>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x14ac:dyDescent="0.4">
      <c r="A127" s="33"/>
      <c r="B127" s="47" t="s">
        <v>253</v>
      </c>
      <c r="C127" s="42" t="s">
        <v>177</v>
      </c>
      <c r="D127" s="116">
        <v>46223</v>
      </c>
      <c r="E127" s="116">
        <f>D127+G127-1</f>
        <v>46278</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hidden="1" outlineLevel="1" thickBot="1" x14ac:dyDescent="0.4">
      <c r="A128" s="33"/>
      <c r="B128" s="146" t="s">
        <v>255</v>
      </c>
      <c r="C128" s="147" t="s">
        <v>258</v>
      </c>
      <c r="D128" s="148">
        <f t="shared" si="599"/>
        <v>46281</v>
      </c>
      <c r="E128" s="148">
        <f t="shared" si="598"/>
        <v>46336</v>
      </c>
      <c r="F128" s="14"/>
      <c r="G128" s="14">
        <v>56</v>
      </c>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hidden="1" outlineLevel="1" thickBot="1" x14ac:dyDescent="0.4">
      <c r="A129" s="33"/>
      <c r="B129" s="173" t="s">
        <v>259</v>
      </c>
      <c r="C129" s="174" t="s">
        <v>260</v>
      </c>
      <c r="D129" s="175">
        <v>46114</v>
      </c>
      <c r="E129" s="229">
        <f t="shared" ref="E129:E131" si="600">D129+G129-1</f>
        <v>46169</v>
      </c>
      <c r="F129" s="14"/>
      <c r="G129" s="14">
        <v>56</v>
      </c>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x14ac:dyDescent="0.4">
      <c r="A130" s="33"/>
      <c r="B130" s="173" t="s">
        <v>259</v>
      </c>
      <c r="C130" s="174" t="s">
        <v>260</v>
      </c>
      <c r="D130" s="229">
        <f>E129+1</f>
        <v>46170</v>
      </c>
      <c r="E130" s="207">
        <f t="shared" si="600"/>
        <v>46225</v>
      </c>
      <c r="F130" s="14"/>
      <c r="G130" s="14">
        <v>56</v>
      </c>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x14ac:dyDescent="0.4">
      <c r="A131" s="33"/>
      <c r="B131" s="173" t="s">
        <v>259</v>
      </c>
      <c r="C131" s="174" t="s">
        <v>260</v>
      </c>
      <c r="D131" s="207">
        <f t="shared" ref="D131" si="601">E130+1</f>
        <v>46226</v>
      </c>
      <c r="E131" s="175">
        <f t="shared" si="600"/>
        <v>46281</v>
      </c>
      <c r="F131" s="14"/>
      <c r="G131" s="14">
        <v>56</v>
      </c>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x14ac:dyDescent="0.4">
      <c r="A132" s="33"/>
      <c r="B132" s="173"/>
      <c r="C132" s="174"/>
      <c r="D132" s="207">
        <f>E132-G131</f>
        <v>46231</v>
      </c>
      <c r="E132" s="175">
        <v>46287</v>
      </c>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hidden="1" outlineLevel="1" thickBot="1" x14ac:dyDescent="0.4">
      <c r="A133" s="33"/>
      <c r="B133" s="47"/>
      <c r="C133" s="42"/>
      <c r="D133" s="116"/>
      <c r="E133" s="116"/>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hidden="1" outlineLevel="1" thickBot="1" x14ac:dyDescent="0.4">
      <c r="A134" s="33"/>
      <c r="B134" s="47"/>
      <c r="C134" s="42"/>
      <c r="D134" s="116"/>
      <c r="E134" s="116"/>
      <c r="F134" s="14"/>
      <c r="G134" s="14"/>
      <c r="H134" s="14"/>
      <c r="I134" s="14"/>
      <c r="J134" s="29"/>
      <c r="K134" s="29"/>
      <c r="L134" s="29"/>
      <c r="M134" s="29"/>
      <c r="N134" s="29"/>
      <c r="O134" s="29"/>
      <c r="P134" s="29"/>
      <c r="Q134" s="29"/>
      <c r="R134" s="29"/>
      <c r="S134" s="29"/>
      <c r="T134" s="29"/>
      <c r="U134" s="29"/>
      <c r="V134" s="29"/>
      <c r="W134" s="29"/>
      <c r="X134" s="29"/>
      <c r="Y134" s="30"/>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hidden="1" outlineLevel="1" thickBot="1" x14ac:dyDescent="0.4">
      <c r="A135" s="33"/>
      <c r="B135" s="47"/>
      <c r="C135" s="42"/>
      <c r="D135" s="116"/>
      <c r="E135" s="116"/>
      <c r="F135" s="14"/>
      <c r="G135" s="14"/>
      <c r="H135" s="14"/>
      <c r="I135" s="14"/>
      <c r="J135" s="29"/>
      <c r="K135" s="29"/>
      <c r="L135" s="29"/>
      <c r="M135" s="29"/>
      <c r="N135" s="29"/>
      <c r="O135" s="29"/>
      <c r="P135" s="29"/>
      <c r="Q135" s="29"/>
      <c r="R135" s="29"/>
      <c r="S135" s="29"/>
      <c r="T135" s="29"/>
      <c r="U135" s="29"/>
      <c r="V135" s="29"/>
      <c r="W135" s="29"/>
      <c r="X135" s="29"/>
      <c r="Y135" s="30"/>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hidden="1" outlineLevel="1" thickBot="1" x14ac:dyDescent="0.4">
      <c r="A136" s="33"/>
      <c r="B136" s="47"/>
      <c r="C136" s="42"/>
      <c r="D136" s="116"/>
      <c r="E136" s="116"/>
      <c r="F136" s="14"/>
      <c r="G136" s="14"/>
      <c r="H136" s="14"/>
      <c r="I136" s="14"/>
      <c r="J136" s="29"/>
      <c r="K136" s="29"/>
      <c r="L136" s="29"/>
      <c r="M136" s="29"/>
      <c r="N136" s="29"/>
      <c r="O136" s="29"/>
      <c r="P136" s="29"/>
      <c r="Q136" s="29"/>
      <c r="R136" s="29"/>
      <c r="S136" s="29"/>
      <c r="T136" s="29"/>
      <c r="U136" s="29"/>
      <c r="V136" s="29"/>
      <c r="W136" s="29"/>
      <c r="X136" s="29"/>
      <c r="Y136" s="30"/>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hidden="1" outlineLevel="1" thickBot="1" x14ac:dyDescent="0.4">
      <c r="A137" s="33"/>
      <c r="B137" s="24" t="s">
        <v>261</v>
      </c>
      <c r="C137" s="140"/>
      <c r="D137" s="121"/>
      <c r="E137" s="122"/>
      <c r="F137" s="14"/>
      <c r="G137" s="14"/>
      <c r="H137" s="14"/>
      <c r="I137" s="14"/>
      <c r="J137" s="29"/>
      <c r="K137" s="29"/>
      <c r="L137" s="29"/>
      <c r="M137" s="29"/>
      <c r="N137" s="29"/>
      <c r="O137" s="29"/>
      <c r="P137" s="29"/>
      <c r="Q137" s="29"/>
      <c r="R137" s="29"/>
      <c r="S137" s="29"/>
      <c r="T137" s="29"/>
      <c r="U137" s="29"/>
      <c r="V137" s="29"/>
      <c r="W137" s="29"/>
      <c r="X137" s="29"/>
      <c r="Y137" s="30"/>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hidden="1" outlineLevel="1" thickBot="1" x14ac:dyDescent="0.4">
      <c r="A138" s="33"/>
      <c r="B138" s="85" t="s">
        <v>262</v>
      </c>
      <c r="C138" s="102" t="s">
        <v>89</v>
      </c>
      <c r="D138" s="123">
        <v>45754</v>
      </c>
      <c r="E138" s="123">
        <f>D138+G138</f>
        <v>45758</v>
      </c>
      <c r="F138" s="14"/>
      <c r="G138" s="14">
        <v>4</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hidden="1" outlineLevel="1" thickBot="1" x14ac:dyDescent="0.4">
      <c r="A139" s="33"/>
      <c r="B139" s="85" t="s">
        <v>222</v>
      </c>
      <c r="C139" s="102" t="s">
        <v>230</v>
      </c>
      <c r="D139" s="205">
        <v>45782</v>
      </c>
      <c r="E139" s="123">
        <f>D139+G139-1</f>
        <v>45793</v>
      </c>
      <c r="F139" s="14"/>
      <c r="G139" s="14">
        <v>12</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hidden="1" outlineLevel="1" thickBot="1" x14ac:dyDescent="0.4">
      <c r="A140" s="33"/>
      <c r="B140" s="85" t="s">
        <v>263</v>
      </c>
      <c r="C140" s="102" t="s">
        <v>86</v>
      </c>
      <c r="D140" s="123">
        <f>D139+35</f>
        <v>45817</v>
      </c>
      <c r="E140" s="123">
        <f t="shared" ref="E140:E149" si="602">D140+G140-1</f>
        <v>45828</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hidden="1" outlineLevel="1" thickBot="1" x14ac:dyDescent="0.4">
      <c r="A141" s="33"/>
      <c r="B141" s="85" t="s">
        <v>222</v>
      </c>
      <c r="C141" s="102" t="s">
        <v>35</v>
      </c>
      <c r="D141" s="123">
        <f t="shared" ref="D141" si="603">D140+35</f>
        <v>45852</v>
      </c>
      <c r="E141" s="123">
        <f t="shared" si="602"/>
        <v>45863</v>
      </c>
      <c r="F141" s="14"/>
      <c r="G141" s="14">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hidden="1" outlineLevel="1" thickBot="1" x14ac:dyDescent="0.4">
      <c r="A142" s="33"/>
      <c r="B142" s="85" t="s">
        <v>222</v>
      </c>
      <c r="C142" s="102" t="s">
        <v>165</v>
      </c>
      <c r="D142" s="123">
        <v>45852</v>
      </c>
      <c r="E142" s="123">
        <f t="shared" si="602"/>
        <v>45856</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hidden="1" outlineLevel="1" thickBot="1" x14ac:dyDescent="0.4">
      <c r="A143" s="33"/>
      <c r="B143" s="85" t="s">
        <v>222</v>
      </c>
      <c r="C143" s="102" t="s">
        <v>168</v>
      </c>
      <c r="D143" s="123">
        <v>45859</v>
      </c>
      <c r="E143" s="123">
        <f t="shared" si="602"/>
        <v>45863</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hidden="1" outlineLevel="1" thickBot="1" x14ac:dyDescent="0.4">
      <c r="A144" s="33"/>
      <c r="B144" s="85" t="s">
        <v>263</v>
      </c>
      <c r="C144" s="102" t="s">
        <v>80</v>
      </c>
      <c r="D144" s="123">
        <v>45894</v>
      </c>
      <c r="E144" s="123">
        <f t="shared" si="602"/>
        <v>45905</v>
      </c>
      <c r="F144" s="14"/>
      <c r="G144" s="14">
        <v>12</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hidden="1" outlineLevel="1" thickBot="1" x14ac:dyDescent="0.4">
      <c r="A145" s="33"/>
      <c r="B145" s="85" t="s">
        <v>263</v>
      </c>
      <c r="C145" s="102" t="s">
        <v>144</v>
      </c>
      <c r="D145" s="123">
        <v>45901</v>
      </c>
      <c r="E145" s="123">
        <f t="shared" si="602"/>
        <v>45905</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hidden="1" outlineLevel="1" thickBot="1" x14ac:dyDescent="0.4">
      <c r="A146" s="33"/>
      <c r="B146" s="85" t="s">
        <v>224</v>
      </c>
      <c r="C146" s="102" t="s">
        <v>21</v>
      </c>
      <c r="D146" s="123">
        <v>45894</v>
      </c>
      <c r="E146" s="123">
        <f t="shared" si="602"/>
        <v>45898</v>
      </c>
      <c r="F146" s="14"/>
      <c r="G146" s="14">
        <v>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hidden="1" outlineLevel="1" thickBot="1" x14ac:dyDescent="0.4">
      <c r="A147" s="33"/>
      <c r="B147" s="85" t="s">
        <v>263</v>
      </c>
      <c r="C147" s="102" t="s">
        <v>101</v>
      </c>
      <c r="D147" s="123">
        <v>45929</v>
      </c>
      <c r="E147" s="123">
        <f t="shared" si="602"/>
        <v>45940</v>
      </c>
      <c r="F147" s="14"/>
      <c r="G147" s="14">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hidden="1" outlineLevel="1" thickBot="1" x14ac:dyDescent="0.4">
      <c r="A148" s="33"/>
      <c r="B148" s="85" t="s">
        <v>224</v>
      </c>
      <c r="C148" s="102" t="s">
        <v>26</v>
      </c>
      <c r="D148" s="123">
        <v>45929</v>
      </c>
      <c r="E148" s="123">
        <f t="shared" si="602"/>
        <v>45933</v>
      </c>
      <c r="F148" s="14"/>
      <c r="G148" s="14">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hidden="1" outlineLevel="1" thickBot="1" x14ac:dyDescent="0.4">
      <c r="A149" s="33"/>
      <c r="B149" s="85" t="s">
        <v>222</v>
      </c>
      <c r="C149" s="102" t="s">
        <v>162</v>
      </c>
      <c r="D149" s="123">
        <v>45936</v>
      </c>
      <c r="E149" s="123">
        <f t="shared" si="602"/>
        <v>45940</v>
      </c>
      <c r="F149" s="14"/>
      <c r="G149" s="14">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hidden="1" outlineLevel="1" thickBot="1" x14ac:dyDescent="0.4">
      <c r="A150" s="33"/>
      <c r="B150" s="149" t="s">
        <v>222</v>
      </c>
      <c r="C150" s="150"/>
      <c r="D150" s="151">
        <v>45964</v>
      </c>
      <c r="E150" s="151">
        <f t="shared" ref="E150:E154" si="604">D150+G150-1</f>
        <v>45975</v>
      </c>
      <c r="F150" s="152"/>
      <c r="G150" s="152">
        <v>12</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hidden="1" outlineLevel="1" thickBot="1" x14ac:dyDescent="0.4">
      <c r="A151" s="33"/>
      <c r="B151" s="149" t="s">
        <v>224</v>
      </c>
      <c r="C151" s="150"/>
      <c r="D151" s="151">
        <v>45964</v>
      </c>
      <c r="E151" s="151">
        <f t="shared" si="604"/>
        <v>45975</v>
      </c>
      <c r="F151" s="152"/>
      <c r="G151" s="152">
        <v>12</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hidden="1" outlineLevel="1" thickBot="1" x14ac:dyDescent="0.4">
      <c r="A152" s="33"/>
      <c r="B152" s="149" t="s">
        <v>263</v>
      </c>
      <c r="C152" s="150"/>
      <c r="D152" s="151">
        <v>45957</v>
      </c>
      <c r="E152" s="151">
        <f t="shared" si="604"/>
        <v>45961</v>
      </c>
      <c r="F152" s="152"/>
      <c r="G152" s="152">
        <v>5</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hidden="1" outlineLevel="1" thickBot="1" x14ac:dyDescent="0.4">
      <c r="A153" s="33"/>
      <c r="B153" s="149" t="s">
        <v>222</v>
      </c>
      <c r="C153" s="150"/>
      <c r="D153" s="151">
        <v>45964</v>
      </c>
      <c r="E153" s="151">
        <f t="shared" si="604"/>
        <v>45968</v>
      </c>
      <c r="F153" s="152"/>
      <c r="G153" s="152">
        <v>5</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hidden="1" outlineLevel="1" thickBot="1" x14ac:dyDescent="0.4">
      <c r="A154" s="33"/>
      <c r="B154" s="149" t="s">
        <v>222</v>
      </c>
      <c r="C154" s="150"/>
      <c r="D154" s="151">
        <v>45971</v>
      </c>
      <c r="E154" s="151">
        <f t="shared" si="604"/>
        <v>45975</v>
      </c>
      <c r="F154" s="152"/>
      <c r="G154" s="152">
        <v>5</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hidden="1" outlineLevel="1" thickBot="1" x14ac:dyDescent="0.4">
      <c r="A155" s="33"/>
      <c r="B155" s="85"/>
      <c r="C155" s="102"/>
      <c r="D155" s="123"/>
      <c r="E155" s="123"/>
      <c r="F155" s="14"/>
      <c r="G155" s="14"/>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hidden="1" outlineLevel="1" thickBot="1" x14ac:dyDescent="0.4">
      <c r="A156" s="33"/>
      <c r="B156" s="85"/>
      <c r="C156" s="102"/>
      <c r="D156" s="123"/>
      <c r="E156" s="123"/>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hidden="1" outlineLevel="1" thickBot="1" x14ac:dyDescent="0.4">
      <c r="A157" s="33"/>
      <c r="B157" s="83" t="s">
        <v>264</v>
      </c>
      <c r="C157" s="141"/>
      <c r="D157" s="124"/>
      <c r="E157" s="125"/>
      <c r="F157" s="14"/>
      <c r="G157" s="14" t="str">
        <f t="shared" si="586"/>
        <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hidden="1" outlineLevel="1" thickBot="1" x14ac:dyDescent="0.4">
      <c r="A158" s="33" t="s">
        <v>237</v>
      </c>
      <c r="B158" s="84" t="s">
        <v>243</v>
      </c>
      <c r="C158" s="142" t="s">
        <v>265</v>
      </c>
      <c r="D158" s="208">
        <v>45769</v>
      </c>
      <c r="E158" s="208">
        <v>45856</v>
      </c>
      <c r="F158" s="14"/>
      <c r="G158" s="14">
        <v>87</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hidden="1" outlineLevel="1" thickBot="1" x14ac:dyDescent="0.4">
      <c r="A159" s="33"/>
      <c r="B159" s="86" t="s">
        <v>246</v>
      </c>
      <c r="C159" s="142" t="s">
        <v>266</v>
      </c>
      <c r="D159" s="117">
        <v>45838</v>
      </c>
      <c r="E159" s="117">
        <v>45884</v>
      </c>
      <c r="F159" s="14"/>
      <c r="G159" s="14">
        <v>46</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x14ac:dyDescent="0.4">
      <c r="A160" s="33"/>
      <c r="B160" s="240" t="s">
        <v>267</v>
      </c>
      <c r="C160" s="240"/>
      <c r="D160" s="240"/>
      <c r="E160" s="240"/>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 hidden="1" outlineLevel="1" thickBot="1" x14ac:dyDescent="0.4">
      <c r="A161" s="33"/>
      <c r="B161" s="161" t="s">
        <v>243</v>
      </c>
      <c r="C161" s="162" t="s">
        <v>268</v>
      </c>
      <c r="D161" s="163">
        <v>45971</v>
      </c>
      <c r="E161" s="163">
        <v>45996</v>
      </c>
      <c r="F161" s="14"/>
      <c r="G161" s="14">
        <f>E161-D161</f>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hidden="1" outlineLevel="1" thickBot="1" x14ac:dyDescent="0.4">
      <c r="A162" s="33"/>
      <c r="B162" s="87" t="s">
        <v>269</v>
      </c>
      <c r="C162" s="41" t="s">
        <v>265</v>
      </c>
      <c r="D162" s="126">
        <v>46034</v>
      </c>
      <c r="E162" s="126">
        <f>D162+53</f>
        <v>46087</v>
      </c>
      <c r="F162" s="14"/>
      <c r="G162" s="14">
        <f>E162-D162</f>
        <v>53</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 hidden="1" outlineLevel="1" thickBot="1" x14ac:dyDescent="0.4">
      <c r="A163" s="33"/>
      <c r="B163" s="87" t="s">
        <v>246</v>
      </c>
      <c r="C163" s="41" t="s">
        <v>270</v>
      </c>
      <c r="D163" s="126">
        <v>46104</v>
      </c>
      <c r="E163" s="209">
        <f>D163+53</f>
        <v>46157</v>
      </c>
      <c r="F163" s="14"/>
      <c r="G163" s="14">
        <f>E163-D163</f>
        <v>53</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x14ac:dyDescent="0.4">
      <c r="A164" s="33"/>
      <c r="B164" s="87" t="s">
        <v>247</v>
      </c>
      <c r="C164" s="41" t="s">
        <v>271</v>
      </c>
      <c r="D164" s="163">
        <v>46160</v>
      </c>
      <c r="E164" s="209">
        <f>D164+53</f>
        <v>46213</v>
      </c>
      <c r="F164" s="14"/>
      <c r="G164" s="14">
        <f>E164-D164</f>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x14ac:dyDescent="0.4">
      <c r="A165" s="33"/>
      <c r="B165" s="87" t="s">
        <v>272</v>
      </c>
      <c r="C165" s="41" t="s">
        <v>273</v>
      </c>
      <c r="D165" s="209">
        <v>46216</v>
      </c>
      <c r="E165" s="126">
        <f>D165+G165</f>
        <v>46269</v>
      </c>
      <c r="F165" s="14"/>
      <c r="G165" s="14">
        <v>53</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x14ac:dyDescent="0.4">
      <c r="A166" s="33"/>
      <c r="B166" s="161" t="s">
        <v>246</v>
      </c>
      <c r="C166" s="162" t="s">
        <v>241</v>
      </c>
      <c r="D166" s="209">
        <v>46237</v>
      </c>
      <c r="E166" s="163">
        <v>46248</v>
      </c>
      <c r="F166" s="14"/>
      <c r="G166" s="14">
        <f>E166-D166</f>
        <v>11</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23.15" customHeight="1" outlineLevel="1" thickBot="1" x14ac:dyDescent="0.4">
      <c r="A167" s="33"/>
      <c r="B167" s="239" t="s">
        <v>215</v>
      </c>
      <c r="C167" s="239"/>
      <c r="D167" s="239"/>
      <c r="E167" s="239"/>
      <c r="F167" s="14"/>
      <c r="G167" s="14"/>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thickBot="1" x14ac:dyDescent="0.4">
      <c r="A168" s="33"/>
      <c r="B168" s="234" t="s">
        <v>274</v>
      </c>
      <c r="C168" s="234"/>
      <c r="D168" s="234"/>
      <c r="E168" s="234"/>
      <c r="F168" s="14"/>
      <c r="G168" s="14" t="str">
        <f t="shared" si="586"/>
        <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2.65" hidden="1" customHeight="1" outlineLevel="1" thickBot="1" x14ac:dyDescent="0.4">
      <c r="A169" s="34" t="s">
        <v>225</v>
      </c>
      <c r="B169" s="47" t="s">
        <v>275</v>
      </c>
      <c r="C169" s="42" t="s">
        <v>104</v>
      </c>
      <c r="D169" s="116">
        <v>45964</v>
      </c>
      <c r="E169" s="116">
        <f t="shared" ref="E169:E172" si="605">D169+G169</f>
        <v>46050</v>
      </c>
      <c r="F169" s="14"/>
      <c r="G169" s="14">
        <v>86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x14ac:dyDescent="0.4">
      <c r="A170" s="33"/>
      <c r="B170" s="221" t="s">
        <v>276</v>
      </c>
      <c r="C170" s="222" t="s">
        <v>119</v>
      </c>
      <c r="D170" s="227">
        <v>46037</v>
      </c>
      <c r="E170" s="223">
        <f t="shared" si="605"/>
        <v>46204</v>
      </c>
      <c r="F170" s="14"/>
      <c r="G170" s="186">
        <v>167</v>
      </c>
      <c r="H170" s="29"/>
      <c r="I170" s="29"/>
      <c r="J170" s="29"/>
      <c r="K170" s="29"/>
      <c r="L170" s="29"/>
      <c r="M170" s="29"/>
      <c r="N170" s="29"/>
      <c r="O170" s="29"/>
      <c r="P170" s="29"/>
      <c r="Q170" s="29"/>
      <c r="R170" s="29"/>
      <c r="S170" s="29"/>
      <c r="T170" s="29"/>
      <c r="U170" s="30"/>
      <c r="V170" s="30"/>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outlineLevel="1" thickBot="1" x14ac:dyDescent="0.4">
      <c r="A171" s="33"/>
      <c r="B171" s="221" t="s">
        <v>275</v>
      </c>
      <c r="C171" s="222" t="s">
        <v>108</v>
      </c>
      <c r="D171" s="224">
        <v>46058</v>
      </c>
      <c r="E171" s="224">
        <f t="shared" si="605"/>
        <v>46114</v>
      </c>
      <c r="F171" s="14"/>
      <c r="G171" s="14">
        <v>56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x14ac:dyDescent="0.4">
      <c r="A172" s="33"/>
      <c r="B172" s="221" t="s">
        <v>276</v>
      </c>
      <c r="C172" s="222" t="s">
        <v>277</v>
      </c>
      <c r="D172" s="223">
        <f>E170</f>
        <v>46204</v>
      </c>
      <c r="E172" s="224">
        <f t="shared" si="605"/>
        <v>46290</v>
      </c>
      <c r="F172" s="14"/>
      <c r="G172" s="14">
        <v>86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x14ac:dyDescent="0.4">
      <c r="A173" s="33"/>
      <c r="B173" s="47" t="s">
        <v>276</v>
      </c>
      <c r="C173" s="42" t="s">
        <v>180</v>
      </c>
      <c r="D173" s="116">
        <f>E172</f>
        <v>46290</v>
      </c>
      <c r="E173" s="116">
        <f>D173+G173</f>
        <v>46436</v>
      </c>
      <c r="F173" s="14"/>
      <c r="G173" s="186">
        <v>146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x14ac:dyDescent="0.4">
      <c r="A174" s="33"/>
      <c r="B174" s="221" t="s">
        <v>275</v>
      </c>
      <c r="C174" s="222" t="s">
        <v>104</v>
      </c>
      <c r="D174" s="227">
        <v>46118</v>
      </c>
      <c r="E174" s="223">
        <f>D174+G174</f>
        <v>46204</v>
      </c>
      <c r="F174" s="14"/>
      <c r="G174" s="14">
        <v>86</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x14ac:dyDescent="0.4">
      <c r="A175" s="33"/>
      <c r="B175" s="221" t="s">
        <v>275</v>
      </c>
      <c r="C175" s="222" t="s">
        <v>108</v>
      </c>
      <c r="D175" s="223">
        <f>E174</f>
        <v>46204</v>
      </c>
      <c r="E175" s="224">
        <f>D175+G175</f>
        <v>46290</v>
      </c>
      <c r="F175" s="14"/>
      <c r="G175" s="14">
        <v>86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x14ac:dyDescent="0.4">
      <c r="A176" s="33"/>
      <c r="B176" s="47" t="s">
        <v>275</v>
      </c>
      <c r="C176" s="42" t="s">
        <v>62</v>
      </c>
      <c r="D176" s="116">
        <f>E175</f>
        <v>46290</v>
      </c>
      <c r="E176" s="116">
        <f>D176+G176</f>
        <v>46346</v>
      </c>
      <c r="F176" s="14"/>
      <c r="G176" s="14">
        <v>56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x14ac:dyDescent="0.4">
      <c r="A177" s="33"/>
      <c r="B177" s="47" t="s">
        <v>275</v>
      </c>
      <c r="C177" s="42" t="s">
        <v>108</v>
      </c>
      <c r="D177" s="116">
        <f>E176</f>
        <v>46346</v>
      </c>
      <c r="E177" s="116">
        <f>D177+G177</f>
        <v>46436</v>
      </c>
      <c r="F177" s="14"/>
      <c r="G177" s="186">
        <v>90</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x14ac:dyDescent="0.4">
      <c r="A178" s="33"/>
      <c r="B178" s="146" t="s">
        <v>278</v>
      </c>
      <c r="C178" s="147" t="s">
        <v>279</v>
      </c>
      <c r="D178" s="206">
        <v>46132</v>
      </c>
      <c r="E178" s="206">
        <v>46192</v>
      </c>
      <c r="F178" s="14"/>
      <c r="G178" s="14">
        <v>56</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x14ac:dyDescent="0.4">
      <c r="A179" s="33"/>
      <c r="B179" s="221" t="s">
        <v>278</v>
      </c>
      <c r="C179" s="222" t="s">
        <v>196</v>
      </c>
      <c r="D179" s="223">
        <v>46191</v>
      </c>
      <c r="E179" s="224">
        <f t="shared" ref="E179" si="606">D179+G179-1</f>
        <v>46246</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x14ac:dyDescent="0.4">
      <c r="A180" s="33"/>
      <c r="B180" s="146" t="s">
        <v>280</v>
      </c>
      <c r="C180" s="147" t="s">
        <v>138</v>
      </c>
      <c r="D180" s="148">
        <f>E179</f>
        <v>46246</v>
      </c>
      <c r="E180" s="148">
        <f t="shared" ref="E180" si="607">D180+G180-1</f>
        <v>46301</v>
      </c>
      <c r="F180" s="14"/>
      <c r="G180" s="14">
        <v>56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x14ac:dyDescent="0.4">
      <c r="A181" s="33"/>
      <c r="B181" s="215" t="s">
        <v>281</v>
      </c>
      <c r="C181" s="216" t="s">
        <v>119</v>
      </c>
      <c r="D181" s="217">
        <v>46268</v>
      </c>
      <c r="E181" s="217">
        <f>D181+G181</f>
        <v>46436</v>
      </c>
      <c r="F181" s="14"/>
      <c r="G181" s="186">
        <v>168</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x14ac:dyDescent="0.4">
      <c r="A182" s="33"/>
      <c r="B182" s="146" t="s">
        <v>280</v>
      </c>
      <c r="C182" s="147" t="s">
        <v>131</v>
      </c>
      <c r="D182" s="148">
        <f>E180</f>
        <v>46301</v>
      </c>
      <c r="E182" s="148">
        <f>D182+G182</f>
        <v>46436</v>
      </c>
      <c r="F182" s="14"/>
      <c r="G182" s="186">
        <v>135</v>
      </c>
      <c r="H182" s="29"/>
      <c r="I182" s="29"/>
      <c r="J182" s="29"/>
      <c r="K182" s="29"/>
      <c r="L182" s="29"/>
      <c r="M182" s="29"/>
      <c r="N182" s="29"/>
      <c r="O182" s="29"/>
      <c r="P182" s="29"/>
      <c r="Q182" s="29"/>
      <c r="R182" s="29"/>
      <c r="S182" s="29"/>
      <c r="T182" s="29"/>
      <c r="U182" s="29"/>
      <c r="V182" s="29"/>
      <c r="W182" s="29"/>
      <c r="X182" s="29"/>
      <c r="Y182" s="30"/>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x14ac:dyDescent="0.4">
      <c r="A183" s="33"/>
      <c r="B183" s="218" t="s">
        <v>276</v>
      </c>
      <c r="C183" s="219" t="s">
        <v>183</v>
      </c>
      <c r="D183" s="220">
        <v>46268</v>
      </c>
      <c r="E183" s="220">
        <f t="shared" ref="E183" si="608">D183+G183</f>
        <v>46436</v>
      </c>
      <c r="F183" s="14"/>
      <c r="G183" s="186">
        <v>168</v>
      </c>
      <c r="H183" s="29"/>
      <c r="I183" s="29"/>
      <c r="J183" s="29"/>
      <c r="K183" s="29"/>
      <c r="L183" s="29"/>
      <c r="M183" s="29"/>
      <c r="N183" s="29"/>
      <c r="O183" s="29"/>
      <c r="P183" s="29"/>
      <c r="Q183" s="29"/>
      <c r="R183" s="29"/>
      <c r="S183" s="29"/>
      <c r="T183" s="29"/>
      <c r="U183" s="29"/>
      <c r="V183" s="29"/>
      <c r="W183" s="29"/>
      <c r="X183" s="29"/>
      <c r="Y183" s="30"/>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x14ac:dyDescent="0.4">
      <c r="A184" s="33"/>
      <c r="B184" s="218" t="s">
        <v>275</v>
      </c>
      <c r="C184" s="219" t="s">
        <v>104</v>
      </c>
      <c r="D184" s="220">
        <v>46268</v>
      </c>
      <c r="E184" s="220">
        <f>D184+G184</f>
        <v>46436</v>
      </c>
      <c r="F184" s="14"/>
      <c r="G184" s="186">
        <v>168</v>
      </c>
      <c r="H184" s="29"/>
      <c r="I184" s="29"/>
      <c r="J184" s="29"/>
      <c r="K184" s="29"/>
      <c r="L184" s="29"/>
      <c r="M184" s="29"/>
      <c r="N184" s="29"/>
      <c r="O184" s="29"/>
      <c r="P184" s="29"/>
      <c r="Q184" s="29"/>
      <c r="R184" s="29"/>
      <c r="S184" s="29"/>
      <c r="T184" s="29"/>
      <c r="U184" s="29"/>
      <c r="V184" s="29"/>
      <c r="W184" s="29"/>
      <c r="X184" s="29"/>
      <c r="Y184" s="30"/>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hidden="1" outlineLevel="1" thickBot="1" x14ac:dyDescent="0.4">
      <c r="A185" s="33"/>
      <c r="B185" s="83" t="s">
        <v>282</v>
      </c>
      <c r="C185" s="141"/>
      <c r="D185" s="124"/>
      <c r="E185" s="125"/>
      <c r="F185" s="14"/>
      <c r="G185" s="14" t="str">
        <f t="shared" si="586"/>
        <v/>
      </c>
      <c r="H185" s="29"/>
      <c r="I185" s="29"/>
      <c r="J185" s="29"/>
      <c r="K185" s="29"/>
      <c r="L185" s="29"/>
      <c r="M185" s="29"/>
      <c r="N185" s="29"/>
      <c r="O185" s="29"/>
      <c r="P185" s="29"/>
      <c r="Q185" s="29"/>
      <c r="R185" s="29"/>
      <c r="S185" s="29"/>
      <c r="T185" s="29"/>
      <c r="U185" s="29"/>
      <c r="V185" s="29"/>
      <c r="W185" s="29"/>
      <c r="X185" s="29"/>
      <c r="Y185" s="30"/>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hidden="1" outlineLevel="1" thickBot="1" x14ac:dyDescent="0.4">
      <c r="A186" s="33" t="s">
        <v>237</v>
      </c>
      <c r="B186" s="84" t="s">
        <v>275</v>
      </c>
      <c r="C186" s="137" t="s">
        <v>62</v>
      </c>
      <c r="D186" s="117">
        <f>E186-G186</f>
        <v>45853</v>
      </c>
      <c r="E186" s="117">
        <v>45898</v>
      </c>
      <c r="F186" s="14"/>
      <c r="G186" s="14">
        <v>45</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hidden="1" outlineLevel="1" thickBot="1" x14ac:dyDescent="0.4">
      <c r="A187" s="33"/>
      <c r="B187" s="21" t="s">
        <v>283</v>
      </c>
      <c r="C187" s="143"/>
      <c r="D187" s="127"/>
      <c r="E187" s="128"/>
      <c r="F187" s="14"/>
      <c r="G187" s="14"/>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hidden="1" outlineLevel="1" thickBot="1" x14ac:dyDescent="0.4">
      <c r="A188" s="33"/>
      <c r="B188" s="82" t="s">
        <v>247</v>
      </c>
      <c r="C188" s="138" t="s">
        <v>284</v>
      </c>
      <c r="D188" s="119">
        <v>45735</v>
      </c>
      <c r="E188" s="119">
        <v>45814</v>
      </c>
      <c r="F188" s="14"/>
      <c r="G188" s="14">
        <v>79</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hidden="1" outlineLevel="1" thickBot="1" x14ac:dyDescent="0.4">
      <c r="A189" s="33"/>
      <c r="B189" s="82" t="s">
        <v>247</v>
      </c>
      <c r="C189" s="138" t="s">
        <v>271</v>
      </c>
      <c r="D189" s="119">
        <v>45817</v>
      </c>
      <c r="E189" s="119">
        <v>45870</v>
      </c>
      <c r="F189" s="14"/>
      <c r="G189" s="14">
        <v>53</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hidden="1" outlineLevel="1" thickBot="1" x14ac:dyDescent="0.4">
      <c r="A190" s="33"/>
      <c r="B190" s="82" t="s">
        <v>243</v>
      </c>
      <c r="C190" s="138" t="s">
        <v>285</v>
      </c>
      <c r="D190" s="119">
        <v>45873</v>
      </c>
      <c r="E190" s="119">
        <v>45898</v>
      </c>
      <c r="F190" s="14"/>
      <c r="G190" s="14">
        <v>25</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hidden="1" outlineLevel="1" thickBot="1" x14ac:dyDescent="0.4">
      <c r="A191" s="33"/>
      <c r="B191" s="82"/>
      <c r="C191" s="138"/>
      <c r="D191" s="119"/>
      <c r="E191" s="119"/>
      <c r="F191" s="14"/>
      <c r="G191" s="14">
        <v>25</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hidden="1" outlineLevel="1" thickBot="1" x14ac:dyDescent="0.4">
      <c r="A192" s="33"/>
      <c r="B192" s="103" t="s">
        <v>286</v>
      </c>
      <c r="C192" s="108"/>
      <c r="D192" s="129"/>
      <c r="E192" s="130"/>
      <c r="F192" s="104" t="s">
        <v>287</v>
      </c>
      <c r="G192" s="104" t="s">
        <v>287</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hidden="1" outlineLevel="1" thickBot="1" x14ac:dyDescent="0.4">
      <c r="A193" s="33"/>
      <c r="B193" s="105" t="s">
        <v>246</v>
      </c>
      <c r="C193" s="144" t="s">
        <v>288</v>
      </c>
      <c r="D193" s="109">
        <v>45818</v>
      </c>
      <c r="E193" s="109">
        <v>45870</v>
      </c>
      <c r="F193" s="106" t="s">
        <v>287</v>
      </c>
      <c r="G193" s="106">
        <v>52</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hidden="1" outlineLevel="1" thickBot="1" x14ac:dyDescent="0.4">
      <c r="A194" s="33"/>
      <c r="B194" s="105" t="s">
        <v>246</v>
      </c>
      <c r="C194" s="144" t="s">
        <v>241</v>
      </c>
      <c r="D194" s="109">
        <v>45873</v>
      </c>
      <c r="E194" s="109">
        <v>45929</v>
      </c>
      <c r="F194" s="106" t="s">
        <v>287</v>
      </c>
      <c r="G194" s="106">
        <v>56</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x14ac:dyDescent="0.4">
      <c r="A195" s="33"/>
      <c r="B195" s="230" t="s">
        <v>289</v>
      </c>
      <c r="C195" s="230"/>
      <c r="D195" s="230"/>
      <c r="E195" s="230"/>
      <c r="F195" s="14"/>
      <c r="G195" s="14"/>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outlineLevel="1" thickBot="1" x14ac:dyDescent="0.4">
      <c r="A196" s="33"/>
      <c r="B196" s="85" t="s">
        <v>243</v>
      </c>
      <c r="C196" s="145" t="s">
        <v>268</v>
      </c>
      <c r="D196" s="123">
        <f>E161+3</f>
        <v>45999</v>
      </c>
      <c r="E196" s="123">
        <v>46028</v>
      </c>
      <c r="F196" s="14"/>
      <c r="G196" s="14">
        <f>E196-D196</f>
        <v>29</v>
      </c>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outlineLevel="1" thickBot="1" x14ac:dyDescent="0.4">
      <c r="A197" s="33"/>
      <c r="B197" s="85" t="s">
        <v>247</v>
      </c>
      <c r="C197" s="145" t="s">
        <v>284</v>
      </c>
      <c r="D197" s="123">
        <v>46048</v>
      </c>
      <c r="E197" s="123">
        <f>D197+53</f>
        <v>46101</v>
      </c>
      <c r="F197" s="14"/>
      <c r="G197" s="14">
        <f>E197-D197</f>
        <v>53</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outlineLevel="1" thickBot="1" x14ac:dyDescent="0.4">
      <c r="A198" s="33"/>
      <c r="B198" s="85" t="s">
        <v>243</v>
      </c>
      <c r="C198" s="145" t="s">
        <v>290</v>
      </c>
      <c r="D198" s="123">
        <v>46090</v>
      </c>
      <c r="E198" s="205">
        <f>D198+53</f>
        <v>46143</v>
      </c>
      <c r="F198" s="14"/>
      <c r="G198" s="14">
        <f>E198-D198</f>
        <v>53</v>
      </c>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outlineLevel="1" thickBot="1" x14ac:dyDescent="0.4">
      <c r="A199" s="33"/>
      <c r="B199" s="225" t="s">
        <v>246</v>
      </c>
      <c r="C199" s="226" t="s">
        <v>288</v>
      </c>
      <c r="D199" s="227">
        <v>46153</v>
      </c>
      <c r="E199" s="223">
        <f>D199+53</f>
        <v>46206</v>
      </c>
      <c r="F199" s="14"/>
      <c r="G199" s="14">
        <f>E199-D199</f>
        <v>53</v>
      </c>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outlineLevel="1" thickBot="1" x14ac:dyDescent="0.4">
      <c r="A200" s="33"/>
      <c r="B200" s="225" t="s">
        <v>247</v>
      </c>
      <c r="C200" s="226" t="s">
        <v>291</v>
      </c>
      <c r="D200" s="223">
        <v>46209</v>
      </c>
      <c r="E200" s="227">
        <f>D200+G200</f>
        <v>46262</v>
      </c>
      <c r="F200" s="14"/>
      <c r="G200" s="14">
        <v>53</v>
      </c>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15" outlineLevel="1" thickBot="1" x14ac:dyDescent="0.4">
      <c r="A201" s="33"/>
      <c r="B201" s="85" t="s">
        <v>247</v>
      </c>
      <c r="C201" s="145" t="s">
        <v>284</v>
      </c>
      <c r="D201" s="123">
        <f>E200</f>
        <v>46262</v>
      </c>
      <c r="E201" s="123">
        <f>D201+G201</f>
        <v>46315</v>
      </c>
      <c r="F201" s="14"/>
      <c r="G201" s="14">
        <v>53</v>
      </c>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c r="BN201" s="29"/>
      <c r="BO201" s="29"/>
      <c r="BP201" s="29"/>
      <c r="BQ201" s="29"/>
      <c r="BR201" s="29"/>
      <c r="BS201" s="29"/>
      <c r="BT201" s="29"/>
      <c r="BU201" s="29"/>
      <c r="BV201" s="29"/>
      <c r="BW201" s="29"/>
      <c r="BX201" s="29"/>
      <c r="BY201" s="29"/>
      <c r="BZ201" s="29"/>
      <c r="CA201" s="29"/>
      <c r="CB201" s="29"/>
      <c r="CC201" s="29"/>
      <c r="CD201" s="29"/>
      <c r="CE201" s="29"/>
      <c r="CF201" s="29"/>
      <c r="CG201" s="29"/>
      <c r="CH201" s="29"/>
      <c r="CI201" s="29"/>
      <c r="CJ201" s="29"/>
      <c r="CK201" s="29"/>
      <c r="CL201" s="29"/>
      <c r="CM201" s="29"/>
      <c r="CN201" s="29"/>
      <c r="CO201" s="29"/>
      <c r="CP201" s="29"/>
      <c r="CQ201" s="29"/>
      <c r="CR201" s="29"/>
      <c r="CS201" s="29"/>
      <c r="CT201" s="29"/>
      <c r="CU201" s="29"/>
      <c r="CV201" s="29"/>
      <c r="CW201" s="29"/>
      <c r="CX201" s="29"/>
      <c r="CY201" s="29"/>
      <c r="CZ201" s="29"/>
      <c r="DA201" s="29"/>
      <c r="DB201" s="29"/>
      <c r="DC201" s="29"/>
      <c r="DD201" s="29"/>
      <c r="DE201" s="29"/>
      <c r="DF201" s="29"/>
      <c r="DG201" s="29"/>
      <c r="DH201" s="29"/>
      <c r="DI201" s="29"/>
      <c r="DJ201" s="29"/>
      <c r="DK201" s="29"/>
      <c r="DL201" s="29"/>
      <c r="DM201" s="29"/>
      <c r="DN201" s="29"/>
      <c r="DO201" s="29"/>
      <c r="DP201" s="29"/>
      <c r="DQ201" s="29"/>
      <c r="DR201" s="29"/>
      <c r="DS201" s="29"/>
      <c r="DT201" s="29"/>
      <c r="DU201" s="29"/>
      <c r="DV201" s="29"/>
      <c r="DW201" s="29"/>
      <c r="DX201" s="29"/>
      <c r="DY201" s="29"/>
      <c r="DZ201" s="29"/>
      <c r="EA201" s="29"/>
      <c r="EB201" s="29"/>
      <c r="EC201" s="29"/>
      <c r="ED201" s="29"/>
      <c r="EE201" s="29"/>
      <c r="EF201" s="29"/>
      <c r="EG201" s="29"/>
      <c r="EH201" s="29"/>
      <c r="EI201" s="29"/>
      <c r="EJ201" s="29"/>
      <c r="EK201" s="29"/>
      <c r="EL201" s="29"/>
      <c r="EM201" s="29"/>
      <c r="EN201" s="29"/>
      <c r="EO201" s="29"/>
      <c r="EP201" s="29"/>
      <c r="EQ201" s="29"/>
      <c r="ER201" s="29"/>
      <c r="ES201" s="29"/>
      <c r="ET201" s="29"/>
      <c r="EU201" s="29"/>
      <c r="EV201" s="29"/>
      <c r="EW201" s="29"/>
      <c r="EX201" s="29"/>
      <c r="EY201" s="29"/>
      <c r="EZ201" s="29"/>
      <c r="FA201" s="29"/>
      <c r="FB201" s="29"/>
      <c r="FC201" s="29"/>
      <c r="FD201" s="29"/>
      <c r="FE201" s="29"/>
      <c r="FF201" s="29"/>
      <c r="FG201" s="29"/>
      <c r="FH201" s="29"/>
      <c r="FI201" s="29"/>
      <c r="FJ201" s="29"/>
      <c r="FK201" s="29"/>
      <c r="FL201" s="29"/>
      <c r="FM201" s="29"/>
      <c r="FN201" s="29"/>
      <c r="FO201" s="29"/>
      <c r="FP201" s="29"/>
      <c r="FQ201" s="29"/>
      <c r="FR201" s="29"/>
      <c r="FS201" s="29"/>
      <c r="FT201" s="29"/>
      <c r="FU201" s="29"/>
      <c r="FV201" s="29"/>
      <c r="FW201" s="29"/>
      <c r="FX201" s="29"/>
      <c r="FY201" s="29"/>
      <c r="FZ201" s="29"/>
      <c r="GA201" s="29"/>
      <c r="GB201" s="29"/>
      <c r="GC201" s="29"/>
      <c r="GD201" s="29"/>
      <c r="GE201" s="29"/>
      <c r="GF201" s="29"/>
      <c r="GG201" s="29"/>
      <c r="GH201" s="29"/>
      <c r="GI201" s="29"/>
      <c r="GJ201" s="29"/>
      <c r="GK201" s="29"/>
      <c r="GL201" s="29"/>
      <c r="GM201" s="29"/>
      <c r="GN201" s="29"/>
      <c r="GO201" s="29"/>
      <c r="GP201" s="29"/>
      <c r="GQ201" s="29"/>
      <c r="GR201" s="29"/>
      <c r="GS201" s="29"/>
      <c r="GT201" s="29"/>
      <c r="GU201" s="29"/>
      <c r="GV201" s="29"/>
      <c r="GW201" s="29"/>
      <c r="GX201" s="29"/>
      <c r="GY201" s="29"/>
      <c r="GZ201" s="29"/>
      <c r="HA201" s="29"/>
      <c r="HB201" s="29"/>
      <c r="HC201" s="29"/>
      <c r="HD201" s="29"/>
      <c r="HE201" s="29"/>
      <c r="HF201" s="29"/>
      <c r="HG201" s="29"/>
      <c r="HH201" s="29"/>
      <c r="HI201" s="29"/>
      <c r="HJ201" s="29"/>
      <c r="HK201" s="29"/>
      <c r="HL201" s="29"/>
      <c r="HM201" s="29"/>
      <c r="HN201" s="29"/>
      <c r="HO201" s="29"/>
      <c r="HP201" s="29"/>
      <c r="HQ201" s="29"/>
      <c r="HR201" s="29"/>
      <c r="HS201" s="29"/>
      <c r="HT201" s="29"/>
      <c r="HU201" s="29"/>
      <c r="HV201" s="29"/>
      <c r="HW201" s="29"/>
      <c r="HX201" s="29"/>
      <c r="HY201" s="29"/>
      <c r="HZ201" s="29"/>
      <c r="IA201" s="29"/>
      <c r="IB201" s="29"/>
      <c r="IC201" s="29"/>
      <c r="ID201" s="29"/>
      <c r="IE201" s="29"/>
      <c r="IF201" s="29"/>
      <c r="IG201" s="29"/>
      <c r="IH201" s="29"/>
      <c r="II201" s="29"/>
      <c r="IJ201" s="29"/>
      <c r="IK201" s="29"/>
      <c r="IL201" s="29"/>
      <c r="IM201" s="29"/>
      <c r="IN201" s="29"/>
      <c r="IO201" s="29"/>
      <c r="IP201" s="29"/>
      <c r="IQ201" s="29"/>
      <c r="IR201" s="29"/>
      <c r="IS201" s="29"/>
      <c r="IT201" s="29"/>
      <c r="IU201" s="29"/>
      <c r="IV201" s="29"/>
      <c r="IW201" s="29"/>
      <c r="IX201" s="29"/>
      <c r="IY201" s="29"/>
      <c r="IZ201" s="29"/>
      <c r="JA201" s="29"/>
      <c r="JB201" s="29"/>
      <c r="JC201" s="29"/>
      <c r="JD201" s="29"/>
      <c r="JE201" s="29"/>
      <c r="JF201" s="29"/>
      <c r="JG201" s="29"/>
      <c r="JH201" s="29"/>
      <c r="JI201" s="29"/>
      <c r="JJ201" s="29"/>
      <c r="JK201" s="29"/>
      <c r="JL201" s="29"/>
      <c r="JM201" s="29"/>
      <c r="JN201" s="29"/>
      <c r="JO201" s="29"/>
      <c r="JP201" s="29"/>
      <c r="JQ201" s="29"/>
      <c r="JR201" s="29"/>
      <c r="JS201" s="29"/>
      <c r="JT201" s="29"/>
      <c r="JU201" s="29"/>
      <c r="JV201" s="29"/>
      <c r="JW201" s="29"/>
      <c r="JX201" s="29"/>
      <c r="JY201" s="29"/>
      <c r="JZ201" s="29"/>
      <c r="KA201" s="29"/>
      <c r="KB201" s="29"/>
      <c r="KC201" s="29"/>
      <c r="KD201" s="29"/>
      <c r="KE201" s="29"/>
      <c r="KF201" s="29"/>
      <c r="KG201" s="29"/>
      <c r="KH201" s="29"/>
      <c r="KI201" s="29"/>
      <c r="KJ201" s="29"/>
      <c r="KK201" s="29"/>
      <c r="KL201" s="29"/>
      <c r="KM201" s="29"/>
      <c r="KN201" s="29"/>
      <c r="KO201" s="29"/>
      <c r="KP201" s="29"/>
      <c r="KQ201" s="29"/>
      <c r="KR201" s="29"/>
      <c r="KS201" s="29"/>
      <c r="KT201" s="29"/>
      <c r="KU201" s="29"/>
      <c r="KV201" s="29"/>
      <c r="KW201" s="29"/>
      <c r="KX201" s="29"/>
      <c r="KY201" s="29"/>
      <c r="KZ201" s="29"/>
      <c r="LA201" s="29"/>
      <c r="LB201" s="29"/>
      <c r="LC201" s="29"/>
      <c r="LD201" s="29"/>
      <c r="LE201" s="29"/>
      <c r="LF201" s="29"/>
      <c r="LG201" s="29"/>
      <c r="LH201" s="29"/>
      <c r="LI201" s="29"/>
      <c r="LJ201" s="29"/>
      <c r="LK201" s="29"/>
      <c r="LL201" s="29"/>
      <c r="LM201" s="29"/>
      <c r="LN201" s="29"/>
      <c r="LO201" s="29"/>
      <c r="LP201" s="29"/>
      <c r="LQ201" s="29"/>
      <c r="LR201" s="29"/>
      <c r="LS201" s="29"/>
      <c r="LT201" s="29"/>
      <c r="LU201" s="29"/>
      <c r="LV201" s="29"/>
      <c r="LW201" s="29"/>
      <c r="LX201" s="29"/>
      <c r="LY201" s="29"/>
      <c r="LZ201" s="29"/>
      <c r="MA201" s="29"/>
      <c r="MB201" s="29"/>
      <c r="MC201" s="29"/>
      <c r="MD201" s="29"/>
      <c r="ME201" s="29"/>
      <c r="MF201" s="29"/>
      <c r="MG201" s="29"/>
      <c r="MH201" s="29"/>
      <c r="MI201" s="29"/>
      <c r="MJ201" s="29"/>
      <c r="MK201" s="29"/>
      <c r="ML201" s="29"/>
      <c r="MM201" s="29"/>
      <c r="MN201" s="29"/>
      <c r="MO201" s="29"/>
      <c r="MP201" s="29"/>
      <c r="MQ201" s="29"/>
      <c r="MR201" s="29"/>
      <c r="MS201" s="29"/>
      <c r="MT201" s="29"/>
      <c r="MU201" s="29"/>
      <c r="MV201" s="29"/>
      <c r="MW201" s="29"/>
      <c r="MX201" s="29"/>
      <c r="MY201" s="29"/>
      <c r="MZ201" s="29"/>
      <c r="NA201" s="29"/>
      <c r="NB201" s="29"/>
      <c r="NC201" s="29"/>
      <c r="ND201" s="29"/>
      <c r="NE201" s="29"/>
      <c r="NF201" s="29"/>
      <c r="NG201" s="29"/>
      <c r="NH201" s="29"/>
      <c r="NI201" s="29"/>
      <c r="NJ201" s="29"/>
      <c r="NK201" s="29"/>
      <c r="NL201" s="29"/>
      <c r="NM201" s="29"/>
      <c r="NN201" s="29"/>
      <c r="NO201" s="29"/>
      <c r="NP201" s="29"/>
      <c r="NQ201" s="29"/>
      <c r="NR201" s="29"/>
      <c r="NS201" s="29"/>
      <c r="NT201" s="29"/>
      <c r="NU201" s="29"/>
      <c r="NV201" s="29"/>
      <c r="NW201" s="29"/>
      <c r="NX201" s="29"/>
      <c r="NY201" s="29"/>
      <c r="NZ201" s="29"/>
      <c r="OA201" s="29"/>
      <c r="OB201" s="29"/>
      <c r="OC201" s="29"/>
      <c r="OD201" s="29"/>
      <c r="OE201" s="29"/>
      <c r="OF201" s="29"/>
      <c r="OG201" s="29"/>
      <c r="OH201" s="29"/>
      <c r="OI201" s="29"/>
      <c r="OJ201" s="29"/>
      <c r="OK201" s="29"/>
      <c r="OL201" s="29"/>
      <c r="OM201" s="29"/>
      <c r="ON201" s="29"/>
      <c r="OO201" s="29"/>
      <c r="OP201" s="29"/>
      <c r="OQ201" s="29"/>
      <c r="OR201" s="29"/>
      <c r="OS201" s="29"/>
      <c r="OT201" s="29"/>
      <c r="OU201" s="29"/>
      <c r="OV201" s="29"/>
      <c r="OW201" s="29"/>
      <c r="OX201" s="29"/>
      <c r="OY201" s="29"/>
      <c r="OZ201" s="29"/>
      <c r="PA201" s="29"/>
      <c r="PB201" s="29"/>
      <c r="PC201" s="29"/>
      <c r="PD201" s="29"/>
      <c r="PE201" s="29"/>
      <c r="PF201" s="29"/>
      <c r="PG201" s="29"/>
      <c r="PH201" s="29"/>
      <c r="PI201" s="29"/>
      <c r="PJ201" s="29"/>
      <c r="PK201" s="29"/>
      <c r="PL201" s="29"/>
      <c r="PM201" s="29"/>
      <c r="PN201" s="29"/>
      <c r="PO201" s="29"/>
      <c r="PP201" s="29"/>
      <c r="PQ201" s="29"/>
      <c r="PR201" s="29"/>
      <c r="PS201" s="29"/>
      <c r="PT201" s="29"/>
      <c r="PU201" s="29"/>
      <c r="PV201" s="29"/>
      <c r="PW201" s="29"/>
      <c r="PX201" s="29"/>
      <c r="PY201" s="29"/>
      <c r="PZ201" s="29"/>
      <c r="QA201" s="29"/>
      <c r="QB201" s="29"/>
      <c r="QC201" s="29"/>
      <c r="QD201" s="29"/>
      <c r="QE201" s="29"/>
      <c r="QF201" s="29"/>
      <c r="QG201" s="29"/>
      <c r="QH201" s="29"/>
      <c r="QI201" s="29"/>
      <c r="QJ201" s="29"/>
      <c r="QK201" s="29"/>
      <c r="QL201" s="29"/>
      <c r="QM201" s="29"/>
      <c r="QN201" s="29"/>
      <c r="QO201" s="29"/>
      <c r="QP201" s="29"/>
      <c r="QQ201" s="29"/>
      <c r="QR201" s="29"/>
      <c r="QS201" s="29"/>
      <c r="QT201" s="29"/>
      <c r="QU201" s="29"/>
      <c r="QV201" s="29"/>
      <c r="QW201" s="29"/>
      <c r="QX201" s="29"/>
      <c r="QY201" s="29"/>
      <c r="QZ201" s="29"/>
      <c r="RA201" s="29"/>
      <c r="RB201" s="29"/>
      <c r="RC201" s="29"/>
      <c r="RD201" s="29"/>
      <c r="RE201" s="29"/>
      <c r="RF201" s="29"/>
      <c r="RG201" s="29"/>
      <c r="RH201" s="29"/>
      <c r="RI201" s="29"/>
      <c r="RJ201" s="29"/>
      <c r="RK201" s="29"/>
      <c r="RL201" s="29"/>
      <c r="RM201" s="29"/>
      <c r="RN201" s="29"/>
      <c r="RO201" s="29"/>
      <c r="RP201" s="29"/>
      <c r="RQ201" s="29"/>
      <c r="RR201" s="29"/>
      <c r="RS201" s="29"/>
      <c r="RT201" s="29"/>
      <c r="RU201" s="29"/>
      <c r="RV201" s="29"/>
      <c r="RW201" s="29"/>
      <c r="RX201" s="29"/>
      <c r="RY201" s="29"/>
      <c r="RZ201" s="29"/>
      <c r="SA201" s="29"/>
      <c r="SB201" s="29"/>
      <c r="SC201" s="29"/>
      <c r="SD201" s="29"/>
      <c r="SE201" s="29"/>
      <c r="SF201" s="29"/>
      <c r="SG201" s="29"/>
      <c r="SH201" s="29"/>
      <c r="SI201" s="29"/>
      <c r="SJ201" s="29"/>
      <c r="SK201" s="29"/>
      <c r="SL201" s="29"/>
      <c r="SM201" s="29"/>
      <c r="SN201" s="29"/>
      <c r="SO201" s="29"/>
      <c r="SP201" s="29"/>
      <c r="SQ201" s="29"/>
      <c r="SR201" s="29"/>
      <c r="SS201" s="29"/>
      <c r="ST201" s="29"/>
      <c r="SU201" s="29"/>
      <c r="SV201" s="29"/>
      <c r="SW201" s="29"/>
      <c r="SX201" s="29"/>
      <c r="SY201" s="29"/>
      <c r="SZ201" s="29"/>
      <c r="TA201" s="29"/>
      <c r="TB201" s="29"/>
      <c r="TC201" s="29"/>
      <c r="TD201" s="29"/>
      <c r="TE201" s="29"/>
      <c r="TF201" s="29"/>
      <c r="TG201" s="29"/>
      <c r="TH201" s="29"/>
      <c r="TI201" s="29"/>
      <c r="TJ201" s="29"/>
      <c r="TK201" s="29"/>
      <c r="TL201" s="29"/>
      <c r="TM201" s="29"/>
      <c r="TN201" s="29"/>
      <c r="TO201" s="29"/>
      <c r="TP201" s="29"/>
      <c r="TQ201" s="29"/>
      <c r="TR201" s="29"/>
      <c r="TS201" s="29"/>
      <c r="TT201" s="29"/>
      <c r="TU201" s="29"/>
      <c r="TV201" s="29"/>
      <c r="TW201" s="29"/>
      <c r="TX201" s="29"/>
      <c r="TY201" s="29"/>
      <c r="TZ201" s="29"/>
      <c r="UA201" s="29"/>
      <c r="UB201" s="29"/>
      <c r="UC201" s="29"/>
      <c r="UD201" s="29"/>
      <c r="UE201" s="29"/>
      <c r="UF201" s="29"/>
      <c r="UG201" s="29"/>
      <c r="UH201" s="29"/>
      <c r="UI201" s="29"/>
      <c r="UJ201" s="29"/>
      <c r="UK201" s="29"/>
      <c r="UL201" s="29"/>
      <c r="UM201" s="29"/>
      <c r="UN201" s="29"/>
      <c r="UO201" s="29"/>
      <c r="UP201" s="29"/>
      <c r="UQ201" s="29"/>
      <c r="UR201" s="29"/>
      <c r="US201" s="29"/>
      <c r="UT201" s="29"/>
      <c r="UU201" s="29"/>
      <c r="UV201" s="29"/>
      <c r="UW201" s="29"/>
      <c r="UX201" s="29"/>
      <c r="UY201" s="29"/>
      <c r="UZ201" s="29"/>
      <c r="VA201" s="29"/>
      <c r="VB201" s="29"/>
      <c r="VC201" s="29"/>
      <c r="VD201" s="29"/>
      <c r="VE201" s="29"/>
      <c r="VF201" s="29"/>
      <c r="VG201" s="29"/>
      <c r="VH201" s="29"/>
      <c r="VI201" s="29"/>
      <c r="VJ201" s="29"/>
      <c r="VK201" s="29"/>
      <c r="VL201" s="29"/>
      <c r="VM201" s="29"/>
      <c r="VN201" s="29"/>
      <c r="VO201" s="29"/>
      <c r="VP201" s="29"/>
      <c r="VQ201" s="29"/>
      <c r="VR201" s="29"/>
      <c r="VS201" s="29"/>
      <c r="VT201" s="29"/>
      <c r="VU201" s="29"/>
      <c r="VV201" s="29"/>
      <c r="VW201" s="29"/>
      <c r="VX201" s="29"/>
      <c r="VY201" s="29"/>
      <c r="VZ201" s="29"/>
      <c r="WA201" s="29"/>
      <c r="WB201" s="29"/>
      <c r="WC201" s="29"/>
      <c r="WD201" s="29"/>
      <c r="WE201" s="29"/>
      <c r="WF201" s="29"/>
      <c r="WG201" s="29"/>
      <c r="WH201" s="29"/>
      <c r="WI201" s="29"/>
      <c r="WJ201" s="29"/>
      <c r="WK201" s="29"/>
      <c r="WL201" s="29"/>
      <c r="WM201" s="29"/>
      <c r="WN201" s="29"/>
      <c r="WO201" s="29"/>
      <c r="WP201" s="29"/>
      <c r="WQ201" s="29"/>
      <c r="WR201" s="29"/>
      <c r="WS201" s="29"/>
    </row>
    <row r="202" spans="1:617" s="3" customFormat="1" ht="15" outlineLevel="1" thickBot="1" x14ac:dyDescent="0.4">
      <c r="A202" s="33"/>
      <c r="B202" s="85"/>
      <c r="C202" s="145"/>
      <c r="D202" s="123">
        <f>E201</f>
        <v>46315</v>
      </c>
      <c r="E202" s="123">
        <f>D202+G202</f>
        <v>46368</v>
      </c>
      <c r="F202" s="14"/>
      <c r="G202" s="14">
        <v>53</v>
      </c>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c r="BN202" s="29"/>
      <c r="BO202" s="29"/>
      <c r="BP202" s="29"/>
      <c r="BQ202" s="29"/>
      <c r="BR202" s="29"/>
      <c r="BS202" s="29"/>
      <c r="BT202" s="29"/>
      <c r="BU202" s="29"/>
      <c r="BV202" s="29"/>
      <c r="BW202" s="29"/>
      <c r="BX202" s="29"/>
      <c r="BY202" s="29"/>
      <c r="BZ202" s="29"/>
      <c r="CA202" s="29"/>
      <c r="CB202" s="29"/>
      <c r="CC202" s="29"/>
      <c r="CD202" s="29"/>
      <c r="CE202" s="29"/>
      <c r="CF202" s="29"/>
      <c r="CG202" s="29"/>
      <c r="CH202" s="29"/>
      <c r="CI202" s="29"/>
      <c r="CJ202" s="29"/>
      <c r="CK202" s="29"/>
      <c r="CL202" s="29"/>
      <c r="CM202" s="29"/>
      <c r="CN202" s="29"/>
      <c r="CO202" s="29"/>
      <c r="CP202" s="29"/>
      <c r="CQ202" s="29"/>
      <c r="CR202" s="29"/>
      <c r="CS202" s="29"/>
      <c r="CT202" s="29"/>
      <c r="CU202" s="29"/>
      <c r="CV202" s="29"/>
      <c r="CW202" s="29"/>
      <c r="CX202" s="29"/>
      <c r="CY202" s="29"/>
      <c r="CZ202" s="29"/>
      <c r="DA202" s="29"/>
      <c r="DB202" s="29"/>
      <c r="DC202" s="29"/>
      <c r="DD202" s="29"/>
      <c r="DE202" s="29"/>
      <c r="DF202" s="29"/>
      <c r="DG202" s="29"/>
      <c r="DH202" s="29"/>
      <c r="DI202" s="29"/>
      <c r="DJ202" s="29"/>
      <c r="DK202" s="29"/>
      <c r="DL202" s="29"/>
      <c r="DM202" s="29"/>
      <c r="DN202" s="29"/>
      <c r="DO202" s="29"/>
      <c r="DP202" s="29"/>
      <c r="DQ202" s="29"/>
      <c r="DR202" s="29"/>
      <c r="DS202" s="29"/>
      <c r="DT202" s="29"/>
      <c r="DU202" s="29"/>
      <c r="DV202" s="29"/>
      <c r="DW202" s="29"/>
      <c r="DX202" s="29"/>
      <c r="DY202" s="29"/>
      <c r="DZ202" s="29"/>
      <c r="EA202" s="29"/>
      <c r="EB202" s="29"/>
      <c r="EC202" s="29"/>
      <c r="ED202" s="29"/>
      <c r="EE202" s="29"/>
      <c r="EF202" s="29"/>
      <c r="EG202" s="29"/>
      <c r="EH202" s="29"/>
      <c r="EI202" s="29"/>
      <c r="EJ202" s="29"/>
      <c r="EK202" s="29"/>
      <c r="EL202" s="29"/>
      <c r="EM202" s="29"/>
      <c r="EN202" s="29"/>
      <c r="EO202" s="29"/>
      <c r="EP202" s="29"/>
      <c r="EQ202" s="29"/>
      <c r="ER202" s="29"/>
      <c r="ES202" s="29"/>
      <c r="ET202" s="29"/>
      <c r="EU202" s="29"/>
      <c r="EV202" s="29"/>
      <c r="EW202" s="29"/>
      <c r="EX202" s="29"/>
      <c r="EY202" s="29"/>
      <c r="EZ202" s="29"/>
      <c r="FA202" s="29"/>
      <c r="FB202" s="29"/>
      <c r="FC202" s="29"/>
      <c r="FD202" s="29"/>
      <c r="FE202" s="29"/>
      <c r="FF202" s="29"/>
      <c r="FG202" s="29"/>
      <c r="FH202" s="29"/>
      <c r="FI202" s="29"/>
      <c r="FJ202" s="29"/>
      <c r="FK202" s="29"/>
      <c r="FL202" s="29"/>
      <c r="FM202" s="29"/>
      <c r="FN202" s="29"/>
      <c r="FO202" s="29"/>
      <c r="FP202" s="29"/>
      <c r="FQ202" s="29"/>
      <c r="FR202" s="29"/>
      <c r="FS202" s="29"/>
      <c r="FT202" s="29"/>
      <c r="FU202" s="29"/>
      <c r="FV202" s="29"/>
      <c r="FW202" s="29"/>
      <c r="FX202" s="29"/>
      <c r="FY202" s="29"/>
      <c r="FZ202" s="29"/>
      <c r="GA202" s="29"/>
      <c r="GB202" s="29"/>
      <c r="GC202" s="29"/>
      <c r="GD202" s="29"/>
      <c r="GE202" s="29"/>
      <c r="GF202" s="29"/>
      <c r="GG202" s="29"/>
      <c r="GH202" s="29"/>
      <c r="GI202" s="29"/>
      <c r="GJ202" s="29"/>
      <c r="GK202" s="29"/>
      <c r="GL202" s="29"/>
      <c r="GM202" s="29"/>
      <c r="GN202" s="29"/>
      <c r="GO202" s="29"/>
      <c r="GP202" s="29"/>
      <c r="GQ202" s="29"/>
      <c r="GR202" s="29"/>
      <c r="GS202" s="29"/>
      <c r="GT202" s="29"/>
      <c r="GU202" s="29"/>
      <c r="GV202" s="29"/>
      <c r="GW202" s="29"/>
      <c r="GX202" s="29"/>
      <c r="GY202" s="29"/>
      <c r="GZ202" s="29"/>
      <c r="HA202" s="29"/>
      <c r="HB202" s="29"/>
      <c r="HC202" s="29"/>
      <c r="HD202" s="29"/>
      <c r="HE202" s="29"/>
      <c r="HF202" s="29"/>
      <c r="HG202" s="29"/>
      <c r="HH202" s="29"/>
      <c r="HI202" s="29"/>
      <c r="HJ202" s="29"/>
      <c r="HK202" s="29"/>
      <c r="HL202" s="29"/>
      <c r="HM202" s="29"/>
      <c r="HN202" s="29"/>
      <c r="HO202" s="29"/>
      <c r="HP202" s="29"/>
      <c r="HQ202" s="29"/>
      <c r="HR202" s="29"/>
      <c r="HS202" s="29"/>
      <c r="HT202" s="29"/>
      <c r="HU202" s="29"/>
      <c r="HV202" s="29"/>
      <c r="HW202" s="29"/>
      <c r="HX202" s="29"/>
      <c r="HY202" s="29"/>
      <c r="HZ202" s="29"/>
      <c r="IA202" s="29"/>
      <c r="IB202" s="29"/>
      <c r="IC202" s="29"/>
      <c r="ID202" s="29"/>
      <c r="IE202" s="29"/>
      <c r="IF202" s="29"/>
      <c r="IG202" s="29"/>
      <c r="IH202" s="29"/>
      <c r="II202" s="29"/>
      <c r="IJ202" s="29"/>
      <c r="IK202" s="29"/>
      <c r="IL202" s="29"/>
      <c r="IM202" s="29"/>
      <c r="IN202" s="29"/>
      <c r="IO202" s="29"/>
      <c r="IP202" s="29"/>
      <c r="IQ202" s="29"/>
      <c r="IR202" s="29"/>
      <c r="IS202" s="29"/>
      <c r="IT202" s="29"/>
      <c r="IU202" s="29"/>
      <c r="IV202" s="29"/>
      <c r="IW202" s="29"/>
      <c r="IX202" s="29"/>
      <c r="IY202" s="29"/>
      <c r="IZ202" s="29"/>
      <c r="JA202" s="29"/>
      <c r="JB202" s="29"/>
      <c r="JC202" s="29"/>
      <c r="JD202" s="29"/>
      <c r="JE202" s="29"/>
      <c r="JF202" s="29"/>
      <c r="JG202" s="29"/>
      <c r="JH202" s="29"/>
      <c r="JI202" s="29"/>
      <c r="JJ202" s="29"/>
      <c r="JK202" s="29"/>
      <c r="JL202" s="29"/>
      <c r="JM202" s="29"/>
      <c r="JN202" s="29"/>
      <c r="JO202" s="29"/>
      <c r="JP202" s="29"/>
      <c r="JQ202" s="29"/>
      <c r="JR202" s="29"/>
      <c r="JS202" s="29"/>
      <c r="JT202" s="29"/>
      <c r="JU202" s="29"/>
      <c r="JV202" s="29"/>
      <c r="JW202" s="29"/>
      <c r="JX202" s="29"/>
      <c r="JY202" s="29"/>
      <c r="JZ202" s="29"/>
      <c r="KA202" s="29"/>
      <c r="KB202" s="29"/>
      <c r="KC202" s="29"/>
      <c r="KD202" s="29"/>
      <c r="KE202" s="29"/>
      <c r="KF202" s="29"/>
      <c r="KG202" s="29"/>
      <c r="KH202" s="29"/>
      <c r="KI202" s="29"/>
      <c r="KJ202" s="29"/>
      <c r="KK202" s="29"/>
      <c r="KL202" s="29"/>
      <c r="KM202" s="29"/>
      <c r="KN202" s="29"/>
      <c r="KO202" s="29"/>
      <c r="KP202" s="29"/>
      <c r="KQ202" s="29"/>
      <c r="KR202" s="29"/>
      <c r="KS202" s="29"/>
      <c r="KT202" s="29"/>
      <c r="KU202" s="29"/>
      <c r="KV202" s="29"/>
      <c r="KW202" s="29"/>
      <c r="KX202" s="29"/>
      <c r="KY202" s="29"/>
      <c r="KZ202" s="29"/>
      <c r="LA202" s="29"/>
      <c r="LB202" s="29"/>
      <c r="LC202" s="29"/>
      <c r="LD202" s="29"/>
      <c r="LE202" s="29"/>
      <c r="LF202" s="29"/>
      <c r="LG202" s="29"/>
      <c r="LH202" s="29"/>
      <c r="LI202" s="29"/>
      <c r="LJ202" s="29"/>
      <c r="LK202" s="29"/>
      <c r="LL202" s="29"/>
      <c r="LM202" s="29"/>
      <c r="LN202" s="29"/>
      <c r="LO202" s="29"/>
      <c r="LP202" s="29"/>
      <c r="LQ202" s="29"/>
      <c r="LR202" s="29"/>
      <c r="LS202" s="29"/>
      <c r="LT202" s="29"/>
      <c r="LU202" s="29"/>
      <c r="LV202" s="29"/>
      <c r="LW202" s="29"/>
      <c r="LX202" s="29"/>
      <c r="LY202" s="29"/>
      <c r="LZ202" s="29"/>
      <c r="MA202" s="29"/>
      <c r="MB202" s="29"/>
      <c r="MC202" s="29"/>
      <c r="MD202" s="29"/>
      <c r="ME202" s="29"/>
      <c r="MF202" s="29"/>
      <c r="MG202" s="29"/>
      <c r="MH202" s="29"/>
      <c r="MI202" s="29"/>
      <c r="MJ202" s="29"/>
      <c r="MK202" s="29"/>
      <c r="ML202" s="29"/>
      <c r="MM202" s="29"/>
      <c r="MN202" s="29"/>
      <c r="MO202" s="29"/>
      <c r="MP202" s="29"/>
      <c r="MQ202" s="29"/>
      <c r="MR202" s="29"/>
      <c r="MS202" s="29"/>
      <c r="MT202" s="29"/>
      <c r="MU202" s="29"/>
      <c r="MV202" s="29"/>
      <c r="MW202" s="29"/>
      <c r="MX202" s="29"/>
      <c r="MY202" s="29"/>
      <c r="MZ202" s="29"/>
      <c r="NA202" s="29"/>
      <c r="NB202" s="29"/>
      <c r="NC202" s="29"/>
      <c r="ND202" s="29"/>
      <c r="NE202" s="29"/>
      <c r="NF202" s="29"/>
      <c r="NG202" s="29"/>
      <c r="NH202" s="29"/>
      <c r="NI202" s="29"/>
      <c r="NJ202" s="29"/>
      <c r="NK202" s="29"/>
      <c r="NL202" s="29"/>
      <c r="NM202" s="29"/>
      <c r="NN202" s="29"/>
      <c r="NO202" s="29"/>
      <c r="NP202" s="29"/>
      <c r="NQ202" s="29"/>
      <c r="NR202" s="29"/>
      <c r="NS202" s="29"/>
      <c r="NT202" s="29"/>
      <c r="NU202" s="29"/>
      <c r="NV202" s="29"/>
      <c r="NW202" s="29"/>
      <c r="NX202" s="29"/>
      <c r="NY202" s="29"/>
      <c r="NZ202" s="29"/>
      <c r="OA202" s="29"/>
      <c r="OB202" s="29"/>
      <c r="OC202" s="29"/>
      <c r="OD202" s="29"/>
      <c r="OE202" s="29"/>
      <c r="OF202" s="29"/>
      <c r="OG202" s="29"/>
      <c r="OH202" s="29"/>
      <c r="OI202" s="29"/>
      <c r="OJ202" s="29"/>
      <c r="OK202" s="29"/>
      <c r="OL202" s="29"/>
      <c r="OM202" s="29"/>
      <c r="ON202" s="29"/>
      <c r="OO202" s="29"/>
      <c r="OP202" s="29"/>
      <c r="OQ202" s="29"/>
      <c r="OR202" s="29"/>
      <c r="OS202" s="29"/>
      <c r="OT202" s="29"/>
      <c r="OU202" s="29"/>
      <c r="OV202" s="29"/>
      <c r="OW202" s="29"/>
      <c r="OX202" s="29"/>
      <c r="OY202" s="29"/>
      <c r="OZ202" s="29"/>
      <c r="PA202" s="29"/>
      <c r="PB202" s="29"/>
      <c r="PC202" s="29"/>
      <c r="PD202" s="29"/>
      <c r="PE202" s="29"/>
      <c r="PF202" s="29"/>
      <c r="PG202" s="29"/>
      <c r="PH202" s="29"/>
      <c r="PI202" s="29"/>
      <c r="PJ202" s="29"/>
      <c r="PK202" s="29"/>
      <c r="PL202" s="29"/>
      <c r="PM202" s="29"/>
      <c r="PN202" s="29"/>
      <c r="PO202" s="29"/>
      <c r="PP202" s="29"/>
      <c r="PQ202" s="29"/>
      <c r="PR202" s="29"/>
      <c r="PS202" s="29"/>
      <c r="PT202" s="29"/>
      <c r="PU202" s="29"/>
      <c r="PV202" s="29"/>
      <c r="PW202" s="29"/>
      <c r="PX202" s="29"/>
      <c r="PY202" s="29"/>
      <c r="PZ202" s="29"/>
      <c r="QA202" s="29"/>
      <c r="QB202" s="29"/>
      <c r="QC202" s="29"/>
      <c r="QD202" s="29"/>
      <c r="QE202" s="29"/>
      <c r="QF202" s="29"/>
      <c r="QG202" s="29"/>
      <c r="QH202" s="29"/>
      <c r="QI202" s="29"/>
      <c r="QJ202" s="29"/>
      <c r="QK202" s="29"/>
      <c r="QL202" s="29"/>
      <c r="QM202" s="29"/>
      <c r="QN202" s="29"/>
      <c r="QO202" s="29"/>
      <c r="QP202" s="29"/>
      <c r="QQ202" s="29"/>
      <c r="QR202" s="29"/>
      <c r="QS202" s="29"/>
      <c r="QT202" s="29"/>
      <c r="QU202" s="29"/>
      <c r="QV202" s="29"/>
      <c r="QW202" s="29"/>
      <c r="QX202" s="29"/>
      <c r="QY202" s="29"/>
      <c r="QZ202" s="29"/>
      <c r="RA202" s="29"/>
      <c r="RB202" s="29"/>
      <c r="RC202" s="29"/>
      <c r="RD202" s="29"/>
      <c r="RE202" s="29"/>
      <c r="RF202" s="29"/>
      <c r="RG202" s="29"/>
      <c r="RH202" s="29"/>
      <c r="RI202" s="29"/>
      <c r="RJ202" s="29"/>
      <c r="RK202" s="29"/>
      <c r="RL202" s="29"/>
      <c r="RM202" s="29"/>
      <c r="RN202" s="29"/>
      <c r="RO202" s="29"/>
      <c r="RP202" s="29"/>
      <c r="RQ202" s="29"/>
      <c r="RR202" s="29"/>
      <c r="RS202" s="29"/>
      <c r="RT202" s="29"/>
      <c r="RU202" s="29"/>
      <c r="RV202" s="29"/>
      <c r="RW202" s="29"/>
      <c r="RX202" s="29"/>
      <c r="RY202" s="29"/>
      <c r="RZ202" s="29"/>
      <c r="SA202" s="29"/>
      <c r="SB202" s="29"/>
      <c r="SC202" s="29"/>
      <c r="SD202" s="29"/>
      <c r="SE202" s="29"/>
      <c r="SF202" s="29"/>
      <c r="SG202" s="29"/>
      <c r="SH202" s="29"/>
      <c r="SI202" s="29"/>
      <c r="SJ202" s="29"/>
      <c r="SK202" s="29"/>
      <c r="SL202" s="29"/>
      <c r="SM202" s="29"/>
      <c r="SN202" s="29"/>
      <c r="SO202" s="29"/>
      <c r="SP202" s="29"/>
      <c r="SQ202" s="29"/>
      <c r="SR202" s="29"/>
      <c r="SS202" s="29"/>
      <c r="ST202" s="29"/>
      <c r="SU202" s="29"/>
      <c r="SV202" s="29"/>
      <c r="SW202" s="29"/>
      <c r="SX202" s="29"/>
      <c r="SY202" s="29"/>
      <c r="SZ202" s="29"/>
      <c r="TA202" s="29"/>
      <c r="TB202" s="29"/>
      <c r="TC202" s="29"/>
      <c r="TD202" s="29"/>
      <c r="TE202" s="29"/>
      <c r="TF202" s="29"/>
      <c r="TG202" s="29"/>
      <c r="TH202" s="29"/>
      <c r="TI202" s="29"/>
      <c r="TJ202" s="29"/>
      <c r="TK202" s="29"/>
      <c r="TL202" s="29"/>
      <c r="TM202" s="29"/>
      <c r="TN202" s="29"/>
      <c r="TO202" s="29"/>
      <c r="TP202" s="29"/>
      <c r="TQ202" s="29"/>
      <c r="TR202" s="29"/>
      <c r="TS202" s="29"/>
      <c r="TT202" s="29"/>
      <c r="TU202" s="29"/>
      <c r="TV202" s="29"/>
      <c r="TW202" s="29"/>
      <c r="TX202" s="29"/>
      <c r="TY202" s="29"/>
      <c r="TZ202" s="29"/>
      <c r="UA202" s="29"/>
      <c r="UB202" s="29"/>
      <c r="UC202" s="29"/>
      <c r="UD202" s="29"/>
      <c r="UE202" s="29"/>
      <c r="UF202" s="29"/>
      <c r="UG202" s="29"/>
      <c r="UH202" s="29"/>
      <c r="UI202" s="29"/>
      <c r="UJ202" s="29"/>
      <c r="UK202" s="29"/>
      <c r="UL202" s="29"/>
      <c r="UM202" s="29"/>
      <c r="UN202" s="29"/>
      <c r="UO202" s="29"/>
      <c r="UP202" s="29"/>
      <c r="UQ202" s="29"/>
      <c r="UR202" s="29"/>
      <c r="US202" s="29"/>
      <c r="UT202" s="29"/>
      <c r="UU202" s="29"/>
      <c r="UV202" s="29"/>
      <c r="UW202" s="29"/>
      <c r="UX202" s="29"/>
      <c r="UY202" s="29"/>
      <c r="UZ202" s="29"/>
      <c r="VA202" s="29"/>
      <c r="VB202" s="29"/>
      <c r="VC202" s="29"/>
      <c r="VD202" s="29"/>
      <c r="VE202" s="29"/>
      <c r="VF202" s="29"/>
      <c r="VG202" s="29"/>
      <c r="VH202" s="29"/>
      <c r="VI202" s="29"/>
      <c r="VJ202" s="29"/>
      <c r="VK202" s="29"/>
      <c r="VL202" s="29"/>
      <c r="VM202" s="29"/>
      <c r="VN202" s="29"/>
      <c r="VO202" s="29"/>
      <c r="VP202" s="29"/>
      <c r="VQ202" s="29"/>
      <c r="VR202" s="29"/>
      <c r="VS202" s="29"/>
      <c r="VT202" s="29"/>
      <c r="VU202" s="29"/>
      <c r="VV202" s="29"/>
      <c r="VW202" s="29"/>
      <c r="VX202" s="29"/>
      <c r="VY202" s="29"/>
      <c r="VZ202" s="29"/>
      <c r="WA202" s="29"/>
      <c r="WB202" s="29"/>
      <c r="WC202" s="29"/>
      <c r="WD202" s="29"/>
      <c r="WE202" s="29"/>
      <c r="WF202" s="29"/>
      <c r="WG202" s="29"/>
      <c r="WH202" s="29"/>
      <c r="WI202" s="29"/>
      <c r="WJ202" s="29"/>
      <c r="WK202" s="29"/>
      <c r="WL202" s="29"/>
      <c r="WM202" s="29"/>
      <c r="WN202" s="29"/>
      <c r="WO202" s="29"/>
      <c r="WP202" s="29"/>
      <c r="WQ202" s="29"/>
      <c r="WR202" s="29"/>
      <c r="WS202" s="29"/>
    </row>
    <row r="203" spans="1:617" s="3" customFormat="1" ht="15" outlineLevel="1" thickBot="1" x14ac:dyDescent="0.4">
      <c r="A203" s="33"/>
      <c r="B203" s="85"/>
      <c r="C203" s="145"/>
      <c r="D203" s="123">
        <f>E202</f>
        <v>46368</v>
      </c>
      <c r="E203" s="123">
        <f>D203+G203</f>
        <v>46421</v>
      </c>
      <c r="F203" s="14"/>
      <c r="G203" s="14">
        <v>53</v>
      </c>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c r="AU203" s="29"/>
      <c r="AV203" s="29"/>
      <c r="AW203" s="29"/>
      <c r="AX203" s="29"/>
      <c r="AY203" s="29"/>
      <c r="AZ203" s="29"/>
      <c r="BA203" s="29"/>
      <c r="BB203" s="29"/>
      <c r="BC203" s="29"/>
      <c r="BD203" s="29"/>
      <c r="BE203" s="29"/>
      <c r="BF203" s="29"/>
      <c r="BG203" s="29"/>
      <c r="BH203" s="29"/>
      <c r="BI203" s="29"/>
      <c r="BJ203" s="29"/>
      <c r="BK203" s="29"/>
      <c r="BL203" s="29"/>
      <c r="BM203" s="29"/>
      <c r="BN203" s="29"/>
      <c r="BO203" s="29"/>
      <c r="BP203" s="29"/>
      <c r="BQ203" s="29"/>
      <c r="BR203" s="29"/>
      <c r="BS203" s="29"/>
      <c r="BT203" s="29"/>
      <c r="BU203" s="29"/>
      <c r="BV203" s="29"/>
      <c r="BW203" s="29"/>
      <c r="BX203" s="29"/>
      <c r="BY203" s="29"/>
      <c r="BZ203" s="29"/>
      <c r="CA203" s="29"/>
      <c r="CB203" s="29"/>
      <c r="CC203" s="29"/>
      <c r="CD203" s="29"/>
      <c r="CE203" s="29"/>
      <c r="CF203" s="29"/>
      <c r="CG203" s="29"/>
      <c r="CH203" s="29"/>
      <c r="CI203" s="29"/>
      <c r="CJ203" s="29"/>
      <c r="CK203" s="29"/>
      <c r="CL203" s="29"/>
      <c r="CM203" s="29"/>
      <c r="CN203" s="29"/>
      <c r="CO203" s="29"/>
      <c r="CP203" s="29"/>
      <c r="CQ203" s="29"/>
      <c r="CR203" s="29"/>
      <c r="CS203" s="29"/>
      <c r="CT203" s="29"/>
      <c r="CU203" s="29"/>
      <c r="CV203" s="29"/>
      <c r="CW203" s="29"/>
      <c r="CX203" s="29"/>
      <c r="CY203" s="29"/>
      <c r="CZ203" s="29"/>
      <c r="DA203" s="29"/>
      <c r="DB203" s="29"/>
      <c r="DC203" s="29"/>
      <c r="DD203" s="29"/>
      <c r="DE203" s="29"/>
      <c r="DF203" s="29"/>
      <c r="DG203" s="29"/>
      <c r="DH203" s="29"/>
      <c r="DI203" s="29"/>
      <c r="DJ203" s="29"/>
      <c r="DK203" s="29"/>
      <c r="DL203" s="29"/>
      <c r="DM203" s="29"/>
      <c r="DN203" s="29"/>
      <c r="DO203" s="29"/>
      <c r="DP203" s="29"/>
      <c r="DQ203" s="29"/>
      <c r="DR203" s="29"/>
      <c r="DS203" s="29"/>
      <c r="DT203" s="29"/>
      <c r="DU203" s="29"/>
      <c r="DV203" s="29"/>
      <c r="DW203" s="29"/>
      <c r="DX203" s="29"/>
      <c r="DY203" s="29"/>
      <c r="DZ203" s="29"/>
      <c r="EA203" s="29"/>
      <c r="EB203" s="29"/>
      <c r="EC203" s="29"/>
      <c r="ED203" s="29"/>
      <c r="EE203" s="29"/>
      <c r="EF203" s="29"/>
      <c r="EG203" s="29"/>
      <c r="EH203" s="29"/>
      <c r="EI203" s="29"/>
      <c r="EJ203" s="29"/>
      <c r="EK203" s="29"/>
      <c r="EL203" s="29"/>
      <c r="EM203" s="29"/>
      <c r="EN203" s="29"/>
      <c r="EO203" s="29"/>
      <c r="EP203" s="29"/>
      <c r="EQ203" s="29"/>
      <c r="ER203" s="29"/>
      <c r="ES203" s="29"/>
      <c r="ET203" s="29"/>
      <c r="EU203" s="29"/>
      <c r="EV203" s="29"/>
      <c r="EW203" s="29"/>
      <c r="EX203" s="29"/>
      <c r="EY203" s="29"/>
      <c r="EZ203" s="29"/>
      <c r="FA203" s="29"/>
      <c r="FB203" s="29"/>
      <c r="FC203" s="29"/>
      <c r="FD203" s="29"/>
      <c r="FE203" s="29"/>
      <c r="FF203" s="29"/>
      <c r="FG203" s="29"/>
      <c r="FH203" s="29"/>
      <c r="FI203" s="29"/>
      <c r="FJ203" s="29"/>
      <c r="FK203" s="29"/>
      <c r="FL203" s="29"/>
      <c r="FM203" s="29"/>
      <c r="FN203" s="29"/>
      <c r="FO203" s="29"/>
      <c r="FP203" s="29"/>
      <c r="FQ203" s="29"/>
      <c r="FR203" s="29"/>
      <c r="FS203" s="29"/>
      <c r="FT203" s="29"/>
      <c r="FU203" s="29"/>
      <c r="FV203" s="29"/>
      <c r="FW203" s="29"/>
      <c r="FX203" s="29"/>
      <c r="FY203" s="29"/>
      <c r="FZ203" s="29"/>
      <c r="GA203" s="29"/>
      <c r="GB203" s="29"/>
      <c r="GC203" s="29"/>
      <c r="GD203" s="29"/>
      <c r="GE203" s="29"/>
      <c r="GF203" s="29"/>
      <c r="GG203" s="29"/>
      <c r="GH203" s="29"/>
      <c r="GI203" s="29"/>
      <c r="GJ203" s="29"/>
      <c r="GK203" s="29"/>
      <c r="GL203" s="29"/>
      <c r="GM203" s="29"/>
      <c r="GN203" s="29"/>
      <c r="GO203" s="29"/>
      <c r="GP203" s="29"/>
      <c r="GQ203" s="29"/>
      <c r="GR203" s="29"/>
      <c r="GS203" s="29"/>
      <c r="GT203" s="29"/>
      <c r="GU203" s="29"/>
      <c r="GV203" s="29"/>
      <c r="GW203" s="29"/>
      <c r="GX203" s="29"/>
      <c r="GY203" s="29"/>
      <c r="GZ203" s="29"/>
      <c r="HA203" s="29"/>
      <c r="HB203" s="29"/>
      <c r="HC203" s="29"/>
      <c r="HD203" s="29"/>
      <c r="HE203" s="29"/>
      <c r="HF203" s="29"/>
      <c r="HG203" s="29"/>
      <c r="HH203" s="29"/>
      <c r="HI203" s="29"/>
      <c r="HJ203" s="29"/>
      <c r="HK203" s="29"/>
      <c r="HL203" s="29"/>
      <c r="HM203" s="29"/>
      <c r="HN203" s="29"/>
      <c r="HO203" s="29"/>
      <c r="HP203" s="29"/>
      <c r="HQ203" s="29"/>
      <c r="HR203" s="29"/>
      <c r="HS203" s="29"/>
      <c r="HT203" s="29"/>
      <c r="HU203" s="29"/>
      <c r="HV203" s="29"/>
      <c r="HW203" s="29"/>
      <c r="HX203" s="29"/>
      <c r="HY203" s="29"/>
      <c r="HZ203" s="29"/>
      <c r="IA203" s="29"/>
      <c r="IB203" s="29"/>
      <c r="IC203" s="29"/>
      <c r="ID203" s="29"/>
      <c r="IE203" s="29"/>
      <c r="IF203" s="29"/>
      <c r="IG203" s="29"/>
      <c r="IH203" s="29"/>
      <c r="II203" s="29"/>
      <c r="IJ203" s="29"/>
      <c r="IK203" s="29"/>
      <c r="IL203" s="29"/>
      <c r="IM203" s="29"/>
      <c r="IN203" s="29"/>
      <c r="IO203" s="29"/>
      <c r="IP203" s="29"/>
      <c r="IQ203" s="29"/>
      <c r="IR203" s="29"/>
      <c r="IS203" s="29"/>
      <c r="IT203" s="29"/>
      <c r="IU203" s="29"/>
      <c r="IV203" s="29"/>
      <c r="IW203" s="29"/>
      <c r="IX203" s="29"/>
      <c r="IY203" s="29"/>
      <c r="IZ203" s="29"/>
      <c r="JA203" s="29"/>
      <c r="JB203" s="29"/>
      <c r="JC203" s="29"/>
      <c r="JD203" s="29"/>
      <c r="JE203" s="29"/>
      <c r="JF203" s="29"/>
      <c r="JG203" s="29"/>
      <c r="JH203" s="29"/>
      <c r="JI203" s="29"/>
      <c r="JJ203" s="29"/>
      <c r="JK203" s="29"/>
      <c r="JL203" s="29"/>
      <c r="JM203" s="29"/>
      <c r="JN203" s="29"/>
      <c r="JO203" s="29"/>
      <c r="JP203" s="29"/>
      <c r="JQ203" s="29"/>
      <c r="JR203" s="29"/>
      <c r="JS203" s="29"/>
      <c r="JT203" s="29"/>
      <c r="JU203" s="29"/>
      <c r="JV203" s="29"/>
      <c r="JW203" s="29"/>
      <c r="JX203" s="29"/>
      <c r="JY203" s="29"/>
      <c r="JZ203" s="29"/>
      <c r="KA203" s="29"/>
      <c r="KB203" s="29"/>
      <c r="KC203" s="29"/>
      <c r="KD203" s="29"/>
      <c r="KE203" s="29"/>
      <c r="KF203" s="29"/>
      <c r="KG203" s="29"/>
      <c r="KH203" s="29"/>
      <c r="KI203" s="29"/>
      <c r="KJ203" s="29"/>
      <c r="KK203" s="29"/>
      <c r="KL203" s="29"/>
      <c r="KM203" s="29"/>
      <c r="KN203" s="29"/>
      <c r="KO203" s="29"/>
      <c r="KP203" s="29"/>
      <c r="KQ203" s="29"/>
      <c r="KR203" s="29"/>
      <c r="KS203" s="29"/>
      <c r="KT203" s="29"/>
      <c r="KU203" s="29"/>
      <c r="KV203" s="29"/>
      <c r="KW203" s="29"/>
      <c r="KX203" s="29"/>
      <c r="KY203" s="29"/>
      <c r="KZ203" s="29"/>
      <c r="LA203" s="29"/>
      <c r="LB203" s="29"/>
      <c r="LC203" s="29"/>
      <c r="LD203" s="29"/>
      <c r="LE203" s="29"/>
      <c r="LF203" s="29"/>
      <c r="LG203" s="29"/>
      <c r="LH203" s="29"/>
      <c r="LI203" s="29"/>
      <c r="LJ203" s="29"/>
      <c r="LK203" s="29"/>
      <c r="LL203" s="29"/>
      <c r="LM203" s="29"/>
      <c r="LN203" s="29"/>
      <c r="LO203" s="29"/>
      <c r="LP203" s="29"/>
      <c r="LQ203" s="29"/>
      <c r="LR203" s="29"/>
      <c r="LS203" s="29"/>
      <c r="LT203" s="29"/>
      <c r="LU203" s="29"/>
      <c r="LV203" s="29"/>
      <c r="LW203" s="29"/>
      <c r="LX203" s="29"/>
      <c r="LY203" s="29"/>
      <c r="LZ203" s="29"/>
      <c r="MA203" s="29"/>
      <c r="MB203" s="29"/>
      <c r="MC203" s="29"/>
      <c r="MD203" s="29"/>
      <c r="ME203" s="29"/>
      <c r="MF203" s="29"/>
      <c r="MG203" s="29"/>
      <c r="MH203" s="29"/>
      <c r="MI203" s="29"/>
      <c r="MJ203" s="29"/>
      <c r="MK203" s="29"/>
      <c r="ML203" s="29"/>
      <c r="MM203" s="29"/>
      <c r="MN203" s="29"/>
      <c r="MO203" s="29"/>
      <c r="MP203" s="29"/>
      <c r="MQ203" s="29"/>
      <c r="MR203" s="29"/>
      <c r="MS203" s="29"/>
      <c r="MT203" s="29"/>
      <c r="MU203" s="29"/>
      <c r="MV203" s="29"/>
      <c r="MW203" s="29"/>
      <c r="MX203" s="29"/>
      <c r="MY203" s="29"/>
      <c r="MZ203" s="29"/>
      <c r="NA203" s="29"/>
      <c r="NB203" s="29"/>
      <c r="NC203" s="29"/>
      <c r="ND203" s="29"/>
      <c r="NE203" s="29"/>
      <c r="NF203" s="29"/>
      <c r="NG203" s="29"/>
      <c r="NH203" s="29"/>
      <c r="NI203" s="29"/>
      <c r="NJ203" s="29"/>
      <c r="NK203" s="29"/>
      <c r="NL203" s="29"/>
      <c r="NM203" s="29"/>
      <c r="NN203" s="29"/>
      <c r="NO203" s="29"/>
      <c r="NP203" s="29"/>
      <c r="NQ203" s="29"/>
      <c r="NR203" s="29"/>
      <c r="NS203" s="29"/>
      <c r="NT203" s="29"/>
      <c r="NU203" s="29"/>
      <c r="NV203" s="29"/>
      <c r="NW203" s="29"/>
      <c r="NX203" s="29"/>
      <c r="NY203" s="29"/>
      <c r="NZ203" s="29"/>
      <c r="OA203" s="29"/>
      <c r="OB203" s="29"/>
      <c r="OC203" s="29"/>
      <c r="OD203" s="29"/>
      <c r="OE203" s="29"/>
      <c r="OF203" s="29"/>
      <c r="OG203" s="29"/>
      <c r="OH203" s="29"/>
      <c r="OI203" s="29"/>
      <c r="OJ203" s="29"/>
      <c r="OK203" s="29"/>
      <c r="OL203" s="29"/>
      <c r="OM203" s="29"/>
      <c r="ON203" s="29"/>
      <c r="OO203" s="29"/>
      <c r="OP203" s="29"/>
      <c r="OQ203" s="29"/>
      <c r="OR203" s="29"/>
      <c r="OS203" s="29"/>
      <c r="OT203" s="29"/>
      <c r="OU203" s="29"/>
      <c r="OV203" s="29"/>
      <c r="OW203" s="29"/>
      <c r="OX203" s="29"/>
      <c r="OY203" s="29"/>
      <c r="OZ203" s="29"/>
      <c r="PA203" s="29"/>
      <c r="PB203" s="29"/>
      <c r="PC203" s="29"/>
      <c r="PD203" s="29"/>
      <c r="PE203" s="29"/>
      <c r="PF203" s="29"/>
      <c r="PG203" s="29"/>
      <c r="PH203" s="29"/>
      <c r="PI203" s="29"/>
      <c r="PJ203" s="29"/>
      <c r="PK203" s="29"/>
      <c r="PL203" s="29"/>
      <c r="PM203" s="29"/>
      <c r="PN203" s="29"/>
      <c r="PO203" s="29"/>
      <c r="PP203" s="29"/>
      <c r="PQ203" s="29"/>
      <c r="PR203" s="29"/>
      <c r="PS203" s="29"/>
      <c r="PT203" s="29"/>
      <c r="PU203" s="29"/>
      <c r="PV203" s="29"/>
      <c r="PW203" s="29"/>
      <c r="PX203" s="29"/>
      <c r="PY203" s="29"/>
      <c r="PZ203" s="29"/>
      <c r="QA203" s="29"/>
      <c r="QB203" s="29"/>
      <c r="QC203" s="29"/>
      <c r="QD203" s="29"/>
      <c r="QE203" s="29"/>
      <c r="QF203" s="29"/>
      <c r="QG203" s="29"/>
      <c r="QH203" s="29"/>
      <c r="QI203" s="29"/>
      <c r="QJ203" s="29"/>
      <c r="QK203" s="29"/>
      <c r="QL203" s="29"/>
      <c r="QM203" s="29"/>
      <c r="QN203" s="29"/>
      <c r="QO203" s="29"/>
      <c r="QP203" s="29"/>
      <c r="QQ203" s="29"/>
      <c r="QR203" s="29"/>
      <c r="QS203" s="29"/>
      <c r="QT203" s="29"/>
      <c r="QU203" s="29"/>
      <c r="QV203" s="29"/>
      <c r="QW203" s="29"/>
      <c r="QX203" s="29"/>
      <c r="QY203" s="29"/>
      <c r="QZ203" s="29"/>
      <c r="RA203" s="29"/>
      <c r="RB203" s="29"/>
      <c r="RC203" s="29"/>
      <c r="RD203" s="29"/>
      <c r="RE203" s="29"/>
      <c r="RF203" s="29"/>
      <c r="RG203" s="29"/>
      <c r="RH203" s="29"/>
      <c r="RI203" s="29"/>
      <c r="RJ203" s="29"/>
      <c r="RK203" s="29"/>
      <c r="RL203" s="29"/>
      <c r="RM203" s="29"/>
      <c r="RN203" s="29"/>
      <c r="RO203" s="29"/>
      <c r="RP203" s="29"/>
      <c r="RQ203" s="29"/>
      <c r="RR203" s="29"/>
      <c r="RS203" s="29"/>
      <c r="RT203" s="29"/>
      <c r="RU203" s="29"/>
      <c r="RV203" s="29"/>
      <c r="RW203" s="29"/>
      <c r="RX203" s="29"/>
      <c r="RY203" s="29"/>
      <c r="RZ203" s="29"/>
      <c r="SA203" s="29"/>
      <c r="SB203" s="29"/>
      <c r="SC203" s="29"/>
      <c r="SD203" s="29"/>
      <c r="SE203" s="29"/>
      <c r="SF203" s="29"/>
      <c r="SG203" s="29"/>
      <c r="SH203" s="29"/>
      <c r="SI203" s="29"/>
      <c r="SJ203" s="29"/>
      <c r="SK203" s="29"/>
      <c r="SL203" s="29"/>
      <c r="SM203" s="29"/>
      <c r="SN203" s="29"/>
      <c r="SO203" s="29"/>
      <c r="SP203" s="29"/>
      <c r="SQ203" s="29"/>
      <c r="SR203" s="29"/>
      <c r="SS203" s="29"/>
      <c r="ST203" s="29"/>
      <c r="SU203" s="29"/>
      <c r="SV203" s="29"/>
      <c r="SW203" s="29"/>
      <c r="SX203" s="29"/>
      <c r="SY203" s="29"/>
      <c r="SZ203" s="29"/>
      <c r="TA203" s="29"/>
      <c r="TB203" s="29"/>
      <c r="TC203" s="29"/>
      <c r="TD203" s="29"/>
      <c r="TE203" s="29"/>
      <c r="TF203" s="29"/>
      <c r="TG203" s="29"/>
      <c r="TH203" s="29"/>
      <c r="TI203" s="29"/>
      <c r="TJ203" s="29"/>
      <c r="TK203" s="29"/>
      <c r="TL203" s="29"/>
      <c r="TM203" s="29"/>
      <c r="TN203" s="29"/>
      <c r="TO203" s="29"/>
      <c r="TP203" s="29"/>
      <c r="TQ203" s="29"/>
      <c r="TR203" s="29"/>
      <c r="TS203" s="29"/>
      <c r="TT203" s="29"/>
      <c r="TU203" s="29"/>
      <c r="TV203" s="29"/>
      <c r="TW203" s="29"/>
      <c r="TX203" s="29"/>
      <c r="TY203" s="29"/>
      <c r="TZ203" s="29"/>
      <c r="UA203" s="29"/>
      <c r="UB203" s="29"/>
      <c r="UC203" s="29"/>
      <c r="UD203" s="29"/>
      <c r="UE203" s="29"/>
      <c r="UF203" s="29"/>
      <c r="UG203" s="29"/>
      <c r="UH203" s="29"/>
      <c r="UI203" s="29"/>
      <c r="UJ203" s="29"/>
      <c r="UK203" s="29"/>
      <c r="UL203" s="29"/>
      <c r="UM203" s="29"/>
      <c r="UN203" s="29"/>
      <c r="UO203" s="29"/>
      <c r="UP203" s="29"/>
      <c r="UQ203" s="29"/>
      <c r="UR203" s="29"/>
      <c r="US203" s="29"/>
      <c r="UT203" s="29"/>
      <c r="UU203" s="29"/>
      <c r="UV203" s="29"/>
      <c r="UW203" s="29"/>
      <c r="UX203" s="29"/>
      <c r="UY203" s="29"/>
      <c r="UZ203" s="29"/>
      <c r="VA203" s="29"/>
      <c r="VB203" s="29"/>
      <c r="VC203" s="29"/>
      <c r="VD203" s="29"/>
      <c r="VE203" s="29"/>
      <c r="VF203" s="29"/>
      <c r="VG203" s="29"/>
      <c r="VH203" s="29"/>
      <c r="VI203" s="29"/>
      <c r="VJ203" s="29"/>
      <c r="VK203" s="29"/>
      <c r="VL203" s="29"/>
      <c r="VM203" s="29"/>
      <c r="VN203" s="29"/>
      <c r="VO203" s="29"/>
      <c r="VP203" s="29"/>
      <c r="VQ203" s="29"/>
      <c r="VR203" s="29"/>
      <c r="VS203" s="29"/>
      <c r="VT203" s="29"/>
      <c r="VU203" s="29"/>
      <c r="VV203" s="29"/>
      <c r="VW203" s="29"/>
      <c r="VX203" s="29"/>
      <c r="VY203" s="29"/>
      <c r="VZ203" s="29"/>
      <c r="WA203" s="29"/>
      <c r="WB203" s="29"/>
      <c r="WC203" s="29"/>
      <c r="WD203" s="29"/>
      <c r="WE203" s="29"/>
      <c r="WF203" s="29"/>
      <c r="WG203" s="29"/>
      <c r="WH203" s="29"/>
      <c r="WI203" s="29"/>
      <c r="WJ203" s="29"/>
      <c r="WK203" s="29"/>
      <c r="WL203" s="29"/>
      <c r="WM203" s="29"/>
      <c r="WN203" s="29"/>
      <c r="WO203" s="29"/>
      <c r="WP203" s="29"/>
      <c r="WQ203" s="29"/>
      <c r="WR203" s="29"/>
      <c r="WS203" s="29"/>
    </row>
    <row r="204" spans="1:617" s="3" customFormat="1" ht="15" outlineLevel="1" thickBot="1" x14ac:dyDescent="0.4">
      <c r="A204" s="33"/>
      <c r="B204" s="85"/>
      <c r="C204" s="145"/>
      <c r="D204" s="123"/>
      <c r="E204" s="123"/>
      <c r="F204" s="14"/>
      <c r="G204" s="14"/>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c r="AU204" s="29"/>
      <c r="AV204" s="29"/>
      <c r="AW204" s="29"/>
      <c r="AX204" s="29"/>
      <c r="AY204" s="29"/>
      <c r="AZ204" s="29"/>
      <c r="BA204" s="29"/>
      <c r="BB204" s="29"/>
      <c r="BC204" s="29"/>
      <c r="BD204" s="29"/>
      <c r="BE204" s="29"/>
      <c r="BF204" s="29"/>
      <c r="BG204" s="29"/>
      <c r="BH204" s="29"/>
      <c r="BI204" s="29"/>
      <c r="BJ204" s="29"/>
      <c r="BK204" s="29"/>
      <c r="BL204" s="29"/>
      <c r="BM204" s="29"/>
      <c r="BN204" s="29"/>
      <c r="BO204" s="29"/>
      <c r="BP204" s="29"/>
      <c r="BQ204" s="29"/>
      <c r="BR204" s="29"/>
      <c r="BS204" s="29"/>
      <c r="BT204" s="29"/>
      <c r="BU204" s="29"/>
      <c r="BV204" s="29"/>
      <c r="BW204" s="29"/>
      <c r="BX204" s="29"/>
      <c r="BY204" s="29"/>
      <c r="BZ204" s="29"/>
      <c r="CA204" s="29"/>
      <c r="CB204" s="29"/>
      <c r="CC204" s="29"/>
      <c r="CD204" s="29"/>
      <c r="CE204" s="29"/>
      <c r="CF204" s="29"/>
      <c r="CG204" s="29"/>
      <c r="CH204" s="29"/>
      <c r="CI204" s="29"/>
      <c r="CJ204" s="29"/>
      <c r="CK204" s="29"/>
      <c r="CL204" s="29"/>
      <c r="CM204" s="29"/>
      <c r="CN204" s="29"/>
      <c r="CO204" s="29"/>
      <c r="CP204" s="29"/>
      <c r="CQ204" s="29"/>
      <c r="CR204" s="29"/>
      <c r="CS204" s="29"/>
      <c r="CT204" s="29"/>
      <c r="CU204" s="29"/>
      <c r="CV204" s="29"/>
      <c r="CW204" s="29"/>
      <c r="CX204" s="29"/>
      <c r="CY204" s="29"/>
      <c r="CZ204" s="29"/>
      <c r="DA204" s="29"/>
      <c r="DB204" s="29"/>
      <c r="DC204" s="29"/>
      <c r="DD204" s="29"/>
      <c r="DE204" s="29"/>
      <c r="DF204" s="29"/>
      <c r="DG204" s="29"/>
      <c r="DH204" s="29"/>
      <c r="DI204" s="29"/>
      <c r="DJ204" s="29"/>
      <c r="DK204" s="29"/>
      <c r="DL204" s="29"/>
      <c r="DM204" s="29"/>
      <c r="DN204" s="29"/>
      <c r="DO204" s="29"/>
      <c r="DP204" s="29"/>
      <c r="DQ204" s="29"/>
      <c r="DR204" s="29"/>
      <c r="DS204" s="29"/>
      <c r="DT204" s="29"/>
      <c r="DU204" s="29"/>
      <c r="DV204" s="29"/>
      <c r="DW204" s="29"/>
      <c r="DX204" s="29"/>
      <c r="DY204" s="29"/>
      <c r="DZ204" s="29"/>
      <c r="EA204" s="29"/>
      <c r="EB204" s="29"/>
      <c r="EC204" s="29"/>
      <c r="ED204" s="29"/>
      <c r="EE204" s="29"/>
      <c r="EF204" s="29"/>
      <c r="EG204" s="29"/>
      <c r="EH204" s="29"/>
      <c r="EI204" s="29"/>
      <c r="EJ204" s="29"/>
      <c r="EK204" s="29"/>
      <c r="EL204" s="29"/>
      <c r="EM204" s="29"/>
      <c r="EN204" s="29"/>
      <c r="EO204" s="29"/>
      <c r="EP204" s="29"/>
      <c r="EQ204" s="29"/>
      <c r="ER204" s="29"/>
      <c r="ES204" s="29"/>
      <c r="ET204" s="29"/>
      <c r="EU204" s="29"/>
      <c r="EV204" s="29"/>
      <c r="EW204" s="29"/>
      <c r="EX204" s="29"/>
      <c r="EY204" s="29"/>
      <c r="EZ204" s="29"/>
      <c r="FA204" s="29"/>
      <c r="FB204" s="29"/>
      <c r="FC204" s="29"/>
      <c r="FD204" s="29"/>
      <c r="FE204" s="29"/>
      <c r="FF204" s="29"/>
      <c r="FG204" s="29"/>
      <c r="FH204" s="29"/>
      <c r="FI204" s="29"/>
      <c r="FJ204" s="29"/>
      <c r="FK204" s="29"/>
      <c r="FL204" s="29"/>
      <c r="FM204" s="29"/>
      <c r="FN204" s="29"/>
      <c r="FO204" s="29"/>
      <c r="FP204" s="29"/>
      <c r="FQ204" s="29"/>
      <c r="FR204" s="29"/>
      <c r="FS204" s="29"/>
      <c r="FT204" s="29"/>
      <c r="FU204" s="29"/>
      <c r="FV204" s="29"/>
      <c r="FW204" s="29"/>
      <c r="FX204" s="29"/>
      <c r="FY204" s="29"/>
      <c r="FZ204" s="29"/>
      <c r="GA204" s="29"/>
      <c r="GB204" s="29"/>
      <c r="GC204" s="29"/>
      <c r="GD204" s="29"/>
      <c r="GE204" s="29"/>
      <c r="GF204" s="29"/>
      <c r="GG204" s="29"/>
      <c r="GH204" s="29"/>
      <c r="GI204" s="29"/>
      <c r="GJ204" s="29"/>
      <c r="GK204" s="29"/>
      <c r="GL204" s="29"/>
      <c r="GM204" s="29"/>
      <c r="GN204" s="29"/>
      <c r="GO204" s="29"/>
      <c r="GP204" s="29"/>
      <c r="GQ204" s="29"/>
      <c r="GR204" s="29"/>
      <c r="GS204" s="29"/>
      <c r="GT204" s="29"/>
      <c r="GU204" s="29"/>
      <c r="GV204" s="29"/>
      <c r="GW204" s="29"/>
      <c r="GX204" s="29"/>
      <c r="GY204" s="29"/>
      <c r="GZ204" s="29"/>
      <c r="HA204" s="29"/>
      <c r="HB204" s="29"/>
      <c r="HC204" s="29"/>
      <c r="HD204" s="29"/>
      <c r="HE204" s="29"/>
      <c r="HF204" s="29"/>
      <c r="HG204" s="29"/>
      <c r="HH204" s="29"/>
      <c r="HI204" s="29"/>
      <c r="HJ204" s="29"/>
      <c r="HK204" s="29"/>
      <c r="HL204" s="29"/>
      <c r="HM204" s="29"/>
      <c r="HN204" s="29"/>
      <c r="HO204" s="29"/>
      <c r="HP204" s="29"/>
      <c r="HQ204" s="29"/>
      <c r="HR204" s="29"/>
      <c r="HS204" s="29"/>
      <c r="HT204" s="29"/>
      <c r="HU204" s="29"/>
      <c r="HV204" s="29"/>
      <c r="HW204" s="29"/>
      <c r="HX204" s="29"/>
      <c r="HY204" s="29"/>
      <c r="HZ204" s="29"/>
      <c r="IA204" s="29"/>
      <c r="IB204" s="29"/>
      <c r="IC204" s="29"/>
      <c r="ID204" s="29"/>
      <c r="IE204" s="29"/>
      <c r="IF204" s="29"/>
      <c r="IG204" s="29"/>
      <c r="IH204" s="29"/>
      <c r="II204" s="29"/>
      <c r="IJ204" s="29"/>
      <c r="IK204" s="29"/>
      <c r="IL204" s="29"/>
      <c r="IM204" s="29"/>
      <c r="IN204" s="29"/>
      <c r="IO204" s="29"/>
      <c r="IP204" s="29"/>
      <c r="IQ204" s="29"/>
      <c r="IR204" s="29"/>
      <c r="IS204" s="29"/>
      <c r="IT204" s="29"/>
      <c r="IU204" s="29"/>
      <c r="IV204" s="29"/>
      <c r="IW204" s="29"/>
      <c r="IX204" s="29"/>
      <c r="IY204" s="29"/>
      <c r="IZ204" s="29"/>
      <c r="JA204" s="29"/>
      <c r="JB204" s="29"/>
      <c r="JC204" s="29"/>
      <c r="JD204" s="29"/>
      <c r="JE204" s="29"/>
      <c r="JF204" s="29"/>
      <c r="JG204" s="29"/>
      <c r="JH204" s="29"/>
      <c r="JI204" s="29"/>
      <c r="JJ204" s="29"/>
      <c r="JK204" s="29"/>
      <c r="JL204" s="29"/>
      <c r="JM204" s="29"/>
      <c r="JN204" s="29"/>
      <c r="JO204" s="29"/>
      <c r="JP204" s="29"/>
      <c r="JQ204" s="29"/>
      <c r="JR204" s="29"/>
      <c r="JS204" s="29"/>
      <c r="JT204" s="29"/>
      <c r="JU204" s="29"/>
      <c r="JV204" s="29"/>
      <c r="JW204" s="29"/>
      <c r="JX204" s="29"/>
      <c r="JY204" s="29"/>
      <c r="JZ204" s="29"/>
      <c r="KA204" s="29"/>
      <c r="KB204" s="29"/>
      <c r="KC204" s="29"/>
      <c r="KD204" s="29"/>
      <c r="KE204" s="29"/>
      <c r="KF204" s="29"/>
      <c r="KG204" s="29"/>
      <c r="KH204" s="29"/>
      <c r="KI204" s="29"/>
      <c r="KJ204" s="29"/>
      <c r="KK204" s="29"/>
      <c r="KL204" s="29"/>
      <c r="KM204" s="29"/>
      <c r="KN204" s="29"/>
      <c r="KO204" s="29"/>
      <c r="KP204" s="29"/>
      <c r="KQ204" s="29"/>
      <c r="KR204" s="29"/>
      <c r="KS204" s="29"/>
      <c r="KT204" s="29"/>
      <c r="KU204" s="29"/>
      <c r="KV204" s="29"/>
      <c r="KW204" s="29"/>
      <c r="KX204" s="29"/>
      <c r="KY204" s="29"/>
      <c r="KZ204" s="29"/>
      <c r="LA204" s="29"/>
      <c r="LB204" s="29"/>
      <c r="LC204" s="29"/>
      <c r="LD204" s="29"/>
      <c r="LE204" s="29"/>
      <c r="LF204" s="29"/>
      <c r="LG204" s="29"/>
      <c r="LH204" s="29"/>
      <c r="LI204" s="29"/>
      <c r="LJ204" s="29"/>
      <c r="LK204" s="29"/>
      <c r="LL204" s="29"/>
      <c r="LM204" s="29"/>
      <c r="LN204" s="29"/>
      <c r="LO204" s="29"/>
      <c r="LP204" s="29"/>
      <c r="LQ204" s="29"/>
      <c r="LR204" s="29"/>
      <c r="LS204" s="29"/>
      <c r="LT204" s="29"/>
      <c r="LU204" s="29"/>
      <c r="LV204" s="29"/>
      <c r="LW204" s="29"/>
      <c r="LX204" s="29"/>
      <c r="LY204" s="29"/>
      <c r="LZ204" s="29"/>
      <c r="MA204" s="29"/>
      <c r="MB204" s="29"/>
      <c r="MC204" s="29"/>
      <c r="MD204" s="29"/>
      <c r="ME204" s="29"/>
      <c r="MF204" s="29"/>
      <c r="MG204" s="29"/>
      <c r="MH204" s="29"/>
      <c r="MI204" s="29"/>
      <c r="MJ204" s="29"/>
      <c r="MK204" s="29"/>
      <c r="ML204" s="29"/>
      <c r="MM204" s="29"/>
      <c r="MN204" s="29"/>
      <c r="MO204" s="29"/>
      <c r="MP204" s="29"/>
      <c r="MQ204" s="29"/>
      <c r="MR204" s="29"/>
      <c r="MS204" s="29"/>
      <c r="MT204" s="29"/>
      <c r="MU204" s="29"/>
      <c r="MV204" s="29"/>
      <c r="MW204" s="29"/>
      <c r="MX204" s="29"/>
      <c r="MY204" s="29"/>
      <c r="MZ204" s="29"/>
      <c r="NA204" s="29"/>
      <c r="NB204" s="29"/>
      <c r="NC204" s="29"/>
      <c r="ND204" s="29"/>
      <c r="NE204" s="29"/>
      <c r="NF204" s="29"/>
      <c r="NG204" s="29"/>
      <c r="NH204" s="29"/>
      <c r="NI204" s="29"/>
      <c r="NJ204" s="29"/>
      <c r="NK204" s="29"/>
      <c r="NL204" s="29"/>
      <c r="NM204" s="29"/>
      <c r="NN204" s="29"/>
      <c r="NO204" s="29"/>
      <c r="NP204" s="29"/>
      <c r="NQ204" s="29"/>
      <c r="NR204" s="29"/>
      <c r="NS204" s="29"/>
      <c r="NT204" s="29"/>
      <c r="NU204" s="29"/>
      <c r="NV204" s="29"/>
      <c r="NW204" s="29"/>
      <c r="NX204" s="29"/>
      <c r="NY204" s="29"/>
      <c r="NZ204" s="29"/>
      <c r="OA204" s="29"/>
      <c r="OB204" s="29"/>
      <c r="OC204" s="29"/>
      <c r="OD204" s="29"/>
      <c r="OE204" s="29"/>
      <c r="OF204" s="29"/>
      <c r="OG204" s="29"/>
      <c r="OH204" s="29"/>
      <c r="OI204" s="29"/>
      <c r="OJ204" s="29"/>
      <c r="OK204" s="29"/>
      <c r="OL204" s="29"/>
      <c r="OM204" s="29"/>
      <c r="ON204" s="29"/>
      <c r="OO204" s="29"/>
      <c r="OP204" s="29"/>
      <c r="OQ204" s="29"/>
      <c r="OR204" s="29"/>
      <c r="OS204" s="29"/>
      <c r="OT204" s="29"/>
      <c r="OU204" s="29"/>
      <c r="OV204" s="29"/>
      <c r="OW204" s="29"/>
      <c r="OX204" s="29"/>
      <c r="OY204" s="29"/>
      <c r="OZ204" s="29"/>
      <c r="PA204" s="29"/>
      <c r="PB204" s="29"/>
      <c r="PC204" s="29"/>
      <c r="PD204" s="29"/>
      <c r="PE204" s="29"/>
      <c r="PF204" s="29"/>
      <c r="PG204" s="29"/>
      <c r="PH204" s="29"/>
      <c r="PI204" s="29"/>
      <c r="PJ204" s="29"/>
      <c r="PK204" s="29"/>
      <c r="PL204" s="29"/>
      <c r="PM204" s="29"/>
      <c r="PN204" s="29"/>
      <c r="PO204" s="29"/>
      <c r="PP204" s="29"/>
      <c r="PQ204" s="29"/>
      <c r="PR204" s="29"/>
      <c r="PS204" s="29"/>
      <c r="PT204" s="29"/>
      <c r="PU204" s="29"/>
      <c r="PV204" s="29"/>
      <c r="PW204" s="29"/>
      <c r="PX204" s="29"/>
      <c r="PY204" s="29"/>
      <c r="PZ204" s="29"/>
      <c r="QA204" s="29"/>
      <c r="QB204" s="29"/>
      <c r="QC204" s="29"/>
      <c r="QD204" s="29"/>
      <c r="QE204" s="29"/>
      <c r="QF204" s="29"/>
      <c r="QG204" s="29"/>
      <c r="QH204" s="29"/>
      <c r="QI204" s="29"/>
      <c r="QJ204" s="29"/>
      <c r="QK204" s="29"/>
      <c r="QL204" s="29"/>
      <c r="QM204" s="29"/>
      <c r="QN204" s="29"/>
      <c r="QO204" s="29"/>
      <c r="QP204" s="29"/>
      <c r="QQ204" s="29"/>
      <c r="QR204" s="29"/>
      <c r="QS204" s="29"/>
      <c r="QT204" s="29"/>
      <c r="QU204" s="29"/>
      <c r="QV204" s="29"/>
      <c r="QW204" s="29"/>
      <c r="QX204" s="29"/>
      <c r="QY204" s="29"/>
      <c r="QZ204" s="29"/>
      <c r="RA204" s="29"/>
      <c r="RB204" s="29"/>
      <c r="RC204" s="29"/>
      <c r="RD204" s="29"/>
      <c r="RE204" s="29"/>
      <c r="RF204" s="29"/>
      <c r="RG204" s="29"/>
      <c r="RH204" s="29"/>
      <c r="RI204" s="29"/>
      <c r="RJ204" s="29"/>
      <c r="RK204" s="29"/>
      <c r="RL204" s="29"/>
      <c r="RM204" s="29"/>
      <c r="RN204" s="29"/>
      <c r="RO204" s="29"/>
      <c r="RP204" s="29"/>
      <c r="RQ204" s="29"/>
      <c r="RR204" s="29"/>
      <c r="RS204" s="29"/>
      <c r="RT204" s="29"/>
      <c r="RU204" s="29"/>
      <c r="RV204" s="29"/>
      <c r="RW204" s="29"/>
      <c r="RX204" s="29"/>
      <c r="RY204" s="29"/>
      <c r="RZ204" s="29"/>
      <c r="SA204" s="29"/>
      <c r="SB204" s="29"/>
      <c r="SC204" s="29"/>
      <c r="SD204" s="29"/>
      <c r="SE204" s="29"/>
      <c r="SF204" s="29"/>
      <c r="SG204" s="29"/>
      <c r="SH204" s="29"/>
      <c r="SI204" s="29"/>
      <c r="SJ204" s="29"/>
      <c r="SK204" s="29"/>
      <c r="SL204" s="29"/>
      <c r="SM204" s="29"/>
      <c r="SN204" s="29"/>
      <c r="SO204" s="29"/>
      <c r="SP204" s="29"/>
      <c r="SQ204" s="29"/>
      <c r="SR204" s="29"/>
      <c r="SS204" s="29"/>
      <c r="ST204" s="29"/>
      <c r="SU204" s="29"/>
      <c r="SV204" s="29"/>
      <c r="SW204" s="29"/>
      <c r="SX204" s="29"/>
      <c r="SY204" s="29"/>
      <c r="SZ204" s="29"/>
      <c r="TA204" s="29"/>
      <c r="TB204" s="29"/>
      <c r="TC204" s="29"/>
      <c r="TD204" s="29"/>
      <c r="TE204" s="29"/>
      <c r="TF204" s="29"/>
      <c r="TG204" s="29"/>
      <c r="TH204" s="29"/>
      <c r="TI204" s="29"/>
      <c r="TJ204" s="29"/>
      <c r="TK204" s="29"/>
      <c r="TL204" s="29"/>
      <c r="TM204" s="29"/>
      <c r="TN204" s="29"/>
      <c r="TO204" s="29"/>
      <c r="TP204" s="29"/>
      <c r="TQ204" s="29"/>
      <c r="TR204" s="29"/>
      <c r="TS204" s="29"/>
      <c r="TT204" s="29"/>
      <c r="TU204" s="29"/>
      <c r="TV204" s="29"/>
      <c r="TW204" s="29"/>
      <c r="TX204" s="29"/>
      <c r="TY204" s="29"/>
      <c r="TZ204" s="29"/>
      <c r="UA204" s="29"/>
      <c r="UB204" s="29"/>
      <c r="UC204" s="29"/>
      <c r="UD204" s="29"/>
      <c r="UE204" s="29"/>
      <c r="UF204" s="29"/>
      <c r="UG204" s="29"/>
      <c r="UH204" s="29"/>
      <c r="UI204" s="29"/>
      <c r="UJ204" s="29"/>
      <c r="UK204" s="29"/>
      <c r="UL204" s="29"/>
      <c r="UM204" s="29"/>
      <c r="UN204" s="29"/>
      <c r="UO204" s="29"/>
      <c r="UP204" s="29"/>
      <c r="UQ204" s="29"/>
      <c r="UR204" s="29"/>
      <c r="US204" s="29"/>
      <c r="UT204" s="29"/>
      <c r="UU204" s="29"/>
      <c r="UV204" s="29"/>
      <c r="UW204" s="29"/>
      <c r="UX204" s="29"/>
      <c r="UY204" s="29"/>
      <c r="UZ204" s="29"/>
      <c r="VA204" s="29"/>
      <c r="VB204" s="29"/>
      <c r="VC204" s="29"/>
      <c r="VD204" s="29"/>
      <c r="VE204" s="29"/>
      <c r="VF204" s="29"/>
      <c r="VG204" s="29"/>
      <c r="VH204" s="29"/>
      <c r="VI204" s="29"/>
      <c r="VJ204" s="29"/>
      <c r="VK204" s="29"/>
      <c r="VL204" s="29"/>
      <c r="VM204" s="29"/>
      <c r="VN204" s="29"/>
      <c r="VO204" s="29"/>
      <c r="VP204" s="29"/>
      <c r="VQ204" s="29"/>
      <c r="VR204" s="29"/>
      <c r="VS204" s="29"/>
      <c r="VT204" s="29"/>
      <c r="VU204" s="29"/>
      <c r="VV204" s="29"/>
      <c r="VW204" s="29"/>
      <c r="VX204" s="29"/>
      <c r="VY204" s="29"/>
      <c r="VZ204" s="29"/>
      <c r="WA204" s="29"/>
      <c r="WB204" s="29"/>
      <c r="WC204" s="29"/>
      <c r="WD204" s="29"/>
      <c r="WE204" s="29"/>
      <c r="WF204" s="29"/>
      <c r="WG204" s="29"/>
      <c r="WH204" s="29"/>
      <c r="WI204" s="29"/>
      <c r="WJ204" s="29"/>
      <c r="WK204" s="29"/>
      <c r="WL204" s="29"/>
      <c r="WM204" s="29"/>
      <c r="WN204" s="29"/>
      <c r="WO204" s="29"/>
      <c r="WP204" s="29"/>
      <c r="WQ204" s="29"/>
      <c r="WR204" s="29"/>
      <c r="WS204" s="29"/>
    </row>
    <row r="205" spans="1:617" s="3" customFormat="1" ht="15" outlineLevel="1" thickBot="1" x14ac:dyDescent="0.4">
      <c r="A205" s="33"/>
      <c r="B205" s="49"/>
      <c r="C205" s="45"/>
      <c r="D205" s="131"/>
      <c r="E205" s="131"/>
      <c r="F205" s="14"/>
      <c r="G205" s="14">
        <v>111</v>
      </c>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c r="AU205" s="29"/>
      <c r="AV205" s="29"/>
      <c r="AW205" s="29"/>
      <c r="AX205" s="29"/>
      <c r="AY205" s="29"/>
      <c r="AZ205" s="29"/>
      <c r="BA205" s="29"/>
      <c r="BB205" s="29"/>
      <c r="BC205" s="29"/>
      <c r="BD205" s="29"/>
      <c r="BE205" s="29"/>
      <c r="BF205" s="29"/>
      <c r="BG205" s="29"/>
      <c r="BH205" s="29"/>
      <c r="BI205" s="29"/>
      <c r="BJ205" s="29"/>
      <c r="BK205" s="29"/>
      <c r="BL205" s="29"/>
      <c r="BM205" s="29"/>
      <c r="BN205" s="29"/>
      <c r="BO205" s="29"/>
      <c r="BP205" s="29"/>
      <c r="BQ205" s="29"/>
      <c r="BR205" s="29"/>
      <c r="BS205" s="29"/>
      <c r="BT205" s="29"/>
      <c r="BU205" s="29"/>
      <c r="BV205" s="29"/>
      <c r="BW205" s="29"/>
      <c r="BX205" s="29"/>
      <c r="BY205" s="29"/>
      <c r="BZ205" s="29"/>
      <c r="CA205" s="29"/>
      <c r="CB205" s="29"/>
      <c r="CC205" s="29"/>
      <c r="CD205" s="29"/>
      <c r="CE205" s="29"/>
      <c r="CF205" s="29"/>
      <c r="CG205" s="29"/>
      <c r="CH205" s="29"/>
      <c r="CI205" s="29"/>
      <c r="CJ205" s="29"/>
      <c r="CK205" s="29"/>
      <c r="CL205" s="29"/>
      <c r="CM205" s="29"/>
      <c r="CN205" s="29"/>
      <c r="CO205" s="29"/>
      <c r="CP205" s="29"/>
      <c r="CQ205" s="29"/>
      <c r="CR205" s="29"/>
      <c r="CS205" s="29"/>
      <c r="CT205" s="29"/>
      <c r="CU205" s="29"/>
      <c r="CV205" s="29"/>
      <c r="CW205" s="29"/>
      <c r="CX205" s="29"/>
      <c r="CY205" s="29"/>
      <c r="CZ205" s="29"/>
      <c r="DA205" s="29"/>
      <c r="DB205" s="29"/>
      <c r="DC205" s="29"/>
      <c r="DD205" s="29"/>
      <c r="DE205" s="29"/>
      <c r="DF205" s="29"/>
      <c r="DG205" s="29"/>
      <c r="DH205" s="29"/>
      <c r="DI205" s="29"/>
      <c r="DJ205" s="29"/>
      <c r="DK205" s="29"/>
      <c r="DL205" s="29"/>
      <c r="DM205" s="29"/>
      <c r="DN205" s="29"/>
      <c r="DO205" s="29"/>
      <c r="DP205" s="29"/>
      <c r="DQ205" s="29"/>
      <c r="DR205" s="29"/>
      <c r="DS205" s="29"/>
      <c r="DT205" s="29"/>
      <c r="DU205" s="29"/>
      <c r="DV205" s="29"/>
      <c r="DW205" s="29"/>
      <c r="DX205" s="29"/>
      <c r="DY205" s="29"/>
      <c r="DZ205" s="29"/>
      <c r="EA205" s="29"/>
      <c r="EB205" s="29"/>
      <c r="EC205" s="29"/>
      <c r="ED205" s="29"/>
      <c r="EE205" s="29"/>
      <c r="EF205" s="29"/>
      <c r="EG205" s="29"/>
      <c r="EH205" s="29"/>
      <c r="EI205" s="29"/>
      <c r="EJ205" s="29"/>
      <c r="EK205" s="29"/>
      <c r="EL205" s="29"/>
      <c r="EM205" s="29"/>
      <c r="EN205" s="29"/>
      <c r="EO205" s="29"/>
      <c r="EP205" s="29"/>
      <c r="EQ205" s="29"/>
      <c r="ER205" s="29"/>
      <c r="ES205" s="29"/>
      <c r="ET205" s="29"/>
      <c r="EU205" s="29"/>
      <c r="EV205" s="29"/>
      <c r="EW205" s="29"/>
      <c r="EX205" s="29"/>
      <c r="EY205" s="29"/>
      <c r="EZ205" s="29"/>
      <c r="FA205" s="29"/>
      <c r="FB205" s="29"/>
      <c r="FC205" s="29"/>
      <c r="FD205" s="29"/>
      <c r="FE205" s="29"/>
      <c r="FF205" s="29"/>
      <c r="FG205" s="29"/>
      <c r="FH205" s="29"/>
      <c r="FI205" s="29"/>
      <c r="FJ205" s="29"/>
      <c r="FK205" s="29"/>
      <c r="FL205" s="29"/>
      <c r="FM205" s="29"/>
      <c r="FN205" s="29"/>
      <c r="FO205" s="29"/>
      <c r="FP205" s="29"/>
      <c r="FQ205" s="29"/>
      <c r="FR205" s="29"/>
      <c r="FS205" s="29"/>
      <c r="FT205" s="29"/>
      <c r="FU205" s="29"/>
      <c r="FV205" s="29"/>
      <c r="FW205" s="29"/>
      <c r="FX205" s="29"/>
      <c r="FY205" s="29"/>
      <c r="FZ205" s="29"/>
      <c r="GA205" s="29"/>
      <c r="GB205" s="29"/>
      <c r="GC205" s="29"/>
      <c r="GD205" s="29"/>
      <c r="GE205" s="29"/>
      <c r="GF205" s="29"/>
      <c r="GG205" s="29"/>
      <c r="GH205" s="29"/>
      <c r="GI205" s="29"/>
      <c r="GJ205" s="29"/>
      <c r="GK205" s="29"/>
      <c r="GL205" s="29"/>
      <c r="GM205" s="29"/>
      <c r="GN205" s="29"/>
      <c r="GO205" s="29"/>
      <c r="GP205" s="29"/>
      <c r="GQ205" s="29"/>
      <c r="GR205" s="29"/>
      <c r="GS205" s="29"/>
      <c r="GT205" s="29"/>
      <c r="GU205" s="29"/>
      <c r="GV205" s="29"/>
      <c r="GW205" s="29"/>
      <c r="GX205" s="29"/>
      <c r="GY205" s="29"/>
      <c r="GZ205" s="29"/>
      <c r="HA205" s="29"/>
      <c r="HB205" s="29"/>
      <c r="HC205" s="29"/>
      <c r="HD205" s="29"/>
      <c r="HE205" s="29"/>
      <c r="HF205" s="29"/>
      <c r="HG205" s="29"/>
      <c r="HH205" s="29"/>
      <c r="HI205" s="29"/>
      <c r="HJ205" s="29"/>
      <c r="HK205" s="29"/>
      <c r="HL205" s="29"/>
      <c r="HM205" s="29"/>
      <c r="HN205" s="29"/>
      <c r="HO205" s="29"/>
      <c r="HP205" s="29"/>
      <c r="HQ205" s="29"/>
      <c r="HR205" s="29"/>
      <c r="HS205" s="29"/>
      <c r="HT205" s="29"/>
      <c r="HU205" s="29"/>
      <c r="HV205" s="29"/>
      <c r="HW205" s="29"/>
      <c r="HX205" s="29"/>
      <c r="HY205" s="29"/>
      <c r="HZ205" s="29"/>
      <c r="IA205" s="29"/>
      <c r="IB205" s="29"/>
      <c r="IC205" s="29"/>
      <c r="ID205" s="29"/>
      <c r="IE205" s="29"/>
      <c r="IF205" s="29"/>
      <c r="IG205" s="29"/>
      <c r="IH205" s="29"/>
      <c r="II205" s="29"/>
      <c r="IJ205" s="29"/>
      <c r="IK205" s="29"/>
      <c r="IL205" s="29"/>
      <c r="IM205" s="29"/>
      <c r="IN205" s="29"/>
      <c r="IO205" s="29"/>
      <c r="IP205" s="29"/>
      <c r="IQ205" s="29"/>
      <c r="IR205" s="29"/>
      <c r="IS205" s="29"/>
      <c r="IT205" s="29"/>
      <c r="IU205" s="29"/>
      <c r="IV205" s="29"/>
      <c r="IW205" s="29"/>
      <c r="IX205" s="29"/>
      <c r="IY205" s="29"/>
      <c r="IZ205" s="29"/>
      <c r="JA205" s="29"/>
      <c r="JB205" s="29"/>
      <c r="JC205" s="29"/>
      <c r="JD205" s="29"/>
      <c r="JE205" s="29"/>
      <c r="JF205" s="29"/>
      <c r="JG205" s="29"/>
      <c r="JH205" s="29"/>
      <c r="JI205" s="29"/>
      <c r="JJ205" s="29"/>
      <c r="JK205" s="29"/>
      <c r="JL205" s="29"/>
      <c r="JM205" s="29"/>
      <c r="JN205" s="29"/>
      <c r="JO205" s="29"/>
      <c r="JP205" s="29"/>
      <c r="JQ205" s="29"/>
      <c r="JR205" s="29"/>
      <c r="JS205" s="29"/>
      <c r="JT205" s="29"/>
      <c r="JU205" s="29"/>
      <c r="JV205" s="29"/>
      <c r="JW205" s="29"/>
      <c r="JX205" s="29"/>
      <c r="JY205" s="29"/>
      <c r="JZ205" s="29"/>
      <c r="KA205" s="29"/>
      <c r="KB205" s="29"/>
      <c r="KC205" s="29"/>
      <c r="KD205" s="29"/>
      <c r="KE205" s="29"/>
      <c r="KF205" s="29"/>
      <c r="KG205" s="29"/>
      <c r="KH205" s="29"/>
      <c r="KI205" s="29"/>
      <c r="KJ205" s="29"/>
      <c r="KK205" s="29"/>
      <c r="KL205" s="29"/>
      <c r="KM205" s="29"/>
      <c r="KN205" s="29"/>
      <c r="KO205" s="29"/>
      <c r="KP205" s="29"/>
      <c r="KQ205" s="29"/>
      <c r="KR205" s="29"/>
      <c r="KS205" s="29"/>
      <c r="KT205" s="29"/>
      <c r="KU205" s="29"/>
      <c r="KV205" s="29"/>
      <c r="KW205" s="29"/>
      <c r="KX205" s="29"/>
      <c r="KY205" s="29"/>
      <c r="KZ205" s="29"/>
      <c r="LA205" s="29"/>
      <c r="LB205" s="29"/>
      <c r="LC205" s="29"/>
      <c r="LD205" s="29"/>
      <c r="LE205" s="29"/>
      <c r="LF205" s="29"/>
      <c r="LG205" s="29"/>
      <c r="LH205" s="29"/>
      <c r="LI205" s="29"/>
      <c r="LJ205" s="29"/>
      <c r="LK205" s="29"/>
      <c r="LL205" s="29"/>
      <c r="LM205" s="29"/>
      <c r="LN205" s="29"/>
      <c r="LO205" s="29"/>
      <c r="LP205" s="29"/>
      <c r="LQ205" s="29"/>
      <c r="LR205" s="29"/>
      <c r="LS205" s="29"/>
      <c r="LT205" s="29"/>
      <c r="LU205" s="29"/>
      <c r="LV205" s="29"/>
      <c r="LW205" s="29"/>
      <c r="LX205" s="29"/>
      <c r="LY205" s="29"/>
      <c r="LZ205" s="29"/>
      <c r="MA205" s="29"/>
      <c r="MB205" s="29"/>
      <c r="MC205" s="29"/>
      <c r="MD205" s="29"/>
      <c r="ME205" s="29"/>
      <c r="MF205" s="29"/>
      <c r="MG205" s="29"/>
      <c r="MH205" s="29"/>
      <c r="MI205" s="29"/>
      <c r="MJ205" s="29"/>
      <c r="MK205" s="29"/>
      <c r="ML205" s="29"/>
      <c r="MM205" s="29"/>
      <c r="MN205" s="29"/>
      <c r="MO205" s="29"/>
      <c r="MP205" s="29"/>
      <c r="MQ205" s="29"/>
      <c r="MR205" s="29"/>
      <c r="MS205" s="29"/>
      <c r="MT205" s="29"/>
      <c r="MU205" s="29"/>
      <c r="MV205" s="29"/>
      <c r="MW205" s="29"/>
      <c r="MX205" s="29"/>
      <c r="MY205" s="29"/>
      <c r="MZ205" s="29"/>
      <c r="NA205" s="29"/>
      <c r="NB205" s="29"/>
      <c r="NC205" s="29"/>
      <c r="ND205" s="29"/>
      <c r="NE205" s="29"/>
      <c r="NF205" s="29"/>
      <c r="NG205" s="29"/>
      <c r="NH205" s="29"/>
      <c r="NI205" s="29"/>
      <c r="NJ205" s="29"/>
      <c r="NK205" s="29"/>
      <c r="NL205" s="29"/>
      <c r="NM205" s="29"/>
      <c r="NN205" s="29"/>
      <c r="NO205" s="29"/>
      <c r="NP205" s="29"/>
      <c r="NQ205" s="29"/>
      <c r="NR205" s="29"/>
      <c r="NS205" s="29"/>
      <c r="NT205" s="29"/>
      <c r="NU205" s="29"/>
      <c r="NV205" s="29"/>
      <c r="NW205" s="29"/>
      <c r="NX205" s="29"/>
      <c r="NY205" s="29"/>
      <c r="NZ205" s="29"/>
      <c r="OA205" s="29"/>
      <c r="OB205" s="29"/>
      <c r="OC205" s="29"/>
      <c r="OD205" s="29"/>
      <c r="OE205" s="29"/>
      <c r="OF205" s="29"/>
      <c r="OG205" s="29"/>
      <c r="OH205" s="29"/>
      <c r="OI205" s="29"/>
      <c r="OJ205" s="29"/>
      <c r="OK205" s="29"/>
      <c r="OL205" s="29"/>
      <c r="OM205" s="29"/>
      <c r="ON205" s="29"/>
      <c r="OO205" s="29"/>
      <c r="OP205" s="29"/>
      <c r="OQ205" s="29"/>
      <c r="OR205" s="29"/>
      <c r="OS205" s="29"/>
      <c r="OT205" s="29"/>
      <c r="OU205" s="29"/>
      <c r="OV205" s="29"/>
      <c r="OW205" s="29"/>
      <c r="OX205" s="29"/>
      <c r="OY205" s="29"/>
      <c r="OZ205" s="29"/>
      <c r="PA205" s="29"/>
      <c r="PB205" s="29"/>
      <c r="PC205" s="29"/>
      <c r="PD205" s="29"/>
      <c r="PE205" s="29"/>
      <c r="PF205" s="29"/>
      <c r="PG205" s="29"/>
      <c r="PH205" s="29"/>
      <c r="PI205" s="29"/>
      <c r="PJ205" s="29"/>
      <c r="PK205" s="29"/>
      <c r="PL205" s="29"/>
      <c r="PM205" s="29"/>
      <c r="PN205" s="29"/>
      <c r="PO205" s="29"/>
      <c r="PP205" s="29"/>
      <c r="PQ205" s="29"/>
      <c r="PR205" s="29"/>
      <c r="PS205" s="29"/>
      <c r="PT205" s="29"/>
      <c r="PU205" s="29"/>
      <c r="PV205" s="29"/>
      <c r="PW205" s="29"/>
      <c r="PX205" s="29"/>
      <c r="PY205" s="29"/>
      <c r="PZ205" s="29"/>
      <c r="QA205" s="29"/>
      <c r="QB205" s="29"/>
      <c r="QC205" s="29"/>
      <c r="QD205" s="29"/>
      <c r="QE205" s="29"/>
      <c r="QF205" s="29"/>
      <c r="QG205" s="29"/>
      <c r="QH205" s="29"/>
      <c r="QI205" s="29"/>
      <c r="QJ205" s="29"/>
      <c r="QK205" s="29"/>
      <c r="QL205" s="29"/>
      <c r="QM205" s="29"/>
      <c r="QN205" s="29"/>
      <c r="QO205" s="29"/>
      <c r="QP205" s="29"/>
      <c r="QQ205" s="29"/>
      <c r="QR205" s="29"/>
      <c r="QS205" s="29"/>
      <c r="QT205" s="29"/>
      <c r="QU205" s="29"/>
      <c r="QV205" s="29"/>
      <c r="QW205" s="29"/>
      <c r="QX205" s="29"/>
      <c r="QY205" s="29"/>
      <c r="QZ205" s="29"/>
      <c r="RA205" s="29"/>
      <c r="RB205" s="29"/>
      <c r="RC205" s="29"/>
      <c r="RD205" s="29"/>
      <c r="RE205" s="29"/>
      <c r="RF205" s="29"/>
      <c r="RG205" s="29"/>
      <c r="RH205" s="29"/>
      <c r="RI205" s="29"/>
      <c r="RJ205" s="29"/>
      <c r="RK205" s="29"/>
      <c r="RL205" s="29"/>
      <c r="RM205" s="29"/>
      <c r="RN205" s="29"/>
      <c r="RO205" s="29"/>
      <c r="RP205" s="29"/>
      <c r="RQ205" s="29"/>
      <c r="RR205" s="29"/>
      <c r="RS205" s="29"/>
      <c r="RT205" s="29"/>
      <c r="RU205" s="29"/>
      <c r="RV205" s="29"/>
      <c r="RW205" s="29"/>
      <c r="RX205" s="29"/>
      <c r="RY205" s="29"/>
      <c r="RZ205" s="29"/>
      <c r="SA205" s="29"/>
      <c r="SB205" s="29"/>
      <c r="SC205" s="29"/>
      <c r="SD205" s="29"/>
      <c r="SE205" s="29"/>
      <c r="SF205" s="29"/>
      <c r="SG205" s="29"/>
      <c r="SH205" s="29"/>
      <c r="SI205" s="29"/>
      <c r="SJ205" s="29"/>
      <c r="SK205" s="29"/>
      <c r="SL205" s="29"/>
      <c r="SM205" s="29"/>
      <c r="SN205" s="29"/>
      <c r="SO205" s="29"/>
      <c r="SP205" s="29"/>
      <c r="SQ205" s="29"/>
      <c r="SR205" s="29"/>
      <c r="SS205" s="29"/>
      <c r="ST205" s="29"/>
      <c r="SU205" s="29"/>
      <c r="SV205" s="29"/>
      <c r="SW205" s="29"/>
      <c r="SX205" s="29"/>
      <c r="SY205" s="29"/>
      <c r="SZ205" s="29"/>
      <c r="TA205" s="29"/>
      <c r="TB205" s="29"/>
      <c r="TC205" s="29"/>
      <c r="TD205" s="29"/>
      <c r="TE205" s="29"/>
      <c r="TF205" s="29"/>
      <c r="TG205" s="29"/>
      <c r="TH205" s="29"/>
      <c r="TI205" s="29"/>
      <c r="TJ205" s="29"/>
      <c r="TK205" s="29"/>
      <c r="TL205" s="29"/>
      <c r="TM205" s="29"/>
      <c r="TN205" s="29"/>
      <c r="TO205" s="29"/>
      <c r="TP205" s="29"/>
      <c r="TQ205" s="29"/>
      <c r="TR205" s="29"/>
      <c r="TS205" s="29"/>
      <c r="TT205" s="29"/>
      <c r="TU205" s="29"/>
      <c r="TV205" s="29"/>
      <c r="TW205" s="29"/>
      <c r="TX205" s="29"/>
      <c r="TY205" s="29"/>
      <c r="TZ205" s="29"/>
      <c r="UA205" s="29"/>
      <c r="UB205" s="29"/>
      <c r="UC205" s="29"/>
      <c r="UD205" s="29"/>
      <c r="UE205" s="29"/>
      <c r="UF205" s="29"/>
      <c r="UG205" s="29"/>
      <c r="UH205" s="29"/>
      <c r="UI205" s="29"/>
      <c r="UJ205" s="29"/>
      <c r="UK205" s="29"/>
      <c r="UL205" s="29"/>
      <c r="UM205" s="29"/>
      <c r="UN205" s="29"/>
      <c r="UO205" s="29"/>
      <c r="UP205" s="29"/>
      <c r="UQ205" s="29"/>
      <c r="UR205" s="29"/>
      <c r="US205" s="29"/>
      <c r="UT205" s="29"/>
      <c r="UU205" s="29"/>
      <c r="UV205" s="29"/>
      <c r="UW205" s="29"/>
      <c r="UX205" s="29"/>
      <c r="UY205" s="29"/>
      <c r="UZ205" s="29"/>
      <c r="VA205" s="29"/>
      <c r="VB205" s="29"/>
      <c r="VC205" s="29"/>
      <c r="VD205" s="29"/>
      <c r="VE205" s="29"/>
      <c r="VF205" s="29"/>
      <c r="VG205" s="29"/>
      <c r="VH205" s="29"/>
      <c r="VI205" s="29"/>
      <c r="VJ205" s="29"/>
      <c r="VK205" s="29"/>
      <c r="VL205" s="29"/>
      <c r="VM205" s="29"/>
      <c r="VN205" s="29"/>
      <c r="VO205" s="29"/>
      <c r="VP205" s="29"/>
      <c r="VQ205" s="29"/>
      <c r="VR205" s="29"/>
      <c r="VS205" s="29"/>
      <c r="VT205" s="29"/>
      <c r="VU205" s="29"/>
      <c r="VV205" s="29"/>
      <c r="VW205" s="29"/>
      <c r="VX205" s="29"/>
      <c r="VY205" s="29"/>
      <c r="VZ205" s="29"/>
      <c r="WA205" s="29"/>
      <c r="WB205" s="29"/>
      <c r="WC205" s="29"/>
      <c r="WD205" s="29"/>
      <c r="WE205" s="29"/>
      <c r="WF205" s="29"/>
      <c r="WG205" s="29"/>
      <c r="WH205" s="29"/>
      <c r="WI205" s="29"/>
      <c r="WJ205" s="29"/>
      <c r="WK205" s="29"/>
      <c r="WL205" s="29"/>
      <c r="WM205" s="29"/>
      <c r="WN205" s="29"/>
      <c r="WO205" s="29"/>
      <c r="WP205" s="29"/>
      <c r="WQ205" s="29"/>
      <c r="WR205" s="29"/>
      <c r="WS205" s="29"/>
    </row>
    <row r="206" spans="1:617" s="3" customFormat="1" ht="15" thickBot="1" x14ac:dyDescent="0.4">
      <c r="A206" s="33" t="s">
        <v>292</v>
      </c>
      <c r="B206" s="25" t="s">
        <v>293</v>
      </c>
      <c r="C206" s="26"/>
      <c r="D206" s="132"/>
      <c r="E206" s="133"/>
      <c r="F206" s="28"/>
      <c r="G206" s="28" t="str">
        <f t="shared" si="586"/>
        <v/>
      </c>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c r="AS206" s="29"/>
      <c r="AT206" s="29"/>
      <c r="AU206" s="29"/>
      <c r="AV206" s="29"/>
      <c r="AW206" s="29"/>
      <c r="AX206" s="29"/>
      <c r="AY206" s="29"/>
      <c r="AZ206" s="29"/>
      <c r="BA206" s="29"/>
      <c r="BB206" s="29"/>
      <c r="BC206" s="29"/>
      <c r="BD206" s="29"/>
      <c r="BE206" s="29"/>
      <c r="BF206" s="29"/>
      <c r="BG206" s="29"/>
      <c r="BH206" s="29"/>
      <c r="BI206" s="29"/>
      <c r="BJ206" s="29"/>
      <c r="BK206" s="29"/>
      <c r="BL206" s="29"/>
      <c r="BM206" s="29"/>
      <c r="BN206" s="29"/>
      <c r="BO206" s="29"/>
      <c r="BP206" s="29"/>
      <c r="BQ206" s="29"/>
      <c r="BR206" s="29"/>
      <c r="BS206" s="29"/>
      <c r="BT206" s="29"/>
      <c r="BU206" s="29"/>
      <c r="BV206" s="29"/>
      <c r="BW206" s="29"/>
      <c r="BX206" s="29"/>
      <c r="BY206" s="29"/>
      <c r="BZ206" s="29"/>
      <c r="CA206" s="29"/>
      <c r="CB206" s="29"/>
      <c r="CC206" s="29"/>
      <c r="CD206" s="29"/>
      <c r="CE206" s="29"/>
      <c r="CF206" s="29"/>
      <c r="CG206" s="29"/>
      <c r="CH206" s="29"/>
      <c r="CI206" s="29"/>
      <c r="CJ206" s="29"/>
      <c r="CK206" s="29"/>
      <c r="CL206" s="29"/>
      <c r="CM206" s="29"/>
      <c r="CN206" s="29"/>
      <c r="CO206" s="29"/>
      <c r="CP206" s="29"/>
      <c r="CQ206" s="29"/>
      <c r="CR206" s="29"/>
      <c r="CS206" s="29"/>
      <c r="CT206" s="29"/>
      <c r="CU206" s="29"/>
      <c r="CV206" s="29"/>
      <c r="CW206" s="29"/>
      <c r="CX206" s="29"/>
      <c r="CY206" s="29"/>
      <c r="CZ206" s="29"/>
      <c r="DA206" s="29"/>
      <c r="DB206" s="29"/>
      <c r="DC206" s="29"/>
      <c r="DD206" s="29"/>
      <c r="DE206" s="29"/>
      <c r="DF206" s="29"/>
      <c r="DG206" s="29"/>
      <c r="DH206" s="29"/>
      <c r="DI206" s="29"/>
      <c r="DJ206" s="29"/>
      <c r="DK206" s="29"/>
      <c r="DL206" s="29"/>
      <c r="DM206" s="29"/>
      <c r="DN206" s="29"/>
      <c r="DO206" s="29"/>
      <c r="DP206" s="29"/>
      <c r="DQ206" s="29"/>
      <c r="DR206" s="29"/>
      <c r="DS206" s="29"/>
      <c r="DT206" s="29"/>
      <c r="DU206" s="29"/>
      <c r="DV206" s="29"/>
      <c r="DW206" s="29"/>
      <c r="DX206" s="29"/>
      <c r="DY206" s="29"/>
      <c r="DZ206" s="29"/>
      <c r="EA206" s="29"/>
      <c r="EB206" s="29"/>
      <c r="EC206" s="29"/>
      <c r="ED206" s="29"/>
      <c r="EE206" s="29"/>
      <c r="EF206" s="29"/>
      <c r="EG206" s="29"/>
      <c r="EH206" s="29"/>
      <c r="EI206" s="29"/>
      <c r="EJ206" s="29"/>
      <c r="EK206" s="29"/>
      <c r="EL206" s="29"/>
      <c r="EM206" s="29"/>
      <c r="EN206" s="29"/>
      <c r="EO206" s="29"/>
      <c r="EP206" s="29"/>
      <c r="EQ206" s="29"/>
      <c r="ER206" s="29"/>
      <c r="ES206" s="29"/>
      <c r="ET206" s="29"/>
      <c r="EU206" s="29"/>
      <c r="EV206" s="29"/>
      <c r="EW206" s="29"/>
      <c r="EX206" s="29"/>
      <c r="EY206" s="29"/>
      <c r="EZ206" s="29"/>
      <c r="FA206" s="29"/>
      <c r="FB206" s="29"/>
      <c r="FC206" s="29"/>
      <c r="FD206" s="29"/>
      <c r="FE206" s="29"/>
      <c r="FF206" s="29"/>
      <c r="FG206" s="29"/>
      <c r="FH206" s="29"/>
      <c r="FI206" s="29"/>
      <c r="FJ206" s="29"/>
      <c r="FK206" s="29"/>
      <c r="FL206" s="29"/>
      <c r="FM206" s="29"/>
      <c r="FN206" s="29"/>
      <c r="FO206" s="29"/>
      <c r="FP206" s="29"/>
      <c r="FQ206" s="29"/>
      <c r="FR206" s="29"/>
      <c r="FS206" s="29"/>
      <c r="FT206" s="29"/>
      <c r="FU206" s="29"/>
      <c r="FV206" s="29"/>
      <c r="FW206" s="29"/>
      <c r="FX206" s="29"/>
      <c r="FY206" s="29"/>
      <c r="FZ206" s="29"/>
      <c r="GA206" s="29"/>
      <c r="GB206" s="29"/>
      <c r="GC206" s="29"/>
      <c r="GD206" s="29"/>
      <c r="GE206" s="29"/>
      <c r="GF206" s="29"/>
      <c r="GG206" s="29"/>
      <c r="GH206" s="29"/>
      <c r="GI206" s="29"/>
      <c r="GJ206" s="29"/>
      <c r="GK206" s="29"/>
      <c r="GL206" s="29"/>
      <c r="GM206" s="29"/>
      <c r="GN206" s="29"/>
      <c r="GO206" s="29"/>
      <c r="GP206" s="29"/>
      <c r="GQ206" s="29"/>
      <c r="GR206" s="29"/>
      <c r="GS206" s="29"/>
      <c r="GT206" s="29"/>
      <c r="GU206" s="29"/>
      <c r="GV206" s="29"/>
      <c r="GW206" s="29"/>
      <c r="GX206" s="29"/>
      <c r="GY206" s="29"/>
      <c r="GZ206" s="29"/>
      <c r="HA206" s="29"/>
      <c r="HB206" s="29"/>
      <c r="HC206" s="29"/>
      <c r="HD206" s="29"/>
      <c r="HE206" s="29"/>
      <c r="HF206" s="29"/>
      <c r="HG206" s="29"/>
      <c r="HH206" s="29"/>
      <c r="HI206" s="29"/>
      <c r="HJ206" s="29"/>
      <c r="HK206" s="29"/>
      <c r="HL206" s="29"/>
      <c r="HM206" s="29"/>
      <c r="HN206" s="29"/>
      <c r="HO206" s="29"/>
      <c r="HP206" s="29"/>
      <c r="HQ206" s="29"/>
      <c r="HR206" s="29"/>
      <c r="HS206" s="29"/>
      <c r="HT206" s="29"/>
      <c r="HU206" s="29"/>
      <c r="HV206" s="29"/>
      <c r="HW206" s="29"/>
      <c r="HX206" s="29"/>
      <c r="HY206" s="29"/>
      <c r="HZ206" s="29"/>
      <c r="IA206" s="29"/>
      <c r="IB206" s="29"/>
      <c r="IC206" s="29"/>
      <c r="ID206" s="29"/>
      <c r="IE206" s="29"/>
      <c r="IF206" s="29"/>
      <c r="IG206" s="29"/>
      <c r="IH206" s="29"/>
      <c r="II206" s="29"/>
      <c r="IJ206" s="29"/>
      <c r="IK206" s="29"/>
      <c r="IL206" s="29"/>
      <c r="IM206" s="29"/>
      <c r="IN206" s="29"/>
      <c r="IO206" s="29"/>
      <c r="IP206" s="29"/>
      <c r="IQ206" s="29"/>
      <c r="IR206" s="29"/>
      <c r="IS206" s="29"/>
      <c r="IT206" s="29"/>
      <c r="IU206" s="29"/>
      <c r="IV206" s="29"/>
      <c r="IW206" s="29"/>
      <c r="IX206" s="29"/>
      <c r="IY206" s="29"/>
      <c r="IZ206" s="29"/>
      <c r="JA206" s="29"/>
      <c r="JB206" s="29"/>
      <c r="JC206" s="29"/>
      <c r="JD206" s="29"/>
      <c r="JE206" s="29"/>
      <c r="JF206" s="29"/>
      <c r="JG206" s="29"/>
      <c r="JH206" s="29"/>
      <c r="JI206" s="29"/>
      <c r="JJ206" s="29"/>
      <c r="JK206" s="29"/>
      <c r="JL206" s="29"/>
      <c r="JM206" s="29"/>
      <c r="JN206" s="29"/>
      <c r="JO206" s="29"/>
      <c r="JP206" s="29"/>
      <c r="JQ206" s="29"/>
      <c r="JR206" s="29"/>
      <c r="JS206" s="29"/>
      <c r="JT206" s="29"/>
      <c r="JU206" s="29"/>
      <c r="JV206" s="29"/>
      <c r="JW206" s="29"/>
      <c r="JX206" s="29"/>
      <c r="JY206" s="29"/>
      <c r="JZ206" s="29"/>
      <c r="KA206" s="29"/>
      <c r="KB206" s="29"/>
      <c r="KC206" s="29"/>
      <c r="KD206" s="29"/>
      <c r="KE206" s="29"/>
      <c r="KF206" s="29"/>
      <c r="KG206" s="29"/>
      <c r="KH206" s="29"/>
      <c r="KI206" s="29"/>
      <c r="KJ206" s="29"/>
      <c r="KK206" s="29"/>
      <c r="KL206" s="29"/>
      <c r="KM206" s="29"/>
      <c r="KN206" s="29"/>
      <c r="KO206" s="29"/>
      <c r="KP206" s="29"/>
      <c r="KQ206" s="29"/>
      <c r="KR206" s="29"/>
      <c r="KS206" s="29"/>
      <c r="KT206" s="29"/>
      <c r="KU206" s="29"/>
      <c r="KV206" s="29"/>
      <c r="KW206" s="29"/>
      <c r="KX206" s="29"/>
      <c r="KY206" s="29"/>
      <c r="KZ206" s="29"/>
      <c r="LA206" s="29"/>
      <c r="LB206" s="29"/>
      <c r="LC206" s="29"/>
      <c r="LD206" s="29"/>
      <c r="LE206" s="29"/>
      <c r="LF206" s="29"/>
      <c r="LG206" s="29"/>
      <c r="LH206" s="29"/>
      <c r="LI206" s="29"/>
      <c r="LJ206" s="29"/>
      <c r="LK206" s="29"/>
      <c r="LL206" s="29"/>
      <c r="LM206" s="29"/>
      <c r="LN206" s="29"/>
      <c r="LO206" s="29"/>
      <c r="LP206" s="29"/>
      <c r="LQ206" s="29"/>
      <c r="LR206" s="29"/>
      <c r="LS206" s="29"/>
      <c r="LT206" s="29"/>
      <c r="LU206" s="29"/>
      <c r="LV206" s="29"/>
      <c r="LW206" s="29"/>
      <c r="LX206" s="29"/>
      <c r="LY206" s="29"/>
      <c r="LZ206" s="29"/>
      <c r="MA206" s="29"/>
      <c r="MB206" s="29"/>
      <c r="MC206" s="29"/>
      <c r="MD206" s="29"/>
      <c r="ME206" s="29"/>
      <c r="MF206" s="29"/>
      <c r="MG206" s="29"/>
      <c r="MH206" s="29"/>
      <c r="MI206" s="29"/>
      <c r="MJ206" s="29"/>
      <c r="MK206" s="29"/>
      <c r="ML206" s="29"/>
      <c r="MM206" s="29"/>
      <c r="MN206" s="29"/>
      <c r="MO206" s="29"/>
      <c r="MP206" s="29"/>
      <c r="MQ206" s="29"/>
      <c r="MR206" s="29"/>
      <c r="MS206" s="29"/>
      <c r="MT206" s="29"/>
      <c r="MU206" s="29"/>
      <c r="MV206" s="29"/>
      <c r="MW206" s="29"/>
      <c r="MX206" s="29"/>
      <c r="MY206" s="29"/>
      <c r="MZ206" s="29"/>
      <c r="NA206" s="29"/>
      <c r="NB206" s="29"/>
      <c r="NC206" s="29"/>
      <c r="ND206" s="29"/>
      <c r="NE206" s="29"/>
      <c r="NF206" s="29"/>
      <c r="NG206" s="29"/>
      <c r="NH206" s="29"/>
      <c r="NI206" s="29"/>
      <c r="NJ206" s="29"/>
      <c r="NK206" s="29"/>
      <c r="NL206" s="29"/>
      <c r="NM206" s="29"/>
      <c r="NN206" s="29"/>
      <c r="NO206" s="29"/>
      <c r="NP206" s="29"/>
      <c r="NQ206" s="29"/>
      <c r="NR206" s="29"/>
      <c r="NS206" s="29"/>
      <c r="NT206" s="29"/>
      <c r="NU206" s="29"/>
      <c r="NV206" s="29"/>
      <c r="NW206" s="29"/>
      <c r="NX206" s="29"/>
      <c r="NY206" s="29"/>
      <c r="NZ206" s="29"/>
      <c r="OA206" s="29"/>
      <c r="OB206" s="29"/>
      <c r="OC206" s="29"/>
      <c r="OD206" s="29"/>
      <c r="OE206" s="29"/>
      <c r="OF206" s="29"/>
      <c r="OG206" s="29"/>
      <c r="OH206" s="29"/>
      <c r="OI206" s="29"/>
      <c r="OJ206" s="29"/>
      <c r="OK206" s="29"/>
      <c r="OL206" s="29"/>
      <c r="OM206" s="29"/>
      <c r="ON206" s="29"/>
      <c r="OO206" s="29"/>
      <c r="OP206" s="29"/>
      <c r="OQ206" s="29"/>
      <c r="OR206" s="29"/>
      <c r="OS206" s="29"/>
      <c r="OT206" s="29"/>
      <c r="OU206" s="29"/>
      <c r="OV206" s="29"/>
      <c r="OW206" s="29"/>
      <c r="OX206" s="29"/>
      <c r="OY206" s="29"/>
      <c r="OZ206" s="29"/>
      <c r="PA206" s="29"/>
      <c r="PB206" s="29"/>
      <c r="PC206" s="29"/>
      <c r="PD206" s="29"/>
      <c r="PE206" s="29"/>
      <c r="PF206" s="29"/>
      <c r="PG206" s="29"/>
      <c r="PH206" s="29"/>
      <c r="PI206" s="29"/>
      <c r="PJ206" s="29"/>
      <c r="PK206" s="29"/>
      <c r="PL206" s="29"/>
      <c r="PM206" s="29"/>
      <c r="PN206" s="29"/>
      <c r="PO206" s="29"/>
      <c r="PP206" s="29"/>
      <c r="PQ206" s="29"/>
      <c r="PR206" s="29"/>
      <c r="PS206" s="29"/>
      <c r="PT206" s="29"/>
      <c r="PU206" s="29"/>
      <c r="PV206" s="29"/>
      <c r="PW206" s="29"/>
      <c r="PX206" s="29"/>
      <c r="PY206" s="29"/>
      <c r="PZ206" s="29"/>
      <c r="QA206" s="29"/>
      <c r="QB206" s="29"/>
      <c r="QC206" s="29"/>
      <c r="QD206" s="29"/>
      <c r="QE206" s="29"/>
      <c r="QF206" s="29"/>
      <c r="QG206" s="29"/>
      <c r="QH206" s="29"/>
      <c r="QI206" s="29"/>
      <c r="QJ206" s="29"/>
      <c r="QK206" s="29"/>
      <c r="QL206" s="29"/>
      <c r="QM206" s="29"/>
      <c r="QN206" s="29"/>
      <c r="QO206" s="29"/>
      <c r="QP206" s="29"/>
      <c r="QQ206" s="29"/>
      <c r="QR206" s="29"/>
      <c r="QS206" s="29"/>
      <c r="QT206" s="29"/>
      <c r="QU206" s="29"/>
      <c r="QV206" s="29"/>
      <c r="QW206" s="29"/>
      <c r="QX206" s="29"/>
      <c r="QY206" s="29"/>
      <c r="QZ206" s="29"/>
      <c r="RA206" s="29"/>
      <c r="RB206" s="29"/>
      <c r="RC206" s="29"/>
      <c r="RD206" s="29"/>
      <c r="RE206" s="29"/>
      <c r="RF206" s="29"/>
      <c r="RG206" s="29"/>
      <c r="RH206" s="29"/>
      <c r="RI206" s="29"/>
      <c r="RJ206" s="29"/>
      <c r="RK206" s="29"/>
      <c r="RL206" s="29"/>
      <c r="RM206" s="29"/>
      <c r="RN206" s="29"/>
      <c r="RO206" s="29"/>
      <c r="RP206" s="29"/>
      <c r="RQ206" s="29"/>
      <c r="RR206" s="29"/>
      <c r="RS206" s="29"/>
      <c r="RT206" s="29"/>
      <c r="RU206" s="29"/>
      <c r="RV206" s="29"/>
      <c r="RW206" s="29"/>
      <c r="RX206" s="29"/>
      <c r="RY206" s="29"/>
      <c r="RZ206" s="29"/>
      <c r="SA206" s="29"/>
      <c r="SB206" s="29"/>
      <c r="SC206" s="29"/>
      <c r="SD206" s="29"/>
      <c r="SE206" s="29"/>
      <c r="SF206" s="29"/>
      <c r="SG206" s="29"/>
      <c r="SH206" s="29"/>
      <c r="SI206" s="29"/>
      <c r="SJ206" s="29"/>
      <c r="SK206" s="29"/>
      <c r="SL206" s="29"/>
      <c r="SM206" s="29"/>
      <c r="SN206" s="29"/>
      <c r="SO206" s="29"/>
      <c r="SP206" s="29"/>
      <c r="SQ206" s="29"/>
      <c r="SR206" s="29"/>
      <c r="SS206" s="29"/>
      <c r="ST206" s="29"/>
      <c r="SU206" s="29"/>
      <c r="SV206" s="29"/>
      <c r="SW206" s="29"/>
      <c r="SX206" s="29"/>
      <c r="SY206" s="29"/>
      <c r="SZ206" s="29"/>
      <c r="TA206" s="29"/>
      <c r="TB206" s="29"/>
      <c r="TC206" s="29"/>
      <c r="TD206" s="29"/>
      <c r="TE206" s="29"/>
      <c r="TF206" s="29"/>
      <c r="TG206" s="29"/>
      <c r="TH206" s="29"/>
      <c r="TI206" s="29"/>
      <c r="TJ206" s="29"/>
      <c r="TK206" s="29"/>
      <c r="TL206" s="29"/>
      <c r="TM206" s="29"/>
      <c r="TN206" s="29"/>
      <c r="TO206" s="29"/>
      <c r="TP206" s="29"/>
      <c r="TQ206" s="29"/>
      <c r="TR206" s="29"/>
      <c r="TS206" s="29"/>
      <c r="TT206" s="29"/>
      <c r="TU206" s="29"/>
      <c r="TV206" s="29"/>
      <c r="TW206" s="29"/>
      <c r="TX206" s="29"/>
      <c r="TY206" s="29"/>
      <c r="TZ206" s="29"/>
      <c r="UA206" s="29"/>
      <c r="UB206" s="29"/>
      <c r="UC206" s="29"/>
      <c r="UD206" s="29"/>
      <c r="UE206" s="29"/>
      <c r="UF206" s="29"/>
      <c r="UG206" s="29"/>
      <c r="UH206" s="29"/>
      <c r="UI206" s="29"/>
      <c r="UJ206" s="29"/>
      <c r="UK206" s="29"/>
      <c r="UL206" s="29"/>
      <c r="UM206" s="29"/>
      <c r="UN206" s="29"/>
      <c r="UO206" s="29"/>
      <c r="UP206" s="29"/>
      <c r="UQ206" s="29"/>
      <c r="UR206" s="29"/>
      <c r="US206" s="29"/>
      <c r="UT206" s="29"/>
      <c r="UU206" s="29"/>
      <c r="UV206" s="29"/>
      <c r="UW206" s="29"/>
      <c r="UX206" s="29"/>
      <c r="UY206" s="29"/>
      <c r="UZ206" s="29"/>
      <c r="VA206" s="29"/>
      <c r="VB206" s="29"/>
      <c r="VC206" s="29"/>
      <c r="VD206" s="29"/>
      <c r="VE206" s="29"/>
      <c r="VF206" s="29"/>
      <c r="VG206" s="29"/>
      <c r="VH206" s="29"/>
      <c r="VI206" s="29"/>
      <c r="VJ206" s="29"/>
      <c r="VK206" s="29"/>
      <c r="VL206" s="29"/>
      <c r="VM206" s="29"/>
      <c r="VN206" s="29"/>
      <c r="VO206" s="29"/>
      <c r="VP206" s="29"/>
      <c r="VQ206" s="29"/>
      <c r="VR206" s="29"/>
      <c r="VS206" s="29"/>
      <c r="VT206" s="29"/>
      <c r="VU206" s="29"/>
      <c r="VV206" s="29"/>
      <c r="VW206" s="29"/>
      <c r="VX206" s="29"/>
      <c r="VY206" s="29"/>
      <c r="VZ206" s="29"/>
      <c r="WA206" s="29"/>
      <c r="WB206" s="29"/>
      <c r="WC206" s="29"/>
      <c r="WD206" s="29"/>
      <c r="WE206" s="29"/>
      <c r="WF206" s="29"/>
      <c r="WG206" s="29"/>
      <c r="WH206" s="29"/>
      <c r="WI206" s="29"/>
      <c r="WJ206" s="29"/>
      <c r="WK206" s="29"/>
      <c r="WL206" s="29"/>
      <c r="WM206" s="29"/>
      <c r="WN206" s="29"/>
      <c r="WO206" s="29"/>
      <c r="WP206" s="29"/>
      <c r="WQ206" s="29"/>
      <c r="WR206" s="29"/>
      <c r="WS206" s="29"/>
    </row>
    <row r="207" spans="1:617" s="3" customFormat="1" ht="409.6" thickBot="1" x14ac:dyDescent="0.4">
      <c r="A207" s="34" t="s">
        <v>294</v>
      </c>
      <c r="B207"/>
      <c r="C207" s="5"/>
      <c r="D207" s="111"/>
      <c r="E207" s="111"/>
      <c r="F207"/>
      <c r="G207"/>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c r="AJ207" s="31"/>
      <c r="AK207" s="31"/>
      <c r="AL207" s="31"/>
      <c r="AM207" s="31"/>
      <c r="AN207" s="31"/>
      <c r="AO207" s="31"/>
      <c r="AP207" s="31"/>
      <c r="AQ207" s="31"/>
      <c r="AR207" s="31"/>
      <c r="AS207" s="31"/>
      <c r="AT207" s="31"/>
      <c r="AU207" s="31"/>
      <c r="AV207" s="31"/>
      <c r="AW207" s="31"/>
      <c r="AX207" s="31"/>
      <c r="AY207" s="31"/>
      <c r="AZ207" s="31"/>
      <c r="BA207" s="31"/>
      <c r="BB207" s="31"/>
      <c r="BC207" s="31"/>
      <c r="BD207" s="31"/>
      <c r="BE207" s="31"/>
      <c r="BF207" s="31"/>
      <c r="BG207" s="31"/>
      <c r="BH207" s="31"/>
      <c r="BI207" s="31"/>
      <c r="BJ207" s="31"/>
      <c r="BK207" s="31"/>
      <c r="BL207" s="31"/>
      <c r="BM207" s="31"/>
      <c r="BN207" s="31"/>
      <c r="BO207" s="31"/>
      <c r="BP207" s="31"/>
      <c r="BQ207" s="31"/>
      <c r="BR207" s="31"/>
      <c r="BS207" s="31"/>
      <c r="BT207" s="31"/>
      <c r="BU207" s="31"/>
      <c r="BV207" s="31"/>
      <c r="BW207" s="31"/>
      <c r="BX207" s="31"/>
      <c r="BY207" s="31"/>
      <c r="BZ207" s="31"/>
      <c r="CA207" s="31"/>
      <c r="CB207" s="31"/>
      <c r="CC207" s="31"/>
      <c r="CD207" s="31"/>
      <c r="CE207" s="31"/>
      <c r="CF207" s="31"/>
      <c r="CG207" s="31"/>
      <c r="CH207" s="31"/>
      <c r="CI207" s="31"/>
      <c r="CJ207" s="31"/>
      <c r="CK207" s="31"/>
      <c r="CL207" s="31"/>
      <c r="CM207" s="31"/>
      <c r="CN207" s="31"/>
      <c r="CO207" s="31"/>
      <c r="CP207" s="31"/>
      <c r="CQ207" s="31"/>
      <c r="CR207" s="31"/>
      <c r="CS207" s="31"/>
      <c r="CT207" s="31"/>
      <c r="CU207" s="31"/>
      <c r="CV207" s="31"/>
      <c r="CW207" s="31"/>
      <c r="CX207" s="31"/>
      <c r="CY207" s="31"/>
      <c r="CZ207" s="31"/>
      <c r="DA207" s="31"/>
      <c r="DB207" s="31"/>
      <c r="DC207" s="31"/>
      <c r="DD207" s="31"/>
      <c r="DE207" s="31"/>
      <c r="DF207" s="31"/>
      <c r="DG207" s="31"/>
      <c r="DH207" s="31"/>
      <c r="DI207" s="31"/>
      <c r="DJ207" s="31"/>
      <c r="DK207" s="31"/>
      <c r="DL207" s="31"/>
      <c r="DM207" s="31"/>
      <c r="DN207" s="31"/>
      <c r="DO207" s="31"/>
      <c r="DP207" s="31"/>
      <c r="DQ207" s="31"/>
      <c r="DR207" s="31"/>
      <c r="DS207" s="31"/>
      <c r="DT207" s="31"/>
      <c r="DU207" s="31"/>
      <c r="DV207" s="31"/>
      <c r="DW207" s="31"/>
      <c r="DX207" s="31"/>
      <c r="DY207" s="31"/>
      <c r="DZ207" s="31"/>
      <c r="EA207" s="31"/>
      <c r="EB207" s="31"/>
      <c r="EC207" s="31"/>
      <c r="ED207" s="31"/>
      <c r="EE207" s="31"/>
      <c r="EF207" s="31"/>
      <c r="EG207" s="31"/>
      <c r="EH207" s="31"/>
      <c r="EI207" s="31"/>
      <c r="EJ207" s="31"/>
      <c r="EK207" s="31"/>
      <c r="EL207" s="31"/>
      <c r="EM207" s="31"/>
      <c r="EN207" s="31"/>
      <c r="EO207" s="31"/>
      <c r="EP207" s="31"/>
      <c r="EQ207" s="31"/>
      <c r="ER207" s="31"/>
      <c r="ES207" s="31"/>
      <c r="ET207" s="31"/>
      <c r="EU207" s="31"/>
      <c r="EV207" s="31"/>
      <c r="EW207" s="31"/>
      <c r="EX207" s="31"/>
      <c r="EY207" s="31"/>
      <c r="EZ207" s="31"/>
      <c r="FA207" s="31"/>
      <c r="FB207" s="31"/>
      <c r="FC207" s="31"/>
      <c r="FD207" s="31"/>
      <c r="FE207" s="31"/>
      <c r="FF207" s="31"/>
      <c r="FG207" s="31"/>
      <c r="FH207" s="31"/>
      <c r="FI207" s="31"/>
      <c r="FJ207" s="31"/>
      <c r="FK207" s="31"/>
      <c r="FL207" s="31"/>
      <c r="FM207" s="31"/>
      <c r="FN207" s="31"/>
      <c r="FO207" s="31"/>
      <c r="FP207" s="31"/>
      <c r="FQ207" s="31"/>
      <c r="FR207" s="31"/>
      <c r="FS207" s="31"/>
      <c r="FT207" s="31"/>
      <c r="FU207" s="31"/>
      <c r="FV207" s="31"/>
      <c r="FW207" s="31"/>
      <c r="FX207" s="31"/>
      <c r="FY207" s="31"/>
      <c r="FZ207" s="31"/>
      <c r="GA207" s="31"/>
      <c r="GB207" s="31"/>
      <c r="GC207" s="31"/>
      <c r="GD207" s="31"/>
      <c r="GE207" s="31"/>
      <c r="GF207" s="31"/>
      <c r="GG207" s="31"/>
      <c r="GH207" s="31"/>
      <c r="GI207" s="31"/>
      <c r="GJ207" s="31"/>
      <c r="GK207" s="31"/>
      <c r="GL207" s="31"/>
      <c r="GM207" s="31"/>
      <c r="GN207" s="31"/>
      <c r="GO207" s="31"/>
      <c r="GP207" s="31"/>
      <c r="GQ207" s="31"/>
      <c r="GR207" s="31"/>
      <c r="GS207" s="31"/>
      <c r="GT207" s="31"/>
      <c r="GU207" s="31"/>
      <c r="GV207" s="31"/>
      <c r="GW207" s="31"/>
      <c r="GX207" s="31"/>
      <c r="GY207" s="31"/>
      <c r="GZ207" s="31"/>
      <c r="HA207" s="31"/>
      <c r="HB207" s="31"/>
      <c r="HC207" s="31"/>
      <c r="HD207" s="31"/>
      <c r="HE207" s="31"/>
      <c r="HF207" s="31"/>
      <c r="HG207" s="31"/>
      <c r="HH207" s="31"/>
      <c r="HI207" s="31"/>
      <c r="HJ207" s="31"/>
      <c r="HK207" s="31"/>
      <c r="HL207" s="31"/>
      <c r="HM207" s="31"/>
      <c r="HN207" s="31"/>
      <c r="HO207" s="31"/>
      <c r="HP207" s="31"/>
      <c r="HQ207" s="31"/>
      <c r="HR207" s="31"/>
      <c r="HS207" s="31"/>
      <c r="HT207" s="31"/>
      <c r="HU207" s="31"/>
      <c r="HV207" s="31"/>
      <c r="HW207" s="31"/>
      <c r="HX207" s="31"/>
      <c r="HY207" s="31"/>
      <c r="HZ207" s="31"/>
      <c r="IA207" s="31"/>
      <c r="IB207" s="31"/>
      <c r="IC207" s="31"/>
      <c r="ID207" s="31"/>
      <c r="IE207" s="31"/>
      <c r="IF207" s="31"/>
      <c r="IG207" s="31"/>
      <c r="IH207" s="31"/>
      <c r="II207" s="31"/>
      <c r="IJ207" s="31"/>
      <c r="IK207" s="31"/>
      <c r="IL207" s="31"/>
      <c r="IM207" s="31"/>
      <c r="IN207" s="31"/>
      <c r="IO207" s="31"/>
      <c r="IP207" s="31"/>
      <c r="IQ207" s="31"/>
      <c r="IR207" s="31"/>
      <c r="IS207" s="31"/>
      <c r="IT207" s="31"/>
      <c r="IU207" s="31"/>
      <c r="IV207" s="31"/>
      <c r="IW207" s="31"/>
      <c r="IX207" s="31"/>
      <c r="IY207" s="31"/>
      <c r="IZ207" s="31"/>
      <c r="JA207" s="31"/>
      <c r="JB207" s="31"/>
      <c r="JC207" s="31"/>
      <c r="JD207" s="31"/>
      <c r="JE207" s="31"/>
      <c r="JF207" s="31"/>
      <c r="JG207" s="31"/>
      <c r="JH207" s="31"/>
      <c r="JI207" s="31"/>
      <c r="JJ207" s="31"/>
      <c r="JK207" s="31"/>
      <c r="JL207" s="31"/>
      <c r="JM207" s="31"/>
      <c r="JN207" s="31"/>
      <c r="JO207" s="31"/>
      <c r="JP207" s="31"/>
      <c r="JQ207" s="31"/>
      <c r="JR207" s="31"/>
      <c r="JS207" s="31"/>
      <c r="JT207" s="31"/>
      <c r="JU207" s="31"/>
      <c r="JV207" s="31"/>
      <c r="JW207" s="31"/>
      <c r="JX207" s="31"/>
      <c r="JY207" s="31"/>
      <c r="JZ207" s="31"/>
      <c r="KA207" s="31"/>
      <c r="KB207" s="31"/>
      <c r="KC207" s="31"/>
      <c r="KD207" s="31"/>
      <c r="KE207" s="31"/>
      <c r="KF207" s="31"/>
      <c r="KG207" s="31"/>
      <c r="KH207" s="31"/>
      <c r="KI207" s="31"/>
      <c r="KJ207" s="31"/>
      <c r="KK207" s="31"/>
      <c r="KL207" s="31"/>
      <c r="KM207" s="31"/>
      <c r="KN207" s="31"/>
      <c r="KO207" s="31"/>
      <c r="KP207" s="31"/>
      <c r="KQ207" s="31"/>
      <c r="KR207" s="31"/>
      <c r="KS207" s="31"/>
      <c r="KT207" s="31"/>
      <c r="KU207" s="31"/>
      <c r="KV207" s="31"/>
      <c r="KW207" s="31"/>
      <c r="KX207" s="31"/>
      <c r="KY207" s="31"/>
      <c r="KZ207" s="31"/>
      <c r="LA207" s="31"/>
      <c r="LB207" s="31"/>
      <c r="LC207" s="31"/>
      <c r="LD207" s="31"/>
      <c r="LE207" s="31"/>
      <c r="LF207" s="31"/>
      <c r="LG207" s="31"/>
      <c r="LH207" s="31"/>
      <c r="LI207" s="31"/>
      <c r="LJ207" s="31"/>
      <c r="LK207" s="31"/>
      <c r="LL207" s="31"/>
      <c r="LM207" s="31"/>
      <c r="LN207" s="31"/>
      <c r="LO207" s="31"/>
      <c r="LP207" s="31"/>
      <c r="LQ207" s="31"/>
      <c r="LR207" s="31"/>
      <c r="LS207" s="31"/>
      <c r="LT207" s="31"/>
      <c r="LU207" s="31"/>
      <c r="LV207" s="31"/>
      <c r="LW207" s="31"/>
      <c r="LX207" s="31"/>
      <c r="LY207" s="31"/>
      <c r="LZ207" s="31"/>
      <c r="MA207" s="31"/>
      <c r="MB207" s="31"/>
      <c r="MC207" s="31"/>
      <c r="MD207" s="31"/>
      <c r="ME207" s="31"/>
      <c r="MF207" s="31"/>
      <c r="MG207" s="31"/>
      <c r="MH207" s="31"/>
      <c r="MI207" s="31"/>
      <c r="MJ207" s="31"/>
      <c r="MK207" s="31"/>
      <c r="ML207" s="31"/>
      <c r="MM207" s="31"/>
      <c r="MN207" s="31"/>
      <c r="MO207" s="31"/>
      <c r="MP207" s="31"/>
      <c r="MQ207" s="31"/>
      <c r="MR207" s="31"/>
      <c r="MS207" s="31"/>
      <c r="MT207" s="31"/>
      <c r="MU207" s="31"/>
      <c r="MV207" s="31"/>
      <c r="MW207" s="31"/>
      <c r="MX207" s="31"/>
      <c r="MY207" s="31"/>
      <c r="MZ207" s="31"/>
      <c r="NA207" s="31"/>
      <c r="NB207" s="31"/>
      <c r="NC207" s="31"/>
      <c r="ND207" s="31"/>
      <c r="NE207" s="31"/>
      <c r="NF207" s="31"/>
      <c r="NG207" s="31"/>
      <c r="NH207" s="31"/>
      <c r="NI207" s="31"/>
      <c r="NJ207" s="31"/>
      <c r="NK207" s="31"/>
      <c r="NL207" s="31"/>
      <c r="NM207" s="31"/>
      <c r="NN207" s="31"/>
      <c r="NO207" s="31"/>
      <c r="NP207" s="31"/>
      <c r="NQ207" s="31"/>
      <c r="NR207" s="31"/>
      <c r="NS207" s="31"/>
      <c r="NT207" s="31"/>
      <c r="NU207" s="31"/>
      <c r="NV207" s="31"/>
      <c r="NW207" s="31"/>
      <c r="NX207" s="31"/>
      <c r="NY207" s="31"/>
      <c r="NZ207" s="31"/>
      <c r="OA207" s="31"/>
      <c r="OB207" s="31"/>
      <c r="OC207" s="31"/>
      <c r="OD207" s="31"/>
      <c r="OE207" s="31"/>
      <c r="OF207" s="31"/>
      <c r="OG207" s="31"/>
      <c r="OH207" s="31"/>
      <c r="OI207" s="31"/>
      <c r="OJ207" s="31"/>
      <c r="OK207" s="31"/>
      <c r="OL207" s="31"/>
      <c r="OM207" s="31"/>
      <c r="ON207" s="31"/>
      <c r="OO207" s="31"/>
      <c r="OP207" s="31"/>
      <c r="OQ207" s="31"/>
      <c r="OR207" s="31"/>
      <c r="OS207" s="31"/>
      <c r="OT207" s="31"/>
      <c r="OU207" s="31"/>
      <c r="OV207" s="31"/>
      <c r="OW207" s="31"/>
      <c r="OX207" s="31"/>
      <c r="OY207" s="31"/>
      <c r="OZ207" s="31"/>
      <c r="PA207" s="31"/>
      <c r="PB207" s="31"/>
      <c r="PC207" s="31"/>
      <c r="PD207" s="31"/>
      <c r="PE207" s="31"/>
      <c r="PF207" s="31"/>
      <c r="PG207" s="31"/>
      <c r="PH207" s="31"/>
      <c r="PI207" s="31"/>
      <c r="PJ207" s="31"/>
      <c r="PK207" s="31"/>
      <c r="PL207" s="31"/>
      <c r="PM207" s="31"/>
      <c r="PN207" s="31"/>
      <c r="PO207" s="31"/>
      <c r="PP207" s="31"/>
      <c r="PQ207" s="31"/>
      <c r="PR207" s="31"/>
      <c r="PS207" s="31"/>
      <c r="PT207" s="31"/>
      <c r="PU207" s="31"/>
      <c r="PV207" s="31"/>
      <c r="PW207" s="31"/>
      <c r="PX207" s="31"/>
      <c r="PY207" s="31"/>
      <c r="PZ207" s="31"/>
      <c r="QA207" s="31"/>
      <c r="QB207" s="31"/>
      <c r="QC207" s="31"/>
      <c r="QD207" s="31"/>
      <c r="QE207" s="31"/>
      <c r="QF207" s="31"/>
      <c r="QG207" s="31"/>
      <c r="QH207" s="31"/>
      <c r="QI207" s="31"/>
      <c r="QJ207" s="31"/>
      <c r="QK207" s="31"/>
      <c r="QL207" s="31"/>
      <c r="QM207" s="31"/>
      <c r="QN207" s="31"/>
      <c r="QO207" s="31"/>
      <c r="QP207" s="31"/>
      <c r="QQ207" s="31"/>
      <c r="QR207" s="31"/>
      <c r="QS207" s="31"/>
      <c r="QT207" s="31"/>
      <c r="QU207" s="31"/>
      <c r="QV207" s="31"/>
      <c r="QW207" s="31"/>
      <c r="QX207" s="31"/>
      <c r="QY207" s="31"/>
      <c r="QZ207" s="31"/>
      <c r="RA207" s="31"/>
      <c r="RB207" s="31"/>
      <c r="RC207" s="31"/>
      <c r="RD207" s="31"/>
      <c r="RE207" s="31"/>
      <c r="RF207" s="31"/>
      <c r="RG207" s="31"/>
      <c r="RH207" s="31"/>
      <c r="RI207" s="31"/>
      <c r="RJ207" s="31"/>
      <c r="RK207" s="31"/>
      <c r="RL207" s="31"/>
      <c r="RM207" s="31"/>
      <c r="RN207" s="31"/>
      <c r="RO207" s="31"/>
      <c r="RP207" s="31"/>
      <c r="RQ207" s="31"/>
      <c r="RR207" s="31"/>
      <c r="RS207" s="31"/>
      <c r="RT207" s="31"/>
      <c r="RU207" s="31"/>
      <c r="RV207" s="31"/>
      <c r="RW207" s="31"/>
      <c r="RX207" s="31"/>
      <c r="RY207" s="31"/>
      <c r="RZ207" s="31"/>
      <c r="SA207" s="31"/>
      <c r="SB207" s="31"/>
      <c r="SC207" s="31"/>
      <c r="SD207" s="31"/>
      <c r="SE207" s="31"/>
      <c r="SF207" s="31"/>
      <c r="SG207" s="31"/>
      <c r="SH207" s="31"/>
      <c r="SI207" s="31"/>
      <c r="SJ207" s="31"/>
      <c r="SK207" s="31"/>
      <c r="SL207" s="31"/>
      <c r="SM207" s="31"/>
      <c r="SN207" s="31"/>
      <c r="SO207" s="31"/>
      <c r="SP207" s="31"/>
      <c r="SQ207" s="31"/>
      <c r="SR207" s="31"/>
      <c r="SS207" s="31"/>
      <c r="ST207" s="31"/>
      <c r="SU207" s="31"/>
      <c r="SV207" s="31"/>
      <c r="SW207" s="31"/>
      <c r="SX207" s="31"/>
      <c r="SY207" s="31"/>
      <c r="SZ207" s="31"/>
      <c r="TA207" s="31"/>
      <c r="TB207" s="31"/>
      <c r="TC207" s="31"/>
      <c r="TD207" s="31"/>
      <c r="TE207" s="31"/>
      <c r="TF207" s="31"/>
      <c r="TG207" s="31"/>
      <c r="TH207" s="31"/>
      <c r="TI207" s="31"/>
      <c r="TJ207" s="31"/>
      <c r="TK207" s="31"/>
      <c r="TL207" s="31"/>
      <c r="TM207" s="31"/>
      <c r="TN207" s="31"/>
      <c r="TO207" s="31"/>
      <c r="TP207" s="31"/>
      <c r="TQ207" s="31"/>
      <c r="TR207" s="31"/>
      <c r="TS207" s="31"/>
      <c r="TT207" s="31"/>
      <c r="TU207" s="31"/>
      <c r="TV207" s="31"/>
      <c r="TW207" s="31"/>
      <c r="TX207" s="31"/>
      <c r="TY207" s="31"/>
      <c r="TZ207" s="31"/>
      <c r="UA207" s="31"/>
      <c r="UB207" s="31"/>
      <c r="UC207" s="31"/>
      <c r="UD207" s="31"/>
      <c r="UE207" s="31"/>
      <c r="UF207" s="31"/>
      <c r="UG207" s="31"/>
      <c r="UH207" s="31"/>
      <c r="UI207" s="31"/>
      <c r="UJ207" s="31"/>
      <c r="UK207" s="31"/>
      <c r="UL207" s="31"/>
      <c r="UM207" s="31"/>
      <c r="UN207" s="31"/>
      <c r="UO207" s="31"/>
      <c r="UP207" s="31"/>
      <c r="UQ207" s="31"/>
      <c r="UR207" s="31"/>
      <c r="US207" s="31"/>
      <c r="UT207" s="31"/>
      <c r="UU207" s="31"/>
      <c r="UV207" s="31"/>
      <c r="UW207" s="31"/>
      <c r="UX207" s="31"/>
      <c r="UY207" s="31"/>
      <c r="UZ207" s="31"/>
      <c r="VA207" s="31"/>
      <c r="VB207" s="31"/>
      <c r="VC207" s="31"/>
      <c r="VD207" s="31"/>
      <c r="VE207" s="31"/>
      <c r="VF207" s="31"/>
      <c r="VG207" s="31"/>
      <c r="VH207" s="31"/>
      <c r="VI207" s="31"/>
      <c r="VJ207" s="31"/>
      <c r="VK207" s="31"/>
      <c r="VL207" s="31"/>
      <c r="VM207" s="31"/>
      <c r="VN207" s="31"/>
      <c r="VO207" s="31"/>
      <c r="VP207" s="31"/>
      <c r="VQ207" s="31"/>
      <c r="VR207" s="31"/>
      <c r="VS207" s="31"/>
      <c r="VT207" s="31"/>
      <c r="VU207" s="31"/>
      <c r="VV207" s="31"/>
      <c r="VW207" s="31"/>
      <c r="VX207" s="31"/>
      <c r="VY207" s="31"/>
      <c r="VZ207" s="31"/>
      <c r="WA207" s="31"/>
      <c r="WB207" s="31"/>
      <c r="WC207" s="31"/>
      <c r="WD207" s="31"/>
      <c r="WE207" s="31"/>
      <c r="WF207" s="31"/>
      <c r="WG207" s="31"/>
      <c r="WH207" s="31"/>
      <c r="WI207" s="31"/>
      <c r="WJ207" s="31"/>
      <c r="WK207" s="31"/>
      <c r="WL207" s="31"/>
      <c r="WM207" s="31"/>
      <c r="WN207" s="31"/>
      <c r="WO207" s="31"/>
      <c r="WP207" s="31"/>
      <c r="WQ207" s="31"/>
      <c r="WR207" s="31"/>
      <c r="WS207" s="31"/>
    </row>
  </sheetData>
  <mergeCells count="91">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68:E168"/>
    <mergeCell ref="B65:E65"/>
    <mergeCell ref="B90:E90"/>
    <mergeCell ref="B92:E92"/>
    <mergeCell ref="B95:E95"/>
    <mergeCell ref="B167:E167"/>
    <mergeCell ref="B103:E103"/>
    <mergeCell ref="B104:E104"/>
    <mergeCell ref="B160:E160"/>
    <mergeCell ref="B81:E81"/>
    <mergeCell ref="VL4:VR4"/>
    <mergeCell ref="VX4:WD4"/>
    <mergeCell ref="UB4:UH4"/>
    <mergeCell ref="QV4:RB4"/>
    <mergeCell ref="MN4:MT4"/>
    <mergeCell ref="MU4:NA4"/>
    <mergeCell ref="NB4:NH4"/>
    <mergeCell ref="NI4:NO4"/>
    <mergeCell ref="NP4:NV4"/>
    <mergeCell ref="B195:E195"/>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s>
  <conditionalFormatting sqref="H5:I106 H138:I207">
    <cfRule type="expression" dxfId="67" priority="212">
      <formula>AND(TODAY()&gt;=H$5,TODAY()&lt;J$5)</formula>
    </cfRule>
  </conditionalFormatting>
  <conditionalFormatting sqref="H7:I106 H138:I207">
    <cfRule type="expression" dxfId="66" priority="220" stopIfTrue="1">
      <formula>AND(Término_da_tarefa&gt;=H$5,Início_da_tarefa&lt;J$5)</formula>
    </cfRule>
  </conditionalFormatting>
  <conditionalFormatting sqref="H48:WS106 H7:BL13 BM9:FZ13 GA9:WS47 H14:FZ47 LE75:LF172 J107:WS137 H138:WS207 LE185:LF254">
    <cfRule type="expression" dxfId="65" priority="203">
      <formula>AND(Início_da_tarefa&lt;=H$5,ROUNDDOWN((Término_da_tarefa-Início_da_tarefa+1)*Progresso_da_tarefa,0)+Início_da_tarefa-1&gt;=H$5)</formula>
    </cfRule>
  </conditionalFormatting>
  <conditionalFormatting sqref="J5:BL13 BM9:FZ13 GA9:WS47 J14:FZ47 J48:WS207 LE185:LF254 BM5:GN6">
    <cfRule type="expression" dxfId="64" priority="209">
      <formula>AND(TODAY()&gt;=J$5,TODAY()&lt;K$5)</formula>
    </cfRule>
  </conditionalFormatting>
  <conditionalFormatting sqref="J7:BL13 BM9:FZ13 GA9:WS47 J14:FZ47 J48:WS207 LE185:LF254">
    <cfRule type="expression" dxfId="63" priority="204" stopIfTrue="1">
      <formula>AND(Término_da_tarefa&gt;=J$5,Início_da_tarefa&lt;K$5)</formula>
    </cfRule>
  </conditionalFormatting>
  <conditionalFormatting sqref="BM8:WS8">
    <cfRule type="expression" dxfId="62" priority="11">
      <formula>AND(TODAY()&gt;=BM$5,TODAY()&lt;BN$5)</formula>
    </cfRule>
    <cfRule type="expression" dxfId="61" priority="9">
      <formula>AND(Início_da_tarefa&lt;=BM$5,ROUNDDOWN((Término_da_tarefa-Início_da_tarefa+1)*Progresso_da_tarefa,0)+Início_da_tarefa-1&gt;=BM$5)</formula>
    </cfRule>
    <cfRule type="expression" dxfId="60" priority="10" stopIfTrue="1">
      <formula>AND(Término_da_tarefa&gt;=BM$5,Início_da_tarefa&lt;BN$5)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5">
      <formula>AND(TODAY()&gt;=LE$5,TODAY()&lt;LF$5)</formula>
    </cfRule>
    <cfRule type="expression" dxfId="14" priority="4" stopIfTrue="1">
      <formula>AND(Término_da_tarefa&gt;=LE$5,Início_da_tarefa&lt;LF$5)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C91 C186 C10:C64 C66:C80 C82:C89 C105:C136 C138:C156 C169:C184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6D563-A70C-4485-A649-FBCD363B528E}">
  <dimension ref="A1:C12"/>
  <sheetViews>
    <sheetView workbookViewId="0"/>
  </sheetViews>
  <sheetFormatPr defaultRowHeight="14.5" x14ac:dyDescent="0.35"/>
  <cols>
    <col min="1" max="1" width="43.90625" style="5" customWidth="1"/>
    <col min="2" max="2" width="8.6328125" style="5"/>
    <col min="3" max="3" width="52.6328125" style="5" customWidth="1"/>
  </cols>
  <sheetData>
    <row r="1" spans="1:3" x14ac:dyDescent="0.35">
      <c r="A1" s="211" t="s">
        <v>295</v>
      </c>
      <c r="B1" s="211" t="s">
        <v>296</v>
      </c>
      <c r="C1" s="211" t="s">
        <v>297</v>
      </c>
    </row>
    <row r="2" spans="1:3" x14ac:dyDescent="0.35">
      <c r="A2" s="212" t="s">
        <v>298</v>
      </c>
      <c r="B2" s="211" t="s">
        <v>299</v>
      </c>
      <c r="C2" s="211" t="s">
        <v>300</v>
      </c>
    </row>
    <row r="3" spans="1:3" x14ac:dyDescent="0.35">
      <c r="A3" s="212" t="s">
        <v>301</v>
      </c>
      <c r="B3" s="211" t="s">
        <v>194</v>
      </c>
      <c r="C3" s="213" t="s">
        <v>302</v>
      </c>
    </row>
    <row r="4" spans="1:3" x14ac:dyDescent="0.35">
      <c r="A4" s="212" t="s">
        <v>303</v>
      </c>
      <c r="B4" s="211" t="s">
        <v>299</v>
      </c>
      <c r="C4" s="211" t="s">
        <v>304</v>
      </c>
    </row>
    <row r="5" spans="1:3" x14ac:dyDescent="0.35">
      <c r="A5" s="212" t="s">
        <v>305</v>
      </c>
      <c r="B5" s="211" t="s">
        <v>299</v>
      </c>
      <c r="C5" s="211" t="s">
        <v>306</v>
      </c>
    </row>
    <row r="6" spans="1:3" x14ac:dyDescent="0.35">
      <c r="A6" s="212" t="s">
        <v>307</v>
      </c>
      <c r="B6" s="211" t="s">
        <v>299</v>
      </c>
      <c r="C6" s="211" t="s">
        <v>308</v>
      </c>
    </row>
    <row r="7" spans="1:3" x14ac:dyDescent="0.35">
      <c r="A7" s="212" t="s">
        <v>309</v>
      </c>
      <c r="B7" s="211" t="s">
        <v>299</v>
      </c>
      <c r="C7" s="211" t="s">
        <v>308</v>
      </c>
    </row>
    <row r="8" spans="1:3" x14ac:dyDescent="0.35">
      <c r="A8" s="212" t="s">
        <v>310</v>
      </c>
      <c r="B8" s="211" t="s">
        <v>299</v>
      </c>
      <c r="C8" s="211" t="s">
        <v>306</v>
      </c>
    </row>
    <row r="9" spans="1:3" x14ac:dyDescent="0.35">
      <c r="A9" s="212" t="s">
        <v>311</v>
      </c>
      <c r="B9" s="211" t="s">
        <v>299</v>
      </c>
      <c r="C9" s="211" t="s">
        <v>308</v>
      </c>
    </row>
    <row r="10" spans="1:3" x14ac:dyDescent="0.35">
      <c r="A10" s="212" t="s">
        <v>312</v>
      </c>
      <c r="B10" s="211" t="s">
        <v>299</v>
      </c>
      <c r="C10" s="211" t="s">
        <v>306</v>
      </c>
    </row>
    <row r="11" spans="1:3" x14ac:dyDescent="0.35">
      <c r="A11" s="212" t="s">
        <v>313</v>
      </c>
      <c r="B11" s="211" t="s">
        <v>299</v>
      </c>
      <c r="C11" s="211" t="s">
        <v>304</v>
      </c>
    </row>
    <row r="12" spans="1:3" x14ac:dyDescent="0.35">
      <c r="A12" s="212" t="s">
        <v>314</v>
      </c>
      <c r="B12" s="211" t="s">
        <v>299</v>
      </c>
      <c r="C12" s="211" t="s">
        <v>300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3" customWidth="1"/>
    <col min="2" max="2" width="19.54296875" customWidth="1"/>
    <col min="3" max="3" width="15" bestFit="1" customWidth="1"/>
    <col min="4" max="4" width="16.453125" customWidth="1"/>
    <col min="5" max="5" width="10.453125" style="5" customWidth="1"/>
    <col min="6" max="6" width="10.453125" customWidth="1"/>
    <col min="7" max="7" width="2.45312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4" t="s">
        <v>315</v>
      </c>
      <c r="B1" s="37" t="s">
        <v>316</v>
      </c>
      <c r="C1" s="1"/>
      <c r="D1" s="2"/>
      <c r="E1" s="4"/>
      <c r="F1" s="32"/>
      <c r="H1" s="2"/>
      <c r="I1" s="51" t="s">
        <v>317</v>
      </c>
    </row>
    <row r="2" spans="1:239" ht="30" customHeight="1" x14ac:dyDescent="0.45">
      <c r="A2" s="33" t="s">
        <v>201</v>
      </c>
      <c r="B2" s="38" t="s">
        <v>318</v>
      </c>
      <c r="I2" s="160"/>
    </row>
    <row r="3" spans="1:239" ht="33" customHeight="1" x14ac:dyDescent="0.35">
      <c r="A3" s="33" t="s">
        <v>202</v>
      </c>
      <c r="B3" s="70" t="s">
        <v>203</v>
      </c>
      <c r="C3" s="69">
        <f>Início_do_projeto+120</f>
        <v>46051</v>
      </c>
      <c r="D3" s="68" t="s">
        <v>204</v>
      </c>
      <c r="E3" s="250">
        <v>45931</v>
      </c>
      <c r="F3" s="250"/>
      <c r="G3" s="64"/>
    </row>
    <row r="4" spans="1:239" ht="30" customHeight="1" x14ac:dyDescent="0.35">
      <c r="A4" s="34" t="s">
        <v>205</v>
      </c>
      <c r="C4" s="251" t="s">
        <v>206</v>
      </c>
      <c r="D4" s="252"/>
      <c r="E4" s="7">
        <v>1</v>
      </c>
      <c r="I4" s="247">
        <f>I5</f>
        <v>45929</v>
      </c>
      <c r="J4" s="248"/>
      <c r="K4" s="248"/>
      <c r="L4" s="248"/>
      <c r="M4" s="248"/>
      <c r="N4" s="248"/>
      <c r="O4" s="249"/>
      <c r="P4" s="247">
        <f>P5</f>
        <v>45936</v>
      </c>
      <c r="Q4" s="248"/>
      <c r="R4" s="248"/>
      <c r="S4" s="248"/>
      <c r="T4" s="248"/>
      <c r="U4" s="248"/>
      <c r="V4" s="249"/>
      <c r="W4" s="247">
        <f>W5</f>
        <v>45943</v>
      </c>
      <c r="X4" s="248"/>
      <c r="Y4" s="248"/>
      <c r="Z4" s="248"/>
      <c r="AA4" s="248"/>
      <c r="AB4" s="248"/>
      <c r="AC4" s="249"/>
      <c r="AD4" s="247">
        <f>AD5</f>
        <v>45950</v>
      </c>
      <c r="AE4" s="248"/>
      <c r="AF4" s="248"/>
      <c r="AG4" s="248"/>
      <c r="AH4" s="248"/>
      <c r="AI4" s="248"/>
      <c r="AJ4" s="249"/>
      <c r="AK4" s="247">
        <f>AK5</f>
        <v>45957</v>
      </c>
      <c r="AL4" s="248"/>
      <c r="AM4" s="248"/>
      <c r="AN4" s="248"/>
      <c r="AO4" s="248"/>
      <c r="AP4" s="248"/>
      <c r="AQ4" s="249"/>
      <c r="AR4" s="247">
        <f>AR5</f>
        <v>45964</v>
      </c>
      <c r="AS4" s="248"/>
      <c r="AT4" s="248"/>
      <c r="AU4" s="248"/>
      <c r="AV4" s="248"/>
      <c r="AW4" s="248"/>
      <c r="AX4" s="249"/>
      <c r="AY4" s="247">
        <f>AY5</f>
        <v>45971</v>
      </c>
      <c r="AZ4" s="248"/>
      <c r="BA4" s="248"/>
      <c r="BB4" s="248"/>
      <c r="BC4" s="248"/>
      <c r="BD4" s="248"/>
      <c r="BE4" s="249"/>
      <c r="BF4" s="247">
        <f>BF5</f>
        <v>45978</v>
      </c>
      <c r="BG4" s="248"/>
      <c r="BH4" s="248"/>
      <c r="BI4" s="248"/>
      <c r="BJ4" s="248"/>
      <c r="BK4" s="248"/>
      <c r="BL4" s="249"/>
      <c r="BM4" s="247">
        <f>BM5</f>
        <v>45985</v>
      </c>
      <c r="BN4" s="248"/>
      <c r="BO4" s="248"/>
      <c r="BP4" s="248"/>
      <c r="BQ4" s="248"/>
      <c r="BR4" s="248"/>
      <c r="BS4" s="249"/>
      <c r="BT4" s="247">
        <f>BT5</f>
        <v>45992</v>
      </c>
      <c r="BU4" s="248"/>
      <c r="BV4" s="248"/>
      <c r="BW4" s="248"/>
      <c r="BX4" s="248"/>
      <c r="BY4" s="248"/>
      <c r="BZ4" s="249"/>
      <c r="CA4" s="247">
        <f>CA5</f>
        <v>45999</v>
      </c>
      <c r="CB4" s="248"/>
      <c r="CC4" s="248"/>
      <c r="CD4" s="248"/>
      <c r="CE4" s="248"/>
      <c r="CF4" s="248"/>
      <c r="CG4" s="249"/>
      <c r="CH4" s="247">
        <f>CH5</f>
        <v>46006</v>
      </c>
      <c r="CI4" s="248"/>
      <c r="CJ4" s="248"/>
      <c r="CK4" s="248"/>
      <c r="CL4" s="248"/>
      <c r="CM4" s="248"/>
      <c r="CN4" s="249"/>
      <c r="CO4" s="247">
        <f>CO5</f>
        <v>46013</v>
      </c>
      <c r="CP4" s="248"/>
      <c r="CQ4" s="248"/>
      <c r="CR4" s="248"/>
      <c r="CS4" s="248"/>
      <c r="CT4" s="248"/>
      <c r="CU4" s="249"/>
      <c r="CV4" s="247">
        <f>CV5</f>
        <v>46020</v>
      </c>
      <c r="CW4" s="248"/>
      <c r="CX4" s="248"/>
      <c r="CY4" s="248"/>
      <c r="CZ4" s="248"/>
      <c r="DA4" s="248"/>
      <c r="DB4" s="249"/>
      <c r="DC4" s="247">
        <f>DC5</f>
        <v>46027</v>
      </c>
      <c r="DD4" s="248"/>
      <c r="DE4" s="248"/>
      <c r="DF4" s="248"/>
      <c r="DG4" s="248"/>
      <c r="DH4" s="248"/>
      <c r="DI4" s="249"/>
      <c r="DJ4" s="247">
        <f>DJ5</f>
        <v>46034</v>
      </c>
      <c r="DK4" s="248"/>
      <c r="DL4" s="248"/>
      <c r="DM4" s="248"/>
      <c r="DN4" s="248"/>
      <c r="DO4" s="248"/>
      <c r="DP4" s="249"/>
      <c r="DQ4" s="247">
        <f>DQ5</f>
        <v>46041</v>
      </c>
      <c r="DR4" s="248"/>
      <c r="DS4" s="248"/>
      <c r="DT4" s="248"/>
      <c r="DU4" s="248"/>
      <c r="DV4" s="248"/>
      <c r="DW4" s="249"/>
      <c r="DX4" s="247">
        <f>DX5</f>
        <v>46048</v>
      </c>
      <c r="DY4" s="248"/>
      <c r="DZ4" s="248"/>
      <c r="EA4" s="248"/>
      <c r="EB4" s="248"/>
      <c r="EC4" s="248"/>
      <c r="ED4" s="249"/>
      <c r="EE4" s="247">
        <f t="shared" ref="EE4" si="0">EE5</f>
        <v>46055</v>
      </c>
      <c r="EF4" s="248"/>
      <c r="EG4" s="248"/>
      <c r="EH4" s="248"/>
      <c r="EI4" s="248"/>
      <c r="EJ4" s="248"/>
      <c r="EK4" s="249"/>
      <c r="EL4" s="247">
        <f t="shared" ref="EL4" si="1">EL5</f>
        <v>46062</v>
      </c>
      <c r="EM4" s="248"/>
      <c r="EN4" s="248"/>
      <c r="EO4" s="248"/>
      <c r="EP4" s="248"/>
      <c r="EQ4" s="248"/>
      <c r="ER4" s="249"/>
      <c r="ES4" s="247">
        <f t="shared" ref="ES4" si="2">ES5</f>
        <v>46069</v>
      </c>
      <c r="ET4" s="248"/>
      <c r="EU4" s="248"/>
      <c r="EV4" s="248"/>
      <c r="EW4" s="248"/>
      <c r="EX4" s="248"/>
      <c r="EY4" s="249"/>
      <c r="EZ4" s="247">
        <f t="shared" ref="EZ4" si="3">EZ5</f>
        <v>46076</v>
      </c>
      <c r="FA4" s="248"/>
      <c r="FB4" s="248"/>
      <c r="FC4" s="248"/>
      <c r="FD4" s="248"/>
      <c r="FE4" s="248"/>
      <c r="FF4" s="249"/>
      <c r="FG4" s="247">
        <f t="shared" ref="FG4" si="4">FG5</f>
        <v>46083</v>
      </c>
      <c r="FH4" s="248"/>
      <c r="FI4" s="248"/>
      <c r="FJ4" s="248"/>
      <c r="FK4" s="248"/>
      <c r="FL4" s="248"/>
      <c r="FM4" s="249"/>
      <c r="FN4" s="247">
        <f t="shared" ref="FN4" si="5">FN5</f>
        <v>46090</v>
      </c>
      <c r="FO4" s="248"/>
      <c r="FP4" s="248"/>
      <c r="FQ4" s="248"/>
      <c r="FR4" s="248"/>
      <c r="FS4" s="248"/>
      <c r="FT4" s="249"/>
      <c r="FU4" s="247">
        <f t="shared" ref="FU4" si="6">FU5</f>
        <v>46097</v>
      </c>
      <c r="FV4" s="248"/>
      <c r="FW4" s="248"/>
      <c r="FX4" s="248"/>
      <c r="FY4" s="248"/>
      <c r="FZ4" s="248"/>
      <c r="GA4" s="249"/>
      <c r="GB4" s="247">
        <f t="shared" ref="GB4" si="7">GB5</f>
        <v>46104</v>
      </c>
      <c r="GC4" s="248"/>
      <c r="GD4" s="248"/>
      <c r="GE4" s="248"/>
      <c r="GF4" s="248"/>
      <c r="GG4" s="248"/>
      <c r="GH4" s="249"/>
      <c r="GI4" s="247">
        <f t="shared" ref="GI4" si="8">GI5</f>
        <v>46111</v>
      </c>
      <c r="GJ4" s="248"/>
      <c r="GK4" s="248"/>
      <c r="GL4" s="248"/>
      <c r="GM4" s="248"/>
      <c r="GN4" s="248"/>
      <c r="GO4" s="249"/>
      <c r="GP4" s="247">
        <f t="shared" ref="GP4" si="9">GP5</f>
        <v>46118</v>
      </c>
      <c r="GQ4" s="248"/>
      <c r="GR4" s="248"/>
      <c r="GS4" s="248"/>
      <c r="GT4" s="248"/>
      <c r="GU4" s="248"/>
      <c r="GV4" s="249"/>
      <c r="GW4" s="247">
        <f t="shared" ref="GW4" si="10">GW5</f>
        <v>46125</v>
      </c>
      <c r="GX4" s="248"/>
      <c r="GY4" s="248"/>
      <c r="GZ4" s="248"/>
      <c r="HA4" s="248"/>
      <c r="HB4" s="248"/>
      <c r="HC4" s="249"/>
      <c r="HD4" s="247">
        <f t="shared" ref="HD4" si="11">HD5</f>
        <v>46132</v>
      </c>
      <c r="HE4" s="248"/>
      <c r="HF4" s="248"/>
      <c r="HG4" s="248"/>
      <c r="HH4" s="248"/>
      <c r="HI4" s="248"/>
      <c r="HJ4" s="249"/>
      <c r="HK4" s="247">
        <f t="shared" ref="HK4" si="12">HK5</f>
        <v>46139</v>
      </c>
      <c r="HL4" s="248"/>
      <c r="HM4" s="248"/>
      <c r="HN4" s="248"/>
      <c r="HO4" s="248"/>
      <c r="HP4" s="248"/>
      <c r="HQ4" s="249"/>
      <c r="HR4" s="247">
        <f t="shared" ref="HR4" si="13">HR5</f>
        <v>46146</v>
      </c>
      <c r="HS4" s="248"/>
      <c r="HT4" s="248"/>
      <c r="HU4" s="248"/>
      <c r="HV4" s="248"/>
      <c r="HW4" s="248"/>
      <c r="HX4" s="249"/>
      <c r="HY4" s="247">
        <f t="shared" ref="HY4" si="14">HY5</f>
        <v>46153</v>
      </c>
      <c r="HZ4" s="248"/>
      <c r="IA4" s="248"/>
      <c r="IB4" s="248"/>
      <c r="IC4" s="248"/>
      <c r="ID4" s="248"/>
      <c r="IE4" s="249"/>
    </row>
    <row r="5" spans="1:239" ht="15" customHeight="1" x14ac:dyDescent="0.35">
      <c r="A5" s="34" t="s">
        <v>207</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208</v>
      </c>
      <c r="B6" s="8" t="s">
        <v>209</v>
      </c>
      <c r="C6" s="9" t="s">
        <v>210</v>
      </c>
      <c r="D6" s="9" t="s">
        <v>319</v>
      </c>
      <c r="E6" s="9" t="s">
        <v>211</v>
      </c>
      <c r="F6" s="9" t="s">
        <v>212</v>
      </c>
      <c r="G6" s="9"/>
      <c r="H6" s="9" t="s">
        <v>213</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214</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216</v>
      </c>
      <c r="B8" s="15" t="s">
        <v>320</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218</v>
      </c>
      <c r="B9" s="46" t="s">
        <v>321</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219</v>
      </c>
      <c r="B10" s="46" t="s">
        <v>322</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323</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324</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322</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325</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322</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225</v>
      </c>
      <c r="B16" s="18" t="s">
        <v>326</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321</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322</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324</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322</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325</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322</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237</v>
      </c>
      <c r="B23" s="21" t="s">
        <v>327</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321</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322</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324</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322</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325</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322</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292</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294</v>
      </c>
      <c r="B31" s="25" t="s">
        <v>293</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www.w3.org/XML/1998/namespace"/>
    <ds:schemaRef ds:uri="http://schemas.openxmlformats.org/package/2006/metadata/core-properties"/>
    <ds:schemaRef ds:uri="a9f3451a-73cb-4405-a932-26db050e40a8"/>
    <ds:schemaRef ds:uri="http://purl.org/dc/elements/1.1/"/>
    <ds:schemaRef ds:uri="http://schemas.microsoft.com/office/infopath/2007/PartnerControls"/>
    <ds:schemaRef ds:uri="http://schemas.microsoft.com/office/2006/metadata/properties"/>
    <ds:schemaRef ds:uri="http://schemas.microsoft.com/office/2006/documentManagement/types"/>
    <ds:schemaRef ds:uri="http://purl.org/dc/terms/"/>
    <ds:schemaRef ds:uri="http://purl.org/dc/dcmitype/"/>
    <ds:schemaRef ds:uri="0d1dea18-7b56-4ac7-aa1d-7834839a8030"/>
  </ds:schemaRefs>
</ds:datastoreItem>
</file>

<file path=customXml/itemProps2.xml><?xml version="1.0" encoding="utf-8"?>
<ds:datastoreItem xmlns:ds="http://schemas.openxmlformats.org/officeDocument/2006/customXml" ds:itemID="{BFB5670B-D830-4B08-AE54-9C8F4F93FE3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2026-06-23T19:25:43Z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