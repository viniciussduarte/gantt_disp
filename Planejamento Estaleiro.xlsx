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EstaPastaDeTrabalho"/>
  <xr:revisionPtr revIDLastSave="2481" documentId="101_S{B73360A1-8A99-5EFE-B3D7-B4540AB28558}" xr6:coauthVersionLast="47" xr6:coauthVersionMax="47" xr10:uidLastSave="{0378E327-6D77-49E8-906E-6D2D22ADF863}"/>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8" i="11" l="1"/>
  <c r="E181" i="11"/>
  <c r="E183" i="11"/>
  <c r="G166" i="11"/>
  <c r="E165" i="11"/>
  <c r="G102" i="11"/>
  <c r="E75" i="11" l="1"/>
  <c r="D132" i="11"/>
  <c r="E87" i="11"/>
  <c r="D176" i="11"/>
  <c r="E86" i="11" l="1"/>
  <c r="E176" i="11" l="1"/>
  <c r="D179" i="11" s="1"/>
  <c r="E179" i="11" s="1"/>
  <c r="E62" i="11"/>
  <c r="E63" i="11"/>
  <c r="E85" i="11"/>
  <c r="E84" i="11"/>
  <c r="E83" i="11"/>
  <c r="E82" i="11"/>
  <c r="D182" i="11" l="1"/>
  <c r="E119" i="11"/>
  <c r="D122" i="11" s="1"/>
  <c r="E199" i="11"/>
  <c r="E129" i="11" l="1"/>
  <c r="D130" i="11" s="1"/>
  <c r="E130" i="11" s="1"/>
  <c r="D131" i="11" s="1"/>
  <c r="E131" i="11" s="1"/>
  <c r="E61" i="11"/>
  <c r="E60" i="11"/>
  <c r="E59" i="11"/>
  <c r="E113" i="11"/>
  <c r="D116" i="11" s="1"/>
  <c r="E116" i="11" s="1"/>
  <c r="E74" i="11"/>
  <c r="E76" i="11"/>
  <c r="E77" i="11"/>
  <c r="E78" i="11"/>
  <c r="E79" i="11"/>
  <c r="E80" i="11"/>
  <c r="E58" i="11"/>
  <c r="E198" i="11"/>
  <c r="E164" i="11"/>
  <c r="E163" i="11"/>
  <c r="E162" i="11"/>
  <c r="E57" i="11"/>
  <c r="E56" i="11"/>
  <c r="E55" i="11"/>
  <c r="G107" i="11" l="1"/>
  <c r="G104" i="11"/>
  <c r="E196" i="11"/>
  <c r="E197" i="11" s="1"/>
  <c r="D195" i="11" l="1"/>
  <c r="G195" i="11" s="1"/>
  <c r="G161" i="11"/>
  <c r="G100" i="11" l="1"/>
  <c r="G163" i="11"/>
  <c r="G197" i="11"/>
  <c r="G196" i="11"/>
  <c r="G162" i="11"/>
  <c r="G198"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5" i="11"/>
  <c r="G184"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4" i="11" s="1"/>
  <c r="D16" i="11"/>
  <c r="D15" i="11" s="1"/>
  <c r="D12" i="11"/>
  <c r="D177" i="11" l="1"/>
  <c r="E177" i="11" s="1"/>
  <c r="E122" i="11"/>
  <c r="E121" i="11"/>
  <c r="D124" i="11" s="1"/>
  <c r="E15" i="11"/>
  <c r="D17" i="11"/>
  <c r="E17" i="11" s="1"/>
  <c r="E172" i="11"/>
  <c r="D175" i="11" s="1"/>
  <c r="E175" i="11" s="1"/>
  <c r="D120" i="11"/>
  <c r="D18" i="11"/>
  <c r="E18" i="11" s="1"/>
  <c r="E69" i="11"/>
  <c r="E16" i="11"/>
  <c r="E12" i="11"/>
  <c r="G157" i="11"/>
  <c r="F11" i="13"/>
  <c r="E11" i="13"/>
  <c r="H31" i="13"/>
  <c r="H30" i="13"/>
  <c r="H23" i="13"/>
  <c r="H16" i="13"/>
  <c r="E9" i="13"/>
  <c r="F9" i="13" s="1"/>
  <c r="H8" i="13"/>
  <c r="H7" i="13"/>
  <c r="I5" i="13"/>
  <c r="J5" i="13" s="1"/>
  <c r="K5" i="13" s="1"/>
  <c r="C3" i="13"/>
  <c r="G7" i="11"/>
  <c r="D180" i="11" l="1"/>
  <c r="E180" i="11" s="1"/>
  <c r="E182" i="11" s="1"/>
  <c r="E178" i="11"/>
  <c r="E120" i="11"/>
  <c r="D123" i="11" s="1"/>
  <c r="E124" i="11"/>
  <c r="D19" i="11"/>
  <c r="E19" i="11" s="1"/>
  <c r="E70" i="11"/>
  <c r="I4" i="13"/>
  <c r="I6" i="13"/>
  <c r="J6" i="13"/>
  <c r="L5" i="13"/>
  <c r="K6" i="13"/>
  <c r="D128" i="11" l="1"/>
  <c r="E128" i="11" s="1"/>
  <c r="E123" i="11"/>
  <c r="D20" i="11"/>
  <c r="D21" i="11" s="1"/>
  <c r="E10" i="13"/>
  <c r="F10" i="13" s="1"/>
  <c r="E12" i="13" s="1"/>
  <c r="M5" i="13"/>
  <c r="L6" i="13"/>
  <c r="H9" i="13"/>
  <c r="H5" i="11"/>
  <c r="G205" i="11"/>
  <c r="G95" i="11"/>
  <c r="G92" i="11"/>
  <c r="G65" i="11"/>
  <c r="G9" i="11"/>
  <c r="E126"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Retorno antecipado em dois dias por causa do preço das passagens
</t>
      </text>
    </comment>
  </commentList>
</comments>
</file>

<file path=xl/sharedStrings.xml><?xml version="1.0" encoding="utf-8"?>
<sst xmlns="http://schemas.openxmlformats.org/spreadsheetml/2006/main" count="857" uniqueCount="327">
  <si>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</si>
  <si>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</si>
  <si>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</si>
  <si>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</si>
  <si>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</si>
  <si>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</si>
  <si>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</si>
  <si>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</si>
  <si>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</si>
  <si>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</si>
  <si>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</si>
  <si>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</si>
  <si>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</si>
  <si>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</si>
  <si>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</si>
  <si>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</si>
  <si>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</si>
  <si>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</si>
  <si>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</si>
  <si>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</si>
  <si>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</si>
  <si>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</si>
  <si>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</si>
  <si>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</si>
  <si>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</si>
  <si>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</si>
  <si>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</si>
  <si>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</si>
  <si>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</si>
  <si>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</si>
  <si>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</si>
  <si>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</si>
  <si>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</si>
  <si>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</si>
  <si>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</si>
  <si>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</si>
  <si>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</si>
  <si>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</si>
  <si>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</si>
  <si>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</si>
  <si>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</si>
  <si>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</si>
  <si>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</si>
  <si>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</si>
  <si>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</si>
  <si>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</si>
  <si>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</si>
  <si>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</si>
  <si>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</si>
  <si>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</si>
  <si>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</si>
  <si>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</si>
  <si>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</si>
  <si>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</si>
  <si>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</si>
  <si>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</si>
  <si>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</si>
  <si>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</si>
  <si>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</si>
  <si>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</si>
  <si>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</si>
  <si>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</si>
  <si>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</si>
  <si>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</si>
  <si>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</si>
  <si>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</si>
  <si>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</si>
  <si>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</si>
  <si>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</si>
  <si>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</si>
  <si>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</si>
  <si>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</si>
  <si>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</si>
  <si>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</si>
  <si>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</si>
  <si>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</si>
  <si>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</si>
  <si>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</si>
  <si>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</si>
  <si>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</si>
  <si>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</si>
  <si>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</si>
  <si>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</si>
  <si>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</si>
  <si>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</si>
  <si>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</si>
  <si>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</si>
  <si>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</si>
  <si>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</si>
  <si>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</si>
  <si>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</si>
  <si>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</si>
  <si>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</si>
  <si>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</si>
  <si>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</si>
  <si>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</si>
  <si>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</si>
  <si>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</si>
  <si>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</si>
  <si>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</si>
  <si>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</si>
  <si>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</si>
  <si>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</si>
  <si>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</si>
  <si>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</si>
  <si>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</si>
  <si>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</si>
  <si>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</si>
  <si>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</si>
  <si>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</si>
  <si>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</si>
  <si>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</si>
  <si>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</si>
  <si>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</si>
  <si>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</si>
  <si>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</si>
  <si>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</si>
  <si>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</si>
  <si>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</si>
  <si>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</si>
  <si>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</si>
  <si>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</si>
  <si>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</si>
  <si>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</si>
  <si>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</si>
  <si>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</si>
  <si>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</si>
  <si>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</si>
  <si>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</si>
  <si>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</si>
  <si>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</si>
  <si>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</si>
  <si>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</si>
  <si>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</si>
  <si>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</si>
  <si>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</si>
  <si>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</si>
  <si>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</si>
  <si>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</si>
  <si>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</si>
  <si>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</si>
  <si>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</si>
  <si>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</si>
  <si>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</si>
  <si>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</si>
  <si>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</si>
  <si>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</si>
  <si>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</si>
  <si>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</si>
  <si>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</si>
  <si>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</si>
  <si>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</si>
  <si>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</si>
  <si>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</si>
  <si>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</si>
  <si>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</si>
  <si>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</si>
  <si>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</si>
  <si>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</si>
  <si>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</si>
  <si>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</si>
  <si>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</si>
  <si>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</si>
  <si>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</si>
  <si>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</si>
  <si>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</si>
  <si>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</si>
  <si>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</si>
  <si>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</si>
  <si>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</si>
  <si>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</si>
  <si>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</si>
  <si>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</si>
  <si>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</si>
  <si>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</si>
  <si>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</si>
  <si>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</si>
  <si>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</si>
  <si>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</si>
  <si>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</si>
  <si>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</si>
  <si>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</si>
  <si>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</si>
  <si>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</si>
  <si>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</si>
  <si>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</si>
  <si>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</si>
  <si>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</si>
  <si>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</si>
  <si>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</si>
  <si>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</si>
  <si>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</si>
  <si>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</si>
  <si>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</si>
  <si>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</si>
  <si>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</si>
  <si>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</si>
  <si>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</si>
  <si>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</si>
  <si>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</si>
  <si>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</si>
  <si>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</si>
  <si>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</si>
  <si>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</si>
  <si>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</si>
  <si>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</si>
  <si>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</si>
  <si>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</si>
  <si>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</si>
  <si>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</si>
  <si>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</si>
  <si>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</si>
  <si>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</si>
  <si>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</si>
  <si>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</si>
  <si>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</si>
  <si>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</si>
  <si>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</si>
  <si>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</si>
  <si>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</si>
  <si>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</si>
  <si>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</si>
  <si>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</si>
  <si>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</si>
  <si>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</si>
  <si>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</si>
  <si>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</si>
  <si>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</si>
  <si>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</si>
  <si>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</si>
  <si>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</si>
  <si>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</si>
  <si>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</si>
  <si>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</si>
  <si>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</si>
  <si>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</si>
  <si>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</si>
  <si>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</si>
  <si>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</si>
  <si>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</si>
  <si>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</si>
  <si>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</si>
  <si>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</si>
  <si>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</si>
  <si>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</si>
  <si>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</si>
  <si>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</si>
  <si>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</si>
  <si>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</si>
  <si>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</si>
  <si>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</si>
  <si>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</si>
  <si>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</si>
  <si>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</si>
  <si>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</si>
  <si>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</si>
  <si>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</si>
  <si>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</si>
  <si>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</si>
  <si>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</si>
  <si>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</si>
  <si>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</si>
  <si>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</si>
  <si>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</si>
  <si>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</si>
  <si>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</si>
  <si>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</si>
  <si>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</si>
  <si>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</si>
  <si>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</si>
  <si>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</si>
  <si>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</si>
  <si>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</si>
  <si>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</si>
  <si>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</si>
  <si>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</si>
  <si>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</si>
  <si>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</si>
  <si>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</si>
  <si>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</si>
  <si>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</si>
  <si>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</si>
  <si>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</si>
  <si>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</si>
  <si>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</si>
  <si>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</si>
  <si>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</si>
  <si>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Henrique Alberto Loureiro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</si>
  <si>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</si>
  <si>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</si>
  <si>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</si>
  <si>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</si>
  <si>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</si>
  <si>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</si>
  <si>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</si>
  <si>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</si>
  <si>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</si>
  <si>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</si>
  <si>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</si>
  <si>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</si>
  <si>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</si>
  <si>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</si>
  <si>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</si>
  <si>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</si>
  <si>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</si>
  <si>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</si>
  <si>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</si>
  <si>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</si>
  <si>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</si>
  <si>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</si>
  <si>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</si>
  <si>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</si>
  <si>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</si>
  <si>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</si>
  <si>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</si>
  <si>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</si>
  <si>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</si>
  <si>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</si>
  <si>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</si>
  <si>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</si>
  <si>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</si>
  <si>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</si>
  <si>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</si>
  <si>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</si>
  <si>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JULIE CORREIA</t>
  </si>
  <si>
    <t>Engenharia CGM (MEC)</t>
  </si>
  <si>
    <t>Engenharia CGM (INS)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</si>
</sst>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4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7"/>
  <sheetViews>
    <sheetView showGridLines="0" zoomScale="85" zoomScaleNormal="85" workbookViewId="0">
      <pane ySplit="1" topLeftCell="A2" activePane="bottomLeft" state="frozen"/>
      <selection pane="bottomLeft" activeCell="F23" sqref="F23"/>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x14ac:dyDescent="0.35">
      <c r="A2" s="79" t="s">
        <v>10</v>
      </c>
      <c r="B2" s="91">
        <v>4612171</v>
      </c>
      <c r="C2" s="91" t="s">
        <v>11</v>
      </c>
      <c r="D2" s="92" t="s">
        <v>12</v>
      </c>
      <c r="E2" s="93" t="s">
        <v>13</v>
      </c>
      <c r="F2" s="93" t="s">
        <v>14</v>
      </c>
      <c r="G2" s="168" t="s">
        <v>15</v>
      </c>
      <c r="H2" s="93" t="s">
        <v>16</v>
      </c>
      <c r="I2" s="154" t="s">
        <v>17</v>
      </c>
      <c r="J2" s="156"/>
    </row>
    <row r="3" spans="1:10"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x14ac:dyDescent="0.35">
      <c r="A5" s="79" t="s">
        <v>10</v>
      </c>
      <c r="B5" s="94">
        <v>9842940</v>
      </c>
      <c r="C5" s="94" t="s">
        <v>27</v>
      </c>
      <c r="D5" s="95" t="s">
        <v>12</v>
      </c>
      <c r="E5" s="96" t="s">
        <v>13</v>
      </c>
      <c r="F5" s="96" t="s">
        <v>14</v>
      </c>
      <c r="G5" s="169" t="s">
        <v>28</v>
      </c>
      <c r="H5" s="96" t="s">
        <v>29</v>
      </c>
      <c r="I5" s="154" t="s">
        <v>30</v>
      </c>
      <c r="J5" s="157"/>
    </row>
    <row r="6" spans="1:10" x14ac:dyDescent="0.35">
      <c r="A6" s="79" t="s">
        <v>31</v>
      </c>
      <c r="B6" s="91">
        <v>9886449</v>
      </c>
      <c r="C6" s="91" t="s">
        <v>32</v>
      </c>
      <c r="D6" s="92" t="s">
        <v>12</v>
      </c>
      <c r="E6" s="93" t="s">
        <v>13</v>
      </c>
      <c r="F6" s="93" t="s">
        <v>33</v>
      </c>
      <c r="G6" s="168" t="s">
        <v>34</v>
      </c>
      <c r="H6" s="93" t="s">
        <v>35</v>
      </c>
      <c r="I6" s="154" t="s">
        <v>22</v>
      </c>
      <c r="J6" s="157" t="s">
        <v>36</v>
      </c>
    </row>
    <row r="7" spans="1:10" x14ac:dyDescent="0.35">
      <c r="A7" s="97" t="s">
        <v>31</v>
      </c>
      <c r="B7" s="94">
        <v>4608721</v>
      </c>
      <c r="C7" s="94" t="s">
        <v>37</v>
      </c>
      <c r="D7" s="98" t="s">
        <v>12</v>
      </c>
      <c r="E7" s="99" t="s">
        <v>13</v>
      </c>
      <c r="F7" s="99" t="s">
        <v>14</v>
      </c>
      <c r="G7" s="158" t="s">
        <v>38</v>
      </c>
      <c r="H7" s="99" t="s">
        <v>39</v>
      </c>
      <c r="I7" s="154" t="s">
        <v>22</v>
      </c>
      <c r="J7" s="157"/>
    </row>
    <row r="8" spans="1:10" x14ac:dyDescent="0.35">
      <c r="A8" s="97" t="s">
        <v>31</v>
      </c>
      <c r="B8" s="91">
        <v>1385894</v>
      </c>
      <c r="C8" s="91" t="s">
        <v>40</v>
      </c>
      <c r="D8" s="100" t="s">
        <v>12</v>
      </c>
      <c r="E8" s="101" t="s">
        <v>13</v>
      </c>
      <c r="F8" s="101" t="s">
        <v>33</v>
      </c>
      <c r="G8" s="170" t="s">
        <v>41</v>
      </c>
      <c r="H8" s="101" t="s">
        <v>42</v>
      </c>
      <c r="I8" s="154" t="s">
        <v>22</v>
      </c>
      <c r="J8" s="157" t="s">
        <v>43</v>
      </c>
    </row>
    <row r="9" spans="1:10" x14ac:dyDescent="0.35">
      <c r="A9" s="97" t="s">
        <v>31</v>
      </c>
      <c r="B9" s="94">
        <v>4608685</v>
      </c>
      <c r="C9" s="94" t="s">
        <v>44</v>
      </c>
      <c r="D9" s="98" t="s">
        <v>12</v>
      </c>
      <c r="E9" s="99" t="s">
        <v>13</v>
      </c>
      <c r="F9" s="99" t="s">
        <v>14</v>
      </c>
      <c r="G9" s="158" t="s">
        <v>45</v>
      </c>
      <c r="H9" s="99" t="s">
        <v>46</v>
      </c>
      <c r="I9" s="154" t="s">
        <v>22</v>
      </c>
      <c r="J9" s="157"/>
    </row>
    <row r="10" spans="1:10" ht="43.5" x14ac:dyDescent="0.35">
      <c r="A10" s="97" t="s">
        <v>47</v>
      </c>
      <c r="B10" s="91">
        <v>9762281</v>
      </c>
      <c r="C10" s="91" t="s">
        <v>48</v>
      </c>
      <c r="D10" s="100" t="s">
        <v>12</v>
      </c>
      <c r="E10" s="101" t="s">
        <v>13</v>
      </c>
      <c r="F10" s="101" t="s">
        <v>33</v>
      </c>
      <c r="G10" s="170" t="s">
        <v>49</v>
      </c>
      <c r="H10" s="101" t="s">
        <v>50</v>
      </c>
      <c r="I10" s="154" t="s">
        <v>22</v>
      </c>
      <c r="J10" s="159" t="s">
        <v>51</v>
      </c>
    </row>
    <row r="11" spans="1:10" x14ac:dyDescent="0.35">
      <c r="A11" s="97" t="s">
        <v>47</v>
      </c>
      <c r="B11" s="94">
        <v>9683150</v>
      </c>
      <c r="C11" s="94" t="s">
        <v>52</v>
      </c>
      <c r="D11" s="98" t="s">
        <v>12</v>
      </c>
      <c r="E11" s="99" t="s">
        <v>13</v>
      </c>
      <c r="F11" s="99" t="s">
        <v>33</v>
      </c>
      <c r="G11" s="158" t="s">
        <v>53</v>
      </c>
      <c r="H11" s="99" t="s">
        <v>54</v>
      </c>
      <c r="I11" s="154" t="s">
        <v>22</v>
      </c>
      <c r="J11" s="157" t="s">
        <v>55</v>
      </c>
    </row>
    <row r="12" spans="1:10" x14ac:dyDescent="0.35">
      <c r="A12" s="79" t="s">
        <v>47</v>
      </c>
      <c r="B12" s="91">
        <v>2440812</v>
      </c>
      <c r="C12" s="91" t="s">
        <v>56</v>
      </c>
      <c r="D12" s="92" t="s">
        <v>57</v>
      </c>
      <c r="E12" s="93" t="s">
        <v>13</v>
      </c>
      <c r="F12" s="93" t="s">
        <v>33</v>
      </c>
      <c r="G12" s="168" t="s">
        <v>58</v>
      </c>
      <c r="H12" s="93" t="s">
        <v>59</v>
      </c>
      <c r="I12" s="154" t="s">
        <v>22</v>
      </c>
      <c r="J12" s="157"/>
    </row>
    <row r="13" spans="1:10" x14ac:dyDescent="0.35">
      <c r="A13" s="97" t="s">
        <v>47</v>
      </c>
      <c r="B13" s="94">
        <v>1381625</v>
      </c>
      <c r="C13" s="94" t="s">
        <v>60</v>
      </c>
      <c r="D13" s="95" t="s">
        <v>12</v>
      </c>
      <c r="E13" s="96" t="s">
        <v>13</v>
      </c>
      <c r="F13" s="96" t="s">
        <v>33</v>
      </c>
      <c r="G13" s="169" t="s">
        <v>61</v>
      </c>
      <c r="H13" s="96" t="s">
        <v>62</v>
      </c>
      <c r="I13" s="154" t="s">
        <v>22</v>
      </c>
      <c r="J13" s="157"/>
    </row>
    <row r="14" spans="1:10" x14ac:dyDescent="0.35">
      <c r="A14" s="79" t="s">
        <v>47</v>
      </c>
      <c r="B14" s="91">
        <v>4608389</v>
      </c>
      <c r="C14" s="91" t="s">
        <v>63</v>
      </c>
      <c r="D14" s="92" t="s">
        <v>12</v>
      </c>
      <c r="E14" s="93" t="s">
        <v>13</v>
      </c>
      <c r="F14" s="93" t="s">
        <v>14</v>
      </c>
      <c r="G14" s="168" t="s">
        <v>64</v>
      </c>
      <c r="H14" s="93" t="s">
        <v>65</v>
      </c>
      <c r="I14" s="154" t="s">
        <v>22</v>
      </c>
      <c r="J14" s="157"/>
    </row>
    <row r="15" spans="1:10" x14ac:dyDescent="0.35">
      <c r="A15" s="97" t="s">
        <v>10</v>
      </c>
      <c r="B15" s="94">
        <v>4608544</v>
      </c>
      <c r="C15" s="94" t="s">
        <v>66</v>
      </c>
      <c r="D15" s="95" t="s">
        <v>12</v>
      </c>
      <c r="E15" s="96" t="s">
        <v>19</v>
      </c>
      <c r="F15" s="96" t="s">
        <v>14</v>
      </c>
      <c r="G15" s="169" t="s">
        <v>67</v>
      </c>
      <c r="H15" s="96" t="s">
        <v>68</v>
      </c>
      <c r="I15" s="154" t="s">
        <v>22</v>
      </c>
      <c r="J15" s="157"/>
    </row>
    <row r="16" spans="1:10" x14ac:dyDescent="0.35">
      <c r="A16" s="97" t="s">
        <v>31</v>
      </c>
      <c r="B16" s="91">
        <v>4608474</v>
      </c>
      <c r="C16" s="91" t="s">
        <v>69</v>
      </c>
      <c r="D16" s="92" t="s">
        <v>12</v>
      </c>
      <c r="E16" s="93" t="s">
        <v>19</v>
      </c>
      <c r="F16" s="101" t="s">
        <v>14</v>
      </c>
      <c r="G16" s="170" t="s">
        <v>70</v>
      </c>
      <c r="H16" s="101" t="s">
        <v>71</v>
      </c>
      <c r="I16" s="154" t="s">
        <v>22</v>
      </c>
      <c r="J16" s="157"/>
    </row>
    <row r="17" spans="1:10" x14ac:dyDescent="0.35">
      <c r="A17" s="79" t="s">
        <v>31</v>
      </c>
      <c r="B17" s="94">
        <v>1386344</v>
      </c>
      <c r="C17" s="94" t="s">
        <v>72</v>
      </c>
      <c r="D17" s="98" t="s">
        <v>12</v>
      </c>
      <c r="E17" s="99" t="s">
        <v>19</v>
      </c>
      <c r="F17" s="99" t="s">
        <v>33</v>
      </c>
      <c r="G17" s="158" t="s">
        <v>73</v>
      </c>
      <c r="H17" s="99" t="s">
        <v>74</v>
      </c>
      <c r="I17" s="154" t="s">
        <v>22</v>
      </c>
      <c r="J17" s="157" t="s">
        <v>55</v>
      </c>
    </row>
    <row r="18" spans="1:10" x14ac:dyDescent="0.35">
      <c r="A18" s="79" t="s">
        <v>31</v>
      </c>
      <c r="B18" s="91">
        <v>4608684</v>
      </c>
      <c r="C18" s="91" t="s">
        <v>75</v>
      </c>
      <c r="D18" s="100" t="s">
        <v>12</v>
      </c>
      <c r="E18" s="101" t="s">
        <v>19</v>
      </c>
      <c r="F18" s="101" t="s">
        <v>14</v>
      </c>
      <c r="G18" s="170" t="s">
        <v>76</v>
      </c>
      <c r="H18" s="93" t="s">
        <v>77</v>
      </c>
      <c r="I18" s="154" t="s">
        <v>22</v>
      </c>
      <c r="J18" s="157"/>
    </row>
    <row r="19" spans="1:10" x14ac:dyDescent="0.35">
      <c r="A19" s="79" t="s">
        <v>47</v>
      </c>
      <c r="B19" s="94">
        <v>9612082</v>
      </c>
      <c r="C19" s="94" t="s">
        <v>78</v>
      </c>
      <c r="D19" s="98" t="s">
        <v>12</v>
      </c>
      <c r="E19" s="99" t="s">
        <v>19</v>
      </c>
      <c r="F19" s="96" t="s">
        <v>33</v>
      </c>
      <c r="G19" s="158" t="s">
        <v>79</v>
      </c>
      <c r="H19" s="99" t="s">
        <v>80</v>
      </c>
      <c r="I19" s="154" t="s">
        <v>22</v>
      </c>
      <c r="J19" s="157"/>
    </row>
    <row r="20" spans="1:10" x14ac:dyDescent="0.35">
      <c r="A20" s="79" t="s">
        <v>47</v>
      </c>
      <c r="B20" s="91">
        <v>9618720</v>
      </c>
      <c r="C20" s="91" t="s">
        <v>81</v>
      </c>
      <c r="D20" s="100" t="s">
        <v>12</v>
      </c>
      <c r="E20" s="101" t="s">
        <v>19</v>
      </c>
      <c r="F20" s="93" t="s">
        <v>33</v>
      </c>
      <c r="G20" s="170" t="s">
        <v>82</v>
      </c>
      <c r="H20" s="101" t="s">
        <v>83</v>
      </c>
      <c r="I20" s="154" t="s">
        <v>22</v>
      </c>
      <c r="J20" s="157" t="s">
        <v>43</v>
      </c>
    </row>
    <row r="21" spans="1:10" x14ac:dyDescent="0.35">
      <c r="A21" s="79" t="s">
        <v>47</v>
      </c>
      <c r="B21" s="94">
        <v>9724817</v>
      </c>
      <c r="C21" s="94" t="s">
        <v>84</v>
      </c>
      <c r="D21" s="98" t="s">
        <v>12</v>
      </c>
      <c r="E21" s="99" t="s">
        <v>19</v>
      </c>
      <c r="F21" s="96" t="s">
        <v>33</v>
      </c>
      <c r="G21" s="158" t="s">
        <v>85</v>
      </c>
      <c r="H21" s="99" t="s">
        <v>86</v>
      </c>
      <c r="I21" s="154" t="s">
        <v>22</v>
      </c>
      <c r="J21" s="157"/>
    </row>
    <row r="22" spans="1:10"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x14ac:dyDescent="0.35">
      <c r="A26" s="79" t="s">
        <v>47</v>
      </c>
      <c r="B26" s="91">
        <v>4608780</v>
      </c>
      <c r="C26" s="91" t="s">
        <v>99</v>
      </c>
      <c r="D26" s="92" t="s">
        <v>12</v>
      </c>
      <c r="E26" s="93" t="s">
        <v>24</v>
      </c>
      <c r="F26" s="93" t="s">
        <v>14</v>
      </c>
      <c r="G26" s="168" t="s">
        <v>100</v>
      </c>
      <c r="H26" s="93" t="s">
        <v>101</v>
      </c>
      <c r="I26" s="154" t="s">
        <v>22</v>
      </c>
      <c r="J26" s="156"/>
    </row>
    <row r="27" spans="1:10" x14ac:dyDescent="0.35">
      <c r="A27" s="79" t="s">
        <v>47</v>
      </c>
      <c r="B27" s="94">
        <v>2475130</v>
      </c>
      <c r="C27" s="94" t="s">
        <v>102</v>
      </c>
      <c r="D27" s="95" t="s">
        <v>12</v>
      </c>
      <c r="E27" s="96" t="s">
        <v>24</v>
      </c>
      <c r="F27" s="96" t="s">
        <v>33</v>
      </c>
      <c r="G27" s="158" t="s">
        <v>103</v>
      </c>
      <c r="H27" s="99" t="s">
        <v>104</v>
      </c>
      <c r="I27" s="154" t="s">
        <v>30</v>
      </c>
      <c r="J27" s="157" t="s">
        <v>105</v>
      </c>
    </row>
    <row r="28" spans="1:10" x14ac:dyDescent="0.35">
      <c r="A28" s="79" t="s">
        <v>47</v>
      </c>
      <c r="B28" s="91">
        <v>2477135</v>
      </c>
      <c r="C28" s="91" t="s">
        <v>106</v>
      </c>
      <c r="D28" s="92" t="s">
        <v>12</v>
      </c>
      <c r="E28" s="93" t="s">
        <v>24</v>
      </c>
      <c r="F28" s="93" t="s">
        <v>33</v>
      </c>
      <c r="G28" s="170" t="s">
        <v>107</v>
      </c>
      <c r="H28" s="101" t="s">
        <v>108</v>
      </c>
      <c r="I28" s="154" t="s">
        <v>22</v>
      </c>
      <c r="J28" s="156"/>
    </row>
    <row r="29" spans="1:10" x14ac:dyDescent="0.35">
      <c r="A29" s="79" t="s">
        <v>10</v>
      </c>
      <c r="B29" s="94">
        <v>4606246</v>
      </c>
      <c r="C29" s="94" t="s">
        <v>109</v>
      </c>
      <c r="D29" s="95" t="s">
        <v>110</v>
      </c>
      <c r="E29" s="99" t="s">
        <v>111</v>
      </c>
      <c r="F29" s="96" t="s">
        <v>14</v>
      </c>
      <c r="G29" s="158" t="s">
        <v>112</v>
      </c>
      <c r="H29" s="99" t="s">
        <v>113</v>
      </c>
      <c r="I29" s="154" t="s">
        <v>22</v>
      </c>
      <c r="J29" s="157"/>
    </row>
    <row r="30" spans="1:10"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x14ac:dyDescent="0.35">
      <c r="A32" s="79" t="s">
        <v>31</v>
      </c>
      <c r="B32" s="91">
        <v>229316</v>
      </c>
      <c r="C32" s="91" t="s">
        <v>120</v>
      </c>
      <c r="D32" s="91" t="s">
        <v>110</v>
      </c>
      <c r="E32" s="81" t="s">
        <v>111</v>
      </c>
      <c r="F32" s="81" t="s">
        <v>33</v>
      </c>
      <c r="G32" s="171" t="s">
        <v>121</v>
      </c>
      <c r="H32" s="81" t="s">
        <v>122</v>
      </c>
      <c r="I32" s="154" t="s">
        <v>22</v>
      </c>
      <c r="J32" s="157"/>
    </row>
    <row r="33" spans="1:10" x14ac:dyDescent="0.35">
      <c r="A33" s="79" t="s">
        <v>47</v>
      </c>
      <c r="B33" s="94">
        <v>2493288</v>
      </c>
      <c r="C33" s="94" t="s">
        <v>123</v>
      </c>
      <c r="D33" s="94" t="s">
        <v>110</v>
      </c>
      <c r="E33" s="80" t="s">
        <v>111</v>
      </c>
      <c r="F33" s="96" t="s">
        <v>33</v>
      </c>
      <c r="G33" s="172" t="s">
        <v>124</v>
      </c>
      <c r="H33" s="80" t="s">
        <v>125</v>
      </c>
      <c r="I33" s="154" t="s">
        <v>22</v>
      </c>
      <c r="J33" s="157"/>
    </row>
    <row r="34" spans="1:10" x14ac:dyDescent="0.35">
      <c r="A34" s="79" t="s">
        <v>47</v>
      </c>
      <c r="B34" s="91">
        <v>214272</v>
      </c>
      <c r="C34" s="91" t="s">
        <v>126</v>
      </c>
      <c r="D34" s="91" t="s">
        <v>110</v>
      </c>
      <c r="E34" s="81" t="s">
        <v>111</v>
      </c>
      <c r="F34" s="93" t="s">
        <v>33</v>
      </c>
      <c r="G34" s="171" t="s">
        <v>127</v>
      </c>
      <c r="H34" s="81" t="s">
        <v>128</v>
      </c>
      <c r="I34" s="154" t="s">
        <v>22</v>
      </c>
      <c r="J34" s="157"/>
    </row>
    <row r="35" spans="1:10" x14ac:dyDescent="0.35">
      <c r="A35" s="79" t="s">
        <v>47</v>
      </c>
      <c r="B35" s="94">
        <v>4606694</v>
      </c>
      <c r="C35" s="94" t="s">
        <v>129</v>
      </c>
      <c r="D35" s="95" t="s">
        <v>110</v>
      </c>
      <c r="E35" s="80" t="s">
        <v>111</v>
      </c>
      <c r="F35" s="80" t="s">
        <v>14</v>
      </c>
      <c r="G35" s="172" t="s">
        <v>130</v>
      </c>
      <c r="H35" s="80" t="s">
        <v>131</v>
      </c>
      <c r="I35" s="154" t="s">
        <v>30</v>
      </c>
      <c r="J35" s="157"/>
    </row>
    <row r="36" spans="1:10" x14ac:dyDescent="0.35">
      <c r="A36" s="79" t="s">
        <v>47</v>
      </c>
      <c r="B36" s="91">
        <v>2430855</v>
      </c>
      <c r="C36" s="91" t="s">
        <v>132</v>
      </c>
      <c r="D36" s="92" t="s">
        <v>12</v>
      </c>
      <c r="E36" s="81" t="s">
        <v>111</v>
      </c>
      <c r="F36" s="81" t="s">
        <v>33</v>
      </c>
      <c r="G36" s="171" t="s">
        <v>133</v>
      </c>
      <c r="H36" s="81" t="s">
        <v>134</v>
      </c>
      <c r="I36" s="154" t="s">
        <v>22</v>
      </c>
      <c r="J36" s="157"/>
    </row>
    <row r="37" spans="1:10" x14ac:dyDescent="0.35">
      <c r="A37" s="79" t="s">
        <v>47</v>
      </c>
      <c r="B37" s="94">
        <v>4604625</v>
      </c>
      <c r="C37" s="94" t="s">
        <v>135</v>
      </c>
      <c r="D37" s="95" t="s">
        <v>136</v>
      </c>
      <c r="E37" s="80" t="s">
        <v>111</v>
      </c>
      <c r="F37" s="80" t="s">
        <v>14</v>
      </c>
      <c r="G37" s="172" t="s">
        <v>137</v>
      </c>
      <c r="H37" s="80" t="s">
        <v>138</v>
      </c>
      <c r="I37" s="154" t="s">
        <v>22</v>
      </c>
      <c r="J37" s="157"/>
    </row>
    <row r="38" spans="1:10" x14ac:dyDescent="0.35">
      <c r="A38" s="79" t="s">
        <v>47</v>
      </c>
      <c r="B38" s="91">
        <v>4612098</v>
      </c>
      <c r="C38" s="91" t="s">
        <v>139</v>
      </c>
      <c r="D38" s="92" t="s">
        <v>12</v>
      </c>
      <c r="E38" s="93" t="s">
        <v>13</v>
      </c>
      <c r="F38" s="81" t="s">
        <v>14</v>
      </c>
      <c r="G38" s="171" t="s">
        <v>140</v>
      </c>
      <c r="H38" s="81" t="s">
        <v>141</v>
      </c>
      <c r="I38" s="154" t="s">
        <v>22</v>
      </c>
      <c r="J38" s="156"/>
    </row>
    <row r="39" spans="1:10" x14ac:dyDescent="0.35">
      <c r="A39" s="97" t="s">
        <v>47</v>
      </c>
      <c r="B39" s="94">
        <v>4612126</v>
      </c>
      <c r="C39" s="94" t="s">
        <v>142</v>
      </c>
      <c r="D39" s="95" t="s">
        <v>12</v>
      </c>
      <c r="E39" s="93" t="s">
        <v>19</v>
      </c>
      <c r="F39" s="80" t="s">
        <v>14</v>
      </c>
      <c r="G39" s="172" t="s">
        <v>143</v>
      </c>
      <c r="H39" s="80" t="s">
        <v>144</v>
      </c>
      <c r="I39" s="154" t="s">
        <v>22</v>
      </c>
      <c r="J39" s="156"/>
    </row>
    <row r="40" spans="1:10" x14ac:dyDescent="0.35">
      <c r="A40" s="79" t="s">
        <v>47</v>
      </c>
      <c r="B40" s="91">
        <v>2550195</v>
      </c>
      <c r="C40" s="91" t="s">
        <v>145</v>
      </c>
      <c r="D40" s="91" t="s">
        <v>57</v>
      </c>
      <c r="E40" s="81" t="s">
        <v>24</v>
      </c>
      <c r="F40" s="81" t="s">
        <v>33</v>
      </c>
      <c r="G40" s="171" t="s">
        <v>146</v>
      </c>
      <c r="H40" s="81" t="s">
        <v>147</v>
      </c>
      <c r="I40" s="154" t="s">
        <v>30</v>
      </c>
      <c r="J40" s="156"/>
    </row>
    <row r="41" spans="1:10" x14ac:dyDescent="0.35">
      <c r="A41" s="79" t="s">
        <v>47</v>
      </c>
      <c r="B41" s="94">
        <v>4613176</v>
      </c>
      <c r="C41" s="94" t="s">
        <v>148</v>
      </c>
      <c r="D41" s="95" t="s">
        <v>12</v>
      </c>
      <c r="E41" s="96" t="s">
        <v>19</v>
      </c>
      <c r="F41" s="80" t="s">
        <v>14</v>
      </c>
      <c r="G41" s="205" t="s">
        <v>149</v>
      </c>
      <c r="H41" s="80" t="s">
        <v>150</v>
      </c>
      <c r="I41" s="154"/>
      <c r="J41" s="156"/>
    </row>
    <row r="42" spans="1:10" x14ac:dyDescent="0.35">
      <c r="A42" s="79" t="s">
        <v>47</v>
      </c>
      <c r="B42" s="91">
        <v>4613186</v>
      </c>
      <c r="C42" s="91" t="s">
        <v>151</v>
      </c>
      <c r="D42" s="92" t="s">
        <v>12</v>
      </c>
      <c r="E42" s="93" t="s">
        <v>24</v>
      </c>
      <c r="F42" s="81" t="s">
        <v>14</v>
      </c>
      <c r="G42" s="206" t="s">
        <v>152</v>
      </c>
      <c r="H42" s="81" t="s">
        <v>153</v>
      </c>
      <c r="I42" s="154"/>
      <c r="J42" s="156"/>
    </row>
    <row r="43" spans="1:10" x14ac:dyDescent="0.35">
      <c r="A43" s="79" t="s">
        <v>31</v>
      </c>
      <c r="B43" s="94">
        <v>4612243</v>
      </c>
      <c r="C43" s="94" t="s">
        <v>154</v>
      </c>
      <c r="D43" s="95" t="s">
        <v>12</v>
      </c>
      <c r="E43" s="96" t="s">
        <v>13</v>
      </c>
      <c r="F43" s="80" t="s">
        <v>14</v>
      </c>
      <c r="G43" s="172" t="s">
        <v>155</v>
      </c>
      <c r="H43" s="80" t="s">
        <v>156</v>
      </c>
      <c r="I43" s="154" t="s">
        <v>22</v>
      </c>
      <c r="J43" s="156"/>
    </row>
    <row r="44" spans="1:10" x14ac:dyDescent="0.35">
      <c r="A44" s="79" t="s">
        <v>31</v>
      </c>
      <c r="B44" s="91">
        <v>4612389</v>
      </c>
      <c r="C44" s="91" t="s">
        <v>157</v>
      </c>
      <c r="D44" s="92" t="s">
        <v>12</v>
      </c>
      <c r="E44" s="96" t="s">
        <v>13</v>
      </c>
      <c r="F44" s="81" t="s">
        <v>14</v>
      </c>
      <c r="G44" s="171" t="s">
        <v>158</v>
      </c>
      <c r="H44" s="81" t="s">
        <v>159</v>
      </c>
      <c r="I44" s="154" t="s">
        <v>22</v>
      </c>
      <c r="J44" s="156"/>
    </row>
    <row r="45" spans="1:10"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x14ac:dyDescent="0.35">
      <c r="A49" s="79" t="s">
        <v>31</v>
      </c>
      <c r="B49" s="94">
        <v>1385950</v>
      </c>
      <c r="C49" s="94" t="s">
        <v>172</v>
      </c>
      <c r="D49" s="95" t="s">
        <v>12</v>
      </c>
      <c r="E49" s="93" t="s">
        <v>19</v>
      </c>
      <c r="F49" s="80" t="s">
        <v>33</v>
      </c>
      <c r="G49" s="164" t="s">
        <v>173</v>
      </c>
      <c r="H49" s="80" t="s">
        <v>174</v>
      </c>
      <c r="I49" s="154"/>
      <c r="J49" s="156"/>
    </row>
    <row r="50" spans="1:10" x14ac:dyDescent="0.35">
      <c r="A50" s="79" t="s">
        <v>31</v>
      </c>
      <c r="B50" s="91">
        <v>1387328</v>
      </c>
      <c r="C50" s="91" t="s">
        <v>175</v>
      </c>
      <c r="D50" s="92" t="s">
        <v>12</v>
      </c>
      <c r="E50" s="93" t="s">
        <v>19</v>
      </c>
      <c r="F50" s="81" t="s">
        <v>33</v>
      </c>
      <c r="G50" s="165" t="s">
        <v>176</v>
      </c>
      <c r="H50" s="81" t="s">
        <v>177</v>
      </c>
      <c r="I50" s="154"/>
      <c r="J50" s="156"/>
    </row>
    <row r="51" spans="1:10" x14ac:dyDescent="0.35">
      <c r="A51" s="187" t="s">
        <v>31</v>
      </c>
      <c r="B51" s="188">
        <v>1385870</v>
      </c>
      <c r="C51" s="188" t="s">
        <v>178</v>
      </c>
      <c r="D51" s="189" t="s">
        <v>12</v>
      </c>
      <c r="E51" s="190" t="s">
        <v>24</v>
      </c>
      <c r="F51" s="191" t="s">
        <v>33</v>
      </c>
      <c r="G51" s="192" t="s">
        <v>179</v>
      </c>
      <c r="H51" s="191" t="s">
        <v>180</v>
      </c>
      <c r="I51" s="193"/>
      <c r="J51" s="194"/>
    </row>
    <row r="52" spans="1:10" x14ac:dyDescent="0.35">
      <c r="A52" s="195" t="s">
        <v>31</v>
      </c>
      <c r="B52" s="196">
        <v>1386288</v>
      </c>
      <c r="C52" s="196" t="s">
        <v>181</v>
      </c>
      <c r="D52" s="196" t="s">
        <v>12</v>
      </c>
      <c r="E52" s="197" t="s">
        <v>24</v>
      </c>
      <c r="F52" s="198" t="s">
        <v>33</v>
      </c>
      <c r="G52" s="199" t="s">
        <v>182</v>
      </c>
      <c r="H52" s="198" t="s">
        <v>183</v>
      </c>
      <c r="I52" s="157"/>
      <c r="J52" s="156"/>
    </row>
    <row r="53" spans="1:10" x14ac:dyDescent="0.35">
      <c r="A53" s="195" t="s">
        <v>31</v>
      </c>
      <c r="B53" s="200">
        <v>9678697</v>
      </c>
      <c r="C53" s="200" t="s">
        <v>184</v>
      </c>
      <c r="D53" s="200" t="s">
        <v>12</v>
      </c>
      <c r="E53" s="197" t="s">
        <v>13</v>
      </c>
      <c r="F53" s="197" t="s">
        <v>33</v>
      </c>
      <c r="G53" s="201" t="s">
        <v>185</v>
      </c>
      <c r="H53" s="197" t="s">
        <v>186</v>
      </c>
      <c r="I53" s="157"/>
      <c r="J53" s="156"/>
    </row>
    <row r="54" spans="1:10" x14ac:dyDescent="0.35">
      <c r="A54" s="195" t="s">
        <v>10</v>
      </c>
      <c r="B54" s="196">
        <v>9921954</v>
      </c>
      <c r="C54" s="196" t="s">
        <v>187</v>
      </c>
      <c r="D54" s="196" t="s">
        <v>12</v>
      </c>
      <c r="E54" s="198" t="s">
        <v>19</v>
      </c>
      <c r="F54" s="198" t="s">
        <v>33</v>
      </c>
      <c r="G54" s="199" t="s">
        <v>188</v>
      </c>
      <c r="H54" s="198" t="s">
        <v>189</v>
      </c>
      <c r="I54" s="157"/>
      <c r="J54" s="156"/>
    </row>
    <row r="55" spans="1:10" x14ac:dyDescent="0.35">
      <c r="A55" s="195" t="s">
        <v>10</v>
      </c>
      <c r="B55" s="200">
        <v>2448533</v>
      </c>
      <c r="C55" s="200" t="s">
        <v>190</v>
      </c>
      <c r="D55" s="200" t="s">
        <v>12</v>
      </c>
      <c r="E55" s="197" t="s">
        <v>13</v>
      </c>
      <c r="F55" s="197" t="s">
        <v>33</v>
      </c>
      <c r="G55" s="201" t="s">
        <v>191</v>
      </c>
      <c r="H55" s="197" t="s">
        <v>192</v>
      </c>
      <c r="I55" s="157"/>
      <c r="J55" s="156"/>
    </row>
    <row r="56" spans="1:10" x14ac:dyDescent="0.35">
      <c r="A56" s="195" t="s">
        <v>10</v>
      </c>
      <c r="B56" s="200">
        <v>4606426</v>
      </c>
      <c r="C56" s="200" t="s">
        <v>193</v>
      </c>
      <c r="D56" s="196" t="s">
        <v>110</v>
      </c>
      <c r="E56" s="197" t="s">
        <v>194</v>
      </c>
      <c r="F56" s="197"/>
      <c r="G56" s="201" t="s">
        <v>195</v>
      </c>
      <c r="H56" s="198" t="s">
        <v>196</v>
      </c>
      <c r="I56" s="156"/>
      <c r="J56" s="157"/>
    </row>
    <row r="57" spans="1:10" x14ac:dyDescent="0.35">
      <c r="A57" s="195" t="s">
        <v>31</v>
      </c>
      <c r="B57" s="200"/>
      <c r="C57" s="200"/>
      <c r="D57" s="196" t="s">
        <v>110</v>
      </c>
      <c r="E57" s="197"/>
      <c r="F57" s="197"/>
      <c r="G57" s="217"/>
      <c r="H57" s="198" t="s">
        <v>324</v>
      </c>
      <c r="I57" s="156"/>
      <c r="J57" s="157"/>
    </row>
  </sheetData>
  <autoFilter ref="A1:J56" xr:uid="{CCFC853D-4B89-47CE-AA8F-BD4EA9CD1EC0}"/>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6"/>
  <sheetViews>
    <sheetView showGridLines="0" tabSelected="1" showRuler="0" zoomScale="80" zoomScaleNormal="80" zoomScalePageLayoutView="70" workbookViewId="0">
      <pane xSplit="7" ySplit="6" topLeftCell="VB119" activePane="bottomRight" state="frozen"/>
      <selection pane="topRight" activeCell="H1" sqref="H1"/>
      <selection pane="bottomLeft" activeCell="A7" sqref="A7"/>
      <selection pane="bottomRight" activeCell="VG1" sqref="VG1:VG1048576"/>
    </sheetView>
  </sheetViews>
  <sheetFormatPr defaultColWidth="9.453125" defaultRowHeight="14.5" outlineLevelRow="1" x14ac:dyDescent="0.35"/>
  <cols>
    <col min="1" max="1" width="0.453125" customWidth="1"/>
    <col min="2" max="2" width="37.54296875" bestFit="1" customWidth="1"/>
    <col min="3" max="3" width="27.7265625" style="5" bestFit="1" customWidth="1"/>
    <col min="4" max="4" width="21" style="111" bestFit="1" customWidth="1"/>
    <col min="5" max="5" width="19" style="111" customWidth="1"/>
    <col min="6" max="7" width="4.453125" customWidth="1"/>
    <col min="8" max="9" width="0.453125" customWidth="1"/>
    <col min="10" max="10" width="2.54296875" bestFit="1" customWidth="1"/>
    <col min="11" max="19" width="2" bestFit="1" customWidth="1"/>
    <col min="20" max="24" width="2.54296875" bestFit="1" customWidth="1"/>
    <col min="25" max="25" width="6.72656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197</v>
      </c>
      <c r="B1" s="37" t="s">
        <v>198</v>
      </c>
      <c r="C1" s="134"/>
      <c r="D1" s="110"/>
      <c r="E1" s="110"/>
      <c r="G1" s="2"/>
      <c r="H1" s="51"/>
      <c r="I1" s="51"/>
      <c r="BT1" s="233" t="s">
        <v>199</v>
      </c>
      <c r="BU1" s="233"/>
      <c r="BV1" s="233"/>
      <c r="CQ1" s="231"/>
      <c r="CR1" s="231"/>
      <c r="CX1" s="230"/>
      <c r="CY1" s="230"/>
      <c r="EK1" s="231"/>
    </row>
    <row r="2" spans="1:617" ht="9.65" customHeight="1" x14ac:dyDescent="0.45">
      <c r="A2" s="33" t="s">
        <v>200</v>
      </c>
      <c r="B2" s="38"/>
      <c r="BT2" s="233"/>
      <c r="BU2" s="233"/>
      <c r="BV2" s="233"/>
      <c r="CQ2" s="231"/>
      <c r="CR2" s="231"/>
      <c r="CX2" s="230"/>
      <c r="CY2" s="230"/>
      <c r="EK2" s="231"/>
    </row>
    <row r="3" spans="1:617" ht="9.65" customHeight="1" x14ac:dyDescent="0.35">
      <c r="A3" s="33" t="s">
        <v>201</v>
      </c>
      <c r="B3" s="70" t="s">
        <v>202</v>
      </c>
      <c r="C3" s="135">
        <f>Início_do_projeto+660</f>
        <v>46318</v>
      </c>
      <c r="D3" s="112" t="s">
        <v>203</v>
      </c>
      <c r="E3" s="228">
        <v>45658</v>
      </c>
      <c r="F3" s="228"/>
      <c r="BT3" s="233"/>
      <c r="BU3" s="233"/>
      <c r="BV3" s="233"/>
      <c r="CQ3" s="231"/>
      <c r="CR3" s="231"/>
      <c r="CX3" s="230"/>
      <c r="CY3" s="230"/>
      <c r="EK3" s="231"/>
    </row>
    <row r="4" spans="1:617" ht="9.65" customHeight="1" x14ac:dyDescent="0.35">
      <c r="A4" s="34" t="s">
        <v>204</v>
      </c>
      <c r="D4" s="113" t="s">
        <v>205</v>
      </c>
      <c r="F4" s="7">
        <v>1</v>
      </c>
      <c r="H4" s="218">
        <f>H5</f>
        <v>45656</v>
      </c>
      <c r="I4" s="219"/>
      <c r="J4" s="219"/>
      <c r="K4" s="219"/>
      <c r="L4" s="219"/>
      <c r="M4" s="219"/>
      <c r="N4" s="219"/>
      <c r="O4" s="220"/>
      <c r="P4" s="218">
        <f>P5</f>
        <v>45663</v>
      </c>
      <c r="Q4" s="219"/>
      <c r="R4" s="219"/>
      <c r="S4" s="219"/>
      <c r="T4" s="219"/>
      <c r="U4" s="219"/>
      <c r="V4" s="220"/>
      <c r="W4" s="218">
        <f>W5</f>
        <v>45670</v>
      </c>
      <c r="X4" s="219"/>
      <c r="Y4" s="219"/>
      <c r="Z4" s="219"/>
      <c r="AA4" s="219"/>
      <c r="AB4" s="219"/>
      <c r="AC4" s="220"/>
      <c r="AD4" s="218">
        <f>AD5</f>
        <v>45677</v>
      </c>
      <c r="AE4" s="219"/>
      <c r="AF4" s="219"/>
      <c r="AG4" s="219"/>
      <c r="AH4" s="219"/>
      <c r="AI4" s="219"/>
      <c r="AJ4" s="220"/>
      <c r="AK4" s="218">
        <f>AK5</f>
        <v>45684</v>
      </c>
      <c r="AL4" s="219"/>
      <c r="AM4" s="219"/>
      <c r="AN4" s="219"/>
      <c r="AO4" s="219"/>
      <c r="AP4" s="219"/>
      <c r="AQ4" s="220"/>
      <c r="AR4" s="218">
        <f>AR5</f>
        <v>45691</v>
      </c>
      <c r="AS4" s="219"/>
      <c r="AT4" s="219"/>
      <c r="AU4" s="219"/>
      <c r="AV4" s="219"/>
      <c r="AW4" s="219"/>
      <c r="AX4" s="220"/>
      <c r="AY4" s="218">
        <f>AY5</f>
        <v>45698</v>
      </c>
      <c r="AZ4" s="219"/>
      <c r="BA4" s="219"/>
      <c r="BB4" s="219"/>
      <c r="BC4" s="219"/>
      <c r="BD4" s="219"/>
      <c r="BE4" s="220"/>
      <c r="BF4" s="218">
        <f>BF5</f>
        <v>45705</v>
      </c>
      <c r="BG4" s="219"/>
      <c r="BH4" s="219"/>
      <c r="BI4" s="219"/>
      <c r="BJ4" s="219"/>
      <c r="BK4" s="219"/>
      <c r="BL4" s="220"/>
      <c r="BM4" s="218">
        <f>BM5</f>
        <v>45712</v>
      </c>
      <c r="BN4" s="219"/>
      <c r="BO4" s="219"/>
      <c r="BP4" s="219"/>
      <c r="BQ4" s="219"/>
      <c r="BR4" s="219"/>
      <c r="BS4" s="220"/>
      <c r="BT4" s="218">
        <f>BT5</f>
        <v>45719</v>
      </c>
      <c r="BU4" s="219"/>
      <c r="BV4" s="219"/>
      <c r="BW4" s="219"/>
      <c r="BX4" s="219"/>
      <c r="BY4" s="219"/>
      <c r="BZ4" s="220"/>
      <c r="CA4" s="218">
        <f>CA5</f>
        <v>45726</v>
      </c>
      <c r="CB4" s="219"/>
      <c r="CC4" s="219"/>
      <c r="CD4" s="219"/>
      <c r="CE4" s="219"/>
      <c r="CF4" s="219"/>
      <c r="CG4" s="220"/>
      <c r="CH4" s="218">
        <f>CH5</f>
        <v>45733</v>
      </c>
      <c r="CI4" s="219"/>
      <c r="CJ4" s="219"/>
      <c r="CK4" s="219"/>
      <c r="CL4" s="219"/>
      <c r="CM4" s="219"/>
      <c r="CN4" s="220"/>
      <c r="CO4" s="218">
        <f>CO5</f>
        <v>45740</v>
      </c>
      <c r="CP4" s="219"/>
      <c r="CQ4" s="219"/>
      <c r="CR4" s="219"/>
      <c r="CS4" s="219"/>
      <c r="CT4" s="219"/>
      <c r="CU4" s="220"/>
      <c r="CV4" s="218">
        <f>CV5</f>
        <v>45747</v>
      </c>
      <c r="CW4" s="219"/>
      <c r="CX4" s="219"/>
      <c r="CY4" s="219"/>
      <c r="CZ4" s="219"/>
      <c r="DA4" s="219"/>
      <c r="DB4" s="220"/>
      <c r="DC4" s="218">
        <f>DC5</f>
        <v>45754</v>
      </c>
      <c r="DD4" s="219"/>
      <c r="DE4" s="219"/>
      <c r="DF4" s="219"/>
      <c r="DG4" s="219"/>
      <c r="DH4" s="219"/>
      <c r="DI4" s="220"/>
      <c r="DJ4" s="218">
        <f>DJ5</f>
        <v>45761</v>
      </c>
      <c r="DK4" s="219"/>
      <c r="DL4" s="219"/>
      <c r="DM4" s="219"/>
      <c r="DN4" s="219"/>
      <c r="DO4" s="219"/>
      <c r="DP4" s="220"/>
      <c r="DQ4" s="218">
        <f>DQ5</f>
        <v>45768</v>
      </c>
      <c r="DR4" s="219"/>
      <c r="DS4" s="219"/>
      <c r="DT4" s="219"/>
      <c r="DU4" s="219"/>
      <c r="DV4" s="219"/>
      <c r="DW4" s="220"/>
      <c r="DX4" s="218">
        <f>DX5</f>
        <v>45775</v>
      </c>
      <c r="DY4" s="219"/>
      <c r="DZ4" s="219"/>
      <c r="EA4" s="219"/>
      <c r="EB4" s="219"/>
      <c r="EC4" s="219"/>
      <c r="ED4" s="220"/>
      <c r="EE4" s="218">
        <f t="shared" ref="EE4" si="0">EE5</f>
        <v>45782</v>
      </c>
      <c r="EF4" s="219"/>
      <c r="EG4" s="219"/>
      <c r="EH4" s="219"/>
      <c r="EI4" s="219"/>
      <c r="EJ4" s="219"/>
      <c r="EK4" s="220"/>
      <c r="EL4" s="218">
        <f t="shared" ref="EL4" si="1">EL5</f>
        <v>45789</v>
      </c>
      <c r="EM4" s="219"/>
      <c r="EN4" s="219"/>
      <c r="EO4" s="219"/>
      <c r="EP4" s="219"/>
      <c r="EQ4" s="219"/>
      <c r="ER4" s="220"/>
      <c r="ES4" s="218">
        <f t="shared" ref="ES4" si="2">ES5</f>
        <v>45796</v>
      </c>
      <c r="ET4" s="219"/>
      <c r="EU4" s="219"/>
      <c r="EV4" s="219"/>
      <c r="EW4" s="219"/>
      <c r="EX4" s="219"/>
      <c r="EY4" s="220"/>
      <c r="EZ4" s="218">
        <f t="shared" ref="EZ4" si="3">EZ5</f>
        <v>45803</v>
      </c>
      <c r="FA4" s="219"/>
      <c r="FB4" s="219"/>
      <c r="FC4" s="219"/>
      <c r="FD4" s="219"/>
      <c r="FE4" s="219"/>
      <c r="FF4" s="220"/>
      <c r="FG4" s="218">
        <f t="shared" ref="FG4" si="4">FG5</f>
        <v>45810</v>
      </c>
      <c r="FH4" s="219"/>
      <c r="FI4" s="219"/>
      <c r="FJ4" s="219"/>
      <c r="FK4" s="219"/>
      <c r="FL4" s="219"/>
      <c r="FM4" s="220"/>
      <c r="FN4" s="218">
        <f t="shared" ref="FN4" si="5">FN5</f>
        <v>45817</v>
      </c>
      <c r="FO4" s="219"/>
      <c r="FP4" s="219"/>
      <c r="FQ4" s="219"/>
      <c r="FR4" s="219"/>
      <c r="FS4" s="219"/>
      <c r="FT4" s="220"/>
      <c r="FU4" s="218">
        <f t="shared" ref="FU4" si="6">FU5</f>
        <v>45824</v>
      </c>
      <c r="FV4" s="219"/>
      <c r="FW4" s="219"/>
      <c r="FX4" s="219"/>
      <c r="FY4" s="219"/>
      <c r="FZ4" s="219"/>
      <c r="GA4" s="220"/>
      <c r="GB4" s="218">
        <f t="shared" ref="GB4" si="7">GB5</f>
        <v>45831</v>
      </c>
      <c r="GC4" s="219"/>
      <c r="GD4" s="219"/>
      <c r="GE4" s="219"/>
      <c r="GF4" s="219"/>
      <c r="GG4" s="219"/>
      <c r="GH4" s="220"/>
      <c r="GI4" s="218">
        <f t="shared" ref="GI4" si="8">GI5</f>
        <v>45838</v>
      </c>
      <c r="GJ4" s="219"/>
      <c r="GK4" s="219"/>
      <c r="GL4" s="219"/>
      <c r="GM4" s="219"/>
      <c r="GN4" s="219"/>
      <c r="GO4" s="220"/>
      <c r="GP4" s="218">
        <f t="shared" ref="GP4" si="9">GP5</f>
        <v>45845</v>
      </c>
      <c r="GQ4" s="219"/>
      <c r="GR4" s="219"/>
      <c r="GS4" s="219"/>
      <c r="GT4" s="219"/>
      <c r="GU4" s="219"/>
      <c r="GV4" s="220"/>
      <c r="GW4" s="218">
        <f t="shared" ref="GW4" si="10">GW5</f>
        <v>45852</v>
      </c>
      <c r="GX4" s="219"/>
      <c r="GY4" s="219"/>
      <c r="GZ4" s="219"/>
      <c r="HA4" s="219"/>
      <c r="HB4" s="219"/>
      <c r="HC4" s="220"/>
      <c r="HD4" s="218">
        <f t="shared" ref="HD4" si="11">HD5</f>
        <v>45859</v>
      </c>
      <c r="HE4" s="219"/>
      <c r="HF4" s="219"/>
      <c r="HG4" s="219"/>
      <c r="HH4" s="219"/>
      <c r="HI4" s="219"/>
      <c r="HJ4" s="220"/>
      <c r="HK4" s="218">
        <f t="shared" ref="HK4" si="12">HK5</f>
        <v>45866</v>
      </c>
      <c r="HL4" s="219"/>
      <c r="HM4" s="219"/>
      <c r="HN4" s="219"/>
      <c r="HO4" s="219"/>
      <c r="HP4" s="219"/>
      <c r="HQ4" s="220"/>
      <c r="HR4" s="218">
        <f t="shared" ref="HR4" si="13">HR5</f>
        <v>45873</v>
      </c>
      <c r="HS4" s="219"/>
      <c r="HT4" s="219"/>
      <c r="HU4" s="219"/>
      <c r="HV4" s="219"/>
      <c r="HW4" s="219"/>
      <c r="HX4" s="220"/>
      <c r="HY4" s="218">
        <f t="shared" ref="HY4" si="14">HY5</f>
        <v>45880</v>
      </c>
      <c r="HZ4" s="219"/>
      <c r="IA4" s="219"/>
      <c r="IB4" s="219"/>
      <c r="IC4" s="219"/>
      <c r="ID4" s="219"/>
      <c r="IE4" s="220"/>
      <c r="IF4" s="218">
        <f t="shared" ref="IF4" si="15">IF5</f>
        <v>45887</v>
      </c>
      <c r="IG4" s="219"/>
      <c r="IH4" s="219"/>
      <c r="II4" s="219"/>
      <c r="IJ4" s="219"/>
      <c r="IK4" s="219"/>
      <c r="IL4" s="220"/>
      <c r="IM4" s="218">
        <f t="shared" ref="IM4" si="16">IM5</f>
        <v>45894</v>
      </c>
      <c r="IN4" s="219"/>
      <c r="IO4" s="219"/>
      <c r="IP4" s="219"/>
      <c r="IQ4" s="219"/>
      <c r="IR4" s="219"/>
      <c r="IS4" s="220"/>
      <c r="IT4" s="218">
        <f t="shared" ref="IT4" si="17">IT5</f>
        <v>45901</v>
      </c>
      <c r="IU4" s="219"/>
      <c r="IV4" s="219"/>
      <c r="IW4" s="219"/>
      <c r="IX4" s="219"/>
      <c r="IY4" s="219"/>
      <c r="IZ4" s="220"/>
      <c r="JA4" s="218">
        <f t="shared" ref="JA4" si="18">JA5</f>
        <v>45908</v>
      </c>
      <c r="JB4" s="219"/>
      <c r="JC4" s="219"/>
      <c r="JD4" s="219"/>
      <c r="JE4" s="219"/>
      <c r="JF4" s="219"/>
      <c r="JG4" s="220"/>
      <c r="JH4" s="218">
        <f t="shared" ref="JH4" si="19">JH5</f>
        <v>45915</v>
      </c>
      <c r="JI4" s="219"/>
      <c r="JJ4" s="219"/>
      <c r="JK4" s="219"/>
      <c r="JL4" s="219"/>
      <c r="JM4" s="219"/>
      <c r="JN4" s="220"/>
      <c r="JO4" s="218">
        <f t="shared" ref="JO4" si="20">JO5</f>
        <v>45922</v>
      </c>
      <c r="JP4" s="219"/>
      <c r="JQ4" s="219"/>
      <c r="JR4" s="219"/>
      <c r="JS4" s="219"/>
      <c r="JT4" s="219"/>
      <c r="JU4" s="220"/>
      <c r="JV4" s="218">
        <f t="shared" ref="JV4" si="21">JV5</f>
        <v>45929</v>
      </c>
      <c r="JW4" s="219"/>
      <c r="JX4" s="219"/>
      <c r="JY4" s="219"/>
      <c r="JZ4" s="219"/>
      <c r="KA4" s="219"/>
      <c r="KB4" s="220"/>
      <c r="KC4" s="218">
        <f t="shared" ref="KC4" si="22">KC5</f>
        <v>45936</v>
      </c>
      <c r="KD4" s="219"/>
      <c r="KE4" s="219"/>
      <c r="KF4" s="219"/>
      <c r="KG4" s="219"/>
      <c r="KH4" s="219"/>
      <c r="KI4" s="220"/>
      <c r="KJ4" s="218">
        <f t="shared" ref="KJ4" si="23">KJ5</f>
        <v>45943</v>
      </c>
      <c r="KK4" s="219"/>
      <c r="KL4" s="219"/>
      <c r="KM4" s="219"/>
      <c r="KN4" s="219"/>
      <c r="KO4" s="219"/>
      <c r="KP4" s="220"/>
      <c r="KQ4" s="218">
        <f t="shared" ref="KQ4" si="24">KQ5</f>
        <v>45950</v>
      </c>
      <c r="KR4" s="219"/>
      <c r="KS4" s="219"/>
      <c r="KT4" s="219"/>
      <c r="KU4" s="219"/>
      <c r="KV4" s="219"/>
      <c r="KW4" s="220"/>
      <c r="KX4" s="218">
        <f t="shared" ref="KX4" si="25">KX5</f>
        <v>45957</v>
      </c>
      <c r="KY4" s="219"/>
      <c r="KZ4" s="219"/>
      <c r="LA4" s="219"/>
      <c r="LB4" s="219"/>
      <c r="LC4" s="219"/>
      <c r="LD4" s="220"/>
      <c r="LE4" s="218">
        <f t="shared" ref="LE4" si="26">LE5</f>
        <v>45964</v>
      </c>
      <c r="LF4" s="219"/>
      <c r="LG4" s="219"/>
      <c r="LH4" s="219"/>
      <c r="LI4" s="219"/>
      <c r="LJ4" s="219"/>
      <c r="LK4" s="220"/>
      <c r="LL4" s="218">
        <f t="shared" ref="LL4" si="27">LL5</f>
        <v>45971</v>
      </c>
      <c r="LM4" s="219"/>
      <c r="LN4" s="219"/>
      <c r="LO4" s="219"/>
      <c r="LP4" s="219"/>
      <c r="LQ4" s="219"/>
      <c r="LR4" s="220"/>
      <c r="LS4" s="218">
        <f t="shared" ref="LS4" si="28">LS5</f>
        <v>45978</v>
      </c>
      <c r="LT4" s="218"/>
      <c r="LU4" s="218"/>
      <c r="LV4" s="218"/>
      <c r="LW4" s="218"/>
      <c r="LX4" s="218"/>
      <c r="LY4" s="218"/>
      <c r="LZ4" s="218">
        <f t="shared" ref="LZ4" si="29">LZ5</f>
        <v>45985</v>
      </c>
      <c r="MA4" s="219"/>
      <c r="MB4" s="219"/>
      <c r="MC4" s="219"/>
      <c r="MD4" s="219"/>
      <c r="ME4" s="219"/>
      <c r="MF4" s="220"/>
      <c r="MG4" s="218">
        <f t="shared" ref="MG4" si="30">MG5</f>
        <v>45992</v>
      </c>
      <c r="MH4" s="219"/>
      <c r="MI4" s="219"/>
      <c r="MJ4" s="219"/>
      <c r="MK4" s="219"/>
      <c r="ML4" s="219"/>
      <c r="MM4" s="220"/>
      <c r="MN4" s="218">
        <f t="shared" ref="MN4:OY4" si="31">MN5</f>
        <v>45999</v>
      </c>
      <c r="MO4" s="219"/>
      <c r="MP4" s="219"/>
      <c r="MQ4" s="219"/>
      <c r="MR4" s="219"/>
      <c r="MS4" s="219"/>
      <c r="MT4" s="220"/>
      <c r="MU4" s="218">
        <f t="shared" si="31"/>
        <v>46006</v>
      </c>
      <c r="MV4" s="219"/>
      <c r="MW4" s="219"/>
      <c r="MX4" s="219"/>
      <c r="MY4" s="219"/>
      <c r="MZ4" s="219"/>
      <c r="NA4" s="220"/>
      <c r="NB4" s="218">
        <f t="shared" si="31"/>
        <v>46013</v>
      </c>
      <c r="NC4" s="219"/>
      <c r="ND4" s="219"/>
      <c r="NE4" s="219"/>
      <c r="NF4" s="219"/>
      <c r="NG4" s="219"/>
      <c r="NH4" s="220"/>
      <c r="NI4" s="218">
        <f t="shared" si="31"/>
        <v>46020</v>
      </c>
      <c r="NJ4" s="219"/>
      <c r="NK4" s="219"/>
      <c r="NL4" s="219"/>
      <c r="NM4" s="219"/>
      <c r="NN4" s="219"/>
      <c r="NO4" s="220"/>
      <c r="NP4" s="218">
        <f t="shared" si="31"/>
        <v>46027</v>
      </c>
      <c r="NQ4" s="219"/>
      <c r="NR4" s="219"/>
      <c r="NS4" s="219"/>
      <c r="NT4" s="219"/>
      <c r="NU4" s="219"/>
      <c r="NV4" s="220"/>
      <c r="NW4" s="183">
        <f t="shared" si="31"/>
        <v>46034</v>
      </c>
      <c r="NX4" s="184"/>
      <c r="NY4" s="184"/>
      <c r="NZ4" s="184"/>
      <c r="OA4" s="184"/>
      <c r="OB4" s="218"/>
      <c r="OC4" s="219"/>
      <c r="OD4" s="219">
        <f t="shared" si="31"/>
        <v>46041</v>
      </c>
      <c r="OE4" s="219"/>
      <c r="OF4" s="219"/>
      <c r="OG4" s="219"/>
      <c r="OH4" s="220"/>
      <c r="OI4" s="184"/>
      <c r="OJ4" s="185"/>
      <c r="OK4" s="183">
        <f t="shared" si="31"/>
        <v>46048</v>
      </c>
      <c r="OL4" s="184"/>
      <c r="OM4" s="184"/>
      <c r="ON4" s="218"/>
      <c r="OO4" s="219"/>
      <c r="OP4" s="219"/>
      <c r="OQ4" s="219"/>
      <c r="OR4" s="219">
        <f t="shared" si="31"/>
        <v>46055</v>
      </c>
      <c r="OS4" s="219"/>
      <c r="OT4" s="220"/>
      <c r="OU4" s="184"/>
      <c r="OV4" s="184"/>
      <c r="OW4" s="184"/>
      <c r="OX4" s="185"/>
      <c r="OY4" s="183">
        <f t="shared" si="31"/>
        <v>46062</v>
      </c>
      <c r="OZ4" s="218"/>
      <c r="PA4" s="219"/>
      <c r="PB4" s="219"/>
      <c r="PC4" s="219"/>
      <c r="PD4" s="219"/>
      <c r="PE4" s="219"/>
      <c r="PF4" s="220">
        <f t="shared" ref="PF4:RQ4" si="32">PF5</f>
        <v>46069</v>
      </c>
      <c r="PG4" s="184"/>
      <c r="PH4" s="184"/>
      <c r="PI4" s="184"/>
      <c r="PJ4" s="184"/>
      <c r="PK4" s="184"/>
      <c r="PL4" s="218"/>
      <c r="PM4" s="219">
        <f t="shared" si="32"/>
        <v>46076</v>
      </c>
      <c r="PN4" s="219"/>
      <c r="PO4" s="219"/>
      <c r="PP4" s="219"/>
      <c r="PQ4" s="219"/>
      <c r="PR4" s="220"/>
      <c r="PS4" s="185"/>
      <c r="PT4" s="183">
        <f t="shared" si="32"/>
        <v>46083</v>
      </c>
      <c r="PU4" s="184"/>
      <c r="PV4" s="184"/>
      <c r="PW4" s="184"/>
      <c r="PX4" s="218"/>
      <c r="PY4" s="219"/>
      <c r="PZ4" s="219"/>
      <c r="QA4" s="219">
        <f t="shared" si="32"/>
        <v>46090</v>
      </c>
      <c r="QB4" s="219"/>
      <c r="QC4" s="219"/>
      <c r="QD4" s="220"/>
      <c r="QE4" s="184"/>
      <c r="QF4" s="184"/>
      <c r="QG4" s="185"/>
      <c r="QH4" s="183">
        <f t="shared" si="32"/>
        <v>46097</v>
      </c>
      <c r="QI4" s="184"/>
      <c r="QJ4" s="218"/>
      <c r="QK4" s="219"/>
      <c r="QL4" s="219"/>
      <c r="QM4" s="219"/>
      <c r="QN4" s="219"/>
      <c r="QO4" s="219">
        <f t="shared" si="32"/>
        <v>46104</v>
      </c>
      <c r="QP4" s="220"/>
      <c r="QQ4" s="184"/>
      <c r="QR4" s="184"/>
      <c r="QS4" s="184"/>
      <c r="QT4" s="184"/>
      <c r="QU4" s="185"/>
      <c r="QV4" s="218">
        <f t="shared" si="32"/>
        <v>46111</v>
      </c>
      <c r="QW4" s="219"/>
      <c r="QX4" s="219"/>
      <c r="QY4" s="219"/>
      <c r="QZ4" s="219"/>
      <c r="RA4" s="219"/>
      <c r="RB4" s="220"/>
      <c r="RC4" s="183">
        <f t="shared" si="32"/>
        <v>46118</v>
      </c>
      <c r="RD4" s="184"/>
      <c r="RE4" s="184"/>
      <c r="RF4" s="184"/>
      <c r="RG4" s="184"/>
      <c r="RH4" s="218"/>
      <c r="RI4" s="219"/>
      <c r="RJ4" s="219">
        <f t="shared" si="32"/>
        <v>46125</v>
      </c>
      <c r="RK4" s="219"/>
      <c r="RL4" s="219"/>
      <c r="RM4" s="219"/>
      <c r="RN4" s="220"/>
      <c r="RO4" s="184"/>
      <c r="RP4" s="185"/>
      <c r="RQ4" s="183">
        <f t="shared" si="32"/>
        <v>46132</v>
      </c>
      <c r="RR4" s="184"/>
      <c r="RS4" s="184"/>
      <c r="RT4" s="218"/>
      <c r="RU4" s="219"/>
      <c r="RV4" s="219"/>
      <c r="RW4" s="219"/>
      <c r="RX4" s="219">
        <f t="shared" ref="RX4:UI4" si="33">RX5</f>
        <v>46139</v>
      </c>
      <c r="RY4" s="219"/>
      <c r="RZ4" s="220"/>
      <c r="SA4" s="184"/>
      <c r="SB4" s="184"/>
      <c r="SC4" s="184"/>
      <c r="SD4" s="185"/>
      <c r="SE4" s="183">
        <f t="shared" si="33"/>
        <v>46146</v>
      </c>
      <c r="SF4" s="218"/>
      <c r="SG4" s="219"/>
      <c r="SH4" s="219"/>
      <c r="SI4" s="219"/>
      <c r="SJ4" s="219"/>
      <c r="SK4" s="219"/>
      <c r="SL4" s="220">
        <f t="shared" si="33"/>
        <v>46153</v>
      </c>
      <c r="SM4" s="184"/>
      <c r="SN4" s="184"/>
      <c r="SO4" s="184"/>
      <c r="SP4" s="184"/>
      <c r="SQ4" s="184"/>
      <c r="SR4" s="218"/>
      <c r="SS4" s="219">
        <f t="shared" si="33"/>
        <v>46160</v>
      </c>
      <c r="ST4" s="219"/>
      <c r="SU4" s="219"/>
      <c r="SV4" s="219"/>
      <c r="SW4" s="219"/>
      <c r="SX4" s="220"/>
      <c r="SY4" s="185"/>
      <c r="SZ4" s="183">
        <f t="shared" si="33"/>
        <v>46167</v>
      </c>
      <c r="TA4" s="184"/>
      <c r="TB4" s="184"/>
      <c r="TC4" s="184"/>
      <c r="TD4" s="218"/>
      <c r="TE4" s="219"/>
      <c r="TF4" s="219"/>
      <c r="TG4" s="219">
        <f t="shared" si="33"/>
        <v>46174</v>
      </c>
      <c r="TH4" s="219"/>
      <c r="TI4" s="219"/>
      <c r="TJ4" s="220"/>
      <c r="TK4" s="184"/>
      <c r="TL4" s="184"/>
      <c r="TM4" s="185"/>
      <c r="TN4" s="183">
        <f t="shared" si="33"/>
        <v>46181</v>
      </c>
      <c r="TO4" s="184"/>
      <c r="TP4" s="218"/>
      <c r="TQ4" s="219"/>
      <c r="TR4" s="219"/>
      <c r="TS4" s="219"/>
      <c r="TT4" s="219"/>
      <c r="TU4" s="219">
        <f t="shared" si="33"/>
        <v>46188</v>
      </c>
      <c r="TV4" s="220"/>
      <c r="TW4" s="184"/>
      <c r="TX4" s="184"/>
      <c r="TY4" s="184"/>
      <c r="TZ4" s="184"/>
      <c r="UA4" s="185"/>
      <c r="UB4" s="218">
        <f t="shared" si="33"/>
        <v>46195</v>
      </c>
      <c r="UC4" s="219"/>
      <c r="UD4" s="219"/>
      <c r="UE4" s="219"/>
      <c r="UF4" s="219"/>
      <c r="UG4" s="219"/>
      <c r="UH4" s="220"/>
      <c r="UI4" s="183">
        <f t="shared" si="33"/>
        <v>46202</v>
      </c>
      <c r="UJ4" s="184"/>
      <c r="UK4" s="184"/>
      <c r="UL4" s="184"/>
      <c r="UM4" s="184"/>
      <c r="UN4" s="218"/>
      <c r="UO4" s="219"/>
      <c r="UP4" s="219">
        <f t="shared" ref="UP4:WM4" si="34">UP5</f>
        <v>46209</v>
      </c>
      <c r="UQ4" s="219"/>
      <c r="UR4" s="219"/>
      <c r="US4" s="219"/>
      <c r="UT4" s="220"/>
      <c r="UU4" s="184"/>
      <c r="UV4" s="185"/>
      <c r="UW4" s="183">
        <f t="shared" si="34"/>
        <v>46216</v>
      </c>
      <c r="UX4" s="184"/>
      <c r="UY4" s="184"/>
      <c r="UZ4" s="218"/>
      <c r="VA4" s="219"/>
      <c r="VB4" s="219"/>
      <c r="VC4" s="219"/>
      <c r="VD4" s="219">
        <f t="shared" si="34"/>
        <v>46223</v>
      </c>
      <c r="VE4" s="219"/>
      <c r="VF4" s="220"/>
      <c r="VG4" s="184"/>
      <c r="VH4" s="184"/>
      <c r="VI4" s="184"/>
      <c r="VJ4" s="185"/>
      <c r="VK4" s="183">
        <f t="shared" si="34"/>
        <v>46230</v>
      </c>
      <c r="VL4" s="218"/>
      <c r="VM4" s="219"/>
      <c r="VN4" s="219"/>
      <c r="VO4" s="219"/>
      <c r="VP4" s="219"/>
      <c r="VQ4" s="219"/>
      <c r="VR4" s="220">
        <f t="shared" si="34"/>
        <v>46237</v>
      </c>
      <c r="VS4" s="184"/>
      <c r="VT4" s="184"/>
      <c r="VU4" s="184"/>
      <c r="VV4" s="184"/>
      <c r="VW4" s="184"/>
      <c r="VX4" s="218"/>
      <c r="VY4" s="219">
        <f t="shared" si="34"/>
        <v>46244</v>
      </c>
      <c r="VZ4" s="219"/>
      <c r="WA4" s="219"/>
      <c r="WB4" s="219"/>
      <c r="WC4" s="219"/>
      <c r="WD4" s="220"/>
      <c r="WE4" s="185"/>
      <c r="WF4" s="183">
        <f t="shared" si="34"/>
        <v>46251</v>
      </c>
      <c r="WG4" s="184"/>
      <c r="WH4" s="184"/>
      <c r="WI4" s="184"/>
      <c r="WJ4" s="218"/>
      <c r="WK4" s="219"/>
      <c r="WL4" s="219"/>
      <c r="WM4" s="219">
        <f t="shared" si="34"/>
        <v>46258</v>
      </c>
      <c r="WN4" s="219"/>
      <c r="WO4" s="219"/>
      <c r="WP4" s="220"/>
      <c r="WQ4" s="184"/>
      <c r="WR4" s="184"/>
      <c r="WS4" s="185"/>
    </row>
    <row r="5" spans="1:617" ht="9.65" customHeight="1" x14ac:dyDescent="0.35">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213</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232" t="s">
        <v>214</v>
      </c>
      <c r="C8" s="232"/>
      <c r="D8" s="232"/>
      <c r="E8" s="232"/>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65" customHeight="1" outlineLevel="1" thickBot="1" x14ac:dyDescent="0.4">
      <c r="A9" s="34" t="s">
        <v>215</v>
      </c>
      <c r="B9" s="229" t="s">
        <v>216</v>
      </c>
      <c r="C9" s="229"/>
      <c r="D9" s="229"/>
      <c r="E9" s="229"/>
      <c r="F9" s="14"/>
      <c r="G9" s="14" t="str">
        <f t="shared" ref="G9:G205"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224</v>
      </c>
      <c r="B65" s="222" t="s">
        <v>225</v>
      </c>
      <c r="C65" s="222"/>
      <c r="D65" s="222"/>
      <c r="E65" s="222"/>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x14ac:dyDescent="0.4">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x14ac:dyDescent="0.4">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x14ac:dyDescent="0.4">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x14ac:dyDescent="0.4">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x14ac:dyDescent="0.4">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x14ac:dyDescent="0.4">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x14ac:dyDescent="0.4">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x14ac:dyDescent="0.4">
      <c r="A73" s="33"/>
      <c r="B73" s="47" t="s">
        <v>226</v>
      </c>
      <c r="C73" s="42" t="s">
        <v>230</v>
      </c>
      <c r="D73" s="116">
        <v>46089</v>
      </c>
      <c r="E73" s="213">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x14ac:dyDescent="0.4">
      <c r="A74" s="33"/>
      <c r="B74" s="47" t="s">
        <v>228</v>
      </c>
      <c r="C74" s="42" t="s">
        <v>35</v>
      </c>
      <c r="D74" s="116">
        <v>46097</v>
      </c>
      <c r="E74" s="213">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226</v>
      </c>
      <c r="C75" s="42" t="s">
        <v>227</v>
      </c>
      <c r="D75" s="213">
        <v>46149</v>
      </c>
      <c r="E75" s="116">
        <f>D75+G75</f>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228</v>
      </c>
      <c r="C76" s="42" t="s">
        <v>42</v>
      </c>
      <c r="D76" s="213">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226</v>
      </c>
      <c r="C77" s="42" t="s">
        <v>230</v>
      </c>
      <c r="D77" s="116">
        <v>46209</v>
      </c>
      <c r="E77" s="116">
        <f t="shared" si="594"/>
        <v>46263</v>
      </c>
      <c r="F77" s="14"/>
      <c r="G77" s="14">
        <v>54</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228</v>
      </c>
      <c r="C78" s="42" t="s">
        <v>35</v>
      </c>
      <c r="D78" s="116">
        <v>46226</v>
      </c>
      <c r="E78" s="116">
        <f t="shared" si="594"/>
        <v>46265</v>
      </c>
      <c r="F78" s="14"/>
      <c r="G78" s="14">
        <v>39</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x14ac:dyDescent="0.4">
      <c r="A79" s="33"/>
      <c r="B79" s="47" t="s">
        <v>226</v>
      </c>
      <c r="C79" s="42" t="s">
        <v>227</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x14ac:dyDescent="0.4">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223" t="s">
        <v>231</v>
      </c>
      <c r="C81" s="223"/>
      <c r="D81" s="223"/>
      <c r="E81" s="223"/>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x14ac:dyDescent="0.4">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hidden="1" outlineLevel="1" thickBot="1" x14ac:dyDescent="0.4">
      <c r="A85" s="33"/>
      <c r="B85" s="47" t="s">
        <v>234</v>
      </c>
      <c r="C85" s="42" t="s">
        <v>134</v>
      </c>
      <c r="D85" s="116">
        <v>46107</v>
      </c>
      <c r="E85" s="207">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234</v>
      </c>
      <c r="C86" s="42" t="s">
        <v>131</v>
      </c>
      <c r="D86" s="207">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t="s">
        <v>234</v>
      </c>
      <c r="C87" s="42" t="s">
        <v>125</v>
      </c>
      <c r="D87" s="207">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47"/>
      <c r="C88" s="42"/>
      <c r="D88" s="207"/>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223" t="s">
        <v>235</v>
      </c>
      <c r="C90" s="223"/>
      <c r="D90" s="223"/>
      <c r="E90" s="223"/>
      <c r="F90" s="14"/>
      <c r="G90" s="14" t="str">
        <f t="shared"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236</v>
      </c>
      <c r="B91" s="84" t="s">
        <v>226</v>
      </c>
      <c r="C91" s="137" t="s">
        <v>230</v>
      </c>
      <c r="D91" s="117">
        <v>45774</v>
      </c>
      <c r="E91" s="117">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x14ac:dyDescent="0.4">
      <c r="A92" s="33"/>
      <c r="B92" s="224" t="s">
        <v>237</v>
      </c>
      <c r="C92" s="224"/>
      <c r="D92" s="224"/>
      <c r="E92" s="224"/>
      <c r="F92" s="14"/>
      <c r="G92" s="14" t="str">
        <f t="shared"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x14ac:dyDescent="0.4">
      <c r="A93" s="33" t="s">
        <v>236</v>
      </c>
      <c r="B93" s="48" t="s">
        <v>238</v>
      </c>
      <c r="C93" s="44" t="s">
        <v>239</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x14ac:dyDescent="0.4">
      <c r="A94" s="33"/>
      <c r="B94" s="82" t="s">
        <v>238</v>
      </c>
      <c r="C94" s="138" t="s">
        <v>240</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x14ac:dyDescent="0.4">
      <c r="A95" s="33"/>
      <c r="B95" s="225" t="s">
        <v>241</v>
      </c>
      <c r="C95" s="225"/>
      <c r="D95" s="225"/>
      <c r="E95" s="225"/>
      <c r="F95" s="14"/>
      <c r="G95" s="14" t="str">
        <f t="shared"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x14ac:dyDescent="0.4">
      <c r="A96" s="33" t="s">
        <v>236</v>
      </c>
      <c r="B96" s="85" t="s">
        <v>242</v>
      </c>
      <c r="C96" s="139" t="s">
        <v>243</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hidden="1" outlineLevel="1" thickBot="1" x14ac:dyDescent="0.4">
      <c r="A97" s="33"/>
      <c r="B97" s="85" t="s">
        <v>242</v>
      </c>
      <c r="C97" s="139" t="s">
        <v>244</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hidden="1" outlineLevel="1" thickBot="1" x14ac:dyDescent="0.4">
      <c r="A98" s="33"/>
      <c r="B98" s="85" t="s">
        <v>245</v>
      </c>
      <c r="C98" s="145" t="s">
        <v>240</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hidden="1" outlineLevel="1" thickBot="1" x14ac:dyDescent="0.4">
      <c r="A99" s="33"/>
      <c r="B99" s="85" t="s">
        <v>246</v>
      </c>
      <c r="C99" s="139" t="s">
        <v>247</v>
      </c>
      <c r="D99" s="120">
        <v>46104</v>
      </c>
      <c r="E99" s="208">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x14ac:dyDescent="0.4">
      <c r="A100" s="33"/>
      <c r="B100" s="85" t="s">
        <v>242</v>
      </c>
      <c r="C100" s="139" t="s">
        <v>248</v>
      </c>
      <c r="D100" s="208">
        <v>46146</v>
      </c>
      <c r="E100" s="120">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x14ac:dyDescent="0.4">
      <c r="A101" s="33"/>
      <c r="B101" s="85" t="s">
        <v>245</v>
      </c>
      <c r="C101" s="139" t="s">
        <v>249</v>
      </c>
      <c r="D101" s="208">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x14ac:dyDescent="0.4">
      <c r="A102" s="33"/>
      <c r="B102" s="85" t="s">
        <v>245</v>
      </c>
      <c r="C102" s="145" t="s">
        <v>240</v>
      </c>
      <c r="D102" s="208">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6" outlineLevel="1" thickBot="1" x14ac:dyDescent="0.4">
      <c r="A103" s="33"/>
      <c r="B103" s="226" t="s">
        <v>250</v>
      </c>
      <c r="C103" s="226"/>
      <c r="D103" s="226"/>
      <c r="E103" s="226"/>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x14ac:dyDescent="0.4">
      <c r="A104" s="33"/>
      <c r="B104" s="221" t="s">
        <v>251</v>
      </c>
      <c r="C104" s="221"/>
      <c r="D104" s="221"/>
      <c r="E104" s="221"/>
      <c r="F104" s="14"/>
      <c r="G104" s="14" t="str">
        <f t="shared"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customHeight="1" outlineLevel="1" thickBot="1" x14ac:dyDescent="0.4">
      <c r="A105" s="34" t="s">
        <v>224</v>
      </c>
      <c r="B105" s="47" t="s">
        <v>252</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253</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252</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47" t="s">
        <v>253</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47" t="s">
        <v>252</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253</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hidden="1" outlineLevel="1" thickBot="1" x14ac:dyDescent="0.4">
      <c r="A111" s="33"/>
      <c r="B111" s="47" t="s">
        <v>252</v>
      </c>
      <c r="C111" s="42" t="s">
        <v>229</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hidden="1" outlineLevel="1" thickBot="1" x14ac:dyDescent="0.4">
      <c r="A112" s="33"/>
      <c r="B112" s="146" t="s">
        <v>254</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hidden="1" outlineLevel="1" thickBot="1" x14ac:dyDescent="0.4">
      <c r="A113" s="33"/>
      <c r="B113" s="47" t="s">
        <v>253</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hidden="1" outlineLevel="1" thickBot="1" x14ac:dyDescent="0.4">
      <c r="A114" s="33"/>
      <c r="B114" s="47" t="s">
        <v>252</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hidden="1" outlineLevel="1" thickBot="1" x14ac:dyDescent="0.4">
      <c r="A115" s="33"/>
      <c r="B115" s="146" t="s">
        <v>254</v>
      </c>
      <c r="C115" s="147" t="s">
        <v>255</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hidden="1" outlineLevel="1" thickBot="1" x14ac:dyDescent="0.4">
      <c r="A116" s="33"/>
      <c r="B116" s="47" t="s">
        <v>253</v>
      </c>
      <c r="C116" s="42" t="s">
        <v>86</v>
      </c>
      <c r="D116" s="116">
        <f>E113+8</f>
        <v>46093</v>
      </c>
      <c r="E116" s="207">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hidden="1" outlineLevel="1" thickBot="1" x14ac:dyDescent="0.4">
      <c r="A117" s="33"/>
      <c r="B117" s="47" t="s">
        <v>252</v>
      </c>
      <c r="C117" s="42" t="s">
        <v>229</v>
      </c>
      <c r="D117" s="116">
        <v>46114</v>
      </c>
      <c r="E117" s="207">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hidden="1" outlineLevel="1" thickBot="1" x14ac:dyDescent="0.4">
      <c r="A118" s="33"/>
      <c r="B118" s="146" t="s">
        <v>254</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146" t="s">
        <v>254</v>
      </c>
      <c r="C119" s="147" t="s">
        <v>116</v>
      </c>
      <c r="D119" s="209">
        <v>46121</v>
      </c>
      <c r="E119" s="209">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253</v>
      </c>
      <c r="C120" s="42" t="s">
        <v>83</v>
      </c>
      <c r="D120" s="207">
        <f>E116+1</f>
        <v>46149</v>
      </c>
      <c r="E120" s="116">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c r="B121" s="47" t="s">
        <v>252</v>
      </c>
      <c r="C121" s="42" t="s">
        <v>174</v>
      </c>
      <c r="D121" s="207">
        <f>E117+1</f>
        <v>46170</v>
      </c>
      <c r="E121" s="116">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c r="B122" s="146" t="s">
        <v>254</v>
      </c>
      <c r="C122" s="147" t="s">
        <v>122</v>
      </c>
      <c r="D122" s="148">
        <f>E119+1</f>
        <v>46175</v>
      </c>
      <c r="E122" s="148">
        <f t="shared" si="598"/>
        <v>46230</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253</v>
      </c>
      <c r="C123" s="42" t="s">
        <v>86</v>
      </c>
      <c r="D123" s="116">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47" t="s">
        <v>252</v>
      </c>
      <c r="C124" s="42" t="s">
        <v>229</v>
      </c>
      <c r="D124" s="116">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t="s">
        <v>256</v>
      </c>
      <c r="B125" s="146" t="s">
        <v>254</v>
      </c>
      <c r="C125" s="147" t="s">
        <v>324</v>
      </c>
      <c r="D125" s="148">
        <v>46233</v>
      </c>
      <c r="E125" s="148">
        <v>46280</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47" t="s">
        <v>253</v>
      </c>
      <c r="C126" s="42"/>
      <c r="D126" s="116">
        <v>46226</v>
      </c>
      <c r="E126" s="116">
        <f t="shared" si="598"/>
        <v>46280</v>
      </c>
      <c r="F126" s="14"/>
      <c r="G126" s="14">
        <v>55</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47" t="s">
        <v>252</v>
      </c>
      <c r="C127" s="42"/>
      <c r="D127" s="116"/>
      <c r="E127" s="116"/>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x14ac:dyDescent="0.4">
      <c r="A128" s="33"/>
      <c r="B128" s="146" t="s">
        <v>254</v>
      </c>
      <c r="C128" s="147" t="s">
        <v>257</v>
      </c>
      <c r="D128" s="148">
        <f t="shared" si="599"/>
        <v>46281</v>
      </c>
      <c r="E128" s="148">
        <f t="shared" si="598"/>
        <v>46336</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x14ac:dyDescent="0.4">
      <c r="A129" s="33"/>
      <c r="B129" s="173" t="s">
        <v>258</v>
      </c>
      <c r="C129" s="174" t="s">
        <v>259</v>
      </c>
      <c r="D129" s="175">
        <v>46114</v>
      </c>
      <c r="E129" s="210">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173" t="s">
        <v>258</v>
      </c>
      <c r="C130" s="174" t="s">
        <v>259</v>
      </c>
      <c r="D130" s="210">
        <f>E129+1</f>
        <v>46170</v>
      </c>
      <c r="E130" s="175">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173" t="s">
        <v>258</v>
      </c>
      <c r="C131" s="174" t="s">
        <v>259</v>
      </c>
      <c r="D131" s="175">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173"/>
      <c r="C132" s="174"/>
      <c r="D132" s="175">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hidden="1" outlineLevel="1" thickBot="1" x14ac:dyDescent="0.4">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hidden="1" outlineLevel="1" thickBot="1" x14ac:dyDescent="0.4">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hidden="1" outlineLevel="1" thickBot="1" x14ac:dyDescent="0.4">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hidden="1" outlineLevel="1" thickBot="1" x14ac:dyDescent="0.4">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hidden="1" outlineLevel="1" thickBot="1" x14ac:dyDescent="0.4">
      <c r="A137" s="33"/>
      <c r="B137" s="24" t="s">
        <v>260</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hidden="1" outlineLevel="1" thickBot="1" x14ac:dyDescent="0.4">
      <c r="A138" s="33"/>
      <c r="B138" s="85" t="s">
        <v>261</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hidden="1" outlineLevel="1" thickBot="1" x14ac:dyDescent="0.4">
      <c r="A139" s="33"/>
      <c r="B139" s="85" t="s">
        <v>221</v>
      </c>
      <c r="C139" s="102" t="s">
        <v>229</v>
      </c>
      <c r="D139" s="208">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hidden="1" outlineLevel="1" thickBot="1" x14ac:dyDescent="0.4">
      <c r="A140" s="33"/>
      <c r="B140" s="85" t="s">
        <v>262</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hidden="1" outlineLevel="1" thickBot="1" x14ac:dyDescent="0.4">
      <c r="A141" s="33"/>
      <c r="B141" s="85" t="s">
        <v>221</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hidden="1" outlineLevel="1" thickBot="1" x14ac:dyDescent="0.4">
      <c r="A142" s="33"/>
      <c r="B142" s="85" t="s">
        <v>221</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hidden="1" outlineLevel="1" thickBot="1" x14ac:dyDescent="0.4">
      <c r="A143" s="33"/>
      <c r="B143" s="85" t="s">
        <v>221</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hidden="1" outlineLevel="1" thickBot="1" x14ac:dyDescent="0.4">
      <c r="A144" s="33"/>
      <c r="B144" s="85" t="s">
        <v>262</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hidden="1" outlineLevel="1" thickBot="1" x14ac:dyDescent="0.4">
      <c r="A145" s="33"/>
      <c r="B145" s="85" t="s">
        <v>262</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hidden="1" outlineLevel="1" thickBot="1" x14ac:dyDescent="0.4">
      <c r="A146" s="33"/>
      <c r="B146" s="85" t="s">
        <v>223</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hidden="1" outlineLevel="1" thickBot="1" x14ac:dyDescent="0.4">
      <c r="A147" s="33"/>
      <c r="B147" s="85" t="s">
        <v>262</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hidden="1" outlineLevel="1" thickBot="1" x14ac:dyDescent="0.4">
      <c r="A148" s="33"/>
      <c r="B148" s="85" t="s">
        <v>223</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hidden="1" outlineLevel="1" thickBot="1" x14ac:dyDescent="0.4">
      <c r="A149" s="33"/>
      <c r="B149" s="85" t="s">
        <v>221</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hidden="1" outlineLevel="1" thickBot="1" x14ac:dyDescent="0.4">
      <c r="A150" s="33"/>
      <c r="B150" s="149" t="s">
        <v>221</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hidden="1" outlineLevel="1" thickBot="1" x14ac:dyDescent="0.4">
      <c r="A151" s="33"/>
      <c r="B151" s="149" t="s">
        <v>223</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hidden="1" outlineLevel="1" thickBot="1" x14ac:dyDescent="0.4">
      <c r="A152" s="33"/>
      <c r="B152" s="149" t="s">
        <v>262</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hidden="1" outlineLevel="1" thickBot="1" x14ac:dyDescent="0.4">
      <c r="A153" s="33"/>
      <c r="B153" s="149" t="s">
        <v>221</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hidden="1" outlineLevel="1" thickBot="1" x14ac:dyDescent="0.4">
      <c r="A154" s="33"/>
      <c r="B154" s="149" t="s">
        <v>221</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hidden="1" outlineLevel="1" thickBot="1" x14ac:dyDescent="0.4">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hidden="1" outlineLevel="1" thickBot="1" x14ac:dyDescent="0.4">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hidden="1" outlineLevel="1" thickBot="1" x14ac:dyDescent="0.4">
      <c r="A157" s="33"/>
      <c r="B157" s="83" t="s">
        <v>263</v>
      </c>
      <c r="C157" s="141"/>
      <c r="D157" s="124"/>
      <c r="E157" s="125"/>
      <c r="F157" s="14"/>
      <c r="G157" s="14" t="str">
        <f t="shared"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hidden="1" outlineLevel="1" thickBot="1" x14ac:dyDescent="0.4">
      <c r="A158" s="33" t="s">
        <v>236</v>
      </c>
      <c r="B158" s="84" t="s">
        <v>242</v>
      </c>
      <c r="C158" s="142" t="s">
        <v>264</v>
      </c>
      <c r="D158" s="211">
        <v>45769</v>
      </c>
      <c r="E158" s="211">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hidden="1" outlineLevel="1" thickBot="1" x14ac:dyDescent="0.4">
      <c r="A159" s="33"/>
      <c r="B159" s="86" t="s">
        <v>245</v>
      </c>
      <c r="C159" s="142" t="s">
        <v>265</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227" t="s">
        <v>266</v>
      </c>
      <c r="C160" s="227"/>
      <c r="D160" s="227"/>
      <c r="E160" s="227"/>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hidden="1" outlineLevel="1" thickBot="1" x14ac:dyDescent="0.4">
      <c r="A161" s="33"/>
      <c r="B161" s="161" t="s">
        <v>242</v>
      </c>
      <c r="C161" s="162" t="s">
        <v>267</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hidden="1" outlineLevel="1" thickBot="1" x14ac:dyDescent="0.4">
      <c r="A162" s="33"/>
      <c r="B162" s="87" t="s">
        <v>268</v>
      </c>
      <c r="C162" s="41" t="s">
        <v>264</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hidden="1" outlineLevel="1" thickBot="1" x14ac:dyDescent="0.4">
      <c r="A163" s="33"/>
      <c r="B163" s="87" t="s">
        <v>245</v>
      </c>
      <c r="C163" s="41" t="s">
        <v>269</v>
      </c>
      <c r="D163" s="126">
        <v>46104</v>
      </c>
      <c r="E163" s="212">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x14ac:dyDescent="0.4">
      <c r="A164" s="33"/>
      <c r="B164" s="87" t="s">
        <v>246</v>
      </c>
      <c r="C164" s="41" t="s">
        <v>270</v>
      </c>
      <c r="D164" s="212">
        <v>46160</v>
      </c>
      <c r="E164" s="126">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x14ac:dyDescent="0.4">
      <c r="A165" s="33"/>
      <c r="B165" s="87" t="s">
        <v>271</v>
      </c>
      <c r="C165" s="41" t="s">
        <v>272</v>
      </c>
      <c r="D165" s="212">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161" t="s">
        <v>245</v>
      </c>
      <c r="C166" s="162" t="s">
        <v>240</v>
      </c>
      <c r="D166" s="212">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6" outlineLevel="1" thickBot="1" x14ac:dyDescent="0.4">
      <c r="A167" s="33"/>
      <c r="B167" s="226" t="s">
        <v>214</v>
      </c>
      <c r="C167" s="226"/>
      <c r="D167" s="226"/>
      <c r="E167" s="226"/>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x14ac:dyDescent="0.4">
      <c r="A168" s="33"/>
      <c r="B168" s="221" t="s">
        <v>273</v>
      </c>
      <c r="C168" s="221"/>
      <c r="D168" s="221"/>
      <c r="E168" s="221"/>
      <c r="F168" s="14"/>
      <c r="G168" s="14" t="str">
        <f t="shared"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5" hidden="1" customHeight="1" outlineLevel="1" thickBot="1" x14ac:dyDescent="0.4">
      <c r="A169" s="34" t="s">
        <v>224</v>
      </c>
      <c r="B169" s="47" t="s">
        <v>274</v>
      </c>
      <c r="C169" s="42" t="s">
        <v>104</v>
      </c>
      <c r="D169" s="116">
        <v>45964</v>
      </c>
      <c r="E169" s="116">
        <f t="shared" ref="E169:E175"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47" t="s">
        <v>275</v>
      </c>
      <c r="C170" s="42" t="s">
        <v>119</v>
      </c>
      <c r="D170" s="207">
        <v>46037</v>
      </c>
      <c r="E170" s="207">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x14ac:dyDescent="0.4">
      <c r="A171" s="33"/>
      <c r="B171" s="47" t="s">
        <v>274</v>
      </c>
      <c r="C171" s="42" t="s">
        <v>108</v>
      </c>
      <c r="D171" s="116">
        <v>46058</v>
      </c>
      <c r="E171" s="116">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47" t="s">
        <v>275</v>
      </c>
      <c r="C172" s="42" t="s">
        <v>276</v>
      </c>
      <c r="D172" s="116">
        <f>E170</f>
        <v>46204</v>
      </c>
      <c r="E172" s="116">
        <f t="shared" si="605"/>
        <v>46290</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146" t="s">
        <v>254</v>
      </c>
      <c r="C173" s="147" t="s">
        <v>277</v>
      </c>
      <c r="D173" s="209">
        <v>46132</v>
      </c>
      <c r="E173" s="209">
        <v>46192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47" t="s">
        <v>274</v>
      </c>
      <c r="C174" s="42" t="s">
        <v>104</v>
      </c>
      <c r="D174" s="207">
        <v>46118</v>
      </c>
      <c r="E174" s="207">
        <f>D174+G174</f>
        <v>46204</v>
      </c>
      <c r="F174" s="14"/>
      <c r="G174" s="14">
        <v>86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47" t="s">
        <v>275</v>
      </c>
      <c r="C175" s="42" t="s">
        <v>180</v>
      </c>
      <c r="D175" s="116">
        <f t="shared" ref="D175:D180" si="606">E172</f>
        <v>46290</v>
      </c>
      <c r="E175" s="116">
        <f t="shared" si="605"/>
        <v>46376</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146" t="s">
        <v>254</v>
      </c>
      <c r="C176" s="147" t="s">
        <v>196</v>
      </c>
      <c r="D176" s="148">
        <f t="shared" si="606"/>
        <v>46192</v>
      </c>
      <c r="E176" s="148">
        <f t="shared" ref="E176" si="607">D176+G176-1</f>
        <v>46247</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274</v>
      </c>
      <c r="C177" s="42" t="s">
        <v>108</v>
      </c>
      <c r="D177" s="116">
        <f t="shared" si="606"/>
        <v>46204</v>
      </c>
      <c r="E177" s="116">
        <f>D177+G177</f>
        <v>46290</v>
      </c>
      <c r="F177" s="14"/>
      <c r="G177" s="14">
        <v>86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47" t="s">
        <v>275</v>
      </c>
      <c r="C178" s="42" t="s">
        <v>183</v>
      </c>
      <c r="D178" s="116">
        <f>E175</f>
        <v>46376</v>
      </c>
      <c r="E178" s="116">
        <f t="shared" ref="E178" si="608">D178+G178</f>
        <v>46436</v>
      </c>
      <c r="F178" s="14"/>
      <c r="G178" s="14">
        <v>60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146" t="s">
        <v>325</v>
      </c>
      <c r="C179" s="147" t="s">
        <v>138</v>
      </c>
      <c r="D179" s="148">
        <f t="shared" si="606"/>
        <v>46247</v>
      </c>
      <c r="E179" s="148">
        <f t="shared" ref="E179" si="609">D179+G179-1</f>
        <v>46302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c r="B180" s="47" t="s">
        <v>274</v>
      </c>
      <c r="C180" s="42"/>
      <c r="D180" s="116">
        <f t="shared" si="606"/>
        <v>46290</v>
      </c>
      <c r="E180" s="116">
        <f>D180+G180</f>
        <v>46376</v>
      </c>
      <c r="F180" s="14"/>
      <c r="G180" s="14">
        <v>86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c r="B181" s="202" t="s">
        <v>326</v>
      </c>
      <c r="C181" s="203"/>
      <c r="D181" s="204">
        <v>46268</v>
      </c>
      <c r="E181" s="204">
        <f>D181+G181</f>
        <v>46436</v>
      </c>
      <c r="F181" s="14"/>
      <c r="G181" s="186">
        <v>168</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c r="B182" s="146" t="s">
        <v>325</v>
      </c>
      <c r="C182" s="42"/>
      <c r="D182" s="116">
        <f>E179</f>
        <v>46302</v>
      </c>
      <c r="E182" s="116">
        <f>D182+G182</f>
        <v>46436</v>
      </c>
      <c r="F182" s="14"/>
      <c r="G182" s="186">
        <v>134</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47" t="s">
        <v>274</v>
      </c>
      <c r="C183" s="42"/>
      <c r="D183" s="116">
        <v>46268</v>
      </c>
      <c r="E183" s="116">
        <f>D183+G183</f>
        <v>46436</v>
      </c>
      <c r="F183" s="14"/>
      <c r="G183" s="186">
        <v>168</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hidden="1" outlineLevel="1" thickBot="1" x14ac:dyDescent="0.4">
      <c r="A184" s="33"/>
      <c r="B184" s="83" t="s">
        <v>278</v>
      </c>
      <c r="C184" s="141"/>
      <c r="D184" s="124"/>
      <c r="E184" s="125"/>
      <c r="F184" s="14"/>
      <c r="G184" s="14" t="str">
        <f t="shared" si="586"/>
        <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hidden="1" outlineLevel="1" thickBot="1" x14ac:dyDescent="0.4">
      <c r="A185" s="33" t="s">
        <v>236</v>
      </c>
      <c r="B185" s="84" t="s">
        <v>274</v>
      </c>
      <c r="C185" s="137" t="s">
        <v>62</v>
      </c>
      <c r="D185" s="117">
        <f>E185-G185</f>
        <v>45853</v>
      </c>
      <c r="E185" s="117">
        <v>45898</v>
      </c>
      <c r="F185" s="14"/>
      <c r="G185" s="14">
        <v>45</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x14ac:dyDescent="0.4">
      <c r="A186" s="33"/>
      <c r="B186" s="21" t="s">
        <v>279</v>
      </c>
      <c r="C186" s="143"/>
      <c r="D186" s="127"/>
      <c r="E186" s="128"/>
      <c r="F186" s="14"/>
      <c r="G186" s="14"/>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x14ac:dyDescent="0.4">
      <c r="A187" s="33"/>
      <c r="B187" s="82" t="s">
        <v>246</v>
      </c>
      <c r="C187" s="138" t="s">
        <v>280</v>
      </c>
      <c r="D187" s="119">
        <v>45735</v>
      </c>
      <c r="E187" s="119">
        <v>45814</v>
      </c>
      <c r="F187" s="14"/>
      <c r="G187" s="14">
        <v>79</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x14ac:dyDescent="0.4">
      <c r="A188" s="33"/>
      <c r="B188" s="82" t="s">
        <v>246</v>
      </c>
      <c r="C188" s="138" t="s">
        <v>270</v>
      </c>
      <c r="D188" s="119">
        <v>45817</v>
      </c>
      <c r="E188" s="119">
        <v>45870</v>
      </c>
      <c r="F188" s="14"/>
      <c r="G188" s="14">
        <v>53</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x14ac:dyDescent="0.4">
      <c r="A189" s="33"/>
      <c r="B189" s="82" t="s">
        <v>242</v>
      </c>
      <c r="C189" s="138" t="s">
        <v>281</v>
      </c>
      <c r="D189" s="119">
        <v>45873</v>
      </c>
      <c r="E189" s="119">
        <v>45898</v>
      </c>
      <c r="F189" s="14"/>
      <c r="G189" s="14">
        <v>25</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x14ac:dyDescent="0.4">
      <c r="A190" s="33"/>
      <c r="B190" s="82"/>
      <c r="C190" s="138"/>
      <c r="D190" s="119"/>
      <c r="E190" s="119"/>
      <c r="F190" s="14"/>
      <c r="G190" s="14">
        <v>25</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x14ac:dyDescent="0.4">
      <c r="A191" s="33"/>
      <c r="B191" s="103" t="s">
        <v>282</v>
      </c>
      <c r="C191" s="108"/>
      <c r="D191" s="129"/>
      <c r="E191" s="130"/>
      <c r="F191" s="104" t="s">
        <v>283</v>
      </c>
      <c r="G191" s="104" t="s">
        <v>283</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x14ac:dyDescent="0.4">
      <c r="A192" s="33"/>
      <c r="B192" s="105" t="s">
        <v>245</v>
      </c>
      <c r="C192" s="144" t="s">
        <v>284</v>
      </c>
      <c r="D192" s="109">
        <v>45818</v>
      </c>
      <c r="E192" s="109">
        <v>45870</v>
      </c>
      <c r="F192" s="106" t="s">
        <v>283</v>
      </c>
      <c r="G192" s="106">
        <v>52</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x14ac:dyDescent="0.4">
      <c r="A193" s="33"/>
      <c r="B193" s="105" t="s">
        <v>245</v>
      </c>
      <c r="C193" s="144" t="s">
        <v>240</v>
      </c>
      <c r="D193" s="109">
        <v>45873</v>
      </c>
      <c r="E193" s="109">
        <v>45929</v>
      </c>
      <c r="F193" s="106" t="s">
        <v>283</v>
      </c>
      <c r="G193" s="106">
        <v>56</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x14ac:dyDescent="0.4">
      <c r="A194" s="33"/>
      <c r="B194" s="24" t="s">
        <v>285</v>
      </c>
      <c r="C194" s="140"/>
      <c r="D194" s="121"/>
      <c r="E194" s="122"/>
      <c r="F194" s="14"/>
      <c r="G194" s="14"/>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hidden="1" outlineLevel="1" thickBot="1" x14ac:dyDescent="0.4">
      <c r="A195" s="33"/>
      <c r="B195" s="85" t="s">
        <v>242</v>
      </c>
      <c r="C195" s="145" t="s">
        <v>267</v>
      </c>
      <c r="D195" s="123">
        <f>E161+3</f>
        <v>45999</v>
      </c>
      <c r="E195" s="123">
        <v>46028</v>
      </c>
      <c r="F195" s="14"/>
      <c r="G195" s="14">
        <f>E195-D195</f>
        <v>29</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hidden="1" outlineLevel="1" thickBot="1" x14ac:dyDescent="0.4">
      <c r="A196" s="33"/>
      <c r="B196" s="85" t="s">
        <v>246</v>
      </c>
      <c r="C196" s="145" t="s">
        <v>280</v>
      </c>
      <c r="D196" s="123">
        <v>46048</v>
      </c>
      <c r="E196" s="123">
        <f>D196+53</f>
        <v>46101</v>
      </c>
      <c r="F196" s="14"/>
      <c r="G196" s="14">
        <f>E196-D196</f>
        <v>53</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85" t="s">
        <v>242</v>
      </c>
      <c r="C197" s="145" t="s">
        <v>286</v>
      </c>
      <c r="D197" s="123">
        <v>46090</v>
      </c>
      <c r="E197" s="208">
        <f>D197+53</f>
        <v>46143</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x14ac:dyDescent="0.4">
      <c r="A198" s="33"/>
      <c r="B198" s="85" t="s">
        <v>245</v>
      </c>
      <c r="C198" s="145" t="s">
        <v>284</v>
      </c>
      <c r="D198" s="208">
        <v>46153</v>
      </c>
      <c r="E198" s="123">
        <f>D198+53</f>
        <v>46206</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x14ac:dyDescent="0.4">
      <c r="A199" s="33"/>
      <c r="B199" s="85" t="s">
        <v>246</v>
      </c>
      <c r="C199" s="145" t="s">
        <v>287</v>
      </c>
      <c r="D199" s="123">
        <v>46209</v>
      </c>
      <c r="E199" s="123">
        <f>D199+G199</f>
        <v>46262</v>
      </c>
      <c r="F199" s="14"/>
      <c r="G199" s="14">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x14ac:dyDescent="0.4">
      <c r="A200" s="33"/>
      <c r="B200" s="85"/>
      <c r="C200" s="145"/>
      <c r="D200" s="123"/>
      <c r="E200" s="123"/>
      <c r="F200" s="14"/>
      <c r="G200" s="14"/>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x14ac:dyDescent="0.4">
      <c r="A201" s="33"/>
      <c r="B201" s="85"/>
      <c r="C201" s="145"/>
      <c r="D201" s="123"/>
      <c r="E201" s="123"/>
      <c r="F201" s="14"/>
      <c r="G201" s="14"/>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x14ac:dyDescent="0.4">
      <c r="A202" s="33"/>
      <c r="B202" s="85"/>
      <c r="C202" s="145"/>
      <c r="D202" s="123"/>
      <c r="E202" s="123"/>
      <c r="F202" s="14"/>
      <c r="G202" s="14"/>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x14ac:dyDescent="0.4">
      <c r="A203" s="33"/>
      <c r="B203" s="85"/>
      <c r="C203" s="145"/>
      <c r="D203" s="123"/>
      <c r="E203" s="123"/>
      <c r="F203" s="14"/>
      <c r="G203" s="14"/>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x14ac:dyDescent="0.4">
      <c r="A204" s="33"/>
      <c r="B204" s="49"/>
      <c r="C204" s="45"/>
      <c r="D204" s="131"/>
      <c r="E204" s="131"/>
      <c r="F204" s="14"/>
      <c r="G204" s="14">
        <v>111</v>
      </c>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thickBot="1" x14ac:dyDescent="0.4">
      <c r="A205" s="33" t="s">
        <v>288</v>
      </c>
      <c r="B205" s="25" t="s">
        <v>289</v>
      </c>
      <c r="C205" s="26"/>
      <c r="D205" s="132"/>
      <c r="E205" s="133"/>
      <c r="F205" s="28"/>
      <c r="G205" s="28" t="str">
        <f t="shared" si="586"/>
        <v/>
      </c>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409.6" thickBot="1" x14ac:dyDescent="0.4">
      <c r="A206" s="34" t="s">
        <v>290</v>
      </c>
      <c r="B206"/>
      <c r="C206" s="5"/>
      <c r="D206" s="111"/>
      <c r="E206" s="111"/>
      <c r="F206"/>
      <c r="G206"/>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c r="AJ206" s="31"/>
      <c r="AK206" s="31"/>
      <c r="AL206" s="31"/>
      <c r="AM206" s="31"/>
      <c r="AN206" s="31"/>
      <c r="AO206" s="31"/>
      <c r="AP206" s="31"/>
      <c r="AQ206" s="31"/>
      <c r="AR206" s="31"/>
      <c r="AS206" s="31"/>
      <c r="AT206" s="31"/>
      <c r="AU206" s="31"/>
      <c r="AV206" s="31"/>
      <c r="AW206" s="31"/>
      <c r="AX206" s="31"/>
      <c r="AY206" s="31"/>
      <c r="AZ206" s="31"/>
      <c r="BA206" s="31"/>
      <c r="BB206" s="31"/>
      <c r="BC206" s="31"/>
      <c r="BD206" s="31"/>
      <c r="BE206" s="31"/>
      <c r="BF206" s="31"/>
      <c r="BG206" s="31"/>
      <c r="BH206" s="31"/>
      <c r="BI206" s="31"/>
      <c r="BJ206" s="31"/>
      <c r="BK206" s="31"/>
      <c r="BL206" s="31"/>
      <c r="BM206" s="31"/>
      <c r="BN206" s="31"/>
      <c r="BO206" s="31"/>
      <c r="BP206" s="31"/>
      <c r="BQ206" s="31"/>
      <c r="BR206" s="31"/>
      <c r="BS206" s="31"/>
      <c r="BT206" s="31"/>
      <c r="BU206" s="31"/>
      <c r="BV206" s="31"/>
      <c r="BW206" s="31"/>
      <c r="BX206" s="31"/>
      <c r="BY206" s="31"/>
      <c r="BZ206" s="31"/>
      <c r="CA206" s="31"/>
      <c r="CB206" s="31"/>
      <c r="CC206" s="31"/>
      <c r="CD206" s="31"/>
      <c r="CE206" s="31"/>
      <c r="CF206" s="31"/>
      <c r="CG206" s="31"/>
      <c r="CH206" s="31"/>
      <c r="CI206" s="31"/>
      <c r="CJ206" s="31"/>
      <c r="CK206" s="31"/>
      <c r="CL206" s="31"/>
      <c r="CM206" s="31"/>
      <c r="CN206" s="31"/>
      <c r="CO206" s="31"/>
      <c r="CP206" s="31"/>
      <c r="CQ206" s="31"/>
      <c r="CR206" s="31"/>
      <c r="CS206" s="31"/>
      <c r="CT206" s="31"/>
      <c r="CU206" s="31"/>
      <c r="CV206" s="31"/>
      <c r="CW206" s="31"/>
      <c r="CX206" s="31"/>
      <c r="CY206" s="31"/>
      <c r="CZ206" s="31"/>
      <c r="DA206" s="31"/>
      <c r="DB206" s="31"/>
      <c r="DC206" s="31"/>
      <c r="DD206" s="31"/>
      <c r="DE206" s="31"/>
      <c r="DF206" s="31"/>
      <c r="DG206" s="31"/>
      <c r="DH206" s="31"/>
      <c r="DI206" s="31"/>
      <c r="DJ206" s="31"/>
      <c r="DK206" s="31"/>
      <c r="DL206" s="31"/>
      <c r="DM206" s="31"/>
      <c r="DN206" s="31"/>
      <c r="DO206" s="31"/>
      <c r="DP206" s="31"/>
      <c r="DQ206" s="31"/>
      <c r="DR206" s="31"/>
      <c r="DS206" s="31"/>
      <c r="DT206" s="31"/>
      <c r="DU206" s="31"/>
      <c r="DV206" s="31"/>
      <c r="DW206" s="31"/>
      <c r="DX206" s="31"/>
      <c r="DY206" s="31"/>
      <c r="DZ206" s="31"/>
      <c r="EA206" s="31"/>
      <c r="EB206" s="31"/>
      <c r="EC206" s="31"/>
      <c r="ED206" s="31"/>
      <c r="EE206" s="31"/>
      <c r="EF206" s="31"/>
      <c r="EG206" s="31"/>
      <c r="EH206" s="31"/>
      <c r="EI206" s="31"/>
      <c r="EJ206" s="31"/>
      <c r="EK206" s="31"/>
      <c r="EL206" s="31"/>
      <c r="EM206" s="31"/>
      <c r="EN206" s="31"/>
      <c r="EO206" s="31"/>
      <c r="EP206" s="31"/>
      <c r="EQ206" s="31"/>
      <c r="ER206" s="31"/>
      <c r="ES206" s="31"/>
      <c r="ET206" s="31"/>
      <c r="EU206" s="31"/>
      <c r="EV206" s="31"/>
      <c r="EW206" s="31"/>
      <c r="EX206" s="31"/>
      <c r="EY206" s="31"/>
      <c r="EZ206" s="31"/>
      <c r="FA206" s="31"/>
      <c r="FB206" s="31"/>
      <c r="FC206" s="31"/>
      <c r="FD206" s="31"/>
      <c r="FE206" s="31"/>
      <c r="FF206" s="31"/>
      <c r="FG206" s="31"/>
      <c r="FH206" s="31"/>
      <c r="FI206" s="31"/>
      <c r="FJ206" s="31"/>
      <c r="FK206" s="31"/>
      <c r="FL206" s="31"/>
      <c r="FM206" s="31"/>
      <c r="FN206" s="31"/>
      <c r="FO206" s="31"/>
      <c r="FP206" s="31"/>
      <c r="FQ206" s="31"/>
      <c r="FR206" s="31"/>
      <c r="FS206" s="31"/>
      <c r="FT206" s="31"/>
      <c r="FU206" s="31"/>
      <c r="FV206" s="31"/>
      <c r="FW206" s="31"/>
      <c r="FX206" s="31"/>
      <c r="FY206" s="31"/>
      <c r="FZ206" s="31"/>
      <c r="GA206" s="31"/>
      <c r="GB206" s="31"/>
      <c r="GC206" s="31"/>
      <c r="GD206" s="31"/>
      <c r="GE206" s="31"/>
      <c r="GF206" s="31"/>
      <c r="GG206" s="31"/>
      <c r="GH206" s="31"/>
      <c r="GI206" s="31"/>
      <c r="GJ206" s="31"/>
      <c r="GK206" s="31"/>
      <c r="GL206" s="31"/>
      <c r="GM206" s="31"/>
      <c r="GN206" s="31"/>
      <c r="GO206" s="31"/>
      <c r="GP206" s="31"/>
      <c r="GQ206" s="31"/>
      <c r="GR206" s="31"/>
      <c r="GS206" s="31"/>
      <c r="GT206" s="31"/>
      <c r="GU206" s="31"/>
      <c r="GV206" s="31"/>
      <c r="GW206" s="31"/>
      <c r="GX206" s="31"/>
      <c r="GY206" s="31"/>
      <c r="GZ206" s="31"/>
      <c r="HA206" s="31"/>
      <c r="HB206" s="31"/>
      <c r="HC206" s="31"/>
      <c r="HD206" s="31"/>
      <c r="HE206" s="31"/>
      <c r="HF206" s="31"/>
      <c r="HG206" s="31"/>
      <c r="HH206" s="31"/>
      <c r="HI206" s="31"/>
      <c r="HJ206" s="31"/>
      <c r="HK206" s="31"/>
      <c r="HL206" s="31"/>
      <c r="HM206" s="31"/>
      <c r="HN206" s="31"/>
      <c r="HO206" s="31"/>
      <c r="HP206" s="31"/>
      <c r="HQ206" s="31"/>
      <c r="HR206" s="31"/>
      <c r="HS206" s="31"/>
      <c r="HT206" s="31"/>
      <c r="HU206" s="31"/>
      <c r="HV206" s="31"/>
      <c r="HW206" s="31"/>
      <c r="HX206" s="31"/>
      <c r="HY206" s="31"/>
      <c r="HZ206" s="31"/>
      <c r="IA206" s="31"/>
      <c r="IB206" s="31"/>
      <c r="IC206" s="31"/>
      <c r="ID206" s="31"/>
      <c r="IE206" s="31"/>
      <c r="IF206" s="31"/>
      <c r="IG206" s="31"/>
      <c r="IH206" s="31"/>
      <c r="II206" s="31"/>
      <c r="IJ206" s="31"/>
      <c r="IK206" s="31"/>
      <c r="IL206" s="31"/>
      <c r="IM206" s="31"/>
      <c r="IN206" s="31"/>
      <c r="IO206" s="31"/>
      <c r="IP206" s="31"/>
      <c r="IQ206" s="31"/>
      <c r="IR206" s="31"/>
      <c r="IS206" s="31"/>
      <c r="IT206" s="31"/>
      <c r="IU206" s="31"/>
      <c r="IV206" s="31"/>
      <c r="IW206" s="31"/>
      <c r="IX206" s="31"/>
      <c r="IY206" s="31"/>
      <c r="IZ206" s="31"/>
      <c r="JA206" s="31"/>
      <c r="JB206" s="31"/>
      <c r="JC206" s="31"/>
      <c r="JD206" s="31"/>
      <c r="JE206" s="31"/>
      <c r="JF206" s="31"/>
      <c r="JG206" s="31"/>
      <c r="JH206" s="31"/>
      <c r="JI206" s="31"/>
      <c r="JJ206" s="31"/>
      <c r="JK206" s="31"/>
      <c r="JL206" s="31"/>
      <c r="JM206" s="31"/>
      <c r="JN206" s="31"/>
      <c r="JO206" s="31"/>
      <c r="JP206" s="31"/>
      <c r="JQ206" s="31"/>
      <c r="JR206" s="31"/>
      <c r="JS206" s="31"/>
      <c r="JT206" s="31"/>
      <c r="JU206" s="31"/>
      <c r="JV206" s="31"/>
      <c r="JW206" s="31"/>
      <c r="JX206" s="31"/>
      <c r="JY206" s="31"/>
      <c r="JZ206" s="31"/>
      <c r="KA206" s="31"/>
      <c r="KB206" s="31"/>
      <c r="KC206" s="31"/>
      <c r="KD206" s="31"/>
      <c r="KE206" s="31"/>
      <c r="KF206" s="31"/>
      <c r="KG206" s="31"/>
      <c r="KH206" s="31"/>
      <c r="KI206" s="31"/>
      <c r="KJ206" s="31"/>
      <c r="KK206" s="31"/>
      <c r="KL206" s="31"/>
      <c r="KM206" s="31"/>
      <c r="KN206" s="31"/>
      <c r="KO206" s="31"/>
      <c r="KP206" s="31"/>
      <c r="KQ206" s="31"/>
      <c r="KR206" s="31"/>
      <c r="KS206" s="31"/>
      <c r="KT206" s="31"/>
      <c r="KU206" s="31"/>
      <c r="KV206" s="31"/>
      <c r="KW206" s="31"/>
      <c r="KX206" s="31"/>
      <c r="KY206" s="31"/>
      <c r="KZ206" s="31"/>
      <c r="LA206" s="31"/>
      <c r="LB206" s="31"/>
      <c r="LC206" s="31"/>
      <c r="LD206" s="31"/>
      <c r="LE206" s="31"/>
      <c r="LF206" s="31"/>
      <c r="LG206" s="31"/>
      <c r="LH206" s="31"/>
      <c r="LI206" s="31"/>
      <c r="LJ206" s="31"/>
      <c r="LK206" s="31"/>
      <c r="LL206" s="31"/>
      <c r="LM206" s="31"/>
      <c r="LN206" s="31"/>
      <c r="LO206" s="31"/>
      <c r="LP206" s="31"/>
      <c r="LQ206" s="31"/>
      <c r="LR206" s="31"/>
      <c r="LS206" s="31"/>
      <c r="LT206" s="31"/>
      <c r="LU206" s="31"/>
      <c r="LV206" s="31"/>
      <c r="LW206" s="31"/>
      <c r="LX206" s="31"/>
      <c r="LY206" s="31"/>
      <c r="LZ206" s="31"/>
      <c r="MA206" s="31"/>
      <c r="MB206" s="31"/>
      <c r="MC206" s="31"/>
      <c r="MD206" s="31"/>
      <c r="ME206" s="31"/>
      <c r="MF206" s="31"/>
      <c r="MG206" s="31"/>
      <c r="MH206" s="31"/>
      <c r="MI206" s="31"/>
      <c r="MJ206" s="31"/>
      <c r="MK206" s="31"/>
      <c r="ML206" s="31"/>
      <c r="MM206" s="31"/>
      <c r="MN206" s="31"/>
      <c r="MO206" s="31"/>
      <c r="MP206" s="31"/>
      <c r="MQ206" s="31"/>
      <c r="MR206" s="31"/>
      <c r="MS206" s="31"/>
      <c r="MT206" s="31"/>
      <c r="MU206" s="31"/>
      <c r="MV206" s="31"/>
      <c r="MW206" s="31"/>
      <c r="MX206" s="31"/>
      <c r="MY206" s="31"/>
      <c r="MZ206" s="31"/>
      <c r="NA206" s="31"/>
      <c r="NB206" s="31"/>
      <c r="NC206" s="31"/>
      <c r="ND206" s="31"/>
      <c r="NE206" s="31"/>
      <c r="NF206" s="31"/>
      <c r="NG206" s="31"/>
      <c r="NH206" s="31"/>
      <c r="NI206" s="31"/>
      <c r="NJ206" s="31"/>
      <c r="NK206" s="31"/>
      <c r="NL206" s="31"/>
      <c r="NM206" s="31"/>
      <c r="NN206" s="31"/>
      <c r="NO206" s="31"/>
      <c r="NP206" s="31"/>
      <c r="NQ206" s="31"/>
      <c r="NR206" s="31"/>
      <c r="NS206" s="31"/>
      <c r="NT206" s="31"/>
      <c r="NU206" s="31"/>
      <c r="NV206" s="31"/>
      <c r="NW206" s="31"/>
      <c r="NX206" s="31"/>
      <c r="NY206" s="31"/>
      <c r="NZ206" s="31"/>
      <c r="OA206" s="31"/>
      <c r="OB206" s="31"/>
      <c r="OC206" s="31"/>
      <c r="OD206" s="31"/>
      <c r="OE206" s="31"/>
      <c r="OF206" s="31"/>
      <c r="OG206" s="31"/>
      <c r="OH206" s="31"/>
      <c r="OI206" s="31"/>
      <c r="OJ206" s="31"/>
      <c r="OK206" s="31"/>
      <c r="OL206" s="31"/>
      <c r="OM206" s="31"/>
      <c r="ON206" s="31"/>
      <c r="OO206" s="31"/>
      <c r="OP206" s="31"/>
      <c r="OQ206" s="31"/>
      <c r="OR206" s="31"/>
      <c r="OS206" s="31"/>
      <c r="OT206" s="31"/>
      <c r="OU206" s="31"/>
      <c r="OV206" s="31"/>
      <c r="OW206" s="31"/>
      <c r="OX206" s="31"/>
      <c r="OY206" s="31"/>
      <c r="OZ206" s="31"/>
      <c r="PA206" s="31"/>
      <c r="PB206" s="31"/>
      <c r="PC206" s="31"/>
      <c r="PD206" s="31"/>
      <c r="PE206" s="31"/>
      <c r="PF206" s="31"/>
      <c r="PG206" s="31"/>
      <c r="PH206" s="31"/>
      <c r="PI206" s="31"/>
      <c r="PJ206" s="31"/>
      <c r="PK206" s="31"/>
      <c r="PL206" s="31"/>
      <c r="PM206" s="31"/>
      <c r="PN206" s="31"/>
      <c r="PO206" s="31"/>
      <c r="PP206" s="31"/>
      <c r="PQ206" s="31"/>
      <c r="PR206" s="31"/>
      <c r="PS206" s="31"/>
      <c r="PT206" s="31"/>
      <c r="PU206" s="31"/>
      <c r="PV206" s="31"/>
      <c r="PW206" s="31"/>
      <c r="PX206" s="31"/>
      <c r="PY206" s="31"/>
      <c r="PZ206" s="31"/>
      <c r="QA206" s="31"/>
      <c r="QB206" s="31"/>
      <c r="QC206" s="31"/>
      <c r="QD206" s="31"/>
      <c r="QE206" s="31"/>
      <c r="QF206" s="31"/>
      <c r="QG206" s="31"/>
      <c r="QH206" s="31"/>
      <c r="QI206" s="31"/>
      <c r="QJ206" s="31"/>
      <c r="QK206" s="31"/>
      <c r="QL206" s="31"/>
      <c r="QM206" s="31"/>
      <c r="QN206" s="31"/>
      <c r="QO206" s="31"/>
      <c r="QP206" s="31"/>
      <c r="QQ206" s="31"/>
      <c r="QR206" s="31"/>
      <c r="QS206" s="31"/>
      <c r="QT206" s="31"/>
      <c r="QU206" s="31"/>
      <c r="QV206" s="31"/>
      <c r="QW206" s="31"/>
      <c r="QX206" s="31"/>
      <c r="QY206" s="31"/>
      <c r="QZ206" s="31"/>
      <c r="RA206" s="31"/>
      <c r="RB206" s="31"/>
      <c r="RC206" s="31"/>
      <c r="RD206" s="31"/>
      <c r="RE206" s="31"/>
      <c r="RF206" s="31"/>
      <c r="RG206" s="31"/>
      <c r="RH206" s="31"/>
      <c r="RI206" s="31"/>
      <c r="RJ206" s="31"/>
      <c r="RK206" s="31"/>
      <c r="RL206" s="31"/>
      <c r="RM206" s="31"/>
      <c r="RN206" s="31"/>
      <c r="RO206" s="31"/>
      <c r="RP206" s="31"/>
      <c r="RQ206" s="31"/>
      <c r="RR206" s="31"/>
      <c r="RS206" s="31"/>
      <c r="RT206" s="31"/>
      <c r="RU206" s="31"/>
      <c r="RV206" s="31"/>
      <c r="RW206" s="31"/>
      <c r="RX206" s="31"/>
      <c r="RY206" s="31"/>
      <c r="RZ206" s="31"/>
      <c r="SA206" s="31"/>
      <c r="SB206" s="31"/>
      <c r="SC206" s="31"/>
      <c r="SD206" s="31"/>
      <c r="SE206" s="31"/>
      <c r="SF206" s="31"/>
      <c r="SG206" s="31"/>
      <c r="SH206" s="31"/>
      <c r="SI206" s="31"/>
      <c r="SJ206" s="31"/>
      <c r="SK206" s="31"/>
      <c r="SL206" s="31"/>
      <c r="SM206" s="31"/>
      <c r="SN206" s="31"/>
      <c r="SO206" s="31"/>
      <c r="SP206" s="31"/>
      <c r="SQ206" s="31"/>
      <c r="SR206" s="31"/>
      <c r="SS206" s="31"/>
      <c r="ST206" s="31"/>
      <c r="SU206" s="31"/>
      <c r="SV206" s="31"/>
      <c r="SW206" s="31"/>
      <c r="SX206" s="31"/>
      <c r="SY206" s="31"/>
      <c r="SZ206" s="31"/>
      <c r="TA206" s="31"/>
      <c r="TB206" s="31"/>
      <c r="TC206" s="31"/>
      <c r="TD206" s="31"/>
      <c r="TE206" s="31"/>
      <c r="TF206" s="31"/>
      <c r="TG206" s="31"/>
      <c r="TH206" s="31"/>
      <c r="TI206" s="31"/>
      <c r="TJ206" s="31"/>
      <c r="TK206" s="31"/>
      <c r="TL206" s="31"/>
      <c r="TM206" s="31"/>
      <c r="TN206" s="31"/>
      <c r="TO206" s="31"/>
      <c r="TP206" s="31"/>
      <c r="TQ206" s="31"/>
      <c r="TR206" s="31"/>
      <c r="TS206" s="31"/>
      <c r="TT206" s="31"/>
      <c r="TU206" s="31"/>
      <c r="TV206" s="31"/>
      <c r="TW206" s="31"/>
      <c r="TX206" s="31"/>
      <c r="TY206" s="31"/>
      <c r="TZ206" s="31"/>
      <c r="UA206" s="31"/>
      <c r="UB206" s="31"/>
      <c r="UC206" s="31"/>
      <c r="UD206" s="31"/>
      <c r="UE206" s="31"/>
      <c r="UF206" s="31"/>
      <c r="UG206" s="31"/>
      <c r="UH206" s="31"/>
      <c r="UI206" s="31"/>
      <c r="UJ206" s="31"/>
      <c r="UK206" s="31"/>
      <c r="UL206" s="31"/>
      <c r="UM206" s="31"/>
      <c r="UN206" s="31"/>
      <c r="UO206" s="31"/>
      <c r="UP206" s="31"/>
      <c r="UQ206" s="31"/>
      <c r="UR206" s="31"/>
      <c r="US206" s="31"/>
      <c r="UT206" s="31"/>
      <c r="UU206" s="31"/>
      <c r="UV206" s="31"/>
      <c r="UW206" s="31"/>
      <c r="UX206" s="31"/>
      <c r="UY206" s="31"/>
      <c r="UZ206" s="31"/>
      <c r="VA206" s="31"/>
      <c r="VB206" s="31"/>
      <c r="VC206" s="31"/>
      <c r="VD206" s="31"/>
      <c r="VE206" s="31"/>
      <c r="VF206" s="31"/>
      <c r="VG206" s="31"/>
      <c r="VH206" s="31"/>
      <c r="VI206" s="31"/>
      <c r="VJ206" s="31"/>
      <c r="VK206" s="31"/>
      <c r="VL206" s="31"/>
      <c r="VM206" s="31"/>
      <c r="VN206" s="31"/>
      <c r="VO206" s="31"/>
      <c r="VP206" s="31"/>
      <c r="VQ206" s="31"/>
      <c r="VR206" s="31"/>
      <c r="VS206" s="31"/>
      <c r="VT206" s="31"/>
      <c r="VU206" s="31"/>
      <c r="VV206" s="31"/>
      <c r="VW206" s="31"/>
      <c r="VX206" s="31"/>
      <c r="VY206" s="31"/>
      <c r="VZ206" s="31"/>
      <c r="WA206" s="31"/>
      <c r="WB206" s="31"/>
      <c r="WC206" s="31"/>
      <c r="WD206" s="31"/>
      <c r="WE206" s="31"/>
      <c r="WF206" s="31"/>
      <c r="WG206" s="31"/>
      <c r="WH206" s="31"/>
      <c r="WI206" s="31"/>
      <c r="WJ206" s="31"/>
      <c r="WK206" s="31"/>
      <c r="WL206" s="31"/>
      <c r="WM206" s="31"/>
      <c r="WN206" s="31"/>
      <c r="WO206" s="31"/>
      <c r="WP206" s="31"/>
      <c r="WQ206" s="31"/>
      <c r="WR206" s="31"/>
      <c r="WS206"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8:E168"/>
    <mergeCell ref="B65:E65"/>
    <mergeCell ref="B90:E90"/>
    <mergeCell ref="B92:E92"/>
    <mergeCell ref="B95:E95"/>
    <mergeCell ref="B167:E167"/>
    <mergeCell ref="B103:E103"/>
    <mergeCell ref="B104:E104"/>
    <mergeCell ref="B160:E160"/>
    <mergeCell ref="B81:E81"/>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6 H138:I206">
    <cfRule type="expression" dxfId="67" priority="212">
      <formula>AND(TODAY()&gt;=H$5,TODAY()&lt;J$5)</formula>
    </cfRule>
  </conditionalFormatting>
  <conditionalFormatting sqref="H7:I106 H138:I206">
    <cfRule type="expression" dxfId="66" priority="220" stopIfTrue="1">
      <formula>AND(Término_da_tarefa&gt;=H$5,Início_da_tarefa&lt;J$5)</formula>
    </cfRule>
  </conditionalFormatting>
  <conditionalFormatting sqref="H48:WS106 H7:BL13 BM9:FZ13 GA9:WS47 H14:FZ47 LE75:LF176 J107:WS137 H138:WS206 LE184:LF253">
    <cfRule type="expression" dxfId="65" priority="203">
      <formula>AND(Início_da_tarefa&lt;=H$5,ROUNDDOWN((Término_da_tarefa-Início_da_tarefa+1)*Progresso_da_tarefa,0)+Início_da_tarefa-1&gt;=H$5)</formula>
    </cfRule>
  </conditionalFormatting>
  <conditionalFormatting sqref="J5:BL13 BM9:FZ13 GA9:WS47 J14:FZ47 J48:WS206 LE184:LF253 BM5:GN6">
    <cfRule type="expression" dxfId="64" priority="209">
      <formula>AND(TODAY()&gt;=J$5,TODAY()&lt;K$5)</formula>
    </cfRule>
  </conditionalFormatting>
  <conditionalFormatting sqref="J7:BL13 BM9:FZ13 GA9:WS47 J14:FZ47 J48:WS206 LE184:LF253">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C185 C10:C64 C66:C80 C82:C89 C105:C136 C138:C156 C169:C183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5" x14ac:dyDescent="0.35"/>
  <cols>
    <col min="1" max="1" width="43.81640625" style="5" customWidth="1"/>
    <col min="2" max="2" width="8.7265625" style="5"/>
    <col min="3" max="3" width="52.7265625" style="5" customWidth="1"/>
  </cols>
  <sheetData>
    <row r="1" spans="1:3" x14ac:dyDescent="0.35">
      <c r="A1" s="214" t="s">
        <v>291</v>
      </c>
      <c r="B1" s="214" t="s">
        <v>292</v>
      </c>
      <c r="C1" s="214" t="s">
        <v>293</v>
      </c>
    </row>
    <row r="2" spans="1:3" x14ac:dyDescent="0.35">
      <c r="A2" s="215" t="s">
        <v>294</v>
      </c>
      <c r="B2" s="214" t="s">
        <v>295</v>
      </c>
      <c r="C2" s="214" t="s">
        <v>296</v>
      </c>
    </row>
    <row r="3" spans="1:3" x14ac:dyDescent="0.35">
      <c r="A3" s="215" t="s">
        <v>297</v>
      </c>
      <c r="B3" s="214" t="s">
        <v>194</v>
      </c>
      <c r="C3" s="216" t="s">
        <v>298</v>
      </c>
    </row>
    <row r="4" spans="1:3" x14ac:dyDescent="0.35">
      <c r="A4" s="215" t="s">
        <v>299</v>
      </c>
      <c r="B4" s="214" t="s">
        <v>295</v>
      </c>
      <c r="C4" s="214" t="s">
        <v>300</v>
      </c>
    </row>
    <row r="5" spans="1:3" x14ac:dyDescent="0.35">
      <c r="A5" s="215" t="s">
        <v>301</v>
      </c>
      <c r="B5" s="214" t="s">
        <v>295</v>
      </c>
      <c r="C5" s="214" t="s">
        <v>302</v>
      </c>
    </row>
    <row r="6" spans="1:3" x14ac:dyDescent="0.35">
      <c r="A6" s="215" t="s">
        <v>303</v>
      </c>
      <c r="B6" s="214" t="s">
        <v>295</v>
      </c>
      <c r="C6" s="214" t="s">
        <v>304</v>
      </c>
    </row>
    <row r="7" spans="1:3" x14ac:dyDescent="0.35">
      <c r="A7" s="215" t="s">
        <v>305</v>
      </c>
      <c r="B7" s="214" t="s">
        <v>295</v>
      </c>
      <c r="C7" s="214" t="s">
        <v>304</v>
      </c>
    </row>
    <row r="8" spans="1:3" x14ac:dyDescent="0.35">
      <c r="A8" s="215" t="s">
        <v>306</v>
      </c>
      <c r="B8" s="214" t="s">
        <v>295</v>
      </c>
      <c r="C8" s="214" t="s">
        <v>302</v>
      </c>
    </row>
    <row r="9" spans="1:3" x14ac:dyDescent="0.35">
      <c r="A9" s="215" t="s">
        <v>307</v>
      </c>
      <c r="B9" s="214" t="s">
        <v>295</v>
      </c>
      <c r="C9" s="214" t="s">
        <v>304</v>
      </c>
    </row>
    <row r="10" spans="1:3" x14ac:dyDescent="0.35">
      <c r="A10" s="215" t="s">
        <v>308</v>
      </c>
      <c r="B10" s="214" t="s">
        <v>295</v>
      </c>
      <c r="C10" s="214" t="s">
        <v>302</v>
      </c>
    </row>
    <row r="11" spans="1:3" x14ac:dyDescent="0.35">
      <c r="A11" s="215" t="s">
        <v>309</v>
      </c>
      <c r="B11" s="214" t="s">
        <v>295</v>
      </c>
      <c r="C11" s="214" t="s">
        <v>300</v>
      </c>
    </row>
    <row r="12" spans="1:3" x14ac:dyDescent="0.35">
      <c r="A12" s="215" t="s">
        <v>310</v>
      </c>
      <c r="B12" s="214" t="s">
        <v>295</v>
      </c>
      <c r="C12" s="214" t="s">
        <v>296</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311</v>
      </c>
      <c r="B1" s="37" t="s">
        <v>312</v>
      </c>
      <c r="C1" s="1"/>
      <c r="D1" s="2"/>
      <c r="E1" s="4"/>
      <c r="F1" s="32"/>
      <c r="H1" s="2"/>
      <c r="I1" s="51" t="s">
        <v>313</v>
      </c>
    </row>
    <row r="2" spans="1:239" ht="30" customHeight="1" x14ac:dyDescent="0.45">
      <c r="A2" s="33" t="s">
        <v>200</v>
      </c>
      <c r="B2" s="38" t="s">
        <v>314</v>
      </c>
      <c r="I2" s="160"/>
    </row>
    <row r="3" spans="1:239" ht="33" customHeight="1" x14ac:dyDescent="0.35">
      <c r="A3" s="33" t="s">
        <v>201</v>
      </c>
      <c r="B3" s="70" t="s">
        <v>202</v>
      </c>
      <c r="C3" s="69">
        <f>Início_do_projeto+120</f>
        <v>46051</v>
      </c>
      <c r="D3" s="68" t="s">
        <v>203</v>
      </c>
      <c r="E3" s="237">
        <v>45931</v>
      </c>
      <c r="F3" s="237"/>
      <c r="G3" s="64"/>
    </row>
    <row r="4" spans="1:239" ht="30" customHeight="1" x14ac:dyDescent="0.35">
      <c r="A4" s="34" t="s">
        <v>204</v>
      </c>
      <c r="C4" s="238" t="s">
        <v>205</v>
      </c>
      <c r="D4" s="239"/>
      <c r="E4" s="7">
        <v>1</v>
      </c>
      <c r="I4" s="234">
        <f>I5</f>
        <v>45929</v>
      </c>
      <c r="J4" s="235"/>
      <c r="K4" s="235"/>
      <c r="L4" s="235"/>
      <c r="M4" s="235"/>
      <c r="N4" s="235"/>
      <c r="O4" s="236"/>
      <c r="P4" s="234">
        <f>P5</f>
        <v>45936</v>
      </c>
      <c r="Q4" s="235"/>
      <c r="R4" s="235"/>
      <c r="S4" s="235"/>
      <c r="T4" s="235"/>
      <c r="U4" s="235"/>
      <c r="V4" s="236"/>
      <c r="W4" s="234">
        <f>W5</f>
        <v>45943</v>
      </c>
      <c r="X4" s="235"/>
      <c r="Y4" s="235"/>
      <c r="Z4" s="235"/>
      <c r="AA4" s="235"/>
      <c r="AB4" s="235"/>
      <c r="AC4" s="236"/>
      <c r="AD4" s="234">
        <f>AD5</f>
        <v>45950</v>
      </c>
      <c r="AE4" s="235"/>
      <c r="AF4" s="235"/>
      <c r="AG4" s="235"/>
      <c r="AH4" s="235"/>
      <c r="AI4" s="235"/>
      <c r="AJ4" s="236"/>
      <c r="AK4" s="234">
        <f>AK5</f>
        <v>45957</v>
      </c>
      <c r="AL4" s="235"/>
      <c r="AM4" s="235"/>
      <c r="AN4" s="235"/>
      <c r="AO4" s="235"/>
      <c r="AP4" s="235"/>
      <c r="AQ4" s="236"/>
      <c r="AR4" s="234">
        <f>AR5</f>
        <v>45964</v>
      </c>
      <c r="AS4" s="235"/>
      <c r="AT4" s="235"/>
      <c r="AU4" s="235"/>
      <c r="AV4" s="235"/>
      <c r="AW4" s="235"/>
      <c r="AX4" s="236"/>
      <c r="AY4" s="234">
        <f>AY5</f>
        <v>45971</v>
      </c>
      <c r="AZ4" s="235"/>
      <c r="BA4" s="235"/>
      <c r="BB4" s="235"/>
      <c r="BC4" s="235"/>
      <c r="BD4" s="235"/>
      <c r="BE4" s="236"/>
      <c r="BF4" s="234">
        <f>BF5</f>
        <v>45978</v>
      </c>
      <c r="BG4" s="235"/>
      <c r="BH4" s="235"/>
      <c r="BI4" s="235"/>
      <c r="BJ4" s="235"/>
      <c r="BK4" s="235"/>
      <c r="BL4" s="236"/>
      <c r="BM4" s="234">
        <f>BM5</f>
        <v>45985</v>
      </c>
      <c r="BN4" s="235"/>
      <c r="BO4" s="235"/>
      <c r="BP4" s="235"/>
      <c r="BQ4" s="235"/>
      <c r="BR4" s="235"/>
      <c r="BS4" s="236"/>
      <c r="BT4" s="234">
        <f>BT5</f>
        <v>45992</v>
      </c>
      <c r="BU4" s="235"/>
      <c r="BV4" s="235"/>
      <c r="BW4" s="235"/>
      <c r="BX4" s="235"/>
      <c r="BY4" s="235"/>
      <c r="BZ4" s="236"/>
      <c r="CA4" s="234">
        <f>CA5</f>
        <v>45999</v>
      </c>
      <c r="CB4" s="235"/>
      <c r="CC4" s="235"/>
      <c r="CD4" s="235"/>
      <c r="CE4" s="235"/>
      <c r="CF4" s="235"/>
      <c r="CG4" s="236"/>
      <c r="CH4" s="234">
        <f>CH5</f>
        <v>46006</v>
      </c>
      <c r="CI4" s="235"/>
      <c r="CJ4" s="235"/>
      <c r="CK4" s="235"/>
      <c r="CL4" s="235"/>
      <c r="CM4" s="235"/>
      <c r="CN4" s="236"/>
      <c r="CO4" s="234">
        <f>CO5</f>
        <v>46013</v>
      </c>
      <c r="CP4" s="235"/>
      <c r="CQ4" s="235"/>
      <c r="CR4" s="235"/>
      <c r="CS4" s="235"/>
      <c r="CT4" s="235"/>
      <c r="CU4" s="236"/>
      <c r="CV4" s="234">
        <f>CV5</f>
        <v>46020</v>
      </c>
      <c r="CW4" s="235"/>
      <c r="CX4" s="235"/>
      <c r="CY4" s="235"/>
      <c r="CZ4" s="235"/>
      <c r="DA4" s="235"/>
      <c r="DB4" s="236"/>
      <c r="DC4" s="234">
        <f>DC5</f>
        <v>46027</v>
      </c>
      <c r="DD4" s="235"/>
      <c r="DE4" s="235"/>
      <c r="DF4" s="235"/>
      <c r="DG4" s="235"/>
      <c r="DH4" s="235"/>
      <c r="DI4" s="236"/>
      <c r="DJ4" s="234">
        <f>DJ5</f>
        <v>46034</v>
      </c>
      <c r="DK4" s="235"/>
      <c r="DL4" s="235"/>
      <c r="DM4" s="235"/>
      <c r="DN4" s="235"/>
      <c r="DO4" s="235"/>
      <c r="DP4" s="236"/>
      <c r="DQ4" s="234">
        <f>DQ5</f>
        <v>46041</v>
      </c>
      <c r="DR4" s="235"/>
      <c r="DS4" s="235"/>
      <c r="DT4" s="235"/>
      <c r="DU4" s="235"/>
      <c r="DV4" s="235"/>
      <c r="DW4" s="236"/>
      <c r="DX4" s="234">
        <f>DX5</f>
        <v>46048</v>
      </c>
      <c r="DY4" s="235"/>
      <c r="DZ4" s="235"/>
      <c r="EA4" s="235"/>
      <c r="EB4" s="235"/>
      <c r="EC4" s="235"/>
      <c r="ED4" s="236"/>
      <c r="EE4" s="234">
        <f t="shared" ref="EE4" si="0">EE5</f>
        <v>46055</v>
      </c>
      <c r="EF4" s="235"/>
      <c r="EG4" s="235"/>
      <c r="EH4" s="235"/>
      <c r="EI4" s="235"/>
      <c r="EJ4" s="235"/>
      <c r="EK4" s="236"/>
      <c r="EL4" s="234">
        <f t="shared" ref="EL4" si="1">EL5</f>
        <v>46062</v>
      </c>
      <c r="EM4" s="235"/>
      <c r="EN4" s="235"/>
      <c r="EO4" s="235"/>
      <c r="EP4" s="235"/>
      <c r="EQ4" s="235"/>
      <c r="ER4" s="236"/>
      <c r="ES4" s="234">
        <f t="shared" ref="ES4" si="2">ES5</f>
        <v>46069</v>
      </c>
      <c r="ET4" s="235"/>
      <c r="EU4" s="235"/>
      <c r="EV4" s="235"/>
      <c r="EW4" s="235"/>
      <c r="EX4" s="235"/>
      <c r="EY4" s="236"/>
      <c r="EZ4" s="234">
        <f t="shared" ref="EZ4" si="3">EZ5</f>
        <v>46076</v>
      </c>
      <c r="FA4" s="235"/>
      <c r="FB4" s="235"/>
      <c r="FC4" s="235"/>
      <c r="FD4" s="235"/>
      <c r="FE4" s="235"/>
      <c r="FF4" s="236"/>
      <c r="FG4" s="234">
        <f t="shared" ref="FG4" si="4">FG5</f>
        <v>46083</v>
      </c>
      <c r="FH4" s="235"/>
      <c r="FI4" s="235"/>
      <c r="FJ4" s="235"/>
      <c r="FK4" s="235"/>
      <c r="FL4" s="235"/>
      <c r="FM4" s="236"/>
      <c r="FN4" s="234">
        <f t="shared" ref="FN4" si="5">FN5</f>
        <v>46090</v>
      </c>
      <c r="FO4" s="235"/>
      <c r="FP4" s="235"/>
      <c r="FQ4" s="235"/>
      <c r="FR4" s="235"/>
      <c r="FS4" s="235"/>
      <c r="FT4" s="236"/>
      <c r="FU4" s="234">
        <f t="shared" ref="FU4" si="6">FU5</f>
        <v>46097</v>
      </c>
      <c r="FV4" s="235"/>
      <c r="FW4" s="235"/>
      <c r="FX4" s="235"/>
      <c r="FY4" s="235"/>
      <c r="FZ4" s="235"/>
      <c r="GA4" s="236"/>
      <c r="GB4" s="234">
        <f t="shared" ref="GB4" si="7">GB5</f>
        <v>46104</v>
      </c>
      <c r="GC4" s="235"/>
      <c r="GD4" s="235"/>
      <c r="GE4" s="235"/>
      <c r="GF4" s="235"/>
      <c r="GG4" s="235"/>
      <c r="GH4" s="236"/>
      <c r="GI4" s="234">
        <f t="shared" ref="GI4" si="8">GI5</f>
        <v>46111</v>
      </c>
      <c r="GJ4" s="235"/>
      <c r="GK4" s="235"/>
      <c r="GL4" s="235"/>
      <c r="GM4" s="235"/>
      <c r="GN4" s="235"/>
      <c r="GO4" s="236"/>
      <c r="GP4" s="234">
        <f t="shared" ref="GP4" si="9">GP5</f>
        <v>46118</v>
      </c>
      <c r="GQ4" s="235"/>
      <c r="GR4" s="235"/>
      <c r="GS4" s="235"/>
      <c r="GT4" s="235"/>
      <c r="GU4" s="235"/>
      <c r="GV4" s="236"/>
      <c r="GW4" s="234">
        <f t="shared" ref="GW4" si="10">GW5</f>
        <v>46125</v>
      </c>
      <c r="GX4" s="235"/>
      <c r="GY4" s="235"/>
      <c r="GZ4" s="235"/>
      <c r="HA4" s="235"/>
      <c r="HB4" s="235"/>
      <c r="HC4" s="236"/>
      <c r="HD4" s="234">
        <f t="shared" ref="HD4" si="11">HD5</f>
        <v>46132</v>
      </c>
      <c r="HE4" s="235"/>
      <c r="HF4" s="235"/>
      <c r="HG4" s="235"/>
      <c r="HH4" s="235"/>
      <c r="HI4" s="235"/>
      <c r="HJ4" s="236"/>
      <c r="HK4" s="234">
        <f t="shared" ref="HK4" si="12">HK5</f>
        <v>46139</v>
      </c>
      <c r="HL4" s="235"/>
      <c r="HM4" s="235"/>
      <c r="HN4" s="235"/>
      <c r="HO4" s="235"/>
      <c r="HP4" s="235"/>
      <c r="HQ4" s="236"/>
      <c r="HR4" s="234">
        <f t="shared" ref="HR4" si="13">HR5</f>
        <v>46146</v>
      </c>
      <c r="HS4" s="235"/>
      <c r="HT4" s="235"/>
      <c r="HU4" s="235"/>
      <c r="HV4" s="235"/>
      <c r="HW4" s="235"/>
      <c r="HX4" s="236"/>
      <c r="HY4" s="234">
        <f t="shared" ref="HY4" si="14">HY5</f>
        <v>46153</v>
      </c>
      <c r="HZ4" s="235"/>
      <c r="IA4" s="235"/>
      <c r="IB4" s="235"/>
      <c r="IC4" s="235"/>
      <c r="ID4" s="235"/>
      <c r="IE4" s="236"/>
    </row>
    <row r="5" spans="1:239" ht="15" customHeight="1" x14ac:dyDescent="0.35">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207</v>
      </c>
      <c r="B6" s="8" t="s">
        <v>208</v>
      </c>
      <c r="C6" s="9" t="s">
        <v>209</v>
      </c>
      <c r="D6" s="9" t="s">
        <v>315</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213</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215</v>
      </c>
      <c r="B8" s="15" t="s">
        <v>316</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217</v>
      </c>
      <c r="B9" s="46" t="s">
        <v>317</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218</v>
      </c>
      <c r="B10" s="46" t="s">
        <v>318</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319</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320</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318</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321</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318</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224</v>
      </c>
      <c r="B16" s="18" t="s">
        <v>322</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317</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318</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320</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318</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321</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318</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236</v>
      </c>
      <c r="B23" s="21" t="s">
        <v>323</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317</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318</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320</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318</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321</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318</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288</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290</v>
      </c>
      <c r="B31" s="25" t="s">
        <v>289</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purl.org/dc/dcmitype/"/>
    <ds:schemaRef ds:uri="a9f3451a-73cb-4405-a932-26db050e40a8"/>
    <ds:schemaRef ds:uri="http://www.w3.org/XML/1998/namespace"/>
    <ds:schemaRef ds:uri="http://schemas.microsoft.com/office/2006/documentManagement/types"/>
    <ds:schemaRef ds:uri="http://purl.org/dc/elements/1.1/"/>
    <ds:schemaRef ds:uri="0d1dea18-7b56-4ac7-aa1d-7834839a8030"/>
    <ds:schemaRef ds:uri="http://purl.org/dc/terms/"/>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BFB5670B-D830-4B08-AE54-9C8F4F93FE3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2026-06-15T14:40:57Z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