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filterPrivacy="1" codeName="EstaPastaDeTrabalho"/>
  <xr:revisionPtr revIDLastSave="1448" documentId="101_S{B73360A1-8A99-5EFE-B3D7-B4540AB28558}" xr6:coauthVersionLast="47" xr6:coauthVersionMax="47" xr10:uidLastSave="{F8654E43-BB24-4FA8-8FAC-326818B4B963}"/>
  <bookViews>
    <workbookView xWindow="-110" yWindow="-110" windowWidth="19420" windowHeight="10300" firstSheet="1" activeTab="1" xr2:uid="{00000000-000D-0000-FFFF-FFFF00000000}"/>
  </bookViews>
  <sheets>
    <sheet name="Equipe" sheetId="14" r:id="rId1"/>
    <sheet name="Planejamento IED" sheetId="11" r:id="rId2"/>
    <sheet name="Planilha1" sheetId="15" r:id="rId3"/>
    <sheet name="3 Pessoas" sheetId="13" state="hidden" r:id="rId4"/>
  </sheets>
  <definedNames>
    <definedName name="_xlnm._FilterDatabase" localSheetId="0" hidden="1">Equipe!$A$1:$J$46</definedName>
    <definedName name="_xlnm._FilterDatabase" localSheetId="1" hidden="1">'Planejamento IED'!$B$1:$G$177</definedName>
    <definedName name="Hoje" localSheetId="3">TODAY()</definedName>
    <definedName name="Hoje" localSheetId="1">TODAY()</definedName>
    <definedName name="Início_da_tarefa" localSheetId="3">'3 Pessoas'!$E1</definedName>
    <definedName name="Início_da_tarefa" localSheetId="1">'Planejamento IED'!$D1</definedName>
    <definedName name="Início_do_projeto" localSheetId="3">'3 Pessoas'!$E$3</definedName>
    <definedName name="Início_do_projeto">'Planejamento IED'!$E$3</definedName>
    <definedName name="Progresso_da_tarefa" localSheetId="3">'3 Pessoas'!$D1</definedName>
    <definedName name="Progresso_da_tarefa" localSheetId="1">'Planejamento IED'!#REF!</definedName>
    <definedName name="Semana_de_exibição" localSheetId="3">'3 Pessoas'!$E$4</definedName>
    <definedName name="Semana_de_exibição">'Planejamento IED'!$F$4</definedName>
    <definedName name="Término_da_tarefa" localSheetId="3">'3 Pessoas'!$F1</definedName>
    <definedName name="Término_da_tarefa" localSheetId="1">'Planejamento IED'!$E1</definedName>
    <definedName name="_xlnm.Print_Titles" localSheetId="3">'3 Pessoas'!$4:$6</definedName>
    <definedName name="_xlnm.Print_Titles" localSheetId="1">'Planejamento IED'!$4:$6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3" i="11" l="1"/>
  <c r="E70" i="11"/>
  <c r="E71" i="11"/>
  <c r="E72" i="11"/>
  <c r="E74" i="11"/>
  <c r="E75" i="11"/>
  <c r="E76" i="11"/>
  <c r="E57" i="11" l="1"/>
  <c r="E172" i="11"/>
  <c r="E148" i="11"/>
  <c r="E147" i="11"/>
  <c r="E146" i="11"/>
  <c r="E58" i="11"/>
  <c r="E56" i="11"/>
  <c r="E55" i="11"/>
  <c r="E54" i="11"/>
  <c r="G92" i="11" l="1"/>
  <c r="G89" i="11"/>
  <c r="E170" i="11"/>
  <c r="E171" i="11" s="1"/>
  <c r="D169" i="11" l="1"/>
  <c r="G169" i="11" s="1"/>
  <c r="G145" i="11"/>
  <c r="E66" i="11"/>
  <c r="G87" i="11" l="1"/>
  <c r="G147" i="11"/>
  <c r="G171" i="11"/>
  <c r="G170" i="11"/>
  <c r="G146" i="11"/>
  <c r="G172" i="11" l="1"/>
  <c r="G148" i="11"/>
  <c r="E96" i="11"/>
  <c r="E155" i="11"/>
  <c r="E67" i="11"/>
  <c r="G174" i="11" l="1"/>
  <c r="G175" i="11"/>
  <c r="E52" i="11"/>
  <c r="E53" i="11"/>
  <c r="E68" i="11" l="1"/>
  <c r="E51" i="11"/>
  <c r="E50" i="11"/>
  <c r="E49" i="11"/>
  <c r="E48" i="11"/>
  <c r="E97" i="11" l="1"/>
  <c r="E95" i="11"/>
  <c r="D98" i="11" s="1"/>
  <c r="E98" i="11" s="1"/>
  <c r="D101" i="11" s="1"/>
  <c r="D100" i="11" l="1"/>
  <c r="E100" i="11" s="1"/>
  <c r="D103" i="11" s="1"/>
  <c r="E45" i="11"/>
  <c r="E46" i="11"/>
  <c r="E44" i="11"/>
  <c r="E138" i="11" l="1"/>
  <c r="E137" i="11"/>
  <c r="E136" i="11"/>
  <c r="E135" i="11"/>
  <c r="E134" i="11"/>
  <c r="G84" i="11"/>
  <c r="G85" i="11"/>
  <c r="G86" i="11"/>
  <c r="G83" i="11"/>
  <c r="E133" i="11"/>
  <c r="E132" i="11"/>
  <c r="E129" i="11"/>
  <c r="E130" i="11"/>
  <c r="E127" i="11"/>
  <c r="E126" i="11"/>
  <c r="D159" i="11"/>
  <c r="G158" i="11"/>
  <c r="E69" i="11"/>
  <c r="E94" i="11"/>
  <c r="D99" i="11" s="1"/>
  <c r="E99" i="11" s="1"/>
  <c r="D102" i="11" s="1"/>
  <c r="E91" i="11"/>
  <c r="E123" i="11"/>
  <c r="E122" i="11"/>
  <c r="E78" i="11"/>
  <c r="G77" i="11"/>
  <c r="D124" i="11"/>
  <c r="D125" i="11" s="1"/>
  <c r="G176" i="11"/>
  <c r="E152" i="11"/>
  <c r="D154" i="11" s="1"/>
  <c r="E151" i="11"/>
  <c r="D153" i="11" s="1"/>
  <c r="G150" i="11"/>
  <c r="C3" i="11"/>
  <c r="D14" i="11"/>
  <c r="E14" i="11" s="1"/>
  <c r="E13" i="11"/>
  <c r="E11" i="11"/>
  <c r="E10" i="11"/>
  <c r="E61" i="11"/>
  <c r="E103" i="11" l="1"/>
  <c r="D106" i="11" s="1"/>
  <c r="E102" i="11"/>
  <c r="D105" i="11" s="1"/>
  <c r="D93" i="11"/>
  <c r="E93" i="11" s="1"/>
  <c r="E124" i="11"/>
  <c r="E131" i="11"/>
  <c r="E128" i="11"/>
  <c r="E125" i="11"/>
  <c r="D157" i="11"/>
  <c r="E157" i="11" s="1"/>
  <c r="E153" i="11"/>
  <c r="D156" i="11" s="1"/>
  <c r="E156" i="11" s="1"/>
  <c r="D16" i="11"/>
  <c r="D15" i="11" s="1"/>
  <c r="D12" i="11"/>
  <c r="E106" i="11" l="1"/>
  <c r="D109" i="11" s="1"/>
  <c r="E105" i="11"/>
  <c r="D108" i="11" s="1"/>
  <c r="E15" i="11"/>
  <c r="D17" i="11"/>
  <c r="E17" i="11" s="1"/>
  <c r="E154" i="11"/>
  <c r="E101" i="11"/>
  <c r="D104" i="11" s="1"/>
  <c r="D18" i="11"/>
  <c r="E18" i="11" s="1"/>
  <c r="E64" i="11"/>
  <c r="E16" i="11"/>
  <c r="E12" i="11"/>
  <c r="G141" i="11"/>
  <c r="F11" i="13"/>
  <c r="E11" i="13"/>
  <c r="H31" i="13"/>
  <c r="H30" i="13"/>
  <c r="H23" i="13"/>
  <c r="H16" i="13"/>
  <c r="E9" i="13"/>
  <c r="F9" i="13" s="1"/>
  <c r="H8" i="13"/>
  <c r="H7" i="13"/>
  <c r="I5" i="13"/>
  <c r="J5" i="13" s="1"/>
  <c r="K5" i="13" s="1"/>
  <c r="C3" i="13"/>
  <c r="G7" i="11"/>
  <c r="E109" i="11" l="1"/>
  <c r="E108" i="11"/>
  <c r="D111" i="11" s="1"/>
  <c r="E104" i="11"/>
  <c r="D107" i="11" s="1"/>
  <c r="D19" i="11"/>
  <c r="E19" i="11" s="1"/>
  <c r="E65" i="11"/>
  <c r="I4" i="13"/>
  <c r="I6" i="13"/>
  <c r="J6" i="13"/>
  <c r="L5" i="13"/>
  <c r="K6" i="13"/>
  <c r="D112" i="11" l="1"/>
  <c r="E112" i="11" s="1"/>
  <c r="E107" i="11"/>
  <c r="D110" i="11" s="1"/>
  <c r="E111" i="11"/>
  <c r="D20" i="11"/>
  <c r="D21" i="11" s="1"/>
  <c r="E10" i="13"/>
  <c r="F10" i="13" s="1"/>
  <c r="E12" i="13" s="1"/>
  <c r="M5" i="13"/>
  <c r="L6" i="13"/>
  <c r="H9" i="13"/>
  <c r="H5" i="11"/>
  <c r="G177" i="11"/>
  <c r="G82" i="11"/>
  <c r="G79" i="11"/>
  <c r="G59" i="11"/>
  <c r="G9" i="11"/>
  <c r="E110" i="11" l="1"/>
  <c r="E20" i="11"/>
  <c r="E21" i="11"/>
  <c r="D22" i="11"/>
  <c r="H10" i="13"/>
  <c r="E17" i="13"/>
  <c r="F17" i="13" s="1"/>
  <c r="N5" i="13"/>
  <c r="M6" i="13"/>
  <c r="H6" i="11"/>
  <c r="E22" i="11" l="1"/>
  <c r="D23" i="11"/>
  <c r="O5" i="13"/>
  <c r="N6" i="13"/>
  <c r="H17" i="13"/>
  <c r="J5" i="11"/>
  <c r="K5" i="11" s="1"/>
  <c r="L5" i="11" s="1"/>
  <c r="M5" i="11" s="1"/>
  <c r="N5" i="11" s="1"/>
  <c r="O5" i="11" s="1"/>
  <c r="P5" i="11" s="1"/>
  <c r="H4" i="11"/>
  <c r="E23" i="11" l="1"/>
  <c r="D24" i="11"/>
  <c r="E18" i="13"/>
  <c r="F18" i="13" s="1"/>
  <c r="O6" i="13"/>
  <c r="P5" i="13"/>
  <c r="P4" i="11"/>
  <c r="Q5" i="11"/>
  <c r="R5" i="11" s="1"/>
  <c r="S5" i="11" s="1"/>
  <c r="T5" i="11" s="1"/>
  <c r="U5" i="11" s="1"/>
  <c r="V5" i="11" s="1"/>
  <c r="W5" i="11" s="1"/>
  <c r="J6" i="11"/>
  <c r="E24" i="11" l="1"/>
  <c r="D25" i="11"/>
  <c r="D26" i="11" s="1"/>
  <c r="P6" i="13"/>
  <c r="P4" i="13"/>
  <c r="Q5" i="13"/>
  <c r="E24" i="13"/>
  <c r="F24" i="13" s="1"/>
  <c r="H18" i="13"/>
  <c r="W4" i="11"/>
  <c r="X5" i="11"/>
  <c r="Y5" i="11" s="1"/>
  <c r="Z5" i="11" s="1"/>
  <c r="AA5" i="11" s="1"/>
  <c r="AB5" i="11" s="1"/>
  <c r="AC5" i="11" s="1"/>
  <c r="AD5" i="11" s="1"/>
  <c r="K6" i="11"/>
  <c r="D27" i="11" l="1"/>
  <c r="E26" i="11"/>
  <c r="E25" i="11"/>
  <c r="H24" i="13"/>
  <c r="Q6" i="13"/>
  <c r="R5" i="13"/>
  <c r="AE5" i="11"/>
  <c r="AF5" i="11" s="1"/>
  <c r="AG5" i="11" s="1"/>
  <c r="AH5" i="11" s="1"/>
  <c r="AI5" i="11" s="1"/>
  <c r="AJ5" i="11" s="1"/>
  <c r="AD4" i="11"/>
  <c r="L6" i="11"/>
  <c r="D28" i="11" l="1"/>
  <c r="E27" i="11"/>
  <c r="R6" i="13"/>
  <c r="S5" i="13"/>
  <c r="E25" i="13"/>
  <c r="F25" i="13" s="1"/>
  <c r="AK5" i="11"/>
  <c r="AL5" i="11" s="1"/>
  <c r="AM5" i="11" s="1"/>
  <c r="AN5" i="11" s="1"/>
  <c r="AO5" i="11" s="1"/>
  <c r="AP5" i="11" s="1"/>
  <c r="AQ5" i="11" s="1"/>
  <c r="M6" i="11"/>
  <c r="E28" i="11" l="1"/>
  <c r="D29" i="11"/>
  <c r="F12" i="13"/>
  <c r="H25" i="13"/>
  <c r="T5" i="13"/>
  <c r="S6" i="13"/>
  <c r="AR5" i="11"/>
  <c r="AS5" i="11" s="1"/>
  <c r="AK4" i="11"/>
  <c r="N6" i="11"/>
  <c r="D30" i="11" l="1"/>
  <c r="E29" i="11"/>
  <c r="U5" i="13"/>
  <c r="T6" i="13"/>
  <c r="AT5" i="11"/>
  <c r="AS6" i="11"/>
  <c r="AR4" i="11"/>
  <c r="O6" i="11"/>
  <c r="E30" i="11" l="1"/>
  <c r="D31" i="11"/>
  <c r="V5" i="13"/>
  <c r="U6" i="13"/>
  <c r="AU5" i="11"/>
  <c r="AT6" i="11"/>
  <c r="E31" i="11" l="1"/>
  <c r="D32" i="11"/>
  <c r="W5" i="13"/>
  <c r="V6" i="13"/>
  <c r="AV5" i="11"/>
  <c r="AU6" i="11"/>
  <c r="P6" i="11"/>
  <c r="Q6" i="11"/>
  <c r="E32" i="11" l="1"/>
  <c r="D33" i="11"/>
  <c r="W6" i="13"/>
  <c r="X5" i="13"/>
  <c r="W4" i="13"/>
  <c r="AW5" i="11"/>
  <c r="AV6" i="11"/>
  <c r="R6" i="11"/>
  <c r="D34" i="11" l="1"/>
  <c r="D35" i="11" s="1"/>
  <c r="E33" i="11"/>
  <c r="X6" i="13"/>
  <c r="Y5" i="13"/>
  <c r="AX5" i="11"/>
  <c r="AY5" i="11" s="1"/>
  <c r="AW6" i="11"/>
  <c r="S6" i="11"/>
  <c r="E34" i="11" l="1"/>
  <c r="Y6" i="13"/>
  <c r="Z5" i="13"/>
  <c r="AY6" i="11"/>
  <c r="AZ5" i="11"/>
  <c r="AY4" i="11"/>
  <c r="AX6" i="11"/>
  <c r="T6" i="11"/>
  <c r="E35" i="11" l="1"/>
  <c r="D36" i="11"/>
  <c r="Z6" i="13"/>
  <c r="AA5" i="13"/>
  <c r="BA5" i="11"/>
  <c r="AZ6" i="11"/>
  <c r="U6" i="11"/>
  <c r="E36" i="11" l="1"/>
  <c r="D37" i="11"/>
  <c r="AA6" i="13"/>
  <c r="AB5" i="13"/>
  <c r="BA6" i="11"/>
  <c r="BB5" i="11"/>
  <c r="V6" i="11"/>
  <c r="D38" i="11" l="1"/>
  <c r="E37" i="11"/>
  <c r="AB6" i="13"/>
  <c r="AC5" i="13"/>
  <c r="BB6" i="11"/>
  <c r="BC5" i="11"/>
  <c r="W6" i="11"/>
  <c r="E38" i="11" l="1"/>
  <c r="D39" i="11"/>
  <c r="AD5" i="13"/>
  <c r="AC6" i="13"/>
  <c r="BC6" i="11"/>
  <c r="BD5" i="11"/>
  <c r="X6" i="11"/>
  <c r="E39" i="11" l="1"/>
  <c r="D40" i="11"/>
  <c r="D41" i="11" s="1"/>
  <c r="AE5" i="13"/>
  <c r="AD4" i="13"/>
  <c r="AD6" i="13"/>
  <c r="BE5" i="11"/>
  <c r="BD6" i="11"/>
  <c r="Y6" i="11"/>
  <c r="E40" i="11" l="1"/>
  <c r="AE6" i="13"/>
  <c r="AF5" i="13"/>
  <c r="BE6" i="11"/>
  <c r="BF5" i="11"/>
  <c r="Z6" i="11"/>
  <c r="E41" i="11" l="1"/>
  <c r="AF6" i="13"/>
  <c r="AG5" i="13"/>
  <c r="BF6" i="11"/>
  <c r="BG5" i="11"/>
  <c r="BF4" i="11"/>
  <c r="AA6" i="11"/>
  <c r="E42" i="11" l="1"/>
  <c r="AH5" i="13"/>
  <c r="AG6" i="13"/>
  <c r="BG6" i="11"/>
  <c r="BH5" i="11"/>
  <c r="AB6" i="11"/>
  <c r="E47" i="11" l="1"/>
  <c r="E43" i="11"/>
  <c r="AI5" i="13"/>
  <c r="AH6" i="13"/>
  <c r="BI5" i="11"/>
  <c r="BH6" i="11"/>
  <c r="AC6" i="11"/>
  <c r="AI6" i="13" l="1"/>
  <c r="AJ5" i="13"/>
  <c r="BJ5" i="11"/>
  <c r="BI6" i="11"/>
  <c r="AD6" i="11"/>
  <c r="AJ6" i="13" l="1"/>
  <c r="AK5" i="13"/>
  <c r="BK5" i="11"/>
  <c r="BJ6" i="11"/>
  <c r="AE6" i="11"/>
  <c r="AL5" i="13" l="1"/>
  <c r="AK6" i="13"/>
  <c r="AK4" i="13"/>
  <c r="BL5" i="11"/>
  <c r="BM5" i="11" s="1"/>
  <c r="BK6" i="11"/>
  <c r="AF6" i="11"/>
  <c r="AM5" i="13" l="1"/>
  <c r="AL6" i="13"/>
  <c r="BM4" i="11"/>
  <c r="BN5" i="11"/>
  <c r="BM6" i="11"/>
  <c r="BL6" i="11"/>
  <c r="AG6" i="11"/>
  <c r="AM6" i="13" l="1"/>
  <c r="AN5" i="13"/>
  <c r="BN6" i="11"/>
  <c r="BO5" i="11"/>
  <c r="AH6" i="11"/>
  <c r="AN6" i="13" l="1"/>
  <c r="AO5" i="13"/>
  <c r="BO6" i="11"/>
  <c r="BP5" i="11"/>
  <c r="AI6" i="11"/>
  <c r="AP5" i="13" l="1"/>
  <c r="AO6" i="13"/>
  <c r="BP6" i="11"/>
  <c r="BQ5" i="11"/>
  <c r="AJ6" i="11"/>
  <c r="AQ5" i="13" l="1"/>
  <c r="AP6" i="13"/>
  <c r="BR5" i="11"/>
  <c r="BQ6" i="11"/>
  <c r="AK6" i="11"/>
  <c r="AR5" i="13" l="1"/>
  <c r="AQ6" i="13"/>
  <c r="BR6" i="11"/>
  <c r="BS5" i="11"/>
  <c r="AL6" i="11"/>
  <c r="AS5" i="13" l="1"/>
  <c r="AR4" i="13"/>
  <c r="AR6" i="13"/>
  <c r="BS6" i="11"/>
  <c r="BT5" i="11"/>
  <c r="AM6" i="11"/>
  <c r="AT5" i="13" l="1"/>
  <c r="AS6" i="13"/>
  <c r="BU5" i="11"/>
  <c r="BT6" i="11"/>
  <c r="BT4" i="11"/>
  <c r="AN6" i="11"/>
  <c r="AU5" i="13" l="1"/>
  <c r="AT6" i="13"/>
  <c r="BU6" i="11"/>
  <c r="BV5" i="11"/>
  <c r="AO6" i="11"/>
  <c r="AU6" i="13" l="1"/>
  <c r="AV5" i="13"/>
  <c r="BV6" i="11"/>
  <c r="BW5" i="11"/>
  <c r="AP6" i="11"/>
  <c r="AV6" i="13" l="1"/>
  <c r="AW5" i="13"/>
  <c r="BW6" i="11"/>
  <c r="BX5" i="11"/>
  <c r="AQ6" i="11"/>
  <c r="AX5" i="13" l="1"/>
  <c r="AW6" i="13"/>
  <c r="BY5" i="11"/>
  <c r="BX6" i="11"/>
  <c r="AR6" i="11"/>
  <c r="AX6" i="13" l="1"/>
  <c r="AY5" i="13"/>
  <c r="BZ5" i="11"/>
  <c r="BY6" i="11"/>
  <c r="AY4" i="13" l="1"/>
  <c r="AZ5" i="13"/>
  <c r="AY6" i="13"/>
  <c r="BZ6" i="11"/>
  <c r="CA5" i="11"/>
  <c r="BA5" i="13" l="1"/>
  <c r="AZ6" i="13"/>
  <c r="CA4" i="11"/>
  <c r="CA6" i="11"/>
  <c r="CB5" i="11"/>
  <c r="BB5" i="13" l="1"/>
  <c r="BA6" i="13"/>
  <c r="CB6" i="11"/>
  <c r="CC5" i="11"/>
  <c r="BC5" i="13" l="1"/>
  <c r="BB6" i="13"/>
  <c r="CC6" i="11"/>
  <c r="CD5" i="11"/>
  <c r="BC6" i="13" l="1"/>
  <c r="BD5" i="13"/>
  <c r="CD6" i="11"/>
  <c r="CE5" i="11"/>
  <c r="BD6" i="13" l="1"/>
  <c r="BE5" i="13"/>
  <c r="CE6" i="11"/>
  <c r="CF5" i="11"/>
  <c r="BE6" i="13" l="1"/>
  <c r="BF5" i="13"/>
  <c r="CG5" i="11"/>
  <c r="CF6" i="11"/>
  <c r="BF4" i="13" l="1"/>
  <c r="BF6" i="13"/>
  <c r="BG5" i="13"/>
  <c r="CH5" i="11"/>
  <c r="CG6" i="11"/>
  <c r="BG6" i="13" l="1"/>
  <c r="BH5" i="13"/>
  <c r="CH4" i="11"/>
  <c r="CI5" i="11"/>
  <c r="CH6" i="11"/>
  <c r="BH6" i="13" l="1"/>
  <c r="BI5" i="13"/>
  <c r="CJ5" i="11"/>
  <c r="CI6" i="11"/>
  <c r="BJ5" i="13" l="1"/>
  <c r="BI6" i="13"/>
  <c r="CJ6" i="11"/>
  <c r="CK5" i="11"/>
  <c r="BK5" i="13" l="1"/>
  <c r="BJ6" i="13"/>
  <c r="CK6" i="11"/>
  <c r="CL5" i="11"/>
  <c r="BK6" i="13" l="1"/>
  <c r="BL5" i="13"/>
  <c r="CL6" i="11"/>
  <c r="CM5" i="11"/>
  <c r="BL6" i="13" l="1"/>
  <c r="BM5" i="13"/>
  <c r="CN5" i="11"/>
  <c r="CM6" i="11"/>
  <c r="BN5" i="13" l="1"/>
  <c r="BM6" i="13"/>
  <c r="BM4" i="13"/>
  <c r="CN6" i="11"/>
  <c r="CO5" i="11"/>
  <c r="BO5" i="13" l="1"/>
  <c r="BN6" i="13"/>
  <c r="CO4" i="11"/>
  <c r="CP5" i="11"/>
  <c r="CO6" i="11"/>
  <c r="BO6" i="13" l="1"/>
  <c r="BP5" i="13"/>
  <c r="CP6" i="11"/>
  <c r="CQ5" i="11"/>
  <c r="BP6" i="13" l="1"/>
  <c r="BQ5" i="13"/>
  <c r="CR5" i="11"/>
  <c r="CQ6" i="11"/>
  <c r="BR5" i="13" l="1"/>
  <c r="BQ6" i="13"/>
  <c r="CR6" i="11"/>
  <c r="CS5" i="11"/>
  <c r="BS5" i="13" l="1"/>
  <c r="BR6" i="13"/>
  <c r="CS6" i="11"/>
  <c r="CT5" i="11"/>
  <c r="BS6" i="13" l="1"/>
  <c r="BT5" i="13"/>
  <c r="CT6" i="11"/>
  <c r="CU5" i="11"/>
  <c r="BT6" i="13" l="1"/>
  <c r="BU5" i="13"/>
  <c r="BT4" i="13"/>
  <c r="CV5" i="11"/>
  <c r="CU6" i="11"/>
  <c r="BV5" i="13" l="1"/>
  <c r="BU6" i="13"/>
  <c r="CV6" i="11"/>
  <c r="CW5" i="11"/>
  <c r="CV4" i="11"/>
  <c r="BW5" i="13" l="1"/>
  <c r="BV6" i="13"/>
  <c r="CX5" i="11"/>
  <c r="CW6" i="11"/>
  <c r="BX5" i="13" l="1"/>
  <c r="BW6" i="13"/>
  <c r="CY5" i="11"/>
  <c r="CX6" i="11"/>
  <c r="BY5" i="13" l="1"/>
  <c r="BX6" i="13"/>
  <c r="CY6" i="11"/>
  <c r="CZ5" i="11"/>
  <c r="BZ5" i="13" l="1"/>
  <c r="BY6" i="13"/>
  <c r="CZ6" i="11"/>
  <c r="DA5" i="11"/>
  <c r="CA5" i="13" l="1"/>
  <c r="BZ6" i="13"/>
  <c r="DB5" i="11"/>
  <c r="DA6" i="11"/>
  <c r="CA6" i="13" l="1"/>
  <c r="CA4" i="13"/>
  <c r="CB5" i="13"/>
  <c r="DB6" i="11"/>
  <c r="DC5" i="11"/>
  <c r="CB6" i="13" l="1"/>
  <c r="CC5" i="13"/>
  <c r="DD5" i="11"/>
  <c r="DC6" i="11"/>
  <c r="DC4" i="11"/>
  <c r="CC6" i="13" l="1"/>
  <c r="CD5" i="13"/>
  <c r="DD6" i="11"/>
  <c r="DE5" i="11"/>
  <c r="CD6" i="13" l="1"/>
  <c r="CE5" i="13"/>
  <c r="DF5" i="11"/>
  <c r="DE6" i="11"/>
  <c r="CF5" i="13" l="1"/>
  <c r="CE6" i="13"/>
  <c r="DG5" i="11"/>
  <c r="DF6" i="11"/>
  <c r="CG5" i="13" l="1"/>
  <c r="CF6" i="13"/>
  <c r="DG6" i="11"/>
  <c r="DH5" i="11"/>
  <c r="CH5" i="13" l="1"/>
  <c r="CG6" i="13"/>
  <c r="DH6" i="11"/>
  <c r="DI5" i="11"/>
  <c r="CI5" i="13" l="1"/>
  <c r="CH6" i="13"/>
  <c r="CH4" i="13"/>
  <c r="DI6" i="11"/>
  <c r="DJ5" i="11"/>
  <c r="CI6" i="13" l="1"/>
  <c r="CJ5" i="13"/>
  <c r="DJ4" i="11"/>
  <c r="DJ6" i="11"/>
  <c r="DK5" i="11"/>
  <c r="CJ6" i="13" l="1"/>
  <c r="CK5" i="13"/>
  <c r="DK6" i="11"/>
  <c r="DL5" i="11"/>
  <c r="CK6" i="13" l="1"/>
  <c r="CL5" i="13"/>
  <c r="DM5" i="11"/>
  <c r="DL6" i="11"/>
  <c r="CL6" i="13" l="1"/>
  <c r="CM5" i="13"/>
  <c r="DN5" i="11"/>
  <c r="DM6" i="11"/>
  <c r="CN5" i="13" l="1"/>
  <c r="CM6" i="13"/>
  <c r="DN6" i="11"/>
  <c r="DO5" i="11"/>
  <c r="CN6" i="13" l="1"/>
  <c r="CO5" i="13"/>
  <c r="DO6" i="11"/>
  <c r="DP5" i="11"/>
  <c r="CP5" i="13" l="1"/>
  <c r="CO4" i="13"/>
  <c r="CO6" i="13"/>
  <c r="DP6" i="11"/>
  <c r="DQ5" i="11"/>
  <c r="CQ5" i="13" l="1"/>
  <c r="CP6" i="13"/>
  <c r="DQ4" i="11"/>
  <c r="DR5" i="11"/>
  <c r="DQ6" i="11"/>
  <c r="CQ6" i="13" l="1"/>
  <c r="CR5" i="13"/>
  <c r="DR6" i="11"/>
  <c r="DS5" i="11"/>
  <c r="CR6" i="13" l="1"/>
  <c r="CS5" i="13"/>
  <c r="DS6" i="11"/>
  <c r="DT5" i="11"/>
  <c r="CS6" i="13" l="1"/>
  <c r="CT5" i="13"/>
  <c r="DT6" i="11"/>
  <c r="DU5" i="11"/>
  <c r="CU5" i="13" l="1"/>
  <c r="CT6" i="13"/>
  <c r="DV5" i="11"/>
  <c r="DU6" i="11"/>
  <c r="CU6" i="13" l="1"/>
  <c r="CV5" i="13"/>
  <c r="DV6" i="11"/>
  <c r="DW5" i="11"/>
  <c r="CV4" i="13" l="1"/>
  <c r="CV6" i="13"/>
  <c r="CW5" i="13"/>
  <c r="DX5" i="11"/>
  <c r="DW6" i="11"/>
  <c r="CX5" i="13" l="1"/>
  <c r="CW6" i="13"/>
  <c r="DX4" i="11"/>
  <c r="DY5" i="11"/>
  <c r="DX6" i="11"/>
  <c r="CY5" i="13" l="1"/>
  <c r="CX6" i="13"/>
  <c r="DY6" i="11"/>
  <c r="DZ5" i="11"/>
  <c r="EA5" i="11" s="1"/>
  <c r="EA6" i="11" s="1"/>
  <c r="CY6" i="13" l="1"/>
  <c r="CZ5" i="13"/>
  <c r="DZ6" i="11"/>
  <c r="CZ6" i="13" l="1"/>
  <c r="DA5" i="13"/>
  <c r="EB5" i="11"/>
  <c r="DB5" i="13" l="1"/>
  <c r="DA6" i="13"/>
  <c r="EB6" i="11"/>
  <c r="EC5" i="11"/>
  <c r="DC5" i="13" l="1"/>
  <c r="DB6" i="13"/>
  <c r="EC6" i="11"/>
  <c r="ED5" i="11"/>
  <c r="DC4" i="13" l="1"/>
  <c r="DD5" i="13"/>
  <c r="DC6" i="13"/>
  <c r="ED6" i="11"/>
  <c r="EE5" i="11"/>
  <c r="DE5" i="13" l="1"/>
  <c r="DD6" i="13"/>
  <c r="EE4" i="11"/>
  <c r="EF5" i="11"/>
  <c r="EE6" i="11"/>
  <c r="DF5" i="13" l="1"/>
  <c r="DE6" i="13"/>
  <c r="EG5" i="11"/>
  <c r="EF6" i="11"/>
  <c r="DG5" i="13" l="1"/>
  <c r="DF6" i="13"/>
  <c r="EG6" i="11"/>
  <c r="EH5" i="11"/>
  <c r="DG6" i="13" l="1"/>
  <c r="DH5" i="13"/>
  <c r="EH6" i="11"/>
  <c r="EI5" i="11"/>
  <c r="DH6" i="13" l="1"/>
  <c r="DI5" i="13"/>
  <c r="EJ5" i="11"/>
  <c r="EI6" i="11"/>
  <c r="DI6" i="13" l="1"/>
  <c r="DJ5" i="13"/>
  <c r="EJ6" i="11"/>
  <c r="EK5" i="11"/>
  <c r="DJ4" i="13" l="1"/>
  <c r="DJ6" i="13"/>
  <c r="DK5" i="13"/>
  <c r="EK6" i="11"/>
  <c r="EL5" i="11"/>
  <c r="DL5" i="13" l="1"/>
  <c r="DK6" i="13"/>
  <c r="EL4" i="11"/>
  <c r="EM5" i="11"/>
  <c r="EL6" i="11"/>
  <c r="DM5" i="13" l="1"/>
  <c r="DL6" i="13"/>
  <c r="EM6" i="11"/>
  <c r="EN5" i="11"/>
  <c r="DN5" i="13" l="1"/>
  <c r="DM6" i="13"/>
  <c r="EN6" i="11"/>
  <c r="EO5" i="11"/>
  <c r="DO5" i="13" l="1"/>
  <c r="DN6" i="13"/>
  <c r="EO6" i="11"/>
  <c r="EP5" i="11"/>
  <c r="DO6" i="13" l="1"/>
  <c r="DP5" i="13"/>
  <c r="EQ5" i="11"/>
  <c r="EP6" i="11"/>
  <c r="DP6" i="13" l="1"/>
  <c r="DQ5" i="13"/>
  <c r="ER5" i="11"/>
  <c r="EQ6" i="11"/>
  <c r="DQ4" i="13" l="1"/>
  <c r="DQ6" i="13"/>
  <c r="DR5" i="13"/>
  <c r="ES5" i="11"/>
  <c r="ER6" i="11"/>
  <c r="DR6" i="13" l="1"/>
  <c r="DS5" i="13"/>
  <c r="ES4" i="11"/>
  <c r="ET5" i="11"/>
  <c r="ES6" i="11"/>
  <c r="DS6" i="13" l="1"/>
  <c r="DT5" i="13"/>
  <c r="EU5" i="11"/>
  <c r="ET6" i="11"/>
  <c r="DT6" i="13" l="1"/>
  <c r="DU5" i="13"/>
  <c r="EU6" i="11"/>
  <c r="EV5" i="11"/>
  <c r="DV5" i="13" l="1"/>
  <c r="DU6" i="13"/>
  <c r="EV6" i="11"/>
  <c r="EW5" i="11"/>
  <c r="DW5" i="13" l="1"/>
  <c r="DV6" i="13"/>
  <c r="EX5" i="11"/>
  <c r="EW6" i="11"/>
  <c r="DW6" i="13" l="1"/>
  <c r="DX5" i="13"/>
  <c r="EX6" i="11"/>
  <c r="EY5" i="11"/>
  <c r="DX6" i="13" l="1"/>
  <c r="DX4" i="13"/>
  <c r="DY5" i="13"/>
  <c r="EY6" i="11"/>
  <c r="EZ5" i="11"/>
  <c r="DZ5" i="13" l="1"/>
  <c r="DY6" i="13"/>
  <c r="EZ4" i="11"/>
  <c r="EZ6" i="11"/>
  <c r="FA5" i="11"/>
  <c r="EA5" i="13" l="1"/>
  <c r="DZ6" i="13"/>
  <c r="FA6" i="11"/>
  <c r="FB5" i="11"/>
  <c r="EA6" i="13" l="1"/>
  <c r="EB5" i="13"/>
  <c r="FB6" i="11"/>
  <c r="FC5" i="11"/>
  <c r="EB6" i="13" l="1"/>
  <c r="EC5" i="13"/>
  <c r="FC6" i="11"/>
  <c r="FD5" i="11"/>
  <c r="ED5" i="13" l="1"/>
  <c r="EC6" i="13"/>
  <c r="FD6" i="11"/>
  <c r="FE5" i="11"/>
  <c r="EE5" i="13" l="1"/>
  <c r="ED6" i="13"/>
  <c r="FF5" i="11"/>
  <c r="FE6" i="11"/>
  <c r="EE6" i="13" l="1"/>
  <c r="EF5" i="13"/>
  <c r="EE4" i="13"/>
  <c r="FF6" i="11"/>
  <c r="FG5" i="11"/>
  <c r="EF6" i="13" l="1"/>
  <c r="EG5" i="13"/>
  <c r="FG4" i="11"/>
  <c r="FG6" i="11"/>
  <c r="FH5" i="11"/>
  <c r="EH5" i="13" l="1"/>
  <c r="EG6" i="13"/>
  <c r="FI5" i="11"/>
  <c r="FH6" i="11"/>
  <c r="EI5" i="13" l="1"/>
  <c r="EH6" i="13"/>
  <c r="FI6" i="11"/>
  <c r="FJ5" i="11"/>
  <c r="EJ5" i="13" l="1"/>
  <c r="EI6" i="13"/>
  <c r="FJ6" i="11"/>
  <c r="FK5" i="11"/>
  <c r="EK5" i="13" l="1"/>
  <c r="EJ6" i="13"/>
  <c r="FL5" i="11"/>
  <c r="FK6" i="11"/>
  <c r="EL5" i="13" l="1"/>
  <c r="EK6" i="13"/>
  <c r="FL6" i="11"/>
  <c r="FM5" i="11"/>
  <c r="EM5" i="13" l="1"/>
  <c r="EL6" i="13"/>
  <c r="EL4" i="13"/>
  <c r="FM6" i="11"/>
  <c r="FN5" i="11"/>
  <c r="EM6" i="13" l="1"/>
  <c r="EN5" i="13"/>
  <c r="FN4" i="11"/>
  <c r="FN6" i="11"/>
  <c r="FO5" i="11"/>
  <c r="EN6" i="13" l="1"/>
  <c r="EO5" i="13"/>
  <c r="FO6" i="11"/>
  <c r="FP5" i="11"/>
  <c r="EO6" i="13" l="1"/>
  <c r="EP5" i="13"/>
  <c r="FQ5" i="11"/>
  <c r="FP6" i="11"/>
  <c r="EP6" i="13" l="1"/>
  <c r="EQ5" i="13"/>
  <c r="FQ6" i="11"/>
  <c r="FR5" i="11"/>
  <c r="ER5" i="13" l="1"/>
  <c r="EQ6" i="13"/>
  <c r="FR6" i="11"/>
  <c r="FS5" i="11"/>
  <c r="ES5" i="13" l="1"/>
  <c r="ER6" i="13"/>
  <c r="FT5" i="11"/>
  <c r="FS6" i="11"/>
  <c r="ET5" i="13" l="1"/>
  <c r="ES6" i="13"/>
  <c r="ES4" i="13"/>
  <c r="FU5" i="11"/>
  <c r="FT6" i="11"/>
  <c r="EU5" i="13" l="1"/>
  <c r="ET6" i="13"/>
  <c r="FU4" i="11"/>
  <c r="FV5" i="11"/>
  <c r="FU6" i="11"/>
  <c r="EU6" i="13" l="1"/>
  <c r="EV5" i="13"/>
  <c r="FW5" i="11"/>
  <c r="FV6" i="11"/>
  <c r="EV6" i="13" l="1"/>
  <c r="EW5" i="13"/>
  <c r="FW6" i="11"/>
  <c r="FX5" i="11"/>
  <c r="EW6" i="13" l="1"/>
  <c r="EX5" i="13"/>
  <c r="FX6" i="11"/>
  <c r="FY5" i="11"/>
  <c r="EX6" i="13" l="1"/>
  <c r="EY5" i="13"/>
  <c r="FY6" i="11"/>
  <c r="FZ5" i="11"/>
  <c r="EY6" i="13" l="1"/>
  <c r="EZ5" i="13"/>
  <c r="FZ6" i="11"/>
  <c r="GA5" i="11"/>
  <c r="GA6" i="11" s="1"/>
  <c r="EZ6" i="13" l="1"/>
  <c r="FA5" i="13"/>
  <c r="EZ4" i="13"/>
  <c r="GB5" i="11"/>
  <c r="FB5" i="13" l="1"/>
  <c r="FA6" i="13"/>
  <c r="GC5" i="11"/>
  <c r="GB4" i="11"/>
  <c r="GB6" i="11"/>
  <c r="FC5" i="13" l="1"/>
  <c r="FB6" i="13"/>
  <c r="GC6" i="11"/>
  <c r="GD5" i="11"/>
  <c r="FC6" i="13" l="1"/>
  <c r="FD5" i="13"/>
  <c r="GE5" i="11"/>
  <c r="GD6" i="11"/>
  <c r="FD6" i="13" l="1"/>
  <c r="FE5" i="13"/>
  <c r="GE6" i="11"/>
  <c r="GF5" i="11"/>
  <c r="FF5" i="13" l="1"/>
  <c r="FE6" i="13"/>
  <c r="GG5" i="11"/>
  <c r="GF6" i="11"/>
  <c r="FG5" i="13" l="1"/>
  <c r="FF6" i="13"/>
  <c r="GH5" i="11"/>
  <c r="GH6" i="11" s="1"/>
  <c r="GG6" i="11"/>
  <c r="FG4" i="13" l="1"/>
  <c r="FG6" i="13"/>
  <c r="FH5" i="13"/>
  <c r="GI5" i="11"/>
  <c r="FH6" i="13" l="1"/>
  <c r="FI5" i="13"/>
  <c r="GI4" i="11"/>
  <c r="GJ5" i="11"/>
  <c r="GI6" i="11"/>
  <c r="FJ5" i="13" l="1"/>
  <c r="FI6" i="13"/>
  <c r="GK5" i="11"/>
  <c r="GJ6" i="11"/>
  <c r="FK5" i="13" l="1"/>
  <c r="FJ6" i="13"/>
  <c r="GK6" i="11"/>
  <c r="GL5" i="11"/>
  <c r="FK6" i="13" l="1"/>
  <c r="FL5" i="13"/>
  <c r="GM5" i="11"/>
  <c r="GL6" i="11"/>
  <c r="FL6" i="13" l="1"/>
  <c r="FM5" i="13"/>
  <c r="GN5" i="11"/>
  <c r="GM6" i="11"/>
  <c r="FN5" i="13" l="1"/>
  <c r="FM6" i="13"/>
  <c r="GN6" i="11"/>
  <c r="GO5" i="11"/>
  <c r="GO6" i="11" l="1"/>
  <c r="GP5" i="11"/>
  <c r="FN4" i="13"/>
  <c r="FO5" i="13"/>
  <c r="FN6" i="13"/>
  <c r="GP4" i="11" l="1"/>
  <c r="GQ5" i="11"/>
  <c r="GP6" i="11"/>
  <c r="FP5" i="13"/>
  <c r="FO6" i="13"/>
  <c r="GR5" i="11" l="1"/>
  <c r="GQ6" i="11"/>
  <c r="FQ5" i="13"/>
  <c r="FP6" i="13"/>
  <c r="GS5" i="11" l="1"/>
  <c r="GR6" i="11"/>
  <c r="FR5" i="13"/>
  <c r="FQ6" i="13"/>
  <c r="GS6" i="11" l="1"/>
  <c r="GT5" i="11"/>
  <c r="FS5" i="13"/>
  <c r="FR6" i="13"/>
  <c r="GU5" i="11" l="1"/>
  <c r="GT6" i="11"/>
  <c r="FS6" i="13"/>
  <c r="FT5" i="13"/>
  <c r="GV5" i="11" l="1"/>
  <c r="GU6" i="11"/>
  <c r="FT6" i="13"/>
  <c r="FU5" i="13"/>
  <c r="GV6" i="11" l="1"/>
  <c r="GW5" i="11"/>
  <c r="FU6" i="13"/>
  <c r="FU4" i="13"/>
  <c r="FV5" i="13"/>
  <c r="GX5" i="11" l="1"/>
  <c r="GW6" i="11"/>
  <c r="GW4" i="11"/>
  <c r="FV6" i="13"/>
  <c r="FW5" i="13"/>
  <c r="GX6" i="11" l="1"/>
  <c r="GY5" i="11"/>
  <c r="FX5" i="13"/>
  <c r="FW6" i="13"/>
  <c r="GZ5" i="11" l="1"/>
  <c r="GY6" i="11"/>
  <c r="FY5" i="13"/>
  <c r="FX6" i="13"/>
  <c r="HA5" i="11" l="1"/>
  <c r="GZ6" i="11"/>
  <c r="FZ5" i="13"/>
  <c r="FY6" i="13"/>
  <c r="HB5" i="11" l="1"/>
  <c r="HA6" i="11"/>
  <c r="GA5" i="13"/>
  <c r="FZ6" i="13"/>
  <c r="HC5" i="11" l="1"/>
  <c r="HB6" i="11"/>
  <c r="GA6" i="13"/>
  <c r="GB5" i="13"/>
  <c r="HD5" i="11" l="1"/>
  <c r="HC6" i="11"/>
  <c r="GB6" i="13"/>
  <c r="GC5" i="13"/>
  <c r="GB4" i="13"/>
  <c r="HE5" i="11" l="1"/>
  <c r="HD6" i="11"/>
  <c r="HD4" i="11"/>
  <c r="GC6" i="13"/>
  <c r="GD5" i="13"/>
  <c r="HE6" i="11" l="1"/>
  <c r="HF5" i="11"/>
  <c r="GD6" i="13"/>
  <c r="GE5" i="13"/>
  <c r="HF6" i="11" l="1"/>
  <c r="HG5" i="11"/>
  <c r="GF5" i="13"/>
  <c r="GE6" i="13"/>
  <c r="HG6" i="11" l="1"/>
  <c r="HH5" i="11"/>
  <c r="GF6" i="13"/>
  <c r="GG5" i="13"/>
  <c r="HH6" i="11" l="1"/>
  <c r="HI5" i="11"/>
  <c r="GH5" i="13"/>
  <c r="GG6" i="13"/>
  <c r="HJ5" i="11" l="1"/>
  <c r="HI6" i="11"/>
  <c r="GI5" i="13"/>
  <c r="GH6" i="13"/>
  <c r="HJ6" i="11" l="1"/>
  <c r="HK5" i="11"/>
  <c r="GI6" i="13"/>
  <c r="GI4" i="13"/>
  <c r="GJ5" i="13"/>
  <c r="HK6" i="11" l="1"/>
  <c r="HL5" i="11"/>
  <c r="HK4" i="11"/>
  <c r="GJ6" i="13"/>
  <c r="GK5" i="13"/>
  <c r="HM5" i="11" l="1"/>
  <c r="HL6" i="11"/>
  <c r="GL5" i="13"/>
  <c r="GK6" i="13"/>
  <c r="HN5" i="11" l="1"/>
  <c r="HM6" i="11"/>
  <c r="GM5" i="13"/>
  <c r="GL6" i="13"/>
  <c r="HN6" i="11" l="1"/>
  <c r="HO5" i="11"/>
  <c r="GM6" i="13"/>
  <c r="GN5" i="13"/>
  <c r="HO6" i="11" l="1"/>
  <c r="HP5" i="11"/>
  <c r="GN6" i="13"/>
  <c r="GO5" i="13"/>
  <c r="HQ5" i="11" l="1"/>
  <c r="HP6" i="11"/>
  <c r="GP5" i="13"/>
  <c r="GO6" i="13"/>
  <c r="HQ6" i="11" l="1"/>
  <c r="HR5" i="11"/>
  <c r="GQ5" i="13"/>
  <c r="GP6" i="13"/>
  <c r="GP4" i="13"/>
  <c r="HR6" i="11" l="1"/>
  <c r="HR4" i="11"/>
  <c r="HS5" i="11"/>
  <c r="GQ6" i="13"/>
  <c r="GR5" i="13"/>
  <c r="HS6" i="11" l="1"/>
  <c r="HT5" i="11"/>
  <c r="GR6" i="13"/>
  <c r="GS5" i="13"/>
  <c r="HU5" i="11" l="1"/>
  <c r="HT6" i="11"/>
  <c r="GS6" i="13"/>
  <c r="GT5" i="13"/>
  <c r="HV5" i="11" l="1"/>
  <c r="HU6" i="11"/>
  <c r="GU5" i="13"/>
  <c r="GT6" i="13"/>
  <c r="HV6" i="11" l="1"/>
  <c r="HW5" i="11"/>
  <c r="GV5" i="13"/>
  <c r="GU6" i="13"/>
  <c r="HX5" i="11" l="1"/>
  <c r="HW6" i="11"/>
  <c r="GW5" i="13"/>
  <c r="GV6" i="13"/>
  <c r="HY5" i="11" l="1"/>
  <c r="HX6" i="11"/>
  <c r="GX5" i="13"/>
  <c r="GW6" i="13"/>
  <c r="GW4" i="13"/>
  <c r="HY6" i="11" l="1"/>
  <c r="HY4" i="11"/>
  <c r="HZ5" i="11"/>
  <c r="GY5" i="13"/>
  <c r="GX6" i="13"/>
  <c r="IA5" i="11" l="1"/>
  <c r="HZ6" i="11"/>
  <c r="GY6" i="13"/>
  <c r="GZ5" i="13"/>
  <c r="IB5" i="11" l="1"/>
  <c r="IA6" i="11"/>
  <c r="GZ6" i="13"/>
  <c r="HA5" i="13"/>
  <c r="IB6" i="11" l="1"/>
  <c r="IC5" i="11"/>
  <c r="HB5" i="13"/>
  <c r="HA6" i="13"/>
  <c r="ID5" i="11" l="1"/>
  <c r="IC6" i="11"/>
  <c r="HB6" i="13"/>
  <c r="HC5" i="13"/>
  <c r="ID6" i="11" l="1"/>
  <c r="IE5" i="11"/>
  <c r="HC6" i="13"/>
  <c r="HD5" i="13"/>
  <c r="IE6" i="11" l="1"/>
  <c r="IF5" i="11"/>
  <c r="HD6" i="13"/>
  <c r="HE5" i="13"/>
  <c r="HD4" i="13"/>
  <c r="IG5" i="11" l="1"/>
  <c r="IF6" i="11"/>
  <c r="IF4" i="11"/>
  <c r="HF5" i="13"/>
  <c r="HE6" i="13"/>
  <c r="IH5" i="11" l="1"/>
  <c r="IG6" i="11"/>
  <c r="HG5" i="13"/>
  <c r="HF6" i="13"/>
  <c r="IH6" i="11" l="1"/>
  <c r="II5" i="11"/>
  <c r="HG6" i="13"/>
  <c r="HH5" i="13"/>
  <c r="IJ5" i="11" l="1"/>
  <c r="II6" i="11"/>
  <c r="HH6" i="13"/>
  <c r="HI5" i="13"/>
  <c r="IK5" i="11" l="1"/>
  <c r="IJ6" i="11"/>
  <c r="HJ5" i="13"/>
  <c r="HI6" i="13"/>
  <c r="IL5" i="11" l="1"/>
  <c r="IK6" i="11"/>
  <c r="HJ6" i="13"/>
  <c r="HK5" i="13"/>
  <c r="IL6" i="11" l="1"/>
  <c r="IM5" i="11"/>
  <c r="HK4" i="13"/>
  <c r="HL5" i="13"/>
  <c r="HK6" i="13"/>
  <c r="IN5" i="11" l="1"/>
  <c r="IM4" i="11"/>
  <c r="IM6" i="11"/>
  <c r="HL6" i="13"/>
  <c r="HM5" i="13"/>
  <c r="IO5" i="11" l="1"/>
  <c r="IN6" i="11"/>
  <c r="HN5" i="13"/>
  <c r="HM6" i="13"/>
  <c r="IO6" i="11" l="1"/>
  <c r="IP5" i="11"/>
  <c r="HO5" i="13"/>
  <c r="HN6" i="13"/>
  <c r="IQ5" i="11" l="1"/>
  <c r="IP6" i="11"/>
  <c r="HO6" i="13"/>
  <c r="HP5" i="13"/>
  <c r="IQ6" i="11" l="1"/>
  <c r="IR5" i="11"/>
  <c r="IS5" i="11" s="1"/>
  <c r="IS6" i="11" s="1"/>
  <c r="HP6" i="13"/>
  <c r="HQ5" i="13"/>
  <c r="IR6" i="11" l="1"/>
  <c r="HQ6" i="13"/>
  <c r="HR5" i="13"/>
  <c r="IT5" i="11" l="1"/>
  <c r="HR4" i="13"/>
  <c r="HR6" i="13"/>
  <c r="HS5" i="13"/>
  <c r="IU5" i="11" l="1"/>
  <c r="IT6" i="11"/>
  <c r="IT4" i="11"/>
  <c r="HT5" i="13"/>
  <c r="HS6" i="13"/>
  <c r="IU6" i="11" l="1"/>
  <c r="IV5" i="11"/>
  <c r="HT6" i="13"/>
  <c r="HU5" i="13"/>
  <c r="IV6" i="11" l="1"/>
  <c r="IW5" i="11"/>
  <c r="HV5" i="13"/>
  <c r="HU6" i="13"/>
  <c r="IW6" i="11" l="1"/>
  <c r="IX5" i="11"/>
  <c r="HW5" i="13"/>
  <c r="HV6" i="13"/>
  <c r="IX6" i="11" l="1"/>
  <c r="IY5" i="11"/>
  <c r="HW6" i="13"/>
  <c r="HX5" i="13"/>
  <c r="IY6" i="11" l="1"/>
  <c r="IZ5" i="11"/>
  <c r="HX6" i="13"/>
  <c r="HY5" i="13"/>
  <c r="JA5" i="11" l="1"/>
  <c r="IZ6" i="11"/>
  <c r="HY4" i="13"/>
  <c r="HZ5" i="13"/>
  <c r="HY6" i="13"/>
  <c r="JA4" i="11" l="1"/>
  <c r="JA6" i="11"/>
  <c r="JB5" i="11"/>
  <c r="IA5" i="13"/>
  <c r="HZ6" i="13"/>
  <c r="JB6" i="11" l="1"/>
  <c r="JC5" i="11"/>
  <c r="IB5" i="13"/>
  <c r="IA6" i="13"/>
  <c r="JC6" i="11" l="1"/>
  <c r="JD5" i="11"/>
  <c r="IC5" i="13"/>
  <c r="IB6" i="13"/>
  <c r="JD6" i="11" l="1"/>
  <c r="JE5" i="11"/>
  <c r="ID5" i="13"/>
  <c r="IC6" i="13"/>
  <c r="JE6" i="11" l="1"/>
  <c r="JF5" i="11"/>
  <c r="IE5" i="13"/>
  <c r="IE6" i="13" s="1"/>
  <c r="ID6" i="13"/>
  <c r="H12" i="13"/>
  <c r="JF6" i="11" l="1"/>
  <c r="JG5" i="11"/>
  <c r="E13" i="13"/>
  <c r="F13" i="13" s="1"/>
  <c r="JH5" i="11" l="1"/>
  <c r="JG6" i="11"/>
  <c r="E19" i="13"/>
  <c r="F19" i="13" s="1"/>
  <c r="JI5" i="11" l="1"/>
  <c r="JH6" i="11"/>
  <c r="JH4" i="11"/>
  <c r="E20" i="13"/>
  <c r="F20" i="13" s="1"/>
  <c r="H19" i="13"/>
  <c r="JI6" i="11" l="1"/>
  <c r="JJ5" i="11"/>
  <c r="E26" i="13"/>
  <c r="F26" i="13" s="1"/>
  <c r="JJ6" i="11" l="1"/>
  <c r="JK5" i="11"/>
  <c r="E27" i="13"/>
  <c r="F27" i="13" s="1"/>
  <c r="JK6" i="11" l="1"/>
  <c r="JL5" i="11"/>
  <c r="E14" i="13"/>
  <c r="H27" i="13"/>
  <c r="JL6" i="11" l="1"/>
  <c r="JM5" i="11"/>
  <c r="F14" i="13"/>
  <c r="E15" i="13" s="1"/>
  <c r="F15" i="13" s="1"/>
  <c r="JM6" i="11" l="1"/>
  <c r="JN5" i="11"/>
  <c r="E21" i="13"/>
  <c r="JN6" i="11" l="1"/>
  <c r="JO5" i="11"/>
  <c r="F21" i="13"/>
  <c r="E22" i="13" s="1"/>
  <c r="F22" i="13" s="1"/>
  <c r="JP5" i="11" l="1"/>
  <c r="JO6" i="11"/>
  <c r="JO4" i="11"/>
  <c r="E28" i="13"/>
  <c r="JP6" i="11" l="1"/>
  <c r="JQ5" i="11"/>
  <c r="F28" i="13"/>
  <c r="E29" i="13" s="1"/>
  <c r="F29" i="13" s="1"/>
  <c r="JQ6" i="11" l="1"/>
  <c r="JR5" i="11"/>
  <c r="E60" i="11"/>
  <c r="JR6" i="11" l="1"/>
  <c r="JS5" i="11"/>
  <c r="JS6" i="11" l="1"/>
  <c r="JT5" i="11"/>
  <c r="JT6" i="11" l="1"/>
  <c r="JU5" i="11"/>
  <c r="JU6" i="11" l="1"/>
  <c r="JV5" i="11"/>
  <c r="JW5" i="11" l="1"/>
  <c r="JV6" i="11"/>
  <c r="JV4" i="11"/>
  <c r="JW6" i="11" l="1"/>
  <c r="JX5" i="11"/>
  <c r="JX6" i="11" l="1"/>
  <c r="JY5" i="11"/>
  <c r="JY6" i="11" l="1"/>
  <c r="JZ5" i="11"/>
  <c r="JZ6" i="11" l="1"/>
  <c r="KA5" i="11"/>
  <c r="KA6" i="11" l="1"/>
  <c r="KB5" i="11"/>
  <c r="KB6" i="11" l="1"/>
  <c r="KC5" i="11"/>
  <c r="KC6" i="11" l="1"/>
  <c r="KD5" i="11"/>
  <c r="KC4" i="11"/>
  <c r="KD6" i="11" l="1"/>
  <c r="KE5" i="11"/>
  <c r="KE6" i="11" l="1"/>
  <c r="KF5" i="11"/>
  <c r="KF6" i="11" l="1"/>
  <c r="KG5" i="11"/>
  <c r="KG6" i="11" l="1"/>
  <c r="KH5" i="11"/>
  <c r="KH6" i="11" l="1"/>
  <c r="KI5" i="11"/>
  <c r="KI6" i="11" l="1"/>
  <c r="KJ5" i="11"/>
  <c r="KK5" i="11" l="1"/>
  <c r="KJ4" i="11"/>
  <c r="KJ6" i="11"/>
  <c r="KL5" i="11" l="1"/>
  <c r="KK6" i="11"/>
  <c r="KL6" i="11" l="1"/>
  <c r="KM5" i="11"/>
  <c r="KM6" i="11" l="1"/>
  <c r="KN5" i="11"/>
  <c r="KN6" i="11" l="1"/>
  <c r="KO5" i="11"/>
  <c r="KO6" i="11" l="1"/>
  <c r="KP5" i="11"/>
  <c r="KP6" i="11" l="1"/>
  <c r="KQ5" i="11"/>
  <c r="KQ6" i="11" l="1"/>
  <c r="KR5" i="11"/>
  <c r="KQ4" i="11"/>
  <c r="KR6" i="11" l="1"/>
  <c r="KS5" i="11"/>
  <c r="KS6" i="11" l="1"/>
  <c r="KT5" i="11"/>
  <c r="KT6" i="11" l="1"/>
  <c r="KU5" i="11"/>
  <c r="KU6" i="11" l="1"/>
  <c r="KV5" i="11"/>
  <c r="KV6" i="11" l="1"/>
  <c r="KW5" i="11"/>
  <c r="KX5" i="11" l="1"/>
  <c r="KW6" i="11"/>
  <c r="KY5" i="11" l="1"/>
  <c r="KX6" i="11"/>
  <c r="KX4" i="11"/>
  <c r="KY6" i="11" l="1"/>
  <c r="KZ5" i="11"/>
  <c r="KZ6" i="11" l="1"/>
  <c r="LA5" i="11"/>
  <c r="LA6" i="11" l="1"/>
  <c r="LB5" i="11"/>
  <c r="LB6" i="11" l="1"/>
  <c r="LC5" i="11"/>
  <c r="LC6" i="11" l="1"/>
  <c r="LD5" i="11"/>
  <c r="LE5" i="11" l="1"/>
  <c r="LD6" i="11"/>
  <c r="LE6" i="11" l="1"/>
  <c r="LF5" i="11"/>
  <c r="LE4" i="11"/>
  <c r="LF6" i="11" l="1"/>
  <c r="LG5" i="11"/>
  <c r="LG6" i="11" l="1"/>
  <c r="LH5" i="11"/>
  <c r="LH6" i="11" l="1"/>
  <c r="LI5" i="11"/>
  <c r="LI6" i="11" l="1"/>
  <c r="LJ5" i="11"/>
  <c r="LJ6" i="11" l="1"/>
  <c r="LK5" i="11"/>
  <c r="LK6" i="11" l="1"/>
  <c r="LL5" i="11"/>
  <c r="LM5" i="11" l="1"/>
  <c r="LL6" i="11"/>
  <c r="LL4" i="11"/>
  <c r="LM6" i="11" l="1"/>
  <c r="LN5" i="11"/>
  <c r="LN6" i="11" l="1"/>
  <c r="LO5" i="11"/>
  <c r="LO6" i="11" l="1"/>
  <c r="LP5" i="11"/>
  <c r="LP6" i="11" l="1"/>
  <c r="LQ5" i="11"/>
  <c r="LQ6" i="11" l="1"/>
  <c r="LR5" i="11"/>
  <c r="LR6" i="11" l="1"/>
  <c r="LS5" i="11"/>
  <c r="LT5" i="11" l="1"/>
  <c r="LS6" i="11"/>
  <c r="LS4" i="11"/>
  <c r="LT6" i="11" l="1"/>
  <c r="LU5" i="11"/>
  <c r="LU6" i="11" l="1"/>
  <c r="LV5" i="11"/>
  <c r="LV6" i="11" l="1"/>
  <c r="LW5" i="11"/>
  <c r="LW6" i="11" l="1"/>
  <c r="LX5" i="11"/>
  <c r="LX6" i="11" l="1"/>
  <c r="LY5" i="11"/>
  <c r="LZ5" i="11" l="1"/>
  <c r="LY6" i="11"/>
  <c r="MA5" i="11" l="1"/>
  <c r="LZ6" i="11"/>
  <c r="LZ4" i="11"/>
  <c r="MA6" i="11" l="1"/>
  <c r="MB5" i="11"/>
  <c r="MB6" i="11" l="1"/>
  <c r="MC5" i="11"/>
  <c r="MC6" i="11" l="1"/>
  <c r="MD5" i="11"/>
  <c r="MD6" i="11" l="1"/>
  <c r="ME5" i="11"/>
  <c r="ME6" i="11" l="1"/>
  <c r="MF5" i="11"/>
  <c r="MG5" i="11" l="1"/>
  <c r="MF6" i="11"/>
  <c r="MH5" i="11" l="1"/>
  <c r="MG6" i="11"/>
  <c r="MG4" i="11"/>
  <c r="MH6" i="11" l="1"/>
  <c r="MI5" i="11"/>
  <c r="MI6" i="11" l="1"/>
  <c r="MJ5" i="11"/>
  <c r="MJ6" i="11" l="1"/>
  <c r="MK5" i="11"/>
  <c r="MK6" i="11" l="1"/>
  <c r="ML5" i="11"/>
  <c r="ML6" i="11" l="1"/>
  <c r="MM5" i="11"/>
  <c r="MM6" i="11" s="1"/>
  <c r="E90"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101" authorId="0" shapeId="0" xr:uid="{348F40F0-CA85-4A43-8E17-E0153537F570}">
      <text>
        <r>
          <rPr>
            <b/>
            <sz val="9"/>
            <color indexed="81"/>
            <rFont val="Segoe UI"/>
            <charset val="1"/>
          </rPr>
          <t>Autor:</t>
        </r>
        <r>
          <rPr>
            <sz val="9"/>
            <color indexed="81"/>
            <rFont val="Segoe UI"/>
            <charset val="1"/>
          </rPr>
          <t xml:space="preserve">
Antecipar ASO para Fevereiro</t>
        </r>
      </text>
    </comment>
  </commentList>
</comments>
</file>

<file path=xl/sharedStrings.xml><?xml version="1.0" encoding="utf-8"?>
<sst xmlns="http://schemas.openxmlformats.org/spreadsheetml/2006/main" count="681" uniqueCount="258">
  <si>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</si>
  <si>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</si>
  <si>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</si>
  <si>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</si>
  <si>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</si>
  <si>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</si>
  <si>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</si>
  <si>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</si>
  <si>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</si>
  <si>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</si>
  <si>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</si>
  <si>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</si>
  <si>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</si>
  <si>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</si>
  <si>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</si>
  <si>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</si>
  <si>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</si>
  <si>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</si>
  <si>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</si>
  <si>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</si>
  <si>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</si>
  <si>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</si>
  <si>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</si>
  <si>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</si>
  <si>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</si>
  <si>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</si>
  <si>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</si>
  <si>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</si>
  <si>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</si>
  <si>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</si>
  <si>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</si>
  <si>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</si>
  <si>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</si>
  <si>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</si>
  <si>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</si>
  <si>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</si>
  <si>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PLANEJAR</t>
  </si>
  <si>
    <t>F9TE</t>
  </si>
  <si>
    <t>reinaldo.merendaz@petrobras.com.br</t>
  </si>
  <si>
    <t>REINALDO MERENDAZ</t>
  </si>
  <si>
    <t>URDD</t>
  </si>
  <si>
    <t>igorteixeira@petrobras.com.br</t>
  </si>
  <si>
    <t>IGOR TEIXEIRA</t>
  </si>
  <si>
    <t>F9XJ</t>
  </si>
  <si>
    <t>junio.matos@petrobras.com.br</t>
  </si>
  <si>
    <t>JUNIO AGOSTINHO</t>
  </si>
  <si>
    <t>MEC</t>
  </si>
  <si>
    <t>MGKN</t>
  </si>
  <si>
    <t>marsantos@petrobras.com.br</t>
  </si>
  <si>
    <r>
      <t xml:space="preserve">MARCELO </t>
    </r>
    <r>
      <rPr>
        <sz val="9"/>
        <color theme="1"/>
        <rFont val="Calibri"/>
        <family val="2"/>
        <scheme val="minor"/>
      </rPr>
      <t>RODRIGUES</t>
    </r>
  </si>
  <si>
    <t>APROVADO REIRAR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</si>
  <si>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</si>
  <si>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</si>
  <si>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</si>
  <si>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</si>
  <si>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</si>
  <si>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</si>
  <si>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</si>
  <si>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</si>
  <si>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</si>
  <si>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</si>
  <si>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</si>
  <si>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</si>
  <si>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</si>
  <si>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</si>
  <si>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</si>
  <si>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</si>
  <si>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</si>
  <si>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</si>
  <si>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</si>
  <si>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</si>
  <si>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</si>
  <si>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</si>
  <si>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</si>
  <si>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</si>
  <si>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</si>
  <si>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</si>
  <si>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</si>
  <si>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</si>
  <si>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</si>
  <si>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</si>
  <si>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</si>
  <si>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</si>
  <si>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</si>
  <si>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</si>
  <si>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</si>
  <si>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</si>
  <si>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</si>
  <si>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</si>
  <si>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</si>
  <si>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</si>
  <si>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</si>
  <si>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</si>
  <si>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</si>
  <si>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</si>
  <si>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</si>
  <si>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</si>
  <si>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</si>
  <si>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</si>
  <si>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</si>
  <si>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</si>
  <si>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</si>
  <si>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</si>
  <si>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</si>
  <si>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</si>
  <si>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</si>
  <si>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</si>
  <si>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</si>
  <si>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</si>
  <si>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</si>
  <si>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</si>
  <si>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</si>
  <si>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</si>
  <si>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</si>
  <si>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</si>
  <si>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</si>
  <si>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</si>
  <si>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</si>
  <si>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</si>
  <si>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</si>
  <si>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</si>
  <si>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</si>
  <si>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</si>
  <si>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</si>
  <si>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</si>
  <si>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</si>
  <si>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</si>
  <si>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</si>
  <si>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</si>
  <si>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</si>
  <si>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</si>
  <si>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</si>
  <si>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</si>
  <si>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</si>
  <si>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</si>
  <si>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</si>
  <si>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</si>
  <si>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</si>
  <si>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</si>
  <si>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</si>
  <si>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</si>
  <si>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</si>
  <si>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</si>
  <si>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</si>
  <si>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</si>
  <si>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</si>
  <si>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</si>
  <si>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</si>
  <si>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</si>
  <si>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</si>
  <si>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</si>
  <si>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</si>
  <si>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</si>
  <si>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</si>
  <si>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</si>
  <si>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</si>
  <si>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</si>
  <si>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</si>
  <si>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</si>
  <si>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</si>
  <si>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</si>
  <si>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</si>
  <si>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</si>
  <si>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</si>
  <si>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</si>
  <si>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</si>
  <si>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</si>
  <si>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</si>
  <si>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</si>
  <si>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</si>
  <si>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</si>
  <si>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</si>
  <si>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</si>
  <si>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</si>
  <si>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</si>
  <si>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</si>
  <si>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</si>
  <si>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</si>
  <si>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</si>
  <si>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</si>
  <si>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</si>
  <si>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P-80</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</si>
  <si>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</si>
  <si>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(P-80/P-83 -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</si>
  <si>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</si>
  <si>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</si>
  <si>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</si>
  <si>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</si>
  <si>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</si>
  <si>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</si>
  <si>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(Hazop MOC)</t>
  </si>
  <si>
    <t>Mecânica CGM (P-80)</t>
  </si>
  <si>
    <t>MARCELO RODRIGUES</t>
  </si>
  <si>
    <t>Instrumentação CGM (P-80)</t>
  </si>
  <si>
    <t>ÁUREO JUNIOR</t>
  </si>
  <si>
    <t>FLÁVIO MARINHO</t>
  </si>
  <si>
    <t>Engenharia CGM( Mecânica)</t>
  </si>
  <si>
    <t>Bloco de título de fase de exemplo</t>
  </si>
  <si>
    <t>Nantong - China (P-80 - CGM)</t>
  </si>
  <si>
    <t>Yantai - China (P-80 - ATR)</t>
  </si>
  <si>
    <t>Engenheiro de Equipamentos</t>
  </si>
  <si>
    <t>Pablo Ferreira</t>
  </si>
  <si>
    <t>Eduardo Tavares</t>
  </si>
  <si>
    <t>Singapura (P-80 - ATR)</t>
  </si>
  <si>
    <t>Eng. Equip. Mecânica</t>
  </si>
  <si>
    <t>Eduardo Sena</t>
  </si>
  <si>
    <t>Délcio</t>
  </si>
  <si>
    <t>Eng. Equip. Elétrica</t>
  </si>
  <si>
    <t>Eng. Equip. Eletrônica</t>
  </si>
  <si>
    <t>Carlos Augusto</t>
  </si>
  <si>
    <t>Pablo</t>
  </si>
  <si>
    <t>P-82</t>
  </si>
  <si>
    <t>Singapura (P-82 - CGM)</t>
  </si>
  <si>
    <t>Instrumentação CGM (P-82)</t>
  </si>
  <si>
    <t>Mecânica CGM (P-82)</t>
  </si>
  <si>
    <t>Engenharia CGM</t>
  </si>
  <si>
    <t>e5</t>
  </si>
  <si>
    <t>EJA  (P-82 - CGM)</t>
  </si>
  <si>
    <t>Supervisor CGM</t>
  </si>
  <si>
    <t>Instrumentação CGM</t>
  </si>
  <si>
    <t>Mecânica CGM</t>
  </si>
  <si>
    <t>Eletricista CGM</t>
  </si>
  <si>
    <t>Qidong - China (P-82 - ATR)</t>
  </si>
  <si>
    <t>Camila Ranucci de Luca</t>
  </si>
  <si>
    <t>Gabriel Boaventura Andrade</t>
  </si>
  <si>
    <t>Singapura (P-82 - ATR)</t>
  </si>
  <si>
    <t>Fábio Vinícius</t>
  </si>
  <si>
    <t>Eng. Equp. Mecânica</t>
  </si>
  <si>
    <t>Daniel Bueno</t>
  </si>
  <si>
    <t>Rafael Sales</t>
  </si>
  <si>
    <t>P-83</t>
  </si>
  <si>
    <t>Singapura (P-83 - CGM)</t>
  </si>
  <si>
    <t>Mecânica CGM (P-83)</t>
  </si>
  <si>
    <t>Instrumentação CGM (P-83)</t>
  </si>
  <si>
    <t>Nantong - China (P-83 - CGM)</t>
  </si>
  <si>
    <t>Yantai - China (P-83 - ATR)</t>
  </si>
  <si>
    <t>João Eduardo</t>
  </si>
  <si>
    <t>Rodrigo D'Amico</t>
  </si>
  <si>
    <t>M-17 Batam (P-83 - ATR)</t>
  </si>
  <si>
    <t> </t>
  </si>
  <si>
    <t>Ana Clara</t>
  </si>
  <si>
    <t>Singapura (P-83 - ATR)</t>
  </si>
  <si>
    <t>Rafael Pitta</t>
  </si>
  <si>
    <t>Esta é uma linha vazia</t>
  </si>
  <si>
    <t>Esta linha marca o final do Cronograma do projeto. NÃO insira nada nessa linha. 
Insira novas linhas ACIMA desta linha para continuar a construção do cronograma de projeto.</t>
  </si>
  <si>
    <t>Insira novas linhas ACIMA desta</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</si>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</sst>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7">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
      <sz val="9"/>
      <color indexed="81"/>
      <name val="Segoe UI"/>
      <charset val="1"/>
    </font>
    <font>
      <b/>
      <sz val="9"/>
      <color indexed="81"/>
      <name val="Segoe UI"/>
      <charset val="1"/>
    </font>
    <font>
      <u/>
      <sz val="11"/>
      <color indexed="12"/>
      <name val="Arial"/>
    </font>
    <font>
      <sz val="11"/>
      <color rgb="FF000000"/>
      <name val="Aptos Narrow"/>
    </font>
  </fonts>
  <fills count="5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s>
  <borders count="2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s>
  <cellStyleXfs count="54">
    <xf numFmtId="0" fontId="0" fillId="0" borderId="0"/>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cellStyleXfs>
  <cellXfs count="196">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53" applyFont="1" applyAlignment="1" applyProtection="1"/>
    <xf numFmtId="9" fontId="5" fillId="0" borderId="2" xfId="1"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1" applyFont="1" applyFill="1" applyBorder="1" applyAlignment="1">
      <alignment horizontal="center" vertical="center"/>
    </xf>
    <xf numFmtId="9" fontId="5" fillId="3" borderId="2" xfId="1"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1" applyFont="1" applyFill="1" applyBorder="1" applyAlignment="1">
      <alignment horizontal="center" vertical="center"/>
    </xf>
    <xf numFmtId="9" fontId="5" fillId="4" borderId="2" xfId="1"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1" applyFont="1" applyFill="1" applyBorder="1" applyAlignment="1">
      <alignment horizontal="center" vertical="center"/>
    </xf>
    <xf numFmtId="9" fontId="5" fillId="11" borderId="2" xfId="1"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2"/>
    <xf numFmtId="0" fontId="15" fillId="0" borderId="0" xfId="2" applyAlignment="1">
      <alignment wrapText="1"/>
    </xf>
    <xf numFmtId="0" fontId="15" fillId="0" borderId="0" xfId="0" applyFont="1" applyAlignment="1">
      <alignment horizontal="center"/>
    </xf>
    <xf numFmtId="0" fontId="0" fillId="0" borderId="0" xfId="0" applyAlignment="1">
      <alignment wrapText="1"/>
    </xf>
    <xf numFmtId="0" fontId="12" fillId="0" borderId="0" xfId="4" applyAlignment="1">
      <alignment horizontal="left"/>
    </xf>
    <xf numFmtId="0" fontId="10" fillId="0" borderId="0" xfId="5"/>
    <xf numFmtId="0" fontId="9" fillId="8" borderId="2" xfId="10" applyFill="1">
      <alignment horizontal="center" vertical="center"/>
    </xf>
    <xf numFmtId="0" fontId="9" fillId="3" borderId="2" xfId="10" applyFill="1">
      <alignment horizontal="center" vertical="center"/>
    </xf>
    <xf numFmtId="0" fontId="9" fillId="9" borderId="2" xfId="10" applyFill="1">
      <alignment horizontal="center" vertical="center"/>
    </xf>
    <xf numFmtId="0" fontId="9" fillId="4" borderId="2" xfId="10" applyFill="1">
      <alignment horizontal="center" vertical="center"/>
    </xf>
    <xf numFmtId="0" fontId="9" fillId="6" borderId="2" xfId="10" applyFill="1">
      <alignment horizontal="center" vertical="center"/>
    </xf>
    <xf numFmtId="0" fontId="9" fillId="11" borderId="2" xfId="10" applyFill="1">
      <alignment horizontal="center" vertical="center"/>
    </xf>
    <xf numFmtId="0" fontId="9" fillId="0" borderId="2" xfId="10">
      <alignment horizontal="center" vertical="center"/>
    </xf>
    <xf numFmtId="0" fontId="9" fillId="3" borderId="2" xfId="11" applyFill="1">
      <alignment horizontal="left" vertical="center" indent="2"/>
    </xf>
    <xf numFmtId="0" fontId="9" fillId="4" borderId="2" xfId="11" applyFill="1">
      <alignment horizontal="left" vertical="center" indent="2"/>
    </xf>
    <xf numFmtId="0" fontId="9" fillId="11" borderId="2" xfId="11" applyFill="1">
      <alignment horizontal="left" vertical="center" indent="2"/>
    </xf>
    <xf numFmtId="0" fontId="9" fillId="0" borderId="2" xfId="11">
      <alignment horizontal="left" vertical="center" indent="2"/>
    </xf>
    <xf numFmtId="0" fontId="0" fillId="0" borderId="10" xfId="0" applyBorder="1"/>
    <xf numFmtId="0" fontId="16" fillId="0" borderId="0" xfId="0" applyFont="1"/>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9"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9"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9" applyFill="1">
      <alignment horizontal="center" vertical="center"/>
    </xf>
    <xf numFmtId="165" fontId="9" fillId="0" borderId="2" xfId="9">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8" applyAlignment="1">
      <alignment vertical="center"/>
    </xf>
    <xf numFmtId="168" fontId="9" fillId="0" borderId="18" xfId="8" applyBorder="1" applyAlignment="1">
      <alignment vertical="center" wrapText="1"/>
    </xf>
    <xf numFmtId="0" fontId="9" fillId="0" borderId="17" xfId="7"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1" applyFont="1" applyFill="1">
      <alignment horizontal="left" vertical="center" indent="2"/>
    </xf>
    <xf numFmtId="0" fontId="6" fillId="51" borderId="2" xfId="0" applyFont="1" applyFill="1" applyBorder="1" applyAlignment="1">
      <alignment horizontal="left" vertical="center" indent="1"/>
    </xf>
    <xf numFmtId="14" fontId="9" fillId="50" borderId="2" xfId="11" applyNumberFormat="1" applyFill="1">
      <alignment horizontal="left" vertical="center" indent="2"/>
    </xf>
    <xf numFmtId="0" fontId="0" fillId="10" borderId="2" xfId="11" applyFont="1" applyFill="1">
      <alignment horizontal="left" vertical="center" indent="2"/>
    </xf>
    <xf numFmtId="14" fontId="0" fillId="50" borderId="2" xfId="11" applyNumberFormat="1" applyFont="1" applyFill="1">
      <alignment horizontal="left" vertical="center" indent="2"/>
    </xf>
    <xf numFmtId="0" fontId="9" fillId="9" borderId="2" xfId="11" applyFill="1">
      <alignment horizontal="left" vertical="center" indent="2"/>
    </xf>
    <xf numFmtId="0" fontId="37" fillId="3" borderId="2" xfId="11" applyFont="1" applyFill="1">
      <alignment horizontal="left" vertical="center" indent="2"/>
    </xf>
    <xf numFmtId="0" fontId="28" fillId="3" borderId="2" xfId="10" applyFont="1" applyFill="1">
      <alignment horizontal="center" vertical="center"/>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1"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8" applyNumberFormat="1">
      <alignment horizontal="center" vertical="center"/>
    </xf>
    <xf numFmtId="14" fontId="9" fillId="0" borderId="0" xfId="7"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3" borderId="2" xfId="9" applyNumberFormat="1" applyFill="1">
      <alignment horizontal="center" vertical="center"/>
    </xf>
    <xf numFmtId="14" fontId="9" fillId="4" borderId="2" xfId="9" applyNumberFormat="1" applyFill="1">
      <alignment horizontal="center" vertical="center"/>
    </xf>
    <xf numFmtId="14" fontId="9" fillId="50" borderId="2" xfId="9" applyNumberFormat="1" applyFill="1">
      <alignment horizontal="center" vertical="center"/>
    </xf>
    <xf numFmtId="14" fontId="9" fillId="11" borderId="2" xfId="9" applyNumberFormat="1" applyFill="1">
      <alignment horizontal="center" vertical="center"/>
    </xf>
    <xf numFmtId="14" fontId="0" fillId="11" borderId="2" xfId="9" applyNumberFormat="1" applyFont="1" applyFill="1">
      <alignment horizontal="center" vertical="center"/>
    </xf>
    <xf numFmtId="14" fontId="9" fillId="10" borderId="2" xfId="9"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9"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9" borderId="2" xfId="9"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9"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8" applyFont="1" applyBorder="1" applyAlignment="1">
      <alignment horizontal="center" vertical="center" wrapText="1"/>
    </xf>
    <xf numFmtId="0" fontId="0" fillId="0" borderId="0" xfId="0" applyAlignment="1">
      <alignment horizontal="center" wrapText="1"/>
    </xf>
    <xf numFmtId="0" fontId="0" fillId="3" borderId="2" xfId="10" applyFont="1" applyFill="1">
      <alignment horizontal="center" vertical="center"/>
    </xf>
    <xf numFmtId="0" fontId="9" fillId="53" borderId="2" xfId="10" applyFill="1">
      <alignment horizontal="center" vertical="center"/>
    </xf>
    <xf numFmtId="0" fontId="0" fillId="11" borderId="2" xfId="10" applyFont="1" applyFill="1">
      <alignment horizontal="center" vertical="center"/>
    </xf>
    <xf numFmtId="0" fontId="9" fillId="10" borderId="2" xfId="10" applyFill="1">
      <alignment horizontal="center" vertical="center"/>
    </xf>
    <xf numFmtId="0" fontId="0" fillId="5" borderId="2" xfId="10" applyFont="1" applyFill="1">
      <alignment horizontal="center" vertical="center"/>
    </xf>
    <xf numFmtId="0" fontId="9" fillId="51" borderId="2" xfId="10" applyFill="1">
      <alignment horizontal="center" vertical="center"/>
    </xf>
    <xf numFmtId="0" fontId="9" fillId="50" borderId="2" xfId="10" applyFill="1">
      <alignment horizontal="center" vertical="center"/>
    </xf>
    <xf numFmtId="0" fontId="0" fillId="6" borderId="2" xfId="10" applyFont="1" applyFill="1">
      <alignment horizontal="center" vertical="center"/>
    </xf>
    <xf numFmtId="0" fontId="39" fillId="55" borderId="25" xfId="0" applyFont="1" applyFill="1" applyBorder="1" applyAlignment="1">
      <alignment horizontal="center"/>
    </xf>
    <xf numFmtId="0" fontId="0" fillId="10" borderId="2" xfId="10" applyFont="1" applyFill="1">
      <alignment horizontal="center" vertical="center"/>
    </xf>
    <xf numFmtId="0" fontId="9" fillId="45" borderId="2" xfId="11" applyFill="1">
      <alignment horizontal="left" vertical="center" indent="2"/>
    </xf>
    <xf numFmtId="0" fontId="9" fillId="45" borderId="2" xfId="10" applyFill="1">
      <alignment horizontal="center" vertical="center"/>
    </xf>
    <xf numFmtId="14" fontId="9" fillId="45" borderId="2" xfId="9" applyNumberFormat="1" applyFill="1">
      <alignment horizontal="center" vertical="center"/>
    </xf>
    <xf numFmtId="0" fontId="0" fillId="56" borderId="2" xfId="11" applyFont="1" applyFill="1">
      <alignment horizontal="left" vertical="center" indent="2"/>
    </xf>
    <xf numFmtId="0" fontId="0" fillId="56" borderId="2" xfId="11" applyFont="1" applyFill="1" applyAlignment="1">
      <alignment horizontal="center" vertical="center"/>
    </xf>
    <xf numFmtId="14" fontId="0" fillId="56" borderId="2" xfId="9"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53" applyFont="1" applyBorder="1" applyAlignment="1" applyProtection="1">
      <alignment horizontal="center" vertical="center"/>
    </xf>
    <xf numFmtId="0" fontId="0" fillId="0" borderId="27" xfId="0" applyBorder="1" applyAlignment="1">
      <alignment horizontal="center" wrapText="1" shrinkToFit="1"/>
    </xf>
    <xf numFmtId="0" fontId="45" fillId="48" borderId="20" xfId="53" applyFont="1" applyFill="1" applyBorder="1" applyAlignment="1" applyProtection="1">
      <alignment horizontal="center" vertical="center"/>
    </xf>
    <xf numFmtId="0" fontId="45" fillId="0" borderId="20" xfId="53" applyFont="1" applyBorder="1" applyAlignment="1" applyProtection="1">
      <alignment horizontal="center" vertical="center"/>
    </xf>
    <xf numFmtId="0" fontId="45" fillId="48" borderId="23" xfId="53" applyFont="1" applyFill="1" applyBorder="1" applyAlignment="1" applyProtection="1">
      <alignment horizontal="center" vertical="center"/>
    </xf>
    <xf numFmtId="0" fontId="45" fillId="0" borderId="23" xfId="53" applyFont="1" applyBorder="1" applyAlignment="1" applyProtection="1">
      <alignment horizontal="center" vertical="center"/>
    </xf>
    <xf numFmtId="0" fontId="45" fillId="0" borderId="17" xfId="53" applyFont="1" applyBorder="1" applyAlignment="1" applyProtection="1">
      <alignment horizontal="center" vertical="center"/>
    </xf>
    <xf numFmtId="0" fontId="45" fillId="48" borderId="17" xfId="53" applyFont="1" applyFill="1" applyBorder="1" applyAlignment="1" applyProtection="1">
      <alignment horizontal="center" vertical="center"/>
    </xf>
    <xf numFmtId="0" fontId="46" fillId="0" borderId="0" xfId="0" applyFont="1"/>
    <xf numFmtId="0" fontId="17" fillId="0" borderId="0" xfId="53" applyFont="1" applyAlignment="1" applyProtection="1">
      <alignment vertical="top"/>
    </xf>
    <xf numFmtId="0" fontId="0" fillId="9" borderId="2" xfId="11" applyFont="1" applyFill="1">
      <alignment horizontal="left" vertical="center" indent="2"/>
    </xf>
    <xf numFmtId="0" fontId="0" fillId="9" borderId="2" xfId="10" applyFont="1" applyFill="1">
      <alignment horizontal="center" vertical="center"/>
    </xf>
    <xf numFmtId="14" fontId="0" fillId="9" borderId="2" xfId="9" applyNumberFormat="1" applyFont="1" applyFill="1">
      <alignment horizontal="center" vertical="center"/>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36" fillId="46" borderId="2" xfId="11" applyFont="1" applyFill="1" applyAlignment="1">
      <alignment horizontal="center" vertical="center"/>
    </xf>
    <xf numFmtId="0" fontId="6" fillId="52" borderId="2" xfId="11" applyFont="1" applyFill="1" applyAlignment="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8" borderId="2"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5" fillId="49" borderId="0" xfId="0" applyFont="1" applyFill="1" applyAlignment="1">
      <alignment horizontal="center" textRotation="90"/>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31" fillId="0" borderId="3" xfId="8" applyFont="1" applyAlignment="1">
      <alignment horizontal="center" vertical="center"/>
    </xf>
    <xf numFmtId="168" fontId="9" fillId="0" borderId="3" xfId="8" applyAlignment="1">
      <alignment horizontal="center" vertical="center"/>
    </xf>
    <xf numFmtId="0" fontId="9" fillId="0" borderId="0" xfId="7" applyAlignment="1">
      <alignment horizontal="right" indent="1"/>
    </xf>
    <xf numFmtId="0" fontId="9" fillId="0" borderId="7" xfId="7" applyBorder="1" applyAlignment="1">
      <alignment horizontal="right" indent="1"/>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07">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06"/>
      <tableStyleElement type="headerRow" dxfId="105"/>
      <tableStyleElement type="totalRow" dxfId="104"/>
      <tableStyleElement type="firstColumn" dxfId="103"/>
      <tableStyleElement type="lastColumn" dxfId="102"/>
      <tableStyleElement type="firstRowStripe" dxfId="101"/>
      <tableStyleElement type="secondRowStripe" dxfId="100"/>
      <tableStyleElement type="firstColumnStripe" dxfId="99"/>
      <tableStyleElement type="secondColumnStripe" dxfId="9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 Type="http://schemas.openxmlformats.org/officeDocument/2006/relationships/hyperlink" Target="mailto:fabio.unterman@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8" Type="http://schemas.openxmlformats.org/officeDocument/2006/relationships/hyperlink" Target="mailto:aureojr@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46"/>
  <sheetViews>
    <sheetView showGridLines="0" zoomScaleNormal="100" workbookViewId="0">
      <pane ySplit="1" topLeftCell="A42" activePane="bottomLeft" state="frozen"/>
      <selection pane="bottomLeft" activeCell="C2" sqref="C2:C46"/>
    </sheetView>
  </sheetViews>
  <sheetFormatPr defaultRowHeight="14.45"/>
  <cols>
    <col min="1" max="2" width="9.42578125" bestFit="1" customWidth="1"/>
    <col min="3" max="3" width="6.42578125" bestFit="1" customWidth="1"/>
    <col min="4" max="4" width="8.42578125" bestFit="1" customWidth="1"/>
    <col min="5" max="5" width="7.42578125" bestFit="1" customWidth="1"/>
    <col min="6" max="6" width="11.28515625" bestFit="1" customWidth="1"/>
    <col min="7" max="7" width="39.28515625" customWidth="1"/>
    <col min="8" max="8" width="44.28515625" customWidth="1"/>
    <col min="9" max="9" width="26.7109375" customWidth="1"/>
    <col min="10" max="10" width="22.5703125" style="5" customWidth="1"/>
  </cols>
  <sheetData>
    <row r="1" spans="1:10">
      <c r="A1" s="90" t="s">
        <v>0</v>
      </c>
      <c r="B1" s="91" t="s">
        <v>1</v>
      </c>
      <c r="C1" s="91" t="s">
        <v>2</v>
      </c>
      <c r="D1" s="91" t="s">
        <v>3</v>
      </c>
      <c r="E1" s="92" t="s">
        <v>4</v>
      </c>
      <c r="F1" s="92" t="s">
        <v>5</v>
      </c>
      <c r="G1" s="92" t="s">
        <v>6</v>
      </c>
      <c r="H1" s="92" t="s">
        <v>7</v>
      </c>
      <c r="I1" s="157" t="s">
        <v>8</v>
      </c>
      <c r="J1" s="159" t="s">
        <v>9</v>
      </c>
    </row>
    <row r="2" spans="1:10">
      <c r="A2" s="79" t="s">
        <v>10</v>
      </c>
      <c r="B2" s="93">
        <v>4612171</v>
      </c>
      <c r="C2" s="93" t="s">
        <v>11</v>
      </c>
      <c r="D2" s="94" t="s">
        <v>12</v>
      </c>
      <c r="E2" s="95" t="s">
        <v>13</v>
      </c>
      <c r="F2" s="95" t="s">
        <v>14</v>
      </c>
      <c r="G2" s="164" t="s">
        <v>15</v>
      </c>
      <c r="H2" s="95" t="s">
        <v>16</v>
      </c>
      <c r="I2" s="158" t="s">
        <v>17</v>
      </c>
      <c r="J2" s="160"/>
    </row>
    <row r="3" spans="1:10">
      <c r="A3" s="79" t="s">
        <v>10</v>
      </c>
      <c r="B3" s="96">
        <v>4612050</v>
      </c>
      <c r="C3" s="96" t="s">
        <v>18</v>
      </c>
      <c r="D3" s="97" t="s">
        <v>12</v>
      </c>
      <c r="E3" s="95" t="s">
        <v>19</v>
      </c>
      <c r="F3" s="98" t="s">
        <v>14</v>
      </c>
      <c r="G3" s="165" t="s">
        <v>20</v>
      </c>
      <c r="H3" s="98" t="s">
        <v>21</v>
      </c>
      <c r="I3" s="158" t="s">
        <v>22</v>
      </c>
      <c r="J3" s="160"/>
    </row>
    <row r="4" spans="1:10">
      <c r="A4" s="79" t="s">
        <v>10</v>
      </c>
      <c r="B4" s="93">
        <v>4612140</v>
      </c>
      <c r="C4" s="93" t="s">
        <v>23</v>
      </c>
      <c r="D4" s="94" t="s">
        <v>12</v>
      </c>
      <c r="E4" s="101" t="s">
        <v>24</v>
      </c>
      <c r="F4" s="95" t="s">
        <v>14</v>
      </c>
      <c r="G4" s="164" t="s">
        <v>25</v>
      </c>
      <c r="H4" s="95" t="s">
        <v>26</v>
      </c>
      <c r="I4" s="158" t="s">
        <v>17</v>
      </c>
      <c r="J4" s="160"/>
    </row>
    <row r="5" spans="1:10">
      <c r="A5" s="79" t="s">
        <v>10</v>
      </c>
      <c r="B5" s="96">
        <v>9842940</v>
      </c>
      <c r="C5" s="96" t="s">
        <v>27</v>
      </c>
      <c r="D5" s="97" t="s">
        <v>12</v>
      </c>
      <c r="E5" s="98" t="s">
        <v>13</v>
      </c>
      <c r="F5" s="98" t="s">
        <v>14</v>
      </c>
      <c r="G5" s="165" t="s">
        <v>28</v>
      </c>
      <c r="H5" s="98" t="s">
        <v>29</v>
      </c>
      <c r="I5" s="158" t="s">
        <v>30</v>
      </c>
      <c r="J5" s="161"/>
    </row>
    <row r="6" spans="1:10">
      <c r="A6" s="79" t="s">
        <v>31</v>
      </c>
      <c r="B6" s="93">
        <v>9886449</v>
      </c>
      <c r="C6" s="93" t="s">
        <v>32</v>
      </c>
      <c r="D6" s="94" t="s">
        <v>12</v>
      </c>
      <c r="E6" s="95" t="s">
        <v>13</v>
      </c>
      <c r="F6" s="95" t="s">
        <v>33</v>
      </c>
      <c r="G6" s="164" t="s">
        <v>34</v>
      </c>
      <c r="H6" s="95" t="s">
        <v>35</v>
      </c>
      <c r="I6" s="158" t="s">
        <v>22</v>
      </c>
      <c r="J6" s="161" t="s">
        <v>36</v>
      </c>
    </row>
    <row r="7" spans="1:10">
      <c r="A7" s="99" t="s">
        <v>31</v>
      </c>
      <c r="B7" s="96">
        <v>4608721</v>
      </c>
      <c r="C7" s="96" t="s">
        <v>37</v>
      </c>
      <c r="D7" s="100" t="s">
        <v>12</v>
      </c>
      <c r="E7" s="101" t="s">
        <v>13</v>
      </c>
      <c r="F7" s="101" t="s">
        <v>14</v>
      </c>
      <c r="G7" s="162" t="s">
        <v>38</v>
      </c>
      <c r="H7" s="101" t="s">
        <v>39</v>
      </c>
      <c r="I7" s="158" t="s">
        <v>22</v>
      </c>
      <c r="J7" s="161"/>
    </row>
    <row r="8" spans="1:10">
      <c r="A8" s="99" t="s">
        <v>31</v>
      </c>
      <c r="B8" s="93">
        <v>1385894</v>
      </c>
      <c r="C8" s="93" t="s">
        <v>40</v>
      </c>
      <c r="D8" s="102" t="s">
        <v>12</v>
      </c>
      <c r="E8" s="103" t="s">
        <v>13</v>
      </c>
      <c r="F8" s="103" t="s">
        <v>33</v>
      </c>
      <c r="G8" s="166" t="s">
        <v>41</v>
      </c>
      <c r="H8" s="103" t="s">
        <v>42</v>
      </c>
      <c r="I8" s="158" t="s">
        <v>22</v>
      </c>
      <c r="J8" s="161" t="s">
        <v>36</v>
      </c>
    </row>
    <row r="9" spans="1:10">
      <c r="A9" s="99" t="s">
        <v>31</v>
      </c>
      <c r="B9" s="96">
        <v>4608685</v>
      </c>
      <c r="C9" s="96" t="s">
        <v>43</v>
      </c>
      <c r="D9" s="100" t="s">
        <v>12</v>
      </c>
      <c r="E9" s="101" t="s">
        <v>13</v>
      </c>
      <c r="F9" s="101" t="s">
        <v>14</v>
      </c>
      <c r="G9" s="167" t="s">
        <v>44</v>
      </c>
      <c r="H9" s="101" t="s">
        <v>45</v>
      </c>
      <c r="I9" s="158" t="s">
        <v>22</v>
      </c>
      <c r="J9" s="161"/>
    </row>
    <row r="10" spans="1:10" ht="43.5">
      <c r="A10" s="99" t="s">
        <v>46</v>
      </c>
      <c r="B10" s="93">
        <v>9762281</v>
      </c>
      <c r="C10" s="93" t="s">
        <v>47</v>
      </c>
      <c r="D10" s="102" t="s">
        <v>12</v>
      </c>
      <c r="E10" s="103" t="s">
        <v>13</v>
      </c>
      <c r="F10" s="103" t="s">
        <v>33</v>
      </c>
      <c r="G10" s="166" t="s">
        <v>48</v>
      </c>
      <c r="H10" s="103" t="s">
        <v>49</v>
      </c>
      <c r="I10" s="158" t="s">
        <v>22</v>
      </c>
      <c r="J10" s="163" t="s">
        <v>50</v>
      </c>
    </row>
    <row r="11" spans="1:10">
      <c r="A11" s="99" t="s">
        <v>46</v>
      </c>
      <c r="B11" s="96">
        <v>9683150</v>
      </c>
      <c r="C11" s="96" t="s">
        <v>51</v>
      </c>
      <c r="D11" s="100" t="s">
        <v>12</v>
      </c>
      <c r="E11" s="101" t="s">
        <v>13</v>
      </c>
      <c r="F11" s="101" t="s">
        <v>33</v>
      </c>
      <c r="G11" s="167" t="s">
        <v>52</v>
      </c>
      <c r="H11" s="101" t="s">
        <v>53</v>
      </c>
      <c r="I11" s="158" t="s">
        <v>22</v>
      </c>
      <c r="J11" s="161" t="s">
        <v>54</v>
      </c>
    </row>
    <row r="12" spans="1:10">
      <c r="A12" s="79" t="s">
        <v>46</v>
      </c>
      <c r="B12" s="93">
        <v>2440812</v>
      </c>
      <c r="C12" s="93" t="s">
        <v>55</v>
      </c>
      <c r="D12" s="94" t="s">
        <v>56</v>
      </c>
      <c r="E12" s="95" t="s">
        <v>13</v>
      </c>
      <c r="F12" s="95" t="s">
        <v>33</v>
      </c>
      <c r="G12" s="164" t="s">
        <v>57</v>
      </c>
      <c r="H12" s="95" t="s">
        <v>58</v>
      </c>
      <c r="I12" s="158" t="s">
        <v>22</v>
      </c>
      <c r="J12" s="161"/>
    </row>
    <row r="13" spans="1:10">
      <c r="A13" s="99" t="s">
        <v>46</v>
      </c>
      <c r="B13" s="96">
        <v>1381625</v>
      </c>
      <c r="C13" s="96" t="s">
        <v>59</v>
      </c>
      <c r="D13" s="97" t="s">
        <v>12</v>
      </c>
      <c r="E13" s="98" t="s">
        <v>13</v>
      </c>
      <c r="F13" s="98" t="s">
        <v>33</v>
      </c>
      <c r="G13" s="165" t="s">
        <v>60</v>
      </c>
      <c r="H13" s="98" t="s">
        <v>61</v>
      </c>
      <c r="I13" s="158" t="s">
        <v>22</v>
      </c>
      <c r="J13" s="161"/>
    </row>
    <row r="14" spans="1:10">
      <c r="A14" s="79" t="s">
        <v>46</v>
      </c>
      <c r="B14" s="93">
        <v>4608389</v>
      </c>
      <c r="C14" s="93" t="s">
        <v>62</v>
      </c>
      <c r="D14" s="94" t="s">
        <v>12</v>
      </c>
      <c r="E14" s="95" t="s">
        <v>13</v>
      </c>
      <c r="F14" s="95" t="s">
        <v>14</v>
      </c>
      <c r="G14" s="164" t="s">
        <v>63</v>
      </c>
      <c r="H14" s="95" t="s">
        <v>64</v>
      </c>
      <c r="I14" s="158" t="s">
        <v>22</v>
      </c>
      <c r="J14" s="161"/>
    </row>
    <row r="15" spans="1:10">
      <c r="A15" s="99" t="s">
        <v>10</v>
      </c>
      <c r="B15" s="96">
        <v>4608544</v>
      </c>
      <c r="C15" s="96" t="s">
        <v>65</v>
      </c>
      <c r="D15" s="97" t="s">
        <v>12</v>
      </c>
      <c r="E15" s="98" t="s">
        <v>19</v>
      </c>
      <c r="F15" s="98" t="s">
        <v>14</v>
      </c>
      <c r="G15" s="165" t="s">
        <v>66</v>
      </c>
      <c r="H15" s="98" t="s">
        <v>67</v>
      </c>
      <c r="I15" s="158" t="s">
        <v>22</v>
      </c>
      <c r="J15" s="161"/>
    </row>
    <row r="16" spans="1:10">
      <c r="A16" s="99" t="s">
        <v>31</v>
      </c>
      <c r="B16" s="93">
        <v>4608474</v>
      </c>
      <c r="C16" s="93" t="s">
        <v>68</v>
      </c>
      <c r="D16" s="94" t="s">
        <v>12</v>
      </c>
      <c r="E16" s="95" t="s">
        <v>19</v>
      </c>
      <c r="F16" s="103" t="s">
        <v>14</v>
      </c>
      <c r="G16" s="166" t="s">
        <v>69</v>
      </c>
      <c r="H16" s="103" t="s">
        <v>70</v>
      </c>
      <c r="I16" s="158" t="s">
        <v>22</v>
      </c>
      <c r="J16" s="161"/>
    </row>
    <row r="17" spans="1:10">
      <c r="A17" s="79" t="s">
        <v>31</v>
      </c>
      <c r="B17" s="96">
        <v>1386344</v>
      </c>
      <c r="C17" s="96" t="s">
        <v>71</v>
      </c>
      <c r="D17" s="100" t="s">
        <v>12</v>
      </c>
      <c r="E17" s="101" t="s">
        <v>19</v>
      </c>
      <c r="F17" s="101" t="s">
        <v>33</v>
      </c>
      <c r="G17" s="167" t="s">
        <v>72</v>
      </c>
      <c r="H17" s="101" t="s">
        <v>73</v>
      </c>
      <c r="I17" s="158" t="s">
        <v>22</v>
      </c>
      <c r="J17" s="161" t="s">
        <v>54</v>
      </c>
    </row>
    <row r="18" spans="1:10">
      <c r="A18" s="79" t="s">
        <v>31</v>
      </c>
      <c r="B18" s="93">
        <v>4608684</v>
      </c>
      <c r="C18" s="93" t="s">
        <v>74</v>
      </c>
      <c r="D18" s="102" t="s">
        <v>12</v>
      </c>
      <c r="E18" s="103" t="s">
        <v>19</v>
      </c>
      <c r="F18" s="103" t="s">
        <v>14</v>
      </c>
      <c r="G18" s="166" t="s">
        <v>75</v>
      </c>
      <c r="H18" s="95" t="s">
        <v>76</v>
      </c>
      <c r="I18" s="158" t="s">
        <v>22</v>
      </c>
      <c r="J18" s="161"/>
    </row>
    <row r="19" spans="1:10">
      <c r="A19" s="79" t="s">
        <v>46</v>
      </c>
      <c r="B19" s="96">
        <v>9612082</v>
      </c>
      <c r="C19" s="96" t="s">
        <v>77</v>
      </c>
      <c r="D19" s="100" t="s">
        <v>12</v>
      </c>
      <c r="E19" s="101" t="s">
        <v>19</v>
      </c>
      <c r="F19" s="98" t="s">
        <v>33</v>
      </c>
      <c r="G19" s="167" t="s">
        <v>78</v>
      </c>
      <c r="H19" s="101" t="s">
        <v>79</v>
      </c>
      <c r="I19" s="158" t="s">
        <v>22</v>
      </c>
      <c r="J19" s="161"/>
    </row>
    <row r="20" spans="1:10">
      <c r="A20" s="79" t="s">
        <v>46</v>
      </c>
      <c r="B20" s="93">
        <v>9618720</v>
      </c>
      <c r="C20" s="93" t="s">
        <v>80</v>
      </c>
      <c r="D20" s="102" t="s">
        <v>12</v>
      </c>
      <c r="E20" s="103" t="s">
        <v>19</v>
      </c>
      <c r="F20" s="95" t="s">
        <v>33</v>
      </c>
      <c r="G20" s="166" t="s">
        <v>81</v>
      </c>
      <c r="H20" s="103" t="s">
        <v>82</v>
      </c>
      <c r="I20" s="158" t="s">
        <v>22</v>
      </c>
      <c r="J20" s="161" t="s">
        <v>36</v>
      </c>
    </row>
    <row r="21" spans="1:10">
      <c r="A21" s="79" t="s">
        <v>46</v>
      </c>
      <c r="B21" s="96">
        <v>9724817</v>
      </c>
      <c r="C21" s="96" t="s">
        <v>83</v>
      </c>
      <c r="D21" s="100" t="s">
        <v>12</v>
      </c>
      <c r="E21" s="101" t="s">
        <v>19</v>
      </c>
      <c r="F21" s="98" t="s">
        <v>33</v>
      </c>
      <c r="G21" s="167" t="s">
        <v>84</v>
      </c>
      <c r="H21" s="101" t="s">
        <v>85</v>
      </c>
      <c r="I21" s="158" t="s">
        <v>22</v>
      </c>
      <c r="J21" s="161"/>
    </row>
    <row r="22" spans="1:10">
      <c r="A22" s="79" t="s">
        <v>46</v>
      </c>
      <c r="B22" s="93">
        <v>2460800</v>
      </c>
      <c r="C22" s="93" t="s">
        <v>86</v>
      </c>
      <c r="D22" s="102" t="s">
        <v>56</v>
      </c>
      <c r="E22" s="103" t="s">
        <v>19</v>
      </c>
      <c r="F22" s="95" t="s">
        <v>33</v>
      </c>
      <c r="G22" s="164" t="s">
        <v>87</v>
      </c>
      <c r="H22" s="95" t="s">
        <v>88</v>
      </c>
      <c r="I22" s="158" t="s">
        <v>30</v>
      </c>
      <c r="J22" s="161"/>
    </row>
    <row r="23" spans="1:10">
      <c r="A23" s="79" t="s">
        <v>10</v>
      </c>
      <c r="B23" s="96">
        <v>4608559</v>
      </c>
      <c r="C23" s="96" t="s">
        <v>89</v>
      </c>
      <c r="D23" s="100" t="s">
        <v>12</v>
      </c>
      <c r="E23" s="101" t="s">
        <v>24</v>
      </c>
      <c r="F23" s="101" t="s">
        <v>14</v>
      </c>
      <c r="G23" s="167" t="s">
        <v>90</v>
      </c>
      <c r="H23" s="101" t="s">
        <v>91</v>
      </c>
      <c r="I23" s="158" t="s">
        <v>22</v>
      </c>
      <c r="J23" s="160"/>
    </row>
    <row r="24" spans="1:10">
      <c r="A24" s="79" t="s">
        <v>31</v>
      </c>
      <c r="B24" s="93">
        <v>4608411</v>
      </c>
      <c r="C24" s="93" t="s">
        <v>92</v>
      </c>
      <c r="D24" s="102" t="s">
        <v>12</v>
      </c>
      <c r="E24" s="103" t="s">
        <v>24</v>
      </c>
      <c r="F24" s="95" t="s">
        <v>14</v>
      </c>
      <c r="G24" s="166" t="s">
        <v>93</v>
      </c>
      <c r="H24" s="103" t="s">
        <v>94</v>
      </c>
      <c r="I24" s="158" t="s">
        <v>22</v>
      </c>
      <c r="J24" s="160"/>
    </row>
    <row r="25" spans="1:10">
      <c r="A25" s="79" t="s">
        <v>31</v>
      </c>
      <c r="B25" s="96">
        <v>9634180</v>
      </c>
      <c r="C25" s="96" t="s">
        <v>95</v>
      </c>
      <c r="D25" s="97" t="s">
        <v>12</v>
      </c>
      <c r="E25" s="98" t="s">
        <v>24</v>
      </c>
      <c r="F25" s="98" t="s">
        <v>33</v>
      </c>
      <c r="G25" s="165" t="s">
        <v>96</v>
      </c>
      <c r="H25" s="98" t="s">
        <v>97</v>
      </c>
      <c r="I25" s="158" t="s">
        <v>22</v>
      </c>
      <c r="J25" s="160"/>
    </row>
    <row r="26" spans="1:10">
      <c r="A26" s="79" t="s">
        <v>46</v>
      </c>
      <c r="B26" s="93">
        <v>4608780</v>
      </c>
      <c r="C26" s="93" t="s">
        <v>98</v>
      </c>
      <c r="D26" s="94" t="s">
        <v>12</v>
      </c>
      <c r="E26" s="95" t="s">
        <v>24</v>
      </c>
      <c r="F26" s="95" t="s">
        <v>14</v>
      </c>
      <c r="G26" s="164" t="s">
        <v>99</v>
      </c>
      <c r="H26" s="95" t="s">
        <v>100</v>
      </c>
      <c r="I26" s="158" t="s">
        <v>22</v>
      </c>
      <c r="J26" s="160"/>
    </row>
    <row r="27" spans="1:10">
      <c r="A27" s="79" t="s">
        <v>46</v>
      </c>
      <c r="B27" s="96">
        <v>2475130</v>
      </c>
      <c r="C27" s="96" t="s">
        <v>101</v>
      </c>
      <c r="D27" s="97" t="s">
        <v>12</v>
      </c>
      <c r="E27" s="98" t="s">
        <v>24</v>
      </c>
      <c r="F27" s="98" t="s">
        <v>33</v>
      </c>
      <c r="G27" s="167" t="s">
        <v>102</v>
      </c>
      <c r="H27" s="101" t="s">
        <v>103</v>
      </c>
      <c r="I27" s="158" t="s">
        <v>30</v>
      </c>
      <c r="J27" s="161" t="s">
        <v>54</v>
      </c>
    </row>
    <row r="28" spans="1:10">
      <c r="A28" s="79" t="s">
        <v>46</v>
      </c>
      <c r="B28" s="93">
        <v>2477135</v>
      </c>
      <c r="C28" s="93" t="s">
        <v>104</v>
      </c>
      <c r="D28" s="94" t="s">
        <v>12</v>
      </c>
      <c r="E28" s="95" t="s">
        <v>24</v>
      </c>
      <c r="F28" s="95" t="s">
        <v>33</v>
      </c>
      <c r="G28" s="166" t="s">
        <v>105</v>
      </c>
      <c r="H28" s="103" t="s">
        <v>106</v>
      </c>
      <c r="I28" s="158" t="s">
        <v>22</v>
      </c>
      <c r="J28" s="160"/>
    </row>
    <row r="29" spans="1:10">
      <c r="A29" s="79" t="s">
        <v>10</v>
      </c>
      <c r="B29" s="96">
        <v>4606246</v>
      </c>
      <c r="C29" s="96" t="s">
        <v>107</v>
      </c>
      <c r="D29" s="97" t="s">
        <v>108</v>
      </c>
      <c r="E29" s="101" t="s">
        <v>109</v>
      </c>
      <c r="F29" s="98" t="s">
        <v>14</v>
      </c>
      <c r="G29" s="167" t="s">
        <v>110</v>
      </c>
      <c r="H29" s="101" t="s">
        <v>111</v>
      </c>
      <c r="I29" s="158" t="s">
        <v>22</v>
      </c>
      <c r="J29" s="161"/>
    </row>
    <row r="30" spans="1:10">
      <c r="A30" s="79" t="s">
        <v>31</v>
      </c>
      <c r="B30" s="93">
        <v>4606308</v>
      </c>
      <c r="C30" s="93" t="s">
        <v>112</v>
      </c>
      <c r="D30" s="94" t="s">
        <v>108</v>
      </c>
      <c r="E30" s="103" t="s">
        <v>109</v>
      </c>
      <c r="F30" s="95" t="s">
        <v>14</v>
      </c>
      <c r="G30" s="166" t="s">
        <v>113</v>
      </c>
      <c r="H30" s="103" t="s">
        <v>114</v>
      </c>
      <c r="I30" s="158" t="s">
        <v>30</v>
      </c>
      <c r="J30" s="161"/>
    </row>
    <row r="31" spans="1:10">
      <c r="A31" s="79" t="s">
        <v>31</v>
      </c>
      <c r="B31" s="96">
        <v>9634222</v>
      </c>
      <c r="C31" s="96" t="s">
        <v>115</v>
      </c>
      <c r="D31" s="97" t="s">
        <v>12</v>
      </c>
      <c r="E31" s="101" t="s">
        <v>24</v>
      </c>
      <c r="F31" s="98" t="s">
        <v>33</v>
      </c>
      <c r="G31" s="167" t="s">
        <v>116</v>
      </c>
      <c r="H31" s="101" t="s">
        <v>117</v>
      </c>
      <c r="I31" s="158" t="s">
        <v>22</v>
      </c>
      <c r="J31" s="161" t="s">
        <v>54</v>
      </c>
    </row>
    <row r="32" spans="1:10">
      <c r="A32" s="79" t="s">
        <v>31</v>
      </c>
      <c r="B32" s="93">
        <v>229316</v>
      </c>
      <c r="C32" s="93" t="s">
        <v>118</v>
      </c>
      <c r="D32" s="93" t="s">
        <v>108</v>
      </c>
      <c r="E32" s="81" t="s">
        <v>109</v>
      </c>
      <c r="F32" s="81" t="s">
        <v>33</v>
      </c>
      <c r="G32" s="169" t="s">
        <v>119</v>
      </c>
      <c r="H32" s="81" t="s">
        <v>120</v>
      </c>
      <c r="I32" s="158" t="s">
        <v>22</v>
      </c>
      <c r="J32" s="161"/>
    </row>
    <row r="33" spans="1:10">
      <c r="A33" s="79" t="s">
        <v>46</v>
      </c>
      <c r="B33" s="96">
        <v>2493288</v>
      </c>
      <c r="C33" s="96" t="s">
        <v>121</v>
      </c>
      <c r="D33" s="96" t="s">
        <v>108</v>
      </c>
      <c r="E33" s="80" t="s">
        <v>109</v>
      </c>
      <c r="F33" s="98" t="s">
        <v>33</v>
      </c>
      <c r="G33" s="168" t="s">
        <v>122</v>
      </c>
      <c r="H33" s="80" t="s">
        <v>123</v>
      </c>
      <c r="I33" s="158" t="s">
        <v>22</v>
      </c>
      <c r="J33" s="161"/>
    </row>
    <row r="34" spans="1:10">
      <c r="A34" s="79" t="s">
        <v>46</v>
      </c>
      <c r="B34" s="93">
        <v>214272</v>
      </c>
      <c r="C34" s="93" t="s">
        <v>124</v>
      </c>
      <c r="D34" s="93" t="s">
        <v>108</v>
      </c>
      <c r="E34" s="81" t="s">
        <v>109</v>
      </c>
      <c r="F34" s="95" t="s">
        <v>33</v>
      </c>
      <c r="G34" s="169" t="s">
        <v>125</v>
      </c>
      <c r="H34" s="81" t="s">
        <v>126</v>
      </c>
      <c r="I34" s="158" t="s">
        <v>22</v>
      </c>
      <c r="J34" s="161"/>
    </row>
    <row r="35" spans="1:10">
      <c r="A35" s="79" t="s">
        <v>46</v>
      </c>
      <c r="B35" s="96">
        <v>4606694</v>
      </c>
      <c r="C35" s="96" t="s">
        <v>127</v>
      </c>
      <c r="D35" s="97" t="s">
        <v>108</v>
      </c>
      <c r="E35" s="80" t="s">
        <v>109</v>
      </c>
      <c r="F35" s="80" t="s">
        <v>14</v>
      </c>
      <c r="G35" s="168" t="s">
        <v>128</v>
      </c>
      <c r="H35" s="80" t="s">
        <v>129</v>
      </c>
      <c r="I35" s="158" t="s">
        <v>30</v>
      </c>
      <c r="J35" s="161"/>
    </row>
    <row r="36" spans="1:10">
      <c r="A36" s="79" t="s">
        <v>46</v>
      </c>
      <c r="B36" s="93">
        <v>2430855</v>
      </c>
      <c r="C36" s="93" t="s">
        <v>130</v>
      </c>
      <c r="D36" s="94" t="s">
        <v>12</v>
      </c>
      <c r="E36" s="81" t="s">
        <v>109</v>
      </c>
      <c r="F36" s="81" t="s">
        <v>33</v>
      </c>
      <c r="G36" s="169" t="s">
        <v>131</v>
      </c>
      <c r="H36" s="81" t="s">
        <v>132</v>
      </c>
      <c r="I36" s="158" t="s">
        <v>22</v>
      </c>
      <c r="J36" s="161"/>
    </row>
    <row r="37" spans="1:10">
      <c r="A37" s="79" t="s">
        <v>46</v>
      </c>
      <c r="B37" s="96">
        <v>4604625</v>
      </c>
      <c r="C37" s="96" t="s">
        <v>133</v>
      </c>
      <c r="D37" s="97" t="s">
        <v>134</v>
      </c>
      <c r="E37" s="80" t="s">
        <v>109</v>
      </c>
      <c r="F37" s="80" t="s">
        <v>14</v>
      </c>
      <c r="G37" s="168" t="s">
        <v>135</v>
      </c>
      <c r="H37" s="80" t="s">
        <v>136</v>
      </c>
      <c r="I37" s="158" t="s">
        <v>22</v>
      </c>
      <c r="J37" s="161"/>
    </row>
    <row r="38" spans="1:10">
      <c r="A38" s="79" t="s">
        <v>46</v>
      </c>
      <c r="B38" s="93">
        <v>4612098</v>
      </c>
      <c r="C38" s="93" t="s">
        <v>137</v>
      </c>
      <c r="D38" s="94" t="s">
        <v>12</v>
      </c>
      <c r="E38" s="95" t="s">
        <v>13</v>
      </c>
      <c r="F38" s="81" t="s">
        <v>14</v>
      </c>
      <c r="G38" s="169" t="s">
        <v>138</v>
      </c>
      <c r="H38" s="81" t="s">
        <v>139</v>
      </c>
      <c r="I38" s="158" t="s">
        <v>22</v>
      </c>
      <c r="J38" s="160"/>
    </row>
    <row r="39" spans="1:10">
      <c r="A39" s="99" t="s">
        <v>46</v>
      </c>
      <c r="B39" s="96">
        <v>4612126</v>
      </c>
      <c r="C39" s="96" t="s">
        <v>140</v>
      </c>
      <c r="D39" s="97" t="s">
        <v>12</v>
      </c>
      <c r="E39" s="95" t="s">
        <v>19</v>
      </c>
      <c r="F39" s="80" t="s">
        <v>14</v>
      </c>
      <c r="G39" s="168" t="s">
        <v>141</v>
      </c>
      <c r="H39" s="80" t="s">
        <v>142</v>
      </c>
      <c r="I39" s="158" t="s">
        <v>22</v>
      </c>
      <c r="J39" s="160"/>
    </row>
    <row r="40" spans="1:10">
      <c r="A40" s="79" t="s">
        <v>46</v>
      </c>
      <c r="B40" s="93">
        <v>2550195</v>
      </c>
      <c r="C40" s="93" t="s">
        <v>143</v>
      </c>
      <c r="D40" s="93" t="s">
        <v>56</v>
      </c>
      <c r="E40" s="81" t="s">
        <v>24</v>
      </c>
      <c r="F40" s="81" t="s">
        <v>33</v>
      </c>
      <c r="G40" s="169" t="s">
        <v>144</v>
      </c>
      <c r="H40" s="81" t="s">
        <v>145</v>
      </c>
      <c r="I40" s="158" t="s">
        <v>30</v>
      </c>
      <c r="J40" s="160"/>
    </row>
    <row r="41" spans="1:10">
      <c r="A41" s="79" t="s">
        <v>31</v>
      </c>
      <c r="B41" s="96">
        <v>4612243</v>
      </c>
      <c r="C41" s="96" t="s">
        <v>146</v>
      </c>
      <c r="D41" s="97" t="s">
        <v>12</v>
      </c>
      <c r="E41" s="98" t="s">
        <v>13</v>
      </c>
      <c r="F41" s="80" t="s">
        <v>14</v>
      </c>
      <c r="G41" s="168" t="s">
        <v>147</v>
      </c>
      <c r="H41" s="80" t="s">
        <v>148</v>
      </c>
      <c r="I41" s="158" t="s">
        <v>22</v>
      </c>
      <c r="J41" s="160"/>
    </row>
    <row r="42" spans="1:10">
      <c r="A42" s="79" t="s">
        <v>31</v>
      </c>
      <c r="B42" s="93">
        <v>4612389</v>
      </c>
      <c r="C42" s="93" t="s">
        <v>149</v>
      </c>
      <c r="D42" s="94" t="s">
        <v>12</v>
      </c>
      <c r="E42" s="98" t="s">
        <v>13</v>
      </c>
      <c r="F42" s="81" t="s">
        <v>14</v>
      </c>
      <c r="G42" s="169" t="s">
        <v>150</v>
      </c>
      <c r="H42" s="81" t="s">
        <v>151</v>
      </c>
      <c r="I42" s="158" t="s">
        <v>22</v>
      </c>
      <c r="J42" s="160"/>
    </row>
    <row r="43" spans="1:10">
      <c r="A43" s="79" t="s">
        <v>31</v>
      </c>
      <c r="B43" s="96">
        <v>4612192</v>
      </c>
      <c r="C43" s="96" t="s">
        <v>152</v>
      </c>
      <c r="D43" s="97" t="s">
        <v>12</v>
      </c>
      <c r="E43" s="95" t="s">
        <v>19</v>
      </c>
      <c r="F43" s="80" t="s">
        <v>14</v>
      </c>
      <c r="G43" s="168" t="s">
        <v>153</v>
      </c>
      <c r="H43" s="80" t="s">
        <v>154</v>
      </c>
      <c r="I43" s="158" t="s">
        <v>30</v>
      </c>
      <c r="J43" s="160"/>
    </row>
    <row r="44" spans="1:10">
      <c r="A44" s="79" t="s">
        <v>31</v>
      </c>
      <c r="B44" s="93">
        <v>4612393</v>
      </c>
      <c r="C44" s="93" t="s">
        <v>155</v>
      </c>
      <c r="D44" s="94" t="s">
        <v>12</v>
      </c>
      <c r="E44" s="101" t="s">
        <v>24</v>
      </c>
      <c r="F44" s="81" t="s">
        <v>14</v>
      </c>
      <c r="G44" s="169" t="s">
        <v>156</v>
      </c>
      <c r="H44" s="81" t="s">
        <v>157</v>
      </c>
      <c r="I44" s="158" t="s">
        <v>17</v>
      </c>
      <c r="J44" s="160"/>
    </row>
    <row r="45" spans="1:10">
      <c r="A45" s="79" t="s">
        <v>31</v>
      </c>
      <c r="B45" s="96">
        <v>4612228</v>
      </c>
      <c r="C45" s="96" t="s">
        <v>158</v>
      </c>
      <c r="D45" s="97" t="s">
        <v>12</v>
      </c>
      <c r="E45" s="95" t="s">
        <v>19</v>
      </c>
      <c r="F45" s="80" t="s">
        <v>14</v>
      </c>
      <c r="G45" s="168" t="s">
        <v>159</v>
      </c>
      <c r="H45" s="80" t="s">
        <v>160</v>
      </c>
      <c r="I45" s="158" t="s">
        <v>22</v>
      </c>
      <c r="J45" s="160"/>
    </row>
    <row r="46" spans="1:10">
      <c r="A46" s="79" t="s">
        <v>31</v>
      </c>
      <c r="B46" s="93">
        <v>4612247</v>
      </c>
      <c r="C46" s="93" t="s">
        <v>161</v>
      </c>
      <c r="D46" s="94" t="s">
        <v>12</v>
      </c>
      <c r="E46" s="101" t="s">
        <v>24</v>
      </c>
      <c r="F46" s="81" t="s">
        <v>14</v>
      </c>
      <c r="G46" s="169" t="s">
        <v>162</v>
      </c>
      <c r="H46" s="81" t="s">
        <v>163</v>
      </c>
      <c r="I46" s="158" t="s">
        <v>17</v>
      </c>
      <c r="J46" s="160"/>
    </row>
  </sheetData>
  <autoFilter ref="A1:J46" xr:uid="{CCFC853D-4B89-47CE-AA8F-BD4EA9CD1EC0}"/>
  <phoneticPr fontId="30" type="noConversion"/>
  <conditionalFormatting sqref="A38:A46">
    <cfRule type="containsText" dxfId="97" priority="13" operator="containsText" text="ELET">
      <formula>NOT(ISERROR(SEARCH("ELET",A38)))</formula>
    </cfRule>
    <cfRule type="containsText" dxfId="96" priority="14" operator="containsText" text="INST">
      <formula>NOT(ISERROR(SEARCH("INST",A38)))</formula>
    </cfRule>
    <cfRule type="containsText" dxfId="95" priority="15" operator="containsText" text="MEC">
      <formula>NOT(ISERROR(SEARCH("MEC",A38)))</formula>
    </cfRule>
  </conditionalFormatting>
  <conditionalFormatting sqref="A1:G46">
    <cfRule type="containsText" dxfId="94" priority="25" operator="containsText" text="ELET">
      <formula>NOT(ISERROR(SEARCH("ELET",A1)))</formula>
    </cfRule>
    <cfRule type="containsText" dxfId="93" priority="26" operator="containsText" text="INST">
      <formula>NOT(ISERROR(SEARCH("INST",A1)))</formula>
    </cfRule>
    <cfRule type="containsText" dxfId="92" priority="27" operator="containsText" text="MEC">
      <formula>NOT(ISERROR(SEARCH("MEC",A1)))</formula>
    </cfRule>
  </conditionalFormatting>
  <conditionalFormatting sqref="D25:D31">
    <cfRule type="containsText" dxfId="91" priority="16" operator="containsText" text="ELET">
      <formula>NOT(ISERROR(SEARCH("ELET",D25)))</formula>
    </cfRule>
    <cfRule type="containsText" dxfId="90" priority="17" operator="containsText" text="INST">
      <formula>NOT(ISERROR(SEARCH("INST",D25)))</formula>
    </cfRule>
    <cfRule type="containsText" dxfId="89" priority="18" operator="containsText" text="MEC">
      <formula>NOT(ISERROR(SEARCH("MEC",D25)))</formula>
    </cfRule>
  </conditionalFormatting>
  <conditionalFormatting sqref="D35:D46">
    <cfRule type="containsText" dxfId="88" priority="10" operator="containsText" text="ELET">
      <formula>NOT(ISERROR(SEARCH("ELET",D35)))</formula>
    </cfRule>
    <cfRule type="containsText" dxfId="87" priority="11" operator="containsText" text="INST">
      <formula>NOT(ISERROR(SEARCH("INST",D35)))</formula>
    </cfRule>
    <cfRule type="containsText" dxfId="86" priority="12" operator="containsText" text="MEC">
      <formula>NOT(ISERROR(SEARCH("MEC",D35)))</formula>
    </cfRule>
  </conditionalFormatting>
  <conditionalFormatting sqref="E4">
    <cfRule type="containsText" dxfId="85" priority="4" operator="containsText" text="ELET">
      <formula>NOT(ISERROR(SEARCH("ELET",E4)))</formula>
    </cfRule>
    <cfRule type="containsText" dxfId="84" priority="5" operator="containsText" text="INST">
      <formula>NOT(ISERROR(SEARCH("INST",E4)))</formula>
    </cfRule>
    <cfRule type="containsText" dxfId="83" priority="6" operator="containsText" text="MEC">
      <formula>NOT(ISERROR(SEARCH("MEC",E4)))</formula>
    </cfRule>
  </conditionalFormatting>
  <conditionalFormatting sqref="E18:E22">
    <cfRule type="containsText" dxfId="82" priority="22" operator="containsText" text="ELET">
      <formula>NOT(ISERROR(SEARCH("ELET",E18)))</formula>
    </cfRule>
    <cfRule type="containsText" dxfId="81" priority="23" operator="containsText" text="INST">
      <formula>NOT(ISERROR(SEARCH("INST",E18)))</formula>
    </cfRule>
    <cfRule type="containsText" dxfId="80" priority="24" operator="containsText" text="MEC">
      <formula>NOT(ISERROR(SEARCH("MEC",E18)))</formula>
    </cfRule>
  </conditionalFormatting>
  <conditionalFormatting sqref="E22:E28">
    <cfRule type="containsText" dxfId="79" priority="19" operator="containsText" text="ELET">
      <formula>NOT(ISERROR(SEARCH("ELET",E22)))</formula>
    </cfRule>
    <cfRule type="containsText" dxfId="78" priority="20" operator="containsText" text="INST">
      <formula>NOT(ISERROR(SEARCH("INST",E22)))</formula>
    </cfRule>
    <cfRule type="containsText" dxfId="77" priority="21" operator="containsText" text="MEC">
      <formula>NOT(ISERROR(SEARCH("MEC",E22)))</formula>
    </cfRule>
  </conditionalFormatting>
  <conditionalFormatting sqref="E44">
    <cfRule type="containsText" dxfId="76" priority="1" operator="containsText" text="ELET">
      <formula>NOT(ISERROR(SEARCH("ELET",E44)))</formula>
    </cfRule>
    <cfRule type="containsText" dxfId="75" priority="2" operator="containsText" text="INST">
      <formula>NOT(ISERROR(SEARCH("INST",E44)))</formula>
    </cfRule>
    <cfRule type="containsText" dxfId="74" priority="3" operator="containsText" text="MEC">
      <formula>NOT(ISERROR(SEARCH("MEC",E44)))</formula>
    </cfRule>
  </conditionalFormatting>
  <conditionalFormatting sqref="E46">
    <cfRule type="containsText" dxfId="73" priority="7" operator="containsText" text="ELET">
      <formula>NOT(ISERROR(SEARCH("ELET",E46)))</formula>
    </cfRule>
    <cfRule type="containsText" dxfId="72" priority="8" operator="containsText" text="INST">
      <formula>NOT(ISERROR(SEARCH("INST",E46)))</formula>
    </cfRule>
    <cfRule type="containsText" dxfId="71" priority="9" operator="containsText" text="MEC">
      <formula>NOT(ISERROR(SEARCH("MEC",E46)))</formula>
    </cfRule>
  </conditionalFormatting>
  <conditionalFormatting sqref="I1:J1">
    <cfRule type="containsText" dxfId="70" priority="58" operator="containsText" text="ELET">
      <formula>NOT(ISERROR(SEARCH("ELET",I1)))</formula>
    </cfRule>
    <cfRule type="containsText" dxfId="69" priority="59" operator="containsText" text="INST">
      <formula>NOT(ISERROR(SEARCH("INST",I1)))</formula>
    </cfRule>
    <cfRule type="containsText" dxfId="68" priority="60"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1" r:id="rId38" display="mailto:pablo.p.almeida@petrobras.com.br" xr:uid="{9FB29758-D8D7-4857-8606-5E70C80E798E}"/>
    <hyperlink ref="G42" r:id="rId39" display="mailto:ronald.quaresma@petrobras.com.br" xr:uid="{8269AE51-0C13-4D6D-B536-4B04818C4B14}"/>
    <hyperlink ref="G43" r:id="rId40" display="mailto:victor.f.campos@petrobras.com.br" xr:uid="{3F3EC4F4-1F58-43F7-98FE-D5B9F81B259B}"/>
    <hyperlink ref="G44" r:id="rId41" display="mailto:jailton.conceicao@petrobras.com.br" xr:uid="{04A723A3-0B94-4F3D-AE39-A503748881B9}"/>
    <hyperlink ref="G45" r:id="rId42" display="mailto:luiz.serpa@petrobras.com.br" xr:uid="{6D8C83B0-20C1-49B0-9E7D-27C6DDEFD390}"/>
    <hyperlink ref="G46"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MM177"/>
  <sheetViews>
    <sheetView showGridLines="0" tabSelected="1" showRuler="0" zoomScale="70" zoomScaleNormal="70" zoomScalePageLayoutView="70" workbookViewId="0">
      <pane ySplit="1" topLeftCell="A147" activePane="bottomLeft" state="frozen"/>
      <selection pane="bottomLeft" activeCell="B151" sqref="B151:D152"/>
    </sheetView>
  </sheetViews>
  <sheetFormatPr defaultColWidth="9.28515625" defaultRowHeight="29.25" customHeight="1" outlineLevelRow="1"/>
  <cols>
    <col min="1" max="1" width="0.42578125" customWidth="1"/>
    <col min="2" max="2" width="37.7109375" bestFit="1" customWidth="1"/>
    <col min="3" max="3" width="27.85546875" style="5" bestFit="1" customWidth="1"/>
    <col min="4" max="4" width="21" style="113" bestFit="1" customWidth="1"/>
    <col min="5" max="5" width="12.140625" style="113" bestFit="1" customWidth="1"/>
    <col min="6" max="7" width="4.42578125" customWidth="1"/>
    <col min="8" max="9" width="0.42578125" customWidth="1"/>
    <col min="10" max="10" width="2.7109375" bestFit="1" customWidth="1"/>
    <col min="11" max="19" width="2" bestFit="1" customWidth="1"/>
    <col min="20" max="41" width="2.7109375" bestFit="1" customWidth="1"/>
    <col min="42" max="50" width="2" bestFit="1" customWidth="1"/>
    <col min="51" max="69" width="2.7109375" bestFit="1" customWidth="1"/>
    <col min="70" max="78" width="2" bestFit="1" customWidth="1"/>
    <col min="79" max="100" width="2.7109375" bestFit="1" customWidth="1"/>
    <col min="101" max="109" width="2" bestFit="1" customWidth="1"/>
    <col min="110" max="130" width="2.7109375" bestFit="1" customWidth="1"/>
    <col min="131" max="139" width="2" bestFit="1" customWidth="1"/>
    <col min="140" max="161" width="2.7109375" bestFit="1" customWidth="1"/>
    <col min="162" max="170" width="2" bestFit="1" customWidth="1"/>
    <col min="171" max="191" width="2.7109375" bestFit="1" customWidth="1"/>
    <col min="192" max="200" width="2" bestFit="1" customWidth="1"/>
    <col min="201" max="222" width="2.7109375" bestFit="1" customWidth="1"/>
    <col min="223" max="231" width="2" bestFit="1" customWidth="1"/>
    <col min="232" max="253" width="2.7109375" bestFit="1" customWidth="1"/>
    <col min="254" max="262" width="2" bestFit="1" customWidth="1"/>
    <col min="263" max="283" width="2.7109375" bestFit="1" customWidth="1"/>
    <col min="284" max="292" width="2" bestFit="1" customWidth="1"/>
    <col min="293" max="314" width="2.7109375" bestFit="1" customWidth="1"/>
    <col min="315" max="323" width="2" bestFit="1" customWidth="1"/>
    <col min="324" max="344" width="2.7109375" bestFit="1" customWidth="1"/>
    <col min="345" max="346" width="2" bestFit="1" customWidth="1"/>
    <col min="347" max="347" width="0.28515625" customWidth="1"/>
    <col min="348" max="348" width="0.42578125" hidden="1" customWidth="1"/>
    <col min="349" max="349" width="87.5703125" hidden="1" customWidth="1"/>
    <col min="350" max="350" width="0.42578125" customWidth="1"/>
    <col min="351" max="351" width="4.28515625" customWidth="1"/>
  </cols>
  <sheetData>
    <row r="1" spans="1:351" ht="29.25" customHeight="1">
      <c r="A1" s="34" t="s">
        <v>164</v>
      </c>
      <c r="B1" s="37" t="s">
        <v>165</v>
      </c>
      <c r="C1" s="137"/>
      <c r="D1" s="112"/>
      <c r="E1" s="112"/>
      <c r="G1" s="2"/>
      <c r="H1" s="51"/>
      <c r="I1" s="51"/>
      <c r="BT1" s="188" t="s">
        <v>166</v>
      </c>
      <c r="BU1" s="188"/>
      <c r="BV1" s="188"/>
      <c r="CQ1" s="187"/>
      <c r="CR1" s="187"/>
      <c r="CX1" s="186"/>
      <c r="CY1" s="186"/>
      <c r="EK1" s="187"/>
    </row>
    <row r="2" spans="1:351" ht="29.25" customHeight="1">
      <c r="A2" s="33" t="s">
        <v>167</v>
      </c>
      <c r="B2" s="38"/>
      <c r="BT2" s="188"/>
      <c r="BU2" s="188"/>
      <c r="BV2" s="188"/>
      <c r="CQ2" s="187"/>
      <c r="CR2" s="187"/>
      <c r="CX2" s="186"/>
      <c r="CY2" s="186"/>
      <c r="EK2" s="187"/>
    </row>
    <row r="3" spans="1:351" ht="29.25" customHeight="1">
      <c r="A3" s="33" t="s">
        <v>168</v>
      </c>
      <c r="B3" s="70" t="s">
        <v>169</v>
      </c>
      <c r="C3" s="138">
        <f>Início_do_projeto+660</f>
        <v>46318</v>
      </c>
      <c r="D3" s="114" t="s">
        <v>170</v>
      </c>
      <c r="E3" s="192">
        <v>45658</v>
      </c>
      <c r="F3" s="192"/>
      <c r="BT3" s="188"/>
      <c r="BU3" s="188"/>
      <c r="BV3" s="188"/>
      <c r="CQ3" s="187"/>
      <c r="CR3" s="187"/>
      <c r="CX3" s="186"/>
      <c r="CY3" s="186"/>
      <c r="EK3" s="187"/>
    </row>
    <row r="4" spans="1:351" ht="29.25" customHeight="1">
      <c r="A4" s="34" t="s">
        <v>171</v>
      </c>
      <c r="D4" s="115" t="s">
        <v>172</v>
      </c>
      <c r="F4" s="7">
        <v>1</v>
      </c>
      <c r="H4" s="182">
        <f>H5</f>
        <v>45656</v>
      </c>
      <c r="I4" s="183"/>
      <c r="J4" s="183"/>
      <c r="K4" s="183"/>
      <c r="L4" s="183"/>
      <c r="M4" s="183"/>
      <c r="N4" s="183"/>
      <c r="O4" s="184"/>
      <c r="P4" s="182">
        <f>P5</f>
        <v>45663</v>
      </c>
      <c r="Q4" s="183"/>
      <c r="R4" s="183"/>
      <c r="S4" s="183"/>
      <c r="T4" s="183"/>
      <c r="U4" s="183"/>
      <c r="V4" s="184"/>
      <c r="W4" s="182">
        <f>W5</f>
        <v>45670</v>
      </c>
      <c r="X4" s="183"/>
      <c r="Y4" s="183"/>
      <c r="Z4" s="183"/>
      <c r="AA4" s="183"/>
      <c r="AB4" s="183"/>
      <c r="AC4" s="184"/>
      <c r="AD4" s="182">
        <f>AD5</f>
        <v>45677</v>
      </c>
      <c r="AE4" s="183"/>
      <c r="AF4" s="183"/>
      <c r="AG4" s="183"/>
      <c r="AH4" s="183"/>
      <c r="AI4" s="183"/>
      <c r="AJ4" s="184"/>
      <c r="AK4" s="182">
        <f>AK5</f>
        <v>45684</v>
      </c>
      <c r="AL4" s="183"/>
      <c r="AM4" s="183"/>
      <c r="AN4" s="183"/>
      <c r="AO4" s="183"/>
      <c r="AP4" s="183"/>
      <c r="AQ4" s="184"/>
      <c r="AR4" s="182">
        <f>AR5</f>
        <v>45691</v>
      </c>
      <c r="AS4" s="183"/>
      <c r="AT4" s="183"/>
      <c r="AU4" s="183"/>
      <c r="AV4" s="183"/>
      <c r="AW4" s="183"/>
      <c r="AX4" s="184"/>
      <c r="AY4" s="182">
        <f>AY5</f>
        <v>45698</v>
      </c>
      <c r="AZ4" s="183"/>
      <c r="BA4" s="183"/>
      <c r="BB4" s="183"/>
      <c r="BC4" s="183"/>
      <c r="BD4" s="183"/>
      <c r="BE4" s="184"/>
      <c r="BF4" s="182">
        <f>BF5</f>
        <v>45705</v>
      </c>
      <c r="BG4" s="183"/>
      <c r="BH4" s="183"/>
      <c r="BI4" s="183"/>
      <c r="BJ4" s="183"/>
      <c r="BK4" s="183"/>
      <c r="BL4" s="184"/>
      <c r="BM4" s="182">
        <f>BM5</f>
        <v>45712</v>
      </c>
      <c r="BN4" s="183"/>
      <c r="BO4" s="183"/>
      <c r="BP4" s="183"/>
      <c r="BQ4" s="183"/>
      <c r="BR4" s="183"/>
      <c r="BS4" s="184"/>
      <c r="BT4" s="182">
        <f>BT5</f>
        <v>45719</v>
      </c>
      <c r="BU4" s="183"/>
      <c r="BV4" s="183"/>
      <c r="BW4" s="183"/>
      <c r="BX4" s="183"/>
      <c r="BY4" s="183"/>
      <c r="BZ4" s="184"/>
      <c r="CA4" s="182">
        <f>CA5</f>
        <v>45726</v>
      </c>
      <c r="CB4" s="183"/>
      <c r="CC4" s="183"/>
      <c r="CD4" s="183"/>
      <c r="CE4" s="183"/>
      <c r="CF4" s="183"/>
      <c r="CG4" s="184"/>
      <c r="CH4" s="182">
        <f>CH5</f>
        <v>45733</v>
      </c>
      <c r="CI4" s="183"/>
      <c r="CJ4" s="183"/>
      <c r="CK4" s="183"/>
      <c r="CL4" s="183"/>
      <c r="CM4" s="183"/>
      <c r="CN4" s="184"/>
      <c r="CO4" s="182">
        <f>CO5</f>
        <v>45740</v>
      </c>
      <c r="CP4" s="183"/>
      <c r="CQ4" s="183"/>
      <c r="CR4" s="183"/>
      <c r="CS4" s="183"/>
      <c r="CT4" s="183"/>
      <c r="CU4" s="184"/>
      <c r="CV4" s="182">
        <f>CV5</f>
        <v>45747</v>
      </c>
      <c r="CW4" s="183"/>
      <c r="CX4" s="183"/>
      <c r="CY4" s="183"/>
      <c r="CZ4" s="183"/>
      <c r="DA4" s="183"/>
      <c r="DB4" s="184"/>
      <c r="DC4" s="182">
        <f>DC5</f>
        <v>45754</v>
      </c>
      <c r="DD4" s="183"/>
      <c r="DE4" s="183"/>
      <c r="DF4" s="183"/>
      <c r="DG4" s="183"/>
      <c r="DH4" s="183"/>
      <c r="DI4" s="184"/>
      <c r="DJ4" s="182">
        <f>DJ5</f>
        <v>45761</v>
      </c>
      <c r="DK4" s="183"/>
      <c r="DL4" s="183"/>
      <c r="DM4" s="183"/>
      <c r="DN4" s="183"/>
      <c r="DO4" s="183"/>
      <c r="DP4" s="184"/>
      <c r="DQ4" s="182">
        <f>DQ5</f>
        <v>45768</v>
      </c>
      <c r="DR4" s="183"/>
      <c r="DS4" s="183"/>
      <c r="DT4" s="183"/>
      <c r="DU4" s="183"/>
      <c r="DV4" s="183"/>
      <c r="DW4" s="184"/>
      <c r="DX4" s="182">
        <f>DX5</f>
        <v>45775</v>
      </c>
      <c r="DY4" s="183"/>
      <c r="DZ4" s="183"/>
      <c r="EA4" s="183"/>
      <c r="EB4" s="183"/>
      <c r="EC4" s="183"/>
      <c r="ED4" s="184"/>
      <c r="EE4" s="182">
        <f t="shared" ref="EE4" si="0">EE5</f>
        <v>45782</v>
      </c>
      <c r="EF4" s="183"/>
      <c r="EG4" s="183"/>
      <c r="EH4" s="183"/>
      <c r="EI4" s="183"/>
      <c r="EJ4" s="183"/>
      <c r="EK4" s="184"/>
      <c r="EL4" s="182">
        <f t="shared" ref="EL4" si="1">EL5</f>
        <v>45789</v>
      </c>
      <c r="EM4" s="183"/>
      <c r="EN4" s="183"/>
      <c r="EO4" s="183"/>
      <c r="EP4" s="183"/>
      <c r="EQ4" s="183"/>
      <c r="ER4" s="184"/>
      <c r="ES4" s="182">
        <f t="shared" ref="ES4" si="2">ES5</f>
        <v>45796</v>
      </c>
      <c r="ET4" s="183"/>
      <c r="EU4" s="183"/>
      <c r="EV4" s="183"/>
      <c r="EW4" s="183"/>
      <c r="EX4" s="183"/>
      <c r="EY4" s="184"/>
      <c r="EZ4" s="182">
        <f t="shared" ref="EZ4" si="3">EZ5</f>
        <v>45803</v>
      </c>
      <c r="FA4" s="183"/>
      <c r="FB4" s="183"/>
      <c r="FC4" s="183"/>
      <c r="FD4" s="183"/>
      <c r="FE4" s="183"/>
      <c r="FF4" s="184"/>
      <c r="FG4" s="182">
        <f t="shared" ref="FG4" si="4">FG5</f>
        <v>45810</v>
      </c>
      <c r="FH4" s="183"/>
      <c r="FI4" s="183"/>
      <c r="FJ4" s="183"/>
      <c r="FK4" s="183"/>
      <c r="FL4" s="183"/>
      <c r="FM4" s="184"/>
      <c r="FN4" s="182">
        <f t="shared" ref="FN4" si="5">FN5</f>
        <v>45817</v>
      </c>
      <c r="FO4" s="183"/>
      <c r="FP4" s="183"/>
      <c r="FQ4" s="183"/>
      <c r="FR4" s="183"/>
      <c r="FS4" s="183"/>
      <c r="FT4" s="184"/>
      <c r="FU4" s="182">
        <f t="shared" ref="FU4" si="6">FU5</f>
        <v>45824</v>
      </c>
      <c r="FV4" s="183"/>
      <c r="FW4" s="183"/>
      <c r="FX4" s="183"/>
      <c r="FY4" s="183"/>
      <c r="FZ4" s="183"/>
      <c r="GA4" s="184"/>
      <c r="GB4" s="182">
        <f t="shared" ref="GB4" si="7">GB5</f>
        <v>45831</v>
      </c>
      <c r="GC4" s="183"/>
      <c r="GD4" s="183"/>
      <c r="GE4" s="183"/>
      <c r="GF4" s="183"/>
      <c r="GG4" s="183"/>
      <c r="GH4" s="184"/>
      <c r="GI4" s="182">
        <f t="shared" ref="GI4" si="8">GI5</f>
        <v>45838</v>
      </c>
      <c r="GJ4" s="183"/>
      <c r="GK4" s="183"/>
      <c r="GL4" s="183"/>
      <c r="GM4" s="183"/>
      <c r="GN4" s="183"/>
      <c r="GO4" s="184"/>
      <c r="GP4" s="182">
        <f t="shared" ref="GP4" si="9">GP5</f>
        <v>45845</v>
      </c>
      <c r="GQ4" s="183"/>
      <c r="GR4" s="183"/>
      <c r="GS4" s="183"/>
      <c r="GT4" s="183"/>
      <c r="GU4" s="183"/>
      <c r="GV4" s="184"/>
      <c r="GW4" s="182">
        <f t="shared" ref="GW4" si="10">GW5</f>
        <v>45852</v>
      </c>
      <c r="GX4" s="183"/>
      <c r="GY4" s="183"/>
      <c r="GZ4" s="183"/>
      <c r="HA4" s="183"/>
      <c r="HB4" s="183"/>
      <c r="HC4" s="184"/>
      <c r="HD4" s="182">
        <f t="shared" ref="HD4" si="11">HD5</f>
        <v>45859</v>
      </c>
      <c r="HE4" s="183"/>
      <c r="HF4" s="183"/>
      <c r="HG4" s="183"/>
      <c r="HH4" s="183"/>
      <c r="HI4" s="183"/>
      <c r="HJ4" s="184"/>
      <c r="HK4" s="182">
        <f t="shared" ref="HK4" si="12">HK5</f>
        <v>45866</v>
      </c>
      <c r="HL4" s="183"/>
      <c r="HM4" s="183"/>
      <c r="HN4" s="183"/>
      <c r="HO4" s="183"/>
      <c r="HP4" s="183"/>
      <c r="HQ4" s="184"/>
      <c r="HR4" s="182">
        <f t="shared" ref="HR4" si="13">HR5</f>
        <v>45873</v>
      </c>
      <c r="HS4" s="183"/>
      <c r="HT4" s="183"/>
      <c r="HU4" s="183"/>
      <c r="HV4" s="183"/>
      <c r="HW4" s="183"/>
      <c r="HX4" s="184"/>
      <c r="HY4" s="182">
        <f t="shared" ref="HY4" si="14">HY5</f>
        <v>45880</v>
      </c>
      <c r="HZ4" s="183"/>
      <c r="IA4" s="183"/>
      <c r="IB4" s="183"/>
      <c r="IC4" s="183"/>
      <c r="ID4" s="183"/>
      <c r="IE4" s="184"/>
      <c r="IF4" s="182">
        <f t="shared" ref="IF4" si="15">IF5</f>
        <v>45887</v>
      </c>
      <c r="IG4" s="183"/>
      <c r="IH4" s="183"/>
      <c r="II4" s="183"/>
      <c r="IJ4" s="183"/>
      <c r="IK4" s="183"/>
      <c r="IL4" s="184"/>
      <c r="IM4" s="182">
        <f t="shared" ref="IM4" si="16">IM5</f>
        <v>45894</v>
      </c>
      <c r="IN4" s="183"/>
      <c r="IO4" s="183"/>
      <c r="IP4" s="183"/>
      <c r="IQ4" s="183"/>
      <c r="IR4" s="183"/>
      <c r="IS4" s="184"/>
      <c r="IT4" s="182">
        <f t="shared" ref="IT4" si="17">IT5</f>
        <v>45901</v>
      </c>
      <c r="IU4" s="183"/>
      <c r="IV4" s="183"/>
      <c r="IW4" s="183"/>
      <c r="IX4" s="183"/>
      <c r="IY4" s="183"/>
      <c r="IZ4" s="184"/>
      <c r="JA4" s="182">
        <f t="shared" ref="JA4" si="18">JA5</f>
        <v>45908</v>
      </c>
      <c r="JB4" s="183"/>
      <c r="JC4" s="183"/>
      <c r="JD4" s="183"/>
      <c r="JE4" s="183"/>
      <c r="JF4" s="183"/>
      <c r="JG4" s="184"/>
      <c r="JH4" s="182">
        <f t="shared" ref="JH4" si="19">JH5</f>
        <v>45915</v>
      </c>
      <c r="JI4" s="183"/>
      <c r="JJ4" s="183"/>
      <c r="JK4" s="183"/>
      <c r="JL4" s="183"/>
      <c r="JM4" s="183"/>
      <c r="JN4" s="184"/>
      <c r="JO4" s="182">
        <f t="shared" ref="JO4" si="20">JO5</f>
        <v>45922</v>
      </c>
      <c r="JP4" s="183"/>
      <c r="JQ4" s="183"/>
      <c r="JR4" s="183"/>
      <c r="JS4" s="183"/>
      <c r="JT4" s="183"/>
      <c r="JU4" s="184"/>
      <c r="JV4" s="182">
        <f t="shared" ref="JV4" si="21">JV5</f>
        <v>45929</v>
      </c>
      <c r="JW4" s="183"/>
      <c r="JX4" s="183"/>
      <c r="JY4" s="183"/>
      <c r="JZ4" s="183"/>
      <c r="KA4" s="183"/>
      <c r="KB4" s="184"/>
      <c r="KC4" s="182">
        <f t="shared" ref="KC4" si="22">KC5</f>
        <v>45936</v>
      </c>
      <c r="KD4" s="183"/>
      <c r="KE4" s="183"/>
      <c r="KF4" s="183"/>
      <c r="KG4" s="183"/>
      <c r="KH4" s="183"/>
      <c r="KI4" s="184"/>
      <c r="KJ4" s="182">
        <f t="shared" ref="KJ4" si="23">KJ5</f>
        <v>45943</v>
      </c>
      <c r="KK4" s="183"/>
      <c r="KL4" s="183"/>
      <c r="KM4" s="183"/>
      <c r="KN4" s="183"/>
      <c r="KO4" s="183"/>
      <c r="KP4" s="184"/>
      <c r="KQ4" s="182">
        <f t="shared" ref="KQ4" si="24">KQ5</f>
        <v>45950</v>
      </c>
      <c r="KR4" s="183"/>
      <c r="KS4" s="183"/>
      <c r="KT4" s="183"/>
      <c r="KU4" s="183"/>
      <c r="KV4" s="183"/>
      <c r="KW4" s="184"/>
      <c r="KX4" s="182">
        <f t="shared" ref="KX4" si="25">KX5</f>
        <v>45957</v>
      </c>
      <c r="KY4" s="183"/>
      <c r="KZ4" s="183"/>
      <c r="LA4" s="183"/>
      <c r="LB4" s="183"/>
      <c r="LC4" s="183"/>
      <c r="LD4" s="184"/>
      <c r="LE4" s="182">
        <f t="shared" ref="LE4" si="26">LE5</f>
        <v>45964</v>
      </c>
      <c r="LF4" s="183"/>
      <c r="LG4" s="183"/>
      <c r="LH4" s="183"/>
      <c r="LI4" s="183"/>
      <c r="LJ4" s="183"/>
      <c r="LK4" s="184"/>
      <c r="LL4" s="182">
        <f t="shared" ref="LL4" si="27">LL5</f>
        <v>45971</v>
      </c>
      <c r="LM4" s="183"/>
      <c r="LN4" s="183"/>
      <c r="LO4" s="183"/>
      <c r="LP4" s="183"/>
      <c r="LQ4" s="183"/>
      <c r="LR4" s="184"/>
      <c r="LS4" s="182">
        <f t="shared" ref="LS4" si="28">LS5</f>
        <v>45978</v>
      </c>
      <c r="LT4" s="182"/>
      <c r="LU4" s="182"/>
      <c r="LV4" s="182"/>
      <c r="LW4" s="182"/>
      <c r="LX4" s="182"/>
      <c r="LY4" s="182"/>
      <c r="LZ4" s="182">
        <f t="shared" ref="LZ4" si="29">LZ5</f>
        <v>45985</v>
      </c>
      <c r="MA4" s="183"/>
      <c r="MB4" s="183"/>
      <c r="MC4" s="183"/>
      <c r="MD4" s="183"/>
      <c r="ME4" s="183"/>
      <c r="MF4" s="184"/>
      <c r="MG4" s="182">
        <f t="shared" ref="MG4" si="30">MG5</f>
        <v>45992</v>
      </c>
      <c r="MH4" s="183"/>
      <c r="MI4" s="183"/>
      <c r="MJ4" s="183"/>
      <c r="MK4" s="183"/>
      <c r="ML4" s="183"/>
      <c r="MM4" s="184"/>
    </row>
    <row r="5" spans="1:351" ht="29.25" customHeight="1">
      <c r="A5" s="34" t="s">
        <v>173</v>
      </c>
      <c r="B5" s="50"/>
      <c r="C5" s="109"/>
      <c r="D5" s="116"/>
      <c r="E5" s="116"/>
      <c r="F5" s="50"/>
      <c r="H5" s="65">
        <f>Início_do_projeto-WEEKDAY(Início_do_projeto,1)+2+7*(Semana_de_exibição-1)</f>
        <v>45656</v>
      </c>
      <c r="I5" s="66"/>
      <c r="J5" s="66">
        <f>H5+1</f>
        <v>45657</v>
      </c>
      <c r="K5" s="66">
        <f t="shared" ref="K5:AX5" si="31">J5+1</f>
        <v>45658</v>
      </c>
      <c r="L5" s="66">
        <f t="shared" si="31"/>
        <v>45659</v>
      </c>
      <c r="M5" s="66">
        <f t="shared" si="31"/>
        <v>45660</v>
      </c>
      <c r="N5" s="66">
        <f t="shared" si="31"/>
        <v>45661</v>
      </c>
      <c r="O5" s="67">
        <f t="shared" si="31"/>
        <v>45662</v>
      </c>
      <c r="P5" s="65">
        <f>O5+1</f>
        <v>45663</v>
      </c>
      <c r="Q5" s="66">
        <f>P5+1</f>
        <v>45664</v>
      </c>
      <c r="R5" s="66">
        <f t="shared" si="31"/>
        <v>45665</v>
      </c>
      <c r="S5" s="66">
        <f t="shared" si="31"/>
        <v>45666</v>
      </c>
      <c r="T5" s="66">
        <f t="shared" si="31"/>
        <v>45667</v>
      </c>
      <c r="U5" s="66">
        <f t="shared" si="31"/>
        <v>45668</v>
      </c>
      <c r="V5" s="67">
        <f t="shared" si="31"/>
        <v>45669</v>
      </c>
      <c r="W5" s="65">
        <f>V5+1</f>
        <v>45670</v>
      </c>
      <c r="X5" s="66">
        <f>W5+1</f>
        <v>45671</v>
      </c>
      <c r="Y5" s="66">
        <f t="shared" si="31"/>
        <v>45672</v>
      </c>
      <c r="Z5" s="66">
        <f t="shared" si="31"/>
        <v>45673</v>
      </c>
      <c r="AA5" s="66">
        <f t="shared" si="31"/>
        <v>45674</v>
      </c>
      <c r="AB5" s="66">
        <f t="shared" si="31"/>
        <v>45675</v>
      </c>
      <c r="AC5" s="67">
        <f t="shared" si="31"/>
        <v>45676</v>
      </c>
      <c r="AD5" s="65">
        <f>AC5+1</f>
        <v>45677</v>
      </c>
      <c r="AE5" s="66">
        <f>AD5+1</f>
        <v>45678</v>
      </c>
      <c r="AF5" s="66">
        <f t="shared" si="31"/>
        <v>45679</v>
      </c>
      <c r="AG5" s="66">
        <f t="shared" si="31"/>
        <v>45680</v>
      </c>
      <c r="AH5" s="66">
        <f t="shared" si="31"/>
        <v>45681</v>
      </c>
      <c r="AI5" s="66">
        <f t="shared" si="31"/>
        <v>45682</v>
      </c>
      <c r="AJ5" s="67">
        <f t="shared" si="31"/>
        <v>45683</v>
      </c>
      <c r="AK5" s="65">
        <f>AJ5+1</f>
        <v>45684</v>
      </c>
      <c r="AL5" s="66">
        <f>AK5+1</f>
        <v>45685</v>
      </c>
      <c r="AM5" s="66">
        <f t="shared" si="31"/>
        <v>45686</v>
      </c>
      <c r="AN5" s="66">
        <f t="shared" si="31"/>
        <v>45687</v>
      </c>
      <c r="AO5" s="66">
        <f t="shared" si="31"/>
        <v>45688</v>
      </c>
      <c r="AP5" s="66">
        <f t="shared" si="31"/>
        <v>45689</v>
      </c>
      <c r="AQ5" s="67">
        <f t="shared" si="31"/>
        <v>45690</v>
      </c>
      <c r="AR5" s="65">
        <f>AQ5+1</f>
        <v>45691</v>
      </c>
      <c r="AS5" s="66">
        <f>AR5+1</f>
        <v>45692</v>
      </c>
      <c r="AT5" s="66">
        <f t="shared" si="31"/>
        <v>45693</v>
      </c>
      <c r="AU5" s="66">
        <f t="shared" si="31"/>
        <v>45694</v>
      </c>
      <c r="AV5" s="66">
        <f t="shared" si="31"/>
        <v>45695</v>
      </c>
      <c r="AW5" s="66">
        <f t="shared" si="31"/>
        <v>45696</v>
      </c>
      <c r="AX5" s="67">
        <f t="shared" si="31"/>
        <v>45697</v>
      </c>
      <c r="AY5" s="65">
        <f>AX5+1</f>
        <v>45698</v>
      </c>
      <c r="AZ5" s="66">
        <f>AY5+1</f>
        <v>45699</v>
      </c>
      <c r="BA5" s="66">
        <f t="shared" ref="BA5:BE5" si="32">AZ5+1</f>
        <v>45700</v>
      </c>
      <c r="BB5" s="66">
        <f t="shared" si="32"/>
        <v>45701</v>
      </c>
      <c r="BC5" s="66">
        <f t="shared" si="32"/>
        <v>45702</v>
      </c>
      <c r="BD5" s="66">
        <f t="shared" si="32"/>
        <v>45703</v>
      </c>
      <c r="BE5" s="67">
        <f t="shared" si="32"/>
        <v>45704</v>
      </c>
      <c r="BF5" s="65">
        <f>BE5+1</f>
        <v>45705</v>
      </c>
      <c r="BG5" s="66">
        <f>BF5+1</f>
        <v>45706</v>
      </c>
      <c r="BH5" s="66">
        <f t="shared" ref="BH5:BL5" si="33">BG5+1</f>
        <v>45707</v>
      </c>
      <c r="BI5" s="66">
        <f t="shared" si="33"/>
        <v>45708</v>
      </c>
      <c r="BJ5" s="66">
        <f t="shared" si="33"/>
        <v>45709</v>
      </c>
      <c r="BK5" s="66">
        <f t="shared" si="33"/>
        <v>45710</v>
      </c>
      <c r="BL5" s="67">
        <f t="shared" si="33"/>
        <v>45711</v>
      </c>
      <c r="BM5" s="65">
        <f>BL5+1</f>
        <v>45712</v>
      </c>
      <c r="BN5" s="66">
        <f>BM5+1</f>
        <v>45713</v>
      </c>
      <c r="BO5" s="66">
        <f t="shared" ref="BO5" si="34">BN5+1</f>
        <v>45714</v>
      </c>
      <c r="BP5" s="66">
        <f t="shared" ref="BP5" si="35">BO5+1</f>
        <v>45715</v>
      </c>
      <c r="BQ5" s="66">
        <f t="shared" ref="BQ5" si="36">BP5+1</f>
        <v>45716</v>
      </c>
      <c r="BR5" s="66">
        <f t="shared" ref="BR5" si="37">BQ5+1</f>
        <v>45717</v>
      </c>
      <c r="BS5" s="67">
        <f t="shared" ref="BS5" si="38">BR5+1</f>
        <v>45718</v>
      </c>
      <c r="BT5" s="65">
        <f>BS5+1</f>
        <v>45719</v>
      </c>
      <c r="BU5" s="66">
        <f>BT5+1</f>
        <v>45720</v>
      </c>
      <c r="BV5" s="66">
        <f t="shared" ref="BV5" si="39">BU5+1</f>
        <v>45721</v>
      </c>
      <c r="BW5" s="66">
        <f t="shared" ref="BW5" si="40">BV5+1</f>
        <v>45722</v>
      </c>
      <c r="BX5" s="66">
        <f t="shared" ref="BX5" si="41">BW5+1</f>
        <v>45723</v>
      </c>
      <c r="BY5" s="66">
        <f t="shared" ref="BY5" si="42">BX5+1</f>
        <v>45724</v>
      </c>
      <c r="BZ5" s="67">
        <f t="shared" ref="BZ5" si="43">BY5+1</f>
        <v>45725</v>
      </c>
      <c r="CA5" s="65">
        <f>BZ5+1</f>
        <v>45726</v>
      </c>
      <c r="CB5" s="66">
        <f>CA5+1</f>
        <v>45727</v>
      </c>
      <c r="CC5" s="66">
        <f t="shared" ref="CC5" si="44">CB5+1</f>
        <v>45728</v>
      </c>
      <c r="CD5" s="66">
        <f t="shared" ref="CD5" si="45">CC5+1</f>
        <v>45729</v>
      </c>
      <c r="CE5" s="66">
        <f t="shared" ref="CE5" si="46">CD5+1</f>
        <v>45730</v>
      </c>
      <c r="CF5" s="66">
        <f t="shared" ref="CF5" si="47">CE5+1</f>
        <v>45731</v>
      </c>
      <c r="CG5" s="67">
        <f t="shared" ref="CG5" si="48">CF5+1</f>
        <v>45732</v>
      </c>
      <c r="CH5" s="65">
        <f>CG5+1</f>
        <v>45733</v>
      </c>
      <c r="CI5" s="66">
        <f>CH5+1</f>
        <v>45734</v>
      </c>
      <c r="CJ5" s="66">
        <f t="shared" ref="CJ5" si="49">CI5+1</f>
        <v>45735</v>
      </c>
      <c r="CK5" s="66">
        <f t="shared" ref="CK5" si="50">CJ5+1</f>
        <v>45736</v>
      </c>
      <c r="CL5" s="66">
        <f t="shared" ref="CL5" si="51">CK5+1</f>
        <v>45737</v>
      </c>
      <c r="CM5" s="66">
        <f t="shared" ref="CM5" si="52">CL5+1</f>
        <v>45738</v>
      </c>
      <c r="CN5" s="67">
        <f t="shared" ref="CN5" si="53">CM5+1</f>
        <v>45739</v>
      </c>
      <c r="CO5" s="65">
        <f>CN5+1</f>
        <v>45740</v>
      </c>
      <c r="CP5" s="66">
        <f>CO5+1</f>
        <v>45741</v>
      </c>
      <c r="CQ5" s="66">
        <f t="shared" ref="CQ5" si="54">CP5+1</f>
        <v>45742</v>
      </c>
      <c r="CR5" s="66">
        <f t="shared" ref="CR5" si="55">CQ5+1</f>
        <v>45743</v>
      </c>
      <c r="CS5" s="66">
        <f t="shared" ref="CS5" si="56">CR5+1</f>
        <v>45744</v>
      </c>
      <c r="CT5" s="66">
        <f t="shared" ref="CT5" si="57">CS5+1</f>
        <v>45745</v>
      </c>
      <c r="CU5" s="67">
        <f t="shared" ref="CU5" si="58">CT5+1</f>
        <v>45746</v>
      </c>
      <c r="CV5" s="65">
        <f>CU5+1</f>
        <v>45747</v>
      </c>
      <c r="CW5" s="66">
        <f>CV5+1</f>
        <v>45748</v>
      </c>
      <c r="CX5" s="66">
        <f t="shared" ref="CX5" si="59">CW5+1</f>
        <v>45749</v>
      </c>
      <c r="CY5" s="66">
        <f t="shared" ref="CY5" si="60">CX5+1</f>
        <v>45750</v>
      </c>
      <c r="CZ5" s="66">
        <f t="shared" ref="CZ5" si="61">CY5+1</f>
        <v>45751</v>
      </c>
      <c r="DA5" s="66">
        <f t="shared" ref="DA5" si="62">CZ5+1</f>
        <v>45752</v>
      </c>
      <c r="DB5" s="67">
        <f t="shared" ref="DB5" si="63">DA5+1</f>
        <v>45753</v>
      </c>
      <c r="DC5" s="65">
        <f>DB5+1</f>
        <v>45754</v>
      </c>
      <c r="DD5" s="66">
        <f>DC5+1</f>
        <v>45755</v>
      </c>
      <c r="DE5" s="66">
        <f t="shared" ref="DE5" si="64">DD5+1</f>
        <v>45756</v>
      </c>
      <c r="DF5" s="66">
        <f t="shared" ref="DF5" si="65">DE5+1</f>
        <v>45757</v>
      </c>
      <c r="DG5" s="66">
        <f t="shared" ref="DG5" si="66">DF5+1</f>
        <v>45758</v>
      </c>
      <c r="DH5" s="66">
        <f t="shared" ref="DH5" si="67">DG5+1</f>
        <v>45759</v>
      </c>
      <c r="DI5" s="67">
        <f t="shared" ref="DI5" si="68">DH5+1</f>
        <v>45760</v>
      </c>
      <c r="DJ5" s="65">
        <f>DI5+1</f>
        <v>45761</v>
      </c>
      <c r="DK5" s="66">
        <f>DJ5+1</f>
        <v>45762</v>
      </c>
      <c r="DL5" s="66">
        <f t="shared" ref="DL5" si="69">DK5+1</f>
        <v>45763</v>
      </c>
      <c r="DM5" s="66">
        <f t="shared" ref="DM5" si="70">DL5+1</f>
        <v>45764</v>
      </c>
      <c r="DN5" s="66">
        <f t="shared" ref="DN5" si="71">DM5+1</f>
        <v>45765</v>
      </c>
      <c r="DO5" s="66">
        <f t="shared" ref="DO5" si="72">DN5+1</f>
        <v>45766</v>
      </c>
      <c r="DP5" s="67">
        <f t="shared" ref="DP5" si="73">DO5+1</f>
        <v>45767</v>
      </c>
      <c r="DQ5" s="65">
        <f>DP5+1</f>
        <v>45768</v>
      </c>
      <c r="DR5" s="66">
        <f>DQ5+1</f>
        <v>45769</v>
      </c>
      <c r="DS5" s="66">
        <f t="shared" ref="DS5" si="74">DR5+1</f>
        <v>45770</v>
      </c>
      <c r="DT5" s="66">
        <f t="shared" ref="DT5" si="75">DS5+1</f>
        <v>45771</v>
      </c>
      <c r="DU5" s="66">
        <f t="shared" ref="DU5" si="76">DT5+1</f>
        <v>45772</v>
      </c>
      <c r="DV5" s="66">
        <f t="shared" ref="DV5" si="77">DU5+1</f>
        <v>45773</v>
      </c>
      <c r="DW5" s="67">
        <f t="shared" ref="DW5" si="78">DV5+1</f>
        <v>45774</v>
      </c>
      <c r="DX5" s="65">
        <f>DW5+1</f>
        <v>45775</v>
      </c>
      <c r="DY5" s="66">
        <f>DX5+1</f>
        <v>45776</v>
      </c>
      <c r="DZ5" s="66">
        <f t="shared" ref="DZ5:EA5" si="79">DY5+1</f>
        <v>45777</v>
      </c>
      <c r="EA5" s="66">
        <f t="shared" si="79"/>
        <v>45778</v>
      </c>
      <c r="EB5" s="66">
        <f t="shared" ref="EB5" si="80">EA5+1</f>
        <v>45779</v>
      </c>
      <c r="EC5" s="66">
        <f t="shared" ref="EC5" si="81">EB5+1</f>
        <v>45780</v>
      </c>
      <c r="ED5" s="67">
        <f t="shared" ref="ED5:EF5" si="82">EC5+1</f>
        <v>45781</v>
      </c>
      <c r="EE5" s="65">
        <f t="shared" si="82"/>
        <v>45782</v>
      </c>
      <c r="EF5" s="66">
        <f t="shared" si="82"/>
        <v>45783</v>
      </c>
      <c r="EG5" s="66">
        <f t="shared" ref="EG5" si="83">EF5+1</f>
        <v>45784</v>
      </c>
      <c r="EH5" s="66">
        <f t="shared" ref="EH5" si="84">EG5+1</f>
        <v>45785</v>
      </c>
      <c r="EI5" s="66">
        <f t="shared" ref="EI5" si="85">EH5+1</f>
        <v>45786</v>
      </c>
      <c r="EJ5" s="66">
        <f t="shared" ref="EJ5" si="86">EI5+1</f>
        <v>45787</v>
      </c>
      <c r="EK5" s="66">
        <f t="shared" ref="EK5:EM5" si="87">EJ5+1</f>
        <v>45788</v>
      </c>
      <c r="EL5" s="65">
        <f t="shared" si="87"/>
        <v>45789</v>
      </c>
      <c r="EM5" s="66">
        <f t="shared" si="87"/>
        <v>45790</v>
      </c>
      <c r="EN5" s="66">
        <f t="shared" ref="EN5" si="88">EM5+1</f>
        <v>45791</v>
      </c>
      <c r="EO5" s="66">
        <f t="shared" ref="EO5" si="89">EN5+1</f>
        <v>45792</v>
      </c>
      <c r="EP5" s="66">
        <f t="shared" ref="EP5" si="90">EO5+1</f>
        <v>45793</v>
      </c>
      <c r="EQ5" s="66">
        <f t="shared" ref="EQ5" si="91">EP5+1</f>
        <v>45794</v>
      </c>
      <c r="ER5" s="67">
        <f t="shared" ref="ER5:ET5" si="92">EQ5+1</f>
        <v>45795</v>
      </c>
      <c r="ES5" s="65">
        <f t="shared" si="92"/>
        <v>45796</v>
      </c>
      <c r="ET5" s="66">
        <f t="shared" si="92"/>
        <v>45797</v>
      </c>
      <c r="EU5" s="66">
        <f t="shared" ref="EU5" si="93">ET5+1</f>
        <v>45798</v>
      </c>
      <c r="EV5" s="66">
        <f t="shared" ref="EV5" si="94">EU5+1</f>
        <v>45799</v>
      </c>
      <c r="EW5" s="66">
        <f t="shared" ref="EW5" si="95">EV5+1</f>
        <v>45800</v>
      </c>
      <c r="EX5" s="66">
        <f t="shared" ref="EX5" si="96">EW5+1</f>
        <v>45801</v>
      </c>
      <c r="EY5" s="67">
        <f t="shared" ref="EY5" si="97">EX5+1</f>
        <v>45802</v>
      </c>
      <c r="EZ5" s="65">
        <f t="shared" ref="EZ5" si="98">EY5+1</f>
        <v>45803</v>
      </c>
      <c r="FA5" s="66">
        <f t="shared" ref="FA5" si="99">EZ5+1</f>
        <v>45804</v>
      </c>
      <c r="FB5" s="66">
        <f t="shared" ref="FB5" si="100">FA5+1</f>
        <v>45805</v>
      </c>
      <c r="FC5" s="66">
        <f t="shared" ref="FC5" si="101">FB5+1</f>
        <v>45806</v>
      </c>
      <c r="FD5" s="66">
        <f t="shared" ref="FD5" si="102">FC5+1</f>
        <v>45807</v>
      </c>
      <c r="FE5" s="66">
        <f t="shared" ref="FE5" si="103">FD5+1</f>
        <v>45808</v>
      </c>
      <c r="FF5" s="67">
        <f t="shared" ref="FF5" si="104">FE5+1</f>
        <v>45809</v>
      </c>
      <c r="FG5" s="65">
        <f t="shared" ref="FG5" si="105">FF5+1</f>
        <v>45810</v>
      </c>
      <c r="FH5" s="66">
        <f t="shared" ref="FH5" si="106">FG5+1</f>
        <v>45811</v>
      </c>
      <c r="FI5" s="66">
        <f t="shared" ref="FI5" si="107">FH5+1</f>
        <v>45812</v>
      </c>
      <c r="FJ5" s="66">
        <f t="shared" ref="FJ5" si="108">FI5+1</f>
        <v>45813</v>
      </c>
      <c r="FK5" s="66">
        <f t="shared" ref="FK5" si="109">FJ5+1</f>
        <v>45814</v>
      </c>
      <c r="FL5" s="66">
        <f t="shared" ref="FL5" si="110">FK5+1</f>
        <v>45815</v>
      </c>
      <c r="FM5" s="67">
        <f t="shared" ref="FM5" si="111">FL5+1</f>
        <v>45816</v>
      </c>
      <c r="FN5" s="65">
        <f t="shared" ref="FN5" si="112">FM5+1</f>
        <v>45817</v>
      </c>
      <c r="FO5" s="66">
        <f t="shared" ref="FO5" si="113">FN5+1</f>
        <v>45818</v>
      </c>
      <c r="FP5" s="66">
        <f t="shared" ref="FP5" si="114">FO5+1</f>
        <v>45819</v>
      </c>
      <c r="FQ5" s="66">
        <f t="shared" ref="FQ5" si="115">FP5+1</f>
        <v>45820</v>
      </c>
      <c r="FR5" s="66">
        <f t="shared" ref="FR5" si="116">FQ5+1</f>
        <v>45821</v>
      </c>
      <c r="FS5" s="66">
        <f t="shared" ref="FS5" si="117">FR5+1</f>
        <v>45822</v>
      </c>
      <c r="FT5" s="67">
        <f t="shared" ref="FT5" si="118">FS5+1</f>
        <v>45823</v>
      </c>
      <c r="FU5" s="65">
        <f t="shared" ref="FU5" si="119">FT5+1</f>
        <v>45824</v>
      </c>
      <c r="FV5" s="66">
        <f t="shared" ref="FV5" si="120">FU5+1</f>
        <v>45825</v>
      </c>
      <c r="FW5" s="66">
        <f t="shared" ref="FW5" si="121">FV5+1</f>
        <v>45826</v>
      </c>
      <c r="FX5" s="66">
        <f t="shared" ref="FX5" si="122">FW5+1</f>
        <v>45827</v>
      </c>
      <c r="FY5" s="66">
        <f t="shared" ref="FY5" si="123">FX5+1</f>
        <v>45828</v>
      </c>
      <c r="FZ5" s="66">
        <f t="shared" ref="FZ5" si="124">FY5+1</f>
        <v>45829</v>
      </c>
      <c r="GA5" s="67">
        <f t="shared" ref="GA5" si="125">FZ5+1</f>
        <v>45830</v>
      </c>
      <c r="GB5" s="65">
        <f t="shared" ref="GB5" si="126">GA5+1</f>
        <v>45831</v>
      </c>
      <c r="GC5" s="66">
        <f t="shared" ref="GC5" si="127">GB5+1</f>
        <v>45832</v>
      </c>
      <c r="GD5" s="66">
        <f t="shared" ref="GD5" si="128">GC5+1</f>
        <v>45833</v>
      </c>
      <c r="GE5" s="66">
        <f t="shared" ref="GE5" si="129">GD5+1</f>
        <v>45834</v>
      </c>
      <c r="GF5" s="66">
        <f t="shared" ref="GF5" si="130">GE5+1</f>
        <v>45835</v>
      </c>
      <c r="GG5" s="66">
        <f t="shared" ref="GG5" si="131">GF5+1</f>
        <v>45836</v>
      </c>
      <c r="GH5" s="67">
        <f t="shared" ref="GH5" si="132">GG5+1</f>
        <v>45837</v>
      </c>
      <c r="GI5" s="65">
        <f t="shared" ref="GI5" si="133">GH5+1</f>
        <v>45838</v>
      </c>
      <c r="GJ5" s="66">
        <f t="shared" ref="GJ5" si="134">GI5+1</f>
        <v>45839</v>
      </c>
      <c r="GK5" s="66">
        <f t="shared" ref="GK5" si="135">GJ5+1</f>
        <v>45840</v>
      </c>
      <c r="GL5" s="66">
        <f t="shared" ref="GL5" si="136">GK5+1</f>
        <v>45841</v>
      </c>
      <c r="GM5" s="66">
        <f t="shared" ref="GM5" si="137">GL5+1</f>
        <v>45842</v>
      </c>
      <c r="GN5" s="66">
        <f t="shared" ref="GN5" si="138">GM5+1</f>
        <v>45843</v>
      </c>
      <c r="GO5" s="67">
        <f t="shared" ref="GO5" si="139">GN5+1</f>
        <v>45844</v>
      </c>
      <c r="GP5" s="65">
        <f t="shared" ref="GP5" si="140">GO5+1</f>
        <v>45845</v>
      </c>
      <c r="GQ5" s="66">
        <f t="shared" ref="GQ5" si="141">GP5+1</f>
        <v>45846</v>
      </c>
      <c r="GR5" s="66">
        <f t="shared" ref="GR5" si="142">GQ5+1</f>
        <v>45847</v>
      </c>
      <c r="GS5" s="66">
        <f t="shared" ref="GS5" si="143">GR5+1</f>
        <v>45848</v>
      </c>
      <c r="GT5" s="66">
        <f t="shared" ref="GT5" si="144">GS5+1</f>
        <v>45849</v>
      </c>
      <c r="GU5" s="66">
        <f t="shared" ref="GU5" si="145">GT5+1</f>
        <v>45850</v>
      </c>
      <c r="GV5" s="67">
        <f t="shared" ref="GV5" si="146">GU5+1</f>
        <v>45851</v>
      </c>
      <c r="GW5" s="65">
        <f t="shared" ref="GW5" si="147">GV5+1</f>
        <v>45852</v>
      </c>
      <c r="GX5" s="66">
        <f t="shared" ref="GX5" si="148">GW5+1</f>
        <v>45853</v>
      </c>
      <c r="GY5" s="66">
        <f t="shared" ref="GY5" si="149">GX5+1</f>
        <v>45854</v>
      </c>
      <c r="GZ5" s="66">
        <f t="shared" ref="GZ5" si="150">GY5+1</f>
        <v>45855</v>
      </c>
      <c r="HA5" s="66">
        <f t="shared" ref="HA5" si="151">GZ5+1</f>
        <v>45856</v>
      </c>
      <c r="HB5" s="66">
        <f t="shared" ref="HB5" si="152">HA5+1</f>
        <v>45857</v>
      </c>
      <c r="HC5" s="67">
        <f t="shared" ref="HC5" si="153">HB5+1</f>
        <v>45858</v>
      </c>
      <c r="HD5" s="65">
        <f t="shared" ref="HD5" si="154">HC5+1</f>
        <v>45859</v>
      </c>
      <c r="HE5" s="66">
        <f t="shared" ref="HE5" si="155">HD5+1</f>
        <v>45860</v>
      </c>
      <c r="HF5" s="66">
        <f t="shared" ref="HF5" si="156">HE5+1</f>
        <v>45861</v>
      </c>
      <c r="HG5" s="66">
        <f t="shared" ref="HG5" si="157">HF5+1</f>
        <v>45862</v>
      </c>
      <c r="HH5" s="66">
        <f t="shared" ref="HH5" si="158">HG5+1</f>
        <v>45863</v>
      </c>
      <c r="HI5" s="66">
        <f t="shared" ref="HI5" si="159">HH5+1</f>
        <v>45864</v>
      </c>
      <c r="HJ5" s="67">
        <f t="shared" ref="HJ5" si="160">HI5+1</f>
        <v>45865</v>
      </c>
      <c r="HK5" s="65">
        <f t="shared" ref="HK5" si="161">HJ5+1</f>
        <v>45866</v>
      </c>
      <c r="HL5" s="66">
        <f t="shared" ref="HL5" si="162">HK5+1</f>
        <v>45867</v>
      </c>
      <c r="HM5" s="66">
        <f t="shared" ref="HM5" si="163">HL5+1</f>
        <v>45868</v>
      </c>
      <c r="HN5" s="66">
        <f t="shared" ref="HN5" si="164">HM5+1</f>
        <v>45869</v>
      </c>
      <c r="HO5" s="66">
        <f t="shared" ref="HO5" si="165">HN5+1</f>
        <v>45870</v>
      </c>
      <c r="HP5" s="66">
        <f t="shared" ref="HP5" si="166">HO5+1</f>
        <v>45871</v>
      </c>
      <c r="HQ5" s="67">
        <f t="shared" ref="HQ5" si="167">HP5+1</f>
        <v>45872</v>
      </c>
      <c r="HR5" s="65">
        <f t="shared" ref="HR5" si="168">HQ5+1</f>
        <v>45873</v>
      </c>
      <c r="HS5" s="66">
        <f t="shared" ref="HS5" si="169">HR5+1</f>
        <v>45874</v>
      </c>
      <c r="HT5" s="66">
        <f t="shared" ref="HT5" si="170">HS5+1</f>
        <v>45875</v>
      </c>
      <c r="HU5" s="66">
        <f t="shared" ref="HU5" si="171">HT5+1</f>
        <v>45876</v>
      </c>
      <c r="HV5" s="66">
        <f t="shared" ref="HV5" si="172">HU5+1</f>
        <v>45877</v>
      </c>
      <c r="HW5" s="66">
        <f t="shared" ref="HW5" si="173">HV5+1</f>
        <v>45878</v>
      </c>
      <c r="HX5" s="67">
        <f t="shared" ref="HX5" si="174">HW5+1</f>
        <v>45879</v>
      </c>
      <c r="HY5" s="65">
        <f t="shared" ref="HY5" si="175">HX5+1</f>
        <v>45880</v>
      </c>
      <c r="HZ5" s="66">
        <f t="shared" ref="HZ5" si="176">HY5+1</f>
        <v>45881</v>
      </c>
      <c r="IA5" s="66">
        <f t="shared" ref="IA5" si="177">HZ5+1</f>
        <v>45882</v>
      </c>
      <c r="IB5" s="66">
        <f t="shared" ref="IB5" si="178">IA5+1</f>
        <v>45883</v>
      </c>
      <c r="IC5" s="66">
        <f t="shared" ref="IC5" si="179">IB5+1</f>
        <v>45884</v>
      </c>
      <c r="ID5" s="66">
        <f t="shared" ref="ID5" si="180">IC5+1</f>
        <v>45885</v>
      </c>
      <c r="IE5" s="67">
        <f t="shared" ref="IE5" si="181">ID5+1</f>
        <v>45886</v>
      </c>
      <c r="IF5" s="65">
        <f t="shared" ref="IF5" si="182">IE5+1</f>
        <v>45887</v>
      </c>
      <c r="IG5" s="66">
        <f t="shared" ref="IG5" si="183">IF5+1</f>
        <v>45888</v>
      </c>
      <c r="IH5" s="66">
        <f t="shared" ref="IH5" si="184">IG5+1</f>
        <v>45889</v>
      </c>
      <c r="II5" s="66">
        <f t="shared" ref="II5" si="185">IH5+1</f>
        <v>45890</v>
      </c>
      <c r="IJ5" s="66">
        <f t="shared" ref="IJ5" si="186">II5+1</f>
        <v>45891</v>
      </c>
      <c r="IK5" s="66">
        <f t="shared" ref="IK5" si="187">IJ5+1</f>
        <v>45892</v>
      </c>
      <c r="IL5" s="67">
        <f t="shared" ref="IL5" si="188">IK5+1</f>
        <v>45893</v>
      </c>
      <c r="IM5" s="65">
        <f t="shared" ref="IM5" si="189">IL5+1</f>
        <v>45894</v>
      </c>
      <c r="IN5" s="66">
        <f t="shared" ref="IN5" si="190">IM5+1</f>
        <v>45895</v>
      </c>
      <c r="IO5" s="66">
        <f t="shared" ref="IO5" si="191">IN5+1</f>
        <v>45896</v>
      </c>
      <c r="IP5" s="66">
        <f t="shared" ref="IP5" si="192">IO5+1</f>
        <v>45897</v>
      </c>
      <c r="IQ5" s="66">
        <f t="shared" ref="IQ5" si="193">IP5+1</f>
        <v>45898</v>
      </c>
      <c r="IR5" s="66">
        <f t="shared" ref="IR5:IS5" si="194">IQ5+1</f>
        <v>45899</v>
      </c>
      <c r="IS5" s="66">
        <f t="shared" si="194"/>
        <v>45900</v>
      </c>
      <c r="IT5" s="65">
        <f t="shared" ref="IT5" si="195">IS5+1</f>
        <v>45901</v>
      </c>
      <c r="IU5" s="66">
        <f t="shared" ref="IU5" si="196">IT5+1</f>
        <v>45902</v>
      </c>
      <c r="IV5" s="66">
        <f t="shared" ref="IV5" si="197">IU5+1</f>
        <v>45903</v>
      </c>
      <c r="IW5" s="66">
        <f t="shared" ref="IW5" si="198">IV5+1</f>
        <v>45904</v>
      </c>
      <c r="IX5" s="66">
        <f t="shared" ref="IX5" si="199">IW5+1</f>
        <v>45905</v>
      </c>
      <c r="IY5" s="66">
        <f t="shared" ref="IY5" si="200">IX5+1</f>
        <v>45906</v>
      </c>
      <c r="IZ5" s="67">
        <f t="shared" ref="IZ5" si="201">IY5+1</f>
        <v>45907</v>
      </c>
      <c r="JA5" s="65">
        <f t="shared" ref="JA5" si="202">IZ5+1</f>
        <v>45908</v>
      </c>
      <c r="JB5" s="66">
        <f t="shared" ref="JB5" si="203">JA5+1</f>
        <v>45909</v>
      </c>
      <c r="JC5" s="66">
        <f t="shared" ref="JC5" si="204">JB5+1</f>
        <v>45910</v>
      </c>
      <c r="JD5" s="66">
        <f t="shared" ref="JD5" si="205">JC5+1</f>
        <v>45911</v>
      </c>
      <c r="JE5" s="66">
        <f t="shared" ref="JE5" si="206">JD5+1</f>
        <v>45912</v>
      </c>
      <c r="JF5" s="66">
        <f t="shared" ref="JF5" si="207">JE5+1</f>
        <v>45913</v>
      </c>
      <c r="JG5" s="67">
        <f t="shared" ref="JG5" si="208">JF5+1</f>
        <v>45914</v>
      </c>
      <c r="JH5" s="65">
        <f t="shared" ref="JH5" si="209">JG5+1</f>
        <v>45915</v>
      </c>
      <c r="JI5" s="66">
        <f t="shared" ref="JI5" si="210">JH5+1</f>
        <v>45916</v>
      </c>
      <c r="JJ5" s="66">
        <f t="shared" ref="JJ5" si="211">JI5+1</f>
        <v>45917</v>
      </c>
      <c r="JK5" s="66">
        <f t="shared" ref="JK5" si="212">JJ5+1</f>
        <v>45918</v>
      </c>
      <c r="JL5" s="66">
        <f t="shared" ref="JL5" si="213">JK5+1</f>
        <v>45919</v>
      </c>
      <c r="JM5" s="66">
        <f t="shared" ref="JM5" si="214">JL5+1</f>
        <v>45920</v>
      </c>
      <c r="JN5" s="67">
        <f t="shared" ref="JN5" si="215">JM5+1</f>
        <v>45921</v>
      </c>
      <c r="JO5" s="65">
        <f t="shared" ref="JO5" si="216">JN5+1</f>
        <v>45922</v>
      </c>
      <c r="JP5" s="66">
        <f t="shared" ref="JP5" si="217">JO5+1</f>
        <v>45923</v>
      </c>
      <c r="JQ5" s="66">
        <f t="shared" ref="JQ5" si="218">JP5+1</f>
        <v>45924</v>
      </c>
      <c r="JR5" s="66">
        <f t="shared" ref="JR5" si="219">JQ5+1</f>
        <v>45925</v>
      </c>
      <c r="JS5" s="66">
        <f t="shared" ref="JS5" si="220">JR5+1</f>
        <v>45926</v>
      </c>
      <c r="JT5" s="66">
        <f t="shared" ref="JT5" si="221">JS5+1</f>
        <v>45927</v>
      </c>
      <c r="JU5" s="67">
        <f t="shared" ref="JU5" si="222">JT5+1</f>
        <v>45928</v>
      </c>
      <c r="JV5" s="65">
        <f t="shared" ref="JV5" si="223">JU5+1</f>
        <v>45929</v>
      </c>
      <c r="JW5" s="66">
        <f t="shared" ref="JW5" si="224">JV5+1</f>
        <v>45930</v>
      </c>
      <c r="JX5" s="66">
        <f t="shared" ref="JX5" si="225">JW5+1</f>
        <v>45931</v>
      </c>
      <c r="JY5" s="66">
        <f t="shared" ref="JY5" si="226">JX5+1</f>
        <v>45932</v>
      </c>
      <c r="JZ5" s="66">
        <f t="shared" ref="JZ5" si="227">JY5+1</f>
        <v>45933</v>
      </c>
      <c r="KA5" s="66">
        <f t="shared" ref="KA5" si="228">JZ5+1</f>
        <v>45934</v>
      </c>
      <c r="KB5" s="67">
        <f t="shared" ref="KB5" si="229">KA5+1</f>
        <v>45935</v>
      </c>
      <c r="KC5" s="65">
        <f t="shared" ref="KC5" si="230">KB5+1</f>
        <v>45936</v>
      </c>
      <c r="KD5" s="66">
        <f t="shared" ref="KD5" si="231">KC5+1</f>
        <v>45937</v>
      </c>
      <c r="KE5" s="66">
        <f t="shared" ref="KE5" si="232">KD5+1</f>
        <v>45938</v>
      </c>
      <c r="KF5" s="66">
        <f t="shared" ref="KF5" si="233">KE5+1</f>
        <v>45939</v>
      </c>
      <c r="KG5" s="66">
        <f t="shared" ref="KG5" si="234">KF5+1</f>
        <v>45940</v>
      </c>
      <c r="KH5" s="66">
        <f t="shared" ref="KH5" si="235">KG5+1</f>
        <v>45941</v>
      </c>
      <c r="KI5" s="67">
        <f t="shared" ref="KI5" si="236">KH5+1</f>
        <v>45942</v>
      </c>
      <c r="KJ5" s="65">
        <f t="shared" ref="KJ5" si="237">KI5+1</f>
        <v>45943</v>
      </c>
      <c r="KK5" s="66">
        <f t="shared" ref="KK5" si="238">KJ5+1</f>
        <v>45944</v>
      </c>
      <c r="KL5" s="66">
        <f t="shared" ref="KL5" si="239">KK5+1</f>
        <v>45945</v>
      </c>
      <c r="KM5" s="66">
        <f t="shared" ref="KM5" si="240">KL5+1</f>
        <v>45946</v>
      </c>
      <c r="KN5" s="66">
        <f t="shared" ref="KN5" si="241">KM5+1</f>
        <v>45947</v>
      </c>
      <c r="KO5" s="66">
        <f t="shared" ref="KO5" si="242">KN5+1</f>
        <v>45948</v>
      </c>
      <c r="KP5" s="67">
        <f t="shared" ref="KP5" si="243">KO5+1</f>
        <v>45949</v>
      </c>
      <c r="KQ5" s="65">
        <f t="shared" ref="KQ5" si="244">KP5+1</f>
        <v>45950</v>
      </c>
      <c r="KR5" s="66">
        <f t="shared" ref="KR5" si="245">KQ5+1</f>
        <v>45951</v>
      </c>
      <c r="KS5" s="66">
        <f t="shared" ref="KS5" si="246">KR5+1</f>
        <v>45952</v>
      </c>
      <c r="KT5" s="66">
        <f t="shared" ref="KT5" si="247">KS5+1</f>
        <v>45953</v>
      </c>
      <c r="KU5" s="66">
        <f t="shared" ref="KU5" si="248">KT5+1</f>
        <v>45954</v>
      </c>
      <c r="KV5" s="66">
        <f t="shared" ref="KV5" si="249">KU5+1</f>
        <v>45955</v>
      </c>
      <c r="KW5" s="67">
        <f t="shared" ref="KW5" si="250">KV5+1</f>
        <v>45956</v>
      </c>
      <c r="KX5" s="65">
        <f t="shared" ref="KX5" si="251">KW5+1</f>
        <v>45957</v>
      </c>
      <c r="KY5" s="66">
        <f t="shared" ref="KY5" si="252">KX5+1</f>
        <v>45958</v>
      </c>
      <c r="KZ5" s="66">
        <f t="shared" ref="KZ5" si="253">KY5+1</f>
        <v>45959</v>
      </c>
      <c r="LA5" s="66">
        <f t="shared" ref="LA5" si="254">KZ5+1</f>
        <v>45960</v>
      </c>
      <c r="LB5" s="66">
        <f t="shared" ref="LB5" si="255">LA5+1</f>
        <v>45961</v>
      </c>
      <c r="LC5" s="66">
        <f t="shared" ref="LC5" si="256">LB5+1</f>
        <v>45962</v>
      </c>
      <c r="LD5" s="67">
        <f t="shared" ref="LD5" si="257">LC5+1</f>
        <v>45963</v>
      </c>
      <c r="LE5" s="65">
        <f t="shared" ref="LE5" si="258">LD5+1</f>
        <v>45964</v>
      </c>
      <c r="LF5" s="66">
        <f t="shared" ref="LF5" si="259">LE5+1</f>
        <v>45965</v>
      </c>
      <c r="LG5" s="66">
        <f t="shared" ref="LG5" si="260">LF5+1</f>
        <v>45966</v>
      </c>
      <c r="LH5" s="66">
        <f t="shared" ref="LH5" si="261">LG5+1</f>
        <v>45967</v>
      </c>
      <c r="LI5" s="66">
        <f t="shared" ref="LI5" si="262">LH5+1</f>
        <v>45968</v>
      </c>
      <c r="LJ5" s="66">
        <f t="shared" ref="LJ5" si="263">LI5+1</f>
        <v>45969</v>
      </c>
      <c r="LK5" s="67">
        <f t="shared" ref="LK5" si="264">LJ5+1</f>
        <v>45970</v>
      </c>
      <c r="LL5" s="65">
        <f t="shared" ref="LL5" si="265">LK5+1</f>
        <v>45971</v>
      </c>
      <c r="LM5" s="66">
        <f t="shared" ref="LM5" si="266">LL5+1</f>
        <v>45972</v>
      </c>
      <c r="LN5" s="66">
        <f t="shared" ref="LN5" si="267">LM5+1</f>
        <v>45973</v>
      </c>
      <c r="LO5" s="66">
        <f t="shared" ref="LO5" si="268">LN5+1</f>
        <v>45974</v>
      </c>
      <c r="LP5" s="66">
        <f t="shared" ref="LP5" si="269">LO5+1</f>
        <v>45975</v>
      </c>
      <c r="LQ5" s="66">
        <f t="shared" ref="LQ5" si="270">LP5+1</f>
        <v>45976</v>
      </c>
      <c r="LR5" s="67">
        <f t="shared" ref="LR5" si="271">LQ5+1</f>
        <v>45977</v>
      </c>
      <c r="LS5" s="65">
        <f t="shared" ref="LS5" si="272">LR5+1</f>
        <v>45978</v>
      </c>
      <c r="LT5" s="66">
        <f t="shared" ref="LT5" si="273">LS5+1</f>
        <v>45979</v>
      </c>
      <c r="LU5" s="66">
        <f t="shared" ref="LU5" si="274">LT5+1</f>
        <v>45980</v>
      </c>
      <c r="LV5" s="66">
        <f t="shared" ref="LV5" si="275">LU5+1</f>
        <v>45981</v>
      </c>
      <c r="LW5" s="66">
        <f t="shared" ref="LW5" si="276">LV5+1</f>
        <v>45982</v>
      </c>
      <c r="LX5" s="66">
        <f t="shared" ref="LX5" si="277">LW5+1</f>
        <v>45983</v>
      </c>
      <c r="LY5" s="67">
        <f t="shared" ref="LY5" si="278">LX5+1</f>
        <v>45984</v>
      </c>
      <c r="LZ5" s="65">
        <f t="shared" ref="LZ5" si="279">LY5+1</f>
        <v>45985</v>
      </c>
      <c r="MA5" s="66">
        <f t="shared" ref="MA5" si="280">LZ5+1</f>
        <v>45986</v>
      </c>
      <c r="MB5" s="66">
        <f t="shared" ref="MB5" si="281">MA5+1</f>
        <v>45987</v>
      </c>
      <c r="MC5" s="66">
        <f t="shared" ref="MC5" si="282">MB5+1</f>
        <v>45988</v>
      </c>
      <c r="MD5" s="66">
        <f t="shared" ref="MD5" si="283">MC5+1</f>
        <v>45989</v>
      </c>
      <c r="ME5" s="66">
        <f t="shared" ref="ME5" si="284">MD5+1</f>
        <v>45990</v>
      </c>
      <c r="MF5" s="67">
        <f t="shared" ref="MF5" si="285">ME5+1</f>
        <v>45991</v>
      </c>
      <c r="MG5" s="65">
        <f t="shared" ref="MG5" si="286">MF5+1</f>
        <v>45992</v>
      </c>
      <c r="MH5" s="66">
        <f t="shared" ref="MH5" si="287">MG5+1</f>
        <v>45993</v>
      </c>
      <c r="MI5" s="66">
        <f t="shared" ref="MI5" si="288">MH5+1</f>
        <v>45994</v>
      </c>
      <c r="MJ5" s="66">
        <f t="shared" ref="MJ5" si="289">MI5+1</f>
        <v>45995</v>
      </c>
      <c r="MK5" s="66">
        <f t="shared" ref="MK5" si="290">MJ5+1</f>
        <v>45996</v>
      </c>
      <c r="ML5" s="66">
        <f t="shared" ref="ML5" si="291">MK5+1</f>
        <v>45997</v>
      </c>
      <c r="MM5" s="67">
        <f t="shared" ref="MM5" si="292">ML5+1</f>
        <v>45998</v>
      </c>
    </row>
    <row r="6" spans="1:351" ht="29.25" customHeight="1" thickBot="1">
      <c r="A6" s="34" t="s">
        <v>174</v>
      </c>
      <c r="B6" s="8" t="s">
        <v>175</v>
      </c>
      <c r="C6" s="9" t="s">
        <v>176</v>
      </c>
      <c r="D6" s="117" t="s">
        <v>177</v>
      </c>
      <c r="E6" s="117" t="s">
        <v>178</v>
      </c>
      <c r="F6" s="9"/>
      <c r="G6" s="9" t="s">
        <v>179</v>
      </c>
      <c r="H6" s="10" t="str">
        <f t="shared" ref="H6" si="293">LEFT(TEXT(H5,"ddd"),1)</f>
        <v>s</v>
      </c>
      <c r="I6" s="10"/>
      <c r="J6" s="10" t="str">
        <f t="shared" ref="J6:AR6" si="294">LEFT(TEXT(J5,"ddd"),1)</f>
        <v>t</v>
      </c>
      <c r="K6" s="10" t="str">
        <f t="shared" si="294"/>
        <v>q</v>
      </c>
      <c r="L6" s="10" t="str">
        <f t="shared" si="294"/>
        <v>q</v>
      </c>
      <c r="M6" s="10" t="str">
        <f t="shared" si="294"/>
        <v>s</v>
      </c>
      <c r="N6" s="10" t="str">
        <f t="shared" si="294"/>
        <v>s</v>
      </c>
      <c r="O6" s="10" t="str">
        <f t="shared" si="294"/>
        <v>d</v>
      </c>
      <c r="P6" s="10" t="str">
        <f t="shared" si="294"/>
        <v>s</v>
      </c>
      <c r="Q6" s="10" t="str">
        <f t="shared" si="294"/>
        <v>t</v>
      </c>
      <c r="R6" s="10" t="str">
        <f t="shared" si="294"/>
        <v>q</v>
      </c>
      <c r="S6" s="10" t="str">
        <f t="shared" si="294"/>
        <v>q</v>
      </c>
      <c r="T6" s="10" t="str">
        <f t="shared" si="294"/>
        <v>s</v>
      </c>
      <c r="U6" s="10" t="str">
        <f t="shared" si="294"/>
        <v>s</v>
      </c>
      <c r="V6" s="10" t="str">
        <f t="shared" si="294"/>
        <v>d</v>
      </c>
      <c r="W6" s="10" t="str">
        <f t="shared" si="294"/>
        <v>s</v>
      </c>
      <c r="X6" s="10" t="str">
        <f t="shared" si="294"/>
        <v>t</v>
      </c>
      <c r="Y6" s="10" t="str">
        <f t="shared" si="294"/>
        <v>q</v>
      </c>
      <c r="Z6" s="10" t="str">
        <f t="shared" si="294"/>
        <v>q</v>
      </c>
      <c r="AA6" s="10" t="str">
        <f t="shared" si="294"/>
        <v>s</v>
      </c>
      <c r="AB6" s="10" t="str">
        <f t="shared" si="294"/>
        <v>s</v>
      </c>
      <c r="AC6" s="10" t="str">
        <f t="shared" si="294"/>
        <v>d</v>
      </c>
      <c r="AD6" s="10" t="str">
        <f t="shared" si="294"/>
        <v>s</v>
      </c>
      <c r="AE6" s="10" t="str">
        <f t="shared" si="294"/>
        <v>t</v>
      </c>
      <c r="AF6" s="10" t="str">
        <f t="shared" si="294"/>
        <v>q</v>
      </c>
      <c r="AG6" s="10" t="str">
        <f t="shared" si="294"/>
        <v>q</v>
      </c>
      <c r="AH6" s="10" t="str">
        <f t="shared" si="294"/>
        <v>s</v>
      </c>
      <c r="AI6" s="10" t="str">
        <f t="shared" si="294"/>
        <v>s</v>
      </c>
      <c r="AJ6" s="10" t="str">
        <f t="shared" si="294"/>
        <v>d</v>
      </c>
      <c r="AK6" s="10" t="str">
        <f t="shared" si="294"/>
        <v>s</v>
      </c>
      <c r="AL6" s="10" t="str">
        <f t="shared" si="294"/>
        <v>t</v>
      </c>
      <c r="AM6" s="10" t="str">
        <f t="shared" si="294"/>
        <v>q</v>
      </c>
      <c r="AN6" s="10" t="str">
        <f t="shared" si="294"/>
        <v>q</v>
      </c>
      <c r="AO6" s="10" t="str">
        <f t="shared" si="294"/>
        <v>s</v>
      </c>
      <c r="AP6" s="10" t="str">
        <f t="shared" si="294"/>
        <v>s</v>
      </c>
      <c r="AQ6" s="10" t="str">
        <f t="shared" si="294"/>
        <v>d</v>
      </c>
      <c r="AR6" s="10" t="str">
        <f t="shared" si="294"/>
        <v>s</v>
      </c>
      <c r="AS6" s="10" t="str">
        <f t="shared" ref="AS6:BL6" si="295">LEFT(TEXT(AS5,"ddd"),1)</f>
        <v>t</v>
      </c>
      <c r="AT6" s="10" t="str">
        <f t="shared" si="295"/>
        <v>q</v>
      </c>
      <c r="AU6" s="10" t="str">
        <f t="shared" si="295"/>
        <v>q</v>
      </c>
      <c r="AV6" s="10" t="str">
        <f t="shared" si="295"/>
        <v>s</v>
      </c>
      <c r="AW6" s="10" t="str">
        <f t="shared" si="295"/>
        <v>s</v>
      </c>
      <c r="AX6" s="10" t="str">
        <f t="shared" si="295"/>
        <v>d</v>
      </c>
      <c r="AY6" s="10" t="str">
        <f t="shared" si="295"/>
        <v>s</v>
      </c>
      <c r="AZ6" s="10" t="str">
        <f t="shared" si="295"/>
        <v>t</v>
      </c>
      <c r="BA6" s="10" t="str">
        <f t="shared" si="295"/>
        <v>q</v>
      </c>
      <c r="BB6" s="10" t="str">
        <f t="shared" si="295"/>
        <v>q</v>
      </c>
      <c r="BC6" s="10" t="str">
        <f t="shared" si="295"/>
        <v>s</v>
      </c>
      <c r="BD6" s="10" t="str">
        <f t="shared" si="295"/>
        <v>s</v>
      </c>
      <c r="BE6" s="10" t="str">
        <f t="shared" si="295"/>
        <v>d</v>
      </c>
      <c r="BF6" s="10" t="str">
        <f t="shared" si="295"/>
        <v>s</v>
      </c>
      <c r="BG6" s="10" t="str">
        <f t="shared" si="295"/>
        <v>t</v>
      </c>
      <c r="BH6" s="10" t="str">
        <f t="shared" si="295"/>
        <v>q</v>
      </c>
      <c r="BI6" s="10" t="str">
        <f t="shared" si="295"/>
        <v>q</v>
      </c>
      <c r="BJ6" s="10" t="str">
        <f t="shared" si="295"/>
        <v>s</v>
      </c>
      <c r="BK6" s="10" t="str">
        <f t="shared" si="295"/>
        <v>s</v>
      </c>
      <c r="BL6" s="10" t="str">
        <f t="shared" si="295"/>
        <v>d</v>
      </c>
      <c r="BM6" s="10" t="str">
        <f t="shared" ref="BM6:BS6" si="296">LEFT(TEXT(BM5,"ddd"),1)</f>
        <v>s</v>
      </c>
      <c r="BN6" s="10" t="str">
        <f t="shared" si="296"/>
        <v>t</v>
      </c>
      <c r="BO6" s="10" t="str">
        <f t="shared" si="296"/>
        <v>q</v>
      </c>
      <c r="BP6" s="10" t="str">
        <f t="shared" si="296"/>
        <v>q</v>
      </c>
      <c r="BQ6" s="10" t="str">
        <f t="shared" si="296"/>
        <v>s</v>
      </c>
      <c r="BR6" s="10" t="str">
        <f t="shared" si="296"/>
        <v>s</v>
      </c>
      <c r="BS6" s="10" t="str">
        <f t="shared" si="296"/>
        <v>d</v>
      </c>
      <c r="BT6" s="10" t="str">
        <f t="shared" ref="BT6:CG6" si="297">LEFT(TEXT(BT5,"ddd"),1)</f>
        <v>s</v>
      </c>
      <c r="BU6" s="10" t="str">
        <f t="shared" si="297"/>
        <v>t</v>
      </c>
      <c r="BV6" s="10" t="str">
        <f t="shared" si="297"/>
        <v>q</v>
      </c>
      <c r="BW6" s="10" t="str">
        <f t="shared" si="297"/>
        <v>q</v>
      </c>
      <c r="BX6" s="10" t="str">
        <f t="shared" si="297"/>
        <v>s</v>
      </c>
      <c r="BY6" s="10" t="str">
        <f t="shared" si="297"/>
        <v>s</v>
      </c>
      <c r="BZ6" s="10" t="str">
        <f t="shared" si="297"/>
        <v>d</v>
      </c>
      <c r="CA6" s="10" t="str">
        <f t="shared" si="297"/>
        <v>s</v>
      </c>
      <c r="CB6" s="10" t="str">
        <f t="shared" si="297"/>
        <v>t</v>
      </c>
      <c r="CC6" s="10" t="str">
        <f t="shared" si="297"/>
        <v>q</v>
      </c>
      <c r="CD6" s="10" t="str">
        <f t="shared" si="297"/>
        <v>q</v>
      </c>
      <c r="CE6" s="10" t="str">
        <f t="shared" si="297"/>
        <v>s</v>
      </c>
      <c r="CF6" s="10" t="str">
        <f t="shared" si="297"/>
        <v>s</v>
      </c>
      <c r="CG6" s="10" t="str">
        <f t="shared" si="297"/>
        <v>d</v>
      </c>
      <c r="CH6" s="10" t="str">
        <f t="shared" ref="CH6:CU6" si="298">LEFT(TEXT(CH5,"ddd"),1)</f>
        <v>s</v>
      </c>
      <c r="CI6" s="10" t="str">
        <f t="shared" si="298"/>
        <v>t</v>
      </c>
      <c r="CJ6" s="10" t="str">
        <f t="shared" si="298"/>
        <v>q</v>
      </c>
      <c r="CK6" s="10" t="str">
        <f t="shared" si="298"/>
        <v>q</v>
      </c>
      <c r="CL6" s="10" t="str">
        <f t="shared" si="298"/>
        <v>s</v>
      </c>
      <c r="CM6" s="10" t="str">
        <f t="shared" si="298"/>
        <v>s</v>
      </c>
      <c r="CN6" s="10" t="str">
        <f t="shared" si="298"/>
        <v>d</v>
      </c>
      <c r="CO6" s="10" t="str">
        <f t="shared" si="298"/>
        <v>s</v>
      </c>
      <c r="CP6" s="10" t="str">
        <f t="shared" si="298"/>
        <v>t</v>
      </c>
      <c r="CQ6" s="10" t="str">
        <f t="shared" si="298"/>
        <v>q</v>
      </c>
      <c r="CR6" s="10" t="str">
        <f t="shared" si="298"/>
        <v>q</v>
      </c>
      <c r="CS6" s="10" t="str">
        <f t="shared" si="298"/>
        <v>s</v>
      </c>
      <c r="CT6" s="10" t="str">
        <f t="shared" si="298"/>
        <v>s</v>
      </c>
      <c r="CU6" s="10" t="str">
        <f t="shared" si="298"/>
        <v>d</v>
      </c>
      <c r="CV6" s="10" t="str">
        <f t="shared" ref="CV6:DI6" si="299">LEFT(TEXT(CV5,"ddd"),1)</f>
        <v>s</v>
      </c>
      <c r="CW6" s="10" t="str">
        <f t="shared" si="299"/>
        <v>t</v>
      </c>
      <c r="CX6" s="10" t="str">
        <f t="shared" si="299"/>
        <v>q</v>
      </c>
      <c r="CY6" s="10" t="str">
        <f t="shared" si="299"/>
        <v>q</v>
      </c>
      <c r="CZ6" s="10" t="str">
        <f t="shared" si="299"/>
        <v>s</v>
      </c>
      <c r="DA6" s="10" t="str">
        <f t="shared" si="299"/>
        <v>s</v>
      </c>
      <c r="DB6" s="10" t="str">
        <f t="shared" si="299"/>
        <v>d</v>
      </c>
      <c r="DC6" s="10" t="str">
        <f t="shared" si="299"/>
        <v>s</v>
      </c>
      <c r="DD6" s="10" t="str">
        <f t="shared" si="299"/>
        <v>t</v>
      </c>
      <c r="DE6" s="10" t="str">
        <f t="shared" si="299"/>
        <v>q</v>
      </c>
      <c r="DF6" s="10" t="str">
        <f t="shared" si="299"/>
        <v>q</v>
      </c>
      <c r="DG6" s="10" t="str">
        <f t="shared" si="299"/>
        <v>s</v>
      </c>
      <c r="DH6" s="10" t="str">
        <f t="shared" si="299"/>
        <v>s</v>
      </c>
      <c r="DI6" s="10" t="str">
        <f t="shared" si="299"/>
        <v>d</v>
      </c>
      <c r="DJ6" s="10" t="str">
        <f t="shared" ref="DJ6:DW6" si="300">LEFT(TEXT(DJ5,"ddd"),1)</f>
        <v>s</v>
      </c>
      <c r="DK6" s="10" t="str">
        <f t="shared" si="300"/>
        <v>t</v>
      </c>
      <c r="DL6" s="10" t="str">
        <f t="shared" si="300"/>
        <v>q</v>
      </c>
      <c r="DM6" s="10" t="str">
        <f t="shared" si="300"/>
        <v>q</v>
      </c>
      <c r="DN6" s="10" t="str">
        <f t="shared" si="300"/>
        <v>s</v>
      </c>
      <c r="DO6" s="10" t="str">
        <f t="shared" si="300"/>
        <v>s</v>
      </c>
      <c r="DP6" s="10" t="str">
        <f t="shared" si="300"/>
        <v>d</v>
      </c>
      <c r="DQ6" s="10" t="str">
        <f t="shared" si="300"/>
        <v>s</v>
      </c>
      <c r="DR6" s="10" t="str">
        <f t="shared" si="300"/>
        <v>t</v>
      </c>
      <c r="DS6" s="10" t="str">
        <f t="shared" si="300"/>
        <v>q</v>
      </c>
      <c r="DT6" s="10" t="str">
        <f t="shared" si="300"/>
        <v>q</v>
      </c>
      <c r="DU6" s="10" t="str">
        <f t="shared" si="300"/>
        <v>s</v>
      </c>
      <c r="DV6" s="10" t="str">
        <f t="shared" si="300"/>
        <v>s</v>
      </c>
      <c r="DW6" s="10" t="str">
        <f t="shared" si="300"/>
        <v>d</v>
      </c>
      <c r="DX6" s="10" t="str">
        <f t="shared" ref="DX6:ED6" si="301">LEFT(TEXT(DX5,"ddd"),1)</f>
        <v>s</v>
      </c>
      <c r="DY6" s="10" t="str">
        <f t="shared" si="301"/>
        <v>t</v>
      </c>
      <c r="DZ6" s="10" t="str">
        <f t="shared" si="301"/>
        <v>q</v>
      </c>
      <c r="EA6" s="10" t="str">
        <f t="shared" ref="EA6" si="302">LEFT(TEXT(EA5,"ddd"),1)</f>
        <v>q</v>
      </c>
      <c r="EB6" s="10" t="str">
        <f t="shared" si="301"/>
        <v>s</v>
      </c>
      <c r="EC6" s="10" t="str">
        <f t="shared" si="301"/>
        <v>s</v>
      </c>
      <c r="ED6" s="10" t="str">
        <f t="shared" si="301"/>
        <v>d</v>
      </c>
      <c r="EE6" s="10" t="str">
        <f t="shared" ref="EE6:EY6" si="303">LEFT(TEXT(EE5,"ddd"),1)</f>
        <v>s</v>
      </c>
      <c r="EF6" s="10" t="str">
        <f t="shared" si="303"/>
        <v>t</v>
      </c>
      <c r="EG6" s="10" t="str">
        <f t="shared" si="303"/>
        <v>q</v>
      </c>
      <c r="EH6" s="10" t="str">
        <f t="shared" si="303"/>
        <v>q</v>
      </c>
      <c r="EI6" s="10" t="str">
        <f t="shared" si="303"/>
        <v>s</v>
      </c>
      <c r="EJ6" s="10" t="str">
        <f t="shared" si="303"/>
        <v>s</v>
      </c>
      <c r="EK6" s="10" t="str">
        <f t="shared" si="303"/>
        <v>d</v>
      </c>
      <c r="EL6" s="10" t="str">
        <f t="shared" si="303"/>
        <v>s</v>
      </c>
      <c r="EM6" s="10" t="str">
        <f t="shared" si="303"/>
        <v>t</v>
      </c>
      <c r="EN6" s="10" t="str">
        <f t="shared" si="303"/>
        <v>q</v>
      </c>
      <c r="EO6" s="10" t="str">
        <f t="shared" si="303"/>
        <v>q</v>
      </c>
      <c r="EP6" s="10" t="str">
        <f t="shared" si="303"/>
        <v>s</v>
      </c>
      <c r="EQ6" s="10" t="str">
        <f t="shared" si="303"/>
        <v>s</v>
      </c>
      <c r="ER6" s="10" t="str">
        <f t="shared" si="303"/>
        <v>d</v>
      </c>
      <c r="ES6" s="10" t="str">
        <f t="shared" si="303"/>
        <v>s</v>
      </c>
      <c r="ET6" s="10" t="str">
        <f t="shared" si="303"/>
        <v>t</v>
      </c>
      <c r="EU6" s="10" t="str">
        <f t="shared" si="303"/>
        <v>q</v>
      </c>
      <c r="EV6" s="10" t="str">
        <f t="shared" si="303"/>
        <v>q</v>
      </c>
      <c r="EW6" s="10" t="str">
        <f t="shared" si="303"/>
        <v>s</v>
      </c>
      <c r="EX6" s="10" t="str">
        <f t="shared" si="303"/>
        <v>s</v>
      </c>
      <c r="EY6" s="10" t="str">
        <f t="shared" si="303"/>
        <v>d</v>
      </c>
      <c r="EZ6" s="10" t="str">
        <f t="shared" ref="EZ6:FZ6" si="304">LEFT(TEXT(EZ5,"ddd"),1)</f>
        <v>s</v>
      </c>
      <c r="FA6" s="10" t="str">
        <f t="shared" si="304"/>
        <v>t</v>
      </c>
      <c r="FB6" s="10" t="str">
        <f t="shared" si="304"/>
        <v>q</v>
      </c>
      <c r="FC6" s="10" t="str">
        <f t="shared" si="304"/>
        <v>q</v>
      </c>
      <c r="FD6" s="10" t="str">
        <f t="shared" si="304"/>
        <v>s</v>
      </c>
      <c r="FE6" s="10" t="str">
        <f t="shared" si="304"/>
        <v>s</v>
      </c>
      <c r="FF6" s="10" t="str">
        <f t="shared" si="304"/>
        <v>d</v>
      </c>
      <c r="FG6" s="10" t="str">
        <f t="shared" si="304"/>
        <v>s</v>
      </c>
      <c r="FH6" s="10" t="str">
        <f t="shared" si="304"/>
        <v>t</v>
      </c>
      <c r="FI6" s="10" t="str">
        <f t="shared" si="304"/>
        <v>q</v>
      </c>
      <c r="FJ6" s="10" t="str">
        <f t="shared" si="304"/>
        <v>q</v>
      </c>
      <c r="FK6" s="10" t="str">
        <f t="shared" si="304"/>
        <v>s</v>
      </c>
      <c r="FL6" s="10" t="str">
        <f t="shared" si="304"/>
        <v>s</v>
      </c>
      <c r="FM6" s="10" t="str">
        <f t="shared" si="304"/>
        <v>d</v>
      </c>
      <c r="FN6" s="10" t="str">
        <f t="shared" si="304"/>
        <v>s</v>
      </c>
      <c r="FO6" s="10" t="str">
        <f t="shared" si="304"/>
        <v>t</v>
      </c>
      <c r="FP6" s="10" t="str">
        <f t="shared" si="304"/>
        <v>q</v>
      </c>
      <c r="FQ6" s="10" t="str">
        <f t="shared" si="304"/>
        <v>q</v>
      </c>
      <c r="FR6" s="10" t="str">
        <f t="shared" si="304"/>
        <v>s</v>
      </c>
      <c r="FS6" s="10" t="str">
        <f t="shared" si="304"/>
        <v>s</v>
      </c>
      <c r="FT6" s="10" t="str">
        <f t="shared" si="304"/>
        <v>d</v>
      </c>
      <c r="FU6" s="10" t="str">
        <f t="shared" si="304"/>
        <v>s</v>
      </c>
      <c r="FV6" s="10" t="str">
        <f t="shared" si="304"/>
        <v>t</v>
      </c>
      <c r="FW6" s="10" t="str">
        <f t="shared" si="304"/>
        <v>q</v>
      </c>
      <c r="FX6" s="10" t="str">
        <f t="shared" si="304"/>
        <v>q</v>
      </c>
      <c r="FY6" s="10" t="str">
        <f t="shared" si="304"/>
        <v>s</v>
      </c>
      <c r="FZ6" s="10" t="str">
        <f t="shared" si="304"/>
        <v>s</v>
      </c>
      <c r="GA6" s="10" t="str">
        <f t="shared" ref="GA6" si="305">LEFT(TEXT(GA5,"ddd"),1)</f>
        <v>d</v>
      </c>
      <c r="GB6" s="10" t="str">
        <f t="shared" ref="GB6:GO6" si="306">LEFT(TEXT(GB5,"ddd"),1)</f>
        <v>s</v>
      </c>
      <c r="GC6" s="10" t="str">
        <f t="shared" si="306"/>
        <v>t</v>
      </c>
      <c r="GD6" s="10" t="str">
        <f t="shared" si="306"/>
        <v>q</v>
      </c>
      <c r="GE6" s="10" t="str">
        <f t="shared" si="306"/>
        <v>q</v>
      </c>
      <c r="GF6" s="10" t="str">
        <f t="shared" si="306"/>
        <v>s</v>
      </c>
      <c r="GG6" s="10" t="str">
        <f t="shared" si="306"/>
        <v>s</v>
      </c>
      <c r="GH6" s="10" t="str">
        <f t="shared" si="306"/>
        <v>d</v>
      </c>
      <c r="GI6" s="10" t="str">
        <f t="shared" si="306"/>
        <v>s</v>
      </c>
      <c r="GJ6" s="10" t="str">
        <f t="shared" si="306"/>
        <v>t</v>
      </c>
      <c r="GK6" s="10" t="str">
        <f t="shared" si="306"/>
        <v>q</v>
      </c>
      <c r="GL6" s="10" t="str">
        <f t="shared" si="306"/>
        <v>q</v>
      </c>
      <c r="GM6" s="10" t="str">
        <f t="shared" si="306"/>
        <v>s</v>
      </c>
      <c r="GN6" s="10" t="str">
        <f t="shared" si="306"/>
        <v>s</v>
      </c>
      <c r="GO6" s="10" t="str">
        <f t="shared" si="306"/>
        <v>d</v>
      </c>
      <c r="GP6" s="10" t="str">
        <f t="shared" ref="GP6:JA6" si="307">LEFT(TEXT(GP5,"ddd"),1)</f>
        <v>s</v>
      </c>
      <c r="GQ6" s="10" t="str">
        <f t="shared" si="307"/>
        <v>t</v>
      </c>
      <c r="GR6" s="10" t="str">
        <f t="shared" si="307"/>
        <v>q</v>
      </c>
      <c r="GS6" s="10" t="str">
        <f t="shared" si="307"/>
        <v>q</v>
      </c>
      <c r="GT6" s="10" t="str">
        <f t="shared" si="307"/>
        <v>s</v>
      </c>
      <c r="GU6" s="10" t="str">
        <f t="shared" si="307"/>
        <v>s</v>
      </c>
      <c r="GV6" s="10" t="str">
        <f t="shared" si="307"/>
        <v>d</v>
      </c>
      <c r="GW6" s="10" t="str">
        <f t="shared" si="307"/>
        <v>s</v>
      </c>
      <c r="GX6" s="10" t="str">
        <f t="shared" si="307"/>
        <v>t</v>
      </c>
      <c r="GY6" s="10" t="str">
        <f t="shared" si="307"/>
        <v>q</v>
      </c>
      <c r="GZ6" s="10" t="str">
        <f t="shared" si="307"/>
        <v>q</v>
      </c>
      <c r="HA6" s="10" t="str">
        <f t="shared" si="307"/>
        <v>s</v>
      </c>
      <c r="HB6" s="10" t="str">
        <f t="shared" si="307"/>
        <v>s</v>
      </c>
      <c r="HC6" s="10" t="str">
        <f t="shared" si="307"/>
        <v>d</v>
      </c>
      <c r="HD6" s="10" t="str">
        <f t="shared" si="307"/>
        <v>s</v>
      </c>
      <c r="HE6" s="10" t="str">
        <f t="shared" si="307"/>
        <v>t</v>
      </c>
      <c r="HF6" s="10" t="str">
        <f t="shared" si="307"/>
        <v>q</v>
      </c>
      <c r="HG6" s="10" t="str">
        <f t="shared" si="307"/>
        <v>q</v>
      </c>
      <c r="HH6" s="10" t="str">
        <f t="shared" si="307"/>
        <v>s</v>
      </c>
      <c r="HI6" s="10" t="str">
        <f t="shared" si="307"/>
        <v>s</v>
      </c>
      <c r="HJ6" s="10" t="str">
        <f t="shared" si="307"/>
        <v>d</v>
      </c>
      <c r="HK6" s="10" t="str">
        <f t="shared" si="307"/>
        <v>s</v>
      </c>
      <c r="HL6" s="10" t="str">
        <f t="shared" si="307"/>
        <v>t</v>
      </c>
      <c r="HM6" s="10" t="str">
        <f t="shared" si="307"/>
        <v>q</v>
      </c>
      <c r="HN6" s="10" t="str">
        <f t="shared" si="307"/>
        <v>q</v>
      </c>
      <c r="HO6" s="10" t="str">
        <f t="shared" si="307"/>
        <v>s</v>
      </c>
      <c r="HP6" s="10" t="str">
        <f t="shared" si="307"/>
        <v>s</v>
      </c>
      <c r="HQ6" s="10" t="str">
        <f t="shared" si="307"/>
        <v>d</v>
      </c>
      <c r="HR6" s="10" t="str">
        <f t="shared" si="307"/>
        <v>s</v>
      </c>
      <c r="HS6" s="10" t="str">
        <f t="shared" si="307"/>
        <v>t</v>
      </c>
      <c r="HT6" s="10" t="str">
        <f t="shared" si="307"/>
        <v>q</v>
      </c>
      <c r="HU6" s="10" t="str">
        <f t="shared" si="307"/>
        <v>q</v>
      </c>
      <c r="HV6" s="10" t="str">
        <f t="shared" si="307"/>
        <v>s</v>
      </c>
      <c r="HW6" s="10" t="str">
        <f t="shared" si="307"/>
        <v>s</v>
      </c>
      <c r="HX6" s="10" t="str">
        <f t="shared" si="307"/>
        <v>d</v>
      </c>
      <c r="HY6" s="10" t="str">
        <f t="shared" si="307"/>
        <v>s</v>
      </c>
      <c r="HZ6" s="10" t="str">
        <f t="shared" si="307"/>
        <v>t</v>
      </c>
      <c r="IA6" s="10" t="str">
        <f t="shared" si="307"/>
        <v>q</v>
      </c>
      <c r="IB6" s="10" t="str">
        <f t="shared" si="307"/>
        <v>q</v>
      </c>
      <c r="IC6" s="10" t="str">
        <f t="shared" si="307"/>
        <v>s</v>
      </c>
      <c r="ID6" s="10" t="str">
        <f t="shared" si="307"/>
        <v>s</v>
      </c>
      <c r="IE6" s="10" t="str">
        <f t="shared" si="307"/>
        <v>d</v>
      </c>
      <c r="IF6" s="10" t="str">
        <f t="shared" si="307"/>
        <v>s</v>
      </c>
      <c r="IG6" s="10" t="str">
        <f t="shared" si="307"/>
        <v>t</v>
      </c>
      <c r="IH6" s="10" t="str">
        <f t="shared" si="307"/>
        <v>q</v>
      </c>
      <c r="II6" s="10" t="str">
        <f t="shared" si="307"/>
        <v>q</v>
      </c>
      <c r="IJ6" s="10" t="str">
        <f t="shared" si="307"/>
        <v>s</v>
      </c>
      <c r="IK6" s="10" t="str">
        <f t="shared" si="307"/>
        <v>s</v>
      </c>
      <c r="IL6" s="10" t="str">
        <f t="shared" si="307"/>
        <v>d</v>
      </c>
      <c r="IM6" s="10" t="str">
        <f t="shared" si="307"/>
        <v>s</v>
      </c>
      <c r="IN6" s="10" t="str">
        <f t="shared" si="307"/>
        <v>t</v>
      </c>
      <c r="IO6" s="10" t="str">
        <f t="shared" si="307"/>
        <v>q</v>
      </c>
      <c r="IP6" s="10" t="str">
        <f t="shared" si="307"/>
        <v>q</v>
      </c>
      <c r="IQ6" s="10" t="str">
        <f t="shared" si="307"/>
        <v>s</v>
      </c>
      <c r="IR6" s="10" t="str">
        <f t="shared" si="307"/>
        <v>s</v>
      </c>
      <c r="IS6" s="10" t="str">
        <f t="shared" ref="IS6" si="308">LEFT(TEXT(IS5,"ddd"),1)</f>
        <v>d</v>
      </c>
      <c r="IT6" s="10" t="str">
        <f t="shared" si="307"/>
        <v>s</v>
      </c>
      <c r="IU6" s="10" t="str">
        <f t="shared" si="307"/>
        <v>t</v>
      </c>
      <c r="IV6" s="10" t="str">
        <f t="shared" si="307"/>
        <v>q</v>
      </c>
      <c r="IW6" s="10" t="str">
        <f t="shared" si="307"/>
        <v>q</v>
      </c>
      <c r="IX6" s="10" t="str">
        <f t="shared" si="307"/>
        <v>s</v>
      </c>
      <c r="IY6" s="10" t="str">
        <f t="shared" si="307"/>
        <v>s</v>
      </c>
      <c r="IZ6" s="10" t="str">
        <f t="shared" si="307"/>
        <v>d</v>
      </c>
      <c r="JA6" s="10" t="str">
        <f t="shared" si="307"/>
        <v>s</v>
      </c>
      <c r="JB6" s="10" t="str">
        <f t="shared" ref="JB6:LM6" si="309">LEFT(TEXT(JB5,"ddd"),1)</f>
        <v>t</v>
      </c>
      <c r="JC6" s="10" t="str">
        <f t="shared" si="309"/>
        <v>q</v>
      </c>
      <c r="JD6" s="10" t="str">
        <f t="shared" si="309"/>
        <v>q</v>
      </c>
      <c r="JE6" s="10" t="str">
        <f t="shared" si="309"/>
        <v>s</v>
      </c>
      <c r="JF6" s="10" t="str">
        <f t="shared" si="309"/>
        <v>s</v>
      </c>
      <c r="JG6" s="10" t="str">
        <f t="shared" si="309"/>
        <v>d</v>
      </c>
      <c r="JH6" s="10" t="str">
        <f t="shared" si="309"/>
        <v>s</v>
      </c>
      <c r="JI6" s="10" t="str">
        <f t="shared" si="309"/>
        <v>t</v>
      </c>
      <c r="JJ6" s="10" t="str">
        <f t="shared" si="309"/>
        <v>q</v>
      </c>
      <c r="JK6" s="10" t="str">
        <f t="shared" si="309"/>
        <v>q</v>
      </c>
      <c r="JL6" s="10" t="str">
        <f t="shared" si="309"/>
        <v>s</v>
      </c>
      <c r="JM6" s="10" t="str">
        <f t="shared" si="309"/>
        <v>s</v>
      </c>
      <c r="JN6" s="10" t="str">
        <f t="shared" si="309"/>
        <v>d</v>
      </c>
      <c r="JO6" s="10" t="str">
        <f t="shared" si="309"/>
        <v>s</v>
      </c>
      <c r="JP6" s="10" t="str">
        <f t="shared" si="309"/>
        <v>t</v>
      </c>
      <c r="JQ6" s="10" t="str">
        <f t="shared" si="309"/>
        <v>q</v>
      </c>
      <c r="JR6" s="10" t="str">
        <f t="shared" si="309"/>
        <v>q</v>
      </c>
      <c r="JS6" s="10" t="str">
        <f t="shared" si="309"/>
        <v>s</v>
      </c>
      <c r="JT6" s="10" t="str">
        <f t="shared" si="309"/>
        <v>s</v>
      </c>
      <c r="JU6" s="10" t="str">
        <f t="shared" si="309"/>
        <v>d</v>
      </c>
      <c r="JV6" s="10" t="str">
        <f t="shared" si="309"/>
        <v>s</v>
      </c>
      <c r="JW6" s="10" t="str">
        <f t="shared" si="309"/>
        <v>t</v>
      </c>
      <c r="JX6" s="10" t="str">
        <f t="shared" si="309"/>
        <v>q</v>
      </c>
      <c r="JY6" s="10" t="str">
        <f t="shared" si="309"/>
        <v>q</v>
      </c>
      <c r="JZ6" s="10" t="str">
        <f t="shared" si="309"/>
        <v>s</v>
      </c>
      <c r="KA6" s="10" t="str">
        <f t="shared" si="309"/>
        <v>s</v>
      </c>
      <c r="KB6" s="10" t="str">
        <f t="shared" si="309"/>
        <v>d</v>
      </c>
      <c r="KC6" s="10" t="str">
        <f t="shared" si="309"/>
        <v>s</v>
      </c>
      <c r="KD6" s="10" t="str">
        <f t="shared" si="309"/>
        <v>t</v>
      </c>
      <c r="KE6" s="10" t="str">
        <f t="shared" si="309"/>
        <v>q</v>
      </c>
      <c r="KF6" s="10" t="str">
        <f t="shared" si="309"/>
        <v>q</v>
      </c>
      <c r="KG6" s="10" t="str">
        <f t="shared" si="309"/>
        <v>s</v>
      </c>
      <c r="KH6" s="10" t="str">
        <f t="shared" si="309"/>
        <v>s</v>
      </c>
      <c r="KI6" s="10" t="str">
        <f t="shared" si="309"/>
        <v>d</v>
      </c>
      <c r="KJ6" s="10" t="str">
        <f t="shared" si="309"/>
        <v>s</v>
      </c>
      <c r="KK6" s="10" t="str">
        <f t="shared" si="309"/>
        <v>t</v>
      </c>
      <c r="KL6" s="10" t="str">
        <f t="shared" si="309"/>
        <v>q</v>
      </c>
      <c r="KM6" s="10" t="str">
        <f t="shared" si="309"/>
        <v>q</v>
      </c>
      <c r="KN6" s="10" t="str">
        <f t="shared" si="309"/>
        <v>s</v>
      </c>
      <c r="KO6" s="10" t="str">
        <f t="shared" si="309"/>
        <v>s</v>
      </c>
      <c r="KP6" s="10" t="str">
        <f t="shared" si="309"/>
        <v>d</v>
      </c>
      <c r="KQ6" s="10" t="str">
        <f t="shared" si="309"/>
        <v>s</v>
      </c>
      <c r="KR6" s="10" t="str">
        <f t="shared" si="309"/>
        <v>t</v>
      </c>
      <c r="KS6" s="10" t="str">
        <f t="shared" si="309"/>
        <v>q</v>
      </c>
      <c r="KT6" s="10" t="str">
        <f t="shared" si="309"/>
        <v>q</v>
      </c>
      <c r="KU6" s="10" t="str">
        <f t="shared" si="309"/>
        <v>s</v>
      </c>
      <c r="KV6" s="10" t="str">
        <f t="shared" si="309"/>
        <v>s</v>
      </c>
      <c r="KW6" s="10" t="str">
        <f t="shared" si="309"/>
        <v>d</v>
      </c>
      <c r="KX6" s="10" t="str">
        <f t="shared" si="309"/>
        <v>s</v>
      </c>
      <c r="KY6" s="10" t="str">
        <f t="shared" si="309"/>
        <v>t</v>
      </c>
      <c r="KZ6" s="10" t="str">
        <f t="shared" si="309"/>
        <v>q</v>
      </c>
      <c r="LA6" s="10" t="str">
        <f t="shared" si="309"/>
        <v>q</v>
      </c>
      <c r="LB6" s="10" t="str">
        <f t="shared" si="309"/>
        <v>s</v>
      </c>
      <c r="LC6" s="10" t="str">
        <f t="shared" si="309"/>
        <v>s</v>
      </c>
      <c r="LD6" s="10" t="str">
        <f t="shared" si="309"/>
        <v>d</v>
      </c>
      <c r="LE6" s="10" t="str">
        <f t="shared" si="309"/>
        <v>s</v>
      </c>
      <c r="LF6" s="10" t="str">
        <f t="shared" si="309"/>
        <v>t</v>
      </c>
      <c r="LG6" s="10" t="str">
        <f t="shared" si="309"/>
        <v>q</v>
      </c>
      <c r="LH6" s="10" t="str">
        <f t="shared" si="309"/>
        <v>q</v>
      </c>
      <c r="LI6" s="10" t="str">
        <f t="shared" si="309"/>
        <v>s</v>
      </c>
      <c r="LJ6" s="10" t="str">
        <f t="shared" si="309"/>
        <v>s</v>
      </c>
      <c r="LK6" s="10" t="str">
        <f t="shared" si="309"/>
        <v>d</v>
      </c>
      <c r="LL6" s="10" t="str">
        <f t="shared" si="309"/>
        <v>s</v>
      </c>
      <c r="LM6" s="10" t="str">
        <f t="shared" si="309"/>
        <v>t</v>
      </c>
      <c r="LN6" s="10" t="str">
        <f t="shared" ref="LN6:MM6" si="310">LEFT(TEXT(LN5,"ddd"),1)</f>
        <v>q</v>
      </c>
      <c r="LO6" s="10" t="str">
        <f t="shared" si="310"/>
        <v>q</v>
      </c>
      <c r="LP6" s="10" t="str">
        <f t="shared" si="310"/>
        <v>s</v>
      </c>
      <c r="LQ6" s="10" t="str">
        <f t="shared" si="310"/>
        <v>s</v>
      </c>
      <c r="LR6" s="10" t="str">
        <f t="shared" si="310"/>
        <v>d</v>
      </c>
      <c r="LS6" s="10" t="str">
        <f t="shared" si="310"/>
        <v>s</v>
      </c>
      <c r="LT6" s="10" t="str">
        <f t="shared" si="310"/>
        <v>t</v>
      </c>
      <c r="LU6" s="10" t="str">
        <f t="shared" si="310"/>
        <v>q</v>
      </c>
      <c r="LV6" s="10" t="str">
        <f t="shared" si="310"/>
        <v>q</v>
      </c>
      <c r="LW6" s="10" t="str">
        <f t="shared" si="310"/>
        <v>s</v>
      </c>
      <c r="LX6" s="10" t="str">
        <f t="shared" si="310"/>
        <v>s</v>
      </c>
      <c r="LY6" s="10" t="str">
        <f t="shared" si="310"/>
        <v>d</v>
      </c>
      <c r="LZ6" s="10" t="str">
        <f t="shared" si="310"/>
        <v>s</v>
      </c>
      <c r="MA6" s="10" t="str">
        <f t="shared" si="310"/>
        <v>t</v>
      </c>
      <c r="MB6" s="10" t="str">
        <f t="shared" si="310"/>
        <v>q</v>
      </c>
      <c r="MC6" s="10" t="str">
        <f t="shared" si="310"/>
        <v>q</v>
      </c>
      <c r="MD6" s="10" t="str">
        <f t="shared" si="310"/>
        <v>s</v>
      </c>
      <c r="ME6" s="10" t="str">
        <f t="shared" si="310"/>
        <v>s</v>
      </c>
      <c r="MF6" s="10" t="str">
        <f t="shared" si="310"/>
        <v>d</v>
      </c>
      <c r="MG6" s="10" t="str">
        <f t="shared" si="310"/>
        <v>s</v>
      </c>
      <c r="MH6" s="10" t="str">
        <f t="shared" si="310"/>
        <v>t</v>
      </c>
      <c r="MI6" s="10" t="str">
        <f t="shared" si="310"/>
        <v>q</v>
      </c>
      <c r="MJ6" s="10" t="str">
        <f t="shared" si="310"/>
        <v>q</v>
      </c>
      <c r="MK6" s="10" t="str">
        <f t="shared" si="310"/>
        <v>s</v>
      </c>
      <c r="ML6" s="10" t="str">
        <f t="shared" si="310"/>
        <v>s</v>
      </c>
      <c r="MM6" s="10" t="str">
        <f t="shared" si="310"/>
        <v>d</v>
      </c>
    </row>
    <row r="7" spans="1:351" ht="29.25" customHeight="1" thickBot="1">
      <c r="A7" s="33" t="s">
        <v>180</v>
      </c>
      <c r="C7" s="139"/>
      <c r="G7" t="str">
        <f ca="1">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351" ht="29.25" customHeight="1" thickBot="1">
      <c r="A8" s="33"/>
      <c r="B8" s="180" t="s">
        <v>181</v>
      </c>
      <c r="C8" s="180"/>
      <c r="D8" s="180"/>
      <c r="E8" s="180"/>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c r="MM8" s="29"/>
    </row>
    <row r="9" spans="1:351" s="3" customFormat="1" ht="29.25" customHeight="1" outlineLevel="1" thickBot="1">
      <c r="A9" s="34" t="s">
        <v>182</v>
      </c>
      <c r="B9" s="185" t="s">
        <v>183</v>
      </c>
      <c r="C9" s="185"/>
      <c r="D9" s="185"/>
      <c r="E9" s="185"/>
      <c r="F9" s="14"/>
      <c r="G9" s="14" t="str">
        <f t="shared" ref="G9:G177" ca="1" si="311">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c r="MM9" s="29"/>
    </row>
    <row r="10" spans="1:351" s="3" customFormat="1" ht="29.25" customHeight="1" outlineLevel="1" thickBot="1">
      <c r="A10" s="34" t="s">
        <v>184</v>
      </c>
      <c r="B10" s="88"/>
      <c r="C10" s="40" t="s">
        <v>117</v>
      </c>
      <c r="D10" s="118">
        <v>45691</v>
      </c>
      <c r="E10" s="118">
        <f t="shared" ref="E10:E25" si="312">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row>
    <row r="11" spans="1:351" s="3" customFormat="1" ht="29.25" customHeight="1" outlineLevel="1" thickBot="1">
      <c r="A11" s="34"/>
      <c r="B11" s="88"/>
      <c r="C11" s="40" t="s">
        <v>136</v>
      </c>
      <c r="D11" s="118">
        <v>45691</v>
      </c>
      <c r="E11" s="118">
        <f t="shared" si="312"/>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c r="MM11" s="29"/>
    </row>
    <row r="12" spans="1:351" s="3" customFormat="1" ht="29.25" customHeight="1" outlineLevel="1" thickBot="1">
      <c r="A12" s="34" t="s">
        <v>185</v>
      </c>
      <c r="B12" s="88"/>
      <c r="C12" s="40" t="s">
        <v>126</v>
      </c>
      <c r="D12" s="118">
        <f>D11+14</f>
        <v>45705</v>
      </c>
      <c r="E12" s="118">
        <f t="shared" si="312"/>
        <v>45709</v>
      </c>
      <c r="F12" s="14"/>
      <c r="G12" s="14">
        <v>5</v>
      </c>
      <c r="H12" s="29"/>
      <c r="I12" s="29"/>
      <c r="J12" s="29"/>
      <c r="K12" s="29"/>
      <c r="L12" s="29"/>
      <c r="M12" s="29"/>
      <c r="N12" s="29"/>
      <c r="O12" s="29"/>
      <c r="P12" s="29"/>
      <c r="Q12" s="29"/>
      <c r="R12" s="29"/>
      <c r="S12" s="29"/>
      <c r="T12" s="29"/>
      <c r="U12" s="30"/>
      <c r="V12" s="30"/>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c r="MM12" s="29"/>
    </row>
    <row r="13" spans="1:351" s="3" customFormat="1" ht="29.25" customHeight="1" outlineLevel="1" thickBot="1">
      <c r="A13" s="33"/>
      <c r="B13" s="88"/>
      <c r="C13" s="40" t="s">
        <v>186</v>
      </c>
      <c r="D13" s="118">
        <v>45705</v>
      </c>
      <c r="E13" s="118">
        <f t="shared" si="312"/>
        <v>45716</v>
      </c>
      <c r="F13" s="14"/>
      <c r="G13" s="14">
        <v>12</v>
      </c>
      <c r="H13" s="29"/>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c r="MM13" s="29"/>
    </row>
    <row r="14" spans="1:351" s="3" customFormat="1" ht="29.25" customHeight="1" outlineLevel="1" thickBot="1">
      <c r="A14" s="33"/>
      <c r="B14" s="46"/>
      <c r="C14" s="40" t="s">
        <v>187</v>
      </c>
      <c r="D14" s="118">
        <f>D13+7</f>
        <v>45712</v>
      </c>
      <c r="E14" s="118">
        <f t="shared" si="312"/>
        <v>45716</v>
      </c>
      <c r="F14" s="14"/>
      <c r="G14" s="14">
        <v>5</v>
      </c>
      <c r="H14" s="29"/>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c r="MM14" s="29"/>
    </row>
    <row r="15" spans="1:351" s="3" customFormat="1" ht="29.25" customHeight="1" outlineLevel="1" thickBot="1">
      <c r="A15" s="33"/>
      <c r="B15" s="89"/>
      <c r="C15" s="40" t="s">
        <v>120</v>
      </c>
      <c r="D15" s="118">
        <f>D16</f>
        <v>45726</v>
      </c>
      <c r="E15" s="118">
        <f>D15+G15-1</f>
        <v>45730</v>
      </c>
      <c r="F15" s="14"/>
      <c r="G15" s="14">
        <v>5</v>
      </c>
      <c r="H15" s="29"/>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c r="MM15" s="29"/>
    </row>
    <row r="16" spans="1:351" s="3" customFormat="1" ht="29.25" customHeight="1" outlineLevel="1" thickBot="1">
      <c r="A16" s="33"/>
      <c r="B16" s="89"/>
      <c r="C16" s="40" t="s">
        <v>42</v>
      </c>
      <c r="D16" s="118">
        <f>D14+14</f>
        <v>45726</v>
      </c>
      <c r="E16" s="118">
        <f t="shared" si="312"/>
        <v>45737</v>
      </c>
      <c r="F16" s="14"/>
      <c r="G16" s="14">
        <v>12</v>
      </c>
      <c r="H16" s="29"/>
      <c r="I16" s="29"/>
      <c r="J16" s="29"/>
      <c r="K16" s="29"/>
      <c r="L16" s="29"/>
      <c r="M16" s="29"/>
      <c r="N16" s="29"/>
      <c r="O16" s="29"/>
      <c r="P16" s="29"/>
      <c r="Q16" s="29"/>
      <c r="R16" s="29"/>
      <c r="S16" s="29"/>
      <c r="T16" s="29"/>
      <c r="U16" s="29"/>
      <c r="V16" s="29"/>
      <c r="W16" s="29"/>
      <c r="X16" s="29"/>
      <c r="Y16" s="30"/>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c r="MM16" s="29"/>
    </row>
    <row r="17" spans="1:351" s="3" customFormat="1" ht="29.25" customHeight="1" outlineLevel="1" thickBot="1">
      <c r="A17" s="33"/>
      <c r="B17" s="89"/>
      <c r="C17" s="40" t="s">
        <v>100</v>
      </c>
      <c r="D17" s="118">
        <f>D15+14</f>
        <v>45740</v>
      </c>
      <c r="E17" s="118">
        <f t="shared" si="312"/>
        <v>45744</v>
      </c>
      <c r="F17" s="14"/>
      <c r="G17" s="14">
        <v>5</v>
      </c>
      <c r="H17" s="29"/>
      <c r="I17" s="29"/>
      <c r="J17" s="29"/>
      <c r="K17" s="29"/>
      <c r="L17" s="29"/>
      <c r="M17" s="29"/>
      <c r="N17" s="29"/>
      <c r="O17" s="29"/>
      <c r="P17" s="29"/>
      <c r="Q17" s="29"/>
      <c r="R17" s="29"/>
      <c r="S17" s="29"/>
      <c r="T17" s="29"/>
      <c r="U17" s="29"/>
      <c r="V17" s="29"/>
      <c r="W17" s="29"/>
      <c r="X17" s="29"/>
      <c r="Y17" s="30"/>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c r="MM17" s="29"/>
    </row>
    <row r="18" spans="1:351" s="3" customFormat="1" ht="29.25" customHeight="1" outlineLevel="1" thickBot="1">
      <c r="A18" s="33"/>
      <c r="B18" s="40"/>
      <c r="C18" s="40" t="s">
        <v>106</v>
      </c>
      <c r="D18" s="118">
        <f>D16+14</f>
        <v>45740</v>
      </c>
      <c r="E18" s="118">
        <f t="shared" si="312"/>
        <v>45751</v>
      </c>
      <c r="F18" s="14"/>
      <c r="G18" s="14">
        <v>12</v>
      </c>
      <c r="H18" s="29"/>
      <c r="I18" s="29"/>
      <c r="J18" s="29"/>
      <c r="K18" s="29"/>
      <c r="L18" s="29"/>
      <c r="M18" s="29"/>
      <c r="N18" s="29"/>
      <c r="O18" s="29"/>
      <c r="P18" s="29"/>
      <c r="Q18" s="29"/>
      <c r="R18" s="29"/>
      <c r="S18" s="29"/>
      <c r="T18" s="29"/>
      <c r="U18" s="29"/>
      <c r="V18" s="29"/>
      <c r="W18" s="29"/>
      <c r="X18" s="29"/>
      <c r="Y18" s="30"/>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c r="MM18" s="29"/>
    </row>
    <row r="19" spans="1:351" s="3" customFormat="1" ht="29.25" customHeight="1" outlineLevel="1" thickBot="1">
      <c r="A19" s="33"/>
      <c r="B19" s="40"/>
      <c r="C19" s="40" t="s">
        <v>82</v>
      </c>
      <c r="D19" s="118">
        <f t="shared" ref="D19:D40" si="313">D18+7</f>
        <v>45747</v>
      </c>
      <c r="E19" s="118">
        <f t="shared" si="312"/>
        <v>45758</v>
      </c>
      <c r="F19" s="14"/>
      <c r="G19" s="14">
        <v>12</v>
      </c>
      <c r="H19" s="29"/>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c r="MM19" s="29"/>
    </row>
    <row r="20" spans="1:351" s="3" customFormat="1" ht="29.25" customHeight="1" outlineLevel="1" thickBot="1">
      <c r="A20" s="33"/>
      <c r="B20" s="40"/>
      <c r="C20" s="40" t="s">
        <v>79</v>
      </c>
      <c r="D20" s="118">
        <f t="shared" si="313"/>
        <v>45754</v>
      </c>
      <c r="E20" s="118">
        <f t="shared" si="312"/>
        <v>45765</v>
      </c>
      <c r="F20" s="14"/>
      <c r="G20" s="14">
        <v>12</v>
      </c>
      <c r="H20" s="29"/>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c r="MM20" s="29"/>
    </row>
    <row r="21" spans="1:351" s="3" customFormat="1" ht="29.25" customHeight="1" outlineLevel="1" thickBot="1">
      <c r="A21" s="33"/>
      <c r="B21" s="40"/>
      <c r="C21" s="40" t="s">
        <v>94</v>
      </c>
      <c r="D21" s="118">
        <f t="shared" si="313"/>
        <v>45761</v>
      </c>
      <c r="E21" s="118">
        <f t="shared" si="312"/>
        <v>45772</v>
      </c>
      <c r="F21" s="14"/>
      <c r="G21" s="14">
        <v>12</v>
      </c>
      <c r="H21" s="29"/>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c r="MM21" s="29"/>
    </row>
    <row r="22" spans="1:351" s="3" customFormat="1" ht="29.25" customHeight="1" outlineLevel="1" thickBot="1">
      <c r="A22" s="33"/>
      <c r="B22" s="40"/>
      <c r="C22" s="40" t="s">
        <v>64</v>
      </c>
      <c r="D22" s="118">
        <f t="shared" si="313"/>
        <v>45768</v>
      </c>
      <c r="E22" s="118">
        <f t="shared" si="312"/>
        <v>45779</v>
      </c>
      <c r="F22" s="14"/>
      <c r="G22" s="14">
        <v>12</v>
      </c>
      <c r="H22" s="29"/>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c r="MM22" s="29"/>
    </row>
    <row r="23" spans="1:351" s="3" customFormat="1" ht="29.25" customHeight="1" outlineLevel="1" thickBot="1">
      <c r="A23" s="33"/>
      <c r="B23" s="40"/>
      <c r="C23" s="40" t="s">
        <v>61</v>
      </c>
      <c r="D23" s="118">
        <f t="shared" si="313"/>
        <v>45775</v>
      </c>
      <c r="E23" s="118">
        <f t="shared" si="312"/>
        <v>45786</v>
      </c>
      <c r="F23" s="14"/>
      <c r="G23" s="14">
        <v>12</v>
      </c>
      <c r="H23" s="29"/>
      <c r="I23" s="29"/>
      <c r="J23" s="29"/>
      <c r="K23" s="29"/>
      <c r="L23" s="29"/>
      <c r="M23" s="29"/>
      <c r="N23" s="29"/>
      <c r="O23" s="29"/>
      <c r="P23" s="29"/>
      <c r="Q23" s="29"/>
      <c r="R23" s="29"/>
      <c r="S23" s="29"/>
      <c r="T23" s="29"/>
      <c r="U23" s="29"/>
      <c r="V23" s="29"/>
      <c r="W23" s="29"/>
      <c r="X23" s="29"/>
      <c r="Y23" s="30"/>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c r="MM23" s="29"/>
    </row>
    <row r="24" spans="1:351" s="3" customFormat="1" ht="29.25" customHeight="1" outlineLevel="1" thickBot="1">
      <c r="A24" s="33"/>
      <c r="B24" s="40"/>
      <c r="C24" s="40" t="s">
        <v>67</v>
      </c>
      <c r="D24" s="118">
        <f t="shared" si="313"/>
        <v>45782</v>
      </c>
      <c r="E24" s="118">
        <f t="shared" si="312"/>
        <v>45793</v>
      </c>
      <c r="F24" s="14"/>
      <c r="G24" s="14">
        <v>12</v>
      </c>
      <c r="H24" s="29"/>
      <c r="I24" s="29"/>
      <c r="J24" s="29"/>
      <c r="K24" s="29"/>
      <c r="L24" s="29"/>
      <c r="M24" s="29"/>
      <c r="N24" s="29"/>
      <c r="O24" s="29"/>
      <c r="P24" s="29"/>
      <c r="Q24" s="29"/>
      <c r="R24" s="29"/>
      <c r="S24" s="29"/>
      <c r="T24" s="29"/>
      <c r="U24" s="29"/>
      <c r="V24" s="29"/>
      <c r="W24" s="29"/>
      <c r="X24" s="29"/>
      <c r="Y24" s="30"/>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c r="MM24" s="29"/>
    </row>
    <row r="25" spans="1:351" s="3" customFormat="1" ht="29.25" customHeight="1" outlineLevel="1" thickBot="1">
      <c r="A25" s="33"/>
      <c r="B25" s="40"/>
      <c r="C25" s="40" t="s">
        <v>132</v>
      </c>
      <c r="D25" s="118">
        <f t="shared" si="313"/>
        <v>45789</v>
      </c>
      <c r="E25" s="118">
        <f t="shared" si="312"/>
        <v>45800</v>
      </c>
      <c r="F25" s="14"/>
      <c r="G25" s="14">
        <v>12</v>
      </c>
      <c r="H25" s="29"/>
      <c r="I25" s="29"/>
      <c r="J25" s="29"/>
      <c r="K25" s="29"/>
      <c r="L25" s="29"/>
      <c r="M25" s="29"/>
      <c r="N25" s="29"/>
      <c r="O25" s="29"/>
      <c r="P25" s="29"/>
      <c r="Q25" s="29"/>
      <c r="R25" s="29"/>
      <c r="S25" s="29"/>
      <c r="T25" s="29"/>
      <c r="U25" s="29"/>
      <c r="V25" s="29"/>
      <c r="W25" s="29"/>
      <c r="X25" s="29"/>
      <c r="Y25" s="30"/>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c r="MM25" s="29"/>
    </row>
    <row r="26" spans="1:351" s="3" customFormat="1" ht="29.25" customHeight="1" outlineLevel="1" thickBot="1">
      <c r="A26" s="33"/>
      <c r="B26" s="40"/>
      <c r="C26" s="40" t="s">
        <v>85</v>
      </c>
      <c r="D26" s="118">
        <f>D25+7</f>
        <v>45796</v>
      </c>
      <c r="E26" s="118">
        <f t="shared" ref="E26:E50" si="314">D26+G26-1</f>
        <v>45807</v>
      </c>
      <c r="F26" s="14"/>
      <c r="G26" s="14">
        <v>12</v>
      </c>
      <c r="H26" s="29"/>
      <c r="I26" s="29"/>
      <c r="J26" s="29"/>
      <c r="K26" s="29"/>
      <c r="L26" s="29"/>
      <c r="M26" s="29"/>
      <c r="N26" s="29"/>
      <c r="O26" s="29"/>
      <c r="P26" s="29"/>
      <c r="Q26" s="29"/>
      <c r="R26" s="29"/>
      <c r="S26" s="29"/>
      <c r="T26" s="29"/>
      <c r="U26" s="29"/>
      <c r="V26" s="29"/>
      <c r="W26" s="29"/>
      <c r="X26" s="29"/>
      <c r="Y26" s="30"/>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c r="MM26" s="29"/>
    </row>
    <row r="27" spans="1:351" s="3" customFormat="1" ht="29.25" customHeight="1" outlineLevel="1" thickBot="1">
      <c r="A27" s="33"/>
      <c r="B27" s="40"/>
      <c r="C27" s="40" t="s">
        <v>39</v>
      </c>
      <c r="D27" s="118">
        <f t="shared" si="313"/>
        <v>45803</v>
      </c>
      <c r="E27" s="118">
        <f t="shared" si="314"/>
        <v>45814</v>
      </c>
      <c r="F27" s="14"/>
      <c r="G27" s="14">
        <v>12</v>
      </c>
      <c r="H27" s="29"/>
      <c r="I27" s="29"/>
      <c r="J27" s="29"/>
      <c r="K27" s="29"/>
      <c r="L27" s="29"/>
      <c r="M27" s="29"/>
      <c r="N27" s="29"/>
      <c r="O27" s="29"/>
      <c r="P27" s="29"/>
      <c r="Q27" s="29"/>
      <c r="R27" s="29"/>
      <c r="S27" s="29"/>
      <c r="T27" s="29"/>
      <c r="U27" s="29"/>
      <c r="V27" s="29"/>
      <c r="W27" s="29"/>
      <c r="X27" s="29"/>
      <c r="Y27" s="30"/>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c r="MM27" s="29"/>
    </row>
    <row r="28" spans="1:351" s="3" customFormat="1" ht="29.25" customHeight="1" outlineLevel="1" thickBot="1">
      <c r="A28" s="33"/>
      <c r="B28" s="40"/>
      <c r="C28" s="40" t="s">
        <v>70</v>
      </c>
      <c r="D28" s="118">
        <f t="shared" si="313"/>
        <v>45810</v>
      </c>
      <c r="E28" s="118">
        <f t="shared" si="314"/>
        <v>45821</v>
      </c>
      <c r="F28" s="14"/>
      <c r="G28" s="14">
        <v>12</v>
      </c>
      <c r="H28" s="29"/>
      <c r="I28" s="29"/>
      <c r="J28" s="29"/>
      <c r="K28" s="29"/>
      <c r="L28" s="29"/>
      <c r="M28" s="29"/>
      <c r="N28" s="29"/>
      <c r="O28" s="29"/>
      <c r="P28" s="29"/>
      <c r="Q28" s="29"/>
      <c r="R28" s="29"/>
      <c r="S28" s="29"/>
      <c r="T28" s="29"/>
      <c r="U28" s="29"/>
      <c r="V28" s="29"/>
      <c r="W28" s="29"/>
      <c r="X28" s="29"/>
      <c r="Y28" s="30"/>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c r="MM28" s="29"/>
    </row>
    <row r="29" spans="1:351" s="3" customFormat="1" ht="29.25" customHeight="1" outlineLevel="1" thickBot="1">
      <c r="A29" s="33"/>
      <c r="B29" s="40"/>
      <c r="C29" s="40" t="s">
        <v>35</v>
      </c>
      <c r="D29" s="118">
        <f t="shared" si="313"/>
        <v>45817</v>
      </c>
      <c r="E29" s="118">
        <f t="shared" si="314"/>
        <v>45828</v>
      </c>
      <c r="F29" s="14"/>
      <c r="G29" s="14">
        <v>12</v>
      </c>
      <c r="H29" s="29"/>
      <c r="I29" s="29"/>
      <c r="J29" s="29"/>
      <c r="K29" s="29"/>
      <c r="L29" s="29"/>
      <c r="M29" s="29"/>
      <c r="N29" s="29"/>
      <c r="O29" s="29"/>
      <c r="P29" s="29"/>
      <c r="Q29" s="29"/>
      <c r="R29" s="29"/>
      <c r="S29" s="29"/>
      <c r="T29" s="29"/>
      <c r="U29" s="29"/>
      <c r="V29" s="29"/>
      <c r="W29" s="29"/>
      <c r="X29" s="29"/>
      <c r="Y29" s="30"/>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c r="MM29" s="29"/>
    </row>
    <row r="30" spans="1:351" s="3" customFormat="1" ht="29.25" customHeight="1" outlineLevel="1" thickBot="1">
      <c r="A30" s="33"/>
      <c r="B30" s="40"/>
      <c r="C30" s="40" t="s">
        <v>91</v>
      </c>
      <c r="D30" s="118">
        <f t="shared" si="313"/>
        <v>45824</v>
      </c>
      <c r="E30" s="118">
        <f t="shared" si="314"/>
        <v>45835</v>
      </c>
      <c r="F30" s="14"/>
      <c r="G30" s="14">
        <v>12</v>
      </c>
      <c r="H30" s="29"/>
      <c r="I30" s="29"/>
      <c r="J30" s="29"/>
      <c r="K30" s="29"/>
      <c r="L30" s="29"/>
      <c r="M30" s="29"/>
      <c r="N30" s="29"/>
      <c r="O30" s="29"/>
      <c r="P30" s="29"/>
      <c r="Q30" s="29"/>
      <c r="R30" s="29"/>
      <c r="S30" s="29"/>
      <c r="T30" s="29"/>
      <c r="U30" s="29"/>
      <c r="V30" s="29"/>
      <c r="W30" s="29"/>
      <c r="X30" s="29"/>
      <c r="Y30" s="30"/>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c r="MM30" s="29"/>
    </row>
    <row r="31" spans="1:351" s="3" customFormat="1" ht="29.25" customHeight="1" outlineLevel="1" thickBot="1">
      <c r="A31" s="33"/>
      <c r="B31" s="40"/>
      <c r="C31" s="40" t="s">
        <v>103</v>
      </c>
      <c r="D31" s="118">
        <f t="shared" si="313"/>
        <v>45831</v>
      </c>
      <c r="E31" s="118">
        <f t="shared" si="314"/>
        <v>45842</v>
      </c>
      <c r="F31" s="14"/>
      <c r="G31" s="14">
        <v>12</v>
      </c>
      <c r="H31" s="29"/>
      <c r="I31" s="29"/>
      <c r="J31" s="29"/>
      <c r="K31" s="29"/>
      <c r="L31" s="29"/>
      <c r="M31" s="29"/>
      <c r="N31" s="29"/>
      <c r="O31" s="29"/>
      <c r="P31" s="29"/>
      <c r="Q31" s="29"/>
      <c r="R31" s="29"/>
      <c r="S31" s="29"/>
      <c r="T31" s="29"/>
      <c r="U31" s="29"/>
      <c r="V31" s="29"/>
      <c r="W31" s="29"/>
      <c r="X31" s="29"/>
      <c r="Y31" s="30"/>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c r="MM31" s="29"/>
    </row>
    <row r="32" spans="1:351" s="3" customFormat="1" ht="29.25" customHeight="1" outlineLevel="1" thickBot="1">
      <c r="A32" s="33"/>
      <c r="B32" s="40"/>
      <c r="C32" s="40" t="s">
        <v>100</v>
      </c>
      <c r="D32" s="118">
        <f t="shared" si="313"/>
        <v>45838</v>
      </c>
      <c r="E32" s="118">
        <f t="shared" si="314"/>
        <v>45849</v>
      </c>
      <c r="F32" s="14"/>
      <c r="G32" s="14">
        <v>12</v>
      </c>
      <c r="H32" s="29"/>
      <c r="I32" s="29"/>
      <c r="J32" s="29"/>
      <c r="K32" s="29"/>
      <c r="L32" s="29"/>
      <c r="M32" s="29"/>
      <c r="N32" s="29"/>
      <c r="O32" s="29"/>
      <c r="P32" s="29"/>
      <c r="Q32" s="29"/>
      <c r="R32" s="29"/>
      <c r="S32" s="29"/>
      <c r="T32" s="29"/>
      <c r="U32" s="29"/>
      <c r="V32" s="29"/>
      <c r="W32" s="29"/>
      <c r="X32" s="29"/>
      <c r="Y32" s="30"/>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c r="MM32" s="29"/>
    </row>
    <row r="33" spans="1:351" s="3" customFormat="1" ht="29.25" customHeight="1" outlineLevel="1" thickBot="1">
      <c r="A33" s="33"/>
      <c r="B33" s="40"/>
      <c r="C33" s="40" t="s">
        <v>76</v>
      </c>
      <c r="D33" s="118">
        <f t="shared" si="313"/>
        <v>45845</v>
      </c>
      <c r="E33" s="118">
        <f t="shared" si="314"/>
        <v>45856</v>
      </c>
      <c r="F33" s="14"/>
      <c r="G33" s="14">
        <v>12</v>
      </c>
      <c r="H33" s="29"/>
      <c r="I33" s="29"/>
      <c r="J33" s="29"/>
      <c r="K33" s="29"/>
      <c r="L33" s="29"/>
      <c r="M33" s="29"/>
      <c r="N33" s="29"/>
      <c r="O33" s="29"/>
      <c r="P33" s="29"/>
      <c r="Q33" s="29"/>
      <c r="R33" s="29"/>
      <c r="S33" s="29"/>
      <c r="T33" s="29"/>
      <c r="U33" s="29"/>
      <c r="V33" s="29"/>
      <c r="W33" s="29"/>
      <c r="X33" s="29"/>
      <c r="Y33" s="30"/>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c r="MM33" s="29"/>
    </row>
    <row r="34" spans="1:351" s="3" customFormat="1" ht="29.25" customHeight="1" outlineLevel="1" thickBot="1">
      <c r="A34" s="33"/>
      <c r="B34" s="40"/>
      <c r="C34" s="40" t="s">
        <v>70</v>
      </c>
      <c r="D34" s="118">
        <f t="shared" si="313"/>
        <v>45852</v>
      </c>
      <c r="E34" s="118">
        <f t="shared" si="314"/>
        <v>45863</v>
      </c>
      <c r="F34" s="14"/>
      <c r="G34" s="14">
        <v>12</v>
      </c>
      <c r="H34" s="29"/>
      <c r="I34" s="29"/>
      <c r="J34" s="29"/>
      <c r="K34" s="29"/>
      <c r="L34" s="29"/>
      <c r="M34" s="29"/>
      <c r="N34" s="29"/>
      <c r="O34" s="29"/>
      <c r="P34" s="29"/>
      <c r="Q34" s="29"/>
      <c r="R34" s="29"/>
      <c r="S34" s="29"/>
      <c r="T34" s="29"/>
      <c r="U34" s="29"/>
      <c r="V34" s="29"/>
      <c r="W34" s="29"/>
      <c r="X34" s="29"/>
      <c r="Y34" s="30"/>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c r="MM34" s="29"/>
    </row>
    <row r="35" spans="1:351" s="3" customFormat="1" ht="29.25" customHeight="1" outlineLevel="1" thickBot="1">
      <c r="A35" s="33"/>
      <c r="B35" s="40"/>
      <c r="C35" s="40" t="s">
        <v>39</v>
      </c>
      <c r="D35" s="118">
        <f t="shared" si="313"/>
        <v>45859</v>
      </c>
      <c r="E35" s="118">
        <f t="shared" si="314"/>
        <v>45870</v>
      </c>
      <c r="F35" s="14"/>
      <c r="G35" s="14">
        <v>12</v>
      </c>
      <c r="H35" s="29"/>
      <c r="I35" s="29"/>
      <c r="J35" s="29"/>
      <c r="K35" s="29"/>
      <c r="L35" s="29"/>
      <c r="M35" s="29"/>
      <c r="N35" s="29"/>
      <c r="O35" s="29"/>
      <c r="P35" s="29"/>
      <c r="Q35" s="29"/>
      <c r="R35" s="29"/>
      <c r="S35" s="29"/>
      <c r="T35" s="29"/>
      <c r="U35" s="29"/>
      <c r="V35" s="29"/>
      <c r="W35" s="29"/>
      <c r="X35" s="29"/>
      <c r="Y35" s="30"/>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c r="MM35" s="29"/>
    </row>
    <row r="36" spans="1:351" s="3" customFormat="1" ht="29.25" customHeight="1" outlineLevel="1" thickBot="1">
      <c r="A36" s="33"/>
      <c r="B36" s="40"/>
      <c r="C36" s="40" t="s">
        <v>132</v>
      </c>
      <c r="D36" s="118">
        <f t="shared" si="313"/>
        <v>45866</v>
      </c>
      <c r="E36" s="118">
        <f t="shared" si="314"/>
        <v>45877</v>
      </c>
      <c r="F36" s="14"/>
      <c r="G36" s="14">
        <v>12</v>
      </c>
      <c r="H36" s="29"/>
      <c r="I36" s="29"/>
      <c r="J36" s="29"/>
      <c r="K36" s="29"/>
      <c r="L36" s="29"/>
      <c r="M36" s="29"/>
      <c r="N36" s="29"/>
      <c r="O36" s="29"/>
      <c r="P36" s="29"/>
      <c r="Q36" s="29"/>
      <c r="R36" s="29"/>
      <c r="S36" s="29"/>
      <c r="T36" s="29"/>
      <c r="U36" s="29"/>
      <c r="V36" s="29"/>
      <c r="W36" s="29"/>
      <c r="X36" s="29"/>
      <c r="Y36" s="30"/>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c r="MM36" s="29"/>
    </row>
    <row r="37" spans="1:351" s="3" customFormat="1" ht="29.25" customHeight="1" outlineLevel="1" thickBot="1">
      <c r="A37" s="33"/>
      <c r="B37" s="40"/>
      <c r="C37" s="40" t="s">
        <v>114</v>
      </c>
      <c r="D37" s="118">
        <f t="shared" si="313"/>
        <v>45873</v>
      </c>
      <c r="E37" s="118">
        <f t="shared" si="314"/>
        <v>45884</v>
      </c>
      <c r="F37" s="14"/>
      <c r="G37" s="14">
        <v>12</v>
      </c>
      <c r="H37" s="29"/>
      <c r="I37" s="29"/>
      <c r="J37" s="29"/>
      <c r="K37" s="29"/>
      <c r="L37" s="29"/>
      <c r="M37" s="29"/>
      <c r="N37" s="29"/>
      <c r="O37" s="29"/>
      <c r="P37" s="29"/>
      <c r="Q37" s="29"/>
      <c r="R37" s="29"/>
      <c r="S37" s="29"/>
      <c r="T37" s="29"/>
      <c r="U37" s="29"/>
      <c r="V37" s="29"/>
      <c r="W37" s="29"/>
      <c r="X37" s="29"/>
      <c r="Y37" s="30"/>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c r="MM37" s="29"/>
    </row>
    <row r="38" spans="1:351" s="3" customFormat="1" ht="29.25" customHeight="1" outlineLevel="1" thickBot="1">
      <c r="A38" s="33"/>
      <c r="B38" s="40"/>
      <c r="C38" s="40" t="s">
        <v>129</v>
      </c>
      <c r="D38" s="118">
        <f t="shared" si="313"/>
        <v>45880</v>
      </c>
      <c r="E38" s="118">
        <f t="shared" si="314"/>
        <v>45891</v>
      </c>
      <c r="F38" s="14"/>
      <c r="G38" s="14">
        <v>12</v>
      </c>
      <c r="H38" s="29"/>
      <c r="I38" s="29"/>
      <c r="J38" s="29"/>
      <c r="K38" s="29"/>
      <c r="L38" s="29"/>
      <c r="M38" s="29"/>
      <c r="N38" s="29"/>
      <c r="O38" s="29"/>
      <c r="P38" s="29"/>
      <c r="Q38" s="29"/>
      <c r="R38" s="29"/>
      <c r="S38" s="29"/>
      <c r="T38" s="29"/>
      <c r="U38" s="29"/>
      <c r="V38" s="29"/>
      <c r="W38" s="29"/>
      <c r="X38" s="29"/>
      <c r="Y38" s="30"/>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c r="MM38" s="29"/>
    </row>
    <row r="39" spans="1:351" s="3" customFormat="1" ht="29.25" customHeight="1" outlineLevel="1" thickBot="1">
      <c r="A39" s="33"/>
      <c r="B39" s="40"/>
      <c r="C39" s="140" t="s">
        <v>94</v>
      </c>
      <c r="D39" s="118">
        <f t="shared" si="313"/>
        <v>45887</v>
      </c>
      <c r="E39" s="118">
        <f t="shared" si="314"/>
        <v>45898</v>
      </c>
      <c r="F39" s="14"/>
      <c r="G39" s="14">
        <v>12</v>
      </c>
      <c r="H39" s="29"/>
      <c r="I39" s="29"/>
      <c r="J39" s="29"/>
      <c r="K39" s="29"/>
      <c r="L39" s="29"/>
      <c r="M39" s="29"/>
      <c r="N39" s="29"/>
      <c r="O39" s="29"/>
      <c r="P39" s="29"/>
      <c r="Q39" s="29"/>
      <c r="R39" s="29"/>
      <c r="S39" s="29"/>
      <c r="T39" s="29"/>
      <c r="U39" s="29"/>
      <c r="V39" s="29"/>
      <c r="W39" s="29"/>
      <c r="X39" s="29"/>
      <c r="Y39" s="30"/>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c r="MM39" s="29"/>
    </row>
    <row r="40" spans="1:351" s="3" customFormat="1" ht="29.25" customHeight="1" outlineLevel="1" thickBot="1">
      <c r="A40" s="33"/>
      <c r="B40" s="40"/>
      <c r="C40" s="40" t="s">
        <v>103</v>
      </c>
      <c r="D40" s="118">
        <f t="shared" si="313"/>
        <v>45894</v>
      </c>
      <c r="E40" s="118">
        <f t="shared" si="314"/>
        <v>45912</v>
      </c>
      <c r="F40" s="14"/>
      <c r="G40" s="14">
        <v>19</v>
      </c>
      <c r="H40" s="29"/>
      <c r="I40" s="29"/>
      <c r="J40" s="29"/>
      <c r="K40" s="29"/>
      <c r="L40" s="29"/>
      <c r="M40" s="29"/>
      <c r="N40" s="29"/>
      <c r="O40" s="29"/>
      <c r="P40" s="29"/>
      <c r="Q40" s="29"/>
      <c r="R40" s="29"/>
      <c r="S40" s="29"/>
      <c r="T40" s="29"/>
      <c r="U40" s="29"/>
      <c r="V40" s="29"/>
      <c r="W40" s="29"/>
      <c r="X40" s="29"/>
      <c r="Y40" s="30"/>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c r="MM40" s="29"/>
    </row>
    <row r="41" spans="1:351" s="3" customFormat="1" ht="29.25" customHeight="1" outlineLevel="1" thickBot="1">
      <c r="A41" s="33"/>
      <c r="B41" s="40"/>
      <c r="C41" s="40" t="s">
        <v>45</v>
      </c>
      <c r="D41" s="118">
        <f>D40+7</f>
        <v>45901</v>
      </c>
      <c r="E41" s="118">
        <f t="shared" si="314"/>
        <v>45919</v>
      </c>
      <c r="F41" s="14"/>
      <c r="G41" s="14">
        <v>19</v>
      </c>
      <c r="H41" s="29"/>
      <c r="I41" s="29"/>
      <c r="J41" s="29"/>
      <c r="K41" s="29"/>
      <c r="L41" s="29"/>
      <c r="M41" s="29"/>
      <c r="N41" s="29"/>
      <c r="O41" s="29"/>
      <c r="P41" s="29"/>
      <c r="Q41" s="29"/>
      <c r="R41" s="29"/>
      <c r="S41" s="29"/>
      <c r="T41" s="29"/>
      <c r="U41" s="29"/>
      <c r="V41" s="29"/>
      <c r="W41" s="29"/>
      <c r="X41" s="29"/>
      <c r="Y41" s="30"/>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c r="MM41" s="29"/>
    </row>
    <row r="42" spans="1:351" s="3" customFormat="1" ht="29.25" customHeight="1" outlineLevel="1" thickBot="1">
      <c r="A42" s="33"/>
      <c r="B42" s="40"/>
      <c r="C42" s="40" t="s">
        <v>61</v>
      </c>
      <c r="D42" s="118">
        <v>45915</v>
      </c>
      <c r="E42" s="118">
        <f t="shared" si="314"/>
        <v>45933</v>
      </c>
      <c r="F42" s="14"/>
      <c r="G42" s="14">
        <v>19</v>
      </c>
      <c r="H42" s="29"/>
      <c r="I42" s="29"/>
      <c r="J42" s="29"/>
      <c r="K42" s="29"/>
      <c r="L42" s="29"/>
      <c r="M42" s="29"/>
      <c r="N42" s="29"/>
      <c r="O42" s="29"/>
      <c r="P42" s="29"/>
      <c r="Q42" s="29"/>
      <c r="R42" s="29"/>
      <c r="S42" s="29"/>
      <c r="T42" s="29"/>
      <c r="U42" s="29"/>
      <c r="V42" s="29"/>
      <c r="W42" s="29"/>
      <c r="X42" s="29"/>
      <c r="Y42" s="30"/>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c r="MM42" s="29"/>
    </row>
    <row r="43" spans="1:351" s="3" customFormat="1" ht="29.25" customHeight="1" outlineLevel="1" thickBot="1">
      <c r="A43" s="33"/>
      <c r="B43" s="40"/>
      <c r="C43" s="40" t="s">
        <v>151</v>
      </c>
      <c r="D43" s="118">
        <v>45922</v>
      </c>
      <c r="E43" s="118">
        <f t="shared" si="314"/>
        <v>45933</v>
      </c>
      <c r="F43" s="14"/>
      <c r="G43" s="14">
        <v>12</v>
      </c>
      <c r="H43" s="29"/>
      <c r="I43" s="29"/>
      <c r="J43" s="29"/>
      <c r="K43" s="29"/>
      <c r="L43" s="29"/>
      <c r="M43" s="29"/>
      <c r="N43" s="29"/>
      <c r="O43" s="29"/>
      <c r="P43" s="29"/>
      <c r="Q43" s="29"/>
      <c r="R43" s="29"/>
      <c r="S43" s="29"/>
      <c r="T43" s="29"/>
      <c r="U43" s="29"/>
      <c r="V43" s="29"/>
      <c r="W43" s="29"/>
      <c r="X43" s="29"/>
      <c r="Y43" s="30"/>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c r="MM43" s="29"/>
    </row>
    <row r="44" spans="1:351" s="3" customFormat="1" ht="29.25" customHeight="1" outlineLevel="1" thickBot="1">
      <c r="A44" s="33"/>
      <c r="B44" s="40"/>
      <c r="C44" s="40" t="s">
        <v>82</v>
      </c>
      <c r="D44" s="118">
        <v>45936</v>
      </c>
      <c r="E44" s="118">
        <f t="shared" ref="E44:E45" si="315">D44+G44-1</f>
        <v>45954</v>
      </c>
      <c r="F44" s="14"/>
      <c r="G44" s="14">
        <v>19</v>
      </c>
      <c r="H44" s="29"/>
      <c r="I44" s="29"/>
      <c r="J44" s="29"/>
      <c r="K44" s="29"/>
      <c r="L44" s="29"/>
      <c r="M44" s="29"/>
      <c r="N44" s="29"/>
      <c r="O44" s="29"/>
      <c r="P44" s="29"/>
      <c r="Q44" s="29"/>
      <c r="R44" s="29"/>
      <c r="S44" s="29"/>
      <c r="T44" s="29"/>
      <c r="U44" s="29"/>
      <c r="V44" s="29"/>
      <c r="W44" s="29"/>
      <c r="X44" s="29"/>
      <c r="Y44" s="30"/>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c r="MM44" s="29"/>
    </row>
    <row r="45" spans="1:351" s="3" customFormat="1" ht="29.25" customHeight="1" outlineLevel="1" thickBot="1">
      <c r="A45" s="33"/>
      <c r="B45" s="40"/>
      <c r="C45" s="40" t="s">
        <v>163</v>
      </c>
      <c r="D45" s="118">
        <v>45936</v>
      </c>
      <c r="E45" s="118">
        <f t="shared" si="315"/>
        <v>45947</v>
      </c>
      <c r="F45" s="14"/>
      <c r="G45" s="14">
        <v>12</v>
      </c>
      <c r="H45" s="29"/>
      <c r="I45" s="29"/>
      <c r="J45" s="29"/>
      <c r="K45" s="29"/>
      <c r="L45" s="29"/>
      <c r="M45" s="29"/>
      <c r="N45" s="29"/>
      <c r="O45" s="29"/>
      <c r="P45" s="29"/>
      <c r="Q45" s="29"/>
      <c r="R45" s="29"/>
      <c r="S45" s="29"/>
      <c r="T45" s="29"/>
      <c r="U45" s="29"/>
      <c r="V45" s="29"/>
      <c r="W45" s="29"/>
      <c r="X45" s="29"/>
      <c r="Y45" s="30"/>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c r="MM45" s="29"/>
    </row>
    <row r="46" spans="1:351" s="3" customFormat="1" ht="29.25" customHeight="1" outlineLevel="1" thickBot="1">
      <c r="A46" s="33"/>
      <c r="B46" s="40"/>
      <c r="C46" s="40" t="s">
        <v>148</v>
      </c>
      <c r="D46" s="118">
        <v>45950</v>
      </c>
      <c r="E46" s="118">
        <f t="shared" ref="E46" si="316">D46+G46-1</f>
        <v>45961</v>
      </c>
      <c r="F46" s="14"/>
      <c r="G46" s="14">
        <v>12</v>
      </c>
      <c r="H46" s="29"/>
      <c r="I46" s="29"/>
      <c r="J46" s="29"/>
      <c r="K46" s="29"/>
      <c r="L46" s="29"/>
      <c r="M46" s="29"/>
      <c r="N46" s="29"/>
      <c r="O46" s="29"/>
      <c r="P46" s="29"/>
      <c r="Q46" s="29"/>
      <c r="R46" s="29"/>
      <c r="S46" s="29"/>
      <c r="T46" s="29"/>
      <c r="U46" s="29"/>
      <c r="V46" s="29"/>
      <c r="W46" s="29"/>
      <c r="X46" s="29"/>
      <c r="Y46" s="30"/>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c r="MM46" s="29"/>
    </row>
    <row r="47" spans="1:351" s="3" customFormat="1" ht="29.25" customHeight="1" outlineLevel="1" thickBot="1">
      <c r="A47" s="33"/>
      <c r="B47" s="40"/>
      <c r="C47" s="40" t="s">
        <v>106</v>
      </c>
      <c r="D47" s="118">
        <v>45957</v>
      </c>
      <c r="E47" s="118">
        <f t="shared" si="314"/>
        <v>45968</v>
      </c>
      <c r="F47" s="14"/>
      <c r="G47" s="14">
        <v>12</v>
      </c>
      <c r="H47" s="29"/>
      <c r="I47" s="29"/>
      <c r="J47" s="29"/>
      <c r="K47" s="29"/>
      <c r="L47" s="29"/>
      <c r="M47" s="29"/>
      <c r="N47" s="29"/>
      <c r="O47" s="29"/>
      <c r="P47" s="29"/>
      <c r="Q47" s="29"/>
      <c r="R47" s="29"/>
      <c r="S47" s="29"/>
      <c r="T47" s="29"/>
      <c r="U47" s="29"/>
      <c r="V47" s="29"/>
      <c r="W47" s="29"/>
      <c r="X47" s="29"/>
      <c r="Y47" s="30"/>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c r="MM47" s="29"/>
    </row>
    <row r="48" spans="1:351" s="3" customFormat="1" ht="29.25" customHeight="1" outlineLevel="1" thickBot="1">
      <c r="A48" s="33"/>
      <c r="B48" s="40"/>
      <c r="C48" s="40" t="s">
        <v>16</v>
      </c>
      <c r="D48" s="118">
        <v>45964</v>
      </c>
      <c r="E48" s="118">
        <f t="shared" si="314"/>
        <v>45975</v>
      </c>
      <c r="F48" s="14"/>
      <c r="G48" s="14">
        <v>12</v>
      </c>
      <c r="H48" s="29"/>
      <c r="I48" s="29"/>
      <c r="J48" s="29"/>
      <c r="K48" s="29"/>
      <c r="L48" s="29"/>
      <c r="M48" s="29"/>
      <c r="N48" s="29"/>
      <c r="O48" s="29"/>
      <c r="P48" s="29"/>
      <c r="Q48" s="29"/>
      <c r="R48" s="29"/>
      <c r="S48" s="29"/>
      <c r="T48" s="29"/>
      <c r="U48" s="29"/>
      <c r="V48" s="29"/>
      <c r="W48" s="29"/>
      <c r="X48" s="29"/>
      <c r="Y48" s="30"/>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c r="MM48" s="29"/>
    </row>
    <row r="49" spans="1:351" s="3" customFormat="1" ht="29.25" customHeight="1" outlineLevel="1" thickBot="1">
      <c r="A49" s="33"/>
      <c r="B49" s="40"/>
      <c r="C49" s="40" t="s">
        <v>82</v>
      </c>
      <c r="D49" s="118">
        <v>45971</v>
      </c>
      <c r="E49" s="118">
        <f t="shared" si="314"/>
        <v>45982</v>
      </c>
      <c r="F49" s="14"/>
      <c r="G49" s="14">
        <v>12</v>
      </c>
      <c r="H49" s="29"/>
      <c r="I49" s="29"/>
      <c r="J49" s="29"/>
      <c r="K49" s="29"/>
      <c r="L49" s="29"/>
      <c r="M49" s="29"/>
      <c r="N49" s="29"/>
      <c r="O49" s="29"/>
      <c r="P49" s="29"/>
      <c r="Q49" s="29"/>
      <c r="R49" s="29"/>
      <c r="S49" s="29"/>
      <c r="T49" s="29"/>
      <c r="U49" s="29"/>
      <c r="V49" s="29"/>
      <c r="W49" s="29"/>
      <c r="X49" s="29"/>
      <c r="Y49" s="30"/>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c r="MM49" s="29"/>
    </row>
    <row r="50" spans="1:351" s="3" customFormat="1" ht="29.25" customHeight="1" outlineLevel="1" thickBot="1">
      <c r="A50" s="33"/>
      <c r="B50" s="40"/>
      <c r="C50" s="40" t="s">
        <v>154</v>
      </c>
      <c r="D50" s="118">
        <v>45978</v>
      </c>
      <c r="E50" s="118">
        <f t="shared" si="314"/>
        <v>45989</v>
      </c>
      <c r="F50" s="14"/>
      <c r="G50" s="14">
        <v>12</v>
      </c>
      <c r="H50" s="29"/>
      <c r="I50" s="29"/>
      <c r="J50" s="29"/>
      <c r="K50" s="29"/>
      <c r="L50" s="29"/>
      <c r="M50" s="29"/>
      <c r="N50" s="29"/>
      <c r="O50" s="29"/>
      <c r="P50" s="29"/>
      <c r="Q50" s="29"/>
      <c r="R50" s="29"/>
      <c r="S50" s="29"/>
      <c r="T50" s="29"/>
      <c r="U50" s="29"/>
      <c r="V50" s="29"/>
      <c r="W50" s="29"/>
      <c r="X50" s="29"/>
      <c r="Y50" s="30"/>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c r="MM50" s="29"/>
    </row>
    <row r="51" spans="1:351" s="3" customFormat="1" ht="29.25" customHeight="1" outlineLevel="1" thickBot="1">
      <c r="A51" s="33"/>
      <c r="B51" s="40"/>
      <c r="C51" s="40" t="s">
        <v>157</v>
      </c>
      <c r="D51" s="118">
        <v>45985</v>
      </c>
      <c r="E51" s="118">
        <f t="shared" ref="E51:E57" si="317">D51+G51-1</f>
        <v>45996</v>
      </c>
      <c r="F51" s="14"/>
      <c r="G51" s="14">
        <v>12</v>
      </c>
      <c r="H51" s="29"/>
      <c r="I51" s="29"/>
      <c r="J51" s="29"/>
      <c r="K51" s="29"/>
      <c r="L51" s="29"/>
      <c r="M51" s="29"/>
      <c r="N51" s="29"/>
      <c r="O51" s="29"/>
      <c r="P51" s="29"/>
      <c r="Q51" s="29"/>
      <c r="R51" s="29"/>
      <c r="S51" s="29"/>
      <c r="T51" s="29"/>
      <c r="U51" s="29"/>
      <c r="V51" s="29"/>
      <c r="W51" s="29"/>
      <c r="X51" s="29"/>
      <c r="Y51" s="30"/>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c r="MM51" s="29"/>
    </row>
    <row r="52" spans="1:351" s="3" customFormat="1" ht="29.25" customHeight="1" outlineLevel="1" thickBot="1">
      <c r="A52" s="33"/>
      <c r="B52" s="40"/>
      <c r="C52" s="40" t="s">
        <v>26</v>
      </c>
      <c r="D52" s="118">
        <v>45992</v>
      </c>
      <c r="E52" s="118">
        <f t="shared" si="317"/>
        <v>46010</v>
      </c>
      <c r="F52" s="14"/>
      <c r="G52" s="14">
        <v>19</v>
      </c>
      <c r="H52" s="29"/>
      <c r="I52" s="29"/>
      <c r="J52" s="29"/>
      <c r="K52" s="29"/>
      <c r="L52" s="29"/>
      <c r="M52" s="29"/>
      <c r="N52" s="29"/>
      <c r="O52" s="29"/>
      <c r="P52" s="29"/>
      <c r="Q52" s="29"/>
      <c r="R52" s="29"/>
      <c r="S52" s="29"/>
      <c r="T52" s="29"/>
      <c r="U52" s="29"/>
      <c r="V52" s="29"/>
      <c r="W52" s="29"/>
      <c r="X52" s="29"/>
      <c r="Y52" s="30"/>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c r="MM52" s="29"/>
    </row>
    <row r="53" spans="1:351" s="3" customFormat="1" ht="29.25" customHeight="1" outlineLevel="1" thickBot="1">
      <c r="A53" s="33"/>
      <c r="B53" s="40"/>
      <c r="C53" s="40" t="s">
        <v>160</v>
      </c>
      <c r="D53" s="118">
        <v>45999</v>
      </c>
      <c r="E53" s="118">
        <f t="shared" si="317"/>
        <v>46014</v>
      </c>
      <c r="F53" s="14"/>
      <c r="G53" s="14">
        <v>16</v>
      </c>
      <c r="H53" s="29"/>
      <c r="I53" s="29"/>
      <c r="J53" s="29"/>
      <c r="K53" s="29"/>
      <c r="L53" s="29"/>
      <c r="M53" s="29"/>
      <c r="N53" s="29"/>
      <c r="O53" s="29"/>
      <c r="P53" s="29"/>
      <c r="Q53" s="29"/>
      <c r="R53" s="29"/>
      <c r="S53" s="29"/>
      <c r="T53" s="29"/>
      <c r="U53" s="29"/>
      <c r="V53" s="29"/>
      <c r="W53" s="29"/>
      <c r="X53" s="29"/>
      <c r="Y53" s="30"/>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c r="MM53" s="29"/>
    </row>
    <row r="54" spans="1:351" s="3" customFormat="1" ht="29.25" customHeight="1" outlineLevel="1" thickBot="1">
      <c r="A54" s="33"/>
      <c r="B54" s="40"/>
      <c r="C54" s="40"/>
      <c r="D54" s="118">
        <v>46027</v>
      </c>
      <c r="E54" s="118">
        <f t="shared" si="317"/>
        <v>46038</v>
      </c>
      <c r="F54" s="14"/>
      <c r="G54" s="14">
        <v>12</v>
      </c>
      <c r="H54" s="29"/>
      <c r="I54" s="29"/>
      <c r="J54" s="29"/>
      <c r="K54" s="29"/>
      <c r="L54" s="29"/>
      <c r="M54" s="29"/>
      <c r="N54" s="29"/>
      <c r="O54" s="29"/>
      <c r="P54" s="29"/>
      <c r="Q54" s="29"/>
      <c r="R54" s="29"/>
      <c r="S54" s="29"/>
      <c r="T54" s="29"/>
      <c r="U54" s="29"/>
      <c r="V54" s="29"/>
      <c r="W54" s="29"/>
      <c r="X54" s="29"/>
      <c r="Y54" s="30"/>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c r="MM54" s="29"/>
    </row>
    <row r="55" spans="1:351" s="3" customFormat="1" ht="29.25" customHeight="1" outlineLevel="1" thickBot="1">
      <c r="A55" s="33"/>
      <c r="B55" s="40"/>
      <c r="C55" s="40"/>
      <c r="D55" s="118">
        <v>46027</v>
      </c>
      <c r="E55" s="118">
        <f t="shared" si="317"/>
        <v>46045</v>
      </c>
      <c r="F55" s="14"/>
      <c r="G55" s="14">
        <v>19</v>
      </c>
      <c r="H55" s="29"/>
      <c r="I55" s="29"/>
      <c r="J55" s="29"/>
      <c r="K55" s="29"/>
      <c r="L55" s="29"/>
      <c r="M55" s="29"/>
      <c r="N55" s="29"/>
      <c r="O55" s="29"/>
      <c r="P55" s="29"/>
      <c r="Q55" s="29"/>
      <c r="R55" s="29"/>
      <c r="S55" s="29"/>
      <c r="T55" s="29"/>
      <c r="U55" s="29"/>
      <c r="V55" s="29"/>
      <c r="W55" s="29"/>
      <c r="X55" s="29"/>
      <c r="Y55" s="30"/>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c r="MM55" s="29"/>
    </row>
    <row r="56" spans="1:351" s="3" customFormat="1" ht="29.25" customHeight="1" outlineLevel="1" thickBot="1">
      <c r="A56" s="33"/>
      <c r="B56" s="40"/>
      <c r="C56" s="40"/>
      <c r="D56" s="118">
        <v>46041</v>
      </c>
      <c r="E56" s="118">
        <f t="shared" si="317"/>
        <v>46052</v>
      </c>
      <c r="F56" s="14"/>
      <c r="G56" s="14">
        <v>12</v>
      </c>
      <c r="H56" s="29"/>
      <c r="I56" s="29"/>
      <c r="J56" s="29"/>
      <c r="K56" s="29"/>
      <c r="L56" s="29"/>
      <c r="M56" s="29"/>
      <c r="N56" s="29"/>
      <c r="O56" s="29"/>
      <c r="P56" s="29"/>
      <c r="Q56" s="29"/>
      <c r="R56" s="29"/>
      <c r="S56" s="29"/>
      <c r="T56" s="29"/>
      <c r="U56" s="29"/>
      <c r="V56" s="29"/>
      <c r="W56" s="29"/>
      <c r="X56" s="29"/>
      <c r="Y56" s="30"/>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c r="MM56" s="29"/>
    </row>
    <row r="57" spans="1:351" s="3" customFormat="1" ht="29.25" customHeight="1" outlineLevel="1" thickBot="1">
      <c r="A57" s="33"/>
      <c r="B57" s="40"/>
      <c r="C57" s="40"/>
      <c r="D57" s="118">
        <v>46048</v>
      </c>
      <c r="E57" s="118">
        <f t="shared" si="317"/>
        <v>46066</v>
      </c>
      <c r="F57" s="14"/>
      <c r="G57" s="14">
        <v>19</v>
      </c>
      <c r="H57" s="29"/>
      <c r="I57" s="29"/>
      <c r="J57" s="29"/>
      <c r="K57" s="29"/>
      <c r="L57" s="29"/>
      <c r="M57" s="29"/>
      <c r="N57" s="29"/>
      <c r="O57" s="29"/>
      <c r="P57" s="29"/>
      <c r="Q57" s="29"/>
      <c r="R57" s="29"/>
      <c r="S57" s="29"/>
      <c r="T57" s="29"/>
      <c r="U57" s="29"/>
      <c r="V57" s="29"/>
      <c r="W57" s="29"/>
      <c r="X57" s="29"/>
      <c r="Y57" s="30"/>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s="29"/>
      <c r="LE57" s="29"/>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c r="MM57" s="29"/>
    </row>
    <row r="58" spans="1:351" s="3" customFormat="1" ht="29.25" customHeight="1" outlineLevel="1" thickBot="1">
      <c r="A58" s="33"/>
      <c r="B58" s="40"/>
      <c r="C58" s="40"/>
      <c r="D58" s="118">
        <v>46055</v>
      </c>
      <c r="E58" s="118">
        <f t="shared" ref="E58" si="318">D58+G58-1</f>
        <v>46066</v>
      </c>
      <c r="F58" s="14"/>
      <c r="G58" s="14">
        <v>12</v>
      </c>
      <c r="H58" s="29"/>
      <c r="I58" s="29"/>
      <c r="J58" s="29"/>
      <c r="K58" s="29"/>
      <c r="L58" s="29"/>
      <c r="M58" s="29"/>
      <c r="N58" s="29"/>
      <c r="O58" s="29"/>
      <c r="P58" s="29"/>
      <c r="Q58" s="29"/>
      <c r="R58" s="29"/>
      <c r="S58" s="29"/>
      <c r="T58" s="29"/>
      <c r="U58" s="29"/>
      <c r="V58" s="29"/>
      <c r="W58" s="29"/>
      <c r="X58" s="29"/>
      <c r="Y58" s="30"/>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c r="MM58" s="29"/>
    </row>
    <row r="59" spans="1:351" s="3" customFormat="1" ht="29.25" customHeight="1" outlineLevel="1" thickBot="1">
      <c r="A59" s="34" t="s">
        <v>188</v>
      </c>
      <c r="B59" s="176" t="s">
        <v>189</v>
      </c>
      <c r="C59" s="176"/>
      <c r="D59" s="176"/>
      <c r="E59" s="176"/>
      <c r="F59" s="14"/>
      <c r="G59" s="14" t="str">
        <f t="shared" ca="1" si="311"/>
        <v/>
      </c>
      <c r="H59" s="29"/>
      <c r="I59" s="29"/>
      <c r="J59" s="29"/>
      <c r="K59" s="29"/>
      <c r="L59" s="29"/>
      <c r="M59" s="29"/>
      <c r="N59" s="29"/>
      <c r="O59" s="29"/>
      <c r="P59" s="29"/>
      <c r="Q59" s="29"/>
      <c r="R59" s="29"/>
      <c r="S59" s="29"/>
      <c r="T59" s="29"/>
      <c r="U59" s="29"/>
      <c r="V59" s="29"/>
      <c r="W59" s="29"/>
      <c r="X59" s="29"/>
      <c r="Y59" s="29"/>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c r="MM59" s="29"/>
    </row>
    <row r="60" spans="1:351" s="3" customFormat="1" ht="29.25" customHeight="1" outlineLevel="1" thickBot="1">
      <c r="A60" s="34"/>
      <c r="B60" s="47" t="s">
        <v>190</v>
      </c>
      <c r="C60" s="42" t="s">
        <v>123</v>
      </c>
      <c r="D60" s="119">
        <v>45719</v>
      </c>
      <c r="E60" s="119">
        <f>D60+G60-1</f>
        <v>45732</v>
      </c>
      <c r="F60" s="14"/>
      <c r="G60" s="14">
        <v>14</v>
      </c>
      <c r="H60" s="29"/>
      <c r="I60" s="29"/>
      <c r="J60" s="29"/>
      <c r="K60" s="29"/>
      <c r="L60" s="29"/>
      <c r="M60" s="29"/>
      <c r="N60" s="29"/>
      <c r="O60" s="29"/>
      <c r="P60" s="29"/>
      <c r="Q60" s="29"/>
      <c r="R60" s="29"/>
      <c r="S60" s="29"/>
      <c r="T60" s="29"/>
      <c r="U60" s="29"/>
      <c r="V60" s="29"/>
      <c r="W60" s="29"/>
      <c r="X60" s="29"/>
      <c r="Y60" s="29"/>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c r="MM60" s="29"/>
    </row>
    <row r="61" spans="1:351" s="3" customFormat="1" ht="29.25" customHeight="1" outlineLevel="1" thickBot="1">
      <c r="A61" s="33"/>
      <c r="B61" s="47" t="s">
        <v>191</v>
      </c>
      <c r="C61" s="42" t="s">
        <v>192</v>
      </c>
      <c r="D61" s="119">
        <v>45768</v>
      </c>
      <c r="E61" s="119">
        <f t="shared" ref="E61:E65" si="319">D61+G61</f>
        <v>45828</v>
      </c>
      <c r="F61" s="14"/>
      <c r="G61" s="14">
        <v>60</v>
      </c>
      <c r="H61" s="29"/>
      <c r="I61" s="29"/>
      <c r="J61" s="29"/>
      <c r="K61" s="29"/>
      <c r="L61" s="29"/>
      <c r="M61" s="29"/>
      <c r="N61" s="29"/>
      <c r="O61" s="29"/>
      <c r="P61" s="29"/>
      <c r="Q61" s="29"/>
      <c r="R61" s="29"/>
      <c r="S61" s="29"/>
      <c r="T61" s="29"/>
      <c r="U61" s="30"/>
      <c r="V61" s="30"/>
      <c r="W61" s="29"/>
      <c r="X61" s="29"/>
      <c r="Y61" s="29"/>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c r="MM61" s="29"/>
    </row>
    <row r="62" spans="1:351" s="3" customFormat="1" ht="29.25" customHeight="1" outlineLevel="1" thickBot="1">
      <c r="A62" s="33"/>
      <c r="B62" s="47" t="s">
        <v>193</v>
      </c>
      <c r="C62" s="42" t="s">
        <v>194</v>
      </c>
      <c r="D62" s="119">
        <v>45852</v>
      </c>
      <c r="E62" s="119">
        <v>45909</v>
      </c>
      <c r="F62" s="14"/>
      <c r="G62" s="14">
        <v>59</v>
      </c>
      <c r="H62" s="29"/>
      <c r="I62" s="29"/>
      <c r="J62" s="29"/>
      <c r="K62" s="29"/>
      <c r="L62" s="29"/>
      <c r="M62" s="29"/>
      <c r="N62" s="29"/>
      <c r="O62" s="29"/>
      <c r="P62" s="29"/>
      <c r="Q62" s="29"/>
      <c r="R62" s="29"/>
      <c r="S62" s="29"/>
      <c r="T62" s="29"/>
      <c r="U62" s="29"/>
      <c r="V62" s="29"/>
      <c r="W62" s="29"/>
      <c r="X62" s="29"/>
      <c r="Y62" s="30"/>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c r="LF62"/>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c r="MM62" s="29"/>
    </row>
    <row r="63" spans="1:351" s="3" customFormat="1" ht="29.25" customHeight="1" outlineLevel="1" thickBot="1">
      <c r="A63" s="33"/>
      <c r="B63" s="47" t="s">
        <v>191</v>
      </c>
      <c r="C63" s="42" t="s">
        <v>85</v>
      </c>
      <c r="D63" s="119">
        <v>45852</v>
      </c>
      <c r="E63" s="119">
        <v>45907</v>
      </c>
      <c r="F63" s="14"/>
      <c r="G63" s="14">
        <v>59</v>
      </c>
      <c r="H63" s="29"/>
      <c r="I63" s="29"/>
      <c r="J63" s="29"/>
      <c r="K63" s="29"/>
      <c r="L63" s="29"/>
      <c r="M63" s="29"/>
      <c r="N63" s="29"/>
      <c r="O63" s="29"/>
      <c r="P63" s="29"/>
      <c r="Q63" s="29"/>
      <c r="R63" s="29"/>
      <c r="S63" s="29"/>
      <c r="T63" s="29"/>
      <c r="U63" s="29"/>
      <c r="V63" s="29"/>
      <c r="W63" s="29"/>
      <c r="X63" s="29"/>
      <c r="Y63" s="30"/>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s="29"/>
      <c r="LF63" s="29"/>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c r="MM63" s="29"/>
    </row>
    <row r="64" spans="1:351" s="3" customFormat="1" ht="29.25" customHeight="1" outlineLevel="1" thickBot="1">
      <c r="A64" s="33"/>
      <c r="B64" s="47" t="s">
        <v>191</v>
      </c>
      <c r="C64" s="42" t="s">
        <v>195</v>
      </c>
      <c r="D64" s="119">
        <v>45904</v>
      </c>
      <c r="E64" s="119">
        <f t="shared" si="319"/>
        <v>45988</v>
      </c>
      <c r="F64" s="14"/>
      <c r="G64" s="14">
        <v>84</v>
      </c>
      <c r="H64" s="29"/>
      <c r="I64" s="29"/>
      <c r="J64" s="29"/>
      <c r="K64" s="29"/>
      <c r="L64" s="29"/>
      <c r="M64" s="29"/>
      <c r="N64" s="29"/>
      <c r="O64" s="29"/>
      <c r="P64" s="29"/>
      <c r="Q64" s="29"/>
      <c r="R64" s="29"/>
      <c r="S64" s="29"/>
      <c r="T64" s="29"/>
      <c r="U64" s="29"/>
      <c r="V64" s="29"/>
      <c r="W64" s="29"/>
      <c r="X64" s="29"/>
      <c r="Y64" s="30"/>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c r="MM64" s="29"/>
    </row>
    <row r="65" spans="1:351" s="3" customFormat="1" ht="29.25" customHeight="1" outlineLevel="1" thickBot="1">
      <c r="A65" s="33"/>
      <c r="B65" s="47" t="s">
        <v>193</v>
      </c>
      <c r="C65" s="42" t="s">
        <v>35</v>
      </c>
      <c r="D65" s="119">
        <v>45970</v>
      </c>
      <c r="E65" s="119">
        <f t="shared" si="319"/>
        <v>46050</v>
      </c>
      <c r="F65" s="14"/>
      <c r="G65" s="14">
        <v>80</v>
      </c>
      <c r="H65" s="29"/>
      <c r="I65" s="29"/>
      <c r="J65" s="29"/>
      <c r="K65" s="29"/>
      <c r="L65" s="29"/>
      <c r="M65" s="29"/>
      <c r="N65" s="29"/>
      <c r="O65" s="29"/>
      <c r="P65" s="29"/>
      <c r="Q65" s="29"/>
      <c r="R65" s="29"/>
      <c r="S65" s="29"/>
      <c r="T65" s="29"/>
      <c r="U65" s="29"/>
      <c r="V65" s="29"/>
      <c r="W65" s="29"/>
      <c r="X65" s="29"/>
      <c r="Y65" s="30"/>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c r="MM65" s="29"/>
    </row>
    <row r="66" spans="1:351" s="3" customFormat="1" ht="29.25" customHeight="1" outlineLevel="1" thickBot="1">
      <c r="A66" s="33"/>
      <c r="B66" s="47" t="s">
        <v>196</v>
      </c>
      <c r="C66" s="42" t="s">
        <v>123</v>
      </c>
      <c r="D66" s="119">
        <v>45987</v>
      </c>
      <c r="E66" s="119">
        <f>D66+G66</f>
        <v>46045</v>
      </c>
      <c r="F66" s="14"/>
      <c r="G66" s="14">
        <v>58</v>
      </c>
      <c r="H66" s="29"/>
      <c r="I66" s="29"/>
      <c r="J66" s="29"/>
      <c r="K66" s="29"/>
      <c r="L66" s="29"/>
      <c r="M66" s="29"/>
      <c r="N66" s="29"/>
      <c r="O66" s="29"/>
      <c r="P66" s="29"/>
      <c r="Q66" s="29"/>
      <c r="R66" s="29"/>
      <c r="S66" s="29"/>
      <c r="T66" s="29"/>
      <c r="U66" s="29"/>
      <c r="V66" s="29"/>
      <c r="W66" s="29"/>
      <c r="X66" s="29"/>
      <c r="Y66" s="30"/>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c r="MM66" s="29"/>
    </row>
    <row r="67" spans="1:351" s="3" customFormat="1" ht="29.25" customHeight="1" outlineLevel="1" thickBot="1">
      <c r="A67" s="33"/>
      <c r="B67" s="47" t="s">
        <v>191</v>
      </c>
      <c r="C67" s="42" t="s">
        <v>192</v>
      </c>
      <c r="D67" s="119">
        <v>46030</v>
      </c>
      <c r="E67" s="119">
        <f>D67+G67</f>
        <v>46091</v>
      </c>
      <c r="F67" s="14"/>
      <c r="G67" s="14">
        <v>61</v>
      </c>
      <c r="H67" s="29"/>
      <c r="I67" s="29"/>
      <c r="J67" s="29"/>
      <c r="K67" s="29"/>
      <c r="L67" s="29"/>
      <c r="M67" s="29"/>
      <c r="N67" s="29"/>
      <c r="O67" s="29"/>
      <c r="P67" s="29"/>
      <c r="Q67" s="29"/>
      <c r="R67" s="29"/>
      <c r="S67" s="29"/>
      <c r="T67" s="29"/>
      <c r="U67" s="29"/>
      <c r="V67" s="29"/>
      <c r="W67" s="29"/>
      <c r="X67" s="29"/>
      <c r="Y67" s="30"/>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s="29"/>
      <c r="LF67" s="29"/>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c r="MM67" s="29"/>
    </row>
    <row r="68" spans="1:351" s="3" customFormat="1" ht="29.25" customHeight="1" outlineLevel="1" thickBot="1">
      <c r="A68" s="33"/>
      <c r="B68" s="47" t="s">
        <v>193</v>
      </c>
      <c r="C68" s="42" t="s">
        <v>42</v>
      </c>
      <c r="D68" s="119">
        <v>46045</v>
      </c>
      <c r="E68" s="119">
        <f>D68+G68</f>
        <v>46103</v>
      </c>
      <c r="F68" s="14"/>
      <c r="G68" s="14">
        <v>58</v>
      </c>
      <c r="H68" s="29"/>
      <c r="I68" s="29"/>
      <c r="J68" s="29"/>
      <c r="K68" s="29"/>
      <c r="L68" s="29"/>
      <c r="M68" s="29"/>
      <c r="N68" s="29"/>
      <c r="O68" s="29"/>
      <c r="P68" s="29"/>
      <c r="Q68" s="29"/>
      <c r="R68" s="29"/>
      <c r="S68" s="29"/>
      <c r="T68" s="29"/>
      <c r="U68" s="29"/>
      <c r="V68" s="29"/>
      <c r="W68" s="29"/>
      <c r="X68" s="29"/>
      <c r="Y68" s="30"/>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c r="MM68" s="29"/>
    </row>
    <row r="69" spans="1:351" s="3" customFormat="1" ht="29.25" customHeight="1" outlineLevel="1" thickBot="1">
      <c r="A69" s="33"/>
      <c r="B69" s="47" t="s">
        <v>191</v>
      </c>
      <c r="C69" s="42" t="s">
        <v>195</v>
      </c>
      <c r="D69" s="119">
        <v>46089</v>
      </c>
      <c r="E69" s="119">
        <f>D69+G69</f>
        <v>46150</v>
      </c>
      <c r="F69" s="14"/>
      <c r="G69" s="14">
        <v>61</v>
      </c>
      <c r="H69" s="29"/>
      <c r="I69" s="29"/>
      <c r="J69" s="29"/>
      <c r="K69" s="29"/>
      <c r="L69" s="29"/>
      <c r="M69" s="29"/>
      <c r="N69" s="29"/>
      <c r="O69" s="29"/>
      <c r="P69" s="29"/>
      <c r="Q69" s="29"/>
      <c r="R69" s="29"/>
      <c r="S69" s="29"/>
      <c r="T69" s="29"/>
      <c r="U69" s="29"/>
      <c r="V69" s="29"/>
      <c r="W69" s="29"/>
      <c r="X69" s="29"/>
      <c r="Y69" s="30"/>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c r="MM69" s="29"/>
    </row>
    <row r="70" spans="1:351" s="3" customFormat="1" ht="29.25" customHeight="1" outlineLevel="1" thickBot="1">
      <c r="A70" s="33"/>
      <c r="B70" s="47" t="s">
        <v>193</v>
      </c>
      <c r="C70" s="42" t="s">
        <v>35</v>
      </c>
      <c r="D70" s="119">
        <v>46100</v>
      </c>
      <c r="E70" s="119">
        <f t="shared" ref="E70:E76" si="320">D70+G70</f>
        <v>46156</v>
      </c>
      <c r="F70" s="14"/>
      <c r="G70" s="14">
        <v>56</v>
      </c>
      <c r="H70" s="29"/>
      <c r="I70" s="29"/>
      <c r="J70" s="29"/>
      <c r="K70" s="29"/>
      <c r="L70" s="29"/>
      <c r="M70" s="29"/>
      <c r="N70" s="29"/>
      <c r="O70" s="29"/>
      <c r="P70" s="29"/>
      <c r="Q70" s="29"/>
      <c r="R70" s="29"/>
      <c r="S70" s="29"/>
      <c r="T70" s="29"/>
      <c r="U70" s="29"/>
      <c r="V70" s="29"/>
      <c r="W70" s="29"/>
      <c r="X70" s="29"/>
      <c r="Y70" s="30"/>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c r="MM70" s="29"/>
    </row>
    <row r="71" spans="1:351" s="3" customFormat="1" ht="29.25" customHeight="1" outlineLevel="1" thickBot="1">
      <c r="A71" s="33"/>
      <c r="B71" s="47" t="s">
        <v>191</v>
      </c>
      <c r="C71" s="42" t="s">
        <v>192</v>
      </c>
      <c r="D71" s="119">
        <v>46150</v>
      </c>
      <c r="E71" s="119">
        <f t="shared" si="320"/>
        <v>46211</v>
      </c>
      <c r="F71" s="14"/>
      <c r="G71" s="14">
        <v>61</v>
      </c>
      <c r="H71" s="29"/>
      <c r="I71" s="29"/>
      <c r="J71" s="29"/>
      <c r="K71" s="29"/>
      <c r="L71" s="29"/>
      <c r="M71" s="29"/>
      <c r="N71" s="29"/>
      <c r="O71" s="29"/>
      <c r="P71" s="29"/>
      <c r="Q71" s="29"/>
      <c r="R71" s="29"/>
      <c r="S71" s="29"/>
      <c r="T71" s="29"/>
      <c r="U71" s="29"/>
      <c r="V71" s="29"/>
      <c r="W71" s="29"/>
      <c r="X71" s="29"/>
      <c r="Y71" s="30"/>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c r="MM71" s="29"/>
    </row>
    <row r="72" spans="1:351" s="3" customFormat="1" ht="29.25" customHeight="1" outlineLevel="1" thickBot="1">
      <c r="A72" s="33"/>
      <c r="B72" s="47" t="s">
        <v>193</v>
      </c>
      <c r="C72" s="42" t="s">
        <v>42</v>
      </c>
      <c r="D72" s="119">
        <v>46153</v>
      </c>
      <c r="E72" s="119">
        <f t="shared" si="320"/>
        <v>46228</v>
      </c>
      <c r="F72" s="14"/>
      <c r="G72" s="14">
        <v>75</v>
      </c>
      <c r="H72" s="29"/>
      <c r="I72" s="29"/>
      <c r="J72" s="29"/>
      <c r="K72" s="29"/>
      <c r="L72" s="29"/>
      <c r="M72" s="29"/>
      <c r="N72" s="29"/>
      <c r="O72" s="29"/>
      <c r="P72" s="29"/>
      <c r="Q72" s="29"/>
      <c r="R72" s="29"/>
      <c r="S72" s="29"/>
      <c r="T72" s="29"/>
      <c r="U72" s="29"/>
      <c r="V72" s="29"/>
      <c r="W72" s="29"/>
      <c r="X72" s="29"/>
      <c r="Y72" s="30"/>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c r="MM72" s="29"/>
    </row>
    <row r="73" spans="1:351" s="3" customFormat="1" ht="29.25" customHeight="1" outlineLevel="1" thickBot="1">
      <c r="A73" s="33"/>
      <c r="B73" s="47" t="s">
        <v>191</v>
      </c>
      <c r="C73" s="42" t="s">
        <v>195</v>
      </c>
      <c r="D73" s="119">
        <v>46211</v>
      </c>
      <c r="E73" s="119">
        <f t="shared" si="320"/>
        <v>46273</v>
      </c>
      <c r="F73" s="14"/>
      <c r="G73" s="14">
        <v>62</v>
      </c>
      <c r="H73" s="29"/>
      <c r="I73" s="29"/>
      <c r="J73" s="29"/>
      <c r="K73" s="29"/>
      <c r="L73" s="29"/>
      <c r="M73" s="29"/>
      <c r="N73" s="29"/>
      <c r="O73" s="29"/>
      <c r="P73" s="29"/>
      <c r="Q73" s="29"/>
      <c r="R73" s="29"/>
      <c r="S73" s="29"/>
      <c r="T73" s="29"/>
      <c r="U73" s="29"/>
      <c r="V73" s="29"/>
      <c r="W73" s="29"/>
      <c r="X73" s="29"/>
      <c r="Y73" s="30"/>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c r="MM73" s="29"/>
    </row>
    <row r="74" spans="1:351" s="3" customFormat="1" ht="29.25" customHeight="1" outlineLevel="1" thickBot="1">
      <c r="A74" s="33"/>
      <c r="B74" s="47" t="s">
        <v>193</v>
      </c>
      <c r="C74" s="42" t="s">
        <v>35</v>
      </c>
      <c r="D74" s="119">
        <v>46229</v>
      </c>
      <c r="E74" s="119">
        <f t="shared" si="320"/>
        <v>46285</v>
      </c>
      <c r="F74" s="14"/>
      <c r="G74" s="14">
        <v>56</v>
      </c>
      <c r="H74" s="29"/>
      <c r="I74" s="29"/>
      <c r="J74" s="29"/>
      <c r="K74" s="29"/>
      <c r="L74" s="29"/>
      <c r="M74" s="29"/>
      <c r="N74" s="29"/>
      <c r="O74" s="29"/>
      <c r="P74" s="29"/>
      <c r="Q74" s="29"/>
      <c r="R74" s="29"/>
      <c r="S74" s="29"/>
      <c r="T74" s="29"/>
      <c r="U74" s="29"/>
      <c r="V74" s="29"/>
      <c r="W74" s="29"/>
      <c r="X74" s="29"/>
      <c r="Y74" s="30"/>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c r="MM74" s="29"/>
    </row>
    <row r="75" spans="1:351" s="3" customFormat="1" ht="29.25" customHeight="1" outlineLevel="1" thickBot="1">
      <c r="A75" s="33"/>
      <c r="B75" s="47" t="s">
        <v>191</v>
      </c>
      <c r="C75" s="42" t="s">
        <v>192</v>
      </c>
      <c r="D75" s="119">
        <v>46273</v>
      </c>
      <c r="E75" s="119">
        <f t="shared" si="320"/>
        <v>46329</v>
      </c>
      <c r="F75" s="14"/>
      <c r="G75" s="14">
        <v>56</v>
      </c>
      <c r="H75" s="29"/>
      <c r="I75" s="29"/>
      <c r="J75" s="29"/>
      <c r="K75" s="29"/>
      <c r="L75" s="29"/>
      <c r="M75" s="29"/>
      <c r="N75" s="29"/>
      <c r="O75" s="29"/>
      <c r="P75" s="29"/>
      <c r="Q75" s="29"/>
      <c r="R75" s="29"/>
      <c r="S75" s="29"/>
      <c r="T75" s="29"/>
      <c r="U75" s="29"/>
      <c r="V75" s="29"/>
      <c r="W75" s="29"/>
      <c r="X75" s="29"/>
      <c r="Y75" s="30"/>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c r="MM75" s="29"/>
    </row>
    <row r="76" spans="1:351" s="3" customFormat="1" ht="29.25" customHeight="1" outlineLevel="1" thickBot="1">
      <c r="A76" s="33"/>
      <c r="B76" s="47" t="s">
        <v>193</v>
      </c>
      <c r="C76" s="42" t="s">
        <v>42</v>
      </c>
      <c r="D76" s="119">
        <v>46282</v>
      </c>
      <c r="E76" s="119">
        <f t="shared" si="320"/>
        <v>46338</v>
      </c>
      <c r="F76" s="14"/>
      <c r="G76" s="14">
        <v>56</v>
      </c>
      <c r="H76" s="29"/>
      <c r="I76" s="29"/>
      <c r="J76" s="29"/>
      <c r="K76" s="29"/>
      <c r="L76" s="29"/>
      <c r="M76" s="29"/>
      <c r="N76" s="29"/>
      <c r="O76" s="29"/>
      <c r="P76" s="29"/>
      <c r="Q76" s="29"/>
      <c r="R76" s="29"/>
      <c r="S76" s="29"/>
      <c r="T76" s="29"/>
      <c r="U76" s="29"/>
      <c r="V76" s="29"/>
      <c r="W76" s="29"/>
      <c r="X76" s="29"/>
      <c r="Y76" s="30"/>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c r="MM76" s="29"/>
    </row>
    <row r="77" spans="1:351" s="3" customFormat="1" ht="29.25" customHeight="1" outlineLevel="1" thickBot="1">
      <c r="A77" s="33" t="s">
        <v>197</v>
      </c>
      <c r="B77" s="177" t="s">
        <v>198</v>
      </c>
      <c r="C77" s="177"/>
      <c r="D77" s="177"/>
      <c r="E77" s="177"/>
      <c r="F77" s="14"/>
      <c r="G77" s="14" t="str">
        <f t="shared" ca="1" si="311"/>
        <v/>
      </c>
      <c r="H77" s="29"/>
      <c r="I77" s="29"/>
      <c r="J77" s="29"/>
      <c r="K77" s="29"/>
      <c r="L77" s="29"/>
      <c r="M77" s="29"/>
      <c r="N77" s="29"/>
      <c r="O77" s="29"/>
      <c r="P77" s="29"/>
      <c r="Q77" s="29"/>
      <c r="R77" s="29"/>
      <c r="S77" s="29"/>
      <c r="T77" s="29"/>
      <c r="U77" s="29"/>
      <c r="V77" s="29"/>
      <c r="W77" s="29"/>
      <c r="X77" s="29"/>
      <c r="Y77" s="29"/>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c r="MM77" s="29"/>
    </row>
    <row r="78" spans="1:351" s="3" customFormat="1" ht="29.25" customHeight="1" outlineLevel="1" thickBot="1">
      <c r="A78" s="33"/>
      <c r="B78" s="84" t="s">
        <v>191</v>
      </c>
      <c r="C78" s="141" t="s">
        <v>195</v>
      </c>
      <c r="D78" s="120">
        <v>45774</v>
      </c>
      <c r="E78" s="120">
        <f>D78+G78</f>
        <v>45819</v>
      </c>
      <c r="F78" s="14"/>
      <c r="G78" s="14">
        <v>45</v>
      </c>
      <c r="H78" s="29"/>
      <c r="I78" s="29"/>
      <c r="J78" s="29"/>
      <c r="K78" s="29"/>
      <c r="L78" s="29"/>
      <c r="M78" s="29"/>
      <c r="N78" s="29"/>
      <c r="O78" s="29"/>
      <c r="P78" s="29"/>
      <c r="Q78" s="29"/>
      <c r="R78" s="29"/>
      <c r="S78" s="29"/>
      <c r="T78" s="29"/>
      <c r="U78" s="29"/>
      <c r="V78" s="29"/>
      <c r="W78" s="29"/>
      <c r="X78" s="29"/>
      <c r="Y78" s="29"/>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c r="MM78" s="29"/>
    </row>
    <row r="79" spans="1:351" s="3" customFormat="1" ht="29.25" customHeight="1" outlineLevel="1" thickBot="1">
      <c r="A79" s="33" t="s">
        <v>197</v>
      </c>
      <c r="B79" s="178" t="s">
        <v>199</v>
      </c>
      <c r="C79" s="178"/>
      <c r="D79" s="178"/>
      <c r="E79" s="178"/>
      <c r="F79" s="14"/>
      <c r="G79" s="14" t="str">
        <f t="shared" ca="1" si="311"/>
        <v/>
      </c>
      <c r="H79" s="29"/>
      <c r="I79" s="29"/>
      <c r="J79" s="29"/>
      <c r="K79" s="29"/>
      <c r="L79" s="29"/>
      <c r="M79" s="29"/>
      <c r="N79" s="29"/>
      <c r="O79" s="29"/>
      <c r="P79" s="29"/>
      <c r="Q79" s="29"/>
      <c r="R79" s="29"/>
      <c r="S79" s="29"/>
      <c r="T79" s="29"/>
      <c r="U79" s="29"/>
      <c r="V79" s="29"/>
      <c r="W79" s="29"/>
      <c r="X79" s="29"/>
      <c r="Y79" s="29"/>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c r="MM79" s="29"/>
    </row>
    <row r="80" spans="1:351" s="3" customFormat="1" ht="29.25" customHeight="1" outlineLevel="1" thickBot="1">
      <c r="A80" s="33"/>
      <c r="B80" s="48" t="s">
        <v>200</v>
      </c>
      <c r="C80" s="44" t="s">
        <v>201</v>
      </c>
      <c r="D80" s="121">
        <v>45635</v>
      </c>
      <c r="E80" s="121">
        <v>45681</v>
      </c>
      <c r="F80" s="14"/>
      <c r="G80" s="14">
        <v>7</v>
      </c>
      <c r="H80" s="29"/>
      <c r="I80" s="29"/>
      <c r="J80" s="29"/>
      <c r="K80" s="29"/>
      <c r="L80" s="29"/>
      <c r="M80" s="29"/>
      <c r="N80" s="29"/>
      <c r="O80" s="29"/>
      <c r="P80" s="29"/>
      <c r="Q80" s="29"/>
      <c r="R80" s="29"/>
      <c r="S80" s="29"/>
      <c r="T80" s="29"/>
      <c r="U80" s="29"/>
      <c r="V80" s="29"/>
      <c r="W80" s="29"/>
      <c r="X80" s="29"/>
      <c r="Y80" s="29"/>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c r="MM80" s="29"/>
    </row>
    <row r="81" spans="1:351" s="3" customFormat="1" ht="29.25" customHeight="1" outlineLevel="1" thickBot="1">
      <c r="A81" s="33"/>
      <c r="B81" s="82" t="s">
        <v>200</v>
      </c>
      <c r="C81" s="142" t="s">
        <v>202</v>
      </c>
      <c r="D81" s="122">
        <v>45698</v>
      </c>
      <c r="E81" s="122">
        <v>45757</v>
      </c>
      <c r="F81" s="14"/>
      <c r="G81" s="14">
        <v>7</v>
      </c>
      <c r="H81" s="29"/>
      <c r="I81" s="29"/>
      <c r="J81" s="29"/>
      <c r="K81" s="29"/>
      <c r="L81" s="29"/>
      <c r="M81" s="29"/>
      <c r="N81" s="29"/>
      <c r="O81" s="29"/>
      <c r="P81" s="29"/>
      <c r="Q81" s="29"/>
      <c r="R81" s="29"/>
      <c r="S81" s="29"/>
      <c r="T81" s="29"/>
      <c r="U81" s="29"/>
      <c r="V81" s="29"/>
      <c r="W81" s="29"/>
      <c r="X81" s="29"/>
      <c r="Y81" s="29"/>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c r="MM81" s="29"/>
    </row>
    <row r="82" spans="1:351" s="3" customFormat="1" ht="29.25" customHeight="1" outlineLevel="1" thickBot="1">
      <c r="A82" s="33" t="s">
        <v>197</v>
      </c>
      <c r="B82" s="179" t="s">
        <v>203</v>
      </c>
      <c r="C82" s="179"/>
      <c r="D82" s="179"/>
      <c r="E82" s="179"/>
      <c r="F82" s="14"/>
      <c r="G82" s="14" t="str">
        <f t="shared" ca="1" si="311"/>
        <v/>
      </c>
      <c r="H82" s="29"/>
      <c r="I82" s="29"/>
      <c r="J82" s="29"/>
      <c r="K82" s="29"/>
      <c r="L82" s="29"/>
      <c r="M82" s="29"/>
      <c r="N82" s="29"/>
      <c r="O82" s="29"/>
      <c r="P82" s="29"/>
      <c r="Q82" s="29"/>
      <c r="R82" s="29"/>
      <c r="S82" s="29"/>
      <c r="T82" s="29"/>
      <c r="U82" s="29"/>
      <c r="V82" s="29"/>
      <c r="W82" s="29"/>
      <c r="X82" s="29"/>
      <c r="Y82" s="29"/>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c r="MM82" s="29"/>
    </row>
    <row r="83" spans="1:351" s="3" customFormat="1" ht="29.25" customHeight="1" outlineLevel="1" thickBot="1">
      <c r="A83" s="33"/>
      <c r="B83" s="85" t="s">
        <v>204</v>
      </c>
      <c r="C83" s="143" t="s">
        <v>205</v>
      </c>
      <c r="D83" s="123">
        <v>45866</v>
      </c>
      <c r="E83" s="123">
        <v>45891</v>
      </c>
      <c r="F83" s="14"/>
      <c r="G83" s="14">
        <f>E83-D83</f>
        <v>25</v>
      </c>
      <c r="H83" s="29"/>
      <c r="I83" s="29"/>
      <c r="J83" s="29"/>
      <c r="K83" s="29"/>
      <c r="L83" s="29"/>
      <c r="M83" s="29"/>
      <c r="N83" s="29"/>
      <c r="O83" s="29"/>
      <c r="P83" s="29"/>
      <c r="Q83" s="29"/>
      <c r="R83" s="29"/>
      <c r="S83" s="29"/>
      <c r="T83" s="29"/>
      <c r="U83" s="29"/>
      <c r="V83" s="29"/>
      <c r="W83" s="29"/>
      <c r="X83" s="29"/>
      <c r="Y83" s="29"/>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c r="MM83" s="29"/>
    </row>
    <row r="84" spans="1:351" s="3" customFormat="1" ht="29.25" customHeight="1" outlineLevel="1" thickBot="1">
      <c r="A84" s="33"/>
      <c r="B84" s="85" t="s">
        <v>204</v>
      </c>
      <c r="C84" s="143" t="s">
        <v>206</v>
      </c>
      <c r="D84" s="123">
        <v>45922</v>
      </c>
      <c r="E84" s="123">
        <v>45975</v>
      </c>
      <c r="F84" s="14"/>
      <c r="G84" s="14">
        <f t="shared" ref="G84:G86" si="321">E84-D84</f>
        <v>53</v>
      </c>
      <c r="H84" s="29"/>
      <c r="I84" s="29"/>
      <c r="J84" s="29"/>
      <c r="K84" s="29"/>
      <c r="L84" s="29"/>
      <c r="M84" s="29"/>
      <c r="N84" s="29"/>
      <c r="O84" s="29"/>
      <c r="P84" s="29"/>
      <c r="Q84" s="29"/>
      <c r="R84" s="29"/>
      <c r="S84" s="29"/>
      <c r="T84" s="29"/>
      <c r="U84" s="29"/>
      <c r="V84" s="29"/>
      <c r="W84" s="29"/>
      <c r="X84" s="29"/>
      <c r="Y84" s="29"/>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c r="MM84" s="29"/>
    </row>
    <row r="85" spans="1:351" s="3" customFormat="1" ht="29.25" customHeight="1" outlineLevel="1" thickBot="1">
      <c r="A85" s="33"/>
      <c r="B85" s="85" t="s">
        <v>207</v>
      </c>
      <c r="C85" s="149" t="s">
        <v>202</v>
      </c>
      <c r="D85" s="126">
        <v>46041</v>
      </c>
      <c r="E85" s="126">
        <v>46094</v>
      </c>
      <c r="F85" s="14"/>
      <c r="G85" s="14">
        <f t="shared" si="321"/>
        <v>53</v>
      </c>
      <c r="H85" s="29"/>
      <c r="I85" s="29"/>
      <c r="J85" s="29"/>
      <c r="K85" s="29"/>
      <c r="L85" s="29"/>
      <c r="M85" s="29"/>
      <c r="N85" s="29"/>
      <c r="O85" s="29"/>
      <c r="P85" s="29"/>
      <c r="Q85" s="29"/>
      <c r="R85" s="29"/>
      <c r="S85" s="29"/>
      <c r="T85" s="29"/>
      <c r="U85" s="29"/>
      <c r="V85" s="29"/>
      <c r="W85" s="29"/>
      <c r="X85" s="29"/>
      <c r="Y85" s="29"/>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c r="MM85" s="29"/>
    </row>
    <row r="86" spans="1:351" s="3" customFormat="1" ht="29.25" customHeight="1" outlineLevel="1" thickBot="1">
      <c r="A86" s="33"/>
      <c r="B86" s="85" t="s">
        <v>208</v>
      </c>
      <c r="C86" s="143" t="s">
        <v>209</v>
      </c>
      <c r="D86" s="123">
        <v>46104</v>
      </c>
      <c r="E86" s="123">
        <v>46157</v>
      </c>
      <c r="F86" s="14"/>
      <c r="G86" s="14">
        <f t="shared" si="321"/>
        <v>53</v>
      </c>
      <c r="H86" s="29"/>
      <c r="I86" s="29"/>
      <c r="J86" s="29"/>
      <c r="K86" s="29"/>
      <c r="L86" s="29"/>
      <c r="M86" s="29"/>
      <c r="N86" s="29"/>
      <c r="O86" s="29"/>
      <c r="P86" s="29"/>
      <c r="Q86" s="29"/>
      <c r="R86" s="29"/>
      <c r="S86" s="29"/>
      <c r="T86" s="29"/>
      <c r="U86" s="29"/>
      <c r="V86" s="29"/>
      <c r="W86" s="29"/>
      <c r="X86" s="29"/>
      <c r="Y86" s="29"/>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c r="MM86" s="29"/>
    </row>
    <row r="87" spans="1:351" s="3" customFormat="1" ht="29.25" customHeight="1" outlineLevel="1" thickBot="1">
      <c r="A87" s="33"/>
      <c r="B87" s="85" t="s">
        <v>204</v>
      </c>
      <c r="C87" s="143" t="s">
        <v>210</v>
      </c>
      <c r="D87" s="123">
        <v>46146</v>
      </c>
      <c r="E87" s="123">
        <v>46199</v>
      </c>
      <c r="F87" s="14"/>
      <c r="G87" s="14">
        <f>E87-D87</f>
        <v>53</v>
      </c>
      <c r="H87" s="29"/>
      <c r="I87" s="29"/>
      <c r="J87" s="29"/>
      <c r="K87" s="29"/>
      <c r="L87" s="29"/>
      <c r="M87" s="29"/>
      <c r="N87" s="29"/>
      <c r="O87" s="29"/>
      <c r="P87" s="29"/>
      <c r="Q87" s="29"/>
      <c r="R87" s="29"/>
      <c r="S87" s="29"/>
      <c r="T87" s="29"/>
      <c r="U87" s="29"/>
      <c r="V87" s="29"/>
      <c r="W87" s="29"/>
      <c r="X87" s="29"/>
      <c r="Y87" s="29"/>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c r="MM87" s="29"/>
    </row>
    <row r="88" spans="1:351" s="3" customFormat="1" ht="29.25" customHeight="1" thickBot="1">
      <c r="A88" s="33"/>
      <c r="B88" s="180" t="s">
        <v>211</v>
      </c>
      <c r="C88" s="180"/>
      <c r="D88" s="180"/>
      <c r="E88" s="180"/>
      <c r="F88" s="14"/>
      <c r="G88" s="14"/>
      <c r="H88" s="29"/>
      <c r="I88" s="29"/>
      <c r="J88" s="29"/>
      <c r="K88" s="29"/>
      <c r="L88" s="29"/>
      <c r="M88" s="29"/>
      <c r="N88" s="29"/>
      <c r="O88" s="29"/>
      <c r="P88" s="29"/>
      <c r="Q88" s="29"/>
      <c r="R88" s="29"/>
      <c r="S88" s="29"/>
      <c r="T88" s="29"/>
      <c r="U88" s="29"/>
      <c r="V88" s="29"/>
      <c r="W88" s="29"/>
      <c r="X88" s="29"/>
      <c r="Y88" s="29"/>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c r="MM88" s="29"/>
    </row>
    <row r="89" spans="1:351" s="3" customFormat="1" ht="30.6" customHeight="1" outlineLevel="1" thickBot="1">
      <c r="A89" s="34" t="s">
        <v>188</v>
      </c>
      <c r="B89" s="175" t="s">
        <v>212</v>
      </c>
      <c r="C89" s="175"/>
      <c r="D89" s="175"/>
      <c r="E89" s="175"/>
      <c r="F89" s="14"/>
      <c r="G89" s="14" t="str">
        <f t="shared" ca="1" si="311"/>
        <v/>
      </c>
      <c r="H89" s="29"/>
      <c r="I89" s="29"/>
      <c r="J89" s="29"/>
      <c r="K89" s="29"/>
      <c r="L89" s="29"/>
      <c r="M89" s="29"/>
      <c r="N89" s="29"/>
      <c r="O89" s="29"/>
      <c r="P89" s="29"/>
      <c r="Q89" s="29"/>
      <c r="R89" s="29"/>
      <c r="S89" s="29"/>
      <c r="T89" s="29"/>
      <c r="U89" s="29"/>
      <c r="V89" s="29"/>
      <c r="W89" s="29"/>
      <c r="X89" s="29"/>
      <c r="Y89" s="29"/>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c r="MM89" s="29"/>
    </row>
    <row r="90" spans="1:351" s="3" customFormat="1" ht="29.25" customHeight="1" outlineLevel="1" thickBot="1">
      <c r="A90" s="33"/>
      <c r="B90" s="47" t="s">
        <v>213</v>
      </c>
      <c r="C90" s="42" t="s">
        <v>117</v>
      </c>
      <c r="D90" s="119">
        <v>45820</v>
      </c>
      <c r="E90" s="119">
        <f>D90+G90-1</f>
        <v>45873</v>
      </c>
      <c r="F90" s="14"/>
      <c r="G90" s="14">
        <v>54</v>
      </c>
      <c r="H90" s="29"/>
      <c r="I90" s="29"/>
      <c r="J90" s="29"/>
      <c r="K90" s="29"/>
      <c r="L90" s="29"/>
      <c r="M90" s="29"/>
      <c r="N90" s="29"/>
      <c r="O90" s="29"/>
      <c r="P90" s="29"/>
      <c r="Q90" s="29"/>
      <c r="R90" s="29"/>
      <c r="S90" s="29"/>
      <c r="T90" s="29"/>
      <c r="U90" s="30"/>
      <c r="V90" s="30"/>
      <c r="W90" s="29"/>
      <c r="X90" s="29"/>
      <c r="Y90" s="29"/>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c r="MM90" s="29"/>
    </row>
    <row r="91" spans="1:351" s="3" customFormat="1" ht="29.25" customHeight="1" outlineLevel="1" thickBot="1">
      <c r="A91" s="33"/>
      <c r="B91" s="47" t="s">
        <v>214</v>
      </c>
      <c r="C91" s="42" t="s">
        <v>82</v>
      </c>
      <c r="D91" s="119">
        <v>45855</v>
      </c>
      <c r="E91" s="119">
        <f>D91+G91</f>
        <v>45911</v>
      </c>
      <c r="F91" s="14"/>
      <c r="G91" s="14">
        <v>56</v>
      </c>
      <c r="H91" s="14">
        <v>54</v>
      </c>
      <c r="I91" s="14"/>
      <c r="J91" s="29"/>
      <c r="K91" s="29"/>
      <c r="L91" s="29"/>
      <c r="M91" s="29"/>
      <c r="N91" s="29"/>
      <c r="O91" s="29"/>
      <c r="P91" s="29"/>
      <c r="Q91" s="29"/>
      <c r="R91" s="29"/>
      <c r="S91" s="29"/>
      <c r="T91" s="29"/>
      <c r="U91" s="29"/>
      <c r="V91" s="29"/>
      <c r="W91" s="29"/>
      <c r="X91" s="29"/>
      <c r="Y91" s="30"/>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c r="MM91" s="29"/>
    </row>
    <row r="92" spans="1:351" s="3" customFormat="1" ht="29.25" customHeight="1" outlineLevel="1" thickBot="1">
      <c r="A92" s="33"/>
      <c r="B92" s="47" t="s">
        <v>213</v>
      </c>
      <c r="C92" s="42" t="s">
        <v>42</v>
      </c>
      <c r="D92" s="119">
        <v>45876</v>
      </c>
      <c r="E92" s="119">
        <v>45925</v>
      </c>
      <c r="F92" s="14"/>
      <c r="G92" s="14">
        <f>E92-D92</f>
        <v>49</v>
      </c>
      <c r="H92" s="14">
        <v>54</v>
      </c>
      <c r="I92" s="14"/>
      <c r="J92" s="29"/>
      <c r="K92" s="29"/>
      <c r="L92" s="29"/>
      <c r="M92" s="29"/>
      <c r="N92" s="29"/>
      <c r="O92" s="29"/>
      <c r="P92" s="29"/>
      <c r="Q92" s="29"/>
      <c r="R92" s="29"/>
      <c r="S92" s="29"/>
      <c r="T92" s="29"/>
      <c r="U92" s="29"/>
      <c r="V92" s="29"/>
      <c r="W92" s="29"/>
      <c r="X92" s="29"/>
      <c r="Y92" s="30"/>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c r="MM92" s="29"/>
    </row>
    <row r="93" spans="1:351" s="3" customFormat="1" ht="29.25" customHeight="1" outlineLevel="1" thickBot="1">
      <c r="A93" s="33"/>
      <c r="B93" s="47" t="s">
        <v>214</v>
      </c>
      <c r="C93" s="42" t="s">
        <v>132</v>
      </c>
      <c r="D93" s="119">
        <f>E91</f>
        <v>45911</v>
      </c>
      <c r="E93" s="119">
        <f t="shared" ref="E93:E94" si="322">D93+G93</f>
        <v>45967</v>
      </c>
      <c r="F93" s="14"/>
      <c r="G93" s="14">
        <v>56</v>
      </c>
      <c r="H93" s="14">
        <v>54</v>
      </c>
      <c r="I93" s="14"/>
      <c r="J93" s="29"/>
      <c r="K93" s="29"/>
      <c r="L93" s="29"/>
      <c r="M93" s="29"/>
      <c r="N93" s="29"/>
      <c r="O93" s="29"/>
      <c r="P93" s="29"/>
      <c r="Q93" s="29"/>
      <c r="R93" s="29"/>
      <c r="S93" s="29"/>
      <c r="T93" s="29"/>
      <c r="U93" s="29"/>
      <c r="V93" s="29"/>
      <c r="W93" s="29"/>
      <c r="X93" s="29"/>
      <c r="Y93" s="30"/>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c r="MM93" s="29"/>
    </row>
    <row r="94" spans="1:351" s="3" customFormat="1" ht="29.25" customHeight="1" outlineLevel="1" thickBot="1">
      <c r="A94" s="33"/>
      <c r="B94" s="47" t="s">
        <v>213</v>
      </c>
      <c r="C94" s="42" t="s">
        <v>39</v>
      </c>
      <c r="D94" s="119">
        <v>45932</v>
      </c>
      <c r="E94" s="119">
        <f t="shared" si="322"/>
        <v>45988</v>
      </c>
      <c r="F94" s="14"/>
      <c r="G94" s="14">
        <v>56</v>
      </c>
      <c r="H94" s="14">
        <v>54</v>
      </c>
      <c r="I94" s="14"/>
      <c r="J94" s="29"/>
      <c r="K94" s="29"/>
      <c r="L94" s="29"/>
      <c r="M94" s="29"/>
      <c r="N94" s="29"/>
      <c r="O94" s="29"/>
      <c r="P94" s="29"/>
      <c r="Q94" s="29"/>
      <c r="R94" s="29"/>
      <c r="S94" s="29"/>
      <c r="T94" s="29"/>
      <c r="U94" s="29"/>
      <c r="V94" s="29"/>
      <c r="W94" s="29"/>
      <c r="X94" s="29"/>
      <c r="Y94" s="30"/>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c r="MM94" s="29"/>
    </row>
    <row r="95" spans="1:351" s="3" customFormat="1" ht="29.25" customHeight="1" outlineLevel="1" thickBot="1">
      <c r="A95" s="33"/>
      <c r="B95" s="47" t="s">
        <v>214</v>
      </c>
      <c r="C95" s="42" t="s">
        <v>61</v>
      </c>
      <c r="D95" s="119">
        <v>45974</v>
      </c>
      <c r="E95" s="119">
        <f t="shared" ref="E95:E112" si="323">D95+G95-1</f>
        <v>46029</v>
      </c>
      <c r="F95" s="14"/>
      <c r="G95" s="14">
        <v>56</v>
      </c>
      <c r="H95" s="14">
        <v>54</v>
      </c>
      <c r="I95" s="14"/>
      <c r="J95" s="29"/>
      <c r="K95" s="29"/>
      <c r="L95" s="29"/>
      <c r="M95" s="29"/>
      <c r="N95" s="29"/>
      <c r="O95" s="29"/>
      <c r="P95" s="29"/>
      <c r="Q95" s="29"/>
      <c r="R95" s="29"/>
      <c r="S95" s="29"/>
      <c r="T95" s="29"/>
      <c r="U95" s="29"/>
      <c r="V95" s="29"/>
      <c r="W95" s="29"/>
      <c r="X95" s="29"/>
      <c r="Y95" s="30"/>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c r="MM95" s="29"/>
    </row>
    <row r="96" spans="1:351" s="3" customFormat="1" ht="29.25" customHeight="1" outlineLevel="1" thickBot="1">
      <c r="A96" s="33"/>
      <c r="B96" s="47" t="s">
        <v>213</v>
      </c>
      <c r="C96" s="42" t="s">
        <v>194</v>
      </c>
      <c r="D96" s="119">
        <v>45996</v>
      </c>
      <c r="E96" s="119">
        <f>D96+G96-1</f>
        <v>46051</v>
      </c>
      <c r="F96" s="14"/>
      <c r="G96" s="14">
        <v>56</v>
      </c>
      <c r="H96" s="14">
        <v>54</v>
      </c>
      <c r="I96" s="14"/>
      <c r="J96" s="29"/>
      <c r="K96" s="29"/>
      <c r="L96" s="29"/>
      <c r="M96" s="29"/>
      <c r="N96" s="29"/>
      <c r="O96" s="29"/>
      <c r="P96" s="29"/>
      <c r="Q96" s="29"/>
      <c r="R96" s="29"/>
      <c r="S96" s="29"/>
      <c r="T96" s="29"/>
      <c r="U96" s="29"/>
      <c r="V96" s="29"/>
      <c r="W96" s="29"/>
      <c r="X96" s="29"/>
      <c r="Y96" s="30"/>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c r="MM96" s="29"/>
    </row>
    <row r="97" spans="1:351" s="3" customFormat="1" ht="29.25" customHeight="1" outlineLevel="1" thickBot="1">
      <c r="A97" s="33"/>
      <c r="B97" s="150" t="s">
        <v>215</v>
      </c>
      <c r="C97" s="151" t="s">
        <v>120</v>
      </c>
      <c r="D97" s="152">
        <v>45988</v>
      </c>
      <c r="E97" s="152">
        <f t="shared" si="323"/>
        <v>46043</v>
      </c>
      <c r="F97" s="14"/>
      <c r="G97" s="14">
        <v>56</v>
      </c>
      <c r="H97" s="14"/>
      <c r="I97" s="14"/>
      <c r="J97" s="29"/>
      <c r="K97" s="29"/>
      <c r="L97" s="29"/>
      <c r="M97" s="29"/>
      <c r="N97" s="29"/>
      <c r="O97" s="29"/>
      <c r="P97" s="29"/>
      <c r="Q97" s="29"/>
      <c r="R97" s="29"/>
      <c r="S97" s="29"/>
      <c r="T97" s="29"/>
      <c r="U97" s="29"/>
      <c r="V97" s="29"/>
      <c r="W97" s="29"/>
      <c r="X97" s="29"/>
      <c r="Y97" s="30"/>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c r="MM97" s="29"/>
    </row>
    <row r="98" spans="1:351" s="3" customFormat="1" ht="29.25" customHeight="1" outlineLevel="1" thickBot="1">
      <c r="A98" s="33"/>
      <c r="B98" s="47" t="s">
        <v>214</v>
      </c>
      <c r="C98" s="42" t="s">
        <v>82</v>
      </c>
      <c r="D98" s="119">
        <f t="shared" ref="D98:D112" si="324">E95+1</f>
        <v>46030</v>
      </c>
      <c r="E98" s="119">
        <f t="shared" si="323"/>
        <v>46085</v>
      </c>
      <c r="F98" s="14"/>
      <c r="G98" s="14">
        <v>56</v>
      </c>
      <c r="H98" s="14">
        <v>54</v>
      </c>
      <c r="I98" s="14"/>
      <c r="J98" s="29"/>
      <c r="K98" s="29"/>
      <c r="L98" s="29"/>
      <c r="M98" s="29"/>
      <c r="N98" s="29"/>
      <c r="O98" s="29"/>
      <c r="P98" s="29"/>
      <c r="Q98" s="29"/>
      <c r="R98" s="29"/>
      <c r="S98" s="29"/>
      <c r="T98" s="29"/>
      <c r="U98" s="29"/>
      <c r="V98" s="29"/>
      <c r="W98" s="29"/>
      <c r="X98" s="29"/>
      <c r="Y98" s="30"/>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c r="MM98" s="29"/>
    </row>
    <row r="99" spans="1:351" s="3" customFormat="1" ht="29.25" customHeight="1" outlineLevel="1" thickBot="1">
      <c r="A99" s="33"/>
      <c r="B99" s="47" t="s">
        <v>213</v>
      </c>
      <c r="C99" s="42"/>
      <c r="D99" s="119">
        <f t="shared" si="324"/>
        <v>46052</v>
      </c>
      <c r="E99" s="119">
        <f t="shared" si="323"/>
        <v>46107</v>
      </c>
      <c r="F99" s="14"/>
      <c r="G99" s="14">
        <v>56</v>
      </c>
      <c r="H99" s="14">
        <v>54</v>
      </c>
      <c r="I99" s="14"/>
      <c r="J99" s="29"/>
      <c r="K99" s="29"/>
      <c r="L99" s="29"/>
      <c r="M99" s="29"/>
      <c r="N99" s="29"/>
      <c r="O99" s="29"/>
      <c r="P99" s="29"/>
      <c r="Q99" s="29"/>
      <c r="R99" s="29"/>
      <c r="S99" s="29"/>
      <c r="T99" s="29"/>
      <c r="U99" s="29"/>
      <c r="V99" s="29"/>
      <c r="W99" s="29"/>
      <c r="X99" s="29"/>
      <c r="Y99" s="30"/>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c r="MM99" s="29"/>
    </row>
    <row r="100" spans="1:351" s="3" customFormat="1" ht="29.25" customHeight="1" outlineLevel="1" thickBot="1">
      <c r="A100" s="33"/>
      <c r="B100" s="150" t="s">
        <v>215</v>
      </c>
      <c r="C100" s="151" t="s">
        <v>111</v>
      </c>
      <c r="D100" s="152">
        <f>E97+8</f>
        <v>46051</v>
      </c>
      <c r="E100" s="152">
        <f t="shared" si="323"/>
        <v>46106</v>
      </c>
      <c r="F100" s="14"/>
      <c r="G100" s="14">
        <v>56</v>
      </c>
      <c r="H100" s="14"/>
      <c r="I100" s="14"/>
      <c r="J100" s="29"/>
      <c r="K100" s="29"/>
      <c r="L100" s="29"/>
      <c r="M100" s="29"/>
      <c r="N100" s="29"/>
      <c r="O100" s="29"/>
      <c r="P100" s="29"/>
      <c r="Q100" s="29"/>
      <c r="R100" s="29"/>
      <c r="S100" s="29"/>
      <c r="T100" s="29"/>
      <c r="U100" s="29"/>
      <c r="V100" s="29"/>
      <c r="W100" s="29"/>
      <c r="X100" s="29"/>
      <c r="Y100" s="30"/>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c r="MM100" s="29"/>
    </row>
    <row r="101" spans="1:351" s="3" customFormat="1" ht="29.25" customHeight="1" outlineLevel="1" thickBot="1">
      <c r="A101" s="33"/>
      <c r="B101" s="47" t="s">
        <v>214</v>
      </c>
      <c r="C101" s="42" t="s">
        <v>85</v>
      </c>
      <c r="D101" s="119">
        <f t="shared" si="324"/>
        <v>46086</v>
      </c>
      <c r="E101" s="119">
        <f t="shared" si="323"/>
        <v>46141</v>
      </c>
      <c r="F101" s="14"/>
      <c r="G101" s="14">
        <v>56</v>
      </c>
      <c r="H101" s="14">
        <v>54</v>
      </c>
      <c r="I101" s="14"/>
      <c r="J101" s="29"/>
      <c r="K101" s="29"/>
      <c r="L101" s="29"/>
      <c r="M101" s="29"/>
      <c r="N101" s="29"/>
      <c r="O101" s="29"/>
      <c r="P101" s="29"/>
      <c r="Q101" s="29"/>
      <c r="R101" s="29"/>
      <c r="S101" s="29"/>
      <c r="T101" s="29"/>
      <c r="U101" s="29"/>
      <c r="V101" s="29"/>
      <c r="W101" s="29"/>
      <c r="X101" s="29"/>
      <c r="Y101" s="30"/>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c r="MM101" s="29"/>
    </row>
    <row r="102" spans="1:351" s="3" customFormat="1" ht="29.25" customHeight="1" outlineLevel="1" thickBot="1">
      <c r="A102" s="33"/>
      <c r="B102" s="47" t="s">
        <v>213</v>
      </c>
      <c r="C102" s="42"/>
      <c r="D102" s="119">
        <f t="shared" si="324"/>
        <v>46108</v>
      </c>
      <c r="E102" s="119">
        <f t="shared" si="323"/>
        <v>46163</v>
      </c>
      <c r="F102" s="14"/>
      <c r="G102" s="14">
        <v>56</v>
      </c>
      <c r="H102" s="14"/>
      <c r="I102" s="14"/>
      <c r="J102" s="29"/>
      <c r="K102" s="29"/>
      <c r="L102" s="29"/>
      <c r="M102" s="29"/>
      <c r="N102" s="29"/>
      <c r="O102" s="29"/>
      <c r="P102" s="29"/>
      <c r="Q102" s="29"/>
      <c r="R102" s="29"/>
      <c r="S102" s="29"/>
      <c r="T102" s="29"/>
      <c r="U102" s="29"/>
      <c r="V102" s="29"/>
      <c r="W102" s="29"/>
      <c r="X102" s="29"/>
      <c r="Y102" s="30"/>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c r="MM102" s="29"/>
    </row>
    <row r="103" spans="1:351" s="3" customFormat="1" ht="29.25" customHeight="1" outlineLevel="1" thickBot="1">
      <c r="A103" s="33"/>
      <c r="B103" s="150" t="s">
        <v>215</v>
      </c>
      <c r="C103" s="151"/>
      <c r="D103" s="152">
        <f t="shared" si="324"/>
        <v>46107</v>
      </c>
      <c r="E103" s="152">
        <f t="shared" si="323"/>
        <v>46162</v>
      </c>
      <c r="F103" s="14"/>
      <c r="G103" s="14">
        <v>56</v>
      </c>
      <c r="H103" s="14"/>
      <c r="I103" s="14"/>
      <c r="J103" s="29"/>
      <c r="K103" s="29"/>
      <c r="L103" s="29"/>
      <c r="M103" s="29"/>
      <c r="N103" s="29"/>
      <c r="O103" s="29"/>
      <c r="P103" s="29"/>
      <c r="Q103" s="29"/>
      <c r="R103" s="29"/>
      <c r="S103" s="29"/>
      <c r="T103" s="29"/>
      <c r="U103" s="29"/>
      <c r="V103" s="29"/>
      <c r="W103" s="29"/>
      <c r="X103" s="29"/>
      <c r="Y103" s="30"/>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c r="MM103" s="29"/>
    </row>
    <row r="104" spans="1:351" s="3" customFormat="1" ht="29.25" customHeight="1" outlineLevel="1" thickBot="1">
      <c r="A104" s="33"/>
      <c r="B104" s="47" t="s">
        <v>214</v>
      </c>
      <c r="C104" s="42" t="s">
        <v>82</v>
      </c>
      <c r="D104" s="119">
        <f t="shared" si="324"/>
        <v>46142</v>
      </c>
      <c r="E104" s="119">
        <f t="shared" si="323"/>
        <v>46197</v>
      </c>
      <c r="F104" s="14"/>
      <c r="G104" s="14">
        <v>56</v>
      </c>
      <c r="H104" s="14"/>
      <c r="I104" s="14"/>
      <c r="J104" s="29"/>
      <c r="K104" s="29"/>
      <c r="L104" s="29"/>
      <c r="M104" s="29"/>
      <c r="N104" s="29"/>
      <c r="O104" s="29"/>
      <c r="P104" s="29"/>
      <c r="Q104" s="29"/>
      <c r="R104" s="29"/>
      <c r="S104" s="29"/>
      <c r="T104" s="29"/>
      <c r="U104" s="29"/>
      <c r="V104" s="29"/>
      <c r="W104" s="29"/>
      <c r="X104" s="29"/>
      <c r="Y104" s="30"/>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c r="MM104" s="29"/>
    </row>
    <row r="105" spans="1:351" s="3" customFormat="1" ht="29.25" customHeight="1" outlineLevel="1" thickBot="1">
      <c r="A105" s="33"/>
      <c r="B105" s="47" t="s">
        <v>213</v>
      </c>
      <c r="C105" s="42"/>
      <c r="D105" s="119">
        <f t="shared" si="324"/>
        <v>46164</v>
      </c>
      <c r="E105" s="119">
        <f t="shared" si="323"/>
        <v>46219</v>
      </c>
      <c r="F105" s="14"/>
      <c r="G105" s="14">
        <v>56</v>
      </c>
      <c r="H105" s="14"/>
      <c r="I105" s="14"/>
      <c r="J105" s="29"/>
      <c r="K105" s="29"/>
      <c r="L105" s="29"/>
      <c r="M105" s="29"/>
      <c r="N105" s="29"/>
      <c r="O105" s="29"/>
      <c r="P105" s="29"/>
      <c r="Q105" s="29"/>
      <c r="R105" s="29"/>
      <c r="S105" s="29"/>
      <c r="T105" s="29"/>
      <c r="U105" s="29"/>
      <c r="V105" s="29"/>
      <c r="W105" s="29"/>
      <c r="X105" s="29"/>
      <c r="Y105" s="30"/>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c r="MM105" s="29"/>
    </row>
    <row r="106" spans="1:351" s="3" customFormat="1" ht="29.25" customHeight="1" outlineLevel="1" thickBot="1">
      <c r="A106" s="33"/>
      <c r="B106" s="150" t="s">
        <v>215</v>
      </c>
      <c r="C106" s="151"/>
      <c r="D106" s="152">
        <f t="shared" si="324"/>
        <v>46163</v>
      </c>
      <c r="E106" s="152">
        <f t="shared" si="323"/>
        <v>46218</v>
      </c>
      <c r="F106" s="14"/>
      <c r="G106" s="14">
        <v>56</v>
      </c>
      <c r="H106" s="14"/>
      <c r="I106" s="14"/>
      <c r="J106" s="29"/>
      <c r="K106" s="29"/>
      <c r="L106" s="29"/>
      <c r="M106" s="29"/>
      <c r="N106" s="29"/>
      <c r="O106" s="29"/>
      <c r="P106" s="29"/>
      <c r="Q106" s="29"/>
      <c r="R106" s="29"/>
      <c r="S106" s="29"/>
      <c r="T106" s="29"/>
      <c r="U106" s="29"/>
      <c r="V106" s="29"/>
      <c r="W106" s="29"/>
      <c r="X106" s="29"/>
      <c r="Y106" s="30"/>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c r="MM106" s="29"/>
    </row>
    <row r="107" spans="1:351" s="3" customFormat="1" ht="29.25" customHeight="1" outlineLevel="1" thickBot="1">
      <c r="A107" s="33"/>
      <c r="B107" s="47" t="s">
        <v>214</v>
      </c>
      <c r="C107" s="42" t="s">
        <v>85</v>
      </c>
      <c r="D107" s="119">
        <f t="shared" si="324"/>
        <v>46198</v>
      </c>
      <c r="E107" s="119">
        <f t="shared" si="323"/>
        <v>46253</v>
      </c>
      <c r="F107" s="14"/>
      <c r="G107" s="14">
        <v>56</v>
      </c>
      <c r="H107" s="14"/>
      <c r="I107" s="14"/>
      <c r="J107" s="29"/>
      <c r="K107" s="29"/>
      <c r="L107" s="29"/>
      <c r="M107" s="29"/>
      <c r="N107" s="29"/>
      <c r="O107" s="29"/>
      <c r="P107" s="29"/>
      <c r="Q107" s="29"/>
      <c r="R107" s="29"/>
      <c r="S107" s="29"/>
      <c r="T107" s="29"/>
      <c r="U107" s="29"/>
      <c r="V107" s="29"/>
      <c r="W107" s="29"/>
      <c r="X107" s="29"/>
      <c r="Y107" s="30"/>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c r="MM107" s="29"/>
    </row>
    <row r="108" spans="1:351" s="3" customFormat="1" ht="29.25" customHeight="1" outlineLevel="1" thickBot="1">
      <c r="A108" s="33" t="s">
        <v>216</v>
      </c>
      <c r="B108" s="47" t="s">
        <v>213</v>
      </c>
      <c r="C108" s="42"/>
      <c r="D108" s="119">
        <f t="shared" si="324"/>
        <v>46220</v>
      </c>
      <c r="E108" s="119">
        <f t="shared" si="323"/>
        <v>46275</v>
      </c>
      <c r="F108" s="14"/>
      <c r="G108" s="14">
        <v>56</v>
      </c>
      <c r="H108" s="14"/>
      <c r="I108" s="14"/>
      <c r="J108" s="29"/>
      <c r="K108" s="29"/>
      <c r="L108" s="29"/>
      <c r="M108" s="29"/>
      <c r="N108" s="29"/>
      <c r="O108" s="29"/>
      <c r="P108" s="29"/>
      <c r="Q108" s="29"/>
      <c r="R108" s="29"/>
      <c r="S108" s="29"/>
      <c r="T108" s="29"/>
      <c r="U108" s="29"/>
      <c r="V108" s="29"/>
      <c r="W108" s="29"/>
      <c r="X108" s="29"/>
      <c r="Y108" s="30"/>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c r="MM108" s="29"/>
    </row>
    <row r="109" spans="1:351" s="3" customFormat="1" ht="29.25" customHeight="1" outlineLevel="1" thickBot="1">
      <c r="A109" s="33"/>
      <c r="B109" s="150" t="s">
        <v>215</v>
      </c>
      <c r="C109" s="151"/>
      <c r="D109" s="152">
        <f t="shared" si="324"/>
        <v>46219</v>
      </c>
      <c r="E109" s="152">
        <f t="shared" si="323"/>
        <v>46274</v>
      </c>
      <c r="F109" s="14"/>
      <c r="G109" s="14">
        <v>56</v>
      </c>
      <c r="H109" s="14"/>
      <c r="I109" s="14"/>
      <c r="J109" s="29"/>
      <c r="K109" s="29"/>
      <c r="L109" s="29"/>
      <c r="M109" s="29"/>
      <c r="N109" s="29"/>
      <c r="O109" s="29"/>
      <c r="P109" s="29"/>
      <c r="Q109" s="29"/>
      <c r="R109" s="29"/>
      <c r="S109" s="29"/>
      <c r="T109" s="29"/>
      <c r="U109" s="29"/>
      <c r="V109" s="29"/>
      <c r="W109" s="29"/>
      <c r="X109" s="29"/>
      <c r="Y109" s="30"/>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c r="MM109" s="29"/>
    </row>
    <row r="110" spans="1:351" s="3" customFormat="1" ht="29.25" customHeight="1" outlineLevel="1" thickBot="1">
      <c r="A110" s="33"/>
      <c r="B110" s="47" t="s">
        <v>214</v>
      </c>
      <c r="C110" s="42" t="s">
        <v>82</v>
      </c>
      <c r="D110" s="119">
        <f t="shared" si="324"/>
        <v>46254</v>
      </c>
      <c r="E110" s="119">
        <f t="shared" si="323"/>
        <v>46309</v>
      </c>
      <c r="F110" s="14"/>
      <c r="G110" s="14">
        <v>56</v>
      </c>
      <c r="H110" s="14"/>
      <c r="I110" s="14"/>
      <c r="J110" s="29"/>
      <c r="K110" s="29"/>
      <c r="L110" s="29"/>
      <c r="M110" s="29"/>
      <c r="N110" s="29"/>
      <c r="O110" s="29"/>
      <c r="P110" s="29"/>
      <c r="Q110" s="29"/>
      <c r="R110" s="29"/>
      <c r="S110" s="29"/>
      <c r="T110" s="29"/>
      <c r="U110" s="29"/>
      <c r="V110" s="29"/>
      <c r="W110" s="29"/>
      <c r="X110" s="29"/>
      <c r="Y110" s="30"/>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c r="MM110" s="29"/>
    </row>
    <row r="111" spans="1:351" s="3" customFormat="1" ht="29.25" customHeight="1" outlineLevel="1" thickBot="1">
      <c r="A111" s="33"/>
      <c r="B111" s="47" t="s">
        <v>213</v>
      </c>
      <c r="C111" s="42"/>
      <c r="D111" s="119">
        <f t="shared" si="324"/>
        <v>46276</v>
      </c>
      <c r="E111" s="119">
        <f t="shared" si="323"/>
        <v>46331</v>
      </c>
      <c r="F111" s="14"/>
      <c r="G111" s="14">
        <v>56</v>
      </c>
      <c r="H111" s="14"/>
      <c r="I111" s="14"/>
      <c r="J111" s="29"/>
      <c r="K111" s="29"/>
      <c r="L111" s="29"/>
      <c r="M111" s="29"/>
      <c r="N111" s="29"/>
      <c r="O111" s="29"/>
      <c r="P111" s="29"/>
      <c r="Q111" s="29"/>
      <c r="R111" s="29"/>
      <c r="S111" s="29"/>
      <c r="T111" s="29"/>
      <c r="U111" s="29"/>
      <c r="V111" s="29"/>
      <c r="W111" s="29"/>
      <c r="X111" s="29"/>
      <c r="Y111" s="30"/>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c r="MM111" s="29"/>
    </row>
    <row r="112" spans="1:351" s="3" customFormat="1" ht="29.25" customHeight="1" outlineLevel="1" thickBot="1">
      <c r="A112" s="33"/>
      <c r="B112" s="150" t="s">
        <v>215</v>
      </c>
      <c r="C112" s="151"/>
      <c r="D112" s="152">
        <f t="shared" si="324"/>
        <v>46275</v>
      </c>
      <c r="E112" s="152">
        <f t="shared" si="323"/>
        <v>46330</v>
      </c>
      <c r="F112" s="14"/>
      <c r="G112" s="14">
        <v>56</v>
      </c>
      <c r="H112" s="14"/>
      <c r="I112" s="14"/>
      <c r="J112" s="29"/>
      <c r="K112" s="29"/>
      <c r="L112" s="29"/>
      <c r="M112" s="29"/>
      <c r="N112" s="29"/>
      <c r="O112" s="29"/>
      <c r="P112" s="29"/>
      <c r="Q112" s="29"/>
      <c r="R112" s="29"/>
      <c r="S112" s="29"/>
      <c r="T112" s="29"/>
      <c r="U112" s="29"/>
      <c r="V112" s="29"/>
      <c r="W112" s="29"/>
      <c r="X112" s="29"/>
      <c r="Y112" s="30"/>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c r="MM112" s="29"/>
    </row>
    <row r="113" spans="1:351" s="3" customFormat="1" ht="29.25" customHeight="1" outlineLevel="1" thickBot="1">
      <c r="A113" s="33"/>
      <c r="B113" s="47"/>
      <c r="C113" s="42"/>
      <c r="D113" s="119"/>
      <c r="E113" s="119"/>
      <c r="F113" s="14"/>
      <c r="G113" s="14"/>
      <c r="H113" s="14"/>
      <c r="I113" s="14"/>
      <c r="J113" s="29"/>
      <c r="K113" s="29"/>
      <c r="L113" s="29"/>
      <c r="M113" s="29"/>
      <c r="N113" s="29"/>
      <c r="O113" s="29"/>
      <c r="P113" s="29"/>
      <c r="Q113" s="29"/>
      <c r="R113" s="29"/>
      <c r="S113" s="29"/>
      <c r="T113" s="29"/>
      <c r="U113" s="29"/>
      <c r="V113" s="29"/>
      <c r="W113" s="29"/>
      <c r="X113" s="29"/>
      <c r="Y113" s="30"/>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c r="MM113" s="29"/>
    </row>
    <row r="114" spans="1:351" s="3" customFormat="1" ht="29.25" customHeight="1" outlineLevel="1" thickBot="1">
      <c r="A114" s="33"/>
      <c r="B114" s="47"/>
      <c r="C114" s="42"/>
      <c r="D114" s="119"/>
      <c r="E114" s="119"/>
      <c r="F114" s="14"/>
      <c r="G114" s="14"/>
      <c r="H114" s="14"/>
      <c r="I114" s="14"/>
      <c r="J114" s="29"/>
      <c r="K114" s="29"/>
      <c r="L114" s="29"/>
      <c r="M114" s="29"/>
      <c r="N114" s="29"/>
      <c r="O114" s="29"/>
      <c r="P114" s="29"/>
      <c r="Q114" s="29"/>
      <c r="R114" s="29"/>
      <c r="S114" s="29"/>
      <c r="T114" s="29"/>
      <c r="U114" s="29"/>
      <c r="V114" s="29"/>
      <c r="W114" s="29"/>
      <c r="X114" s="29"/>
      <c r="Y114" s="30"/>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c r="MM114" s="29"/>
    </row>
    <row r="115" spans="1:351" s="3" customFormat="1" ht="29.25" customHeight="1" outlineLevel="1" thickBot="1">
      <c r="A115" s="33"/>
      <c r="B115" s="47"/>
      <c r="C115" s="42"/>
      <c r="D115" s="119"/>
      <c r="E115" s="119"/>
      <c r="F115" s="14"/>
      <c r="G115" s="14"/>
      <c r="H115" s="14"/>
      <c r="I115" s="14"/>
      <c r="J115" s="29"/>
      <c r="K115" s="29"/>
      <c r="L115" s="29"/>
      <c r="M115" s="29"/>
      <c r="N115" s="29"/>
      <c r="O115" s="29"/>
      <c r="P115" s="29"/>
      <c r="Q115" s="29"/>
      <c r="R115" s="29"/>
      <c r="S115" s="29"/>
      <c r="T115" s="29"/>
      <c r="U115" s="29"/>
      <c r="V115" s="29"/>
      <c r="W115" s="29"/>
      <c r="X115" s="29"/>
      <c r="Y115" s="30"/>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c r="MM115" s="29"/>
    </row>
    <row r="116" spans="1:351" s="3" customFormat="1" ht="29.25" customHeight="1" outlineLevel="1" thickBot="1">
      <c r="A116" s="33"/>
      <c r="B116" s="47"/>
      <c r="C116" s="42"/>
      <c r="D116" s="119"/>
      <c r="E116" s="119"/>
      <c r="F116" s="14"/>
      <c r="G116" s="14"/>
      <c r="H116" s="14"/>
      <c r="I116" s="14"/>
      <c r="J116" s="29"/>
      <c r="K116" s="29"/>
      <c r="L116" s="29"/>
      <c r="M116" s="29"/>
      <c r="N116" s="29"/>
      <c r="O116" s="29"/>
      <c r="P116" s="29"/>
      <c r="Q116" s="29"/>
      <c r="R116" s="29"/>
      <c r="S116" s="29"/>
      <c r="T116" s="29"/>
      <c r="U116" s="29"/>
      <c r="V116" s="29"/>
      <c r="W116" s="29"/>
      <c r="X116" s="29"/>
      <c r="Y116" s="30"/>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c r="MM116" s="29"/>
    </row>
    <row r="117" spans="1:351" s="3" customFormat="1" ht="29.25" customHeight="1" outlineLevel="1" thickBot="1">
      <c r="A117" s="33"/>
      <c r="B117" s="47"/>
      <c r="C117" s="42"/>
      <c r="D117" s="119"/>
      <c r="E117" s="119"/>
      <c r="F117" s="14"/>
      <c r="G117" s="14"/>
      <c r="H117" s="14"/>
      <c r="I117" s="14"/>
      <c r="J117" s="29"/>
      <c r="K117" s="29"/>
      <c r="L117" s="29"/>
      <c r="M117" s="29"/>
      <c r="N117" s="29"/>
      <c r="O117" s="29"/>
      <c r="P117" s="29"/>
      <c r="Q117" s="29"/>
      <c r="R117" s="29"/>
      <c r="S117" s="29"/>
      <c r="T117" s="29"/>
      <c r="U117" s="29"/>
      <c r="V117" s="29"/>
      <c r="W117" s="29"/>
      <c r="X117" s="29"/>
      <c r="Y117" s="30"/>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c r="MM117" s="29"/>
    </row>
    <row r="118" spans="1:351" s="3" customFormat="1" ht="29.25" customHeight="1" outlineLevel="1" thickBot="1">
      <c r="A118" s="33"/>
      <c r="B118" s="47"/>
      <c r="C118" s="42"/>
      <c r="D118" s="119"/>
      <c r="E118" s="119"/>
      <c r="F118" s="14"/>
      <c r="G118" s="14"/>
      <c r="H118" s="14"/>
      <c r="I118" s="14"/>
      <c r="J118" s="29"/>
      <c r="K118" s="29"/>
      <c r="L118" s="29"/>
      <c r="M118" s="29"/>
      <c r="N118" s="29"/>
      <c r="O118" s="29"/>
      <c r="P118" s="29"/>
      <c r="Q118" s="29"/>
      <c r="R118" s="29"/>
      <c r="S118" s="29"/>
      <c r="T118" s="29"/>
      <c r="U118" s="29"/>
      <c r="V118" s="29"/>
      <c r="W118" s="29"/>
      <c r="X118" s="29"/>
      <c r="Y118" s="30"/>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c r="MM118" s="29"/>
    </row>
    <row r="119" spans="1:351" s="3" customFormat="1" ht="29.25" customHeight="1" outlineLevel="1" thickBot="1">
      <c r="A119" s="33"/>
      <c r="B119" s="47"/>
      <c r="C119" s="42"/>
      <c r="D119" s="119"/>
      <c r="E119" s="119"/>
      <c r="F119" s="14"/>
      <c r="G119" s="14"/>
      <c r="H119" s="14"/>
      <c r="I119" s="14"/>
      <c r="J119" s="29"/>
      <c r="K119" s="29"/>
      <c r="L119" s="29"/>
      <c r="M119" s="29"/>
      <c r="N119" s="29"/>
      <c r="O119" s="29"/>
      <c r="P119" s="29"/>
      <c r="Q119" s="29"/>
      <c r="R119" s="29"/>
      <c r="S119" s="29"/>
      <c r="T119" s="29"/>
      <c r="U119" s="29"/>
      <c r="V119" s="29"/>
      <c r="W119" s="29"/>
      <c r="X119" s="29"/>
      <c r="Y119" s="30"/>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c r="MM119" s="29"/>
    </row>
    <row r="120" spans="1:351" s="3" customFormat="1" ht="29.25" customHeight="1" outlineLevel="1" thickBot="1">
      <c r="A120" s="33"/>
      <c r="B120" s="47"/>
      <c r="C120" s="42"/>
      <c r="D120" s="119"/>
      <c r="E120" s="119"/>
      <c r="F120" s="14"/>
      <c r="G120" s="14"/>
      <c r="H120" s="14"/>
      <c r="I120" s="14"/>
      <c r="J120" s="29"/>
      <c r="K120" s="29"/>
      <c r="L120" s="29"/>
      <c r="M120" s="29"/>
      <c r="N120" s="29"/>
      <c r="O120" s="29"/>
      <c r="P120" s="29"/>
      <c r="Q120" s="29"/>
      <c r="R120" s="29"/>
      <c r="S120" s="29"/>
      <c r="T120" s="29"/>
      <c r="U120" s="29"/>
      <c r="V120" s="29"/>
      <c r="W120" s="29"/>
      <c r="X120" s="29"/>
      <c r="Y120" s="30"/>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c r="MM120" s="29"/>
    </row>
    <row r="121" spans="1:351" s="3" customFormat="1" ht="29.25" customHeight="1" outlineLevel="1" thickBot="1">
      <c r="A121" s="33"/>
      <c r="B121" s="24" t="s">
        <v>217</v>
      </c>
      <c r="C121" s="144"/>
      <c r="D121" s="124"/>
      <c r="E121" s="125"/>
      <c r="F121" s="14"/>
      <c r="G121" s="14"/>
      <c r="H121" s="29"/>
      <c r="I121" s="29"/>
      <c r="J121" s="29"/>
      <c r="K121" s="29"/>
      <c r="L121" s="29"/>
      <c r="M121" s="29"/>
      <c r="N121" s="29"/>
      <c r="O121" s="29"/>
      <c r="P121" s="29"/>
      <c r="Q121" s="29"/>
      <c r="R121" s="29"/>
      <c r="S121" s="29"/>
      <c r="T121" s="29"/>
      <c r="U121" s="29"/>
      <c r="V121" s="29"/>
      <c r="W121" s="29"/>
      <c r="X121" s="29"/>
      <c r="Y121" s="29"/>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c r="MM121" s="29"/>
    </row>
    <row r="122" spans="1:351" s="3" customFormat="1" ht="29.25" customHeight="1" outlineLevel="1" thickBot="1">
      <c r="A122" s="33"/>
      <c r="B122" s="85" t="s">
        <v>218</v>
      </c>
      <c r="C122" s="104" t="s">
        <v>88</v>
      </c>
      <c r="D122" s="126">
        <v>45754</v>
      </c>
      <c r="E122" s="126">
        <f>D122+G122</f>
        <v>45758</v>
      </c>
      <c r="F122" s="14"/>
      <c r="G122" s="14">
        <v>4</v>
      </c>
      <c r="H122" s="29"/>
      <c r="I122" s="29"/>
      <c r="J122" s="29"/>
      <c r="K122" s="29"/>
      <c r="L122" s="29"/>
      <c r="M122" s="29"/>
      <c r="N122" s="29"/>
      <c r="O122" s="29"/>
      <c r="P122" s="29"/>
      <c r="Q122" s="29"/>
      <c r="R122" s="29"/>
      <c r="S122" s="29"/>
      <c r="T122" s="29"/>
      <c r="U122" s="29"/>
      <c r="V122" s="29"/>
      <c r="W122" s="29"/>
      <c r="X122" s="29"/>
      <c r="Y122" s="29"/>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c r="MM122" s="29"/>
    </row>
    <row r="123" spans="1:351" s="3" customFormat="1" ht="29.25" customHeight="1" outlineLevel="1" thickBot="1">
      <c r="A123" s="33"/>
      <c r="B123" s="85" t="s">
        <v>219</v>
      </c>
      <c r="C123" s="104" t="s">
        <v>194</v>
      </c>
      <c r="D123" s="126">
        <v>45782</v>
      </c>
      <c r="E123" s="126">
        <f>D123+G123-1</f>
        <v>45793</v>
      </c>
      <c r="F123" s="14"/>
      <c r="G123" s="14">
        <v>12</v>
      </c>
      <c r="H123" s="29"/>
      <c r="I123" s="29"/>
      <c r="J123" s="29"/>
      <c r="K123" s="29"/>
      <c r="L123" s="29"/>
      <c r="M123" s="29"/>
      <c r="N123" s="29"/>
      <c r="O123" s="29"/>
      <c r="P123" s="29"/>
      <c r="Q123" s="29"/>
      <c r="R123" s="29"/>
      <c r="S123" s="29"/>
      <c r="T123" s="29"/>
      <c r="U123" s="29"/>
      <c r="V123" s="29"/>
      <c r="W123" s="29"/>
      <c r="X123" s="29"/>
      <c r="Y123" s="29"/>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c r="MM123" s="29"/>
    </row>
    <row r="124" spans="1:351" s="3" customFormat="1" ht="29.25" customHeight="1" outlineLevel="1" thickBot="1">
      <c r="A124" s="33"/>
      <c r="B124" s="85" t="s">
        <v>220</v>
      </c>
      <c r="C124" s="104" t="s">
        <v>85</v>
      </c>
      <c r="D124" s="126">
        <f>D123+35</f>
        <v>45817</v>
      </c>
      <c r="E124" s="126">
        <f t="shared" ref="E124:E133" si="325">D124+G124-1</f>
        <v>45828</v>
      </c>
      <c r="F124" s="14"/>
      <c r="G124" s="14">
        <v>12</v>
      </c>
      <c r="H124" s="29"/>
      <c r="I124" s="29"/>
      <c r="J124" s="29"/>
      <c r="K124" s="29"/>
      <c r="L124" s="29"/>
      <c r="M124" s="29"/>
      <c r="N124" s="29"/>
      <c r="O124" s="29"/>
      <c r="P124" s="29"/>
      <c r="Q124" s="29"/>
      <c r="R124" s="29"/>
      <c r="S124" s="29"/>
      <c r="T124" s="29"/>
      <c r="U124" s="29"/>
      <c r="V124" s="29"/>
      <c r="W124" s="29"/>
      <c r="X124" s="29"/>
      <c r="Y124" s="29"/>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c r="MM124" s="29"/>
    </row>
    <row r="125" spans="1:351" s="3" customFormat="1" ht="29.25" customHeight="1" outlineLevel="1" thickBot="1">
      <c r="A125" s="33"/>
      <c r="B125" s="85" t="s">
        <v>219</v>
      </c>
      <c r="C125" s="104" t="s">
        <v>35</v>
      </c>
      <c r="D125" s="126">
        <f t="shared" ref="D125" si="326">D124+35</f>
        <v>45852</v>
      </c>
      <c r="E125" s="126">
        <f t="shared" si="325"/>
        <v>45863</v>
      </c>
      <c r="F125" s="14"/>
      <c r="G125" s="14">
        <v>12</v>
      </c>
      <c r="H125" s="29"/>
      <c r="I125" s="29"/>
      <c r="J125" s="29"/>
      <c r="K125" s="29"/>
      <c r="L125" s="29"/>
      <c r="M125" s="29"/>
      <c r="N125" s="29"/>
      <c r="O125" s="29"/>
      <c r="P125" s="29"/>
      <c r="Q125" s="29"/>
      <c r="R125" s="29"/>
      <c r="S125" s="29"/>
      <c r="T125" s="29"/>
      <c r="U125" s="29"/>
      <c r="V125" s="29"/>
      <c r="W125" s="29"/>
      <c r="X125" s="29"/>
      <c r="Y125" s="29"/>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c r="MM125" s="29"/>
    </row>
    <row r="126" spans="1:351" s="3" customFormat="1" ht="29.25" customHeight="1" outlineLevel="1" thickBot="1">
      <c r="A126" s="33"/>
      <c r="B126" s="85" t="s">
        <v>219</v>
      </c>
      <c r="C126" s="104" t="s">
        <v>157</v>
      </c>
      <c r="D126" s="126">
        <v>45852</v>
      </c>
      <c r="E126" s="126">
        <f t="shared" si="325"/>
        <v>45856</v>
      </c>
      <c r="F126" s="14"/>
      <c r="G126" s="14">
        <v>5</v>
      </c>
      <c r="H126" s="29"/>
      <c r="I126" s="29"/>
      <c r="J126" s="29"/>
      <c r="K126" s="29"/>
      <c r="L126" s="29"/>
      <c r="M126" s="29"/>
      <c r="N126" s="29"/>
      <c r="O126" s="29"/>
      <c r="P126" s="29"/>
      <c r="Q126" s="29"/>
      <c r="R126" s="29"/>
      <c r="S126" s="29"/>
      <c r="T126" s="29"/>
      <c r="U126" s="29"/>
      <c r="V126" s="29"/>
      <c r="W126" s="29"/>
      <c r="X126" s="29"/>
      <c r="Y126" s="29"/>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c r="MM126" s="29"/>
    </row>
    <row r="127" spans="1:351" s="3" customFormat="1" ht="29.25" customHeight="1" outlineLevel="1" thickBot="1">
      <c r="A127" s="33"/>
      <c r="B127" s="85" t="s">
        <v>219</v>
      </c>
      <c r="C127" s="104" t="s">
        <v>160</v>
      </c>
      <c r="D127" s="126">
        <v>45859</v>
      </c>
      <c r="E127" s="126">
        <f t="shared" si="325"/>
        <v>45863</v>
      </c>
      <c r="F127" s="14"/>
      <c r="G127" s="14">
        <v>5</v>
      </c>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c r="MM127" s="29"/>
    </row>
    <row r="128" spans="1:351" s="3" customFormat="1" ht="29.25" customHeight="1" outlineLevel="1" thickBot="1">
      <c r="A128" s="33"/>
      <c r="B128" s="85" t="s">
        <v>220</v>
      </c>
      <c r="C128" s="104" t="s">
        <v>79</v>
      </c>
      <c r="D128" s="126">
        <v>45894</v>
      </c>
      <c r="E128" s="126">
        <f t="shared" si="325"/>
        <v>45905</v>
      </c>
      <c r="F128" s="14"/>
      <c r="G128" s="14">
        <v>12</v>
      </c>
      <c r="H128" s="29"/>
      <c r="I128" s="29"/>
      <c r="J128" s="29"/>
      <c r="K128" s="29"/>
      <c r="L128" s="29"/>
      <c r="M128" s="29"/>
      <c r="N128" s="29"/>
      <c r="O128" s="29"/>
      <c r="P128" s="29"/>
      <c r="Q128" s="29"/>
      <c r="R128" s="29"/>
      <c r="S128" s="29"/>
      <c r="T128" s="29"/>
      <c r="U128" s="29"/>
      <c r="V128" s="29"/>
      <c r="W128" s="29"/>
      <c r="X128" s="29"/>
      <c r="Y128" s="29"/>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c r="MM128" s="29"/>
    </row>
    <row r="129" spans="1:351" s="3" customFormat="1" ht="29.25" customHeight="1" outlineLevel="1" thickBot="1">
      <c r="A129" s="33"/>
      <c r="B129" s="85" t="s">
        <v>220</v>
      </c>
      <c r="C129" s="104" t="s">
        <v>142</v>
      </c>
      <c r="D129" s="126">
        <v>45901</v>
      </c>
      <c r="E129" s="126">
        <f t="shared" si="325"/>
        <v>45905</v>
      </c>
      <c r="F129" s="14"/>
      <c r="G129" s="14">
        <v>5</v>
      </c>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c r="MM129" s="29"/>
    </row>
    <row r="130" spans="1:351" s="3" customFormat="1" ht="29.25" customHeight="1" outlineLevel="1" thickBot="1">
      <c r="A130" s="33"/>
      <c r="B130" s="85" t="s">
        <v>221</v>
      </c>
      <c r="C130" s="104" t="s">
        <v>21</v>
      </c>
      <c r="D130" s="126">
        <v>45894</v>
      </c>
      <c r="E130" s="126">
        <f t="shared" si="325"/>
        <v>45898</v>
      </c>
      <c r="F130" s="14"/>
      <c r="G130" s="14">
        <v>5</v>
      </c>
      <c r="H130" s="29"/>
      <c r="I130" s="29"/>
      <c r="J130" s="29"/>
      <c r="K130" s="29"/>
      <c r="L130" s="29"/>
      <c r="M130" s="29"/>
      <c r="N130" s="29"/>
      <c r="O130" s="29"/>
      <c r="P130" s="29"/>
      <c r="Q130" s="29"/>
      <c r="R130" s="29"/>
      <c r="S130" s="29"/>
      <c r="T130" s="29"/>
      <c r="U130" s="29"/>
      <c r="V130" s="29"/>
      <c r="W130" s="29"/>
      <c r="X130" s="29"/>
      <c r="Y130" s="29"/>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c r="MM130" s="29"/>
    </row>
    <row r="131" spans="1:351" s="3" customFormat="1" ht="29.25" customHeight="1" outlineLevel="1" thickBot="1">
      <c r="A131" s="33"/>
      <c r="B131" s="85" t="s">
        <v>220</v>
      </c>
      <c r="C131" s="104" t="s">
        <v>100</v>
      </c>
      <c r="D131" s="126">
        <v>45929</v>
      </c>
      <c r="E131" s="126">
        <f t="shared" si="325"/>
        <v>45940</v>
      </c>
      <c r="F131" s="14"/>
      <c r="G131" s="14">
        <v>12</v>
      </c>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c r="MM131" s="29"/>
    </row>
    <row r="132" spans="1:351" s="3" customFormat="1" ht="29.25" customHeight="1" outlineLevel="1" thickBot="1">
      <c r="A132" s="33"/>
      <c r="B132" s="85" t="s">
        <v>221</v>
      </c>
      <c r="C132" s="104" t="s">
        <v>26</v>
      </c>
      <c r="D132" s="126">
        <v>45929</v>
      </c>
      <c r="E132" s="126">
        <f t="shared" si="325"/>
        <v>45933</v>
      </c>
      <c r="F132" s="14"/>
      <c r="G132" s="14">
        <v>5</v>
      </c>
      <c r="H132" s="29"/>
      <c r="I132" s="29"/>
      <c r="J132" s="29"/>
      <c r="K132" s="29"/>
      <c r="L132" s="29"/>
      <c r="M132" s="29"/>
      <c r="N132" s="29"/>
      <c r="O132" s="29"/>
      <c r="P132" s="29"/>
      <c r="Q132" s="29"/>
      <c r="R132" s="29"/>
      <c r="S132" s="29"/>
      <c r="T132" s="29"/>
      <c r="U132" s="29"/>
      <c r="V132" s="29"/>
      <c r="W132" s="29"/>
      <c r="X132" s="29"/>
      <c r="Y132" s="29"/>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c r="MM132" s="29"/>
    </row>
    <row r="133" spans="1:351" s="3" customFormat="1" ht="29.25" customHeight="1" outlineLevel="1" thickBot="1">
      <c r="A133" s="33"/>
      <c r="B133" s="85" t="s">
        <v>219</v>
      </c>
      <c r="C133" s="104" t="s">
        <v>154</v>
      </c>
      <c r="D133" s="126">
        <v>45936</v>
      </c>
      <c r="E133" s="126">
        <f t="shared" si="325"/>
        <v>45940</v>
      </c>
      <c r="F133" s="14"/>
      <c r="G133" s="14">
        <v>5</v>
      </c>
      <c r="H133" s="29"/>
      <c r="I133" s="29"/>
      <c r="J133" s="29"/>
      <c r="K133" s="29"/>
      <c r="L133" s="29"/>
      <c r="M133" s="29"/>
      <c r="N133" s="29"/>
      <c r="O133" s="29"/>
      <c r="P133" s="29"/>
      <c r="Q133" s="29"/>
      <c r="R133" s="29"/>
      <c r="S133" s="29"/>
      <c r="T133" s="29"/>
      <c r="U133" s="29"/>
      <c r="V133" s="29"/>
      <c r="W133" s="29"/>
      <c r="X133" s="29"/>
      <c r="Y133" s="29"/>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c r="MM133" s="29"/>
    </row>
    <row r="134" spans="1:351" s="3" customFormat="1" ht="29.25" customHeight="1" outlineLevel="1" thickBot="1">
      <c r="A134" s="33"/>
      <c r="B134" s="153" t="s">
        <v>219</v>
      </c>
      <c r="C134" s="154"/>
      <c r="D134" s="155">
        <v>45964</v>
      </c>
      <c r="E134" s="155">
        <f t="shared" ref="E134:E138" si="327">D134+G134-1</f>
        <v>45975</v>
      </c>
      <c r="F134" s="156"/>
      <c r="G134" s="156">
        <v>12</v>
      </c>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c r="MM134" s="29"/>
    </row>
    <row r="135" spans="1:351" s="3" customFormat="1" ht="29.25" customHeight="1" outlineLevel="1" thickBot="1">
      <c r="A135" s="33"/>
      <c r="B135" s="153" t="s">
        <v>221</v>
      </c>
      <c r="C135" s="154"/>
      <c r="D135" s="155">
        <v>45964</v>
      </c>
      <c r="E135" s="155">
        <f t="shared" si="327"/>
        <v>45975</v>
      </c>
      <c r="F135" s="156"/>
      <c r="G135" s="156">
        <v>12</v>
      </c>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c r="MM135" s="29"/>
    </row>
    <row r="136" spans="1:351" s="3" customFormat="1" ht="29.25" customHeight="1" outlineLevel="1" thickBot="1">
      <c r="A136" s="33"/>
      <c r="B136" s="153" t="s">
        <v>220</v>
      </c>
      <c r="C136" s="154"/>
      <c r="D136" s="155">
        <v>45957</v>
      </c>
      <c r="E136" s="155">
        <f t="shared" si="327"/>
        <v>45961</v>
      </c>
      <c r="F136" s="156"/>
      <c r="G136" s="156">
        <v>5</v>
      </c>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c r="MM136" s="29"/>
    </row>
    <row r="137" spans="1:351" s="3" customFormat="1" ht="29.25" customHeight="1" outlineLevel="1" thickBot="1">
      <c r="A137" s="33"/>
      <c r="B137" s="153" t="s">
        <v>219</v>
      </c>
      <c r="C137" s="154"/>
      <c r="D137" s="155">
        <v>45964</v>
      </c>
      <c r="E137" s="155">
        <f t="shared" si="327"/>
        <v>45968</v>
      </c>
      <c r="F137" s="156"/>
      <c r="G137" s="156">
        <v>5</v>
      </c>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c r="MM137" s="29"/>
    </row>
    <row r="138" spans="1:351" s="3" customFormat="1" ht="29.25" customHeight="1" outlineLevel="1" thickBot="1">
      <c r="A138" s="33"/>
      <c r="B138" s="153" t="s">
        <v>219</v>
      </c>
      <c r="C138" s="154"/>
      <c r="D138" s="155">
        <v>45971</v>
      </c>
      <c r="E138" s="155">
        <f t="shared" si="327"/>
        <v>45975</v>
      </c>
      <c r="F138" s="156"/>
      <c r="G138" s="156">
        <v>5</v>
      </c>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c r="MM138" s="29"/>
    </row>
    <row r="139" spans="1:351" s="3" customFormat="1" ht="29.25" customHeight="1" outlineLevel="1" thickBot="1">
      <c r="A139" s="33"/>
      <c r="B139" s="85"/>
      <c r="C139" s="104"/>
      <c r="D139" s="126"/>
      <c r="E139" s="126"/>
      <c r="F139" s="14"/>
      <c r="G139" s="14"/>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c r="MM139" s="29"/>
    </row>
    <row r="140" spans="1:351" s="3" customFormat="1" ht="29.25" customHeight="1" outlineLevel="1" thickBot="1">
      <c r="A140" s="33"/>
      <c r="B140" s="85"/>
      <c r="C140" s="104"/>
      <c r="D140" s="126"/>
      <c r="E140" s="126"/>
      <c r="F140" s="14"/>
      <c r="G140" s="14"/>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c r="MM140" s="29"/>
    </row>
    <row r="141" spans="1:351" s="3" customFormat="1" ht="29.25" customHeight="1" outlineLevel="1" thickBot="1">
      <c r="A141" s="33" t="s">
        <v>197</v>
      </c>
      <c r="B141" s="83" t="s">
        <v>222</v>
      </c>
      <c r="C141" s="145"/>
      <c r="D141" s="127"/>
      <c r="E141" s="128"/>
      <c r="F141" s="14"/>
      <c r="G141" s="14" t="str">
        <f t="shared" ca="1" si="311"/>
        <v/>
      </c>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c r="MM141" s="29"/>
    </row>
    <row r="142" spans="1:351" s="3" customFormat="1" ht="29.25" customHeight="1" outlineLevel="1" thickBot="1">
      <c r="A142" s="33"/>
      <c r="B142" s="84" t="s">
        <v>204</v>
      </c>
      <c r="C142" s="146" t="s">
        <v>223</v>
      </c>
      <c r="D142" s="120">
        <v>45769</v>
      </c>
      <c r="E142" s="120">
        <v>45856</v>
      </c>
      <c r="F142" s="14"/>
      <c r="G142" s="14">
        <v>87</v>
      </c>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c r="MM142" s="29"/>
    </row>
    <row r="143" spans="1:351" s="3" customFormat="1" ht="29.25" customHeight="1" outlineLevel="1" thickBot="1">
      <c r="A143" s="33"/>
      <c r="B143" s="86" t="s">
        <v>207</v>
      </c>
      <c r="C143" s="146" t="s">
        <v>224</v>
      </c>
      <c r="D143" s="120">
        <v>45838</v>
      </c>
      <c r="E143" s="120">
        <v>45884</v>
      </c>
      <c r="F143" s="14"/>
      <c r="G143" s="14">
        <v>46</v>
      </c>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c r="MM143" s="29"/>
    </row>
    <row r="144" spans="1:351" s="3" customFormat="1" ht="29.25" customHeight="1" outlineLevel="1" thickBot="1">
      <c r="A144" s="33"/>
      <c r="B144" s="181" t="s">
        <v>225</v>
      </c>
      <c r="C144" s="181"/>
      <c r="D144" s="181"/>
      <c r="E144" s="181"/>
      <c r="F144" s="14"/>
      <c r="G144" s="14"/>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c r="MM144" s="29"/>
    </row>
    <row r="145" spans="1:351" s="3" customFormat="1" ht="29.25" customHeight="1" outlineLevel="1" thickBot="1">
      <c r="A145" s="33"/>
      <c r="B145" s="172" t="s">
        <v>204</v>
      </c>
      <c r="C145" s="173" t="s">
        <v>226</v>
      </c>
      <c r="D145" s="174">
        <v>45971</v>
      </c>
      <c r="E145" s="174">
        <v>45996</v>
      </c>
      <c r="F145" s="14"/>
      <c r="G145" s="14">
        <f>E145-D145</f>
        <v>25</v>
      </c>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c r="MM145" s="29"/>
    </row>
    <row r="146" spans="1:351" s="3" customFormat="1" ht="29.25" customHeight="1" outlineLevel="1" thickBot="1">
      <c r="A146" s="33"/>
      <c r="B146" s="87" t="s">
        <v>227</v>
      </c>
      <c r="C146" s="41" t="s">
        <v>223</v>
      </c>
      <c r="D146" s="129">
        <v>46034</v>
      </c>
      <c r="E146" s="129">
        <f>D146+53</f>
        <v>46087</v>
      </c>
      <c r="F146" s="14"/>
      <c r="G146" s="14">
        <f>E146-D146</f>
        <v>53</v>
      </c>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c r="MM146" s="29"/>
    </row>
    <row r="147" spans="1:351" s="3" customFormat="1" ht="29.25" customHeight="1" outlineLevel="1" thickBot="1">
      <c r="A147" s="33"/>
      <c r="B147" s="87" t="s">
        <v>207</v>
      </c>
      <c r="C147" s="41" t="s">
        <v>228</v>
      </c>
      <c r="D147" s="129">
        <v>46097</v>
      </c>
      <c r="E147" s="129">
        <f>D147+53</f>
        <v>46150</v>
      </c>
      <c r="F147" s="14"/>
      <c r="G147" s="14">
        <f>E147-D147</f>
        <v>53</v>
      </c>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c r="MM147" s="29"/>
    </row>
    <row r="148" spans="1:351" s="3" customFormat="1" ht="29.25" customHeight="1" outlineLevel="1" thickBot="1">
      <c r="A148" s="33"/>
      <c r="B148" s="87" t="s">
        <v>208</v>
      </c>
      <c r="C148" s="41" t="s">
        <v>229</v>
      </c>
      <c r="D148" s="129">
        <v>46160</v>
      </c>
      <c r="E148" s="129">
        <f>D148+53</f>
        <v>46213</v>
      </c>
      <c r="F148" s="14"/>
      <c r="G148" s="14">
        <f>E148-D148</f>
        <v>53</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c r="MM148" s="29"/>
    </row>
    <row r="149" spans="1:351" s="3" customFormat="1" ht="29.25" customHeight="1" thickBot="1">
      <c r="A149" s="33"/>
      <c r="B149" s="180" t="s">
        <v>230</v>
      </c>
      <c r="C149" s="180"/>
      <c r="D149" s="180"/>
      <c r="E149" s="180"/>
      <c r="F149" s="14"/>
      <c r="G149" s="14"/>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c r="MM149" s="29"/>
    </row>
    <row r="150" spans="1:351" s="3" customFormat="1" ht="29.25" customHeight="1" outlineLevel="1" thickBot="1">
      <c r="A150" s="34" t="s">
        <v>188</v>
      </c>
      <c r="B150" s="175" t="s">
        <v>231</v>
      </c>
      <c r="C150" s="175"/>
      <c r="D150" s="175"/>
      <c r="E150" s="175"/>
      <c r="F150" s="14"/>
      <c r="G150" s="14" t="str">
        <f t="shared" ca="1" si="311"/>
        <v/>
      </c>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c r="MM150" s="29"/>
    </row>
    <row r="151" spans="1:351" s="3" customFormat="1" ht="29.25" customHeight="1" outlineLevel="1" thickBot="1">
      <c r="A151" s="33"/>
      <c r="B151" s="47" t="s">
        <v>232</v>
      </c>
      <c r="C151" s="42" t="s">
        <v>103</v>
      </c>
      <c r="D151" s="119">
        <v>45964</v>
      </c>
      <c r="E151" s="119">
        <f t="shared" ref="E151:E157" si="328">D151+G151</f>
        <v>46050</v>
      </c>
      <c r="F151" s="14"/>
      <c r="G151" s="14">
        <v>86</v>
      </c>
      <c r="H151" s="29"/>
      <c r="I151" s="29"/>
      <c r="J151" s="29"/>
      <c r="K151" s="29"/>
      <c r="L151" s="29"/>
      <c r="M151" s="29"/>
      <c r="N151" s="29"/>
      <c r="O151" s="29"/>
      <c r="P151" s="29"/>
      <c r="Q151" s="29"/>
      <c r="R151" s="29"/>
      <c r="S151" s="29"/>
      <c r="T151" s="29"/>
      <c r="U151" s="30"/>
      <c r="V151" s="30"/>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c r="MM151" s="29"/>
    </row>
    <row r="152" spans="1:351" s="3" customFormat="1" ht="29.25" customHeight="1" outlineLevel="1" thickBot="1">
      <c r="A152" s="33"/>
      <c r="B152" s="47" t="s">
        <v>233</v>
      </c>
      <c r="C152" s="42" t="s">
        <v>117</v>
      </c>
      <c r="D152" s="119">
        <v>46029</v>
      </c>
      <c r="E152" s="119">
        <f t="shared" si="328"/>
        <v>46085</v>
      </c>
      <c r="F152" s="14"/>
      <c r="G152" s="14">
        <v>56</v>
      </c>
      <c r="H152" s="29"/>
      <c r="I152" s="29"/>
      <c r="J152" s="29"/>
      <c r="K152" s="29"/>
      <c r="L152" s="29"/>
      <c r="M152" s="29"/>
      <c r="N152" s="29"/>
      <c r="O152" s="29"/>
      <c r="P152" s="29"/>
      <c r="Q152" s="29"/>
      <c r="R152" s="29"/>
      <c r="S152" s="29"/>
      <c r="T152" s="29"/>
      <c r="U152" s="29"/>
      <c r="V152" s="29"/>
      <c r="W152" s="29"/>
      <c r="X152" s="29"/>
      <c r="Y152" s="30"/>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c r="MM152" s="29"/>
    </row>
    <row r="153" spans="1:351" s="3" customFormat="1" ht="29.25" customHeight="1" outlineLevel="1" thickBot="1">
      <c r="A153" s="33"/>
      <c r="B153" s="47" t="s">
        <v>232</v>
      </c>
      <c r="C153" s="42"/>
      <c r="D153" s="119">
        <f>E151</f>
        <v>46050</v>
      </c>
      <c r="E153" s="119">
        <f t="shared" si="328"/>
        <v>46106</v>
      </c>
      <c r="F153" s="14"/>
      <c r="G153" s="14">
        <v>56</v>
      </c>
      <c r="H153" s="29"/>
      <c r="I153" s="29"/>
      <c r="J153" s="29"/>
      <c r="K153" s="29"/>
      <c r="L153" s="29"/>
      <c r="M153" s="29"/>
      <c r="N153" s="29"/>
      <c r="O153" s="29"/>
      <c r="P153" s="29"/>
      <c r="Q153" s="29"/>
      <c r="R153" s="29"/>
      <c r="S153" s="29"/>
      <c r="T153" s="29"/>
      <c r="U153" s="29"/>
      <c r="V153" s="29"/>
      <c r="W153" s="29"/>
      <c r="X153" s="29"/>
      <c r="Y153" s="30"/>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c r="MM153" s="29"/>
    </row>
    <row r="154" spans="1:351" s="3" customFormat="1" ht="29.25" customHeight="1" outlineLevel="1" thickBot="1">
      <c r="A154" s="33"/>
      <c r="B154" s="47" t="s">
        <v>233</v>
      </c>
      <c r="C154" s="42"/>
      <c r="D154" s="119">
        <f>E152</f>
        <v>46085</v>
      </c>
      <c r="E154" s="119">
        <f t="shared" si="328"/>
        <v>46141</v>
      </c>
      <c r="F154" s="14"/>
      <c r="G154" s="14">
        <v>56</v>
      </c>
      <c r="H154" s="29"/>
      <c r="I154" s="29"/>
      <c r="J154" s="29"/>
      <c r="K154" s="29"/>
      <c r="L154" s="29"/>
      <c r="M154" s="29"/>
      <c r="N154" s="29"/>
      <c r="O154" s="29"/>
      <c r="P154" s="29"/>
      <c r="Q154" s="29"/>
      <c r="R154" s="29"/>
      <c r="S154" s="29"/>
      <c r="T154" s="29"/>
      <c r="U154" s="29"/>
      <c r="V154" s="29"/>
      <c r="W154" s="29"/>
      <c r="X154" s="29"/>
      <c r="Y154" s="30"/>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c r="MM154" s="29"/>
    </row>
    <row r="155" spans="1:351" s="3" customFormat="1" ht="29.25" customHeight="1" outlineLevel="1" thickBot="1">
      <c r="A155" s="33"/>
      <c r="B155" s="150" t="s">
        <v>215</v>
      </c>
      <c r="C155" s="151"/>
      <c r="D155" s="152">
        <v>46101</v>
      </c>
      <c r="E155" s="152">
        <f t="shared" ref="E155" si="329">D155+G155-1</f>
        <v>46156</v>
      </c>
      <c r="F155" s="14"/>
      <c r="G155" s="14">
        <v>56</v>
      </c>
      <c r="H155" s="29"/>
      <c r="I155" s="29"/>
      <c r="J155" s="29"/>
      <c r="K155" s="29"/>
      <c r="L155" s="29"/>
      <c r="M155" s="29"/>
      <c r="N155" s="29"/>
      <c r="O155" s="29"/>
      <c r="P155" s="29"/>
      <c r="Q155" s="29"/>
      <c r="R155" s="29"/>
      <c r="S155" s="29"/>
      <c r="T155" s="29"/>
      <c r="U155" s="29"/>
      <c r="V155" s="29"/>
      <c r="W155" s="29"/>
      <c r="X155" s="29"/>
      <c r="Y155" s="30"/>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c r="MM155" s="29"/>
    </row>
    <row r="156" spans="1:351" s="3" customFormat="1" ht="29.25" customHeight="1" outlineLevel="1" thickBot="1">
      <c r="A156" s="33"/>
      <c r="B156" s="47" t="s">
        <v>232</v>
      </c>
      <c r="C156" s="42"/>
      <c r="D156" s="119">
        <f>E153</f>
        <v>46106</v>
      </c>
      <c r="E156" s="119">
        <f t="shared" si="328"/>
        <v>46162</v>
      </c>
      <c r="F156" s="14"/>
      <c r="G156" s="14">
        <v>56</v>
      </c>
      <c r="H156" s="29"/>
      <c r="I156" s="29"/>
      <c r="J156" s="29"/>
      <c r="K156" s="29"/>
      <c r="L156" s="29"/>
      <c r="M156" s="29"/>
      <c r="N156" s="29"/>
      <c r="O156" s="29"/>
      <c r="P156" s="29"/>
      <c r="Q156" s="29"/>
      <c r="R156" s="29"/>
      <c r="S156" s="29"/>
      <c r="T156" s="29"/>
      <c r="U156" s="29"/>
      <c r="V156" s="29"/>
      <c r="W156" s="29"/>
      <c r="X156" s="29"/>
      <c r="Y156" s="30"/>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c r="MM156" s="29"/>
    </row>
    <row r="157" spans="1:351" s="3" customFormat="1" ht="29.25" customHeight="1" outlineLevel="1" thickBot="1">
      <c r="A157" s="33"/>
      <c r="B157" s="47" t="s">
        <v>233</v>
      </c>
      <c r="C157" s="42"/>
      <c r="D157" s="119">
        <f t="shared" ref="D157" si="330">D154+60</f>
        <v>46145</v>
      </c>
      <c r="E157" s="119">
        <f t="shared" si="328"/>
        <v>46201</v>
      </c>
      <c r="F157" s="14"/>
      <c r="G157" s="14">
        <v>56</v>
      </c>
      <c r="H157" s="29"/>
      <c r="I157" s="29"/>
      <c r="J157" s="29"/>
      <c r="K157" s="29"/>
      <c r="L157" s="29"/>
      <c r="M157" s="29"/>
      <c r="N157" s="29"/>
      <c r="O157" s="29"/>
      <c r="P157" s="29"/>
      <c r="Q157" s="29"/>
      <c r="R157" s="29"/>
      <c r="S157" s="29"/>
      <c r="T157" s="29"/>
      <c r="U157" s="29"/>
      <c r="V157" s="29"/>
      <c r="W157" s="29"/>
      <c r="X157" s="29"/>
      <c r="Y157" s="30"/>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c r="MM157" s="29"/>
    </row>
    <row r="158" spans="1:351" s="3" customFormat="1" ht="29.25" customHeight="1" outlineLevel="1" thickBot="1">
      <c r="A158" s="33" t="s">
        <v>197</v>
      </c>
      <c r="B158" s="83" t="s">
        <v>234</v>
      </c>
      <c r="C158" s="145"/>
      <c r="D158" s="127"/>
      <c r="E158" s="128"/>
      <c r="F158" s="14"/>
      <c r="G158" s="14" t="str">
        <f t="shared" ca="1" si="311"/>
        <v/>
      </c>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c r="MM158" s="29"/>
    </row>
    <row r="159" spans="1:351" s="3" customFormat="1" ht="29.25" customHeight="1" outlineLevel="1" thickBot="1">
      <c r="A159" s="33"/>
      <c r="B159" s="84" t="s">
        <v>232</v>
      </c>
      <c r="C159" s="141" t="s">
        <v>61</v>
      </c>
      <c r="D159" s="120">
        <f>E159-G159</f>
        <v>45853</v>
      </c>
      <c r="E159" s="120">
        <v>45898</v>
      </c>
      <c r="F159" s="14"/>
      <c r="G159" s="14">
        <v>45</v>
      </c>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c r="MM159" s="29"/>
    </row>
    <row r="160" spans="1:351" s="3" customFormat="1" ht="29.25" customHeight="1" outlineLevel="1" thickBot="1">
      <c r="A160" s="33"/>
      <c r="B160" s="21" t="s">
        <v>235</v>
      </c>
      <c r="C160" s="147"/>
      <c r="D160" s="130"/>
      <c r="E160" s="131"/>
      <c r="F160" s="14"/>
      <c r="G160" s="14"/>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c r="MM160" s="29"/>
    </row>
    <row r="161" spans="1:351" s="3" customFormat="1" ht="29.25" customHeight="1" outlineLevel="1" thickBot="1">
      <c r="A161" s="33"/>
      <c r="B161" s="82" t="s">
        <v>208</v>
      </c>
      <c r="C161" s="142" t="s">
        <v>236</v>
      </c>
      <c r="D161" s="122">
        <v>45735</v>
      </c>
      <c r="E161" s="122">
        <v>45814</v>
      </c>
      <c r="F161" s="14"/>
      <c r="G161" s="14">
        <v>79</v>
      </c>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c r="MM161" s="29"/>
    </row>
    <row r="162" spans="1:351" s="3" customFormat="1" ht="29.25" customHeight="1" outlineLevel="1" thickBot="1">
      <c r="A162" s="33"/>
      <c r="B162" s="82" t="s">
        <v>208</v>
      </c>
      <c r="C162" s="142" t="s">
        <v>229</v>
      </c>
      <c r="D162" s="122">
        <v>45817</v>
      </c>
      <c r="E162" s="122">
        <v>45870</v>
      </c>
      <c r="F162" s="14"/>
      <c r="G162" s="14">
        <v>53</v>
      </c>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c r="MM162" s="29"/>
    </row>
    <row r="163" spans="1:351" s="3" customFormat="1" ht="29.25" customHeight="1" outlineLevel="1" thickBot="1">
      <c r="A163" s="33"/>
      <c r="B163" s="82" t="s">
        <v>204</v>
      </c>
      <c r="C163" s="142" t="s">
        <v>237</v>
      </c>
      <c r="D163" s="122">
        <v>45873</v>
      </c>
      <c r="E163" s="122">
        <v>45898</v>
      </c>
      <c r="F163" s="14"/>
      <c r="G163" s="14">
        <v>25</v>
      </c>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c r="MM163" s="29"/>
    </row>
    <row r="164" spans="1:351" s="3" customFormat="1" ht="29.25" customHeight="1" outlineLevel="1" thickBot="1">
      <c r="A164" s="33"/>
      <c r="B164" s="82"/>
      <c r="C164" s="142"/>
      <c r="D164" s="122"/>
      <c r="E164" s="122"/>
      <c r="F164" s="14"/>
      <c r="G164" s="14">
        <v>25</v>
      </c>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c r="MM164" s="29"/>
    </row>
    <row r="165" spans="1:351" s="3" customFormat="1" ht="29.25" customHeight="1" outlineLevel="1" thickBot="1">
      <c r="A165" s="33"/>
      <c r="B165" s="105" t="s">
        <v>238</v>
      </c>
      <c r="C165" s="110"/>
      <c r="D165" s="132"/>
      <c r="E165" s="133"/>
      <c r="F165" s="106" t="s">
        <v>239</v>
      </c>
      <c r="G165" s="106" t="s">
        <v>239</v>
      </c>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c r="MM165" s="29"/>
    </row>
    <row r="166" spans="1:351" s="3" customFormat="1" ht="29.25" customHeight="1" outlineLevel="1" thickBot="1">
      <c r="A166" s="33"/>
      <c r="B166" s="107" t="s">
        <v>207</v>
      </c>
      <c r="C166" s="148" t="s">
        <v>240</v>
      </c>
      <c r="D166" s="111">
        <v>45818</v>
      </c>
      <c r="E166" s="111">
        <v>45870</v>
      </c>
      <c r="F166" s="108" t="s">
        <v>239</v>
      </c>
      <c r="G166" s="108">
        <v>52</v>
      </c>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c r="MM166" s="29"/>
    </row>
    <row r="167" spans="1:351" s="3" customFormat="1" ht="29.25" customHeight="1" outlineLevel="1" thickBot="1">
      <c r="A167" s="33"/>
      <c r="B167" s="107" t="s">
        <v>207</v>
      </c>
      <c r="C167" s="148" t="s">
        <v>202</v>
      </c>
      <c r="D167" s="111">
        <v>45873</v>
      </c>
      <c r="E167" s="111">
        <v>45929</v>
      </c>
      <c r="F167" s="108" t="s">
        <v>239</v>
      </c>
      <c r="G167" s="108">
        <v>56</v>
      </c>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c r="MM167" s="29"/>
    </row>
    <row r="168" spans="1:351" s="3" customFormat="1" ht="29.25" customHeight="1" outlineLevel="1" thickBot="1">
      <c r="A168" s="33"/>
      <c r="B168" s="24" t="s">
        <v>241</v>
      </c>
      <c r="C168" s="144"/>
      <c r="D168" s="124"/>
      <c r="E168" s="125"/>
      <c r="F168" s="14"/>
      <c r="G168" s="14"/>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c r="MM168" s="29"/>
    </row>
    <row r="169" spans="1:351" s="3" customFormat="1" ht="29.25" customHeight="1" outlineLevel="1" thickBot="1">
      <c r="A169" s="33"/>
      <c r="B169" s="85" t="s">
        <v>204</v>
      </c>
      <c r="C169" s="149" t="s">
        <v>226</v>
      </c>
      <c r="D169" s="126">
        <f>E145+3</f>
        <v>45999</v>
      </c>
      <c r="E169" s="126">
        <v>46028</v>
      </c>
      <c r="F169" s="14"/>
      <c r="G169" s="14">
        <f>E169-D169</f>
        <v>29</v>
      </c>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c r="MM169" s="29"/>
    </row>
    <row r="170" spans="1:351" s="3" customFormat="1" ht="29.25" customHeight="1" outlineLevel="1" thickBot="1">
      <c r="A170" s="33"/>
      <c r="B170" s="85" t="s">
        <v>208</v>
      </c>
      <c r="C170" s="149" t="s">
        <v>236</v>
      </c>
      <c r="D170" s="126">
        <v>46048</v>
      </c>
      <c r="E170" s="126">
        <f>D170+53</f>
        <v>46101</v>
      </c>
      <c r="F170" s="14"/>
      <c r="G170" s="14">
        <f>E170-D170</f>
        <v>53</v>
      </c>
      <c r="H170" s="29"/>
      <c r="I170" s="29"/>
      <c r="J170" s="29"/>
      <c r="K170" s="29"/>
      <c r="L170" s="29"/>
      <c r="M170" s="29"/>
      <c r="N170" s="29"/>
      <c r="O170" s="29"/>
      <c r="P170" s="29"/>
      <c r="Q170" s="29"/>
      <c r="R170" s="29"/>
      <c r="S170" s="29"/>
      <c r="T170" s="29"/>
      <c r="U170" s="29"/>
      <c r="V170" s="29"/>
      <c r="W170" s="29"/>
      <c r="X170" s="29"/>
      <c r="Y170" s="29"/>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c r="MM170" s="29"/>
    </row>
    <row r="171" spans="1:351" s="3" customFormat="1" ht="29.25" customHeight="1" outlineLevel="1" thickBot="1">
      <c r="A171" s="33"/>
      <c r="B171" s="85" t="s">
        <v>204</v>
      </c>
      <c r="C171" s="149" t="s">
        <v>242</v>
      </c>
      <c r="D171" s="126">
        <v>46090</v>
      </c>
      <c r="E171" s="126">
        <f>D171+53</f>
        <v>46143</v>
      </c>
      <c r="F171" s="14"/>
      <c r="G171" s="14">
        <f>E171-D171</f>
        <v>53</v>
      </c>
      <c r="H171" s="29"/>
      <c r="I171" s="29"/>
      <c r="J171" s="29"/>
      <c r="K171" s="29"/>
      <c r="L171" s="29"/>
      <c r="M171" s="29"/>
      <c r="N171" s="29"/>
      <c r="O171" s="29"/>
      <c r="P171" s="29"/>
      <c r="Q171" s="29"/>
      <c r="R171" s="29"/>
      <c r="S171" s="29"/>
      <c r="T171" s="29"/>
      <c r="U171" s="29"/>
      <c r="V171" s="29"/>
      <c r="W171" s="29"/>
      <c r="X171" s="29"/>
      <c r="Y171" s="29"/>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c r="MM171" s="29"/>
    </row>
    <row r="172" spans="1:351" s="3" customFormat="1" ht="29.25" customHeight="1" outlineLevel="1" thickBot="1">
      <c r="A172" s="33"/>
      <c r="B172" s="85" t="s">
        <v>207</v>
      </c>
      <c r="C172" s="149" t="s">
        <v>240</v>
      </c>
      <c r="D172" s="126">
        <v>46153</v>
      </c>
      <c r="E172" s="126">
        <f>D172+53</f>
        <v>46206</v>
      </c>
      <c r="F172" s="14"/>
      <c r="G172" s="14">
        <f>E172-D172</f>
        <v>53</v>
      </c>
      <c r="H172" s="29"/>
      <c r="I172" s="29"/>
      <c r="J172" s="29"/>
      <c r="K172" s="29"/>
      <c r="L172" s="29"/>
      <c r="M172" s="29"/>
      <c r="N172" s="29"/>
      <c r="O172" s="29"/>
      <c r="P172" s="29"/>
      <c r="Q172" s="29"/>
      <c r="R172" s="29"/>
      <c r="S172" s="29"/>
      <c r="T172" s="29"/>
      <c r="U172" s="29"/>
      <c r="V172" s="29"/>
      <c r="W172" s="29"/>
      <c r="X172" s="29"/>
      <c r="Y172" s="29"/>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c r="BN172" s="29"/>
      <c r="BO172" s="29"/>
      <c r="BP172" s="29"/>
      <c r="BQ172" s="29"/>
      <c r="BR172" s="29"/>
      <c r="BS172" s="29"/>
      <c r="BT172" s="29"/>
      <c r="BU172" s="29"/>
      <c r="BV172" s="29"/>
      <c r="BW172" s="29"/>
      <c r="BX172" s="29"/>
      <c r="BY172" s="29"/>
      <c r="BZ172" s="29"/>
      <c r="CA172" s="29"/>
      <c r="CB172" s="29"/>
      <c r="CC172" s="29"/>
      <c r="CD172" s="29"/>
      <c r="CE172" s="29"/>
      <c r="CF172" s="29"/>
      <c r="CG172" s="29"/>
      <c r="CH172" s="29"/>
      <c r="CI172" s="29"/>
      <c r="CJ172" s="29"/>
      <c r="CK172" s="29"/>
      <c r="CL172" s="29"/>
      <c r="CM172" s="29"/>
      <c r="CN172" s="29"/>
      <c r="CO172" s="29"/>
      <c r="CP172" s="29"/>
      <c r="CQ172" s="29"/>
      <c r="CR172" s="29"/>
      <c r="CS172" s="29"/>
      <c r="CT172" s="29"/>
      <c r="CU172" s="29"/>
      <c r="CV172" s="29"/>
      <c r="CW172" s="29"/>
      <c r="CX172" s="29"/>
      <c r="CY172" s="29"/>
      <c r="CZ172" s="29"/>
      <c r="DA172" s="29"/>
      <c r="DB172" s="29"/>
      <c r="DC172" s="29"/>
      <c r="DD172" s="29"/>
      <c r="DE172" s="29"/>
      <c r="DF172" s="29"/>
      <c r="DG172" s="29"/>
      <c r="DH172" s="29"/>
      <c r="DI172" s="29"/>
      <c r="DJ172" s="29"/>
      <c r="DK172" s="29"/>
      <c r="DL172" s="29"/>
      <c r="DM172" s="29"/>
      <c r="DN172" s="29"/>
      <c r="DO172" s="29"/>
      <c r="DP172" s="29"/>
      <c r="DQ172" s="29"/>
      <c r="DR172" s="29"/>
      <c r="DS172" s="29"/>
      <c r="DT172" s="29"/>
      <c r="DU172" s="29"/>
      <c r="DV172" s="29"/>
      <c r="DW172" s="29"/>
      <c r="DX172" s="29"/>
      <c r="DY172" s="29"/>
      <c r="DZ172" s="29"/>
      <c r="EA172" s="29"/>
      <c r="EB172" s="29"/>
      <c r="EC172" s="29"/>
      <c r="ED172" s="29"/>
      <c r="EE172" s="29"/>
      <c r="EF172" s="29"/>
      <c r="EG172" s="29"/>
      <c r="EH172" s="29"/>
      <c r="EI172" s="29"/>
      <c r="EJ172" s="29"/>
      <c r="EK172" s="29"/>
      <c r="EL172" s="29"/>
      <c r="EM172" s="29"/>
      <c r="EN172" s="29"/>
      <c r="EO172" s="29"/>
      <c r="EP172" s="29"/>
      <c r="EQ172" s="29"/>
      <c r="ER172" s="29"/>
      <c r="ES172" s="29"/>
      <c r="ET172" s="29"/>
      <c r="EU172" s="29"/>
      <c r="EV172" s="29"/>
      <c r="EW172" s="29"/>
      <c r="EX172" s="29"/>
      <c r="EY172" s="29"/>
      <c r="EZ172" s="29"/>
      <c r="FA172" s="29"/>
      <c r="FB172" s="29"/>
      <c r="FC172" s="29"/>
      <c r="FD172" s="29"/>
      <c r="FE172" s="29"/>
      <c r="FF172" s="29"/>
      <c r="FG172" s="29"/>
      <c r="FH172" s="29"/>
      <c r="FI172" s="29"/>
      <c r="FJ172" s="29"/>
      <c r="FK172" s="29"/>
      <c r="FL172" s="29"/>
      <c r="FM172" s="29"/>
      <c r="FN172" s="29"/>
      <c r="FO172" s="29"/>
      <c r="FP172" s="29"/>
      <c r="FQ172" s="29"/>
      <c r="FR172" s="29"/>
      <c r="FS172" s="29"/>
      <c r="FT172" s="29"/>
      <c r="FU172" s="29"/>
      <c r="FV172" s="29"/>
      <c r="FW172" s="29"/>
      <c r="FX172" s="29"/>
      <c r="FY172" s="29"/>
      <c r="FZ172" s="29"/>
      <c r="GA172" s="29"/>
      <c r="GB172" s="29"/>
      <c r="GC172" s="29"/>
      <c r="GD172" s="29"/>
      <c r="GE172" s="29"/>
      <c r="GF172" s="29"/>
      <c r="GG172" s="29"/>
      <c r="GH172" s="29"/>
      <c r="GI172" s="29"/>
      <c r="GJ172" s="29"/>
      <c r="GK172" s="29"/>
      <c r="GL172" s="29"/>
      <c r="GM172" s="29"/>
      <c r="GN172" s="29"/>
      <c r="GO172" s="29"/>
      <c r="GP172" s="29"/>
      <c r="GQ172" s="29"/>
      <c r="GR172" s="29"/>
      <c r="GS172" s="29"/>
      <c r="GT172" s="29"/>
      <c r="GU172" s="29"/>
      <c r="GV172" s="29"/>
      <c r="GW172" s="29"/>
      <c r="GX172" s="29"/>
      <c r="GY172" s="29"/>
      <c r="GZ172" s="29"/>
      <c r="HA172" s="29"/>
      <c r="HB172" s="29"/>
      <c r="HC172" s="29"/>
      <c r="HD172" s="29"/>
      <c r="HE172" s="29"/>
      <c r="HF172" s="29"/>
      <c r="HG172" s="29"/>
      <c r="HH172" s="29"/>
      <c r="HI172" s="29"/>
      <c r="HJ172" s="29"/>
      <c r="HK172" s="29"/>
      <c r="HL172" s="29"/>
      <c r="HM172" s="29"/>
      <c r="HN172" s="29"/>
      <c r="HO172" s="29"/>
      <c r="HP172" s="29"/>
      <c r="HQ172" s="29"/>
      <c r="HR172" s="29"/>
      <c r="HS172" s="29"/>
      <c r="HT172" s="29"/>
      <c r="HU172" s="29"/>
      <c r="HV172" s="29"/>
      <c r="HW172" s="29"/>
      <c r="HX172" s="29"/>
      <c r="HY172" s="29"/>
      <c r="HZ172" s="29"/>
      <c r="IA172" s="29"/>
      <c r="IB172" s="29"/>
      <c r="IC172" s="29"/>
      <c r="ID172" s="29"/>
      <c r="IE172" s="29"/>
      <c r="IF172" s="29"/>
      <c r="IG172" s="29"/>
      <c r="IH172" s="29"/>
      <c r="II172" s="29"/>
      <c r="IJ172" s="29"/>
      <c r="IK172" s="29"/>
      <c r="IL172" s="29"/>
      <c r="IM172" s="29"/>
      <c r="IN172" s="29"/>
      <c r="IO172" s="29"/>
      <c r="IP172" s="29"/>
      <c r="IQ172" s="29"/>
      <c r="IR172" s="29"/>
      <c r="IS172" s="29"/>
      <c r="IT172" s="29"/>
      <c r="IU172" s="29"/>
      <c r="IV172" s="29"/>
      <c r="IW172" s="29"/>
      <c r="IX172" s="29"/>
      <c r="IY172" s="29"/>
      <c r="IZ172" s="29"/>
      <c r="JA172" s="29"/>
      <c r="JB172" s="29"/>
      <c r="JC172" s="29"/>
      <c r="JD172" s="29"/>
      <c r="JE172" s="29"/>
      <c r="JF172" s="29"/>
      <c r="JG172" s="29"/>
      <c r="JH172" s="29"/>
      <c r="JI172" s="29"/>
      <c r="JJ172" s="29"/>
      <c r="JK172" s="29"/>
      <c r="JL172" s="29"/>
      <c r="JM172" s="29"/>
      <c r="JN172" s="29"/>
      <c r="JO172" s="29"/>
      <c r="JP172" s="29"/>
      <c r="JQ172" s="29"/>
      <c r="JR172" s="29"/>
      <c r="JS172" s="29"/>
      <c r="JT172" s="29"/>
      <c r="JU172" s="29"/>
      <c r="JV172" s="29"/>
      <c r="JW172" s="29"/>
      <c r="JX172" s="29"/>
      <c r="JY172" s="29"/>
      <c r="JZ172" s="29"/>
      <c r="KA172" s="29"/>
      <c r="KB172" s="29"/>
      <c r="KC172" s="29"/>
      <c r="KD172" s="29"/>
      <c r="KE172" s="29"/>
      <c r="KF172" s="29"/>
      <c r="KG172" s="29"/>
      <c r="KH172" s="29"/>
      <c r="KI172" s="29"/>
      <c r="KJ172" s="29"/>
      <c r="KK172" s="29"/>
      <c r="KL172" s="29"/>
      <c r="KM172" s="29"/>
      <c r="KN172" s="29"/>
      <c r="KO172" s="29"/>
      <c r="KP172" s="29"/>
      <c r="KQ172" s="29"/>
      <c r="KR172" s="29"/>
      <c r="KS172" s="29"/>
      <c r="KT172" s="29"/>
      <c r="KU172" s="29"/>
      <c r="KV172" s="29"/>
      <c r="KW172" s="29"/>
      <c r="KX172" s="29"/>
      <c r="KY172" s="29"/>
      <c r="KZ172" s="29"/>
      <c r="LA172" s="29"/>
      <c r="LB172" s="29"/>
      <c r="LC172" s="29"/>
      <c r="LD172" s="29"/>
      <c r="LE172" s="29"/>
      <c r="LF172" s="29"/>
      <c r="LG172" s="29"/>
      <c r="LH172" s="29"/>
      <c r="LI172" s="29"/>
      <c r="LJ172" s="29"/>
      <c r="LK172" s="29"/>
      <c r="LL172" s="29"/>
      <c r="LM172" s="29"/>
      <c r="LN172" s="29"/>
      <c r="LO172" s="29"/>
      <c r="LP172" s="29"/>
      <c r="LQ172" s="29"/>
      <c r="LR172" s="29"/>
      <c r="LS172" s="29"/>
      <c r="LT172" s="29"/>
      <c r="LU172" s="29"/>
      <c r="LV172" s="29"/>
      <c r="LW172" s="29"/>
      <c r="LX172" s="29"/>
      <c r="LY172" s="29"/>
      <c r="LZ172" s="29"/>
      <c r="MA172" s="29"/>
      <c r="MB172" s="29"/>
      <c r="MC172" s="29"/>
      <c r="MD172" s="29"/>
      <c r="ME172" s="29"/>
      <c r="MF172" s="29"/>
      <c r="MG172" s="29"/>
      <c r="MH172" s="29"/>
      <c r="MI172" s="29"/>
      <c r="MJ172" s="29"/>
      <c r="MK172" s="29"/>
      <c r="ML172" s="29"/>
      <c r="MM172" s="29"/>
    </row>
    <row r="173" spans="1:351" s="3" customFormat="1" ht="29.25" customHeight="1" outlineLevel="1" thickBot="1">
      <c r="A173" s="33"/>
      <c r="B173" s="85"/>
      <c r="C173" s="149"/>
      <c r="D173" s="126"/>
      <c r="E173" s="126"/>
      <c r="F173" s="14"/>
      <c r="G173" s="14"/>
      <c r="H173" s="29"/>
      <c r="I173" s="29"/>
      <c r="J173" s="29"/>
      <c r="K173" s="29"/>
      <c r="L173" s="29"/>
      <c r="M173" s="29"/>
      <c r="N173" s="29"/>
      <c r="O173" s="29"/>
      <c r="P173" s="29"/>
      <c r="Q173" s="29"/>
      <c r="R173" s="29"/>
      <c r="S173" s="29"/>
      <c r="T173" s="29"/>
      <c r="U173" s="29"/>
      <c r="V173" s="29"/>
      <c r="W173" s="29"/>
      <c r="X173" s="29"/>
      <c r="Y173" s="29"/>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c r="BN173" s="29"/>
      <c r="BO173" s="29"/>
      <c r="BP173" s="29"/>
      <c r="BQ173" s="29"/>
      <c r="BR173" s="29"/>
      <c r="BS173" s="29"/>
      <c r="BT173" s="29"/>
      <c r="BU173" s="29"/>
      <c r="BV173" s="29"/>
      <c r="BW173" s="29"/>
      <c r="BX173" s="29"/>
      <c r="BY173" s="29"/>
      <c r="BZ173" s="29"/>
      <c r="CA173" s="29"/>
      <c r="CB173" s="29"/>
      <c r="CC173" s="29"/>
      <c r="CD173" s="29"/>
      <c r="CE173" s="29"/>
      <c r="CF173" s="29"/>
      <c r="CG173" s="29"/>
      <c r="CH173" s="29"/>
      <c r="CI173" s="29"/>
      <c r="CJ173" s="29"/>
      <c r="CK173" s="29"/>
      <c r="CL173" s="29"/>
      <c r="CM173" s="29"/>
      <c r="CN173" s="29"/>
      <c r="CO173" s="29"/>
      <c r="CP173" s="29"/>
      <c r="CQ173" s="29"/>
      <c r="CR173" s="29"/>
      <c r="CS173" s="29"/>
      <c r="CT173" s="29"/>
      <c r="CU173" s="29"/>
      <c r="CV173" s="29"/>
      <c r="CW173" s="29"/>
      <c r="CX173" s="29"/>
      <c r="CY173" s="29"/>
      <c r="CZ173" s="29"/>
      <c r="DA173" s="29"/>
      <c r="DB173" s="29"/>
      <c r="DC173" s="29"/>
      <c r="DD173" s="29"/>
      <c r="DE173" s="29"/>
      <c r="DF173" s="29"/>
      <c r="DG173" s="29"/>
      <c r="DH173" s="29"/>
      <c r="DI173" s="29"/>
      <c r="DJ173" s="29"/>
      <c r="DK173" s="29"/>
      <c r="DL173" s="29"/>
      <c r="DM173" s="29"/>
      <c r="DN173" s="29"/>
      <c r="DO173" s="29"/>
      <c r="DP173" s="29"/>
      <c r="DQ173" s="29"/>
      <c r="DR173" s="29"/>
      <c r="DS173" s="29"/>
      <c r="DT173" s="29"/>
      <c r="DU173" s="29"/>
      <c r="DV173" s="29"/>
      <c r="DW173" s="29"/>
      <c r="DX173" s="29"/>
      <c r="DY173" s="29"/>
      <c r="DZ173" s="29"/>
      <c r="EA173" s="29"/>
      <c r="EB173" s="29"/>
      <c r="EC173" s="29"/>
      <c r="ED173" s="29"/>
      <c r="EE173" s="29"/>
      <c r="EF173" s="29"/>
      <c r="EG173" s="29"/>
      <c r="EH173" s="29"/>
      <c r="EI173" s="29"/>
      <c r="EJ173" s="29"/>
      <c r="EK173" s="29"/>
      <c r="EL173" s="29"/>
      <c r="EM173" s="29"/>
      <c r="EN173" s="29"/>
      <c r="EO173" s="29"/>
      <c r="EP173" s="29"/>
      <c r="EQ173" s="29"/>
      <c r="ER173" s="29"/>
      <c r="ES173" s="29"/>
      <c r="ET173" s="29"/>
      <c r="EU173" s="29"/>
      <c r="EV173" s="29"/>
      <c r="EW173" s="29"/>
      <c r="EX173" s="29"/>
      <c r="EY173" s="29"/>
      <c r="EZ173" s="29"/>
      <c r="FA173" s="29"/>
      <c r="FB173" s="29"/>
      <c r="FC173" s="29"/>
      <c r="FD173" s="29"/>
      <c r="FE173" s="29"/>
      <c r="FF173" s="29"/>
      <c r="FG173" s="29"/>
      <c r="FH173" s="29"/>
      <c r="FI173" s="29"/>
      <c r="FJ173" s="29"/>
      <c r="FK173" s="29"/>
      <c r="FL173" s="29"/>
      <c r="FM173" s="29"/>
      <c r="FN173" s="29"/>
      <c r="FO173" s="29"/>
      <c r="FP173" s="29"/>
      <c r="FQ173" s="29"/>
      <c r="FR173" s="29"/>
      <c r="FS173" s="29"/>
      <c r="FT173" s="29"/>
      <c r="FU173" s="29"/>
      <c r="FV173" s="29"/>
      <c r="FW173" s="29"/>
      <c r="FX173" s="29"/>
      <c r="FY173" s="29"/>
      <c r="FZ173" s="29"/>
      <c r="GA173" s="29"/>
      <c r="GB173" s="29"/>
      <c r="GC173" s="29"/>
      <c r="GD173" s="29"/>
      <c r="GE173" s="29"/>
      <c r="GF173" s="29"/>
      <c r="GG173" s="29"/>
      <c r="GH173" s="29"/>
      <c r="GI173" s="29"/>
      <c r="GJ173" s="29"/>
      <c r="GK173" s="29"/>
      <c r="GL173" s="29"/>
      <c r="GM173" s="29"/>
      <c r="GN173" s="29"/>
      <c r="GO173" s="29"/>
      <c r="GP173" s="29"/>
      <c r="GQ173" s="29"/>
      <c r="GR173" s="29"/>
      <c r="GS173" s="29"/>
      <c r="GT173" s="29"/>
      <c r="GU173" s="29"/>
      <c r="GV173" s="29"/>
      <c r="GW173" s="29"/>
      <c r="GX173" s="29"/>
      <c r="GY173" s="29"/>
      <c r="GZ173" s="29"/>
      <c r="HA173" s="29"/>
      <c r="HB173" s="29"/>
      <c r="HC173" s="29"/>
      <c r="HD173" s="29"/>
      <c r="HE173" s="29"/>
      <c r="HF173" s="29"/>
      <c r="HG173" s="29"/>
      <c r="HH173" s="29"/>
      <c r="HI173" s="29"/>
      <c r="HJ173" s="29"/>
      <c r="HK173" s="29"/>
      <c r="HL173" s="29"/>
      <c r="HM173" s="29"/>
      <c r="HN173" s="29"/>
      <c r="HO173" s="29"/>
      <c r="HP173" s="29"/>
      <c r="HQ173" s="29"/>
      <c r="HR173" s="29"/>
      <c r="HS173" s="29"/>
      <c r="HT173" s="29"/>
      <c r="HU173" s="29"/>
      <c r="HV173" s="29"/>
      <c r="HW173" s="29"/>
      <c r="HX173" s="29"/>
      <c r="HY173" s="29"/>
      <c r="HZ173" s="29"/>
      <c r="IA173" s="29"/>
      <c r="IB173" s="29"/>
      <c r="IC173" s="29"/>
      <c r="ID173" s="29"/>
      <c r="IE173" s="29"/>
      <c r="IF173" s="29"/>
      <c r="IG173" s="29"/>
      <c r="IH173" s="29"/>
      <c r="II173" s="29"/>
      <c r="IJ173" s="29"/>
      <c r="IK173" s="29"/>
      <c r="IL173" s="29"/>
      <c r="IM173" s="29"/>
      <c r="IN173" s="29"/>
      <c r="IO173" s="29"/>
      <c r="IP173" s="29"/>
      <c r="IQ173" s="29"/>
      <c r="IR173" s="29"/>
      <c r="IS173" s="29"/>
      <c r="IT173" s="29"/>
      <c r="IU173" s="29"/>
      <c r="IV173" s="29"/>
      <c r="IW173" s="29"/>
      <c r="IX173" s="29"/>
      <c r="IY173" s="29"/>
      <c r="IZ173" s="29"/>
      <c r="JA173" s="29"/>
      <c r="JB173" s="29"/>
      <c r="JC173" s="29"/>
      <c r="JD173" s="29"/>
      <c r="JE173" s="29"/>
      <c r="JF173" s="29"/>
      <c r="JG173" s="29"/>
      <c r="JH173" s="29"/>
      <c r="JI173" s="29"/>
      <c r="JJ173" s="29"/>
      <c r="JK173" s="29"/>
      <c r="JL173" s="29"/>
      <c r="JM173" s="29"/>
      <c r="JN173" s="29"/>
      <c r="JO173" s="29"/>
      <c r="JP173" s="29"/>
      <c r="JQ173" s="29"/>
      <c r="JR173" s="29"/>
      <c r="JS173" s="29"/>
      <c r="JT173" s="29"/>
      <c r="JU173" s="29"/>
      <c r="JV173" s="29"/>
      <c r="JW173" s="29"/>
      <c r="JX173" s="29"/>
      <c r="JY173" s="29"/>
      <c r="JZ173" s="29"/>
      <c r="KA173" s="29"/>
      <c r="KB173" s="29"/>
      <c r="KC173" s="29"/>
      <c r="KD173" s="29"/>
      <c r="KE173" s="29"/>
      <c r="KF173" s="29"/>
      <c r="KG173" s="29"/>
      <c r="KH173" s="29"/>
      <c r="KI173" s="29"/>
      <c r="KJ173" s="29"/>
      <c r="KK173" s="29"/>
      <c r="KL173" s="29"/>
      <c r="KM173" s="29"/>
      <c r="KN173" s="29"/>
      <c r="KO173" s="29"/>
      <c r="KP173" s="29"/>
      <c r="KQ173" s="29"/>
      <c r="KR173" s="29"/>
      <c r="KS173" s="29"/>
      <c r="KT173" s="29"/>
      <c r="KU173" s="29"/>
      <c r="KV173" s="29"/>
      <c r="KW173" s="29"/>
      <c r="KX173" s="29"/>
      <c r="KY173" s="29"/>
      <c r="KZ173" s="29"/>
      <c r="LA173" s="29"/>
      <c r="LB173" s="29"/>
      <c r="LC173" s="29"/>
      <c r="LD173" s="29"/>
      <c r="LE173" s="29"/>
      <c r="LF173" s="29"/>
      <c r="LG173" s="29"/>
      <c r="LH173" s="29"/>
      <c r="LI173" s="29"/>
      <c r="LJ173" s="29"/>
      <c r="LK173" s="29"/>
      <c r="LL173" s="29"/>
      <c r="LM173" s="29"/>
      <c r="LN173" s="29"/>
      <c r="LO173" s="29"/>
      <c r="LP173" s="29"/>
      <c r="LQ173" s="29"/>
      <c r="LR173" s="29"/>
      <c r="LS173" s="29"/>
      <c r="LT173" s="29"/>
      <c r="LU173" s="29"/>
      <c r="LV173" s="29"/>
      <c r="LW173" s="29"/>
      <c r="LX173" s="29"/>
      <c r="LY173" s="29"/>
      <c r="LZ173" s="29"/>
      <c r="MA173" s="29"/>
      <c r="MB173" s="29"/>
      <c r="MC173" s="29"/>
      <c r="MD173" s="29"/>
      <c r="ME173" s="29"/>
      <c r="MF173" s="29"/>
      <c r="MG173" s="29"/>
      <c r="MH173" s="29"/>
      <c r="MI173" s="29"/>
      <c r="MJ173" s="29"/>
      <c r="MK173" s="29"/>
      <c r="ML173" s="29"/>
      <c r="MM173" s="29"/>
    </row>
    <row r="174" spans="1:351" s="3" customFormat="1" ht="29.25" customHeight="1" outlineLevel="1" thickBot="1">
      <c r="A174" s="33"/>
      <c r="B174" s="85"/>
      <c r="C174" s="149"/>
      <c r="D174" s="126"/>
      <c r="E174" s="126"/>
      <c r="F174" s="14"/>
      <c r="G174" s="14">
        <f>E174-D174</f>
        <v>0</v>
      </c>
      <c r="H174" s="29"/>
      <c r="I174" s="29"/>
      <c r="J174" s="29"/>
      <c r="K174" s="29"/>
      <c r="L174" s="29"/>
      <c r="M174" s="29"/>
      <c r="N174" s="29"/>
      <c r="O174" s="29"/>
      <c r="P174" s="29"/>
      <c r="Q174" s="29"/>
      <c r="R174" s="29"/>
      <c r="S174" s="29"/>
      <c r="T174" s="29"/>
      <c r="U174" s="29"/>
      <c r="V174" s="29"/>
      <c r="W174" s="29"/>
      <c r="X174" s="29"/>
      <c r="Y174" s="29"/>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c r="BN174" s="29"/>
      <c r="BO174" s="29"/>
      <c r="BP174" s="29"/>
      <c r="BQ174" s="29"/>
      <c r="BR174" s="29"/>
      <c r="BS174" s="29"/>
      <c r="BT174" s="29"/>
      <c r="BU174" s="29"/>
      <c r="BV174" s="29"/>
      <c r="BW174" s="29"/>
      <c r="BX174" s="29"/>
      <c r="BY174" s="29"/>
      <c r="BZ174" s="29"/>
      <c r="CA174" s="29"/>
      <c r="CB174" s="29"/>
      <c r="CC174" s="29"/>
      <c r="CD174" s="29"/>
      <c r="CE174" s="29"/>
      <c r="CF174" s="29"/>
      <c r="CG174" s="29"/>
      <c r="CH174" s="29"/>
      <c r="CI174" s="29"/>
      <c r="CJ174" s="29"/>
      <c r="CK174" s="29"/>
      <c r="CL174" s="29"/>
      <c r="CM174" s="29"/>
      <c r="CN174" s="29"/>
      <c r="CO174" s="29"/>
      <c r="CP174" s="29"/>
      <c r="CQ174" s="29"/>
      <c r="CR174" s="29"/>
      <c r="CS174" s="29"/>
      <c r="CT174" s="29"/>
      <c r="CU174" s="29"/>
      <c r="CV174" s="29"/>
      <c r="CW174" s="29"/>
      <c r="CX174" s="29"/>
      <c r="CY174" s="29"/>
      <c r="CZ174" s="29"/>
      <c r="DA174" s="29"/>
      <c r="DB174" s="29"/>
      <c r="DC174" s="29"/>
      <c r="DD174" s="29"/>
      <c r="DE174" s="29"/>
      <c r="DF174" s="29"/>
      <c r="DG174" s="29"/>
      <c r="DH174" s="29"/>
      <c r="DI174" s="29"/>
      <c r="DJ174" s="29"/>
      <c r="DK174" s="29"/>
      <c r="DL174" s="29"/>
      <c r="DM174" s="29"/>
      <c r="DN174" s="29"/>
      <c r="DO174" s="29"/>
      <c r="DP174" s="29"/>
      <c r="DQ174" s="29"/>
      <c r="DR174" s="29"/>
      <c r="DS174" s="29"/>
      <c r="DT174" s="29"/>
      <c r="DU174" s="29"/>
      <c r="DV174" s="29"/>
      <c r="DW174" s="29"/>
      <c r="DX174" s="29"/>
      <c r="DY174" s="29"/>
      <c r="DZ174" s="29"/>
      <c r="EA174" s="29"/>
      <c r="EB174" s="29"/>
      <c r="EC174" s="29"/>
      <c r="ED174" s="29"/>
      <c r="EE174" s="29"/>
      <c r="EF174" s="29"/>
      <c r="EG174" s="29"/>
      <c r="EH174" s="29"/>
      <c r="EI174" s="29"/>
      <c r="EJ174" s="29"/>
      <c r="EK174" s="29"/>
      <c r="EL174" s="29"/>
      <c r="EM174" s="29"/>
      <c r="EN174" s="29"/>
      <c r="EO174" s="29"/>
      <c r="EP174" s="29"/>
      <c r="EQ174" s="29"/>
      <c r="ER174" s="29"/>
      <c r="ES174" s="29"/>
      <c r="ET174" s="29"/>
      <c r="EU174" s="29"/>
      <c r="EV174" s="29"/>
      <c r="EW174" s="29"/>
      <c r="EX174" s="29"/>
      <c r="EY174" s="29"/>
      <c r="EZ174" s="29"/>
      <c r="FA174" s="29"/>
      <c r="FB174" s="29"/>
      <c r="FC174" s="29"/>
      <c r="FD174" s="29"/>
      <c r="FE174" s="29"/>
      <c r="FF174" s="29"/>
      <c r="FG174" s="29"/>
      <c r="FH174" s="29"/>
      <c r="FI174" s="29"/>
      <c r="FJ174" s="29"/>
      <c r="FK174" s="29"/>
      <c r="FL174" s="29"/>
      <c r="FM174" s="29"/>
      <c r="FN174" s="29"/>
      <c r="FO174" s="29"/>
      <c r="FP174" s="29"/>
      <c r="FQ174" s="29"/>
      <c r="FR174" s="29"/>
      <c r="FS174" s="29"/>
      <c r="FT174" s="29"/>
      <c r="FU174" s="29"/>
      <c r="FV174" s="29"/>
      <c r="FW174" s="29"/>
      <c r="FX174" s="29"/>
      <c r="FY174" s="29"/>
      <c r="FZ174" s="29"/>
      <c r="GA174" s="29"/>
      <c r="GB174" s="29"/>
      <c r="GC174" s="29"/>
      <c r="GD174" s="29"/>
      <c r="GE174" s="29"/>
      <c r="GF174" s="29"/>
      <c r="GG174" s="29"/>
      <c r="GH174" s="29"/>
      <c r="GI174" s="29"/>
      <c r="GJ174" s="29"/>
      <c r="GK174" s="29"/>
      <c r="GL174" s="29"/>
      <c r="GM174" s="29"/>
      <c r="GN174" s="29"/>
      <c r="GO174" s="29"/>
      <c r="GP174" s="29"/>
      <c r="GQ174" s="29"/>
      <c r="GR174" s="29"/>
      <c r="GS174" s="29"/>
      <c r="GT174" s="29"/>
      <c r="GU174" s="29"/>
      <c r="GV174" s="29"/>
      <c r="GW174" s="29"/>
      <c r="GX174" s="29"/>
      <c r="GY174" s="29"/>
      <c r="GZ174" s="29"/>
      <c r="HA174" s="29"/>
      <c r="HB174" s="29"/>
      <c r="HC174" s="29"/>
      <c r="HD174" s="29"/>
      <c r="HE174" s="29"/>
      <c r="HF174" s="29"/>
      <c r="HG174" s="29"/>
      <c r="HH174" s="29"/>
      <c r="HI174" s="29"/>
      <c r="HJ174" s="29"/>
      <c r="HK174" s="29"/>
      <c r="HL174" s="29"/>
      <c r="HM174" s="29"/>
      <c r="HN174" s="29"/>
      <c r="HO174" s="29"/>
      <c r="HP174" s="29"/>
      <c r="HQ174" s="29"/>
      <c r="HR174" s="29"/>
      <c r="HS174" s="29"/>
      <c r="HT174" s="29"/>
      <c r="HU174" s="29"/>
      <c r="HV174" s="29"/>
      <c r="HW174" s="29"/>
      <c r="HX174" s="29"/>
      <c r="HY174" s="29"/>
      <c r="HZ174" s="29"/>
      <c r="IA174" s="29"/>
      <c r="IB174" s="29"/>
      <c r="IC174" s="29"/>
      <c r="ID174" s="29"/>
      <c r="IE174" s="29"/>
      <c r="IF174" s="29"/>
      <c r="IG174" s="29"/>
      <c r="IH174" s="29"/>
      <c r="II174" s="29"/>
      <c r="IJ174" s="29"/>
      <c r="IK174" s="29"/>
      <c r="IL174" s="29"/>
      <c r="IM174" s="29"/>
      <c r="IN174" s="29"/>
      <c r="IO174" s="29"/>
      <c r="IP174" s="29"/>
      <c r="IQ174" s="29"/>
      <c r="IR174" s="29"/>
      <c r="IS174" s="29"/>
      <c r="IT174" s="29"/>
      <c r="IU174" s="29"/>
      <c r="IV174" s="29"/>
      <c r="IW174" s="29"/>
      <c r="IX174" s="29"/>
      <c r="IY174" s="29"/>
      <c r="IZ174" s="29"/>
      <c r="JA174" s="29"/>
      <c r="JB174" s="29"/>
      <c r="JC174" s="29"/>
      <c r="JD174" s="29"/>
      <c r="JE174" s="29"/>
      <c r="JF174" s="29"/>
      <c r="JG174" s="29"/>
      <c r="JH174" s="29"/>
      <c r="JI174" s="29"/>
      <c r="JJ174" s="29"/>
      <c r="JK174" s="29"/>
      <c r="JL174" s="29"/>
      <c r="JM174" s="29"/>
      <c r="JN174" s="29"/>
      <c r="JO174" s="29"/>
      <c r="JP174" s="29"/>
      <c r="JQ174" s="29"/>
      <c r="JR174" s="29"/>
      <c r="JS174" s="29"/>
      <c r="JT174" s="29"/>
      <c r="JU174" s="29"/>
      <c r="JV174" s="29"/>
      <c r="JW174" s="29"/>
      <c r="JX174" s="29"/>
      <c r="JY174" s="29"/>
      <c r="JZ174" s="29"/>
      <c r="KA174" s="29"/>
      <c r="KB174" s="29"/>
      <c r="KC174" s="29"/>
      <c r="KD174" s="29"/>
      <c r="KE174" s="29"/>
      <c r="KF174" s="29"/>
      <c r="KG174" s="29"/>
      <c r="KH174" s="29"/>
      <c r="KI174" s="29"/>
      <c r="KJ174" s="29"/>
      <c r="KK174" s="29"/>
      <c r="KL174" s="29"/>
      <c r="KM174" s="29"/>
      <c r="KN174" s="29"/>
      <c r="KO174" s="29"/>
      <c r="KP174" s="29"/>
      <c r="KQ174" s="29"/>
      <c r="KR174" s="29"/>
      <c r="KS174" s="29"/>
      <c r="KT174" s="29"/>
      <c r="KU174" s="29"/>
      <c r="KV174" s="29"/>
      <c r="KW174" s="29"/>
      <c r="KX174" s="29"/>
      <c r="KY174" s="29"/>
      <c r="KZ174" s="29"/>
      <c r="LA174" s="29"/>
      <c r="LB174" s="29"/>
      <c r="LC174" s="29"/>
      <c r="LD174" s="29"/>
      <c r="LE174" s="29"/>
      <c r="LF174" s="29"/>
      <c r="LG174" s="29"/>
      <c r="LH174" s="29"/>
      <c r="LI174" s="29"/>
      <c r="LJ174" s="29"/>
      <c r="LK174" s="29"/>
      <c r="LL174" s="29"/>
      <c r="LM174" s="29"/>
      <c r="LN174" s="29"/>
      <c r="LO174" s="29"/>
      <c r="LP174" s="29"/>
      <c r="LQ174" s="29"/>
      <c r="LR174" s="29"/>
      <c r="LS174" s="29"/>
      <c r="LT174" s="29"/>
      <c r="LU174" s="29"/>
      <c r="LV174" s="29"/>
      <c r="LW174" s="29"/>
      <c r="LX174" s="29"/>
      <c r="LY174" s="29"/>
      <c r="LZ174" s="29"/>
      <c r="MA174" s="29"/>
      <c r="MB174" s="29"/>
      <c r="MC174" s="29"/>
      <c r="MD174" s="29"/>
      <c r="ME174" s="29"/>
      <c r="MF174" s="29"/>
      <c r="MG174" s="29"/>
      <c r="MH174" s="29"/>
      <c r="MI174" s="29"/>
      <c r="MJ174" s="29"/>
      <c r="MK174" s="29"/>
      <c r="ML174" s="29"/>
      <c r="MM174" s="29"/>
    </row>
    <row r="175" spans="1:351" s="3" customFormat="1" ht="29.25" customHeight="1" outlineLevel="1" thickBot="1">
      <c r="A175" s="33"/>
      <c r="B175" s="85"/>
      <c r="C175" s="149"/>
      <c r="D175" s="126"/>
      <c r="E175" s="126"/>
      <c r="F175" s="14"/>
      <c r="G175" s="14">
        <f>E175-D175</f>
        <v>0</v>
      </c>
      <c r="H175" s="29"/>
      <c r="I175" s="29"/>
      <c r="J175" s="29"/>
      <c r="K175" s="29"/>
      <c r="L175" s="29"/>
      <c r="M175" s="29"/>
      <c r="N175" s="29"/>
      <c r="O175" s="29"/>
      <c r="P175" s="29"/>
      <c r="Q175" s="29"/>
      <c r="R175" s="29"/>
      <c r="S175" s="29"/>
      <c r="T175" s="29"/>
      <c r="U175" s="29"/>
      <c r="V175" s="29"/>
      <c r="W175" s="29"/>
      <c r="X175" s="29"/>
      <c r="Y175" s="29"/>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c r="BN175" s="29"/>
      <c r="BO175" s="29"/>
      <c r="BP175" s="29"/>
      <c r="BQ175" s="29"/>
      <c r="BR175" s="29"/>
      <c r="BS175" s="29"/>
      <c r="BT175" s="29"/>
      <c r="BU175" s="29"/>
      <c r="BV175" s="29"/>
      <c r="BW175" s="29"/>
      <c r="BX175" s="29"/>
      <c r="BY175" s="29"/>
      <c r="BZ175" s="29"/>
      <c r="CA175" s="29"/>
      <c r="CB175" s="29"/>
      <c r="CC175" s="29"/>
      <c r="CD175" s="29"/>
      <c r="CE175" s="29"/>
      <c r="CF175" s="29"/>
      <c r="CG175" s="29"/>
      <c r="CH175" s="29"/>
      <c r="CI175" s="29"/>
      <c r="CJ175" s="29"/>
      <c r="CK175" s="29"/>
      <c r="CL175" s="29"/>
      <c r="CM175" s="29"/>
      <c r="CN175" s="29"/>
      <c r="CO175" s="29"/>
      <c r="CP175" s="29"/>
      <c r="CQ175" s="29"/>
      <c r="CR175" s="29"/>
      <c r="CS175" s="29"/>
      <c r="CT175" s="29"/>
      <c r="CU175" s="29"/>
      <c r="CV175" s="29"/>
      <c r="CW175" s="29"/>
      <c r="CX175" s="29"/>
      <c r="CY175" s="29"/>
      <c r="CZ175" s="29"/>
      <c r="DA175" s="29"/>
      <c r="DB175" s="29"/>
      <c r="DC175" s="29"/>
      <c r="DD175" s="29"/>
      <c r="DE175" s="29"/>
      <c r="DF175" s="29"/>
      <c r="DG175" s="29"/>
      <c r="DH175" s="29"/>
      <c r="DI175" s="29"/>
      <c r="DJ175" s="29"/>
      <c r="DK175" s="29"/>
      <c r="DL175" s="29"/>
      <c r="DM175" s="29"/>
      <c r="DN175" s="29"/>
      <c r="DO175" s="29"/>
      <c r="DP175" s="29"/>
      <c r="DQ175" s="29"/>
      <c r="DR175" s="29"/>
      <c r="DS175" s="29"/>
      <c r="DT175" s="29"/>
      <c r="DU175" s="29"/>
      <c r="DV175" s="29"/>
      <c r="DW175" s="29"/>
      <c r="DX175" s="29"/>
      <c r="DY175" s="29"/>
      <c r="DZ175" s="29"/>
      <c r="EA175" s="29"/>
      <c r="EB175" s="29"/>
      <c r="EC175" s="29"/>
      <c r="ED175" s="29"/>
      <c r="EE175" s="29"/>
      <c r="EF175" s="29"/>
      <c r="EG175" s="29"/>
      <c r="EH175" s="29"/>
      <c r="EI175" s="29"/>
      <c r="EJ175" s="29"/>
      <c r="EK175" s="29"/>
      <c r="EL175" s="29"/>
      <c r="EM175" s="29"/>
      <c r="EN175" s="29"/>
      <c r="EO175" s="29"/>
      <c r="EP175" s="29"/>
      <c r="EQ175" s="29"/>
      <c r="ER175" s="29"/>
      <c r="ES175" s="29"/>
      <c r="ET175" s="29"/>
      <c r="EU175" s="29"/>
      <c r="EV175" s="29"/>
      <c r="EW175" s="29"/>
      <c r="EX175" s="29"/>
      <c r="EY175" s="29"/>
      <c r="EZ175" s="29"/>
      <c r="FA175" s="29"/>
      <c r="FB175" s="29"/>
      <c r="FC175" s="29"/>
      <c r="FD175" s="29"/>
      <c r="FE175" s="29"/>
      <c r="FF175" s="29"/>
      <c r="FG175" s="29"/>
      <c r="FH175" s="29"/>
      <c r="FI175" s="29"/>
      <c r="FJ175" s="29"/>
      <c r="FK175" s="29"/>
      <c r="FL175" s="29"/>
      <c r="FM175" s="29"/>
      <c r="FN175" s="29"/>
      <c r="FO175" s="29"/>
      <c r="FP175" s="29"/>
      <c r="FQ175" s="29"/>
      <c r="FR175" s="29"/>
      <c r="FS175" s="29"/>
      <c r="FT175" s="29"/>
      <c r="FU175" s="29"/>
      <c r="FV175" s="29"/>
      <c r="FW175" s="29"/>
      <c r="FX175" s="29"/>
      <c r="FY175" s="29"/>
      <c r="FZ175" s="29"/>
      <c r="GA175" s="29"/>
      <c r="GB175" s="29"/>
      <c r="GC175" s="29"/>
      <c r="GD175" s="29"/>
      <c r="GE175" s="29"/>
      <c r="GF175" s="29"/>
      <c r="GG175" s="29"/>
      <c r="GH175" s="29"/>
      <c r="GI175" s="29"/>
      <c r="GJ175" s="29"/>
      <c r="GK175" s="29"/>
      <c r="GL175" s="29"/>
      <c r="GM175" s="29"/>
      <c r="GN175" s="29"/>
      <c r="GO175" s="29"/>
      <c r="GP175" s="29"/>
      <c r="GQ175" s="29"/>
      <c r="GR175" s="29"/>
      <c r="GS175" s="29"/>
      <c r="GT175" s="29"/>
      <c r="GU175" s="29"/>
      <c r="GV175" s="29"/>
      <c r="GW175" s="29"/>
      <c r="GX175" s="29"/>
      <c r="GY175" s="29"/>
      <c r="GZ175" s="29"/>
      <c r="HA175" s="29"/>
      <c r="HB175" s="29"/>
      <c r="HC175" s="29"/>
      <c r="HD175" s="29"/>
      <c r="HE175" s="29"/>
      <c r="HF175" s="29"/>
      <c r="HG175" s="29"/>
      <c r="HH175" s="29"/>
      <c r="HI175" s="29"/>
      <c r="HJ175" s="29"/>
      <c r="HK175" s="29"/>
      <c r="HL175" s="29"/>
      <c r="HM175" s="29"/>
      <c r="HN175" s="29"/>
      <c r="HO175" s="29"/>
      <c r="HP175" s="29"/>
      <c r="HQ175" s="29"/>
      <c r="HR175" s="29"/>
      <c r="HS175" s="29"/>
      <c r="HT175" s="29"/>
      <c r="HU175" s="29"/>
      <c r="HV175" s="29"/>
      <c r="HW175" s="29"/>
      <c r="HX175" s="29"/>
      <c r="HY175" s="29"/>
      <c r="HZ175" s="29"/>
      <c r="IA175" s="29"/>
      <c r="IB175" s="29"/>
      <c r="IC175" s="29"/>
      <c r="ID175" s="29"/>
      <c r="IE175" s="29"/>
      <c r="IF175" s="29"/>
      <c r="IG175" s="29"/>
      <c r="IH175" s="29"/>
      <c r="II175" s="29"/>
      <c r="IJ175" s="29"/>
      <c r="IK175" s="29"/>
      <c r="IL175" s="29"/>
      <c r="IM175" s="29"/>
      <c r="IN175" s="29"/>
      <c r="IO175" s="29"/>
      <c r="IP175" s="29"/>
      <c r="IQ175" s="29"/>
      <c r="IR175" s="29"/>
      <c r="IS175" s="29"/>
      <c r="IT175" s="29"/>
      <c r="IU175" s="29"/>
      <c r="IV175" s="29"/>
      <c r="IW175" s="29"/>
      <c r="IX175" s="29"/>
      <c r="IY175" s="29"/>
      <c r="IZ175" s="29"/>
      <c r="JA175" s="29"/>
      <c r="JB175" s="29"/>
      <c r="JC175" s="29"/>
      <c r="JD175" s="29"/>
      <c r="JE175" s="29"/>
      <c r="JF175" s="29"/>
      <c r="JG175" s="29"/>
      <c r="JH175" s="29"/>
      <c r="JI175" s="29"/>
      <c r="JJ175" s="29"/>
      <c r="JK175" s="29"/>
      <c r="JL175" s="29"/>
      <c r="JM175" s="29"/>
      <c r="JN175" s="29"/>
      <c r="JO175" s="29"/>
      <c r="JP175" s="29"/>
      <c r="JQ175" s="29"/>
      <c r="JR175" s="29"/>
      <c r="JS175" s="29"/>
      <c r="JT175" s="29"/>
      <c r="JU175" s="29"/>
      <c r="JV175" s="29"/>
      <c r="JW175" s="29"/>
      <c r="JX175" s="29"/>
      <c r="JY175" s="29"/>
      <c r="JZ175" s="29"/>
      <c r="KA175" s="29"/>
      <c r="KB175" s="29"/>
      <c r="KC175" s="29"/>
      <c r="KD175" s="29"/>
      <c r="KE175" s="29"/>
      <c r="KF175" s="29"/>
      <c r="KG175" s="29"/>
      <c r="KH175" s="29"/>
      <c r="KI175" s="29"/>
      <c r="KJ175" s="29"/>
      <c r="KK175" s="29"/>
      <c r="KL175" s="29"/>
      <c r="KM175" s="29"/>
      <c r="KN175" s="29"/>
      <c r="KO175" s="29"/>
      <c r="KP175" s="29"/>
      <c r="KQ175" s="29"/>
      <c r="KR175" s="29"/>
      <c r="KS175" s="29"/>
      <c r="KT175" s="29"/>
      <c r="KU175" s="29"/>
      <c r="KV175" s="29"/>
      <c r="KW175" s="29"/>
      <c r="KX175" s="29"/>
      <c r="KY175" s="29"/>
      <c r="KZ175" s="29"/>
      <c r="LA175" s="29"/>
      <c r="LB175" s="29"/>
      <c r="LC175" s="29"/>
      <c r="LD175" s="29"/>
      <c r="LE175" s="29"/>
      <c r="LF175" s="29"/>
      <c r="LG175" s="29"/>
      <c r="LH175" s="29"/>
      <c r="LI175" s="29"/>
      <c r="LJ175" s="29"/>
      <c r="LK175" s="29"/>
      <c r="LL175" s="29"/>
      <c r="LM175" s="29"/>
      <c r="LN175" s="29"/>
      <c r="LO175" s="29"/>
      <c r="LP175" s="29"/>
      <c r="LQ175" s="29"/>
      <c r="LR175" s="29"/>
      <c r="LS175" s="29"/>
      <c r="LT175" s="29"/>
      <c r="LU175" s="29"/>
      <c r="LV175" s="29"/>
      <c r="LW175" s="29"/>
      <c r="LX175" s="29"/>
      <c r="LY175" s="29"/>
      <c r="LZ175" s="29"/>
      <c r="MA175" s="29"/>
      <c r="MB175" s="29"/>
      <c r="MC175" s="29"/>
      <c r="MD175" s="29"/>
      <c r="ME175" s="29"/>
      <c r="MF175" s="29"/>
      <c r="MG175" s="29"/>
      <c r="MH175" s="29"/>
      <c r="MI175" s="29"/>
      <c r="MJ175" s="29"/>
      <c r="MK175" s="29"/>
      <c r="ML175" s="29"/>
      <c r="MM175" s="29"/>
    </row>
    <row r="176" spans="1:351" s="3" customFormat="1" ht="29.25" customHeight="1" thickBot="1">
      <c r="A176" s="33" t="s">
        <v>243</v>
      </c>
      <c r="B176" s="49"/>
      <c r="C176" s="45"/>
      <c r="D176" s="134"/>
      <c r="E176" s="134"/>
      <c r="F176" s="14"/>
      <c r="G176" s="14" t="str">
        <f t="shared" ca="1" si="311"/>
        <v/>
      </c>
      <c r="H176" s="29"/>
      <c r="I176" s="29"/>
      <c r="J176" s="29"/>
      <c r="K176" s="29"/>
      <c r="L176" s="29"/>
      <c r="M176" s="29"/>
      <c r="N176" s="29"/>
      <c r="O176" s="29"/>
      <c r="P176" s="29"/>
      <c r="Q176" s="29"/>
      <c r="R176" s="29"/>
      <c r="S176" s="29"/>
      <c r="T176" s="29"/>
      <c r="U176" s="29"/>
      <c r="V176" s="29"/>
      <c r="W176" s="29"/>
      <c r="X176" s="29"/>
      <c r="Y176" s="29"/>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c r="BN176" s="29"/>
      <c r="BO176" s="29"/>
      <c r="BP176" s="29"/>
      <c r="BQ176" s="29"/>
      <c r="BR176" s="29"/>
      <c r="BS176" s="29"/>
      <c r="BT176" s="29"/>
      <c r="BU176" s="29"/>
      <c r="BV176" s="29"/>
      <c r="BW176" s="29"/>
      <c r="BX176" s="29"/>
      <c r="BY176" s="29"/>
      <c r="BZ176" s="29"/>
      <c r="CA176" s="29"/>
      <c r="CB176" s="29"/>
      <c r="CC176" s="29"/>
      <c r="CD176" s="29"/>
      <c r="CE176" s="29"/>
      <c r="CF176" s="29"/>
      <c r="CG176" s="29"/>
      <c r="CH176" s="29"/>
      <c r="CI176" s="29"/>
      <c r="CJ176" s="29"/>
      <c r="CK176" s="29"/>
      <c r="CL176" s="29"/>
      <c r="CM176" s="29"/>
      <c r="CN176" s="29"/>
      <c r="CO176" s="29"/>
      <c r="CP176" s="29"/>
      <c r="CQ176" s="29"/>
      <c r="CR176" s="29"/>
      <c r="CS176" s="29"/>
      <c r="CT176" s="29"/>
      <c r="CU176" s="29"/>
      <c r="CV176" s="29"/>
      <c r="CW176" s="29"/>
      <c r="CX176" s="29"/>
      <c r="CY176" s="29"/>
      <c r="CZ176" s="29"/>
      <c r="DA176" s="29"/>
      <c r="DB176" s="29"/>
      <c r="DC176" s="29"/>
      <c r="DD176" s="29"/>
      <c r="DE176" s="29"/>
      <c r="DF176" s="29"/>
      <c r="DG176" s="29"/>
      <c r="DH176" s="29"/>
      <c r="DI176" s="29"/>
      <c r="DJ176" s="29"/>
      <c r="DK176" s="29"/>
      <c r="DL176" s="29"/>
      <c r="DM176" s="29"/>
      <c r="DN176" s="29"/>
      <c r="DO176" s="29"/>
      <c r="DP176" s="29"/>
      <c r="DQ176" s="29"/>
      <c r="DR176" s="29"/>
      <c r="DS176" s="29"/>
      <c r="DT176" s="29"/>
      <c r="DU176" s="29"/>
      <c r="DV176" s="29"/>
      <c r="DW176" s="29"/>
      <c r="DX176" s="29"/>
      <c r="DY176" s="29"/>
      <c r="DZ176" s="29"/>
      <c r="EA176" s="29"/>
      <c r="EB176" s="29"/>
      <c r="EC176" s="29"/>
      <c r="ED176" s="29"/>
      <c r="EE176" s="29"/>
      <c r="EF176" s="29"/>
      <c r="EG176" s="29"/>
      <c r="EH176" s="29"/>
      <c r="EI176" s="29"/>
      <c r="EJ176" s="29"/>
      <c r="EK176" s="29"/>
      <c r="EL176" s="29"/>
      <c r="EM176" s="29"/>
      <c r="EN176" s="29"/>
      <c r="EO176" s="29"/>
      <c r="EP176" s="29"/>
      <c r="EQ176" s="29"/>
      <c r="ER176" s="29"/>
      <c r="ES176" s="29"/>
      <c r="ET176" s="29"/>
      <c r="EU176" s="29"/>
      <c r="EV176" s="29"/>
      <c r="EW176" s="29"/>
      <c r="EX176" s="29"/>
      <c r="EY176" s="29"/>
      <c r="EZ176" s="29"/>
      <c r="FA176" s="29"/>
      <c r="FB176" s="29"/>
      <c r="FC176" s="29"/>
      <c r="FD176" s="29"/>
      <c r="FE176" s="29"/>
      <c r="FF176" s="29"/>
      <c r="FG176" s="29"/>
      <c r="FH176" s="29"/>
      <c r="FI176" s="29"/>
      <c r="FJ176" s="29"/>
      <c r="FK176" s="29"/>
      <c r="FL176" s="29"/>
      <c r="FM176" s="29"/>
      <c r="FN176" s="29"/>
      <c r="FO176" s="29"/>
      <c r="FP176" s="29"/>
      <c r="FQ176" s="29"/>
      <c r="FR176" s="29"/>
      <c r="FS176" s="29"/>
      <c r="FT176" s="29"/>
      <c r="FU176" s="29"/>
      <c r="FV176" s="29"/>
      <c r="FW176" s="29"/>
      <c r="FX176" s="29"/>
      <c r="FY176" s="29"/>
      <c r="FZ176" s="29"/>
      <c r="GA176" s="29"/>
      <c r="GB176" s="29"/>
      <c r="GC176" s="29"/>
      <c r="GD176" s="29"/>
      <c r="GE176" s="29"/>
      <c r="GF176" s="29"/>
      <c r="GG176" s="29"/>
      <c r="GH176" s="29"/>
      <c r="GI176" s="29"/>
      <c r="GJ176" s="29"/>
      <c r="GK176" s="29"/>
      <c r="GL176" s="29"/>
      <c r="GM176" s="29"/>
      <c r="GN176" s="29"/>
      <c r="GO176" s="29"/>
      <c r="GP176" s="29"/>
      <c r="GQ176" s="29"/>
      <c r="GR176" s="29"/>
      <c r="GS176" s="29"/>
      <c r="GT176" s="29"/>
      <c r="GU176" s="29"/>
      <c r="GV176" s="29"/>
      <c r="GW176" s="29"/>
      <c r="GX176" s="29"/>
      <c r="GY176" s="29"/>
      <c r="GZ176" s="29"/>
      <c r="HA176" s="29"/>
      <c r="HB176" s="29"/>
      <c r="HC176" s="29"/>
      <c r="HD176" s="29"/>
      <c r="HE176" s="29"/>
      <c r="HF176" s="29"/>
      <c r="HG176" s="29"/>
      <c r="HH176" s="29"/>
      <c r="HI176" s="29"/>
      <c r="HJ176" s="29"/>
      <c r="HK176" s="29"/>
      <c r="HL176" s="29"/>
      <c r="HM176" s="29"/>
      <c r="HN176" s="29"/>
      <c r="HO176" s="29"/>
      <c r="HP176" s="29"/>
      <c r="HQ176" s="29"/>
      <c r="HR176" s="29"/>
      <c r="HS176" s="29"/>
      <c r="HT176" s="29"/>
      <c r="HU176" s="29"/>
      <c r="HV176" s="29"/>
      <c r="HW176" s="29"/>
      <c r="HX176" s="29"/>
      <c r="HY176" s="29"/>
      <c r="HZ176" s="29"/>
      <c r="IA176" s="29"/>
      <c r="IB176" s="29"/>
      <c r="IC176" s="29"/>
      <c r="ID176" s="29"/>
      <c r="IE176" s="29"/>
      <c r="IF176" s="29"/>
      <c r="IG176" s="29"/>
      <c r="IH176" s="29"/>
      <c r="II176" s="29"/>
      <c r="IJ176" s="29"/>
      <c r="IK176" s="29"/>
      <c r="IL176" s="29"/>
      <c r="IM176" s="29"/>
      <c r="IN176" s="29"/>
      <c r="IO176" s="29"/>
      <c r="IP176" s="29"/>
      <c r="IQ176" s="29"/>
      <c r="IR176" s="29"/>
      <c r="IS176" s="29"/>
      <c r="IT176" s="29"/>
      <c r="IU176" s="29"/>
      <c r="IV176" s="29"/>
      <c r="IW176" s="29"/>
      <c r="IX176" s="29"/>
      <c r="IY176" s="29"/>
      <c r="IZ176" s="29"/>
      <c r="JA176" s="29"/>
      <c r="JB176" s="29"/>
      <c r="JC176" s="29"/>
      <c r="JD176" s="29"/>
      <c r="JE176" s="29"/>
      <c r="JF176" s="29"/>
      <c r="JG176" s="29"/>
      <c r="JH176" s="29"/>
      <c r="JI176" s="29"/>
      <c r="JJ176" s="29"/>
      <c r="JK176" s="29"/>
      <c r="JL176" s="29"/>
      <c r="JM176" s="29"/>
      <c r="JN176" s="29"/>
      <c r="JO176" s="29"/>
      <c r="JP176" s="29"/>
      <c r="JQ176" s="29"/>
      <c r="JR176" s="29"/>
      <c r="JS176" s="29"/>
      <c r="JT176" s="29"/>
      <c r="JU176" s="29"/>
      <c r="JV176" s="29"/>
      <c r="JW176" s="29"/>
      <c r="JX176" s="29"/>
      <c r="JY176" s="29"/>
      <c r="JZ176" s="29"/>
      <c r="KA176" s="29"/>
      <c r="KB176" s="29"/>
      <c r="KC176" s="29"/>
      <c r="KD176" s="29"/>
      <c r="KE176" s="29"/>
      <c r="KF176" s="29"/>
      <c r="KG176" s="29"/>
      <c r="KH176" s="29"/>
      <c r="KI176" s="29"/>
      <c r="KJ176" s="29"/>
      <c r="KK176" s="29"/>
      <c r="KL176" s="29"/>
      <c r="KM176" s="29"/>
      <c r="KN176" s="29"/>
      <c r="KO176" s="29"/>
      <c r="KP176" s="29"/>
      <c r="KQ176" s="29"/>
      <c r="KR176" s="29"/>
      <c r="KS176" s="29"/>
      <c r="KT176" s="29"/>
      <c r="KU176" s="29"/>
      <c r="KV176" s="29"/>
      <c r="KW176" s="29"/>
      <c r="KX176" s="29"/>
      <c r="KY176" s="29"/>
      <c r="KZ176" s="29"/>
      <c r="LA176" s="29"/>
      <c r="LB176" s="29"/>
      <c r="LC176" s="29"/>
      <c r="LD176" s="29"/>
      <c r="LE176" s="29"/>
      <c r="LF176" s="29"/>
      <c r="LG176" s="29"/>
      <c r="LH176" s="29"/>
      <c r="LI176" s="29"/>
      <c r="LJ176" s="29"/>
      <c r="LK176" s="29"/>
      <c r="LL176" s="29"/>
      <c r="LM176" s="29"/>
      <c r="LN176" s="29"/>
      <c r="LO176" s="29"/>
      <c r="LP176" s="29"/>
      <c r="LQ176" s="29"/>
      <c r="LR176" s="29"/>
      <c r="LS176" s="29"/>
      <c r="LT176" s="29"/>
      <c r="LU176" s="29"/>
      <c r="LV176" s="29"/>
      <c r="LW176" s="29"/>
      <c r="LX176" s="29"/>
      <c r="LY176" s="29"/>
      <c r="LZ176" s="29"/>
      <c r="MA176" s="29"/>
      <c r="MB176" s="29"/>
      <c r="MC176" s="29"/>
      <c r="MD176" s="29"/>
      <c r="ME176" s="29"/>
      <c r="MF176" s="29"/>
      <c r="MG176" s="29"/>
      <c r="MH176" s="29"/>
      <c r="MI176" s="29"/>
      <c r="MJ176" s="29"/>
      <c r="MK176" s="29"/>
      <c r="ML176" s="29"/>
      <c r="MM176" s="29"/>
    </row>
    <row r="177" spans="1:351" s="3" customFormat="1" ht="29.25" customHeight="1" thickBot="1">
      <c r="A177" s="34" t="s">
        <v>244</v>
      </c>
      <c r="B177" s="25" t="s">
        <v>245</v>
      </c>
      <c r="C177" s="26"/>
      <c r="D177" s="135"/>
      <c r="E177" s="136"/>
      <c r="F177" s="28"/>
      <c r="G177" s="28" t="str">
        <f t="shared" ca="1" si="311"/>
        <v/>
      </c>
      <c r="H177" s="31"/>
      <c r="I177" s="31"/>
      <c r="J177" s="31"/>
      <c r="K177" s="31"/>
      <c r="L177" s="31"/>
      <c r="M177" s="31"/>
      <c r="N177" s="31"/>
      <c r="O177" s="31"/>
      <c r="P177" s="31"/>
      <c r="Q177" s="31"/>
      <c r="R177" s="31"/>
      <c r="S177" s="31"/>
      <c r="T177" s="31"/>
      <c r="U177" s="31"/>
      <c r="V177" s="31"/>
      <c r="W177" s="31"/>
      <c r="X177" s="31"/>
      <c r="Y177" s="31"/>
      <c r="Z177" s="31"/>
      <c r="AA177" s="31"/>
      <c r="AB177" s="31"/>
      <c r="AC177" s="31"/>
      <c r="AD177" s="31"/>
      <c r="AE177" s="31"/>
      <c r="AF177" s="31"/>
      <c r="AG177" s="31"/>
      <c r="AH177" s="31"/>
      <c r="AI177" s="31"/>
      <c r="AJ177" s="31"/>
      <c r="AK177" s="31"/>
      <c r="AL177" s="31"/>
      <c r="AM177" s="31"/>
      <c r="AN177" s="31"/>
      <c r="AO177" s="31"/>
      <c r="AP177" s="31"/>
      <c r="AQ177" s="31"/>
      <c r="AR177" s="31"/>
      <c r="AS177" s="31"/>
      <c r="AT177" s="31"/>
      <c r="AU177" s="31"/>
      <c r="AV177" s="31"/>
      <c r="AW177" s="31"/>
      <c r="AX177" s="31"/>
      <c r="AY177" s="31"/>
      <c r="AZ177" s="31"/>
      <c r="BA177" s="31"/>
      <c r="BB177" s="31"/>
      <c r="BC177" s="31"/>
      <c r="BD177" s="31"/>
      <c r="BE177" s="31"/>
      <c r="BF177" s="31"/>
      <c r="BG177" s="31"/>
      <c r="BH177" s="31"/>
      <c r="BI177" s="31"/>
      <c r="BJ177" s="31"/>
      <c r="BK177" s="31"/>
      <c r="BL177" s="31"/>
      <c r="BM177" s="31"/>
      <c r="BN177" s="31"/>
      <c r="BO177" s="31"/>
      <c r="BP177" s="31"/>
      <c r="BQ177" s="31"/>
      <c r="BR177" s="31"/>
      <c r="BS177" s="31"/>
      <c r="BT177" s="31"/>
      <c r="BU177" s="31"/>
      <c r="BV177" s="31"/>
      <c r="BW177" s="31"/>
      <c r="BX177" s="31"/>
      <c r="BY177" s="31"/>
      <c r="BZ177" s="31"/>
      <c r="CA177" s="31"/>
      <c r="CB177" s="31"/>
      <c r="CC177" s="31"/>
      <c r="CD177" s="31"/>
      <c r="CE177" s="31"/>
      <c r="CF177" s="31"/>
      <c r="CG177" s="31"/>
      <c r="CH177" s="31"/>
      <c r="CI177" s="31"/>
      <c r="CJ177" s="31"/>
      <c r="CK177" s="31"/>
      <c r="CL177" s="31"/>
      <c r="CM177" s="31"/>
      <c r="CN177" s="31"/>
      <c r="CO177" s="31"/>
      <c r="CP177" s="31"/>
      <c r="CQ177" s="31"/>
      <c r="CR177" s="31"/>
      <c r="CS177" s="31"/>
      <c r="CT177" s="31"/>
      <c r="CU177" s="31"/>
      <c r="CV177" s="31"/>
      <c r="CW177" s="31"/>
      <c r="CX177" s="31"/>
      <c r="CY177" s="31"/>
      <c r="CZ177" s="31"/>
      <c r="DA177" s="31"/>
      <c r="DB177" s="31"/>
      <c r="DC177" s="31"/>
      <c r="DD177" s="31"/>
      <c r="DE177" s="31"/>
      <c r="DF177" s="31"/>
      <c r="DG177" s="31"/>
      <c r="DH177" s="31"/>
      <c r="DI177" s="31"/>
      <c r="DJ177" s="31"/>
      <c r="DK177" s="31"/>
      <c r="DL177" s="31"/>
      <c r="DM177" s="31"/>
      <c r="DN177" s="31"/>
      <c r="DO177" s="31"/>
      <c r="DP177" s="31"/>
      <c r="DQ177" s="31"/>
      <c r="DR177" s="31"/>
      <c r="DS177" s="31"/>
      <c r="DT177" s="31"/>
      <c r="DU177" s="31"/>
      <c r="DV177" s="31"/>
      <c r="DW177" s="31"/>
      <c r="DX177" s="31"/>
      <c r="DY177" s="31"/>
      <c r="DZ177" s="31"/>
      <c r="EA177" s="31"/>
      <c r="EB177" s="31"/>
      <c r="EC177" s="31"/>
      <c r="ED177" s="31"/>
      <c r="EE177" s="31"/>
      <c r="EF177" s="31"/>
      <c r="EG177" s="31"/>
      <c r="EH177" s="31"/>
      <c r="EI177" s="31"/>
      <c r="EJ177" s="31"/>
      <c r="EK177" s="31"/>
      <c r="EL177" s="31"/>
      <c r="EM177" s="31"/>
      <c r="EN177" s="31"/>
      <c r="EO177" s="31"/>
      <c r="EP177" s="31"/>
      <c r="EQ177" s="31"/>
      <c r="ER177" s="31"/>
      <c r="ES177" s="31"/>
      <c r="ET177" s="31"/>
      <c r="EU177" s="31"/>
      <c r="EV177" s="31"/>
      <c r="EW177" s="31"/>
      <c r="EX177" s="31"/>
      <c r="EY177" s="31"/>
      <c r="EZ177" s="31"/>
      <c r="FA177" s="31"/>
      <c r="FB177" s="31"/>
      <c r="FC177" s="31"/>
      <c r="FD177" s="31"/>
      <c r="FE177" s="31"/>
      <c r="FF177" s="31"/>
      <c r="FG177" s="31"/>
      <c r="FH177" s="31"/>
      <c r="FI177" s="31"/>
      <c r="FJ177" s="31"/>
      <c r="FK177" s="31"/>
      <c r="FL177" s="31"/>
      <c r="FM177" s="31"/>
      <c r="FN177" s="31"/>
      <c r="FO177" s="31"/>
      <c r="FP177" s="31"/>
      <c r="FQ177" s="31"/>
      <c r="FR177" s="31"/>
      <c r="FS177" s="31"/>
      <c r="FT177" s="31"/>
      <c r="FU177" s="31"/>
      <c r="FV177" s="31"/>
      <c r="FW177" s="31"/>
      <c r="FX177" s="31"/>
      <c r="FY177" s="31"/>
      <c r="FZ177" s="31"/>
      <c r="GA177" s="31"/>
      <c r="GB177" s="31"/>
      <c r="GC177" s="31"/>
      <c r="GD177" s="31"/>
      <c r="GE177" s="31"/>
      <c r="GF177" s="31"/>
      <c r="GG177" s="31"/>
      <c r="GH177" s="31"/>
      <c r="GI177" s="31"/>
      <c r="GJ177" s="31"/>
      <c r="GK177" s="31"/>
      <c r="GL177" s="31"/>
      <c r="GM177" s="31"/>
      <c r="GN177" s="31"/>
      <c r="GO177" s="31"/>
      <c r="GP177" s="31"/>
      <c r="GQ177" s="31"/>
      <c r="GR177" s="31"/>
      <c r="GS177" s="31"/>
      <c r="GT177" s="31"/>
      <c r="GU177" s="31"/>
      <c r="GV177" s="31"/>
      <c r="GW177" s="31"/>
      <c r="GX177" s="31"/>
      <c r="GY177" s="31"/>
      <c r="GZ177" s="31"/>
      <c r="HA177" s="31"/>
      <c r="HB177" s="31"/>
      <c r="HC177" s="31"/>
      <c r="HD177" s="31"/>
      <c r="HE177" s="31"/>
      <c r="HF177" s="31"/>
      <c r="HG177" s="31"/>
      <c r="HH177" s="31"/>
      <c r="HI177" s="31"/>
      <c r="HJ177" s="31"/>
      <c r="HK177" s="31"/>
      <c r="HL177" s="31"/>
      <c r="HM177" s="31"/>
      <c r="HN177" s="31"/>
      <c r="HO177" s="31"/>
      <c r="HP177" s="31"/>
      <c r="HQ177" s="31"/>
      <c r="HR177" s="31"/>
      <c r="HS177" s="31"/>
      <c r="HT177" s="31"/>
      <c r="HU177" s="31"/>
      <c r="HV177" s="31"/>
      <c r="HW177" s="31"/>
      <c r="HX177" s="31"/>
      <c r="HY177" s="31"/>
      <c r="HZ177" s="31"/>
      <c r="IA177" s="31"/>
      <c r="IB177" s="31"/>
      <c r="IC177" s="31"/>
      <c r="ID177" s="31"/>
      <c r="IE177" s="31"/>
      <c r="IF177" s="31"/>
      <c r="IG177" s="31"/>
      <c r="IH177" s="31"/>
      <c r="II177" s="31"/>
      <c r="IJ177" s="31"/>
      <c r="IK177" s="31"/>
      <c r="IL177" s="31"/>
      <c r="IM177" s="31"/>
      <c r="IN177" s="31"/>
      <c r="IO177" s="31"/>
      <c r="IP177" s="31"/>
      <c r="IQ177" s="31"/>
      <c r="IR177" s="31"/>
      <c r="IS177" s="31"/>
      <c r="IT177" s="31"/>
      <c r="IU177" s="31"/>
      <c r="IV177" s="31"/>
      <c r="IW177" s="31"/>
      <c r="IX177" s="31"/>
      <c r="IY177" s="31"/>
      <c r="IZ177" s="31"/>
      <c r="JA177" s="31"/>
      <c r="JB177" s="31"/>
      <c r="JC177" s="31"/>
      <c r="JD177" s="31"/>
      <c r="JE177" s="31"/>
      <c r="JF177" s="31"/>
      <c r="JG177" s="31"/>
      <c r="JH177" s="31"/>
      <c r="JI177" s="31"/>
      <c r="JJ177" s="31"/>
      <c r="JK177" s="31"/>
      <c r="JL177" s="31"/>
      <c r="JM177" s="31"/>
      <c r="JN177" s="31"/>
      <c r="JO177" s="31"/>
      <c r="JP177" s="31"/>
      <c r="JQ177" s="31"/>
      <c r="JR177" s="31"/>
      <c r="JS177" s="31"/>
      <c r="JT177" s="31"/>
      <c r="JU177" s="31"/>
      <c r="JV177" s="31"/>
      <c r="JW177" s="31"/>
      <c r="JX177" s="31"/>
      <c r="JY177" s="31"/>
      <c r="JZ177" s="31"/>
      <c r="KA177" s="31"/>
      <c r="KB177" s="31"/>
      <c r="KC177" s="31"/>
      <c r="KD177" s="31"/>
      <c r="KE177" s="31"/>
      <c r="KF177" s="31"/>
      <c r="KG177" s="31"/>
      <c r="KH177" s="31"/>
      <c r="KI177" s="31"/>
      <c r="KJ177" s="31"/>
      <c r="KK177" s="31"/>
      <c r="KL177" s="31"/>
      <c r="KM177" s="31"/>
      <c r="KN177" s="31"/>
      <c r="KO177" s="31"/>
      <c r="KP177" s="31"/>
      <c r="KQ177" s="31"/>
      <c r="KR177" s="31"/>
      <c r="KS177" s="31"/>
      <c r="KT177" s="31"/>
      <c r="KU177" s="31"/>
      <c r="KV177" s="31"/>
      <c r="KW177" s="31"/>
      <c r="KX177" s="31"/>
      <c r="KY177" s="31"/>
      <c r="KZ177" s="31"/>
      <c r="LA177" s="31"/>
      <c r="LB177" s="31"/>
      <c r="LC177" s="31"/>
      <c r="LD177" s="31"/>
      <c r="LE177" s="31"/>
      <c r="LF177" s="31"/>
      <c r="LG177" s="31"/>
      <c r="LH177" s="31"/>
      <c r="LI177" s="31"/>
      <c r="LJ177" s="31"/>
      <c r="LK177" s="31"/>
      <c r="LL177" s="31"/>
      <c r="LM177" s="31"/>
      <c r="LN177" s="31"/>
      <c r="LO177" s="31"/>
      <c r="LP177" s="31"/>
      <c r="LQ177" s="31"/>
      <c r="LR177" s="31"/>
      <c r="LS177" s="31"/>
      <c r="LT177" s="31"/>
      <c r="LU177" s="31"/>
      <c r="LV177" s="31"/>
      <c r="LW177" s="31"/>
      <c r="LX177" s="31"/>
      <c r="LY177" s="31"/>
      <c r="LZ177" s="31"/>
      <c r="MA177" s="31"/>
      <c r="MB177" s="31"/>
      <c r="MC177" s="31"/>
      <c r="MD177" s="31"/>
      <c r="ME177" s="31"/>
      <c r="MF177" s="31"/>
      <c r="MG177" s="31"/>
      <c r="MH177" s="31"/>
      <c r="MI177" s="31"/>
      <c r="MJ177" s="31"/>
      <c r="MK177" s="31"/>
      <c r="ML177" s="31"/>
      <c r="MM177" s="31"/>
    </row>
  </sheetData>
  <mergeCells count="65">
    <mergeCell ref="LZ4:MF4"/>
    <mergeCell ref="MG4:MM4"/>
    <mergeCell ref="KQ4:KW4"/>
    <mergeCell ref="KX4:LD4"/>
    <mergeCell ref="LE4:LK4"/>
    <mergeCell ref="LL4:LR4"/>
    <mergeCell ref="LS4:LY4"/>
    <mergeCell ref="JH4:JN4"/>
    <mergeCell ref="JO4:JU4"/>
    <mergeCell ref="JV4:KB4"/>
    <mergeCell ref="KC4:KI4"/>
    <mergeCell ref="KJ4:KP4"/>
    <mergeCell ref="HY4:IE4"/>
    <mergeCell ref="IF4:IL4"/>
    <mergeCell ref="IM4:IS4"/>
    <mergeCell ref="IT4:IZ4"/>
    <mergeCell ref="JA4:JG4"/>
    <mergeCell ref="GP4:GV4"/>
    <mergeCell ref="GW4:HC4"/>
    <mergeCell ref="HD4:HJ4"/>
    <mergeCell ref="HK4:HQ4"/>
    <mergeCell ref="HR4:HX4"/>
    <mergeCell ref="GI4:GO4"/>
    <mergeCell ref="EE4:EK4"/>
    <mergeCell ref="EL4:ER4"/>
    <mergeCell ref="ES4:EY4"/>
    <mergeCell ref="EZ4:FF4"/>
    <mergeCell ref="FG4:FM4"/>
    <mergeCell ref="GB4:GH4"/>
    <mergeCell ref="FU4:GA4"/>
    <mergeCell ref="B9:E9"/>
    <mergeCell ref="CX1:CY3"/>
    <mergeCell ref="EK1:EK3"/>
    <mergeCell ref="FN4:FT4"/>
    <mergeCell ref="BT4:BZ4"/>
    <mergeCell ref="CA4:CG4"/>
    <mergeCell ref="CH4:CN4"/>
    <mergeCell ref="CO4:CU4"/>
    <mergeCell ref="CV4:DB4"/>
    <mergeCell ref="DC4:DI4"/>
    <mergeCell ref="DJ4:DP4"/>
    <mergeCell ref="DQ4:DW4"/>
    <mergeCell ref="DX4:ED4"/>
    <mergeCell ref="B8:E8"/>
    <mergeCell ref="BT1:BV3"/>
    <mergeCell ref="CQ1:CR3"/>
    <mergeCell ref="AK4:AQ4"/>
    <mergeCell ref="AR4:AX4"/>
    <mergeCell ref="AY4:BE4"/>
    <mergeCell ref="BF4:BL4"/>
    <mergeCell ref="BM4:BS4"/>
    <mergeCell ref="E3:F3"/>
    <mergeCell ref="H4:O4"/>
    <mergeCell ref="P4:V4"/>
    <mergeCell ref="W4:AC4"/>
    <mergeCell ref="AD4:AJ4"/>
    <mergeCell ref="B150:E150"/>
    <mergeCell ref="B59:E59"/>
    <mergeCell ref="B77:E77"/>
    <mergeCell ref="B79:E79"/>
    <mergeCell ref="B82:E82"/>
    <mergeCell ref="B149:E149"/>
    <mergeCell ref="B88:E88"/>
    <mergeCell ref="B89:E89"/>
    <mergeCell ref="B144:E144"/>
  </mergeCells>
  <conditionalFormatting sqref="H5:I90 H121:I177">
    <cfRule type="expression" dxfId="67" priority="210">
      <formula>AND(TODAY()&gt;=H$5,TODAY()&lt;J$5)</formula>
    </cfRule>
  </conditionalFormatting>
  <conditionalFormatting sqref="H7:I90 H121:I177">
    <cfRule type="expression" dxfId="66" priority="218" stopIfTrue="1">
      <formula>AND(Término_da_tarefa&gt;=H$5,Início_da_tarefa&lt;J$5)</formula>
    </cfRule>
  </conditionalFormatting>
  <conditionalFormatting sqref="H48:MM90 LE68:LF224 H7:BL13 BM9:FZ13 GA9:MM47 H14:FZ47 J91:MM120 H121:MM177">
    <cfRule type="expression" dxfId="65" priority="201">
      <formula>AND(Início_da_tarefa&lt;=H$5,ROUNDDOWN((Término_da_tarefa-Início_da_tarefa+1)*Progresso_da_tarefa,0)+Início_da_tarefa-1&gt;=H$5)</formula>
    </cfRule>
  </conditionalFormatting>
  <conditionalFormatting sqref="J5:BL13 BM9:FZ13 GA9:MM47 J14:FZ47 J48:MM177 LE69:LF224 BM5:GN6">
    <cfRule type="expression" dxfId="64" priority="207">
      <formula>AND(TODAY()&gt;=J$5,TODAY()&lt;K$5)</formula>
    </cfRule>
  </conditionalFormatting>
  <conditionalFormatting sqref="J7:BL13 BM9:FZ13 GA9:MM47 J14:FZ47 J48:MM177 LE69:LF224">
    <cfRule type="expression" dxfId="63" priority="202" stopIfTrue="1">
      <formula>AND(Término_da_tarefa&gt;=J$5,Início_da_tarefa&lt;K$5)</formula>
    </cfRule>
  </conditionalFormatting>
  <conditionalFormatting sqref="BM8:MM8">
    <cfRule type="expression" dxfId="62" priority="7">
      <formula>AND(Início_da_tarefa&lt;=BM$5,ROUNDDOWN((Término_da_tarefa-Início_da_tarefa+1)*Progresso_da_tarefa,0)+Início_da_tarefa-1&gt;=BM$5)</formula>
    </cfRule>
    <cfRule type="expression" dxfId="61" priority="8" stopIfTrue="1">
      <formula>AND(Término_da_tarefa&gt;=BM$5,Início_da_tarefa&lt;BN$5)</formula>
    </cfRule>
    <cfRule type="expression" dxfId="60" priority="9">
      <formula>AND(TODAY()&gt;=BM$5,TODAY()&lt;BN$5)</formula>
    </cfRule>
  </conditionalFormatting>
  <conditionalFormatting sqref="GO5">
    <cfRule type="expression" dxfId="59" priority="209">
      <formula>AND(TODAY()&gt;=GO$5,TODAY()&lt;#REF!)</formula>
    </cfRule>
  </conditionalFormatting>
  <conditionalFormatting sqref="GO6">
    <cfRule type="expression" dxfId="58" priority="42">
      <formula>AND(TODAY()&gt;=GO$5,TODAY()&lt;GP$5)</formula>
    </cfRule>
  </conditionalFormatting>
  <conditionalFormatting sqref="GP5:GU6">
    <cfRule type="expression" dxfId="57" priority="171">
      <formula>AND(TODAY()&gt;=GP$5,TODAY()&lt;GQ$5)</formula>
    </cfRule>
  </conditionalFormatting>
  <conditionalFormatting sqref="GV5">
    <cfRule type="expression" dxfId="56" priority="172">
      <formula>AND(TODAY()&gt;=GV$5,TODAY()&lt;#REF!)</formula>
    </cfRule>
  </conditionalFormatting>
  <conditionalFormatting sqref="GV6">
    <cfRule type="expression" dxfId="55" priority="39">
      <formula>AND(TODAY()&gt;=GV$5,TODAY()&lt;GW$5)</formula>
    </cfRule>
  </conditionalFormatting>
  <conditionalFormatting sqref="GW5:HB6">
    <cfRule type="expression" dxfId="54" priority="165">
      <formula>AND(TODAY()&gt;=GW$5,TODAY()&lt;GX$5)</formula>
    </cfRule>
  </conditionalFormatting>
  <conditionalFormatting sqref="HC5">
    <cfRule type="expression" dxfId="53" priority="166">
      <formula>AND(TODAY()&gt;=HC$5,TODAY()&lt;#REF!)</formula>
    </cfRule>
  </conditionalFormatting>
  <conditionalFormatting sqref="HC6">
    <cfRule type="expression" dxfId="52" priority="36">
      <formula>AND(TODAY()&gt;=HC$5,TODAY()&lt;HD$5)</formula>
    </cfRule>
  </conditionalFormatting>
  <conditionalFormatting sqref="HD5:HI6">
    <cfRule type="expression" dxfId="51" priority="159">
      <formula>AND(TODAY()&gt;=HD$5,TODAY()&lt;HE$5)</formula>
    </cfRule>
  </conditionalFormatting>
  <conditionalFormatting sqref="HJ5">
    <cfRule type="expression" dxfId="50" priority="160">
      <formula>AND(TODAY()&gt;=HJ$5,TODAY()&lt;#REF!)</formula>
    </cfRule>
  </conditionalFormatting>
  <conditionalFormatting sqref="HJ6">
    <cfRule type="expression" dxfId="49" priority="33">
      <formula>AND(TODAY()&gt;=HJ$5,TODAY()&lt;HK$5)</formula>
    </cfRule>
  </conditionalFormatting>
  <conditionalFormatting sqref="HK5:HP6">
    <cfRule type="expression" dxfId="48" priority="153">
      <formula>AND(TODAY()&gt;=HK$5,TODAY()&lt;HL$5)</formula>
    </cfRule>
  </conditionalFormatting>
  <conditionalFormatting sqref="HQ5">
    <cfRule type="expression" dxfId="47" priority="154">
      <formula>AND(TODAY()&gt;=HQ$5,TODAY()&lt;#REF!)</formula>
    </cfRule>
  </conditionalFormatting>
  <conditionalFormatting sqref="HQ6">
    <cfRule type="expression" dxfId="46" priority="30">
      <formula>AND(TODAY()&gt;=HQ$5,TODAY()&lt;HR$5)</formula>
    </cfRule>
  </conditionalFormatting>
  <conditionalFormatting sqref="HR5:HW6">
    <cfRule type="expression" dxfId="45" priority="147">
      <formula>AND(TODAY()&gt;=HR$5,TODAY()&lt;HS$5)</formula>
    </cfRule>
  </conditionalFormatting>
  <conditionalFormatting sqref="HX5">
    <cfRule type="expression" dxfId="44" priority="148">
      <formula>AND(TODAY()&gt;=HX$5,TODAY()&lt;#REF!)</formula>
    </cfRule>
  </conditionalFormatting>
  <conditionalFormatting sqref="HX6">
    <cfRule type="expression" dxfId="43" priority="27">
      <formula>AND(TODAY()&gt;=HX$5,TODAY()&lt;HY$5)</formula>
    </cfRule>
  </conditionalFormatting>
  <conditionalFormatting sqref="HY5:ID6">
    <cfRule type="expression" dxfId="42" priority="141">
      <formula>AND(TODAY()&gt;=HY$5,TODAY()&lt;HZ$5)</formula>
    </cfRule>
  </conditionalFormatting>
  <conditionalFormatting sqref="IE5">
    <cfRule type="expression" dxfId="41" priority="142">
      <formula>AND(TODAY()&gt;=IE$5,TODAY()&lt;#REF!)</formula>
    </cfRule>
  </conditionalFormatting>
  <conditionalFormatting sqref="IE6">
    <cfRule type="expression" dxfId="40" priority="24">
      <formula>AND(TODAY()&gt;=IE$5,TODAY()&lt;IF$5)</formula>
    </cfRule>
  </conditionalFormatting>
  <conditionalFormatting sqref="IF5:IK6">
    <cfRule type="expression" dxfId="39" priority="135">
      <formula>AND(TODAY()&gt;=IF$5,TODAY()&lt;IG$5)</formula>
    </cfRule>
  </conditionalFormatting>
  <conditionalFormatting sqref="IL5">
    <cfRule type="expression" dxfId="38" priority="136">
      <formula>AND(TODAY()&gt;=IL$5,TODAY()&lt;#REF!)</formula>
    </cfRule>
  </conditionalFormatting>
  <conditionalFormatting sqref="IL6">
    <cfRule type="expression" dxfId="37" priority="21">
      <formula>AND(TODAY()&gt;=IL$5,TODAY()&lt;IM$5)</formula>
    </cfRule>
  </conditionalFormatting>
  <conditionalFormatting sqref="IM5:IS6">
    <cfRule type="expression" dxfId="36" priority="12">
      <formula>AND(TODAY()&gt;=IM$5,TODAY()&lt;IN$5)</formula>
    </cfRule>
  </conditionalFormatting>
  <conditionalFormatting sqref="IT5:IY5">
    <cfRule type="expression" dxfId="35" priority="123">
      <formula>AND(TODAY()&gt;=IT$5,TODAY()&lt;IU$5)</formula>
    </cfRule>
  </conditionalFormatting>
  <conditionalFormatting sqref="IT6:MM6">
    <cfRule type="expression" dxfId="34" priority="15">
      <formula>AND(TODAY()&gt;=IT$5,TODAY()&lt;IU$5)</formula>
    </cfRule>
  </conditionalFormatting>
  <conditionalFormatting sqref="IZ5">
    <cfRule type="expression" dxfId="33" priority="124">
      <formula>AND(TODAY()&gt;=IZ$5,TODAY()&lt;#REF!)</formula>
    </cfRule>
  </conditionalFormatting>
  <conditionalFormatting sqref="JA5:JF5">
    <cfRule type="expression" dxfId="32" priority="117">
      <formula>AND(TODAY()&gt;=JA$5,TODAY()&lt;JB$5)</formula>
    </cfRule>
  </conditionalFormatting>
  <conditionalFormatting sqref="JG5">
    <cfRule type="expression" dxfId="31" priority="118">
      <formula>AND(TODAY()&gt;=JG$5,TODAY()&lt;#REF!)</formula>
    </cfRule>
  </conditionalFormatting>
  <conditionalFormatting sqref="JH5:JM5">
    <cfRule type="expression" dxfId="30" priority="111">
      <formula>AND(TODAY()&gt;=JH$5,TODAY()&lt;JI$5)</formula>
    </cfRule>
  </conditionalFormatting>
  <conditionalFormatting sqref="JN5">
    <cfRule type="expression" dxfId="29" priority="112">
      <formula>AND(TODAY()&gt;=JN$5,TODAY()&lt;#REF!)</formula>
    </cfRule>
  </conditionalFormatting>
  <conditionalFormatting sqref="JO5:JT5">
    <cfRule type="expression" dxfId="28" priority="105">
      <formula>AND(TODAY()&gt;=JO$5,TODAY()&lt;JP$5)</formula>
    </cfRule>
  </conditionalFormatting>
  <conditionalFormatting sqref="JU5">
    <cfRule type="expression" dxfId="27" priority="106">
      <formula>AND(TODAY()&gt;=JU$5,TODAY()&lt;#REF!)</formula>
    </cfRule>
  </conditionalFormatting>
  <conditionalFormatting sqref="JV5:KA5">
    <cfRule type="expression" dxfId="26" priority="99">
      <formula>AND(TODAY()&gt;=JV$5,TODAY()&lt;JW$5)</formula>
    </cfRule>
  </conditionalFormatting>
  <conditionalFormatting sqref="KB5">
    <cfRule type="expression" dxfId="25" priority="100">
      <formula>AND(TODAY()&gt;=KB$5,TODAY()&lt;#REF!)</formula>
    </cfRule>
  </conditionalFormatting>
  <conditionalFormatting sqref="KC5:KH5">
    <cfRule type="expression" dxfId="24" priority="93">
      <formula>AND(TODAY()&gt;=KC$5,TODAY()&lt;KD$5)</formula>
    </cfRule>
  </conditionalFormatting>
  <conditionalFormatting sqref="KI5">
    <cfRule type="expression" dxfId="23" priority="94">
      <formula>AND(TODAY()&gt;=KI$5,TODAY()&lt;#REF!)</formula>
    </cfRule>
  </conditionalFormatting>
  <conditionalFormatting sqref="KJ5:KO5">
    <cfRule type="expression" dxfId="22" priority="87">
      <formula>AND(TODAY()&gt;=KJ$5,TODAY()&lt;KK$5)</formula>
    </cfRule>
  </conditionalFormatting>
  <conditionalFormatting sqref="KP5">
    <cfRule type="expression" dxfId="21" priority="88">
      <formula>AND(TODAY()&gt;=KP$5,TODAY()&lt;#REF!)</formula>
    </cfRule>
  </conditionalFormatting>
  <conditionalFormatting sqref="KQ5:KV5">
    <cfRule type="expression" dxfId="20" priority="81">
      <formula>AND(TODAY()&gt;=KQ$5,TODAY()&lt;KR$5)</formula>
    </cfRule>
  </conditionalFormatting>
  <conditionalFormatting sqref="KW5">
    <cfRule type="expression" dxfId="19" priority="82">
      <formula>AND(TODAY()&gt;=KW$5,TODAY()&lt;#REF!)</formula>
    </cfRule>
  </conditionalFormatting>
  <conditionalFormatting sqref="KX5:LC5">
    <cfRule type="expression" dxfId="18" priority="75">
      <formula>AND(TODAY()&gt;=KX$5,TODAY()&lt;KY$5)</formula>
    </cfRule>
  </conditionalFormatting>
  <conditionalFormatting sqref="LD5">
    <cfRule type="expression" dxfId="17" priority="76">
      <formula>AND(TODAY()&gt;=LD$5,TODAY()&lt;#REF!)</formula>
    </cfRule>
  </conditionalFormatting>
  <conditionalFormatting sqref="LE65:LE66">
    <cfRule type="expression" dxfId="16" priority="6">
      <formula>AND(TODAY()&gt;=LE$5,TODAY()&lt;#REF!)</formula>
    </cfRule>
  </conditionalFormatting>
  <conditionalFormatting sqref="LE68:LF68">
    <cfRule type="expression" dxfId="15" priority="2" stopIfTrue="1">
      <formula>AND(Término_da_tarefa&gt;=LE$5,Início_da_tarefa&lt;LF$5)</formula>
    </cfRule>
    <cfRule type="expression" dxfId="14" priority="3">
      <formula>AND(TODAY()&gt;=LE$5,TODAY()&lt;LF$5)</formula>
    </cfRule>
  </conditionalFormatting>
  <conditionalFormatting sqref="LE5:LJ5">
    <cfRule type="expression" dxfId="13" priority="69">
      <formula>AND(TODAY()&gt;=LE$5,TODAY()&lt;LF$5)</formula>
    </cfRule>
  </conditionalFormatting>
  <conditionalFormatting sqref="LF65:LF66">
    <cfRule type="expression" dxfId="12" priority="5">
      <formula>AND(TODAY()&gt;=LF$5,TODAY()&lt;LG$5)</formula>
    </cfRule>
  </conditionalFormatting>
  <conditionalFormatting sqref="LK5">
    <cfRule type="expression" dxfId="11" priority="70">
      <formula>AND(TODAY()&gt;=LK$5,TODAY()&lt;#REF!)</formula>
    </cfRule>
  </conditionalFormatting>
  <conditionalFormatting sqref="LL5:LQ5">
    <cfRule type="expression" dxfId="10" priority="63">
      <formula>AND(TODAY()&gt;=LL$5,TODAY()&lt;LM$5)</formula>
    </cfRule>
  </conditionalFormatting>
  <conditionalFormatting sqref="LR5">
    <cfRule type="expression" dxfId="9" priority="64">
      <formula>AND(TODAY()&gt;=LR$5,TODAY()&lt;#REF!)</formula>
    </cfRule>
  </conditionalFormatting>
  <conditionalFormatting sqref="LS5:LX5">
    <cfRule type="expression" dxfId="8" priority="57">
      <formula>AND(TODAY()&gt;=LS$5,TODAY()&lt;LT$5)</formula>
    </cfRule>
  </conditionalFormatting>
  <conditionalFormatting sqref="LY5">
    <cfRule type="expression" dxfId="7" priority="58">
      <formula>AND(TODAY()&gt;=LY$5,TODAY()&lt;#REF!)</formula>
    </cfRule>
  </conditionalFormatting>
  <conditionalFormatting sqref="LZ5:ME5">
    <cfRule type="expression" dxfId="6" priority="51">
      <formula>AND(TODAY()&gt;=LZ$5,TODAY()&lt;MA$5)</formula>
    </cfRule>
  </conditionalFormatting>
  <conditionalFormatting sqref="MF5">
    <cfRule type="expression" dxfId="5" priority="52">
      <formula>AND(TODAY()&gt;=MF$5,TODAY()&lt;#REF!)</formula>
    </cfRule>
  </conditionalFormatting>
  <conditionalFormatting sqref="MG5:ML5">
    <cfRule type="expression" dxfId="4" priority="45">
      <formula>AND(TODAY()&gt;=MG$5,TODAY()&lt;MH$5)</formula>
    </cfRule>
  </conditionalFormatting>
  <conditionalFormatting sqref="MM5">
    <cfRule type="expression" dxfId="3" priority="46">
      <formula>AND(TODAY()&gt;=MM$5,TODAY()&lt;#REF!)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14"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Equipe!$H$2:$H$118</xm:f>
          </x14:formula1>
          <xm:sqref>C78 C159 C122:C140 C154:C155 C151:C152 C90:C120 C10:C58 C60:C76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FB01D-C573-4072-81DB-0FBDF683F843}">
  <dimension ref="D5:D9"/>
  <sheetViews>
    <sheetView workbookViewId="0"/>
  </sheetViews>
  <sheetFormatPr defaultRowHeight="14.45"/>
  <sheetData>
    <row r="5" spans="4:4">
      <c r="D5" s="170"/>
    </row>
    <row r="6" spans="4:4">
      <c r="D6" s="170"/>
    </row>
    <row r="7" spans="4:4">
      <c r="D7" s="170"/>
    </row>
    <row r="8" spans="4:4">
      <c r="D8" s="170"/>
    </row>
    <row r="9" spans="4:4">
      <c r="D9" s="170"/>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7109375" style="33" customWidth="1"/>
    <col min="2" max="2" width="19.7109375" customWidth="1"/>
    <col min="3" max="3" width="15" bestFit="1" customWidth="1"/>
    <col min="4" max="4" width="16.28515625" customWidth="1"/>
    <col min="5" max="5" width="10.42578125" style="5" customWidth="1"/>
    <col min="6" max="6" width="10.42578125" customWidth="1"/>
    <col min="7" max="7" width="2.42578125" customWidth="1"/>
    <col min="8" max="8" width="6.28515625" hidden="1" customWidth="1"/>
    <col min="9" max="71" width="2" customWidth="1"/>
    <col min="72" max="72" width="2.28515625" customWidth="1"/>
    <col min="73" max="82" width="2" customWidth="1"/>
    <col min="83" max="83" width="1.7109375" customWidth="1"/>
    <col min="84" max="93" width="2" customWidth="1"/>
    <col min="94" max="94" width="2.28515625" customWidth="1"/>
    <col min="95" max="96" width="2.28515625" style="75" customWidth="1"/>
    <col min="97" max="97" width="2.28515625" customWidth="1"/>
    <col min="98" max="101" width="2" customWidth="1"/>
    <col min="102" max="103" width="2" style="75" customWidth="1"/>
    <col min="104" max="130" width="2" customWidth="1"/>
    <col min="131" max="131" width="2" style="71" customWidth="1"/>
    <col min="132" max="155" width="2" customWidth="1"/>
    <col min="156" max="197" width="2.28515625" customWidth="1"/>
    <col min="198" max="239" width="2.42578125" customWidth="1"/>
  </cols>
  <sheetData>
    <row r="1" spans="1:239" ht="30" customHeight="1">
      <c r="A1" s="34" t="s">
        <v>164</v>
      </c>
      <c r="B1" s="37" t="s">
        <v>246</v>
      </c>
      <c r="C1" s="1"/>
      <c r="D1" s="2"/>
      <c r="E1" s="4"/>
      <c r="F1" s="32"/>
      <c r="H1" s="2"/>
      <c r="I1" s="51" t="s">
        <v>247</v>
      </c>
    </row>
    <row r="2" spans="1:239" ht="30" customHeight="1">
      <c r="A2" s="33" t="s">
        <v>167</v>
      </c>
      <c r="B2" s="38" t="s">
        <v>248</v>
      </c>
      <c r="I2" s="171"/>
    </row>
    <row r="3" spans="1:239" ht="33" customHeight="1">
      <c r="A3" s="33" t="s">
        <v>168</v>
      </c>
      <c r="B3" s="70" t="s">
        <v>169</v>
      </c>
      <c r="C3" s="69">
        <f>Início_do_projeto+120</f>
        <v>46051</v>
      </c>
      <c r="D3" s="68" t="s">
        <v>170</v>
      </c>
      <c r="E3" s="193">
        <v>45931</v>
      </c>
      <c r="F3" s="193"/>
      <c r="G3" s="64"/>
    </row>
    <row r="4" spans="1:239" ht="30" customHeight="1">
      <c r="A4" s="34" t="s">
        <v>171</v>
      </c>
      <c r="C4" s="194" t="s">
        <v>172</v>
      </c>
      <c r="D4" s="195"/>
      <c r="E4" s="7">
        <v>1</v>
      </c>
      <c r="I4" s="189">
        <f>I5</f>
        <v>45929</v>
      </c>
      <c r="J4" s="190"/>
      <c r="K4" s="190"/>
      <c r="L4" s="190"/>
      <c r="M4" s="190"/>
      <c r="N4" s="190"/>
      <c r="O4" s="191"/>
      <c r="P4" s="189">
        <f>P5</f>
        <v>45936</v>
      </c>
      <c r="Q4" s="190"/>
      <c r="R4" s="190"/>
      <c r="S4" s="190"/>
      <c r="T4" s="190"/>
      <c r="U4" s="190"/>
      <c r="V4" s="191"/>
      <c r="W4" s="189">
        <f>W5</f>
        <v>45943</v>
      </c>
      <c r="X4" s="190"/>
      <c r="Y4" s="190"/>
      <c r="Z4" s="190"/>
      <c r="AA4" s="190"/>
      <c r="AB4" s="190"/>
      <c r="AC4" s="191"/>
      <c r="AD4" s="189">
        <f>AD5</f>
        <v>45950</v>
      </c>
      <c r="AE4" s="190"/>
      <c r="AF4" s="190"/>
      <c r="AG4" s="190"/>
      <c r="AH4" s="190"/>
      <c r="AI4" s="190"/>
      <c r="AJ4" s="191"/>
      <c r="AK4" s="189">
        <f>AK5</f>
        <v>45957</v>
      </c>
      <c r="AL4" s="190"/>
      <c r="AM4" s="190"/>
      <c r="AN4" s="190"/>
      <c r="AO4" s="190"/>
      <c r="AP4" s="190"/>
      <c r="AQ4" s="191"/>
      <c r="AR4" s="189">
        <f>AR5</f>
        <v>45964</v>
      </c>
      <c r="AS4" s="190"/>
      <c r="AT4" s="190"/>
      <c r="AU4" s="190"/>
      <c r="AV4" s="190"/>
      <c r="AW4" s="190"/>
      <c r="AX4" s="191"/>
      <c r="AY4" s="189">
        <f>AY5</f>
        <v>45971</v>
      </c>
      <c r="AZ4" s="190"/>
      <c r="BA4" s="190"/>
      <c r="BB4" s="190"/>
      <c r="BC4" s="190"/>
      <c r="BD4" s="190"/>
      <c r="BE4" s="191"/>
      <c r="BF4" s="189">
        <f>BF5</f>
        <v>45978</v>
      </c>
      <c r="BG4" s="190"/>
      <c r="BH4" s="190"/>
      <c r="BI4" s="190"/>
      <c r="BJ4" s="190"/>
      <c r="BK4" s="190"/>
      <c r="BL4" s="191"/>
      <c r="BM4" s="189">
        <f>BM5</f>
        <v>45985</v>
      </c>
      <c r="BN4" s="190"/>
      <c r="BO4" s="190"/>
      <c r="BP4" s="190"/>
      <c r="BQ4" s="190"/>
      <c r="BR4" s="190"/>
      <c r="BS4" s="191"/>
      <c r="BT4" s="189">
        <f>BT5</f>
        <v>45992</v>
      </c>
      <c r="BU4" s="190"/>
      <c r="BV4" s="190"/>
      <c r="BW4" s="190"/>
      <c r="BX4" s="190"/>
      <c r="BY4" s="190"/>
      <c r="BZ4" s="191"/>
      <c r="CA4" s="189">
        <f>CA5</f>
        <v>45999</v>
      </c>
      <c r="CB4" s="190"/>
      <c r="CC4" s="190"/>
      <c r="CD4" s="190"/>
      <c r="CE4" s="190"/>
      <c r="CF4" s="190"/>
      <c r="CG4" s="191"/>
      <c r="CH4" s="189">
        <f>CH5</f>
        <v>46006</v>
      </c>
      <c r="CI4" s="190"/>
      <c r="CJ4" s="190"/>
      <c r="CK4" s="190"/>
      <c r="CL4" s="190"/>
      <c r="CM4" s="190"/>
      <c r="CN4" s="191"/>
      <c r="CO4" s="189">
        <f>CO5</f>
        <v>46013</v>
      </c>
      <c r="CP4" s="190"/>
      <c r="CQ4" s="190"/>
      <c r="CR4" s="190"/>
      <c r="CS4" s="190"/>
      <c r="CT4" s="190"/>
      <c r="CU4" s="191"/>
      <c r="CV4" s="189">
        <f>CV5</f>
        <v>46020</v>
      </c>
      <c r="CW4" s="190"/>
      <c r="CX4" s="190"/>
      <c r="CY4" s="190"/>
      <c r="CZ4" s="190"/>
      <c r="DA4" s="190"/>
      <c r="DB4" s="191"/>
      <c r="DC4" s="189">
        <f>DC5</f>
        <v>46027</v>
      </c>
      <c r="DD4" s="190"/>
      <c r="DE4" s="190"/>
      <c r="DF4" s="190"/>
      <c r="DG4" s="190"/>
      <c r="DH4" s="190"/>
      <c r="DI4" s="191"/>
      <c r="DJ4" s="189">
        <f>DJ5</f>
        <v>46034</v>
      </c>
      <c r="DK4" s="190"/>
      <c r="DL4" s="190"/>
      <c r="DM4" s="190"/>
      <c r="DN4" s="190"/>
      <c r="DO4" s="190"/>
      <c r="DP4" s="191"/>
      <c r="DQ4" s="189">
        <f>DQ5</f>
        <v>46041</v>
      </c>
      <c r="DR4" s="190"/>
      <c r="DS4" s="190"/>
      <c r="DT4" s="190"/>
      <c r="DU4" s="190"/>
      <c r="DV4" s="190"/>
      <c r="DW4" s="191"/>
      <c r="DX4" s="189">
        <f>DX5</f>
        <v>46048</v>
      </c>
      <c r="DY4" s="190"/>
      <c r="DZ4" s="190"/>
      <c r="EA4" s="190"/>
      <c r="EB4" s="190"/>
      <c r="EC4" s="190"/>
      <c r="ED4" s="191"/>
      <c r="EE4" s="189">
        <f t="shared" ref="EE4" si="0">EE5</f>
        <v>46055</v>
      </c>
      <c r="EF4" s="190"/>
      <c r="EG4" s="190"/>
      <c r="EH4" s="190"/>
      <c r="EI4" s="190"/>
      <c r="EJ4" s="190"/>
      <c r="EK4" s="191"/>
      <c r="EL4" s="189">
        <f t="shared" ref="EL4" si="1">EL5</f>
        <v>46062</v>
      </c>
      <c r="EM4" s="190"/>
      <c r="EN4" s="190"/>
      <c r="EO4" s="190"/>
      <c r="EP4" s="190"/>
      <c r="EQ4" s="190"/>
      <c r="ER4" s="191"/>
      <c r="ES4" s="189">
        <f t="shared" ref="ES4" si="2">ES5</f>
        <v>46069</v>
      </c>
      <c r="ET4" s="190"/>
      <c r="EU4" s="190"/>
      <c r="EV4" s="190"/>
      <c r="EW4" s="190"/>
      <c r="EX4" s="190"/>
      <c r="EY4" s="191"/>
      <c r="EZ4" s="189">
        <f t="shared" ref="EZ4" si="3">EZ5</f>
        <v>46076</v>
      </c>
      <c r="FA4" s="190"/>
      <c r="FB4" s="190"/>
      <c r="FC4" s="190"/>
      <c r="FD4" s="190"/>
      <c r="FE4" s="190"/>
      <c r="FF4" s="191"/>
      <c r="FG4" s="189">
        <f t="shared" ref="FG4" si="4">FG5</f>
        <v>46083</v>
      </c>
      <c r="FH4" s="190"/>
      <c r="FI4" s="190"/>
      <c r="FJ4" s="190"/>
      <c r="FK4" s="190"/>
      <c r="FL4" s="190"/>
      <c r="FM4" s="191"/>
      <c r="FN4" s="189">
        <f t="shared" ref="FN4" si="5">FN5</f>
        <v>46090</v>
      </c>
      <c r="FO4" s="190"/>
      <c r="FP4" s="190"/>
      <c r="FQ4" s="190"/>
      <c r="FR4" s="190"/>
      <c r="FS4" s="190"/>
      <c r="FT4" s="191"/>
      <c r="FU4" s="189">
        <f t="shared" ref="FU4" si="6">FU5</f>
        <v>46097</v>
      </c>
      <c r="FV4" s="190"/>
      <c r="FW4" s="190"/>
      <c r="FX4" s="190"/>
      <c r="FY4" s="190"/>
      <c r="FZ4" s="190"/>
      <c r="GA4" s="191"/>
      <c r="GB4" s="189">
        <f t="shared" ref="GB4" si="7">GB5</f>
        <v>46104</v>
      </c>
      <c r="GC4" s="190"/>
      <c r="GD4" s="190"/>
      <c r="GE4" s="190"/>
      <c r="GF4" s="190"/>
      <c r="GG4" s="190"/>
      <c r="GH4" s="191"/>
      <c r="GI4" s="189">
        <f t="shared" ref="GI4" si="8">GI5</f>
        <v>46111</v>
      </c>
      <c r="GJ4" s="190"/>
      <c r="GK4" s="190"/>
      <c r="GL4" s="190"/>
      <c r="GM4" s="190"/>
      <c r="GN4" s="190"/>
      <c r="GO4" s="191"/>
      <c r="GP4" s="189">
        <f t="shared" ref="GP4" si="9">GP5</f>
        <v>46118</v>
      </c>
      <c r="GQ4" s="190"/>
      <c r="GR4" s="190"/>
      <c r="GS4" s="190"/>
      <c r="GT4" s="190"/>
      <c r="GU4" s="190"/>
      <c r="GV4" s="191"/>
      <c r="GW4" s="189">
        <f t="shared" ref="GW4" si="10">GW5</f>
        <v>46125</v>
      </c>
      <c r="GX4" s="190"/>
      <c r="GY4" s="190"/>
      <c r="GZ4" s="190"/>
      <c r="HA4" s="190"/>
      <c r="HB4" s="190"/>
      <c r="HC4" s="191"/>
      <c r="HD4" s="189">
        <f t="shared" ref="HD4" si="11">HD5</f>
        <v>46132</v>
      </c>
      <c r="HE4" s="190"/>
      <c r="HF4" s="190"/>
      <c r="HG4" s="190"/>
      <c r="HH4" s="190"/>
      <c r="HI4" s="190"/>
      <c r="HJ4" s="191"/>
      <c r="HK4" s="189">
        <f t="shared" ref="HK4" si="12">HK5</f>
        <v>46139</v>
      </c>
      <c r="HL4" s="190"/>
      <c r="HM4" s="190"/>
      <c r="HN4" s="190"/>
      <c r="HO4" s="190"/>
      <c r="HP4" s="190"/>
      <c r="HQ4" s="191"/>
      <c r="HR4" s="189">
        <f t="shared" ref="HR4" si="13">HR5</f>
        <v>46146</v>
      </c>
      <c r="HS4" s="190"/>
      <c r="HT4" s="190"/>
      <c r="HU4" s="190"/>
      <c r="HV4" s="190"/>
      <c r="HW4" s="190"/>
      <c r="HX4" s="191"/>
      <c r="HY4" s="189">
        <f t="shared" ref="HY4" si="14">HY5</f>
        <v>46153</v>
      </c>
      <c r="HZ4" s="190"/>
      <c r="IA4" s="190"/>
      <c r="IB4" s="190"/>
      <c r="IC4" s="190"/>
      <c r="ID4" s="190"/>
      <c r="IE4" s="191"/>
    </row>
    <row r="5" spans="1:239" ht="15" customHeight="1">
      <c r="A5" s="34" t="s">
        <v>173</v>
      </c>
      <c r="B5" s="50"/>
      <c r="C5" s="50"/>
      <c r="D5" s="50"/>
      <c r="E5" s="50"/>
      <c r="F5" s="50"/>
      <c r="G5" s="50"/>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4" t="s">
        <v>174</v>
      </c>
      <c r="B6" s="8" t="s">
        <v>175</v>
      </c>
      <c r="C6" s="9" t="s">
        <v>176</v>
      </c>
      <c r="D6" s="9" t="s">
        <v>249</v>
      </c>
      <c r="E6" s="9" t="s">
        <v>177</v>
      </c>
      <c r="F6" s="9" t="s">
        <v>178</v>
      </c>
      <c r="G6" s="9"/>
      <c r="H6" s="9" t="s">
        <v>179</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3" t="s">
        <v>180</v>
      </c>
      <c r="C7" s="36"/>
      <c r="E7"/>
      <c r="H7" t="str">
        <f ca="1">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c r="A8" s="34" t="s">
        <v>182</v>
      </c>
      <c r="B8" s="15" t="s">
        <v>250</v>
      </c>
      <c r="C8" s="39"/>
      <c r="D8" s="16"/>
      <c r="E8" s="52"/>
      <c r="F8" s="53"/>
      <c r="G8" s="14"/>
      <c r="H8" s="14" t="str">
        <f t="shared" ref="H8:H31" ca="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78"/>
      <c r="CR8" s="78"/>
      <c r="CS8" s="29"/>
      <c r="CT8" s="29"/>
      <c r="CU8" s="29"/>
      <c r="CV8" s="29"/>
      <c r="CW8" s="29"/>
      <c r="CX8" s="78"/>
      <c r="CY8" s="78"/>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4"/>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c r="A9" s="34" t="s">
        <v>184</v>
      </c>
      <c r="B9" s="46" t="s">
        <v>251</v>
      </c>
      <c r="C9" s="40"/>
      <c r="D9" s="17">
        <v>0</v>
      </c>
      <c r="E9" s="54">
        <f>Início_do_projeto</f>
        <v>45931</v>
      </c>
      <c r="F9" s="54">
        <f>E9+13</f>
        <v>45944</v>
      </c>
      <c r="G9" s="14"/>
      <c r="H9" s="14">
        <f t="shared" ca="1"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78"/>
      <c r="CR9" s="78"/>
      <c r="CS9" s="29"/>
      <c r="CT9" s="29"/>
      <c r="CU9" s="29"/>
      <c r="CV9" s="29"/>
      <c r="CW9" s="29"/>
      <c r="CX9" s="78"/>
      <c r="CY9" s="78"/>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4"/>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c r="A10" s="34" t="s">
        <v>185</v>
      </c>
      <c r="B10" s="46" t="s">
        <v>252</v>
      </c>
      <c r="C10" s="40"/>
      <c r="D10" s="17">
        <v>1</v>
      </c>
      <c r="E10" s="54">
        <f>F9+1</f>
        <v>45945</v>
      </c>
      <c r="F10" s="54">
        <f>E10+29</f>
        <v>45974</v>
      </c>
      <c r="G10" s="14"/>
      <c r="H10" s="14">
        <f t="shared" ca="1"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78"/>
      <c r="CR10" s="78"/>
      <c r="CS10" s="29"/>
      <c r="CT10" s="29"/>
      <c r="CU10" s="29"/>
      <c r="CV10" s="29"/>
      <c r="CW10" s="29"/>
      <c r="CX10" s="78"/>
      <c r="CY10" s="78"/>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4"/>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c r="A11" s="34"/>
      <c r="B11" s="46" t="s">
        <v>253</v>
      </c>
      <c r="C11" s="40"/>
      <c r="D11" s="17"/>
      <c r="E11" s="54">
        <f>E10+60</f>
        <v>46005</v>
      </c>
      <c r="F11" s="54">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78"/>
      <c r="CR11" s="78"/>
      <c r="CS11" s="29"/>
      <c r="CT11" s="29"/>
      <c r="CU11" s="29"/>
      <c r="CV11" s="29"/>
      <c r="CW11" s="29"/>
      <c r="CX11" s="78"/>
      <c r="CY11" s="78"/>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4"/>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c r="A12" s="33"/>
      <c r="B12" s="46" t="s">
        <v>254</v>
      </c>
      <c r="C12" s="40"/>
      <c r="D12" s="17">
        <v>0</v>
      </c>
      <c r="E12" s="54">
        <f>F10+1</f>
        <v>45975</v>
      </c>
      <c r="F12" s="54">
        <f>E12+13</f>
        <v>45988</v>
      </c>
      <c r="G12" s="14"/>
      <c r="H12" s="14">
        <f t="shared" ca="1"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78"/>
      <c r="CR12" s="78"/>
      <c r="CS12" s="29"/>
      <c r="CT12" s="29"/>
      <c r="CU12" s="29"/>
      <c r="CV12" s="29"/>
      <c r="CW12" s="29"/>
      <c r="CX12" s="78"/>
      <c r="CY12" s="78"/>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4"/>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c r="A13" s="33"/>
      <c r="B13" s="46" t="s">
        <v>252</v>
      </c>
      <c r="C13" s="40"/>
      <c r="D13" s="17">
        <v>1</v>
      </c>
      <c r="E13" s="54">
        <f>F12+1</f>
        <v>45989</v>
      </c>
      <c r="F13" s="54">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78"/>
      <c r="CR13" s="78"/>
      <c r="CS13" s="29"/>
      <c r="CT13" s="29"/>
      <c r="CU13" s="29"/>
      <c r="CV13" s="29"/>
      <c r="CW13" s="29"/>
      <c r="CX13" s="78"/>
      <c r="CY13" s="78"/>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4"/>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c r="A14" s="33"/>
      <c r="B14" s="46" t="s">
        <v>255</v>
      </c>
      <c r="C14" s="40"/>
      <c r="D14" s="17">
        <v>0</v>
      </c>
      <c r="E14" s="54">
        <f>E27</f>
        <v>46017</v>
      </c>
      <c r="F14" s="54">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78"/>
      <c r="CR14" s="78"/>
      <c r="CS14" s="29"/>
      <c r="CT14" s="29"/>
      <c r="CU14" s="29"/>
      <c r="CV14" s="29"/>
      <c r="CW14" s="29"/>
      <c r="CX14" s="78"/>
      <c r="CY14" s="78"/>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4"/>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c r="A15" s="33"/>
      <c r="B15" s="46" t="s">
        <v>252</v>
      </c>
      <c r="C15" s="40"/>
      <c r="D15" s="17">
        <v>1</v>
      </c>
      <c r="E15" s="54">
        <f>F14+1</f>
        <v>46031</v>
      </c>
      <c r="F15" s="54">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78"/>
      <c r="CR15" s="78"/>
      <c r="CS15" s="29"/>
      <c r="CT15" s="29"/>
      <c r="CU15" s="29"/>
      <c r="CV15" s="29"/>
      <c r="CW15" s="29"/>
      <c r="CX15" s="78"/>
      <c r="CY15" s="78"/>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4"/>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c r="A16" s="34" t="s">
        <v>188</v>
      </c>
      <c r="B16" s="18" t="s">
        <v>256</v>
      </c>
      <c r="C16" s="41"/>
      <c r="D16" s="19"/>
      <c r="E16" s="55"/>
      <c r="F16" s="56"/>
      <c r="G16" s="14"/>
      <c r="H16" s="14" t="str">
        <f t="shared" ca="1"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78"/>
      <c r="CR16" s="78"/>
      <c r="CS16" s="29"/>
      <c r="CT16" s="29"/>
      <c r="CU16" s="29"/>
      <c r="CV16" s="29"/>
      <c r="CW16" s="29"/>
      <c r="CX16" s="78"/>
      <c r="CY16" s="78"/>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4"/>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c r="A17" s="34"/>
      <c r="B17" s="47" t="s">
        <v>251</v>
      </c>
      <c r="C17" s="42"/>
      <c r="D17" s="20">
        <v>0</v>
      </c>
      <c r="E17" s="57">
        <f>E10</f>
        <v>45945</v>
      </c>
      <c r="F17" s="57">
        <f>E17+13</f>
        <v>45958</v>
      </c>
      <c r="G17" s="14"/>
      <c r="H17" s="14">
        <f t="shared" ca="1"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78"/>
      <c r="CR17" s="78"/>
      <c r="CS17" s="29"/>
      <c r="CT17" s="29"/>
      <c r="CU17" s="29"/>
      <c r="CV17" s="29"/>
      <c r="CW17" s="29"/>
      <c r="CX17" s="78"/>
      <c r="CY17" s="78"/>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4"/>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c r="A18" s="33"/>
      <c r="B18" s="47" t="s">
        <v>252</v>
      </c>
      <c r="C18" s="42"/>
      <c r="D18" s="20">
        <v>1</v>
      </c>
      <c r="E18" s="57">
        <f>F17+1</f>
        <v>45959</v>
      </c>
      <c r="F18" s="57">
        <f>E18+26</f>
        <v>45985</v>
      </c>
      <c r="G18" s="14"/>
      <c r="H18" s="14">
        <f t="shared" ca="1"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78"/>
      <c r="CR18" s="78"/>
      <c r="CS18" s="29"/>
      <c r="CT18" s="29"/>
      <c r="CU18" s="29"/>
      <c r="CV18" s="29"/>
      <c r="CW18" s="29"/>
      <c r="CX18" s="78"/>
      <c r="CY18" s="78"/>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4"/>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c r="A19" s="33"/>
      <c r="B19" s="47" t="s">
        <v>254</v>
      </c>
      <c r="C19" s="42"/>
      <c r="D19" s="20">
        <v>0</v>
      </c>
      <c r="E19" s="57">
        <f>E13</f>
        <v>45989</v>
      </c>
      <c r="F19" s="57">
        <f>E19+13</f>
        <v>46002</v>
      </c>
      <c r="G19" s="14"/>
      <c r="H19" s="14">
        <f t="shared" ca="1"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78"/>
      <c r="CR19" s="78"/>
      <c r="CS19" s="29"/>
      <c r="CT19" s="29"/>
      <c r="CU19" s="29"/>
      <c r="CV19" s="29"/>
      <c r="CW19" s="29"/>
      <c r="CX19" s="78"/>
      <c r="CY19" s="78"/>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4"/>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c r="A20" s="33"/>
      <c r="B20" s="47" t="s">
        <v>252</v>
      </c>
      <c r="C20" s="42"/>
      <c r="D20" s="20">
        <v>1</v>
      </c>
      <c r="E20" s="57">
        <f>F19+1</f>
        <v>46003</v>
      </c>
      <c r="F20" s="57">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78"/>
      <c r="CR20" s="78"/>
      <c r="CS20" s="29"/>
      <c r="CT20" s="29"/>
      <c r="CU20" s="29"/>
      <c r="CV20" s="29"/>
      <c r="CW20" s="29"/>
      <c r="CX20" s="78"/>
      <c r="CY20" s="78"/>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4"/>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c r="A21" s="33"/>
      <c r="B21" s="47" t="s">
        <v>255</v>
      </c>
      <c r="C21" s="42"/>
      <c r="D21" s="20">
        <v>0</v>
      </c>
      <c r="E21" s="57">
        <f>E15</f>
        <v>46031</v>
      </c>
      <c r="F21" s="57">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78"/>
      <c r="CR21" s="78"/>
      <c r="CS21" s="29"/>
      <c r="CT21" s="29"/>
      <c r="CU21" s="29"/>
      <c r="CV21" s="29"/>
      <c r="CW21" s="29"/>
      <c r="CX21" s="78"/>
      <c r="CY21" s="78"/>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4"/>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c r="A22" s="33"/>
      <c r="B22" s="47" t="s">
        <v>252</v>
      </c>
      <c r="C22" s="42"/>
      <c r="D22" s="20">
        <v>1</v>
      </c>
      <c r="E22" s="57">
        <f>F21+1</f>
        <v>46045</v>
      </c>
      <c r="F22" s="57">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78"/>
      <c r="CR22" s="78"/>
      <c r="CS22" s="29"/>
      <c r="CT22" s="29"/>
      <c r="CU22" s="29"/>
      <c r="CV22" s="29"/>
      <c r="CW22" s="29"/>
      <c r="CX22" s="78"/>
      <c r="CY22" s="78"/>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4"/>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c r="A23" s="33" t="s">
        <v>197</v>
      </c>
      <c r="B23" s="21" t="s">
        <v>257</v>
      </c>
      <c r="C23" s="43"/>
      <c r="D23" s="22"/>
      <c r="E23" s="58"/>
      <c r="F23" s="59"/>
      <c r="G23" s="14"/>
      <c r="H23" s="14" t="str">
        <f t="shared" ca="1"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78"/>
      <c r="CR23" s="78"/>
      <c r="CS23" s="29"/>
      <c r="CT23" s="29"/>
      <c r="CU23" s="29"/>
      <c r="CV23" s="29"/>
      <c r="CW23" s="29"/>
      <c r="CX23" s="78"/>
      <c r="CY23" s="78"/>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4"/>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c r="A24" s="33"/>
      <c r="B24" s="48" t="s">
        <v>251</v>
      </c>
      <c r="C24" s="44"/>
      <c r="D24" s="23">
        <v>0</v>
      </c>
      <c r="E24" s="60">
        <f>E18</f>
        <v>45959</v>
      </c>
      <c r="F24" s="60">
        <f>E24+13</f>
        <v>45972</v>
      </c>
      <c r="G24" s="14"/>
      <c r="H24" s="14">
        <f t="shared" ca="1"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78"/>
      <c r="CR24" s="78"/>
      <c r="CS24" s="29"/>
      <c r="CT24" s="29"/>
      <c r="CU24" s="29"/>
      <c r="CV24" s="29"/>
      <c r="CW24" s="29"/>
      <c r="CX24" s="78"/>
      <c r="CY24" s="78"/>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4"/>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c r="A25" s="33"/>
      <c r="B25" s="48" t="s">
        <v>252</v>
      </c>
      <c r="C25" s="44"/>
      <c r="D25" s="23">
        <v>1</v>
      </c>
      <c r="E25" s="60">
        <f>F24+1</f>
        <v>45973</v>
      </c>
      <c r="F25" s="60">
        <f>E25+26</f>
        <v>45999</v>
      </c>
      <c r="G25" s="14"/>
      <c r="H25" s="14">
        <f t="shared" ca="1"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78"/>
      <c r="CR25" s="78"/>
      <c r="CS25" s="29"/>
      <c r="CT25" s="29"/>
      <c r="CU25" s="29"/>
      <c r="CV25" s="29"/>
      <c r="CW25" s="29"/>
      <c r="CX25" s="78"/>
      <c r="CY25" s="78"/>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4"/>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c r="A26" s="33"/>
      <c r="B26" s="48" t="s">
        <v>254</v>
      </c>
      <c r="C26" s="44"/>
      <c r="D26" s="23">
        <v>0</v>
      </c>
      <c r="E26" s="60">
        <f>E20</f>
        <v>46003</v>
      </c>
      <c r="F26" s="60">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78"/>
      <c r="CR26" s="78"/>
      <c r="CS26" s="29"/>
      <c r="CT26" s="29"/>
      <c r="CU26" s="29"/>
      <c r="CV26" s="29"/>
      <c r="CW26" s="29"/>
      <c r="CX26" s="78"/>
      <c r="CY26" s="78"/>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4"/>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c r="A27" s="33"/>
      <c r="B27" s="48" t="s">
        <v>252</v>
      </c>
      <c r="C27" s="44"/>
      <c r="D27" s="23">
        <v>1</v>
      </c>
      <c r="E27" s="60">
        <f>F26+1</f>
        <v>46017</v>
      </c>
      <c r="F27" s="60">
        <f>E27+26</f>
        <v>46043</v>
      </c>
      <c r="G27" s="14"/>
      <c r="H27" s="14">
        <f t="shared" ca="1"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78"/>
      <c r="CR27" s="78"/>
      <c r="CS27" s="29"/>
      <c r="CT27" s="29"/>
      <c r="CU27" s="29"/>
      <c r="CV27" s="29"/>
      <c r="CW27" s="29"/>
      <c r="CX27" s="78"/>
      <c r="CY27" s="78"/>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4"/>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c r="A28" s="33"/>
      <c r="B28" s="48" t="s">
        <v>255</v>
      </c>
      <c r="C28" s="44"/>
      <c r="D28" s="23">
        <v>0</v>
      </c>
      <c r="E28" s="60">
        <f>E22</f>
        <v>46045</v>
      </c>
      <c r="F28" s="60">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78"/>
      <c r="CR28" s="78"/>
      <c r="CS28" s="29"/>
      <c r="CT28" s="29"/>
      <c r="CU28" s="29"/>
      <c r="CV28" s="29"/>
      <c r="CW28" s="29"/>
      <c r="CX28" s="78"/>
      <c r="CY28" s="78"/>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4"/>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c r="A29" s="33"/>
      <c r="B29" s="48" t="s">
        <v>252</v>
      </c>
      <c r="C29" s="44"/>
      <c r="D29" s="23">
        <v>1</v>
      </c>
      <c r="E29" s="60">
        <f>F28+1</f>
        <v>46059</v>
      </c>
      <c r="F29" s="60">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78"/>
      <c r="CR29" s="78"/>
      <c r="CS29" s="29"/>
      <c r="CT29" s="29"/>
      <c r="CU29" s="29"/>
      <c r="CV29" s="29"/>
      <c r="CW29" s="29"/>
      <c r="CX29" s="78"/>
      <c r="CY29" s="78"/>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4"/>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c r="A30" s="33" t="s">
        <v>243</v>
      </c>
      <c r="B30" s="49"/>
      <c r="C30" s="45"/>
      <c r="D30" s="13"/>
      <c r="E30" s="61"/>
      <c r="F30" s="61"/>
      <c r="G30" s="14"/>
      <c r="H30" s="14" t="str">
        <f t="shared" ca="1"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78"/>
      <c r="CR30" s="78"/>
      <c r="CS30" s="29"/>
      <c r="CT30" s="29"/>
      <c r="CU30" s="29"/>
      <c r="CV30" s="29"/>
      <c r="CW30" s="29"/>
      <c r="CX30" s="78"/>
      <c r="CY30" s="78"/>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4"/>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c r="A31" s="34" t="s">
        <v>244</v>
      </c>
      <c r="B31" s="25" t="s">
        <v>245</v>
      </c>
      <c r="C31" s="26"/>
      <c r="D31" s="27"/>
      <c r="E31" s="62"/>
      <c r="F31" s="63"/>
      <c r="G31" s="28"/>
      <c r="H31" s="28" t="str">
        <f t="shared" ca="1"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78"/>
      <c r="CR31" s="78"/>
      <c r="CS31" s="31"/>
      <c r="CT31" s="31"/>
      <c r="CU31" s="31"/>
      <c r="CV31" s="31"/>
      <c r="CW31" s="31"/>
      <c r="CX31" s="78"/>
      <c r="CY31" s="78"/>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4"/>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c r="G32" s="6"/>
    </row>
    <row r="33" spans="3:6" ht="30" customHeight="1">
      <c r="C33" s="11"/>
      <c r="F33" s="35"/>
    </row>
    <row r="34" spans="3:6" ht="30" customHeight="1">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4"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2cd3161f44f72f679be01653612c5880">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4d7c9da8a9288df81d3b004e217e48a4"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4A34E49-7289-4AEA-9593-4F55E04ADB10}"/>
</file>

<file path=customXml/itemProps2.xml><?xml version="1.0" encoding="utf-8"?>
<ds:datastoreItem xmlns:ds="http://schemas.openxmlformats.org/officeDocument/2006/customXml" ds:itemID="{AC3AD2E1-977A-4D4F-8EE8-D64B5FFADF75}"/>
</file>

<file path=customXml/itemProps3.xml><?xml version="1.0" encoding="utf-8"?>
<ds:datastoreItem xmlns:ds="http://schemas.openxmlformats.org/officeDocument/2006/customXml" ds:itemID="{DDCC121F-35A8-434D-AD05-CCBE881F3ADC}"/>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Fabio Camilo Unterman Santos</cp:lastModifiedBy>
  <cp:revision/>
  <dcterms:created xsi:type="dcterms:W3CDTF">2021-12-14T20:18:50Z</dcterms:created>
  <dcterms:modified xsi:type="dcterms:W3CDTF">2025-11-19T20:18:33Z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