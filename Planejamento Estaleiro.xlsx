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codeName="EstaPastaDeTrabalho"/>
  <xr:revisionPtr revIDLastSave="2029" documentId="101_S{B73360A1-8A99-5EFE-B3D7-B4540AB28558}" xr6:coauthVersionLast="47" xr6:coauthVersionMax="47" xr10:uidLastSave="{C6CD0CEF-74A6-494F-AE30-93CB6D8B1DC7}"/>
  <bookViews>
    <workbookView xWindow="28680" yWindow="-120" windowWidth="29040" windowHeight="15720"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1" hidden="1">'Planejamento IED'!$A$6:$WS$61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 i="11" l="1"/>
  <c r="E83" i="11"/>
  <c r="E82" i="11"/>
  <c r="E81" i="11"/>
  <c r="E114" i="11" l="1"/>
  <c r="D117" i="11" s="1"/>
  <c r="E190" i="11"/>
  <c r="E124" i="11" l="1"/>
  <c r="D125" i="11" s="1"/>
  <c r="E125" i="11" s="1"/>
  <c r="D126" i="11" s="1"/>
  <c r="E126" i="11" s="1"/>
  <c r="E61" i="11"/>
  <c r="E60" i="11"/>
  <c r="E59" i="11"/>
  <c r="E108" i="11"/>
  <c r="D111" i="11" s="1"/>
  <c r="E111" i="11" s="1"/>
  <c r="E73" i="11"/>
  <c r="E74" i="11"/>
  <c r="E75" i="11"/>
  <c r="E76" i="11"/>
  <c r="E77" i="11"/>
  <c r="E78" i="11"/>
  <c r="E79" i="11"/>
  <c r="E58" i="11"/>
  <c r="E189" i="11"/>
  <c r="E159" i="11"/>
  <c r="E158" i="11"/>
  <c r="E157" i="11"/>
  <c r="E57" i="11"/>
  <c r="E56" i="11"/>
  <c r="E55" i="11"/>
  <c r="G102" i="11" l="1"/>
  <c r="G99" i="11"/>
  <c r="E187" i="11"/>
  <c r="E188" i="11" s="1"/>
  <c r="D186" i="11" l="1"/>
  <c r="G186" i="11" s="1"/>
  <c r="G156" i="11"/>
  <c r="G97" i="11" l="1"/>
  <c r="G158" i="11"/>
  <c r="G188" i="11"/>
  <c r="G187" i="11"/>
  <c r="G157" i="11"/>
  <c r="G189" i="11" l="1"/>
  <c r="G159" i="11"/>
  <c r="E106" i="11"/>
  <c r="D109" i="11" s="1"/>
  <c r="E166" i="11"/>
  <c r="E70" i="11"/>
  <c r="E53" i="11" l="1"/>
  <c r="E54" i="11"/>
  <c r="E71" i="11" l="1"/>
  <c r="E51" i="11"/>
  <c r="E50" i="11"/>
  <c r="E49" i="11"/>
  <c r="E48" i="11"/>
  <c r="E107" i="11" l="1"/>
  <c r="E105" i="11"/>
  <c r="E110" i="11" l="1"/>
  <c r="E45" i="11"/>
  <c r="E46" i="11"/>
  <c r="E44" i="11"/>
  <c r="E149" i="11" l="1"/>
  <c r="E148" i="11"/>
  <c r="E147" i="11"/>
  <c r="E146" i="11"/>
  <c r="E145" i="11"/>
  <c r="G94" i="11"/>
  <c r="G95" i="11"/>
  <c r="G96" i="11"/>
  <c r="G93" i="11"/>
  <c r="E144" i="11"/>
  <c r="E143" i="11"/>
  <c r="E140" i="11"/>
  <c r="E141" i="11"/>
  <c r="E138" i="11"/>
  <c r="E137" i="11"/>
  <c r="D176" i="11"/>
  <c r="G175" i="11"/>
  <c r="E72" i="11"/>
  <c r="E104" i="11"/>
  <c r="E109" i="11" s="1"/>
  <c r="E101" i="11"/>
  <c r="E134" i="11"/>
  <c r="E133" i="11"/>
  <c r="E88" i="11"/>
  <c r="G87" i="11"/>
  <c r="D135" i="11"/>
  <c r="D136" i="11" s="1"/>
  <c r="E163" i="11"/>
  <c r="E162" i="11"/>
  <c r="G161" i="11"/>
  <c r="C3" i="11"/>
  <c r="D14" i="11"/>
  <c r="E14" i="11" s="1"/>
  <c r="E13" i="11"/>
  <c r="E11" i="11"/>
  <c r="E10" i="11"/>
  <c r="E65" i="11"/>
  <c r="E113" i="11" l="1"/>
  <c r="E112" i="11"/>
  <c r="D116" i="11" s="1"/>
  <c r="D103" i="11"/>
  <c r="E103" i="11" s="1"/>
  <c r="E135" i="11"/>
  <c r="E142" i="11"/>
  <c r="E139" i="11"/>
  <c r="E136" i="11"/>
  <c r="E164" i="11"/>
  <c r="E167" i="11" s="1"/>
  <c r="D16" i="11"/>
  <c r="D15" i="11" s="1"/>
  <c r="D12" i="11"/>
  <c r="D169" i="11" l="1"/>
  <c r="E169" i="11" s="1"/>
  <c r="D171" i="11" s="1"/>
  <c r="E117" i="11"/>
  <c r="D120" i="11" s="1"/>
  <c r="E116" i="11"/>
  <c r="D119" i="11" s="1"/>
  <c r="E15" i="11"/>
  <c r="D17" i="11"/>
  <c r="E17" i="11" s="1"/>
  <c r="E165" i="11"/>
  <c r="D168" i="11" s="1"/>
  <c r="E168" i="11" s="1"/>
  <c r="D115" i="11"/>
  <c r="D18" i="11"/>
  <c r="E18" i="11" s="1"/>
  <c r="E68" i="11"/>
  <c r="E16" i="11"/>
  <c r="E12" i="11"/>
  <c r="G152" i="11"/>
  <c r="F11" i="13"/>
  <c r="E11" i="13"/>
  <c r="H31" i="13"/>
  <c r="H30" i="13"/>
  <c r="H23" i="13"/>
  <c r="H16" i="13"/>
  <c r="E9" i="13"/>
  <c r="F9" i="13" s="1"/>
  <c r="H8" i="13"/>
  <c r="H7" i="13"/>
  <c r="I5" i="13"/>
  <c r="J5" i="13" s="1"/>
  <c r="K5" i="13" s="1"/>
  <c r="C3" i="13"/>
  <c r="G7" i="11"/>
  <c r="E171" i="11" l="1"/>
  <c r="D170" i="11"/>
  <c r="E170" i="11" s="1"/>
  <c r="D172" i="11" s="1"/>
  <c r="E172" i="11" s="1"/>
  <c r="E115" i="11"/>
  <c r="D118" i="11" s="1"/>
  <c r="E120" i="11"/>
  <c r="E119" i="11"/>
  <c r="D122" i="11" s="1"/>
  <c r="D19" i="11"/>
  <c r="E19" i="11" s="1"/>
  <c r="E69" i="11"/>
  <c r="I4" i="13"/>
  <c r="I6" i="13"/>
  <c r="J6" i="13"/>
  <c r="L5" i="13"/>
  <c r="K6" i="13"/>
  <c r="E174" i="11" l="1"/>
  <c r="D173" i="11"/>
  <c r="E173" i="11" s="1"/>
  <c r="D123" i="11"/>
  <c r="E123" i="11" s="1"/>
  <c r="E118" i="11"/>
  <c r="D121" i="11" s="1"/>
  <c r="E122" i="11"/>
  <c r="D20" i="11"/>
  <c r="D21" i="11" s="1"/>
  <c r="E10" i="13"/>
  <c r="F10" i="13" s="1"/>
  <c r="E12" i="13" s="1"/>
  <c r="M5" i="13"/>
  <c r="L6" i="13"/>
  <c r="H9" i="13"/>
  <c r="H5" i="11"/>
  <c r="G194" i="11"/>
  <c r="G92" i="11"/>
  <c r="G89" i="11"/>
  <c r="G64" i="11"/>
  <c r="G9" i="11"/>
  <c r="E121"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0"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8"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0"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11"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4"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<sst xmlns="http://schemas.openxmlformats.org/spreadsheetml/2006/main" count="734" uniqueCount="286">
  <si>
    <t>Disciplina</t>
  </si>
  <si>
    <t>Matrícula</t>
  </si>
  <si>
    <t>Chave</t>
  </si>
  <si>
    <t>Função</t>
  </si>
  <si>
    <t>Projeto</t>
  </si>
  <si>
    <t>Experiência</t>
  </si>
  <si>
    <t>E-mail</t>
  </si>
  <si>
    <t>Nome</t>
  </si>
  <si>
    <t>ELET</t>
  </si>
  <si>
    <t>FWB5</t>
  </si>
  <si>
    <t>Técnico</t>
  </si>
  <si>
    <t>P80</t>
  </si>
  <si>
    <t>Novo</t>
  </si>
  <si>
    <t>tonicler.kutz@petrobras.com.br</t>
  </si>
  <si>
    <t>TONICLER KUTZ</t>
  </si>
  <si>
    <t>FW66</t>
  </si>
  <si>
    <t>P82</t>
  </si>
  <si>
    <t>luiz.ramos3@petrobras.com.br</t>
  </si>
  <si>
    <t>LUIZ FERNANDO</t>
  </si>
  <si>
    <t>FVVS</t>
  </si>
  <si>
    <t>P83</t>
  </si>
  <si>
    <t>breno.batista@petrobras.com.br</t>
  </si>
  <si>
    <t>BRENO CARVALHO</t>
  </si>
  <si>
    <t>HFO8</t>
  </si>
  <si>
    <t>jorge.mariano@petrobras.com.br</t>
  </si>
  <si>
    <t>JORGE HENRIQUE</t>
  </si>
  <si>
    <t>INST</t>
  </si>
  <si>
    <t>APDZ</t>
  </si>
  <si>
    <t>Experiente</t>
  </si>
  <si>
    <t>er.amaral@petrobras.com.br</t>
  </si>
  <si>
    <t>EDUARDO RIBEIRO</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</si>
  <si>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</si>
  <si>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</si>
  <si>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</si>
  <si>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</si>
  <si>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</si>
  <si>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</si>
  <si>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</si>
  <si>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</si>
  <si>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</si>
  <si>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</si>
  <si>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</si>
  <si>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</si>
  <si>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</si>
  <si>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JGYW</t>
  </si>
  <si>
    <t>flaviomarinho@petrobras.com.br</t>
  </si>
  <si>
    <r>
      <t xml:space="preserve">FLÁVIO </t>
    </r>
    <r>
      <rPr>
        <sz val="9"/>
        <color theme="1"/>
        <rFont val="Calibri"/>
        <family val="2"/>
        <scheme val="minor"/>
      </rPr>
      <t>MARINHO</t>
    </r>
  </si>
  <si>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</si>
  <si>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</si>
  <si>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</si>
  <si>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</si>
  <si>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</si>
  <si>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</si>
  <si>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</si>
  <si>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</si>
  <si>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</si>
  <si>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</si>
  <si>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</si>
  <si>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</si>
  <si>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</si>
  <si>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</si>
  <si>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</si>
  <si>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</si>
  <si>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</si>
  <si>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</si>
  <si>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</si>
  <si>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</si>
  <si>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</si>
  <si>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</si>
  <si>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</si>
  <si>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</si>
  <si>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</si>
  <si>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</si>
  <si>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</si>
  <si>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</si>
  <si>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</si>
  <si>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</si>
  <si>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</si>
  <si>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</si>
  <si>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</si>
  <si>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</si>
  <si>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</si>
  <si>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</si>
  <si>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</si>
  <si>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</si>
  <si>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</si>
  <si>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</si>
  <si>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</si>
  <si>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</si>
  <si>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</si>
  <si>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</si>
  <si>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</si>
  <si>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</si>
  <si>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</si>
  <si>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</si>
  <si>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</si>
  <si>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</si>
  <si>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</si>
  <si>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</si>
  <si>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</si>
  <si>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</si>
  <si>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</si>
  <si>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</si>
  <si>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</si>
  <si>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</si>
  <si>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</si>
  <si>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</si>
  <si>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</si>
  <si>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</si>
  <si>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</si>
  <si>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</si>
  <si>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</si>
  <si>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</si>
  <si>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</si>
  <si>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</si>
  <si>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</si>
  <si>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</si>
  <si>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</si>
  <si>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</si>
  <si>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</si>
  <si>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</si>
  <si>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</si>
  <si>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</si>
  <si>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</si>
  <si>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</si>
  <si>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</si>
  <si>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</si>
  <si>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</si>
  <si>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</si>
  <si>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</si>
  <si>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</si>
  <si>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</si>
  <si>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</si>
  <si>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</si>
  <si>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</si>
  <si>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</si>
  <si>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</si>
  <si>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</si>
  <si>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G7OU</t>
  </si>
  <si>
    <t>filipi.pinto@petrobras.com.br</t>
  </si>
  <si>
    <t>FILIPI MARQUEZINE</t>
  </si>
  <si>
    <t>G7PT</t>
  </si>
  <si>
    <t>edison.amaral@petrobras.com.br</t>
  </si>
  <si>
    <t>EDISON NOVAES</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</si>
  <si>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</si>
  <si>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</si>
  <si>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</si>
  <si>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</si>
  <si>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</si>
  <si>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</si>
  <si>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</si>
  <si>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</si>
  <si>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</si>
  <si>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</si>
  <si>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</si>
  <si>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</si>
  <si>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</si>
  <si>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</si>
  <si>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</si>
  <si>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</si>
  <si>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</si>
  <si>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</si>
  <si>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</si>
  <si>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</si>
  <si>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</si>
  <si>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</si>
  <si>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</si>
  <si>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</si>
  <si>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</si>
  <si>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</si>
  <si>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</si>
  <si>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</si>
  <si>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</si>
  <si>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</si>
  <si>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</si>
  <si>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</si>
  <si>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RH5O</t>
  </si>
  <si>
    <t>fredericoaugusto@petrobras.com.br</t>
  </si>
  <si>
    <t>N7SC</t>
  </si>
  <si>
    <t>rodrigosfn@petrobras.com.br</t>
  </si>
  <si>
    <t>RODRIGO SCORALICK</t>
  </si>
  <si>
    <t>LUIZ VITOR</t>
  </si>
  <si>
    <t>Elienai de Oliveira Macedo</t>
  </si>
  <si>
    <t>Engenheiro PBAC</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</si>
  <si>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</si>
  <si>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</si>
  <si>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</si>
  <si>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</si>
  <si>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</si>
  <si>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</si>
  <si>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</si>
  <si>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</si>
  <si>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</si>
  <si>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</si>
  <si>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</si>
  <si>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</si>
  <si>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</si>
  <si>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</si>
  <si>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</si>
  <si>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</si>
  <si>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</si>
  <si>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</si>
  <si>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</si>
  <si>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</si>
  <si>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</si>
  <si>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</si>
  <si>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</si>
  <si>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</si>
  <si>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</si>
  <si>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</si>
  <si>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Eletricista CGM</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</si>
  <si>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</si>
  <si>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</si>
  <si>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</si>
  <si>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</si>
  <si>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</si>
  <si>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</si>
  <si>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</si>
  <si>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</si>
  <si>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</si>
  <si>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</si>
  <si>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</si>
  <si>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</si>
  <si>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</si>
  <si>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</si>
  <si>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</si>
  <si>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</si>
  <si>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</si>
  <si>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</si>
  <si>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</si>
  <si>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</si>
  <si>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</si>
  <si>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</si>
  <si>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</si>
  <si>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</si>
  <si>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</si>
  <si>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</si>
  <si>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</si>
  <si>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</si>
  <si>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</si>
  <si>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</si>
  <si>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</si>
  <si>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Engenharia EEDSE</t>
  </si>
  <si>
    <t>Engenheiro EEDSE</t>
  </si>
  <si>
    <t>EJA  (P-82 - CGM)</t>
  </si>
  <si>
    <t>Supervisor CGM</t>
  </si>
  <si>
    <t>Mecânica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</si>
  <si>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</si>
  <si>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</si>
  <si>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</si>
  <si>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</si>
  <si>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</si>
  <si>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</si>
  <si>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</si>
  <si>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</si>
  <si>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</si>
  <si>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</si>
  <si>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</si>
  <si>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</si>
  <si>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</si>
  <si>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</si>
  <si>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</si>
  <si>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</si>
  <si>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</si>
  <si>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</si>
  <si>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</si>
  <si>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</si>
  <si>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</si>
  <si>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</si>
  <si>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</si>
  <si>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</si>
  <si>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</si>
  <si>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</si>
  <si>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</si>
  <si>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</si>
  <si>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</si>
  <si>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</si>
  <si>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</si>
  <si>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</si>
  <si>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</si>
  <si>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</si>
  <si>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</si>
  <si>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</si>
  <si>
    <t>FREDERICO PACHECO</t>
  </si>
  <si>
    <t xml:space="preserve">JOSE LUIS </t>
  </si>
  <si>
    <t>A definir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</si>
</sst>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5"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11"/>
      <color rgb="FF000000"/>
      <name val="Aptos Narrow"/>
      <family val="2"/>
    </font>
    <font>
      <sz val="8"/>
      <color rgb="FF000000"/>
      <name val="Calibri"/>
      <family val="2"/>
    </font>
    <font>
      <b/>
      <sz val="9"/>
      <color rgb="FF000000"/>
      <name val="Calibri"/>
      <family val="2"/>
    </font>
  </fonts>
  <fills count="60">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
      <patternFill patternType="solid">
        <fgColor rgb="FFFCE4D6"/>
        <bgColor rgb="FF000000"/>
      </patternFill>
    </fill>
    <fill>
      <patternFill patternType="solid">
        <fgColor rgb="FFD9E1F2"/>
        <bgColor rgb="FFD9E1F2"/>
      </patternFill>
    </fill>
  </fills>
  <borders count="3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right/>
      <top style="medium">
        <color theme="0" tint="-0.14996795556505021"/>
      </top>
      <bottom/>
      <diagonal/>
    </border>
    <border>
      <left/>
      <right/>
      <top/>
      <bottom style="medium">
        <color theme="0" tint="-0.14996795556505021"/>
      </bottom>
      <diagonal/>
    </border>
    <border>
      <left/>
      <right/>
      <top style="thin">
        <color indexed="64"/>
      </top>
      <bottom style="thin">
        <color rgb="FF8EA9DB"/>
      </bottom>
      <diagonal/>
    </border>
    <border>
      <left style="thin">
        <color indexed="64"/>
      </left>
      <right/>
      <top style="thin">
        <color indexed="64"/>
      </top>
      <bottom style="thin">
        <color rgb="FF8EA9DB"/>
      </bottom>
      <diagonal/>
    </border>
    <border>
      <left style="thin">
        <color indexed="64"/>
      </left>
      <right style="thin">
        <color indexed="64"/>
      </right>
      <top style="thin">
        <color indexed="64"/>
      </top>
      <bottom style="thin">
        <color rgb="FF8EA9DB"/>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4" borderId="0" applyNumberFormat="0" applyBorder="0" applyAlignment="0" applyProtection="0"/>
    <xf numFmtId="0" fontId="20" fillId="15" borderId="0" applyNumberFormat="0" applyBorder="0" applyAlignment="0" applyProtection="0"/>
    <xf numFmtId="0" fontId="21" fillId="16" borderId="0" applyNumberFormat="0" applyBorder="0" applyAlignment="0" applyProtection="0"/>
    <xf numFmtId="0" fontId="22" fillId="17" borderId="11" applyNumberFormat="0" applyAlignment="0" applyProtection="0"/>
    <xf numFmtId="0" fontId="23" fillId="18" borderId="12" applyNumberFormat="0" applyAlignment="0" applyProtection="0"/>
    <xf numFmtId="0" fontId="24" fillId="18" borderId="11" applyNumberFormat="0" applyAlignment="0" applyProtection="0"/>
    <xf numFmtId="0" fontId="25" fillId="0" borderId="13" applyNumberFormat="0" applyFill="0" applyAlignment="0" applyProtection="0"/>
    <xf numFmtId="0" fontId="26" fillId="19" borderId="14" applyNumberFormat="0" applyAlignment="0" applyProtection="0"/>
    <xf numFmtId="0" fontId="27" fillId="0" borderId="0" applyNumberFormat="0" applyFill="0" applyBorder="0" applyAlignment="0" applyProtection="0"/>
    <xf numFmtId="0" fontId="8" fillId="20"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4"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4"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4"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4"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4"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22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1" applyFont="1" applyFill="1" applyBorder="1" applyAlignment="1">
      <alignment horizontal="center" vertical="center"/>
    </xf>
    <xf numFmtId="9" fontId="4" fillId="11" borderId="2" xfId="1" applyFont="1" applyFill="1" applyBorder="1" applyAlignment="1">
      <alignment horizontal="center" vertical="center"/>
    </xf>
    <xf numFmtId="0" fontId="5" fillId="5" borderId="2" xfId="0" applyFont="1" applyFill="1" applyBorder="1" applyAlignment="1">
      <alignment horizontal="left" vertical="center" indent="1"/>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8" borderId="2" xfId="10" applyFill="1">
      <alignment horizontal="center" vertical="center"/>
    </xf>
    <xf numFmtId="0" fontId="8" fillId="3" borderId="2" xfId="10" applyFill="1">
      <alignment horizontal="center" vertical="center"/>
    </xf>
    <xf numFmtId="0" fontId="8" fillId="9" borderId="2" xfId="10" applyFill="1">
      <alignment horizontal="center" vertical="center"/>
    </xf>
    <xf numFmtId="0" fontId="8" fillId="4" borderId="2" xfId="10" applyFill="1">
      <alignment horizontal="center" vertical="center"/>
    </xf>
    <xf numFmtId="0" fontId="8" fillId="6" borderId="2" xfId="10" applyFill="1">
      <alignment horizontal="center" vertical="center"/>
    </xf>
    <xf numFmtId="0" fontId="8" fillId="11"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11"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3" borderId="2" xfId="9" applyFill="1">
      <alignment horizontal="center" vertical="center"/>
    </xf>
    <xf numFmtId="165" fontId="0" fillId="9" borderId="2" xfId="0" applyNumberFormat="1" applyFill="1" applyBorder="1" applyAlignment="1">
      <alignment horizontal="center" vertical="center"/>
    </xf>
    <xf numFmtId="165" fontId="4" fillId="9" borderId="2" xfId="0" applyNumberFormat="1" applyFont="1" applyFill="1" applyBorder="1" applyAlignment="1">
      <alignment horizontal="center" vertical="center"/>
    </xf>
    <xf numFmtId="165" fontId="8" fillId="4" borderId="2" xfId="9" applyFill="1">
      <alignment horizontal="center" vertical="center"/>
    </xf>
    <xf numFmtId="165" fontId="0" fillId="6" borderId="2" xfId="0" applyNumberFormat="1" applyFill="1" applyBorder="1" applyAlignment="1">
      <alignment horizontal="center" vertical="center"/>
    </xf>
    <xf numFmtId="165" fontId="4" fillId="6" borderId="2" xfId="0" applyNumberFormat="1" applyFont="1" applyFill="1" applyBorder="1" applyAlignment="1">
      <alignment horizontal="center" vertical="center"/>
    </xf>
    <xf numFmtId="165" fontId="8" fillId="11"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7" borderId="6" xfId="0" applyNumberFormat="1" applyFont="1" applyFill="1" applyBorder="1" applyAlignment="1">
      <alignment horizontal="center" vertical="center"/>
    </xf>
    <xf numFmtId="167" fontId="29" fillId="7" borderId="0" xfId="0" applyNumberFormat="1" applyFont="1" applyFill="1" applyAlignment="1">
      <alignment horizontal="center" vertical="center"/>
    </xf>
    <xf numFmtId="167" fontId="29" fillId="7"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5" borderId="0" xfId="0" applyFill="1"/>
    <xf numFmtId="167" fontId="29" fillId="45" borderId="0" xfId="0" applyNumberFormat="1" applyFont="1" applyFill="1" applyAlignment="1">
      <alignment horizontal="center" vertical="center"/>
    </xf>
    <xf numFmtId="0" fontId="10"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29" fillId="6" borderId="0" xfId="0" applyNumberFormat="1" applyFont="1" applyFill="1" applyAlignment="1">
      <alignment horizontal="center" vertical="center"/>
    </xf>
    <xf numFmtId="0" fontId="10" fillId="6" borderId="8" xfId="0" applyFont="1" applyFill="1" applyBorder="1" applyAlignment="1">
      <alignment horizontal="center" vertical="center" shrinkToFit="1"/>
    </xf>
    <xf numFmtId="0" fontId="0" fillId="6" borderId="9" xfId="0" applyFill="1" applyBorder="1" applyAlignment="1">
      <alignment vertical="center"/>
    </xf>
    <xf numFmtId="0" fontId="30" fillId="47" borderId="17" xfId="0" applyFont="1" applyFill="1" applyBorder="1" applyAlignment="1">
      <alignment horizontal="center" vertical="center"/>
    </xf>
    <xf numFmtId="0" fontId="31" fillId="0" borderId="17" xfId="0" applyFont="1" applyBorder="1" applyAlignment="1">
      <alignment horizontal="center" vertical="center"/>
    </xf>
    <xf numFmtId="0" fontId="31" fillId="48" borderId="17" xfId="0" applyFont="1" applyFill="1" applyBorder="1" applyAlignment="1">
      <alignment horizontal="center" vertical="center"/>
    </xf>
    <xf numFmtId="0" fontId="0" fillId="11" borderId="2" xfId="11" applyFont="1" applyFill="1">
      <alignment horizontal="left" vertical="center" indent="2"/>
    </xf>
    <xf numFmtId="0" fontId="5" fillId="51" borderId="2" xfId="0" applyFont="1" applyFill="1" applyBorder="1" applyAlignment="1">
      <alignment horizontal="left" vertical="center" indent="1"/>
    </xf>
    <xf numFmtId="14" fontId="8"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8" fillId="9" borderId="2" xfId="11" applyFill="1">
      <alignment horizontal="left" vertical="center" indent="2"/>
    </xf>
    <xf numFmtId="0" fontId="26" fillId="46" borderId="17" xfId="0" applyFont="1" applyFill="1" applyBorder="1" applyAlignment="1">
      <alignment horizontal="center"/>
    </xf>
    <xf numFmtId="0" fontId="26" fillId="46" borderId="19" xfId="0" applyFont="1" applyFill="1" applyBorder="1" applyAlignment="1">
      <alignment horizontal="center"/>
    </xf>
    <xf numFmtId="0" fontId="26" fillId="46" borderId="20" xfId="0" applyFont="1" applyFill="1" applyBorder="1" applyAlignment="1">
      <alignment horizontal="center"/>
    </xf>
    <xf numFmtId="0" fontId="30" fillId="48" borderId="17" xfId="0" applyFont="1" applyFill="1" applyBorder="1" applyAlignment="1">
      <alignment horizontal="center" vertical="center"/>
    </xf>
    <xf numFmtId="0" fontId="30" fillId="48" borderId="19" xfId="0" applyFont="1" applyFill="1" applyBorder="1" applyAlignment="1">
      <alignment horizontal="center" vertical="center"/>
    </xf>
    <xf numFmtId="0" fontId="31" fillId="48" borderId="20" xfId="0" applyFont="1" applyFill="1" applyBorder="1" applyAlignment="1">
      <alignment horizontal="center" vertical="center"/>
    </xf>
    <xf numFmtId="0" fontId="30" fillId="0" borderId="17" xfId="0" applyFont="1" applyBorder="1" applyAlignment="1">
      <alignment horizontal="center" vertical="center"/>
    </xf>
    <xf numFmtId="0" fontId="30" fillId="0" borderId="19" xfId="0" applyFont="1" applyBorder="1" applyAlignment="1">
      <alignment horizontal="center" vertical="center"/>
    </xf>
    <xf numFmtId="0" fontId="31" fillId="0" borderId="20" xfId="0" applyFont="1" applyBorder="1" applyAlignment="1">
      <alignment horizontal="center" vertical="center"/>
    </xf>
    <xf numFmtId="0" fontId="30" fillId="47" borderId="21" xfId="0" applyFont="1" applyFill="1" applyBorder="1" applyAlignment="1">
      <alignment horizontal="center" vertical="center"/>
    </xf>
    <xf numFmtId="0" fontId="30" fillId="0" borderId="22" xfId="0" applyFont="1" applyBorder="1" applyAlignment="1">
      <alignment horizontal="center" vertical="center"/>
    </xf>
    <xf numFmtId="0" fontId="31" fillId="0" borderId="23" xfId="0" applyFont="1" applyBorder="1" applyAlignment="1">
      <alignment horizontal="center" vertical="center"/>
    </xf>
    <xf numFmtId="0" fontId="30" fillId="48" borderId="22" xfId="0" applyFont="1" applyFill="1" applyBorder="1" applyAlignment="1">
      <alignment horizontal="center" vertical="center"/>
    </xf>
    <xf numFmtId="0" fontId="31" fillId="48" borderId="23" xfId="0" applyFont="1" applyFill="1" applyBorder="1" applyAlignment="1">
      <alignment horizontal="center" vertical="center"/>
    </xf>
    <xf numFmtId="0" fontId="0" fillId="10" borderId="2" xfId="11" applyFont="1" applyFill="1" applyAlignment="1">
      <alignment horizontal="center" vertical="center"/>
    </xf>
    <xf numFmtId="0" fontId="37" fillId="54" borderId="24" xfId="0" applyFont="1" applyFill="1" applyBorder="1"/>
    <xf numFmtId="0" fontId="39" fillId="0" borderId="24" xfId="0" applyFont="1" applyBorder="1"/>
    <xf numFmtId="0" fontId="38" fillId="55" borderId="25" xfId="0" applyFont="1" applyFill="1" applyBorder="1"/>
    <xf numFmtId="0" fontId="39" fillId="0" borderId="25" xfId="0" applyFont="1" applyBorder="1"/>
    <xf numFmtId="0" fontId="0" fillId="0" borderId="10" xfId="0" applyBorder="1" applyAlignment="1">
      <alignment horizontal="center"/>
    </xf>
    <xf numFmtId="0" fontId="38" fillId="54" borderId="24" xfId="0" applyFont="1" applyFill="1" applyBorder="1" applyAlignment="1">
      <alignment horizontal="center"/>
    </xf>
    <xf numFmtId="14" fontId="38"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8" fillId="0" borderId="3" xfId="8" applyNumberFormat="1">
      <alignment horizontal="center" vertical="center"/>
    </xf>
    <xf numFmtId="14" fontId="8" fillId="0" borderId="0" xfId="7" applyNumberFormat="1" applyAlignment="1">
      <alignment horizontal="center" vertical="center"/>
    </xf>
    <xf numFmtId="14" fontId="0" fillId="0" borderId="10" xfId="0" applyNumberFormat="1" applyBorder="1" applyAlignment="1">
      <alignment horizontal="center" vertical="center"/>
    </xf>
    <xf numFmtId="14" fontId="6" fillId="13" borderId="1" xfId="0" applyNumberFormat="1" applyFont="1" applyFill="1" applyBorder="1" applyAlignment="1">
      <alignment horizontal="center" vertical="center" wrapText="1"/>
    </xf>
    <xf numFmtId="14" fontId="8" fillId="4" borderId="2" xfId="9" applyNumberFormat="1" applyFill="1">
      <alignment horizontal="center" vertical="center"/>
    </xf>
    <xf numFmtId="14" fontId="8" fillId="50" borderId="2" xfId="9" applyNumberFormat="1" applyFill="1">
      <alignment horizontal="center" vertical="center"/>
    </xf>
    <xf numFmtId="14" fontId="8" fillId="11" borderId="2" xfId="9" applyNumberFormat="1" applyFill="1">
      <alignment horizontal="center" vertical="center"/>
    </xf>
    <xf numFmtId="14" fontId="0" fillId="11" borderId="2" xfId="9" applyNumberFormat="1" applyFont="1" applyFill="1">
      <alignment horizontal="center" vertical="center"/>
    </xf>
    <xf numFmtId="14" fontId="8" fillId="10" borderId="2" xfId="9" applyNumberFormat="1" applyFill="1">
      <alignment horizontal="center" vertical="center"/>
    </xf>
    <xf numFmtId="14" fontId="0" fillId="5" borderId="2" xfId="0" applyNumberFormat="1" applyFill="1" applyBorder="1" applyAlignment="1">
      <alignment horizontal="center" vertical="center"/>
    </xf>
    <xf numFmtId="14" fontId="4"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4" fillId="51" borderId="2" xfId="0" applyNumberFormat="1" applyFont="1" applyFill="1" applyBorder="1" applyAlignment="1">
      <alignment horizontal="center" vertical="center"/>
    </xf>
    <xf numFmtId="14" fontId="8" fillId="9" borderId="2" xfId="9" applyNumberFormat="1" applyFill="1">
      <alignment horizontal="center" vertical="center"/>
    </xf>
    <xf numFmtId="14" fontId="0" fillId="6" borderId="2" xfId="0" applyNumberFormat="1" applyFill="1" applyBorder="1" applyAlignment="1">
      <alignment horizontal="center" vertical="center"/>
    </xf>
    <xf numFmtId="14" fontId="4" fillId="6" borderId="2" xfId="0" applyNumberFormat="1" applyFont="1" applyFill="1" applyBorder="1" applyAlignment="1">
      <alignment horizontal="center" vertical="center"/>
    </xf>
    <xf numFmtId="14" fontId="38" fillId="54" borderId="24"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8" fillId="0" borderId="2" xfId="9" applyNumberFormat="1">
      <alignment horizontal="center" vertical="center"/>
    </xf>
    <xf numFmtId="14" fontId="3" fillId="2" borderId="2" xfId="0" applyNumberFormat="1" applyFont="1" applyFill="1" applyBorder="1" applyAlignment="1">
      <alignment horizontal="center" vertical="center"/>
    </xf>
    <xf numFmtId="14" fontId="4" fillId="2" borderId="2" xfId="0" applyNumberFormat="1" applyFont="1" applyFill="1" applyBorder="1" applyAlignment="1">
      <alignment horizontal="center" vertical="center"/>
    </xf>
    <xf numFmtId="0" fontId="1" fillId="0" borderId="0" xfId="0" applyFont="1" applyAlignment="1">
      <alignment horizontal="center"/>
    </xf>
    <xf numFmtId="168" fontId="30" fillId="0" borderId="18" xfId="8" applyFont="1" applyBorder="1" applyAlignment="1">
      <alignment horizontal="center" vertical="center" wrapText="1"/>
    </xf>
    <xf numFmtId="0" fontId="0" fillId="0" borderId="0" xfId="0" applyAlignment="1">
      <alignment horizontal="center" wrapText="1"/>
    </xf>
    <xf numFmtId="0" fontId="8" fillId="53" borderId="2" xfId="10" applyFill="1">
      <alignment horizontal="center" vertical="center"/>
    </xf>
    <xf numFmtId="0" fontId="0" fillId="11" borderId="2" xfId="10" applyFont="1" applyFill="1">
      <alignment horizontal="center" vertical="center"/>
    </xf>
    <xf numFmtId="0" fontId="8" fillId="10" borderId="2" xfId="10" applyFill="1">
      <alignment horizontal="center" vertical="center"/>
    </xf>
    <xf numFmtId="0" fontId="0" fillId="5" borderId="2" xfId="10" applyFont="1" applyFill="1">
      <alignment horizontal="center" vertical="center"/>
    </xf>
    <xf numFmtId="0" fontId="8" fillId="51" borderId="2" xfId="10" applyFill="1">
      <alignment horizontal="center" vertical="center"/>
    </xf>
    <xf numFmtId="0" fontId="8" fillId="50" borderId="2" xfId="10" applyFill="1">
      <alignment horizontal="center" vertical="center"/>
    </xf>
    <xf numFmtId="0" fontId="0" fillId="6" borderId="2" xfId="10" applyFont="1" applyFill="1">
      <alignment horizontal="center" vertical="center"/>
    </xf>
    <xf numFmtId="0" fontId="38" fillId="55" borderId="25" xfId="0" applyFont="1" applyFill="1" applyBorder="1" applyAlignment="1">
      <alignment horizontal="center"/>
    </xf>
    <xf numFmtId="0" fontId="0" fillId="10" borderId="2" xfId="10" applyFont="1" applyFill="1">
      <alignment horizontal="center" vertical="center"/>
    </xf>
    <xf numFmtId="0" fontId="8" fillId="45" borderId="2" xfId="11" applyFill="1">
      <alignment horizontal="left" vertical="center" indent="2"/>
    </xf>
    <xf numFmtId="0" fontId="8" fillId="45" borderId="2" xfId="10" applyFill="1">
      <alignment horizontal="center" vertical="center"/>
    </xf>
    <xf numFmtId="14" fontId="8"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4" fillId="56" borderId="2" xfId="0" applyFont="1" applyFill="1" applyBorder="1" applyAlignment="1">
      <alignment horizontal="center" vertical="center"/>
    </xf>
    <xf numFmtId="0" fontId="42" fillId="0" borderId="0" xfId="0" applyFont="1"/>
    <xf numFmtId="0" fontId="16"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2" fillId="48" borderId="17" xfId="53" applyFill="1" applyBorder="1" applyAlignment="1">
      <alignment horizontal="center" vertical="center"/>
    </xf>
    <xf numFmtId="0" fontId="32" fillId="0" borderId="17" xfId="53" applyBorder="1" applyAlignment="1">
      <alignment horizontal="center" vertical="center"/>
    </xf>
    <xf numFmtId="0" fontId="8" fillId="3" borderId="27" xfId="10" applyFill="1" applyBorder="1">
      <alignment horizontal="center" vertical="center"/>
    </xf>
    <xf numFmtId="14" fontId="8" fillId="3" borderId="27" xfId="9" applyNumberFormat="1" applyFill="1" applyBorder="1">
      <alignment horizontal="center" vertical="center"/>
    </xf>
    <xf numFmtId="0" fontId="8" fillId="57" borderId="2" xfId="11" applyFill="1">
      <alignment horizontal="left" vertical="center" indent="2"/>
    </xf>
    <xf numFmtId="0" fontId="8" fillId="57" borderId="2" xfId="10" applyFill="1">
      <alignment horizontal="center" vertical="center"/>
    </xf>
    <xf numFmtId="14" fontId="8" fillId="57" borderId="2" xfId="9" applyNumberFormat="1" applyFill="1">
      <alignment horizontal="center" vertical="center"/>
    </xf>
    <xf numFmtId="16" fontId="0" fillId="0" borderId="9" xfId="0" applyNumberFormat="1" applyBorder="1" applyAlignment="1">
      <alignment horizontal="right" vertical="center"/>
    </xf>
    <xf numFmtId="0" fontId="36" fillId="3" borderId="17" xfId="11" applyFont="1" applyFill="1" applyBorder="1">
      <alignment horizontal="left" vertical="center" indent="2"/>
    </xf>
    <xf numFmtId="0" fontId="8" fillId="3" borderId="17" xfId="10" applyFill="1" applyBorder="1">
      <alignment horizontal="center" vertical="center"/>
    </xf>
    <xf numFmtId="14" fontId="8" fillId="3" borderId="17" xfId="9" applyNumberFormat="1" applyFill="1" applyBorder="1">
      <alignment horizontal="center" vertical="center"/>
    </xf>
    <xf numFmtId="0" fontId="8" fillId="3" borderId="17" xfId="11" applyFill="1" applyBorder="1">
      <alignment horizontal="left" vertical="center" indent="2"/>
    </xf>
    <xf numFmtId="0" fontId="27" fillId="3" borderId="17" xfId="10" applyFont="1" applyFill="1" applyBorder="1">
      <alignment horizontal="center" vertical="center"/>
    </xf>
    <xf numFmtId="0" fontId="0" fillId="3" borderId="17" xfId="10" applyFont="1" applyFill="1" applyBorder="1">
      <alignment horizontal="center" vertical="center"/>
    </xf>
    <xf numFmtId="166" fontId="30" fillId="7" borderId="4" xfId="0" applyNumberFormat="1" applyFont="1" applyFill="1" applyBorder="1" applyAlignment="1">
      <alignment horizontal="left" vertical="center" textRotation="90" wrapText="1"/>
    </xf>
    <xf numFmtId="166" fontId="30" fillId="7" borderId="1" xfId="0" applyNumberFormat="1" applyFont="1" applyFill="1" applyBorder="1" applyAlignment="1">
      <alignment horizontal="left" vertical="center" textRotation="90" wrapText="1"/>
    </xf>
    <xf numFmtId="166" fontId="30" fillId="7" borderId="5" xfId="0" applyNumberFormat="1" applyFont="1" applyFill="1" applyBorder="1" applyAlignment="1">
      <alignment horizontal="left" vertical="center" textRotation="90" wrapText="1"/>
    </xf>
    <xf numFmtId="0" fontId="4" fillId="45" borderId="2" xfId="0" applyFont="1" applyFill="1" applyBorder="1" applyAlignment="1">
      <alignment horizontal="center" vertical="center"/>
    </xf>
    <xf numFmtId="0" fontId="32" fillId="48" borderId="20" xfId="53" applyFill="1" applyBorder="1" applyAlignment="1" applyProtection="1">
      <alignment horizontal="center" vertical="center"/>
    </xf>
    <xf numFmtId="0" fontId="32" fillId="0" borderId="20" xfId="53" applyBorder="1" applyAlignment="1" applyProtection="1">
      <alignment horizontal="center" vertical="center"/>
    </xf>
    <xf numFmtId="0" fontId="32" fillId="48" borderId="20" xfId="53" applyFill="1" applyBorder="1" applyAlignment="1">
      <alignment horizontal="center" vertical="center"/>
    </xf>
    <xf numFmtId="0" fontId="32" fillId="0" borderId="23" xfId="53" applyBorder="1" applyAlignment="1" applyProtection="1">
      <alignment horizontal="center" vertical="center"/>
    </xf>
    <xf numFmtId="0" fontId="32" fillId="48" borderId="23" xfId="53" applyFill="1" applyBorder="1" applyAlignment="1">
      <alignment horizontal="center" vertical="center"/>
    </xf>
    <xf numFmtId="0" fontId="32" fillId="0" borderId="23" xfId="53" applyBorder="1" applyAlignment="1">
      <alignment horizontal="center" vertical="center"/>
    </xf>
    <xf numFmtId="0" fontId="32" fillId="0" borderId="20" xfId="53" applyBorder="1" applyAlignment="1">
      <alignment horizontal="center" vertical="center"/>
    </xf>
    <xf numFmtId="0" fontId="32" fillId="48" borderId="23" xfId="53" applyFill="1" applyBorder="1" applyAlignment="1" applyProtection="1">
      <alignment horizontal="center" vertical="center"/>
    </xf>
    <xf numFmtId="0" fontId="32" fillId="48" borderId="17" xfId="53" applyFill="1" applyBorder="1" applyAlignment="1" applyProtection="1">
      <alignment horizontal="center" vertical="center"/>
    </xf>
    <xf numFmtId="0" fontId="32" fillId="0" borderId="17" xfId="53" applyBorder="1" applyAlignment="1" applyProtection="1">
      <alignment horizontal="center" vertical="center"/>
    </xf>
    <xf numFmtId="0" fontId="32" fillId="0" borderId="17" xfId="54" applyFill="1" applyBorder="1" applyAlignment="1" applyProtection="1">
      <alignment horizontal="center" vertical="center"/>
    </xf>
    <xf numFmtId="0" fontId="43" fillId="58" borderId="17" xfId="0" applyFont="1" applyFill="1" applyBorder="1" applyAlignment="1">
      <alignment horizontal="center"/>
    </xf>
    <xf numFmtId="0" fontId="43" fillId="59" borderId="17" xfId="0" applyFont="1" applyFill="1" applyBorder="1" applyAlignment="1">
      <alignment horizontal="center"/>
    </xf>
    <xf numFmtId="0" fontId="43" fillId="0" borderId="17" xfId="0" applyFont="1" applyBorder="1" applyAlignment="1">
      <alignment horizontal="center"/>
    </xf>
    <xf numFmtId="0" fontId="32" fillId="48" borderId="20" xfId="54" applyFill="1" applyBorder="1" applyAlignment="1" applyProtection="1">
      <alignment horizontal="center" vertical="center"/>
    </xf>
    <xf numFmtId="0" fontId="32" fillId="0" borderId="20" xfId="54" applyFill="1" applyBorder="1" applyAlignment="1" applyProtection="1">
      <alignment horizontal="center" vertical="center"/>
    </xf>
    <xf numFmtId="0" fontId="43" fillId="59" borderId="22" xfId="0" applyFont="1" applyFill="1" applyBorder="1" applyAlignment="1">
      <alignment horizontal="center"/>
    </xf>
    <xf numFmtId="0" fontId="44" fillId="59" borderId="23" xfId="0" applyFont="1" applyFill="1" applyBorder="1" applyAlignment="1">
      <alignment horizontal="center"/>
    </xf>
    <xf numFmtId="0" fontId="44" fillId="59" borderId="20" xfId="0" applyFont="1" applyFill="1" applyBorder="1" applyAlignment="1">
      <alignment horizontal="center"/>
    </xf>
    <xf numFmtId="0" fontId="32" fillId="59" borderId="23" xfId="54" applyFill="1" applyBorder="1" applyAlignment="1">
      <alignment horizontal="center"/>
    </xf>
    <xf numFmtId="0" fontId="43" fillId="0" borderId="19" xfId="0" applyFont="1" applyBorder="1" applyAlignment="1">
      <alignment horizontal="center"/>
    </xf>
    <xf numFmtId="0" fontId="44" fillId="0" borderId="20" xfId="0" applyFont="1" applyBorder="1" applyAlignment="1">
      <alignment horizontal="center"/>
    </xf>
    <xf numFmtId="0" fontId="32" fillId="0" borderId="20" xfId="54" applyFill="1" applyBorder="1" applyAlignment="1">
      <alignment horizontal="center"/>
    </xf>
    <xf numFmtId="0" fontId="30" fillId="0" borderId="28" xfId="0" applyFont="1" applyBorder="1" applyAlignment="1">
      <alignment horizontal="center" vertical="center"/>
    </xf>
    <xf numFmtId="0" fontId="32" fillId="0" borderId="29" xfId="53" applyBorder="1" applyAlignment="1" applyProtection="1">
      <alignment horizontal="center" vertical="center"/>
    </xf>
    <xf numFmtId="0" fontId="31" fillId="0" borderId="29" xfId="0" applyFont="1" applyBorder="1" applyAlignment="1">
      <alignment horizontal="center" vertical="center"/>
    </xf>
    <xf numFmtId="0" fontId="30" fillId="47" borderId="30" xfId="0" applyFont="1" applyFill="1" applyBorder="1" applyAlignment="1">
      <alignment horizontal="center" vertical="center"/>
    </xf>
    <xf numFmtId="0" fontId="30" fillId="48" borderId="28" xfId="0" applyFont="1" applyFill="1" applyBorder="1" applyAlignment="1">
      <alignment horizontal="center" vertical="center"/>
    </xf>
    <xf numFmtId="0" fontId="32" fillId="48" borderId="29" xfId="53" applyFill="1" applyBorder="1" applyAlignment="1" applyProtection="1">
      <alignment horizontal="center" vertical="center"/>
    </xf>
    <xf numFmtId="0" fontId="31" fillId="48" borderId="29" xfId="0" applyFont="1" applyFill="1" applyBorder="1" applyAlignment="1">
      <alignment horizontal="center" vertical="center"/>
    </xf>
    <xf numFmtId="166" fontId="30" fillId="7" borderId="4" xfId="0" applyNumberFormat="1" applyFont="1" applyFill="1" applyBorder="1" applyAlignment="1">
      <alignment horizontal="left" vertical="center" textRotation="90" wrapText="1"/>
    </xf>
    <xf numFmtId="166" fontId="30" fillId="7" borderId="1" xfId="0" applyNumberFormat="1" applyFont="1" applyFill="1" applyBorder="1" applyAlignment="1">
      <alignment horizontal="left" vertical="center" textRotation="90" wrapText="1"/>
    </xf>
    <xf numFmtId="166" fontId="30" fillId="7" borderId="5" xfId="0" applyNumberFormat="1" applyFont="1" applyFill="1" applyBorder="1" applyAlignment="1">
      <alignment horizontal="left" vertical="center" textRotation="90" wrapText="1"/>
    </xf>
    <xf numFmtId="0" fontId="5" fillId="8" borderId="17" xfId="0" applyFont="1" applyFill="1" applyBorder="1" applyAlignment="1">
      <alignment horizontal="center" vertical="center" indent="1"/>
    </xf>
    <xf numFmtId="0" fontId="30" fillId="0" borderId="0" xfId="0" applyFont="1" applyAlignment="1">
      <alignment horizontal="center" textRotation="255"/>
    </xf>
    <xf numFmtId="0" fontId="0" fillId="0" borderId="0" xfId="0" applyAlignment="1">
      <alignment horizontal="center" textRotation="255"/>
    </xf>
    <xf numFmtId="0" fontId="35" fillId="46" borderId="26" xfId="11" applyFont="1" applyFill="1" applyBorder="1" applyAlignment="1">
      <alignment horizontal="center" vertical="center"/>
    </xf>
    <xf numFmtId="0" fontId="34" fillId="49" borderId="0" xfId="0" applyFont="1" applyFill="1" applyAlignment="1">
      <alignment horizontal="center" textRotation="90"/>
    </xf>
    <xf numFmtId="168" fontId="30" fillId="0" borderId="3" xfId="8" applyFont="1">
      <alignment horizontal="center" vertical="center"/>
    </xf>
    <xf numFmtId="0" fontId="5" fillId="9" borderId="2" xfId="0" applyFont="1" applyFill="1" applyBorder="1" applyAlignment="1">
      <alignment horizontal="center" vertical="center"/>
    </xf>
    <xf numFmtId="0" fontId="5" fillId="9" borderId="2" xfId="0" applyFont="1" applyFill="1" applyBorder="1" applyAlignment="1">
      <alignment horizontal="center" vertical="center" indent="1"/>
    </xf>
    <xf numFmtId="0" fontId="5" fillId="51" borderId="2" xfId="0" applyFont="1" applyFill="1" applyBorder="1" applyAlignment="1">
      <alignment horizontal="center" vertical="center" indent="1"/>
    </xf>
    <xf numFmtId="0" fontId="5" fillId="6" borderId="2" xfId="0" applyFont="1" applyFill="1" applyBorder="1" applyAlignment="1">
      <alignment horizontal="center" vertical="center" indent="1"/>
    </xf>
    <xf numFmtId="0" fontId="5" fillId="5" borderId="2" xfId="0" applyFont="1" applyFill="1" applyBorder="1" applyAlignment="1">
      <alignment horizontal="center" vertical="center" indent="1"/>
    </xf>
    <xf numFmtId="0" fontId="35" fillId="46" borderId="2" xfId="11" applyFont="1" applyFill="1" applyAlignment="1">
      <alignment horizontal="center" vertical="center"/>
    </xf>
    <xf numFmtId="0" fontId="5" fillId="52" borderId="2" xfId="11" applyFont="1" applyFill="1" applyAlignment="1">
      <alignment horizontal="center" vertical="center"/>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86EE6988-D684-4F8E-B262-A6F160AAF37E}"/>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2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27"/>
      <tableStyleElement type="headerRow" dxfId="126"/>
      <tableStyleElement type="totalRow" dxfId="125"/>
      <tableStyleElement type="firstColumn" dxfId="124"/>
      <tableStyleElement type="lastColumn" dxfId="123"/>
      <tableStyleElement type="firstRowStripe" dxfId="122"/>
      <tableStyleElement type="secondRowStripe" dxfId="121"/>
      <tableStyleElement type="firstColumnStripe" dxfId="120"/>
      <tableStyleElement type="secondColumnStripe" dxfId="119"/>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0"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jluiscruz@petrobras.com.br" TargetMode="External"/><Relationship Id="rId50" Type="http://schemas.openxmlformats.org/officeDocument/2006/relationships/hyperlink" Target="mailto:acdantas@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fredericoaugusto@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aureliorv@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filipi.pint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crodrig@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H55"/>
  <sheetViews>
    <sheetView showGridLines="0" tabSelected="1" zoomScale="85" zoomScaleNormal="85" workbookViewId="0">
      <pane ySplit="1" topLeftCell="A11" activePane="bottomLeft" state="frozen"/>
      <selection pane="bottomLeft" activeCell="M17" sqref="M17"/>
    </sheetView>
  </sheetViews>
  <sheetFormatPr defaultRowHeight="15" x14ac:dyDescent="0.25"/>
  <sheetData>
    <row r="1" spans="1:8" x14ac:dyDescent="0.25">
      <c r="A1" s="88" t="s">
        <v>0</v>
      </c>
      <c r="B1" s="89" t="s">
        <v>1</v>
      </c>
      <c r="C1" s="89" t="s">
        <v>2</v>
      </c>
      <c r="D1" s="89" t="s">
        <v>3</v>
      </c>
      <c r="E1" s="90" t="s">
        <v>4</v>
      </c>
      <c r="F1" s="90" t="s">
        <v>5</v>
      </c>
      <c r="G1" s="90" t="s">
        <v>6</v>
      </c>
      <c r="H1" s="90" t="s">
        <v>7</v>
      </c>
    </row>
    <row r="2" spans="1:8" x14ac:dyDescent="0.25">
      <c r="A2" s="79" t="s">
        <v>26</v>
      </c>
      <c r="B2" s="94">
        <v>1385950</v>
      </c>
      <c r="C2" s="94" t="s">
        <v>162</v>
      </c>
      <c r="D2" s="95" t="s">
        <v>10</v>
      </c>
      <c r="E2" s="96" t="s">
        <v>101</v>
      </c>
      <c r="F2" s="96" t="s">
        <v>28</v>
      </c>
      <c r="G2" s="177" t="s">
        <v>163</v>
      </c>
      <c r="H2" s="93" t="s">
        <v>164</v>
      </c>
    </row>
    <row r="3" spans="1:8" x14ac:dyDescent="0.25">
      <c r="A3" s="79" t="s">
        <v>40</v>
      </c>
      <c r="B3" s="91">
        <v>2477135</v>
      </c>
      <c r="C3" s="91" t="s">
        <v>96</v>
      </c>
      <c r="D3" s="92" t="s">
        <v>10</v>
      </c>
      <c r="E3" s="93" t="s">
        <v>20</v>
      </c>
      <c r="F3" s="93" t="s">
        <v>28</v>
      </c>
      <c r="G3" s="178" t="s">
        <v>97</v>
      </c>
      <c r="H3" s="93" t="s">
        <v>98</v>
      </c>
    </row>
    <row r="4" spans="1:8" x14ac:dyDescent="0.25">
      <c r="A4" s="79" t="s">
        <v>26</v>
      </c>
      <c r="B4" s="91">
        <v>1387328</v>
      </c>
      <c r="C4" s="91" t="s">
        <v>165</v>
      </c>
      <c r="D4" s="92" t="s">
        <v>10</v>
      </c>
      <c r="E4" s="96" t="s">
        <v>101</v>
      </c>
      <c r="F4" s="93" t="s">
        <v>28</v>
      </c>
      <c r="G4" s="190" t="s">
        <v>166</v>
      </c>
      <c r="H4" s="93" t="s">
        <v>167</v>
      </c>
    </row>
    <row r="5" spans="1:8" x14ac:dyDescent="0.25">
      <c r="A5" s="97" t="s">
        <v>40</v>
      </c>
      <c r="B5" s="94">
        <v>9612082</v>
      </c>
      <c r="C5" s="94" t="s">
        <v>69</v>
      </c>
      <c r="D5" s="98" t="s">
        <v>10</v>
      </c>
      <c r="E5" s="99" t="s">
        <v>16</v>
      </c>
      <c r="F5" s="99" t="s">
        <v>28</v>
      </c>
      <c r="G5" s="179" t="s">
        <v>70</v>
      </c>
      <c r="H5" s="99" t="s">
        <v>71</v>
      </c>
    </row>
    <row r="6" spans="1:8" x14ac:dyDescent="0.25">
      <c r="A6" s="97" t="s">
        <v>40</v>
      </c>
      <c r="B6" s="94">
        <v>9724817</v>
      </c>
      <c r="C6" s="94" t="s">
        <v>75</v>
      </c>
      <c r="D6" s="98" t="s">
        <v>10</v>
      </c>
      <c r="E6" s="99" t="s">
        <v>16</v>
      </c>
      <c r="F6" s="99" t="s">
        <v>28</v>
      </c>
      <c r="G6" s="179" t="s">
        <v>76</v>
      </c>
      <c r="H6" s="99" t="s">
        <v>77</v>
      </c>
    </row>
    <row r="7" spans="1:8" x14ac:dyDescent="0.25">
      <c r="A7" s="97" t="s">
        <v>40</v>
      </c>
      <c r="B7" s="91">
        <v>4612098</v>
      </c>
      <c r="C7" s="91" t="s">
        <v>129</v>
      </c>
      <c r="D7" s="100" t="s">
        <v>10</v>
      </c>
      <c r="E7" s="101" t="s">
        <v>11</v>
      </c>
      <c r="F7" s="101" t="s">
        <v>12</v>
      </c>
      <c r="G7" s="183" t="s">
        <v>130</v>
      </c>
      <c r="H7" s="101" t="s">
        <v>131</v>
      </c>
    </row>
    <row r="8" spans="1:8" x14ac:dyDescent="0.25">
      <c r="A8" s="97" t="s">
        <v>40</v>
      </c>
      <c r="B8" s="91">
        <v>4608389</v>
      </c>
      <c r="C8" s="91" t="s">
        <v>54</v>
      </c>
      <c r="D8" s="100" t="s">
        <v>10</v>
      </c>
      <c r="E8" s="101" t="s">
        <v>11</v>
      </c>
      <c r="F8" s="101" t="s">
        <v>12</v>
      </c>
      <c r="G8" s="180" t="s">
        <v>55</v>
      </c>
      <c r="H8" s="101" t="s">
        <v>56</v>
      </c>
    </row>
    <row r="9" spans="1:8" x14ac:dyDescent="0.25">
      <c r="A9" s="79" t="s">
        <v>26</v>
      </c>
      <c r="B9" s="94">
        <v>1385870</v>
      </c>
      <c r="C9" s="94" t="s">
        <v>168</v>
      </c>
      <c r="D9" s="95" t="s">
        <v>10</v>
      </c>
      <c r="E9" s="96" t="s">
        <v>101</v>
      </c>
      <c r="F9" s="96" t="s">
        <v>28</v>
      </c>
      <c r="G9" s="191" t="s">
        <v>169</v>
      </c>
      <c r="H9" s="96" t="s">
        <v>170</v>
      </c>
    </row>
    <row r="10" spans="1:8" x14ac:dyDescent="0.25">
      <c r="A10" s="97" t="s">
        <v>26</v>
      </c>
      <c r="B10" s="91">
        <v>4608411</v>
      </c>
      <c r="C10" s="91" t="s">
        <v>84</v>
      </c>
      <c r="D10" s="92" t="s">
        <v>10</v>
      </c>
      <c r="E10" s="93" t="s">
        <v>20</v>
      </c>
      <c r="F10" s="93" t="s">
        <v>12</v>
      </c>
      <c r="G10" s="176" t="s">
        <v>85</v>
      </c>
      <c r="H10" s="93" t="s">
        <v>86</v>
      </c>
    </row>
    <row r="11" spans="1:8" x14ac:dyDescent="0.25">
      <c r="A11" s="97" t="s">
        <v>26</v>
      </c>
      <c r="B11" s="91">
        <v>1386288</v>
      </c>
      <c r="C11" s="91" t="s">
        <v>171</v>
      </c>
      <c r="D11" s="92" t="s">
        <v>10</v>
      </c>
      <c r="E11" s="96" t="s">
        <v>101</v>
      </c>
      <c r="F11" s="93" t="s">
        <v>28</v>
      </c>
      <c r="G11" s="190" t="s">
        <v>172</v>
      </c>
      <c r="H11" s="93" t="s">
        <v>173</v>
      </c>
    </row>
    <row r="12" spans="1:8" x14ac:dyDescent="0.25">
      <c r="A12" s="97" t="s">
        <v>26</v>
      </c>
      <c r="B12" s="94">
        <v>1386344</v>
      </c>
      <c r="C12" s="94" t="s">
        <v>63</v>
      </c>
      <c r="D12" s="95" t="s">
        <v>10</v>
      </c>
      <c r="E12" s="96" t="s">
        <v>16</v>
      </c>
      <c r="F12" s="99" t="s">
        <v>28</v>
      </c>
      <c r="G12" s="179" t="s">
        <v>64</v>
      </c>
      <c r="H12" s="99" t="s">
        <v>65</v>
      </c>
    </row>
    <row r="13" spans="1:8" x14ac:dyDescent="0.25">
      <c r="A13" s="79" t="s">
        <v>8</v>
      </c>
      <c r="B13" s="91">
        <v>4612140</v>
      </c>
      <c r="C13" s="91" t="s">
        <v>19</v>
      </c>
      <c r="D13" s="100" t="s">
        <v>10</v>
      </c>
      <c r="E13" s="101" t="s">
        <v>20</v>
      </c>
      <c r="F13" s="101" t="s">
        <v>12</v>
      </c>
      <c r="G13" s="183" t="s">
        <v>21</v>
      </c>
      <c r="H13" s="101" t="s">
        <v>22</v>
      </c>
    </row>
    <row r="14" spans="1:8" x14ac:dyDescent="0.25">
      <c r="A14" s="79" t="s">
        <v>40</v>
      </c>
      <c r="B14" s="91">
        <v>2550195</v>
      </c>
      <c r="C14" s="91" t="s">
        <v>135</v>
      </c>
      <c r="D14" s="100" t="s">
        <v>48</v>
      </c>
      <c r="E14" s="101" t="s">
        <v>20</v>
      </c>
      <c r="F14" s="101" t="s">
        <v>28</v>
      </c>
      <c r="G14" s="183" t="s">
        <v>136</v>
      </c>
      <c r="H14" s="93" t="s">
        <v>137</v>
      </c>
    </row>
    <row r="15" spans="1:8" x14ac:dyDescent="0.25">
      <c r="A15" s="79" t="s">
        <v>40</v>
      </c>
      <c r="B15" s="91">
        <v>9618720</v>
      </c>
      <c r="C15" s="91" t="s">
        <v>72</v>
      </c>
      <c r="D15" s="100" t="s">
        <v>10</v>
      </c>
      <c r="E15" s="101" t="s">
        <v>16</v>
      </c>
      <c r="F15" s="93" t="s">
        <v>28</v>
      </c>
      <c r="G15" s="183" t="s">
        <v>73</v>
      </c>
      <c r="H15" s="101" t="s">
        <v>74</v>
      </c>
    </row>
    <row r="16" spans="1:8" x14ac:dyDescent="0.25">
      <c r="A16" s="79" t="s">
        <v>26</v>
      </c>
      <c r="B16" s="91">
        <v>4608474</v>
      </c>
      <c r="C16" s="91" t="s">
        <v>60</v>
      </c>
      <c r="D16" s="100" t="s">
        <v>10</v>
      </c>
      <c r="E16" s="101" t="s">
        <v>16</v>
      </c>
      <c r="F16" s="93" t="s">
        <v>12</v>
      </c>
      <c r="G16" s="183" t="s">
        <v>61</v>
      </c>
      <c r="H16" s="101" t="s">
        <v>62</v>
      </c>
    </row>
    <row r="17" spans="1:8" x14ac:dyDescent="0.25">
      <c r="A17" s="187" t="s">
        <v>40</v>
      </c>
      <c r="B17" s="188">
        <v>4613186</v>
      </c>
      <c r="C17" s="188" t="s">
        <v>141</v>
      </c>
      <c r="D17" s="192" t="s">
        <v>10</v>
      </c>
      <c r="E17" s="193" t="s">
        <v>285</v>
      </c>
      <c r="F17" s="194" t="s">
        <v>12</v>
      </c>
      <c r="G17" s="195" t="s">
        <v>142</v>
      </c>
      <c r="H17" s="193" t="s">
        <v>143</v>
      </c>
    </row>
    <row r="18" spans="1:8" x14ac:dyDescent="0.25">
      <c r="A18" s="79" t="s">
        <v>26</v>
      </c>
      <c r="B18" s="91">
        <v>9886449</v>
      </c>
      <c r="C18" s="91" t="s">
        <v>27</v>
      </c>
      <c r="D18" s="100" t="s">
        <v>10</v>
      </c>
      <c r="E18" s="101" t="s">
        <v>11</v>
      </c>
      <c r="F18" s="93" t="s">
        <v>28</v>
      </c>
      <c r="G18" s="178" t="s">
        <v>29</v>
      </c>
      <c r="H18" s="93" t="s">
        <v>30</v>
      </c>
    </row>
    <row r="19" spans="1:8" x14ac:dyDescent="0.25">
      <c r="A19" s="79" t="s">
        <v>40</v>
      </c>
      <c r="B19" s="94">
        <v>4606694</v>
      </c>
      <c r="C19" s="94" t="s">
        <v>119</v>
      </c>
      <c r="D19" s="98" t="s">
        <v>100</v>
      </c>
      <c r="E19" s="99" t="s">
        <v>101</v>
      </c>
      <c r="F19" s="99" t="s">
        <v>12</v>
      </c>
      <c r="G19" s="181" t="s">
        <v>120</v>
      </c>
      <c r="H19" s="99" t="s">
        <v>121</v>
      </c>
    </row>
    <row r="20" spans="1:8" x14ac:dyDescent="0.25">
      <c r="A20" s="79" t="s">
        <v>40</v>
      </c>
      <c r="B20" s="94">
        <v>2493288</v>
      </c>
      <c r="C20" s="94" t="s">
        <v>113</v>
      </c>
      <c r="D20" s="98" t="s">
        <v>100</v>
      </c>
      <c r="E20" s="99" t="s">
        <v>101</v>
      </c>
      <c r="F20" s="96" t="s">
        <v>28</v>
      </c>
      <c r="G20" s="181" t="s">
        <v>114</v>
      </c>
      <c r="H20" s="99" t="s">
        <v>115</v>
      </c>
    </row>
    <row r="21" spans="1:8" x14ac:dyDescent="0.25">
      <c r="A21" s="187" t="s">
        <v>40</v>
      </c>
      <c r="B21" s="189">
        <v>4613176</v>
      </c>
      <c r="C21" s="189" t="s">
        <v>138</v>
      </c>
      <c r="D21" s="196" t="s">
        <v>10</v>
      </c>
      <c r="E21" s="197" t="s">
        <v>285</v>
      </c>
      <c r="F21" s="197" t="s">
        <v>12</v>
      </c>
      <c r="G21" s="198" t="s">
        <v>139</v>
      </c>
      <c r="H21" s="197" t="s">
        <v>140</v>
      </c>
    </row>
    <row r="22" spans="1:8" x14ac:dyDescent="0.25">
      <c r="A22" s="79" t="s">
        <v>40</v>
      </c>
      <c r="B22" s="94">
        <v>9683150</v>
      </c>
      <c r="C22" s="94" t="s">
        <v>44</v>
      </c>
      <c r="D22" s="95" t="s">
        <v>10</v>
      </c>
      <c r="E22" s="96" t="s">
        <v>11</v>
      </c>
      <c r="F22" s="96" t="s">
        <v>28</v>
      </c>
      <c r="G22" s="182" t="s">
        <v>45</v>
      </c>
      <c r="H22" s="96" t="s">
        <v>46</v>
      </c>
    </row>
    <row r="23" spans="1:8" x14ac:dyDescent="0.25">
      <c r="A23" s="79" t="s">
        <v>8</v>
      </c>
      <c r="B23" s="91">
        <v>9921954</v>
      </c>
      <c r="C23" s="91" t="s">
        <v>176</v>
      </c>
      <c r="D23" s="92" t="s">
        <v>10</v>
      </c>
      <c r="E23" s="93" t="s">
        <v>101</v>
      </c>
      <c r="F23" s="93" t="s">
        <v>28</v>
      </c>
      <c r="G23" s="183" t="s">
        <v>177</v>
      </c>
      <c r="H23" s="101" t="s">
        <v>283</v>
      </c>
    </row>
    <row r="24" spans="1:8" x14ac:dyDescent="0.25">
      <c r="A24" s="79" t="s">
        <v>26</v>
      </c>
      <c r="B24" s="91">
        <v>1385894</v>
      </c>
      <c r="C24" s="91" t="s">
        <v>34</v>
      </c>
      <c r="D24" s="92" t="s">
        <v>10</v>
      </c>
      <c r="E24" s="101" t="s">
        <v>11</v>
      </c>
      <c r="F24" s="93" t="s">
        <v>28</v>
      </c>
      <c r="G24" s="180" t="s">
        <v>35</v>
      </c>
      <c r="H24" s="101" t="s">
        <v>36</v>
      </c>
    </row>
    <row r="25" spans="1:8" x14ac:dyDescent="0.25">
      <c r="A25" s="79" t="s">
        <v>26</v>
      </c>
      <c r="B25" s="91">
        <v>4612393</v>
      </c>
      <c r="C25" s="91" t="s">
        <v>153</v>
      </c>
      <c r="D25" s="92" t="s">
        <v>10</v>
      </c>
      <c r="E25" s="101" t="s">
        <v>20</v>
      </c>
      <c r="F25" s="93" t="s">
        <v>12</v>
      </c>
      <c r="G25" s="183" t="s">
        <v>154</v>
      </c>
      <c r="H25" s="101" t="s">
        <v>155</v>
      </c>
    </row>
    <row r="26" spans="1:8" x14ac:dyDescent="0.25">
      <c r="A26" s="79" t="s">
        <v>8</v>
      </c>
      <c r="B26" s="94">
        <v>9842940</v>
      </c>
      <c r="C26" s="94" t="s">
        <v>23</v>
      </c>
      <c r="D26" s="95" t="s">
        <v>10</v>
      </c>
      <c r="E26" s="99" t="s">
        <v>11</v>
      </c>
      <c r="F26" s="96" t="s">
        <v>12</v>
      </c>
      <c r="G26" s="179" t="s">
        <v>24</v>
      </c>
      <c r="H26" s="99" t="s">
        <v>25</v>
      </c>
    </row>
    <row r="27" spans="1:8" x14ac:dyDescent="0.25">
      <c r="A27" s="79" t="s">
        <v>26</v>
      </c>
      <c r="B27" s="91">
        <v>9678697</v>
      </c>
      <c r="C27" s="91" t="s">
        <v>174</v>
      </c>
      <c r="D27" s="91" t="s">
        <v>10</v>
      </c>
      <c r="E27" s="81" t="s">
        <v>101</v>
      </c>
      <c r="F27" s="93" t="s">
        <v>28</v>
      </c>
      <c r="G27" s="184" t="s">
        <v>175</v>
      </c>
      <c r="H27" s="81" t="s">
        <v>284</v>
      </c>
    </row>
    <row r="28" spans="1:8" x14ac:dyDescent="0.25">
      <c r="A28" s="79" t="s">
        <v>8</v>
      </c>
      <c r="B28" s="94">
        <v>4606246</v>
      </c>
      <c r="C28" s="94" t="s">
        <v>99</v>
      </c>
      <c r="D28" s="94" t="s">
        <v>100</v>
      </c>
      <c r="E28" s="80" t="s">
        <v>101</v>
      </c>
      <c r="F28" s="96" t="s">
        <v>12</v>
      </c>
      <c r="G28" s="159" t="s">
        <v>102</v>
      </c>
      <c r="H28" s="80" t="s">
        <v>103</v>
      </c>
    </row>
    <row r="29" spans="1:8" x14ac:dyDescent="0.25">
      <c r="A29" s="79" t="s">
        <v>26</v>
      </c>
      <c r="B29" s="91">
        <v>4608684</v>
      </c>
      <c r="C29" s="91" t="s">
        <v>66</v>
      </c>
      <c r="D29" s="92" t="s">
        <v>10</v>
      </c>
      <c r="E29" s="81" t="s">
        <v>16</v>
      </c>
      <c r="F29" s="81" t="s">
        <v>12</v>
      </c>
      <c r="G29" s="184" t="s">
        <v>67</v>
      </c>
      <c r="H29" s="81" t="s">
        <v>68</v>
      </c>
    </row>
    <row r="30" spans="1:8" x14ac:dyDescent="0.25">
      <c r="A30" s="79" t="s">
        <v>26</v>
      </c>
      <c r="B30" s="94">
        <v>4608685</v>
      </c>
      <c r="C30" s="94" t="s">
        <v>37</v>
      </c>
      <c r="D30" s="95" t="s">
        <v>10</v>
      </c>
      <c r="E30" s="80" t="s">
        <v>11</v>
      </c>
      <c r="F30" s="80" t="s">
        <v>12</v>
      </c>
      <c r="G30" s="159" t="s">
        <v>38</v>
      </c>
      <c r="H30" s="80" t="s">
        <v>39</v>
      </c>
    </row>
    <row r="31" spans="1:8" x14ac:dyDescent="0.25">
      <c r="A31" s="79" t="s">
        <v>8</v>
      </c>
      <c r="B31" s="94">
        <v>4608544</v>
      </c>
      <c r="C31" s="94" t="s">
        <v>57</v>
      </c>
      <c r="D31" s="95" t="s">
        <v>10</v>
      </c>
      <c r="E31" s="80" t="s">
        <v>16</v>
      </c>
      <c r="F31" s="80" t="s">
        <v>12</v>
      </c>
      <c r="G31" s="159" t="s">
        <v>58</v>
      </c>
      <c r="H31" s="80" t="s">
        <v>59</v>
      </c>
    </row>
    <row r="32" spans="1:8" x14ac:dyDescent="0.25">
      <c r="A32" s="79" t="s">
        <v>26</v>
      </c>
      <c r="B32" s="91">
        <v>229316</v>
      </c>
      <c r="C32" s="91" t="s">
        <v>110</v>
      </c>
      <c r="D32" s="92" t="s">
        <v>100</v>
      </c>
      <c r="E32" s="93" t="s">
        <v>101</v>
      </c>
      <c r="F32" s="81" t="s">
        <v>28</v>
      </c>
      <c r="G32" s="158" t="s">
        <v>111</v>
      </c>
      <c r="H32" s="81" t="s">
        <v>112</v>
      </c>
    </row>
    <row r="33" spans="1:8" x14ac:dyDescent="0.25">
      <c r="A33" s="97" t="s">
        <v>8</v>
      </c>
      <c r="B33" s="94">
        <v>4612050</v>
      </c>
      <c r="C33" s="94" t="s">
        <v>15</v>
      </c>
      <c r="D33" s="95" t="s">
        <v>10</v>
      </c>
      <c r="E33" s="96" t="s">
        <v>16</v>
      </c>
      <c r="F33" s="80" t="s">
        <v>12</v>
      </c>
      <c r="G33" s="185" t="s">
        <v>17</v>
      </c>
      <c r="H33" s="80" t="s">
        <v>18</v>
      </c>
    </row>
    <row r="34" spans="1:8" x14ac:dyDescent="0.25">
      <c r="A34" s="79" t="s">
        <v>26</v>
      </c>
      <c r="B34" s="94">
        <v>4612228</v>
      </c>
      <c r="C34" s="94" t="s">
        <v>156</v>
      </c>
      <c r="D34" s="94" t="s">
        <v>10</v>
      </c>
      <c r="E34" s="80" t="s">
        <v>16</v>
      </c>
      <c r="F34" s="80" t="s">
        <v>12</v>
      </c>
      <c r="G34" s="185" t="s">
        <v>157</v>
      </c>
      <c r="H34" s="80" t="s">
        <v>158</v>
      </c>
    </row>
    <row r="35" spans="1:8" x14ac:dyDescent="0.25">
      <c r="A35" s="79" t="s">
        <v>40</v>
      </c>
      <c r="B35" s="91">
        <v>9762281</v>
      </c>
      <c r="C35" s="91" t="s">
        <v>41</v>
      </c>
      <c r="D35" s="92" t="s">
        <v>10</v>
      </c>
      <c r="E35" s="93" t="s">
        <v>11</v>
      </c>
      <c r="F35" s="81" t="s">
        <v>28</v>
      </c>
      <c r="G35" s="158" t="s">
        <v>42</v>
      </c>
      <c r="H35" s="81" t="s">
        <v>43</v>
      </c>
    </row>
    <row r="36" spans="1:8" x14ac:dyDescent="0.25">
      <c r="A36" s="79" t="s">
        <v>40</v>
      </c>
      <c r="B36" s="91">
        <v>214272</v>
      </c>
      <c r="C36" s="91" t="s">
        <v>116</v>
      </c>
      <c r="D36" s="92" t="s">
        <v>100</v>
      </c>
      <c r="E36" s="93" t="s">
        <v>101</v>
      </c>
      <c r="F36" s="81" t="s">
        <v>28</v>
      </c>
      <c r="G36" s="158" t="s">
        <v>117</v>
      </c>
      <c r="H36" s="81" t="s">
        <v>118</v>
      </c>
    </row>
    <row r="37" spans="1:8" x14ac:dyDescent="0.25">
      <c r="A37" s="79" t="s">
        <v>40</v>
      </c>
      <c r="B37" s="91">
        <v>2440812</v>
      </c>
      <c r="C37" s="91" t="s">
        <v>47</v>
      </c>
      <c r="D37" s="92" t="s">
        <v>48</v>
      </c>
      <c r="E37" s="93" t="s">
        <v>11</v>
      </c>
      <c r="F37" s="81" t="s">
        <v>28</v>
      </c>
      <c r="G37" s="158" t="s">
        <v>49</v>
      </c>
      <c r="H37" s="81" t="s">
        <v>50</v>
      </c>
    </row>
    <row r="38" spans="1:8" x14ac:dyDescent="0.25">
      <c r="A38" s="79" t="s">
        <v>8</v>
      </c>
      <c r="B38" s="94">
        <v>4608559</v>
      </c>
      <c r="C38" s="94" t="s">
        <v>81</v>
      </c>
      <c r="D38" s="95" t="s">
        <v>10</v>
      </c>
      <c r="E38" s="96" t="s">
        <v>20</v>
      </c>
      <c r="F38" s="80" t="s">
        <v>12</v>
      </c>
      <c r="G38" s="185" t="s">
        <v>82</v>
      </c>
      <c r="H38" s="80" t="s">
        <v>83</v>
      </c>
    </row>
    <row r="39" spans="1:8" x14ac:dyDescent="0.25">
      <c r="A39" s="79" t="s">
        <v>26</v>
      </c>
      <c r="B39" s="94">
        <v>4612243</v>
      </c>
      <c r="C39" s="94" t="s">
        <v>144</v>
      </c>
      <c r="D39" s="95" t="s">
        <v>10</v>
      </c>
      <c r="E39" s="96" t="s">
        <v>11</v>
      </c>
      <c r="F39" s="80" t="s">
        <v>12</v>
      </c>
      <c r="G39" s="185" t="s">
        <v>145</v>
      </c>
      <c r="H39" s="80" t="s">
        <v>146</v>
      </c>
    </row>
    <row r="40" spans="1:8" x14ac:dyDescent="0.25">
      <c r="A40" s="79" t="s">
        <v>26</v>
      </c>
      <c r="B40" s="91">
        <v>4606308</v>
      </c>
      <c r="C40" s="91" t="s">
        <v>104</v>
      </c>
      <c r="D40" s="92" t="s">
        <v>100</v>
      </c>
      <c r="E40" s="93" t="s">
        <v>101</v>
      </c>
      <c r="F40" s="81" t="s">
        <v>12</v>
      </c>
      <c r="G40" s="158" t="s">
        <v>105</v>
      </c>
      <c r="H40" s="81" t="s">
        <v>106</v>
      </c>
    </row>
    <row r="41" spans="1:8" x14ac:dyDescent="0.25">
      <c r="A41" s="79" t="s">
        <v>26</v>
      </c>
      <c r="B41" s="94">
        <v>9634222</v>
      </c>
      <c r="C41" s="94" t="s">
        <v>107</v>
      </c>
      <c r="D41" s="95" t="s">
        <v>10</v>
      </c>
      <c r="E41" s="96" t="s">
        <v>20</v>
      </c>
      <c r="F41" s="96" t="s">
        <v>28</v>
      </c>
      <c r="G41" s="159" t="s">
        <v>108</v>
      </c>
      <c r="H41" s="80" t="s">
        <v>109</v>
      </c>
    </row>
    <row r="42" spans="1:8" x14ac:dyDescent="0.25">
      <c r="A42" s="79" t="s">
        <v>40</v>
      </c>
      <c r="B42" s="91">
        <v>4608780</v>
      </c>
      <c r="C42" s="91" t="s">
        <v>90</v>
      </c>
      <c r="D42" s="92" t="s">
        <v>10</v>
      </c>
      <c r="E42" s="93" t="s">
        <v>20</v>
      </c>
      <c r="F42" s="93" t="s">
        <v>12</v>
      </c>
      <c r="G42" s="184" t="s">
        <v>91</v>
      </c>
      <c r="H42" s="81" t="s">
        <v>92</v>
      </c>
    </row>
    <row r="43" spans="1:8" x14ac:dyDescent="0.25">
      <c r="A43" s="79" t="s">
        <v>40</v>
      </c>
      <c r="B43" s="94">
        <v>2475130</v>
      </c>
      <c r="C43" s="94" t="s">
        <v>93</v>
      </c>
      <c r="D43" s="95" t="s">
        <v>10</v>
      </c>
      <c r="E43" s="96" t="s">
        <v>20</v>
      </c>
      <c r="F43" s="96" t="s">
        <v>28</v>
      </c>
      <c r="G43" s="159" t="s">
        <v>94</v>
      </c>
      <c r="H43" s="80" t="s">
        <v>95</v>
      </c>
    </row>
    <row r="44" spans="1:8" x14ac:dyDescent="0.25">
      <c r="A44" s="79" t="s">
        <v>26</v>
      </c>
      <c r="B44" s="94">
        <v>4608721</v>
      </c>
      <c r="C44" s="94" t="s">
        <v>31</v>
      </c>
      <c r="D44" s="95" t="s">
        <v>10</v>
      </c>
      <c r="E44" s="96" t="s">
        <v>11</v>
      </c>
      <c r="F44" s="96" t="s">
        <v>12</v>
      </c>
      <c r="G44" s="185" t="s">
        <v>32</v>
      </c>
      <c r="H44" s="80" t="s">
        <v>33</v>
      </c>
    </row>
    <row r="45" spans="1:8" x14ac:dyDescent="0.25">
      <c r="A45" s="79" t="s">
        <v>26</v>
      </c>
      <c r="B45" s="91">
        <v>4612247</v>
      </c>
      <c r="C45" s="91" t="s">
        <v>159</v>
      </c>
      <c r="D45" s="92" t="s">
        <v>10</v>
      </c>
      <c r="E45" s="93" t="s">
        <v>20</v>
      </c>
      <c r="F45" s="93" t="s">
        <v>12</v>
      </c>
      <c r="G45" s="184" t="s">
        <v>160</v>
      </c>
      <c r="H45" s="81" t="s">
        <v>161</v>
      </c>
    </row>
    <row r="46" spans="1:8" x14ac:dyDescent="0.25">
      <c r="A46" s="79" t="s">
        <v>8</v>
      </c>
      <c r="B46" s="94">
        <v>2448533</v>
      </c>
      <c r="C46" s="94" t="s">
        <v>178</v>
      </c>
      <c r="D46" s="95" t="s">
        <v>10</v>
      </c>
      <c r="E46" s="96" t="s">
        <v>101</v>
      </c>
      <c r="F46" s="96" t="s">
        <v>28</v>
      </c>
      <c r="G46" s="186" t="s">
        <v>179</v>
      </c>
      <c r="H46" s="80" t="s">
        <v>180</v>
      </c>
    </row>
    <row r="47" spans="1:8" x14ac:dyDescent="0.25">
      <c r="A47" s="79" t="s">
        <v>26</v>
      </c>
      <c r="B47" s="91">
        <v>4612389</v>
      </c>
      <c r="C47" s="91" t="s">
        <v>147</v>
      </c>
      <c r="D47" s="92" t="s">
        <v>10</v>
      </c>
      <c r="E47" s="101" t="s">
        <v>11</v>
      </c>
      <c r="F47" s="81" t="s">
        <v>12</v>
      </c>
      <c r="G47" s="184" t="s">
        <v>148</v>
      </c>
      <c r="H47" s="81" t="s">
        <v>149</v>
      </c>
    </row>
    <row r="48" spans="1:8" x14ac:dyDescent="0.25">
      <c r="A48" s="79" t="s">
        <v>40</v>
      </c>
      <c r="B48" s="94">
        <v>1381625</v>
      </c>
      <c r="C48" s="94" t="s">
        <v>51</v>
      </c>
      <c r="D48" s="95" t="s">
        <v>10</v>
      </c>
      <c r="E48" s="99" t="s">
        <v>11</v>
      </c>
      <c r="F48" s="80" t="s">
        <v>28</v>
      </c>
      <c r="G48" s="159" t="s">
        <v>52</v>
      </c>
      <c r="H48" s="80" t="s">
        <v>53</v>
      </c>
    </row>
    <row r="49" spans="1:8" x14ac:dyDescent="0.25">
      <c r="A49" s="79" t="s">
        <v>40</v>
      </c>
      <c r="B49" s="91">
        <v>2430855</v>
      </c>
      <c r="C49" s="91" t="s">
        <v>122</v>
      </c>
      <c r="D49" s="92" t="s">
        <v>10</v>
      </c>
      <c r="E49" s="101" t="s">
        <v>101</v>
      </c>
      <c r="F49" s="81" t="s">
        <v>28</v>
      </c>
      <c r="G49" s="184" t="s">
        <v>123</v>
      </c>
      <c r="H49" s="81" t="s">
        <v>124</v>
      </c>
    </row>
    <row r="50" spans="1:8" x14ac:dyDescent="0.25">
      <c r="A50" s="79" t="s">
        <v>40</v>
      </c>
      <c r="B50" s="94">
        <v>4612126</v>
      </c>
      <c r="C50" s="94" t="s">
        <v>132</v>
      </c>
      <c r="D50" s="95" t="s">
        <v>10</v>
      </c>
      <c r="E50" s="99" t="s">
        <v>16</v>
      </c>
      <c r="F50" s="80" t="s">
        <v>12</v>
      </c>
      <c r="G50" s="185" t="s">
        <v>133</v>
      </c>
      <c r="H50" s="80" t="s">
        <v>134</v>
      </c>
    </row>
    <row r="51" spans="1:8" x14ac:dyDescent="0.25">
      <c r="A51" s="79" t="s">
        <v>8</v>
      </c>
      <c r="B51" s="91">
        <v>4612171</v>
      </c>
      <c r="C51" s="91" t="s">
        <v>9</v>
      </c>
      <c r="D51" s="92" t="s">
        <v>10</v>
      </c>
      <c r="E51" s="101" t="s">
        <v>11</v>
      </c>
      <c r="F51" s="81" t="s">
        <v>12</v>
      </c>
      <c r="G51" s="184" t="s">
        <v>13</v>
      </c>
      <c r="H51" s="81" t="s">
        <v>14</v>
      </c>
    </row>
    <row r="52" spans="1:8" x14ac:dyDescent="0.25">
      <c r="A52" s="79" t="s">
        <v>26</v>
      </c>
      <c r="B52" s="94">
        <v>4612192</v>
      </c>
      <c r="C52" s="94" t="s">
        <v>150</v>
      </c>
      <c r="D52" s="95" t="s">
        <v>10</v>
      </c>
      <c r="E52" s="99" t="s">
        <v>16</v>
      </c>
      <c r="F52" s="80" t="s">
        <v>12</v>
      </c>
      <c r="G52" s="185" t="s">
        <v>151</v>
      </c>
      <c r="H52" s="80" t="s">
        <v>152</v>
      </c>
    </row>
    <row r="53" spans="1:8" x14ac:dyDescent="0.25">
      <c r="A53" s="79" t="s">
        <v>26</v>
      </c>
      <c r="B53" s="94">
        <v>9634180</v>
      </c>
      <c r="C53" s="94" t="s">
        <v>87</v>
      </c>
      <c r="D53" s="95" t="s">
        <v>10</v>
      </c>
      <c r="E53" s="99" t="s">
        <v>20</v>
      </c>
      <c r="F53" s="80" t="s">
        <v>28</v>
      </c>
      <c r="G53" s="185" t="s">
        <v>88</v>
      </c>
      <c r="H53" s="80" t="s">
        <v>89</v>
      </c>
    </row>
    <row r="54" spans="1:8" x14ac:dyDescent="0.25">
      <c r="A54" s="79" t="s">
        <v>40</v>
      </c>
      <c r="B54" s="199">
        <v>4604625</v>
      </c>
      <c r="C54" s="199" t="s">
        <v>125</v>
      </c>
      <c r="D54" s="94" t="s">
        <v>126</v>
      </c>
      <c r="E54" s="80" t="s">
        <v>101</v>
      </c>
      <c r="F54" s="80" t="s">
        <v>12</v>
      </c>
      <c r="G54" s="200" t="s">
        <v>127</v>
      </c>
      <c r="H54" s="201" t="s">
        <v>128</v>
      </c>
    </row>
    <row r="55" spans="1:8" x14ac:dyDescent="0.25">
      <c r="A55" s="202" t="s">
        <v>40</v>
      </c>
      <c r="B55" s="203">
        <v>2460800</v>
      </c>
      <c r="C55" s="203" t="s">
        <v>78</v>
      </c>
      <c r="D55" s="91" t="s">
        <v>48</v>
      </c>
      <c r="E55" s="81" t="s">
        <v>16</v>
      </c>
      <c r="F55" s="81" t="s">
        <v>28</v>
      </c>
      <c r="G55" s="204" t="s">
        <v>79</v>
      </c>
      <c r="H55" s="205" t="s">
        <v>80</v>
      </c>
    </row>
  </sheetData>
  <phoneticPr fontId="29" type="noConversion"/>
  <conditionalFormatting sqref="B41:B46 F41:G46 A1:A53 D1:D53 B1:C40 E1:G40">
    <cfRule type="containsText" dxfId="118" priority="25" operator="containsText" text="ELET">
      <formula>NOT(ISERROR(SEARCH("ELET",A1)))</formula>
    </cfRule>
  </conditionalFormatting>
  <conditionalFormatting sqref="B41:B46 F41:G46 A41:A53 D41:D53 A1:G40">
    <cfRule type="containsText" dxfId="117" priority="26" operator="containsText" text="INST">
      <formula>NOT(ISERROR(SEARCH("INST",A1)))</formula>
    </cfRule>
    <cfRule type="containsText" dxfId="116" priority="27" operator="containsText" text="MEC">
      <formula>NOT(ISERROR(SEARCH("MEC",A1)))</formula>
    </cfRule>
  </conditionalFormatting>
  <conditionalFormatting sqref="A47:G53">
    <cfRule type="containsText" dxfId="115" priority="4" operator="containsText" text="ELET">
      <formula>NOT(ISERROR(SEARCH("ELET",A47)))</formula>
    </cfRule>
    <cfRule type="containsText" dxfId="114" priority="5" operator="containsText" text="INST">
      <formula>NOT(ISERROR(SEARCH("INST",A47)))</formula>
    </cfRule>
    <cfRule type="containsText" dxfId="113" priority="6" operator="containsText" text="MEC">
      <formula>NOT(ISERROR(SEARCH("MEC",A47)))</formula>
    </cfRule>
  </conditionalFormatting>
  <conditionalFormatting sqref="C42:C45">
    <cfRule type="containsText" dxfId="112" priority="22" operator="containsText" text="ELET">
      <formula>NOT(ISERROR(SEARCH("ELET",C42)))</formula>
    </cfRule>
    <cfRule type="containsText" dxfId="111" priority="23" operator="containsText" text="INST">
      <formula>NOT(ISERROR(SEARCH("INST",C42)))</formula>
    </cfRule>
    <cfRule type="containsText" dxfId="110" priority="24" operator="containsText" text="MEC">
      <formula>NOT(ISERROR(SEARCH("MEC",C42)))</formula>
    </cfRule>
  </conditionalFormatting>
  <conditionalFormatting sqref="C41:E41 D42:E45 C46:E46">
    <cfRule type="containsText" dxfId="109" priority="38" operator="containsText" text="INST">
      <formula>NOT(ISERROR(SEARCH("INST",C41)))</formula>
    </cfRule>
    <cfRule type="containsText" dxfId="108" priority="39" operator="containsText" text="MEC">
      <formula>NOT(ISERROR(SEARCH("MEC",C41)))</formula>
    </cfRule>
  </conditionalFormatting>
  <conditionalFormatting sqref="D42:E45 C41:E41 C46:E46">
    <cfRule type="containsText" dxfId="107" priority="37" operator="containsText" text="ELET">
      <formula>NOT(ISERROR(SEARCH("ELET",C41)))</formula>
    </cfRule>
  </conditionalFormatting>
  <conditionalFormatting sqref="E14:E18">
    <cfRule type="containsText" dxfId="106" priority="49" operator="containsText" text="ELET">
      <formula>NOT(ISERROR(SEARCH("ELET",E14)))</formula>
    </cfRule>
    <cfRule type="containsText" dxfId="105" priority="50" operator="containsText" text="INST">
      <formula>NOT(ISERROR(SEARCH("INST",E14)))</formula>
    </cfRule>
    <cfRule type="containsText" dxfId="104" priority="51" operator="containsText" text="MEC">
      <formula>NOT(ISERROR(SEARCH("MEC",E14)))</formula>
    </cfRule>
  </conditionalFormatting>
  <conditionalFormatting sqref="E38">
    <cfRule type="containsText" dxfId="103" priority="43" operator="containsText" text="ELET">
      <formula>NOT(ISERROR(SEARCH("ELET",E38)))</formula>
    </cfRule>
    <cfRule type="containsText" dxfId="102" priority="44" operator="containsText" text="INST">
      <formula>NOT(ISERROR(SEARCH("INST",E38)))</formula>
    </cfRule>
    <cfRule type="containsText" dxfId="101" priority="45" operator="containsText" text="MEC">
      <formula>NOT(ISERROR(SEARCH("MEC",E38)))</formula>
    </cfRule>
  </conditionalFormatting>
  <conditionalFormatting sqref="E40">
    <cfRule type="containsText" dxfId="100" priority="40" operator="containsText" text="ELET">
      <formula>NOT(ISERROR(SEARCH("ELET",E40)))</formula>
    </cfRule>
    <cfRule type="containsText" dxfId="99" priority="41" operator="containsText" text="INST">
      <formula>NOT(ISERROR(SEARCH("INST",E40)))</formula>
    </cfRule>
    <cfRule type="containsText" dxfId="98" priority="42" operator="containsText" text="MEC">
      <formula>NOT(ISERROR(SEARCH("MEC",E40)))</formula>
    </cfRule>
    <cfRule type="containsText" dxfId="97" priority="46" operator="containsText" text="ELET">
      <formula>NOT(ISERROR(SEARCH("ELET",E40)))</formula>
    </cfRule>
    <cfRule type="containsText" dxfId="96" priority="47" operator="containsText" text="INST">
      <formula>NOT(ISERROR(SEARCH("INST",E40)))</formula>
    </cfRule>
    <cfRule type="containsText" dxfId="95" priority="48" operator="containsText" text="MEC">
      <formula>NOT(ISERROR(SEARCH("MEC",E40)))</formula>
    </cfRule>
  </conditionalFormatting>
  <conditionalFormatting sqref="E42">
    <cfRule type="containsText" dxfId="94" priority="16" operator="containsText" text="ELET">
      <formula>NOT(ISERROR(SEARCH("ELET",E42)))</formula>
    </cfRule>
    <cfRule type="containsText" dxfId="93" priority="17" operator="containsText" text="INST">
      <formula>NOT(ISERROR(SEARCH("INST",E42)))</formula>
    </cfRule>
    <cfRule type="containsText" dxfId="92" priority="18" operator="containsText" text="MEC">
      <formula>NOT(ISERROR(SEARCH("MEC",E42)))</formula>
    </cfRule>
    <cfRule type="containsText" dxfId="91" priority="19" operator="containsText" text="ELET">
      <formula>NOT(ISERROR(SEARCH("ELET",E42)))</formula>
    </cfRule>
    <cfRule type="containsText" dxfId="90" priority="20" operator="containsText" text="INST">
      <formula>NOT(ISERROR(SEARCH("INST",E42)))</formula>
    </cfRule>
    <cfRule type="containsText" dxfId="89" priority="21" operator="containsText" text="MEC">
      <formula>NOT(ISERROR(SEARCH("MEC",E42)))</formula>
    </cfRule>
    <cfRule type="containsText" dxfId="88" priority="31" operator="containsText" text="ELET">
      <formula>NOT(ISERROR(SEARCH("ELET",E42)))</formula>
    </cfRule>
    <cfRule type="containsText" dxfId="87" priority="32" operator="containsText" text="INST">
      <formula>NOT(ISERROR(SEARCH("INST",E42)))</formula>
    </cfRule>
    <cfRule type="containsText" dxfId="86" priority="33" operator="containsText" text="MEC">
      <formula>NOT(ISERROR(SEARCH("MEC",E42)))</formula>
    </cfRule>
  </conditionalFormatting>
  <conditionalFormatting sqref="E44">
    <cfRule type="containsText" dxfId="85" priority="7" operator="containsText" text="ELET">
      <formula>NOT(ISERROR(SEARCH("ELET",E44)))</formula>
    </cfRule>
    <cfRule type="containsText" dxfId="84" priority="8" operator="containsText" text="INST">
      <formula>NOT(ISERROR(SEARCH("INST",E44)))</formula>
    </cfRule>
    <cfRule type="containsText" dxfId="83" priority="9" operator="containsText" text="MEC">
      <formula>NOT(ISERROR(SEARCH("MEC",E44)))</formula>
    </cfRule>
    <cfRule type="containsText" dxfId="82" priority="10" operator="containsText" text="ELET">
      <formula>NOT(ISERROR(SEARCH("ELET",E44)))</formula>
    </cfRule>
    <cfRule type="containsText" dxfId="81" priority="11" operator="containsText" text="INST">
      <formula>NOT(ISERROR(SEARCH("INST",E44)))</formula>
    </cfRule>
    <cfRule type="containsText" dxfId="80" priority="12" operator="containsText" text="MEC">
      <formula>NOT(ISERROR(SEARCH("MEC",E44)))</formula>
    </cfRule>
    <cfRule type="containsText" dxfId="79" priority="13" operator="containsText" text="ELET">
      <formula>NOT(ISERROR(SEARCH("ELET",E44)))</formula>
    </cfRule>
    <cfRule type="containsText" dxfId="78" priority="14" operator="containsText" text="INST">
      <formula>NOT(ISERROR(SEARCH("INST",E44)))</formula>
    </cfRule>
    <cfRule type="containsText" dxfId="77" priority="15" operator="containsText" text="MEC">
      <formula>NOT(ISERROR(SEARCH("MEC",E44)))</formula>
    </cfRule>
    <cfRule type="containsText" dxfId="76" priority="28" operator="containsText" text="ELET">
      <formula>NOT(ISERROR(SEARCH("ELET",E44)))</formula>
    </cfRule>
    <cfRule type="containsText" dxfId="75" priority="29" operator="containsText" text="INST">
      <formula>NOT(ISERROR(SEARCH("INST",E44)))</formula>
    </cfRule>
    <cfRule type="containsText" dxfId="74" priority="30" operator="containsText" text="MEC">
      <formula>NOT(ISERROR(SEARCH("MEC",E44)))</formula>
    </cfRule>
    <cfRule type="containsText" dxfId="73" priority="34" operator="containsText" text="ELET">
      <formula>NOT(ISERROR(SEARCH("ELET",E44)))</formula>
    </cfRule>
    <cfRule type="containsText" dxfId="72" priority="35" operator="containsText" text="INST">
      <formula>NOT(ISERROR(SEARCH("INST",E44)))</formula>
    </cfRule>
    <cfRule type="containsText" dxfId="71" priority="36" operator="containsText" text="MEC">
      <formula>NOT(ISERROR(SEARCH("MEC",E44)))</formula>
    </cfRule>
  </conditionalFormatting>
  <conditionalFormatting sqref="E47:E53">
    <cfRule type="containsText" dxfId="70" priority="1" operator="containsText" text="ELET">
      <formula>NOT(ISERROR(SEARCH("ELET",E47)))</formula>
    </cfRule>
    <cfRule type="containsText" dxfId="69" priority="2" operator="containsText" text="INST">
      <formula>NOT(ISERROR(SEARCH("INST",E47)))</formula>
    </cfRule>
    <cfRule type="containsText" dxfId="68" priority="3" operator="containsText" text="MEC">
      <formula>NOT(ISERROR(SEARCH("MEC",E47)))</formula>
    </cfRule>
  </conditionalFormatting>
  <hyperlinks>
    <hyperlink ref="G38" r:id="rId1" display="mailto:maria.santos8@petrobras.com.br" xr:uid="{E8778DB2-6643-4B2A-AB18-843A475A58A5}"/>
    <hyperlink ref="G20" r:id="rId2" display="mailto:felipecahet@petrobras.com.br" xr:uid="{B8AAF264-5559-43DF-AADF-FC03465036FC}"/>
    <hyperlink ref="G41" r:id="rId3" display="mailto:rperez@petrobras.com.br" xr:uid="{BB3716E7-82B4-44D7-A6FE-B7DFEEB79C1A}"/>
    <hyperlink ref="G10" r:id="rId4" display="mailto:antonio.r.cunha@petrobras.com.br" xr:uid="{EF508554-64F6-4827-9D36-8E412BDFA5B5}"/>
    <hyperlink ref="G19" r:id="rId5" display="mailto:fabio.unterman@petrobras.com.br" xr:uid="{9D86F6A8-2F7A-4DFF-B3F8-BD6A10803181}"/>
    <hyperlink ref="G32" r:id="rId6" display="mailto:leandro.eloy@petrobras.com.br" xr:uid="{EA43DD0B-4F2C-4191-9A29-A20E0A518201}"/>
    <hyperlink ref="G53" r:id="rId7" display="mailto:vledo@petrobras.com.br" xr:uid="{87499F42-C4A7-436A-B3B5-2F08B07CB291}"/>
    <hyperlink ref="G12" r:id="rId8" display="mailto:aureojr@petrobras.com.br" xr:uid="{65DAD709-0E73-425D-879E-82A8CB8D4361}"/>
    <hyperlink ref="G40" r:id="rId9" display="mailto:pietro.konzgen@petrobras.com.br" xr:uid="{39C93B8C-DAAE-46D9-855D-B191D575C0FC}"/>
    <hyperlink ref="G44" r:id="rId10" display="mailto:reinaldo.merendaz@petrobras.com.br" xr:uid="{28163CB3-19EF-4904-AA8F-BE9F3306EE0C}"/>
    <hyperlink ref="G26" r:id="rId11" display="mailto:jorge.mariano@petrobras.com.br" xr:uid="{EA467755-77FC-4011-AFED-F27C23C309D7}"/>
    <hyperlink ref="G29" r:id="rId12" display="mailto:julio.fassarela@petrobras.com.br" xr:uid="{E82C4908-5DFE-419F-B927-F3DD91FEF44A}"/>
    <hyperlink ref="G28" r:id="rId13" display="mailto:julio.bento@petrobras.com.br" xr:uid="{5C25DBE0-DEA3-49E0-A74C-7EA51F19F212}"/>
    <hyperlink ref="G16" r:id="rId14" display="mailto:eder.reis@petrobras.com.br" xr:uid="{269930A4-670C-44BA-B1FF-B0B76ADD0CFF}"/>
    <hyperlink ref="G31" r:id="rId15" display="mailto:kevin.cunha@petrobras.com.br" xr:uid="{DE7BD392-C815-4435-A992-70ED959DD58A}"/>
    <hyperlink ref="G8" r:id="rId16" display="mailto:andre.sthel@petrobras.com.br" xr:uid="{E00D72EA-D6DD-4BBF-9B5B-69A63E33D4B0}"/>
    <hyperlink ref="G30" r:id="rId17" display="mailto:junio.matos@petrobras.com.br" xr:uid="{AC99E4BF-F8DF-4FE5-8EC0-133669EF933C}"/>
    <hyperlink ref="G22" r:id="rId18" display="mailto:flaviomarinho@petrobras.com.br" xr:uid="{1C2FFEB1-B136-488B-826D-4AA733830667}"/>
    <hyperlink ref="G35" r:id="rId19" display="mailto:marsantos@petrobras.com.br" xr:uid="{417F6B54-C10E-4E94-8035-2295363E1D09}"/>
    <hyperlink ref="G42" r:id="rId20" display="mailto:rafaelventurini@petrobras.com.br" xr:uid="{052E56D5-901C-4C78-91DB-C082F7BE58F0}"/>
    <hyperlink ref="G36" r:id="rId21" display="mailto:marcelo.vaqueiro@petrobras.com.br" xr:uid="{76CB75E5-66B0-4CB8-9168-7BAF3B274E07}"/>
    <hyperlink ref="G49" r:id="rId22" display="mailto:thiago_gomes@petrobras.com.br" xr:uid="{B7249D17-BB79-463E-9DFD-6B1EF6D59EFB}"/>
    <hyperlink ref="G18" r:id="rId23" display="mailto:er.amaral@petrobras.com.br" xr:uid="{7F87BB8A-20CA-43CC-AD05-77F634035EAF}"/>
    <hyperlink ref="G43" r:id="rId24" display="mailto:raulalende@petrobras.com.br" xr:uid="{EA1A83F8-98B1-4560-90C5-857BD399589C}"/>
    <hyperlink ref="G24" r:id="rId25" display="mailto:igorteixeira@petrobras.com.br" xr:uid="{018E163E-4FCC-41CC-927A-571CEA7A689C}"/>
    <hyperlink ref="G5" r:id="rId26" display="mailto:andi9@petrobras.com.br" xr:uid="{F6F435CF-EC08-4372-AD85-ED6CCC8B518C}"/>
    <hyperlink ref="G15" r:id="rId27" display="mailto:diogosouza@petrobras.com.br" xr:uid="{FB5B48C1-E2C1-4CB6-AA6F-85FD4E1C3E5D}"/>
    <hyperlink ref="G6" r:id="rId28" display="mailto:al.larangeira@petrobras.com.br" xr:uid="{02C685E8-3109-47EC-B7CF-209AC230B992}"/>
    <hyperlink ref="G48" r:id="rId29" display="mailto:tmenegussi@petrobras.com.br" xr:uid="{E1470684-BE8A-43B2-B9B9-42D349B1FE3F}"/>
    <hyperlink ref="G3" r:id="rId30" display="mailto:alexsandroviana@petrobras.com.br" xr:uid="{29DF987B-7E7E-4B3A-8F5F-DB32E42AEE1B}"/>
    <hyperlink ref="G54" r:id="rId31" display="mailto:vinicius.s.duarte@petrobras.com.br" xr:uid="{FAD2E997-4870-4719-ABBA-D44E1FE516D9}"/>
    <hyperlink ref="G51" r:id="rId32" display="mailto:tonicler.kutz@petrobras.com.br" xr:uid="{25725E93-62B5-4EDF-AADB-33CA1E8CBBDC}"/>
    <hyperlink ref="G55" r:id="rId33" display="mailto:wellingtonmarques@petrobras.com.br" xr:uid="{F74E281A-AFBE-4688-9FCC-00D563425B11}"/>
    <hyperlink ref="G37" r:id="rId34" display="mailto:marcioamaral@petrobras.com.br" xr:uid="{7DBC8FE1-F314-4B33-A9E2-EA721BCD0C6E}"/>
    <hyperlink ref="G13" r:id="rId35" display="mailto:breno.batista@petrobras.com.br" xr:uid="{DEACB66F-51F0-4613-8302-56BF106A5E4E}"/>
    <hyperlink ref="G7" r:id="rId36" display="mailto:andre.silva35@petrobras.com.br" xr:uid="{19BBB7BC-86F2-47BB-B4F2-79EFB2D548A8}"/>
    <hyperlink ref="G14" r:id="rId37" display="mailto:dimitriaraujo@petrobras.com.br" xr:uid="{F944C458-567E-41DA-8504-6FCB748E7916}"/>
    <hyperlink ref="G39" r:id="rId38" display="mailto:pablo.p.almeida@petrobras.com.br" xr:uid="{BE16127C-0DE8-4BA9-8133-DEA69F6BECA5}"/>
    <hyperlink ref="G47" r:id="rId39" display="mailto:ronald.quaresma@petrobras.com.br" xr:uid="{A2A7F79E-855F-40B2-8B62-39026225CF8F}"/>
    <hyperlink ref="G52" r:id="rId40" display="mailto:victor.f.campos@petrobras.com.br" xr:uid="{D7D2E27C-4492-4B39-A903-35F4847D1EAD}"/>
    <hyperlink ref="G25" r:id="rId41" display="mailto:jailton.conceicao@petrobras.com.br" xr:uid="{EC543797-E64B-4B51-A615-C8144E837110}"/>
    <hyperlink ref="G34" r:id="rId42" display="mailto:luiz.serpa@petrobras.com.br" xr:uid="{556D6C06-BE06-4FBA-B516-C33CDABF5687}"/>
    <hyperlink ref="G45" r:id="rId43" display="mailto:ricardo.uema@petrobras.com.br" xr:uid="{B0B69859-3726-47A0-A6ED-C296E4EFF53C}"/>
    <hyperlink ref="G50" r:id="rId44" display="mailto:thielles.gustavo@petrobras.com.br" xr:uid="{5E03F697-F849-4819-9893-7784655F324C}"/>
    <hyperlink ref="G33" r:id="rId45" display="mailto:luiz.ramos3@petrobras.com.br" xr:uid="{B1E831E2-17BD-4378-9469-60A1B2242440}"/>
    <hyperlink ref="G2" r:id="rId46" display="mailto:alexandre.martins@petrobras.com.br" xr:uid="{9F0DA4B4-E22E-4CB8-BCEA-60E041685E46}"/>
    <hyperlink ref="G27" r:id="rId47" display="mailto:jluiscruz@petrobras.com.br" xr:uid="{342DCBFB-B96D-43F7-87A5-F2B38AB14E50}"/>
    <hyperlink ref="G23" r:id="rId48" display="mailto:fredericoaugusto@petrobras.com.br" xr:uid="{F6CC4EAF-CC9B-4E56-93AA-A492DAF5B5C0}"/>
    <hyperlink ref="G4" r:id="rId49" xr:uid="{EC6022DA-F869-4774-8DFA-0A7226FC02A4}"/>
    <hyperlink ref="G9" r:id="rId50" xr:uid="{D62B94FA-28CF-41A3-A323-C8DD2D20EDDD}"/>
    <hyperlink ref="G11" r:id="rId51" xr:uid="{7CCBF893-56E2-4AAA-981A-DC158A2B2912}"/>
    <hyperlink ref="G46" r:id="rId52" xr:uid="{03E6AD7D-BE12-4987-9D0E-3417E33A6D40}"/>
    <hyperlink ref="G17" r:id="rId53" xr:uid="{79A5BA4C-C7E2-457D-ACA2-26140DFA2F8E}"/>
    <hyperlink ref="G21" r:id="rId54" xr:uid="{A5502464-186D-4B58-A671-3B2B484B869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195"/>
  <sheetViews>
    <sheetView showGridLines="0" showRuler="0" zoomScale="115" zoomScaleNormal="115" zoomScalePageLayoutView="70" workbookViewId="0">
      <pane xSplit="7" ySplit="6" topLeftCell="H7" activePane="bottomRight" state="frozen"/>
      <selection pane="topRight" activeCell="H1" sqref="H1"/>
      <selection pane="bottomLeft" activeCell="A7" sqref="A7"/>
      <selection pane="bottomRight" activeCell="K63" sqref="K63"/>
    </sheetView>
  </sheetViews>
  <sheetFormatPr defaultColWidth="9.28515625" defaultRowHeight="15" outlineLevelRow="1" x14ac:dyDescent="0.25"/>
  <cols>
    <col min="1" max="1" width="0.42578125" customWidth="1"/>
    <col min="2" max="2" width="37.7109375" bestFit="1" customWidth="1"/>
    <col min="3" max="3" width="27.85546875" style="5" bestFit="1" customWidth="1"/>
    <col min="4" max="4" width="21" style="111" bestFit="1" customWidth="1"/>
    <col min="5" max="5" width="12.140625" style="111" bestFit="1" customWidth="1"/>
    <col min="6" max="7" width="4.42578125" customWidth="1"/>
    <col min="8" max="9" width="0.42578125" customWidth="1"/>
    <col min="10" max="10" width="2.7109375" bestFit="1" customWidth="1"/>
    <col min="11" max="19" width="2" bestFit="1" customWidth="1"/>
    <col min="20" max="24" width="2.7109375" bestFit="1" customWidth="1"/>
    <col min="25" max="25" width="6.85546875" bestFit="1" customWidth="1"/>
    <col min="26" max="41" width="2.7109375" bestFit="1" customWidth="1"/>
    <col min="42" max="50" width="2" bestFit="1" customWidth="1"/>
    <col min="51" max="69" width="2.7109375" bestFit="1" customWidth="1"/>
    <col min="70" max="78" width="2" bestFit="1" customWidth="1"/>
    <col min="79" max="100" width="2.7109375" bestFit="1" customWidth="1"/>
    <col min="101" max="109" width="2" bestFit="1" customWidth="1"/>
    <col min="110" max="130" width="2.7109375" bestFit="1" customWidth="1"/>
    <col min="131" max="139" width="2" bestFit="1" customWidth="1"/>
    <col min="140" max="161" width="2.7109375" bestFit="1" customWidth="1"/>
    <col min="162" max="170" width="2" bestFit="1" customWidth="1"/>
    <col min="171" max="191" width="2.7109375" bestFit="1" customWidth="1"/>
    <col min="192" max="200" width="2" bestFit="1" customWidth="1"/>
    <col min="201" max="222" width="2.7109375" bestFit="1" customWidth="1"/>
    <col min="223" max="231" width="2" bestFit="1" customWidth="1"/>
    <col min="232" max="253" width="2.7109375" bestFit="1" customWidth="1"/>
    <col min="254" max="262" width="2" bestFit="1" customWidth="1"/>
    <col min="263" max="283" width="2.7109375" bestFit="1" customWidth="1"/>
    <col min="284" max="292" width="2" bestFit="1" customWidth="1"/>
    <col min="293" max="314" width="2.7109375" bestFit="1" customWidth="1"/>
    <col min="315" max="323" width="2" bestFit="1" customWidth="1"/>
    <col min="324" max="617" width="2.7109375" bestFit="1" customWidth="1"/>
  </cols>
  <sheetData>
    <row r="1" spans="1:617" ht="9.6" customHeight="1" x14ac:dyDescent="0.45">
      <c r="A1" s="34" t="s">
        <v>184</v>
      </c>
      <c r="B1" s="37" t="s">
        <v>185</v>
      </c>
      <c r="C1" s="134"/>
      <c r="D1" s="110"/>
      <c r="E1" s="110"/>
      <c r="G1" s="2"/>
      <c r="H1" s="51"/>
      <c r="I1" s="51"/>
      <c r="BT1" s="213" t="s">
        <v>186</v>
      </c>
      <c r="BU1" s="213"/>
      <c r="BV1" s="213"/>
      <c r="CQ1" s="211"/>
      <c r="CR1" s="211"/>
      <c r="CX1" s="210"/>
      <c r="CY1" s="210"/>
      <c r="EK1" s="211"/>
    </row>
    <row r="2" spans="1:617" ht="9.6" customHeight="1" x14ac:dyDescent="0.3">
      <c r="A2" s="33" t="s">
        <v>187</v>
      </c>
      <c r="B2" s="38"/>
      <c r="BT2" s="213"/>
      <c r="BU2" s="213"/>
      <c r="BV2" s="213"/>
      <c r="CQ2" s="211"/>
      <c r="CR2" s="211"/>
      <c r="CX2" s="210"/>
      <c r="CY2" s="210"/>
      <c r="EK2" s="211"/>
    </row>
    <row r="3" spans="1:617" ht="9.6" customHeight="1" x14ac:dyDescent="0.25">
      <c r="A3" s="33" t="s">
        <v>188</v>
      </c>
      <c r="B3" s="70" t="s">
        <v>189</v>
      </c>
      <c r="C3" s="135">
        <f>Início_do_projeto+660</f>
        <v>46318</v>
      </c>
      <c r="D3" s="112" t="s">
        <v>190</v>
      </c>
      <c r="E3" s="214">
        <v>45658</v>
      </c>
      <c r="F3" s="214"/>
      <c r="BT3" s="213"/>
      <c r="BU3" s="213"/>
      <c r="BV3" s="213"/>
      <c r="CQ3" s="211"/>
      <c r="CR3" s="211"/>
      <c r="CX3" s="210"/>
      <c r="CY3" s="210"/>
      <c r="EK3" s="211"/>
    </row>
    <row r="4" spans="1:617" ht="9.6" customHeight="1" x14ac:dyDescent="0.25">
      <c r="A4" s="34" t="s">
        <v>191</v>
      </c>
      <c r="D4" s="113" t="s">
        <v>192</v>
      </c>
      <c r="F4" s="7">
        <v>1</v>
      </c>
      <c r="H4" s="206">
        <f>H5</f>
        <v>45656</v>
      </c>
      <c r="I4" s="207"/>
      <c r="J4" s="207"/>
      <c r="K4" s="207"/>
      <c r="L4" s="207"/>
      <c r="M4" s="207"/>
      <c r="N4" s="207"/>
      <c r="O4" s="208"/>
      <c r="P4" s="206">
        <f>P5</f>
        <v>45663</v>
      </c>
      <c r="Q4" s="207"/>
      <c r="R4" s="207"/>
      <c r="S4" s="207"/>
      <c r="T4" s="207"/>
      <c r="U4" s="207"/>
      <c r="V4" s="208"/>
      <c r="W4" s="206">
        <f>W5</f>
        <v>45670</v>
      </c>
      <c r="X4" s="207"/>
      <c r="Y4" s="207"/>
      <c r="Z4" s="207"/>
      <c r="AA4" s="207"/>
      <c r="AB4" s="207"/>
      <c r="AC4" s="208"/>
      <c r="AD4" s="206">
        <f>AD5</f>
        <v>45677</v>
      </c>
      <c r="AE4" s="207"/>
      <c r="AF4" s="207"/>
      <c r="AG4" s="207"/>
      <c r="AH4" s="207"/>
      <c r="AI4" s="207"/>
      <c r="AJ4" s="208"/>
      <c r="AK4" s="206">
        <f>AK5</f>
        <v>45684</v>
      </c>
      <c r="AL4" s="207"/>
      <c r="AM4" s="207"/>
      <c r="AN4" s="207"/>
      <c r="AO4" s="207"/>
      <c r="AP4" s="207"/>
      <c r="AQ4" s="208"/>
      <c r="AR4" s="206">
        <f>AR5</f>
        <v>45691</v>
      </c>
      <c r="AS4" s="207"/>
      <c r="AT4" s="207"/>
      <c r="AU4" s="207"/>
      <c r="AV4" s="207"/>
      <c r="AW4" s="207"/>
      <c r="AX4" s="208"/>
      <c r="AY4" s="206">
        <f>AY5</f>
        <v>45698</v>
      </c>
      <c r="AZ4" s="207"/>
      <c r="BA4" s="207"/>
      <c r="BB4" s="207"/>
      <c r="BC4" s="207"/>
      <c r="BD4" s="207"/>
      <c r="BE4" s="208"/>
      <c r="BF4" s="206">
        <f>BF5</f>
        <v>45705</v>
      </c>
      <c r="BG4" s="207"/>
      <c r="BH4" s="207"/>
      <c r="BI4" s="207"/>
      <c r="BJ4" s="207"/>
      <c r="BK4" s="207"/>
      <c r="BL4" s="208"/>
      <c r="BM4" s="206">
        <f>BM5</f>
        <v>45712</v>
      </c>
      <c r="BN4" s="207"/>
      <c r="BO4" s="207"/>
      <c r="BP4" s="207"/>
      <c r="BQ4" s="207"/>
      <c r="BR4" s="207"/>
      <c r="BS4" s="208"/>
      <c r="BT4" s="206">
        <f>BT5</f>
        <v>45719</v>
      </c>
      <c r="BU4" s="207"/>
      <c r="BV4" s="207"/>
      <c r="BW4" s="207"/>
      <c r="BX4" s="207"/>
      <c r="BY4" s="207"/>
      <c r="BZ4" s="208"/>
      <c r="CA4" s="206">
        <f>CA5</f>
        <v>45726</v>
      </c>
      <c r="CB4" s="207"/>
      <c r="CC4" s="207"/>
      <c r="CD4" s="207"/>
      <c r="CE4" s="207"/>
      <c r="CF4" s="207"/>
      <c r="CG4" s="208"/>
      <c r="CH4" s="206">
        <f>CH5</f>
        <v>45733</v>
      </c>
      <c r="CI4" s="207"/>
      <c r="CJ4" s="207"/>
      <c r="CK4" s="207"/>
      <c r="CL4" s="207"/>
      <c r="CM4" s="207"/>
      <c r="CN4" s="208"/>
      <c r="CO4" s="206">
        <f>CO5</f>
        <v>45740</v>
      </c>
      <c r="CP4" s="207"/>
      <c r="CQ4" s="207"/>
      <c r="CR4" s="207"/>
      <c r="CS4" s="207"/>
      <c r="CT4" s="207"/>
      <c r="CU4" s="208"/>
      <c r="CV4" s="206">
        <f>CV5</f>
        <v>45747</v>
      </c>
      <c r="CW4" s="207"/>
      <c r="CX4" s="207"/>
      <c r="CY4" s="207"/>
      <c r="CZ4" s="207"/>
      <c r="DA4" s="207"/>
      <c r="DB4" s="208"/>
      <c r="DC4" s="206">
        <f>DC5</f>
        <v>45754</v>
      </c>
      <c r="DD4" s="207"/>
      <c r="DE4" s="207"/>
      <c r="DF4" s="207"/>
      <c r="DG4" s="207"/>
      <c r="DH4" s="207"/>
      <c r="DI4" s="208"/>
      <c r="DJ4" s="206">
        <f>DJ5</f>
        <v>45761</v>
      </c>
      <c r="DK4" s="207"/>
      <c r="DL4" s="207"/>
      <c r="DM4" s="207"/>
      <c r="DN4" s="207"/>
      <c r="DO4" s="207"/>
      <c r="DP4" s="208"/>
      <c r="DQ4" s="206">
        <f>DQ5</f>
        <v>45768</v>
      </c>
      <c r="DR4" s="207"/>
      <c r="DS4" s="207"/>
      <c r="DT4" s="207"/>
      <c r="DU4" s="207"/>
      <c r="DV4" s="207"/>
      <c r="DW4" s="208"/>
      <c r="DX4" s="206">
        <f>DX5</f>
        <v>45775</v>
      </c>
      <c r="DY4" s="207"/>
      <c r="DZ4" s="207"/>
      <c r="EA4" s="207"/>
      <c r="EB4" s="207"/>
      <c r="EC4" s="207"/>
      <c r="ED4" s="208"/>
      <c r="EE4" s="206">
        <f t="shared" ref="EE4" si="0">EE5</f>
        <v>45782</v>
      </c>
      <c r="EF4" s="207"/>
      <c r="EG4" s="207"/>
      <c r="EH4" s="207"/>
      <c r="EI4" s="207"/>
      <c r="EJ4" s="207"/>
      <c r="EK4" s="208"/>
      <c r="EL4" s="206">
        <f t="shared" ref="EL4" si="1">EL5</f>
        <v>45789</v>
      </c>
      <c r="EM4" s="207"/>
      <c r="EN4" s="207"/>
      <c r="EO4" s="207"/>
      <c r="EP4" s="207"/>
      <c r="EQ4" s="207"/>
      <c r="ER4" s="208"/>
      <c r="ES4" s="206">
        <f t="shared" ref="ES4" si="2">ES5</f>
        <v>45796</v>
      </c>
      <c r="ET4" s="207"/>
      <c r="EU4" s="207"/>
      <c r="EV4" s="207"/>
      <c r="EW4" s="207"/>
      <c r="EX4" s="207"/>
      <c r="EY4" s="208"/>
      <c r="EZ4" s="206">
        <f t="shared" ref="EZ4" si="3">EZ5</f>
        <v>45803</v>
      </c>
      <c r="FA4" s="207"/>
      <c r="FB4" s="207"/>
      <c r="FC4" s="207"/>
      <c r="FD4" s="207"/>
      <c r="FE4" s="207"/>
      <c r="FF4" s="208"/>
      <c r="FG4" s="206">
        <f t="shared" ref="FG4" si="4">FG5</f>
        <v>45810</v>
      </c>
      <c r="FH4" s="207"/>
      <c r="FI4" s="207"/>
      <c r="FJ4" s="207"/>
      <c r="FK4" s="207"/>
      <c r="FL4" s="207"/>
      <c r="FM4" s="208"/>
      <c r="FN4" s="206">
        <f t="shared" ref="FN4" si="5">FN5</f>
        <v>45817</v>
      </c>
      <c r="FO4" s="207"/>
      <c r="FP4" s="207"/>
      <c r="FQ4" s="207"/>
      <c r="FR4" s="207"/>
      <c r="FS4" s="207"/>
      <c r="FT4" s="208"/>
      <c r="FU4" s="206">
        <f t="shared" ref="FU4" si="6">FU5</f>
        <v>45824</v>
      </c>
      <c r="FV4" s="207"/>
      <c r="FW4" s="207"/>
      <c r="FX4" s="207"/>
      <c r="FY4" s="207"/>
      <c r="FZ4" s="207"/>
      <c r="GA4" s="208"/>
      <c r="GB4" s="206">
        <f t="shared" ref="GB4" si="7">GB5</f>
        <v>45831</v>
      </c>
      <c r="GC4" s="207"/>
      <c r="GD4" s="207"/>
      <c r="GE4" s="207"/>
      <c r="GF4" s="207"/>
      <c r="GG4" s="207"/>
      <c r="GH4" s="208"/>
      <c r="GI4" s="206">
        <f t="shared" ref="GI4" si="8">GI5</f>
        <v>45838</v>
      </c>
      <c r="GJ4" s="207"/>
      <c r="GK4" s="207"/>
      <c r="GL4" s="207"/>
      <c r="GM4" s="207"/>
      <c r="GN4" s="207"/>
      <c r="GO4" s="208"/>
      <c r="GP4" s="206">
        <f t="shared" ref="GP4" si="9">GP5</f>
        <v>45845</v>
      </c>
      <c r="GQ4" s="207"/>
      <c r="GR4" s="207"/>
      <c r="GS4" s="207"/>
      <c r="GT4" s="207"/>
      <c r="GU4" s="207"/>
      <c r="GV4" s="208"/>
      <c r="GW4" s="206">
        <f t="shared" ref="GW4" si="10">GW5</f>
        <v>45852</v>
      </c>
      <c r="GX4" s="207"/>
      <c r="GY4" s="207"/>
      <c r="GZ4" s="207"/>
      <c r="HA4" s="207"/>
      <c r="HB4" s="207"/>
      <c r="HC4" s="208"/>
      <c r="HD4" s="206">
        <f t="shared" ref="HD4" si="11">HD5</f>
        <v>45859</v>
      </c>
      <c r="HE4" s="207"/>
      <c r="HF4" s="207"/>
      <c r="HG4" s="207"/>
      <c r="HH4" s="207"/>
      <c r="HI4" s="207"/>
      <c r="HJ4" s="208"/>
      <c r="HK4" s="206">
        <f t="shared" ref="HK4" si="12">HK5</f>
        <v>45866</v>
      </c>
      <c r="HL4" s="207"/>
      <c r="HM4" s="207"/>
      <c r="HN4" s="207"/>
      <c r="HO4" s="207"/>
      <c r="HP4" s="207"/>
      <c r="HQ4" s="208"/>
      <c r="HR4" s="206">
        <f t="shared" ref="HR4" si="13">HR5</f>
        <v>45873</v>
      </c>
      <c r="HS4" s="207"/>
      <c r="HT4" s="207"/>
      <c r="HU4" s="207"/>
      <c r="HV4" s="207"/>
      <c r="HW4" s="207"/>
      <c r="HX4" s="208"/>
      <c r="HY4" s="206">
        <f t="shared" ref="HY4" si="14">HY5</f>
        <v>45880</v>
      </c>
      <c r="HZ4" s="207"/>
      <c r="IA4" s="207"/>
      <c r="IB4" s="207"/>
      <c r="IC4" s="207"/>
      <c r="ID4" s="207"/>
      <c r="IE4" s="208"/>
      <c r="IF4" s="206">
        <f t="shared" ref="IF4" si="15">IF5</f>
        <v>45887</v>
      </c>
      <c r="IG4" s="207"/>
      <c r="IH4" s="207"/>
      <c r="II4" s="207"/>
      <c r="IJ4" s="207"/>
      <c r="IK4" s="207"/>
      <c r="IL4" s="208"/>
      <c r="IM4" s="206">
        <f t="shared" ref="IM4" si="16">IM5</f>
        <v>45894</v>
      </c>
      <c r="IN4" s="207"/>
      <c r="IO4" s="207"/>
      <c r="IP4" s="207"/>
      <c r="IQ4" s="207"/>
      <c r="IR4" s="207"/>
      <c r="IS4" s="208"/>
      <c r="IT4" s="206">
        <f t="shared" ref="IT4" si="17">IT5</f>
        <v>45901</v>
      </c>
      <c r="IU4" s="207"/>
      <c r="IV4" s="207"/>
      <c r="IW4" s="207"/>
      <c r="IX4" s="207"/>
      <c r="IY4" s="207"/>
      <c r="IZ4" s="208"/>
      <c r="JA4" s="206">
        <f t="shared" ref="JA4" si="18">JA5</f>
        <v>45908</v>
      </c>
      <c r="JB4" s="207"/>
      <c r="JC4" s="207"/>
      <c r="JD4" s="207"/>
      <c r="JE4" s="207"/>
      <c r="JF4" s="207"/>
      <c r="JG4" s="208"/>
      <c r="JH4" s="206">
        <f t="shared" ref="JH4" si="19">JH5</f>
        <v>45915</v>
      </c>
      <c r="JI4" s="207"/>
      <c r="JJ4" s="207"/>
      <c r="JK4" s="207"/>
      <c r="JL4" s="207"/>
      <c r="JM4" s="207"/>
      <c r="JN4" s="208"/>
      <c r="JO4" s="206">
        <f t="shared" ref="JO4" si="20">JO5</f>
        <v>45922</v>
      </c>
      <c r="JP4" s="207"/>
      <c r="JQ4" s="207"/>
      <c r="JR4" s="207"/>
      <c r="JS4" s="207"/>
      <c r="JT4" s="207"/>
      <c r="JU4" s="208"/>
      <c r="JV4" s="206">
        <f t="shared" ref="JV4" si="21">JV5</f>
        <v>45929</v>
      </c>
      <c r="JW4" s="207"/>
      <c r="JX4" s="207"/>
      <c r="JY4" s="207"/>
      <c r="JZ4" s="207"/>
      <c r="KA4" s="207"/>
      <c r="KB4" s="208"/>
      <c r="KC4" s="206">
        <f t="shared" ref="KC4" si="22">KC5</f>
        <v>45936</v>
      </c>
      <c r="KD4" s="207"/>
      <c r="KE4" s="207"/>
      <c r="KF4" s="207"/>
      <c r="KG4" s="207"/>
      <c r="KH4" s="207"/>
      <c r="KI4" s="208"/>
      <c r="KJ4" s="206">
        <f t="shared" ref="KJ4" si="23">KJ5</f>
        <v>45943</v>
      </c>
      <c r="KK4" s="207"/>
      <c r="KL4" s="207"/>
      <c r="KM4" s="207"/>
      <c r="KN4" s="207"/>
      <c r="KO4" s="207"/>
      <c r="KP4" s="208"/>
      <c r="KQ4" s="206">
        <f t="shared" ref="KQ4" si="24">KQ5</f>
        <v>45950</v>
      </c>
      <c r="KR4" s="207"/>
      <c r="KS4" s="207"/>
      <c r="KT4" s="207"/>
      <c r="KU4" s="207"/>
      <c r="KV4" s="207"/>
      <c r="KW4" s="208"/>
      <c r="KX4" s="206">
        <f t="shared" ref="KX4" si="25">KX5</f>
        <v>45957</v>
      </c>
      <c r="KY4" s="207"/>
      <c r="KZ4" s="207"/>
      <c r="LA4" s="207"/>
      <c r="LB4" s="207"/>
      <c r="LC4" s="207"/>
      <c r="LD4" s="208"/>
      <c r="LE4" s="206">
        <f t="shared" ref="LE4" si="26">LE5</f>
        <v>45964</v>
      </c>
      <c r="LF4" s="207"/>
      <c r="LG4" s="207"/>
      <c r="LH4" s="207"/>
      <c r="LI4" s="207"/>
      <c r="LJ4" s="207"/>
      <c r="LK4" s="208"/>
      <c r="LL4" s="206">
        <f t="shared" ref="LL4" si="27">LL5</f>
        <v>45971</v>
      </c>
      <c r="LM4" s="207"/>
      <c r="LN4" s="207"/>
      <c r="LO4" s="207"/>
      <c r="LP4" s="207"/>
      <c r="LQ4" s="207"/>
      <c r="LR4" s="208"/>
      <c r="LS4" s="206">
        <f t="shared" ref="LS4" si="28">LS5</f>
        <v>45978</v>
      </c>
      <c r="LT4" s="206"/>
      <c r="LU4" s="206"/>
      <c r="LV4" s="206"/>
      <c r="LW4" s="206"/>
      <c r="LX4" s="206"/>
      <c r="LY4" s="206"/>
      <c r="LZ4" s="206">
        <f t="shared" ref="LZ4" si="29">LZ5</f>
        <v>45985</v>
      </c>
      <c r="MA4" s="207"/>
      <c r="MB4" s="207"/>
      <c r="MC4" s="207"/>
      <c r="MD4" s="207"/>
      <c r="ME4" s="207"/>
      <c r="MF4" s="208"/>
      <c r="MG4" s="206">
        <f t="shared" ref="MG4" si="30">MG5</f>
        <v>45992</v>
      </c>
      <c r="MH4" s="207"/>
      <c r="MI4" s="207"/>
      <c r="MJ4" s="207"/>
      <c r="MK4" s="207"/>
      <c r="ML4" s="207"/>
      <c r="MM4" s="208"/>
      <c r="MN4" s="206">
        <f t="shared" ref="MN4:OY4" si="31">MN5</f>
        <v>45999</v>
      </c>
      <c r="MO4" s="207"/>
      <c r="MP4" s="207"/>
      <c r="MQ4" s="207"/>
      <c r="MR4" s="207"/>
      <c r="MS4" s="207"/>
      <c r="MT4" s="208"/>
      <c r="MU4" s="206">
        <f t="shared" si="31"/>
        <v>46006</v>
      </c>
      <c r="MV4" s="207"/>
      <c r="MW4" s="207"/>
      <c r="MX4" s="207"/>
      <c r="MY4" s="207"/>
      <c r="MZ4" s="207"/>
      <c r="NA4" s="208"/>
      <c r="NB4" s="206">
        <f t="shared" si="31"/>
        <v>46013</v>
      </c>
      <c r="NC4" s="207"/>
      <c r="ND4" s="207"/>
      <c r="NE4" s="207"/>
      <c r="NF4" s="207"/>
      <c r="NG4" s="207"/>
      <c r="NH4" s="208"/>
      <c r="NI4" s="206">
        <f t="shared" si="31"/>
        <v>46020</v>
      </c>
      <c r="NJ4" s="207"/>
      <c r="NK4" s="207"/>
      <c r="NL4" s="207"/>
      <c r="NM4" s="207"/>
      <c r="NN4" s="207"/>
      <c r="NO4" s="208"/>
      <c r="NP4" s="206">
        <f t="shared" si="31"/>
        <v>46027</v>
      </c>
      <c r="NQ4" s="207"/>
      <c r="NR4" s="207"/>
      <c r="NS4" s="207"/>
      <c r="NT4" s="207"/>
      <c r="NU4" s="207"/>
      <c r="NV4" s="208"/>
      <c r="NW4" s="172">
        <f t="shared" si="31"/>
        <v>46034</v>
      </c>
      <c r="NX4" s="173"/>
      <c r="NY4" s="173"/>
      <c r="NZ4" s="173"/>
      <c r="OA4" s="173"/>
      <c r="OB4" s="206"/>
      <c r="OC4" s="207"/>
      <c r="OD4" s="207">
        <f t="shared" si="31"/>
        <v>46041</v>
      </c>
      <c r="OE4" s="207"/>
      <c r="OF4" s="207"/>
      <c r="OG4" s="207"/>
      <c r="OH4" s="208"/>
      <c r="OI4" s="173"/>
      <c r="OJ4" s="174"/>
      <c r="OK4" s="172">
        <f t="shared" si="31"/>
        <v>46048</v>
      </c>
      <c r="OL4" s="173"/>
      <c r="OM4" s="173"/>
      <c r="ON4" s="206"/>
      <c r="OO4" s="207"/>
      <c r="OP4" s="207"/>
      <c r="OQ4" s="207"/>
      <c r="OR4" s="207">
        <f t="shared" si="31"/>
        <v>46055</v>
      </c>
      <c r="OS4" s="207"/>
      <c r="OT4" s="208"/>
      <c r="OU4" s="173"/>
      <c r="OV4" s="173"/>
      <c r="OW4" s="173"/>
      <c r="OX4" s="174"/>
      <c r="OY4" s="172">
        <f t="shared" si="31"/>
        <v>46062</v>
      </c>
      <c r="OZ4" s="206"/>
      <c r="PA4" s="207"/>
      <c r="PB4" s="207"/>
      <c r="PC4" s="207"/>
      <c r="PD4" s="207"/>
      <c r="PE4" s="207"/>
      <c r="PF4" s="208">
        <f t="shared" ref="PF4:RQ4" si="32">PF5</f>
        <v>46069</v>
      </c>
      <c r="PG4" s="173"/>
      <c r="PH4" s="173"/>
      <c r="PI4" s="173"/>
      <c r="PJ4" s="173"/>
      <c r="PK4" s="173"/>
      <c r="PL4" s="206"/>
      <c r="PM4" s="207">
        <f t="shared" si="32"/>
        <v>46076</v>
      </c>
      <c r="PN4" s="207"/>
      <c r="PO4" s="207"/>
      <c r="PP4" s="207"/>
      <c r="PQ4" s="207"/>
      <c r="PR4" s="208"/>
      <c r="PS4" s="174"/>
      <c r="PT4" s="172">
        <f t="shared" si="32"/>
        <v>46083</v>
      </c>
      <c r="PU4" s="173"/>
      <c r="PV4" s="173"/>
      <c r="PW4" s="173"/>
      <c r="PX4" s="206"/>
      <c r="PY4" s="207"/>
      <c r="PZ4" s="207"/>
      <c r="QA4" s="207">
        <f t="shared" si="32"/>
        <v>46090</v>
      </c>
      <c r="QB4" s="207"/>
      <c r="QC4" s="207"/>
      <c r="QD4" s="208"/>
      <c r="QE4" s="173"/>
      <c r="QF4" s="173"/>
      <c r="QG4" s="174"/>
      <c r="QH4" s="172">
        <f t="shared" si="32"/>
        <v>46097</v>
      </c>
      <c r="QI4" s="173"/>
      <c r="QJ4" s="206"/>
      <c r="QK4" s="207"/>
      <c r="QL4" s="207"/>
      <c r="QM4" s="207"/>
      <c r="QN4" s="207"/>
      <c r="QO4" s="207">
        <f t="shared" si="32"/>
        <v>46104</v>
      </c>
      <c r="QP4" s="208"/>
      <c r="QQ4" s="173"/>
      <c r="QR4" s="173"/>
      <c r="QS4" s="173"/>
      <c r="QT4" s="173"/>
      <c r="QU4" s="174"/>
      <c r="QV4" s="206">
        <f t="shared" si="32"/>
        <v>46111</v>
      </c>
      <c r="QW4" s="207"/>
      <c r="QX4" s="207"/>
      <c r="QY4" s="207"/>
      <c r="QZ4" s="207"/>
      <c r="RA4" s="207"/>
      <c r="RB4" s="208"/>
      <c r="RC4" s="172">
        <f t="shared" si="32"/>
        <v>46118</v>
      </c>
      <c r="RD4" s="173"/>
      <c r="RE4" s="173"/>
      <c r="RF4" s="173"/>
      <c r="RG4" s="173"/>
      <c r="RH4" s="206"/>
      <c r="RI4" s="207"/>
      <c r="RJ4" s="207">
        <f t="shared" si="32"/>
        <v>46125</v>
      </c>
      <c r="RK4" s="207"/>
      <c r="RL4" s="207"/>
      <c r="RM4" s="207"/>
      <c r="RN4" s="208"/>
      <c r="RO4" s="173"/>
      <c r="RP4" s="174"/>
      <c r="RQ4" s="172">
        <f t="shared" si="32"/>
        <v>46132</v>
      </c>
      <c r="RR4" s="173"/>
      <c r="RS4" s="173"/>
      <c r="RT4" s="206"/>
      <c r="RU4" s="207"/>
      <c r="RV4" s="207"/>
      <c r="RW4" s="207"/>
      <c r="RX4" s="207">
        <f t="shared" ref="RX4:UI4" si="33">RX5</f>
        <v>46139</v>
      </c>
      <c r="RY4" s="207"/>
      <c r="RZ4" s="208"/>
      <c r="SA4" s="173"/>
      <c r="SB4" s="173"/>
      <c r="SC4" s="173"/>
      <c r="SD4" s="174"/>
      <c r="SE4" s="172">
        <f t="shared" si="33"/>
        <v>46146</v>
      </c>
      <c r="SF4" s="206"/>
      <c r="SG4" s="207"/>
      <c r="SH4" s="207"/>
      <c r="SI4" s="207"/>
      <c r="SJ4" s="207"/>
      <c r="SK4" s="207"/>
      <c r="SL4" s="208">
        <f t="shared" si="33"/>
        <v>46153</v>
      </c>
      <c r="SM4" s="173"/>
      <c r="SN4" s="173"/>
      <c r="SO4" s="173"/>
      <c r="SP4" s="173"/>
      <c r="SQ4" s="173"/>
      <c r="SR4" s="206"/>
      <c r="SS4" s="207">
        <f t="shared" si="33"/>
        <v>46160</v>
      </c>
      <c r="ST4" s="207"/>
      <c r="SU4" s="207"/>
      <c r="SV4" s="207"/>
      <c r="SW4" s="207"/>
      <c r="SX4" s="208"/>
      <c r="SY4" s="174"/>
      <c r="SZ4" s="172">
        <f t="shared" si="33"/>
        <v>46167</v>
      </c>
      <c r="TA4" s="173"/>
      <c r="TB4" s="173"/>
      <c r="TC4" s="173"/>
      <c r="TD4" s="206"/>
      <c r="TE4" s="207"/>
      <c r="TF4" s="207"/>
      <c r="TG4" s="207">
        <f t="shared" si="33"/>
        <v>46174</v>
      </c>
      <c r="TH4" s="207"/>
      <c r="TI4" s="207"/>
      <c r="TJ4" s="208"/>
      <c r="TK4" s="173"/>
      <c r="TL4" s="173"/>
      <c r="TM4" s="174"/>
      <c r="TN4" s="172">
        <f t="shared" si="33"/>
        <v>46181</v>
      </c>
      <c r="TO4" s="173"/>
      <c r="TP4" s="206"/>
      <c r="TQ4" s="207"/>
      <c r="TR4" s="207"/>
      <c r="TS4" s="207"/>
      <c r="TT4" s="207"/>
      <c r="TU4" s="207">
        <f t="shared" si="33"/>
        <v>46188</v>
      </c>
      <c r="TV4" s="208"/>
      <c r="TW4" s="173"/>
      <c r="TX4" s="173"/>
      <c r="TY4" s="173"/>
      <c r="TZ4" s="173"/>
      <c r="UA4" s="174"/>
      <c r="UB4" s="206">
        <f t="shared" si="33"/>
        <v>46195</v>
      </c>
      <c r="UC4" s="207"/>
      <c r="UD4" s="207"/>
      <c r="UE4" s="207"/>
      <c r="UF4" s="207"/>
      <c r="UG4" s="207"/>
      <c r="UH4" s="208"/>
      <c r="UI4" s="172">
        <f t="shared" si="33"/>
        <v>46202</v>
      </c>
      <c r="UJ4" s="173"/>
      <c r="UK4" s="173"/>
      <c r="UL4" s="173"/>
      <c r="UM4" s="173"/>
      <c r="UN4" s="206"/>
      <c r="UO4" s="207"/>
      <c r="UP4" s="207">
        <f t="shared" ref="UP4:WM4" si="34">UP5</f>
        <v>46209</v>
      </c>
      <c r="UQ4" s="207"/>
      <c r="UR4" s="207"/>
      <c r="US4" s="207"/>
      <c r="UT4" s="208"/>
      <c r="UU4" s="173"/>
      <c r="UV4" s="174"/>
      <c r="UW4" s="172">
        <f t="shared" si="34"/>
        <v>46216</v>
      </c>
      <c r="UX4" s="173"/>
      <c r="UY4" s="173"/>
      <c r="UZ4" s="206"/>
      <c r="VA4" s="207"/>
      <c r="VB4" s="207"/>
      <c r="VC4" s="207"/>
      <c r="VD4" s="207">
        <f t="shared" si="34"/>
        <v>46223</v>
      </c>
      <c r="VE4" s="207"/>
      <c r="VF4" s="208"/>
      <c r="VG4" s="173"/>
      <c r="VH4" s="173"/>
      <c r="VI4" s="173"/>
      <c r="VJ4" s="174"/>
      <c r="VK4" s="172">
        <f t="shared" si="34"/>
        <v>46230</v>
      </c>
      <c r="VL4" s="206"/>
      <c r="VM4" s="207"/>
      <c r="VN4" s="207"/>
      <c r="VO4" s="207"/>
      <c r="VP4" s="207"/>
      <c r="VQ4" s="207"/>
      <c r="VR4" s="208">
        <f t="shared" si="34"/>
        <v>46237</v>
      </c>
      <c r="VS4" s="173"/>
      <c r="VT4" s="173"/>
      <c r="VU4" s="173"/>
      <c r="VV4" s="173"/>
      <c r="VW4" s="173"/>
      <c r="VX4" s="206"/>
      <c r="VY4" s="207">
        <f t="shared" si="34"/>
        <v>46244</v>
      </c>
      <c r="VZ4" s="207"/>
      <c r="WA4" s="207"/>
      <c r="WB4" s="207"/>
      <c r="WC4" s="207"/>
      <c r="WD4" s="208"/>
      <c r="WE4" s="174"/>
      <c r="WF4" s="172">
        <f t="shared" si="34"/>
        <v>46251</v>
      </c>
      <c r="WG4" s="173"/>
      <c r="WH4" s="173"/>
      <c r="WI4" s="173"/>
      <c r="WJ4" s="206"/>
      <c r="WK4" s="207"/>
      <c r="WL4" s="207"/>
      <c r="WM4" s="207">
        <f t="shared" si="34"/>
        <v>46258</v>
      </c>
      <c r="WN4" s="207"/>
      <c r="WO4" s="207"/>
      <c r="WP4" s="208"/>
      <c r="WQ4" s="173"/>
      <c r="WR4" s="173"/>
      <c r="WS4" s="174"/>
    </row>
    <row r="5" spans="1:617" ht="9.6" customHeight="1" x14ac:dyDescent="0.25">
      <c r="A5" s="34" t="s">
        <v>193</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 customHeight="1" thickBot="1" x14ac:dyDescent="0.3">
      <c r="A6" s="34" t="s">
        <v>194</v>
      </c>
      <c r="B6" s="8" t="s">
        <v>195</v>
      </c>
      <c r="C6" s="9" t="s">
        <v>196</v>
      </c>
      <c r="D6" s="115" t="s">
        <v>197</v>
      </c>
      <c r="E6" s="115" t="s">
        <v>198</v>
      </c>
      <c r="F6" s="9"/>
      <c r="G6" s="9" t="s">
        <v>199</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75" thickBot="1" x14ac:dyDescent="0.3">
      <c r="A7" s="33" t="s">
        <v>200</v>
      </c>
      <c r="C7" s="136"/>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6.5" thickBot="1" x14ac:dyDescent="0.3">
      <c r="A8" s="33"/>
      <c r="B8" s="212" t="s">
        <v>201</v>
      </c>
      <c r="C8" s="212"/>
      <c r="D8" s="212"/>
      <c r="E8" s="212"/>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45" customHeight="1" outlineLevel="1" thickBot="1" x14ac:dyDescent="0.3">
      <c r="A9" s="34" t="s">
        <v>202</v>
      </c>
      <c r="B9" s="209" t="s">
        <v>203</v>
      </c>
      <c r="C9" s="209"/>
      <c r="D9" s="209"/>
      <c r="E9" s="209"/>
      <c r="F9" s="14"/>
      <c r="G9" s="14" t="str">
        <f t="shared" ref="G9:G194"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x14ac:dyDescent="0.3">
      <c r="A10" s="34" t="s">
        <v>204</v>
      </c>
      <c r="B10" s="166"/>
      <c r="C10" s="167" t="s">
        <v>109</v>
      </c>
      <c r="D10" s="168">
        <v>45691</v>
      </c>
      <c r="E10" s="168">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75" outlineLevel="1" thickBot="1" x14ac:dyDescent="0.3">
      <c r="A11" s="34"/>
      <c r="B11" s="166"/>
      <c r="C11" s="167" t="s">
        <v>128</v>
      </c>
      <c r="D11" s="168">
        <v>45691</v>
      </c>
      <c r="E11" s="168">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x14ac:dyDescent="0.3">
      <c r="A12" s="34" t="s">
        <v>205</v>
      </c>
      <c r="B12" s="166"/>
      <c r="C12" s="167" t="s">
        <v>118</v>
      </c>
      <c r="D12" s="168">
        <f>D11+14</f>
        <v>45705</v>
      </c>
      <c r="E12" s="168">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75" outlineLevel="1" thickBot="1" x14ac:dyDescent="0.3">
      <c r="A13" s="33"/>
      <c r="B13" s="166"/>
      <c r="C13" s="167" t="s">
        <v>206</v>
      </c>
      <c r="D13" s="168">
        <v>45705</v>
      </c>
      <c r="E13" s="168">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75" outlineLevel="1" thickBot="1" x14ac:dyDescent="0.3">
      <c r="A14" s="33"/>
      <c r="B14" s="169"/>
      <c r="C14" s="167" t="s">
        <v>207</v>
      </c>
      <c r="D14" s="168">
        <f>D13+7</f>
        <v>45712</v>
      </c>
      <c r="E14" s="168">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75" outlineLevel="1" thickBot="1" x14ac:dyDescent="0.3">
      <c r="A15" s="33"/>
      <c r="B15" s="170"/>
      <c r="C15" s="167" t="s">
        <v>112</v>
      </c>
      <c r="D15" s="168">
        <f>D16</f>
        <v>45726</v>
      </c>
      <c r="E15" s="16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75" outlineLevel="1" thickBot="1" x14ac:dyDescent="0.3">
      <c r="A16" s="33"/>
      <c r="B16" s="170"/>
      <c r="C16" s="167" t="s">
        <v>36</v>
      </c>
      <c r="D16" s="168">
        <f>D14+14</f>
        <v>45726</v>
      </c>
      <c r="E16" s="168">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75" outlineLevel="1" thickBot="1" x14ac:dyDescent="0.3">
      <c r="A17" s="33"/>
      <c r="B17" s="170"/>
      <c r="C17" s="167" t="s">
        <v>92</v>
      </c>
      <c r="D17" s="168">
        <f>D15+14</f>
        <v>45740</v>
      </c>
      <c r="E17" s="168">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75" outlineLevel="1" thickBot="1" x14ac:dyDescent="0.3">
      <c r="A18" s="33"/>
      <c r="B18" s="167"/>
      <c r="C18" s="167" t="s">
        <v>98</v>
      </c>
      <c r="D18" s="168">
        <f>D16+14</f>
        <v>45740</v>
      </c>
      <c r="E18" s="168">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75" outlineLevel="1" thickBot="1" x14ac:dyDescent="0.3">
      <c r="A19" s="33"/>
      <c r="B19" s="167"/>
      <c r="C19" s="167" t="s">
        <v>74</v>
      </c>
      <c r="D19" s="168">
        <f t="shared" ref="D19:D40" si="588">D18+7</f>
        <v>45747</v>
      </c>
      <c r="E19" s="168">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75" outlineLevel="1" thickBot="1" x14ac:dyDescent="0.3">
      <c r="A20" s="33"/>
      <c r="B20" s="167"/>
      <c r="C20" s="167" t="s">
        <v>71</v>
      </c>
      <c r="D20" s="168">
        <f t="shared" si="588"/>
        <v>45754</v>
      </c>
      <c r="E20" s="168">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75" outlineLevel="1" thickBot="1" x14ac:dyDescent="0.3">
      <c r="A21" s="33"/>
      <c r="B21" s="167"/>
      <c r="C21" s="167" t="s">
        <v>86</v>
      </c>
      <c r="D21" s="168">
        <f t="shared" si="588"/>
        <v>45761</v>
      </c>
      <c r="E21" s="168">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75" outlineLevel="1" thickBot="1" x14ac:dyDescent="0.3">
      <c r="A22" s="33"/>
      <c r="B22" s="167"/>
      <c r="C22" s="167" t="s">
        <v>56</v>
      </c>
      <c r="D22" s="168">
        <f t="shared" si="588"/>
        <v>45768</v>
      </c>
      <c r="E22" s="168">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75" outlineLevel="1" thickBot="1" x14ac:dyDescent="0.3">
      <c r="A23" s="33"/>
      <c r="B23" s="167"/>
      <c r="C23" s="167" t="s">
        <v>53</v>
      </c>
      <c r="D23" s="168">
        <f t="shared" si="588"/>
        <v>45775</v>
      </c>
      <c r="E23" s="168">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75" outlineLevel="1" thickBot="1" x14ac:dyDescent="0.3">
      <c r="A24" s="33"/>
      <c r="B24" s="167"/>
      <c r="C24" s="167" t="s">
        <v>59</v>
      </c>
      <c r="D24" s="168">
        <f t="shared" si="588"/>
        <v>45782</v>
      </c>
      <c r="E24" s="168">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75" outlineLevel="1" thickBot="1" x14ac:dyDescent="0.3">
      <c r="A25" s="33"/>
      <c r="B25" s="167"/>
      <c r="C25" s="167" t="s">
        <v>124</v>
      </c>
      <c r="D25" s="168">
        <f t="shared" si="588"/>
        <v>45789</v>
      </c>
      <c r="E25" s="168">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75" outlineLevel="1" thickBot="1" x14ac:dyDescent="0.3">
      <c r="A26" s="33"/>
      <c r="B26" s="167"/>
      <c r="C26" s="167" t="s">
        <v>77</v>
      </c>
      <c r="D26" s="168">
        <f>D25+7</f>
        <v>45796</v>
      </c>
      <c r="E26" s="168">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75" outlineLevel="1" thickBot="1" x14ac:dyDescent="0.3">
      <c r="A27" s="33"/>
      <c r="B27" s="167"/>
      <c r="C27" s="167" t="s">
        <v>33</v>
      </c>
      <c r="D27" s="168">
        <f t="shared" si="588"/>
        <v>45803</v>
      </c>
      <c r="E27" s="168">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75" outlineLevel="1" thickBot="1" x14ac:dyDescent="0.3">
      <c r="A28" s="33"/>
      <c r="B28" s="167"/>
      <c r="C28" s="167" t="s">
        <v>62</v>
      </c>
      <c r="D28" s="168">
        <f t="shared" si="588"/>
        <v>45810</v>
      </c>
      <c r="E28" s="168">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75" outlineLevel="1" thickBot="1" x14ac:dyDescent="0.3">
      <c r="A29" s="33"/>
      <c r="B29" s="167"/>
      <c r="C29" s="167" t="s">
        <v>30</v>
      </c>
      <c r="D29" s="168">
        <f t="shared" si="588"/>
        <v>45817</v>
      </c>
      <c r="E29" s="168">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75" outlineLevel="1" thickBot="1" x14ac:dyDescent="0.3">
      <c r="A30" s="33"/>
      <c r="B30" s="167"/>
      <c r="C30" s="167" t="s">
        <v>83</v>
      </c>
      <c r="D30" s="168">
        <f t="shared" si="588"/>
        <v>45824</v>
      </c>
      <c r="E30" s="168">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75" outlineLevel="1" thickBot="1" x14ac:dyDescent="0.3">
      <c r="A31" s="33"/>
      <c r="B31" s="167"/>
      <c r="C31" s="167" t="s">
        <v>95</v>
      </c>
      <c r="D31" s="168">
        <f t="shared" si="588"/>
        <v>45831</v>
      </c>
      <c r="E31" s="168">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75" outlineLevel="1" thickBot="1" x14ac:dyDescent="0.3">
      <c r="A32" s="33"/>
      <c r="B32" s="167"/>
      <c r="C32" s="167" t="s">
        <v>92</v>
      </c>
      <c r="D32" s="168">
        <f t="shared" si="588"/>
        <v>45838</v>
      </c>
      <c r="E32" s="168">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75" outlineLevel="1" thickBot="1" x14ac:dyDescent="0.3">
      <c r="A33" s="33"/>
      <c r="B33" s="167"/>
      <c r="C33" s="167" t="s">
        <v>68</v>
      </c>
      <c r="D33" s="168">
        <f t="shared" si="588"/>
        <v>45845</v>
      </c>
      <c r="E33" s="168">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75" outlineLevel="1" thickBot="1" x14ac:dyDescent="0.3">
      <c r="A34" s="33"/>
      <c r="B34" s="167"/>
      <c r="C34" s="167" t="s">
        <v>62</v>
      </c>
      <c r="D34" s="168">
        <f t="shared" si="588"/>
        <v>45852</v>
      </c>
      <c r="E34" s="168">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75" outlineLevel="1" thickBot="1" x14ac:dyDescent="0.3">
      <c r="A35" s="33"/>
      <c r="B35" s="167"/>
      <c r="C35" s="167" t="s">
        <v>33</v>
      </c>
      <c r="D35" s="168">
        <f t="shared" si="588"/>
        <v>45859</v>
      </c>
      <c r="E35" s="168">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75" outlineLevel="1" thickBot="1" x14ac:dyDescent="0.3">
      <c r="A36" s="33"/>
      <c r="B36" s="167"/>
      <c r="C36" s="167" t="s">
        <v>124</v>
      </c>
      <c r="D36" s="168">
        <f t="shared" si="588"/>
        <v>45866</v>
      </c>
      <c r="E36" s="168">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75" outlineLevel="1" thickBot="1" x14ac:dyDescent="0.3">
      <c r="A37" s="33"/>
      <c r="B37" s="167"/>
      <c r="C37" s="167" t="s">
        <v>106</v>
      </c>
      <c r="D37" s="168">
        <f t="shared" si="588"/>
        <v>45873</v>
      </c>
      <c r="E37" s="168">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75" outlineLevel="1" thickBot="1" x14ac:dyDescent="0.3">
      <c r="A38" s="33"/>
      <c r="B38" s="167"/>
      <c r="C38" s="167" t="s">
        <v>121</v>
      </c>
      <c r="D38" s="168">
        <f t="shared" si="588"/>
        <v>45880</v>
      </c>
      <c r="E38" s="168">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75" outlineLevel="1" thickBot="1" x14ac:dyDescent="0.3">
      <c r="A39" s="33"/>
      <c r="B39" s="167"/>
      <c r="C39" s="171" t="s">
        <v>86</v>
      </c>
      <c r="D39" s="168">
        <f t="shared" si="588"/>
        <v>45887</v>
      </c>
      <c r="E39" s="168">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75" outlineLevel="1" thickBot="1" x14ac:dyDescent="0.3">
      <c r="A40" s="33"/>
      <c r="B40" s="167"/>
      <c r="C40" s="167" t="s">
        <v>95</v>
      </c>
      <c r="D40" s="168">
        <f t="shared" si="588"/>
        <v>45894</v>
      </c>
      <c r="E40" s="168">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75" outlineLevel="1" thickBot="1" x14ac:dyDescent="0.3">
      <c r="A41" s="33"/>
      <c r="B41" s="167"/>
      <c r="C41" s="167" t="s">
        <v>39</v>
      </c>
      <c r="D41" s="168">
        <f>D40+7</f>
        <v>45901</v>
      </c>
      <c r="E41" s="168">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75" outlineLevel="1" thickBot="1" x14ac:dyDescent="0.3">
      <c r="A42" s="33"/>
      <c r="B42" s="167"/>
      <c r="C42" s="167" t="s">
        <v>53</v>
      </c>
      <c r="D42" s="168">
        <v>45915</v>
      </c>
      <c r="E42" s="168">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75" outlineLevel="1" thickBot="1" x14ac:dyDescent="0.3">
      <c r="A43" s="33"/>
      <c r="B43" s="167"/>
      <c r="C43" s="167" t="s">
        <v>149</v>
      </c>
      <c r="D43" s="168">
        <v>45922</v>
      </c>
      <c r="E43" s="168">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75" outlineLevel="1" thickBot="1" x14ac:dyDescent="0.3">
      <c r="A44" s="33"/>
      <c r="B44" s="167"/>
      <c r="C44" s="167" t="s">
        <v>74</v>
      </c>
      <c r="D44" s="168">
        <v>45936</v>
      </c>
      <c r="E44" s="168">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75" outlineLevel="1" thickBot="1" x14ac:dyDescent="0.3">
      <c r="A45" s="33"/>
      <c r="B45" s="167"/>
      <c r="C45" s="167" t="s">
        <v>161</v>
      </c>
      <c r="D45" s="168">
        <v>45936</v>
      </c>
      <c r="E45" s="168">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75" outlineLevel="1" thickBot="1" x14ac:dyDescent="0.3">
      <c r="A46" s="33"/>
      <c r="B46" s="167"/>
      <c r="C46" s="167" t="s">
        <v>146</v>
      </c>
      <c r="D46" s="168">
        <v>45950</v>
      </c>
      <c r="E46" s="168">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75" outlineLevel="1" thickBot="1" x14ac:dyDescent="0.3">
      <c r="A47" s="33"/>
      <c r="B47" s="167"/>
      <c r="C47" s="167" t="s">
        <v>98</v>
      </c>
      <c r="D47" s="168">
        <v>45957</v>
      </c>
      <c r="E47" s="168">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75" outlineLevel="1" thickBot="1" x14ac:dyDescent="0.3">
      <c r="A48" s="33"/>
      <c r="B48" s="167"/>
      <c r="C48" s="167" t="s">
        <v>14</v>
      </c>
      <c r="D48" s="168">
        <v>45964</v>
      </c>
      <c r="E48" s="168">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75" outlineLevel="1" thickBot="1" x14ac:dyDescent="0.3">
      <c r="A49" s="33"/>
      <c r="B49" s="167"/>
      <c r="C49" s="167" t="s">
        <v>74</v>
      </c>
      <c r="D49" s="168">
        <v>45971</v>
      </c>
      <c r="E49" s="168">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75" outlineLevel="1" thickBot="1" x14ac:dyDescent="0.3">
      <c r="A50" s="33"/>
      <c r="B50" s="167"/>
      <c r="C50" s="167" t="s">
        <v>152</v>
      </c>
      <c r="D50" s="168">
        <v>45978</v>
      </c>
      <c r="E50" s="168">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75" outlineLevel="1" thickBot="1" x14ac:dyDescent="0.3">
      <c r="A51" s="33"/>
      <c r="B51" s="167"/>
      <c r="C51" s="167" t="s">
        <v>155</v>
      </c>
      <c r="D51" s="168">
        <v>45985</v>
      </c>
      <c r="E51" s="168">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75" outlineLevel="1" thickBot="1" x14ac:dyDescent="0.3">
      <c r="A52" s="33"/>
      <c r="B52" s="167"/>
      <c r="C52" s="167" t="s">
        <v>98</v>
      </c>
      <c r="D52" s="168">
        <v>45985</v>
      </c>
      <c r="E52" s="16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75" outlineLevel="1" thickBot="1" x14ac:dyDescent="0.3">
      <c r="A53" s="33"/>
      <c r="B53" s="167"/>
      <c r="C53" s="167" t="s">
        <v>22</v>
      </c>
      <c r="D53" s="168">
        <v>45992</v>
      </c>
      <c r="E53" s="168">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75" outlineLevel="1" thickBot="1" x14ac:dyDescent="0.3">
      <c r="A54" s="33"/>
      <c r="B54" s="167"/>
      <c r="C54" s="167" t="s">
        <v>158</v>
      </c>
      <c r="D54" s="168">
        <v>45999</v>
      </c>
      <c r="E54" s="168">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75" outlineLevel="1" thickBot="1" x14ac:dyDescent="0.3">
      <c r="A55" s="33"/>
      <c r="B55" s="167"/>
      <c r="C55" s="167" t="s">
        <v>124</v>
      </c>
      <c r="D55" s="168">
        <v>46034</v>
      </c>
      <c r="E55" s="168">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75" outlineLevel="1" thickBot="1" x14ac:dyDescent="0.3">
      <c r="A56" s="33"/>
      <c r="B56" s="167" t="s">
        <v>208</v>
      </c>
      <c r="C56" s="167" t="s">
        <v>164</v>
      </c>
      <c r="D56" s="168">
        <v>46034</v>
      </c>
      <c r="E56" s="168">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75" outlineLevel="1" thickBot="1" x14ac:dyDescent="0.3">
      <c r="A57" s="33"/>
      <c r="B57" s="167" t="s">
        <v>208</v>
      </c>
      <c r="C57" s="167" t="s">
        <v>170</v>
      </c>
      <c r="D57" s="168">
        <v>46048</v>
      </c>
      <c r="E57" s="168">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75" outlineLevel="1" thickBot="1" x14ac:dyDescent="0.3">
      <c r="A58" s="33"/>
      <c r="B58" s="167" t="s">
        <v>208</v>
      </c>
      <c r="C58" s="167" t="s">
        <v>158</v>
      </c>
      <c r="D58" s="168">
        <v>46055</v>
      </c>
      <c r="E58" s="168">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75" outlineLevel="1" thickBot="1" x14ac:dyDescent="0.3">
      <c r="A59" s="33"/>
      <c r="B59" s="167" t="s">
        <v>209</v>
      </c>
      <c r="C59" s="167"/>
      <c r="D59" s="168">
        <v>46069</v>
      </c>
      <c r="E59" s="168">
        <f>D59+G59-1</f>
        <v>46073</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75" outlineLevel="1" thickBot="1" x14ac:dyDescent="0.3">
      <c r="A60" s="33"/>
      <c r="B60" s="167" t="s">
        <v>208</v>
      </c>
      <c r="C60" s="167" t="s">
        <v>173</v>
      </c>
      <c r="D60" s="168">
        <v>46078</v>
      </c>
      <c r="E60" s="168">
        <f>D60+G60-1</f>
        <v>46092</v>
      </c>
      <c r="F60" s="14"/>
      <c r="G60" s="14">
        <v>15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75" outlineLevel="1" thickBot="1" x14ac:dyDescent="0.3">
      <c r="A61" s="33"/>
      <c r="B61" s="167" t="s">
        <v>210</v>
      </c>
      <c r="C61" s="167" t="s">
        <v>22</v>
      </c>
      <c r="D61" s="168">
        <v>46078</v>
      </c>
      <c r="E61" s="168">
        <f>D61+G61-1</f>
        <v>46094</v>
      </c>
      <c r="F61" s="14"/>
      <c r="G61" s="14">
        <v>17</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75" outlineLevel="1" thickBot="1" x14ac:dyDescent="0.3">
      <c r="A62" s="33"/>
      <c r="B62" s="167" t="s">
        <v>208</v>
      </c>
      <c r="C62" s="167"/>
      <c r="D62" s="168"/>
      <c r="E62" s="168"/>
      <c r="F62" s="14"/>
      <c r="G62" s="14"/>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75" outlineLevel="1" thickBot="1" x14ac:dyDescent="0.3">
      <c r="A63" s="33"/>
      <c r="B63" s="160"/>
      <c r="C63" s="160"/>
      <c r="D63" s="161"/>
      <c r="E63" s="161"/>
      <c r="F63" s="14"/>
      <c r="G63" s="14"/>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6.5" customHeight="1" outlineLevel="1" thickBot="1" x14ac:dyDescent="0.3">
      <c r="A64" s="34" t="s">
        <v>211</v>
      </c>
      <c r="B64" s="216" t="s">
        <v>212</v>
      </c>
      <c r="C64" s="216"/>
      <c r="D64" s="216"/>
      <c r="E64" s="216"/>
      <c r="F64" s="14"/>
      <c r="G64" s="14" t="str">
        <f t="shared" si="586"/>
        <v/>
      </c>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5.75" outlineLevel="1" thickBot="1" x14ac:dyDescent="0.3">
      <c r="A65" s="33"/>
      <c r="B65" s="47" t="s">
        <v>213</v>
      </c>
      <c r="C65" s="42" t="s">
        <v>214</v>
      </c>
      <c r="D65" s="116">
        <v>45768</v>
      </c>
      <c r="E65" s="116">
        <f t="shared" ref="E65:E69" si="593">D65+G65</f>
        <v>45828</v>
      </c>
      <c r="F65" s="14"/>
      <c r="G65" s="14">
        <v>60</v>
      </c>
      <c r="H65" s="29"/>
      <c r="I65" s="29"/>
      <c r="J65" s="29"/>
      <c r="K65" s="29"/>
      <c r="L65" s="29"/>
      <c r="M65" s="29"/>
      <c r="N65" s="29"/>
      <c r="O65" s="29"/>
      <c r="P65" s="29"/>
      <c r="Q65" s="29"/>
      <c r="R65" s="29"/>
      <c r="S65" s="29"/>
      <c r="T65" s="29"/>
      <c r="U65" s="30"/>
      <c r="V65" s="30"/>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75" outlineLevel="1" thickBot="1" x14ac:dyDescent="0.3">
      <c r="A66" s="33"/>
      <c r="B66" s="47" t="s">
        <v>215</v>
      </c>
      <c r="C66" s="42" t="s">
        <v>216</v>
      </c>
      <c r="D66" s="116">
        <v>45852</v>
      </c>
      <c r="E66" s="116">
        <v>45909</v>
      </c>
      <c r="F66" s="14"/>
      <c r="G66" s="14">
        <v>59</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c r="LF66"/>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75" outlineLevel="1" thickBot="1" x14ac:dyDescent="0.3">
      <c r="A67" s="33"/>
      <c r="B67" s="47" t="s">
        <v>213</v>
      </c>
      <c r="C67" s="42" t="s">
        <v>77</v>
      </c>
      <c r="D67" s="116">
        <v>45852</v>
      </c>
      <c r="E67" s="116">
        <v>45907</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75" outlineLevel="1" thickBot="1" x14ac:dyDescent="0.3">
      <c r="A68" s="33"/>
      <c r="B68" s="47" t="s">
        <v>213</v>
      </c>
      <c r="C68" s="42" t="s">
        <v>217</v>
      </c>
      <c r="D68" s="116">
        <v>45904</v>
      </c>
      <c r="E68" s="116">
        <f t="shared" si="593"/>
        <v>45988</v>
      </c>
      <c r="F68" s="14"/>
      <c r="G68" s="14">
        <v>84</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75" outlineLevel="1" thickBot="1" x14ac:dyDescent="0.3">
      <c r="A69" s="33"/>
      <c r="B69" s="47" t="s">
        <v>215</v>
      </c>
      <c r="C69" s="42" t="s">
        <v>30</v>
      </c>
      <c r="D69" s="116">
        <v>45970</v>
      </c>
      <c r="E69" s="116">
        <f t="shared" si="593"/>
        <v>46050</v>
      </c>
      <c r="F69" s="14"/>
      <c r="G69" s="14">
        <v>80</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75" outlineLevel="1" thickBot="1" x14ac:dyDescent="0.3">
      <c r="A70" s="33"/>
      <c r="B70" s="47" t="s">
        <v>213</v>
      </c>
      <c r="C70" s="42" t="s">
        <v>214</v>
      </c>
      <c r="D70" s="116">
        <v>46030</v>
      </c>
      <c r="E70" s="116">
        <f t="shared" ref="E70:E79" si="594">D70+G70</f>
        <v>46091</v>
      </c>
      <c r="F70" s="14"/>
      <c r="G70" s="14">
        <v>61</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75" outlineLevel="1" thickBot="1" x14ac:dyDescent="0.3">
      <c r="A71" s="33"/>
      <c r="B71" s="47" t="s">
        <v>215</v>
      </c>
      <c r="C71" s="42" t="s">
        <v>36</v>
      </c>
      <c r="D71" s="116">
        <v>46045</v>
      </c>
      <c r="E71" s="116">
        <f t="shared" si="594"/>
        <v>46103</v>
      </c>
      <c r="F71" s="14"/>
      <c r="G71" s="14">
        <v>58</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75" outlineLevel="1" thickBot="1" x14ac:dyDescent="0.3">
      <c r="A72" s="33"/>
      <c r="B72" s="47" t="s">
        <v>213</v>
      </c>
      <c r="C72" s="42" t="s">
        <v>217</v>
      </c>
      <c r="D72" s="116">
        <v>46089</v>
      </c>
      <c r="E72" s="116">
        <f t="shared" si="594"/>
        <v>46150</v>
      </c>
      <c r="F72" s="14"/>
      <c r="G72" s="14">
        <v>61</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75" outlineLevel="1" thickBot="1" x14ac:dyDescent="0.3">
      <c r="A73" s="33"/>
      <c r="B73" s="47" t="s">
        <v>215</v>
      </c>
      <c r="C73" s="42" t="s">
        <v>30</v>
      </c>
      <c r="D73" s="116">
        <v>46097</v>
      </c>
      <c r="E73" s="116">
        <f t="shared" si="594"/>
        <v>46157</v>
      </c>
      <c r="F73" s="14"/>
      <c r="G73" s="14">
        <v>60</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75" outlineLevel="1" thickBot="1" x14ac:dyDescent="0.3">
      <c r="A74" s="33"/>
      <c r="B74" s="47" t="s">
        <v>213</v>
      </c>
      <c r="C74" s="42" t="s">
        <v>214</v>
      </c>
      <c r="D74" s="116">
        <v>46149</v>
      </c>
      <c r="E74" s="116">
        <f t="shared" si="594"/>
        <v>46211</v>
      </c>
      <c r="F74" s="14"/>
      <c r="G74" s="14">
        <v>62</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75" outlineLevel="1" thickBot="1" x14ac:dyDescent="0.3">
      <c r="A75" s="33"/>
      <c r="B75" s="47" t="s">
        <v>215</v>
      </c>
      <c r="C75" s="42" t="s">
        <v>36</v>
      </c>
      <c r="D75" s="116">
        <v>46153</v>
      </c>
      <c r="E75" s="116">
        <f t="shared" si="594"/>
        <v>46228</v>
      </c>
      <c r="F75" s="14"/>
      <c r="G75" s="14">
        <v>75</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75" outlineLevel="1" thickBot="1" x14ac:dyDescent="0.3">
      <c r="A76" s="33"/>
      <c r="B76" s="47" t="s">
        <v>213</v>
      </c>
      <c r="C76" s="42" t="s">
        <v>217</v>
      </c>
      <c r="D76" s="116">
        <v>46211</v>
      </c>
      <c r="E76" s="116">
        <f t="shared" si="594"/>
        <v>46273</v>
      </c>
      <c r="F76" s="14"/>
      <c r="G76" s="14">
        <v>62</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75" outlineLevel="1" thickBot="1" x14ac:dyDescent="0.3">
      <c r="A77" s="33"/>
      <c r="B77" s="47" t="s">
        <v>215</v>
      </c>
      <c r="C77" s="42" t="s">
        <v>30</v>
      </c>
      <c r="D77" s="116">
        <v>46229</v>
      </c>
      <c r="E77" s="116">
        <f t="shared" si="594"/>
        <v>46285</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75" outlineLevel="1" thickBot="1" x14ac:dyDescent="0.3">
      <c r="A78" s="33"/>
      <c r="B78" s="47" t="s">
        <v>213</v>
      </c>
      <c r="C78" s="42" t="s">
        <v>214</v>
      </c>
      <c r="D78" s="116">
        <v>46273</v>
      </c>
      <c r="E78" s="116">
        <f t="shared" si="594"/>
        <v>46329</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75" outlineLevel="1" thickBot="1" x14ac:dyDescent="0.3">
      <c r="A79" s="33"/>
      <c r="B79" s="47" t="s">
        <v>215</v>
      </c>
      <c r="C79" s="42" t="s">
        <v>36</v>
      </c>
      <c r="D79" s="116">
        <v>46282</v>
      </c>
      <c r="E79" s="116">
        <f t="shared" si="594"/>
        <v>46338</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75" outlineLevel="1" thickBot="1" x14ac:dyDescent="0.3">
      <c r="A80" s="33"/>
      <c r="B80" s="217" t="s">
        <v>218</v>
      </c>
      <c r="C80" s="217"/>
      <c r="D80" s="217"/>
      <c r="E80" s="217"/>
      <c r="F80" s="14"/>
      <c r="G80" s="14"/>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75" hidden="1" outlineLevel="1" thickBot="1" x14ac:dyDescent="0.3">
      <c r="A81" s="33"/>
      <c r="B81" s="47" t="s">
        <v>219</v>
      </c>
      <c r="C81" s="42" t="s">
        <v>115</v>
      </c>
      <c r="D81" s="116">
        <v>45719</v>
      </c>
      <c r="E81" s="116">
        <f>D81+G81-1</f>
        <v>45732</v>
      </c>
      <c r="F81" s="14"/>
      <c r="G81" s="14">
        <v>14</v>
      </c>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75" hidden="1" outlineLevel="1" thickBot="1" x14ac:dyDescent="0.3">
      <c r="A82" s="33"/>
      <c r="B82" s="47" t="s">
        <v>220</v>
      </c>
      <c r="C82" s="42" t="s">
        <v>115</v>
      </c>
      <c r="D82" s="116">
        <v>45987</v>
      </c>
      <c r="E82" s="116">
        <f t="shared" ref="E82:E84" si="595">D82+G82</f>
        <v>46045</v>
      </c>
      <c r="F82" s="14"/>
      <c r="G82" s="14">
        <v>58</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75" outlineLevel="1" thickBot="1" x14ac:dyDescent="0.3">
      <c r="A83" s="33"/>
      <c r="B83" s="47" t="s">
        <v>220</v>
      </c>
      <c r="C83" s="42" t="s">
        <v>118</v>
      </c>
      <c r="D83" s="116">
        <v>46044</v>
      </c>
      <c r="E83" s="116">
        <f t="shared" si="595"/>
        <v>46100</v>
      </c>
      <c r="F83" s="14"/>
      <c r="G83" s="14">
        <v>56</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75" outlineLevel="1" thickBot="1" x14ac:dyDescent="0.3">
      <c r="A84" s="33"/>
      <c r="B84" s="47" t="s">
        <v>221</v>
      </c>
      <c r="C84" s="42" t="s">
        <v>124</v>
      </c>
      <c r="D84" s="116">
        <v>46107</v>
      </c>
      <c r="E84" s="116">
        <f t="shared" si="595"/>
        <v>46163</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75" outlineLevel="1" thickBot="1" x14ac:dyDescent="0.3">
      <c r="A85" s="33"/>
      <c r="B85" s="47"/>
      <c r="C85" s="42"/>
      <c r="D85" s="116"/>
      <c r="E85" s="116"/>
      <c r="F85" s="14"/>
      <c r="G85" s="14"/>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75" outlineLevel="1" thickBot="1" x14ac:dyDescent="0.3">
      <c r="A86" s="33"/>
      <c r="B86" s="47"/>
      <c r="C86" s="42"/>
      <c r="D86" s="116"/>
      <c r="E86" s="116"/>
      <c r="F86" s="14"/>
      <c r="G86" s="14"/>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75" outlineLevel="1" thickBot="1" x14ac:dyDescent="0.3">
      <c r="A87" s="33"/>
      <c r="B87" s="217" t="s">
        <v>222</v>
      </c>
      <c r="C87" s="217"/>
      <c r="D87" s="217"/>
      <c r="E87" s="217"/>
      <c r="F87" s="14"/>
      <c r="G87" s="14" t="str">
        <f t="shared" si="586"/>
        <v/>
      </c>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75" outlineLevel="1" thickBot="1" x14ac:dyDescent="0.3">
      <c r="A88" s="33" t="s">
        <v>223</v>
      </c>
      <c r="B88" s="84" t="s">
        <v>213</v>
      </c>
      <c r="C88" s="137" t="s">
        <v>217</v>
      </c>
      <c r="D88" s="117">
        <v>45774</v>
      </c>
      <c r="E88" s="117">
        <f>D88+G88</f>
        <v>45819</v>
      </c>
      <c r="F88" s="14"/>
      <c r="G88" s="14">
        <v>45</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75" outlineLevel="1" thickBot="1" x14ac:dyDescent="0.3">
      <c r="A89" s="33"/>
      <c r="B89" s="218" t="s">
        <v>224</v>
      </c>
      <c r="C89" s="218"/>
      <c r="D89" s="218"/>
      <c r="E89" s="218"/>
      <c r="F89" s="14"/>
      <c r="G89" s="14" t="str">
        <f t="shared" si="586"/>
        <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75" outlineLevel="1" thickBot="1" x14ac:dyDescent="0.3">
      <c r="A90" s="33" t="s">
        <v>223</v>
      </c>
      <c r="B90" s="48" t="s">
        <v>225</v>
      </c>
      <c r="C90" s="44" t="s">
        <v>226</v>
      </c>
      <c r="D90" s="118">
        <v>45635</v>
      </c>
      <c r="E90" s="118">
        <v>45681</v>
      </c>
      <c r="F90" s="14"/>
      <c r="G90" s="14">
        <v>7</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75" outlineLevel="1" thickBot="1" x14ac:dyDescent="0.3">
      <c r="A91" s="33"/>
      <c r="B91" s="82" t="s">
        <v>225</v>
      </c>
      <c r="C91" s="138" t="s">
        <v>227</v>
      </c>
      <c r="D91" s="119">
        <v>45698</v>
      </c>
      <c r="E91" s="119">
        <v>45757</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75" outlineLevel="1" thickBot="1" x14ac:dyDescent="0.3">
      <c r="A92" s="33"/>
      <c r="B92" s="219" t="s">
        <v>228</v>
      </c>
      <c r="C92" s="219"/>
      <c r="D92" s="219"/>
      <c r="E92" s="219"/>
      <c r="F92" s="14"/>
      <c r="G92" s="14" t="str">
        <f t="shared" si="586"/>
        <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75" outlineLevel="1" thickBot="1" x14ac:dyDescent="0.3">
      <c r="A93" s="33" t="s">
        <v>223</v>
      </c>
      <c r="B93" s="85" t="s">
        <v>229</v>
      </c>
      <c r="C93" s="139" t="s">
        <v>230</v>
      </c>
      <c r="D93" s="120">
        <v>45866</v>
      </c>
      <c r="E93" s="120">
        <v>45891</v>
      </c>
      <c r="F93" s="14"/>
      <c r="G93" s="14">
        <f>E93-D93</f>
        <v>25</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75" outlineLevel="1" thickBot="1" x14ac:dyDescent="0.3">
      <c r="A94" s="33"/>
      <c r="B94" s="85" t="s">
        <v>229</v>
      </c>
      <c r="C94" s="139" t="s">
        <v>231</v>
      </c>
      <c r="D94" s="120">
        <v>45922</v>
      </c>
      <c r="E94" s="120">
        <v>45975</v>
      </c>
      <c r="F94" s="14"/>
      <c r="G94" s="14">
        <f t="shared" ref="G94:G96" si="596">E94-D94</f>
        <v>53</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75" outlineLevel="1" thickBot="1" x14ac:dyDescent="0.3">
      <c r="A95" s="33"/>
      <c r="B95" s="85" t="s">
        <v>232</v>
      </c>
      <c r="C95" s="145" t="s">
        <v>227</v>
      </c>
      <c r="D95" s="123">
        <v>46041</v>
      </c>
      <c r="E95" s="123">
        <v>46094</v>
      </c>
      <c r="F95" s="14"/>
      <c r="G95" s="14">
        <f t="shared" si="596"/>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75" outlineLevel="1" thickBot="1" x14ac:dyDescent="0.3">
      <c r="A96" s="33"/>
      <c r="B96" s="85" t="s">
        <v>233</v>
      </c>
      <c r="C96" s="139" t="s">
        <v>234</v>
      </c>
      <c r="D96" s="120">
        <v>46104</v>
      </c>
      <c r="E96" s="120">
        <v>46157</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75" outlineLevel="1" thickBot="1" x14ac:dyDescent="0.3">
      <c r="A97" s="33"/>
      <c r="B97" s="85" t="s">
        <v>229</v>
      </c>
      <c r="C97" s="139" t="s">
        <v>235</v>
      </c>
      <c r="D97" s="120">
        <v>46146</v>
      </c>
      <c r="E97" s="120">
        <v>46199</v>
      </c>
      <c r="F97" s="14"/>
      <c r="G97" s="14">
        <f>E97-D97</f>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6.5" outlineLevel="1" thickBot="1" x14ac:dyDescent="0.3">
      <c r="A98" s="33"/>
      <c r="B98" s="220" t="s">
        <v>236</v>
      </c>
      <c r="C98" s="220"/>
      <c r="D98" s="220"/>
      <c r="E98" s="220"/>
      <c r="F98" s="14"/>
      <c r="G98" s="14"/>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75" thickBot="1" x14ac:dyDescent="0.3">
      <c r="A99" s="33"/>
      <c r="B99" s="215" t="s">
        <v>237</v>
      </c>
      <c r="C99" s="215"/>
      <c r="D99" s="215"/>
      <c r="E99" s="215"/>
      <c r="F99" s="14"/>
      <c r="G99" s="14" t="str">
        <f t="shared" si="586"/>
        <v/>
      </c>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customHeight="1" outlineLevel="1" thickBot="1" x14ac:dyDescent="0.3">
      <c r="A100" s="34" t="s">
        <v>211</v>
      </c>
      <c r="B100" s="47" t="s">
        <v>238</v>
      </c>
      <c r="C100" s="42" t="s">
        <v>109</v>
      </c>
      <c r="D100" s="116">
        <v>45820</v>
      </c>
      <c r="E100" s="116">
        <f>D100+G100-1</f>
        <v>45873</v>
      </c>
      <c r="F100" s="14"/>
      <c r="G100" s="14">
        <v>54</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75" outlineLevel="1" thickBot="1" x14ac:dyDescent="0.3">
      <c r="A101" s="33"/>
      <c r="B101" s="47" t="s">
        <v>239</v>
      </c>
      <c r="C101" s="42" t="s">
        <v>74</v>
      </c>
      <c r="D101" s="116">
        <v>45855</v>
      </c>
      <c r="E101" s="116">
        <f>D101+G101</f>
        <v>45911</v>
      </c>
      <c r="F101" s="14"/>
      <c r="G101" s="14">
        <v>56</v>
      </c>
      <c r="H101" s="29"/>
      <c r="I101" s="29"/>
      <c r="J101" s="29"/>
      <c r="K101" s="29"/>
      <c r="L101" s="29"/>
      <c r="M101" s="29"/>
      <c r="N101" s="29"/>
      <c r="O101" s="29"/>
      <c r="P101" s="29"/>
      <c r="Q101" s="29"/>
      <c r="R101" s="29"/>
      <c r="S101" s="29"/>
      <c r="T101" s="29"/>
      <c r="U101" s="30"/>
      <c r="V101" s="30"/>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75" outlineLevel="1" thickBot="1" x14ac:dyDescent="0.3">
      <c r="A102" s="33"/>
      <c r="B102" s="47" t="s">
        <v>238</v>
      </c>
      <c r="C102" s="42" t="s">
        <v>36</v>
      </c>
      <c r="D102" s="116">
        <v>45876</v>
      </c>
      <c r="E102" s="116">
        <v>45925</v>
      </c>
      <c r="F102" s="14"/>
      <c r="G102" s="14">
        <f>E102-D102</f>
        <v>49</v>
      </c>
      <c r="H102" s="14">
        <v>54</v>
      </c>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75" outlineLevel="1" thickBot="1" x14ac:dyDescent="0.3">
      <c r="A103" s="33"/>
      <c r="B103" s="47" t="s">
        <v>239</v>
      </c>
      <c r="C103" s="42" t="s">
        <v>124</v>
      </c>
      <c r="D103" s="116">
        <f>E101</f>
        <v>45911</v>
      </c>
      <c r="E103" s="116">
        <f t="shared" ref="E103:E104" si="597">D103+G103</f>
        <v>45967</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75" outlineLevel="1" thickBot="1" x14ac:dyDescent="0.3">
      <c r="A104" s="33"/>
      <c r="B104" s="47" t="s">
        <v>238</v>
      </c>
      <c r="C104" s="42" t="s">
        <v>33</v>
      </c>
      <c r="D104" s="116">
        <v>45932</v>
      </c>
      <c r="E104" s="116">
        <f t="shared" si="597"/>
        <v>45988</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75" outlineLevel="1" thickBot="1" x14ac:dyDescent="0.3">
      <c r="A105" s="33"/>
      <c r="B105" s="47" t="s">
        <v>239</v>
      </c>
      <c r="C105" s="42" t="s">
        <v>53</v>
      </c>
      <c r="D105" s="116">
        <v>45974</v>
      </c>
      <c r="E105" s="116">
        <f t="shared" ref="E105:E123" si="598">D105+G105-1</f>
        <v>46029</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75" outlineLevel="1" thickBot="1" x14ac:dyDescent="0.3">
      <c r="A106" s="33"/>
      <c r="B106" s="47" t="s">
        <v>238</v>
      </c>
      <c r="C106" s="42" t="s">
        <v>216</v>
      </c>
      <c r="D106" s="116">
        <v>45996</v>
      </c>
      <c r="E106" s="116">
        <f>D106+G106-1</f>
        <v>46051</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75" outlineLevel="1" thickBot="1" x14ac:dyDescent="0.3">
      <c r="A107" s="33"/>
      <c r="B107" s="146" t="s">
        <v>240</v>
      </c>
      <c r="C107" s="147" t="s">
        <v>112</v>
      </c>
      <c r="D107" s="148">
        <v>45988</v>
      </c>
      <c r="E107" s="148">
        <f t="shared" si="598"/>
        <v>46043</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75" outlineLevel="1" thickBot="1" x14ac:dyDescent="0.3">
      <c r="A108" s="33"/>
      <c r="B108" s="47" t="s">
        <v>239</v>
      </c>
      <c r="C108" s="42" t="s">
        <v>74</v>
      </c>
      <c r="D108" s="116">
        <v>46034</v>
      </c>
      <c r="E108" s="116">
        <f>D108+G108</f>
        <v>46085</v>
      </c>
      <c r="F108" s="14"/>
      <c r="G108" s="14">
        <v>51</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75" outlineLevel="1" thickBot="1" x14ac:dyDescent="0.3">
      <c r="A109" s="33"/>
      <c r="B109" s="47" t="s">
        <v>238</v>
      </c>
      <c r="C109" s="42" t="s">
        <v>86</v>
      </c>
      <c r="D109" s="116">
        <f>E106</f>
        <v>46051</v>
      </c>
      <c r="E109" s="116">
        <f t="shared" si="598"/>
        <v>46106</v>
      </c>
      <c r="F109" s="14"/>
      <c r="G109" s="14">
        <v>56</v>
      </c>
      <c r="H109" s="14">
        <v>54</v>
      </c>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75" outlineLevel="1" thickBot="1" x14ac:dyDescent="0.3">
      <c r="A110" s="33"/>
      <c r="B110" s="146" t="s">
        <v>240</v>
      </c>
      <c r="C110" s="147" t="s">
        <v>181</v>
      </c>
      <c r="D110" s="148">
        <v>46058</v>
      </c>
      <c r="E110" s="148">
        <f t="shared" si="598"/>
        <v>46113</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75" outlineLevel="1" thickBot="1" x14ac:dyDescent="0.3">
      <c r="A111" s="33"/>
      <c r="B111" s="47" t="s">
        <v>239</v>
      </c>
      <c r="C111" s="42" t="s">
        <v>77</v>
      </c>
      <c r="D111" s="116">
        <f>E108+8</f>
        <v>46093</v>
      </c>
      <c r="E111" s="116">
        <f>D111+G111-1</f>
        <v>46148</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75" outlineLevel="1" thickBot="1" x14ac:dyDescent="0.3">
      <c r="A112" s="33"/>
      <c r="B112" s="47" t="s">
        <v>238</v>
      </c>
      <c r="C112" s="42" t="s">
        <v>216</v>
      </c>
      <c r="D112" s="116">
        <v>46114</v>
      </c>
      <c r="E112" s="116">
        <f t="shared" si="598"/>
        <v>46169</v>
      </c>
      <c r="F112" s="14"/>
      <c r="G112" s="14">
        <v>56</v>
      </c>
      <c r="H112" s="14">
        <v>54</v>
      </c>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75" outlineLevel="1" thickBot="1" x14ac:dyDescent="0.3">
      <c r="A113" s="33"/>
      <c r="B113" s="146" t="s">
        <v>240</v>
      </c>
      <c r="C113" s="147" t="s">
        <v>103</v>
      </c>
      <c r="D113" s="148">
        <v>46065</v>
      </c>
      <c r="E113" s="148">
        <f t="shared" si="598"/>
        <v>46120</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75" outlineLevel="1" thickBot="1" x14ac:dyDescent="0.3">
      <c r="A114" s="33"/>
      <c r="B114" s="146" t="s">
        <v>240</v>
      </c>
      <c r="C114" s="147" t="s">
        <v>106</v>
      </c>
      <c r="D114" s="148">
        <v>46121</v>
      </c>
      <c r="E114" s="148">
        <f>D114+G114-1</f>
        <v>46176</v>
      </c>
      <c r="F114" s="14"/>
      <c r="G114" s="14">
        <v>56</v>
      </c>
      <c r="H114" s="14"/>
      <c r="I114" s="14"/>
      <c r="J114" s="29"/>
      <c r="K114" s="29"/>
      <c r="L114" s="29"/>
      <c r="M114" s="29"/>
      <c r="N114" s="29"/>
      <c r="O114" s="29"/>
      <c r="P114" s="29"/>
      <c r="Q114" s="29"/>
      <c r="R114" s="29"/>
      <c r="S114" s="29"/>
      <c r="T114" s="29"/>
      <c r="U114" s="29"/>
      <c r="V114" s="29"/>
      <c r="W114" s="29"/>
      <c r="X114" s="29"/>
      <c r="Y114" s="165"/>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75" outlineLevel="1" thickBot="1" x14ac:dyDescent="0.3">
      <c r="A115" s="33"/>
      <c r="B115" s="47" t="s">
        <v>239</v>
      </c>
      <c r="C115" s="42" t="s">
        <v>74</v>
      </c>
      <c r="D115" s="116">
        <f>E111+1</f>
        <v>46149</v>
      </c>
      <c r="E115" s="116">
        <f>D115+G115-1</f>
        <v>46204</v>
      </c>
      <c r="F115" s="14"/>
      <c r="G115" s="14">
        <v>56</v>
      </c>
      <c r="H115" s="14"/>
      <c r="I115" s="14"/>
      <c r="J115" s="29"/>
      <c r="K115" s="29"/>
      <c r="L115" s="29"/>
      <c r="M115" s="29"/>
      <c r="N115" s="29"/>
      <c r="O115" s="29"/>
      <c r="P115" s="29"/>
      <c r="Q115" s="29"/>
      <c r="R115" s="29"/>
      <c r="S115" s="29"/>
      <c r="T115" s="29"/>
      <c r="U115" s="29"/>
      <c r="V115" s="29"/>
      <c r="W115" s="29"/>
      <c r="X115" s="29"/>
      <c r="Y115" s="165"/>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75" outlineLevel="1" thickBot="1" x14ac:dyDescent="0.3">
      <c r="A116" s="33"/>
      <c r="B116" s="47" t="s">
        <v>238</v>
      </c>
      <c r="C116" s="42" t="s">
        <v>164</v>
      </c>
      <c r="D116" s="116">
        <f>E112+1</f>
        <v>46170</v>
      </c>
      <c r="E116" s="116">
        <f t="shared" si="598"/>
        <v>46225</v>
      </c>
      <c r="F116" s="14"/>
      <c r="G116" s="14">
        <v>56</v>
      </c>
      <c r="H116" s="14"/>
      <c r="I116" s="14"/>
      <c r="J116" s="29"/>
      <c r="K116" s="29"/>
      <c r="L116" s="29"/>
      <c r="M116" s="29"/>
      <c r="N116" s="29"/>
      <c r="O116" s="29"/>
      <c r="P116" s="29"/>
      <c r="Q116" s="29"/>
      <c r="R116" s="29"/>
      <c r="S116" s="29"/>
      <c r="T116" s="29"/>
      <c r="U116" s="29"/>
      <c r="V116" s="29"/>
      <c r="W116" s="29"/>
      <c r="X116" s="29"/>
      <c r="Y116" s="165"/>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75" outlineLevel="1" thickBot="1" x14ac:dyDescent="0.3">
      <c r="A117" s="33"/>
      <c r="B117" s="146" t="s">
        <v>240</v>
      </c>
      <c r="C117" s="147" t="s">
        <v>183</v>
      </c>
      <c r="D117" s="148">
        <f>E114+1</f>
        <v>46177</v>
      </c>
      <c r="E117" s="148">
        <f t="shared" si="598"/>
        <v>46232</v>
      </c>
      <c r="F117" s="14"/>
      <c r="G117" s="14">
        <v>56</v>
      </c>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75" outlineLevel="1" thickBot="1" x14ac:dyDescent="0.3">
      <c r="A118" s="33"/>
      <c r="B118" s="47" t="s">
        <v>239</v>
      </c>
      <c r="C118" s="42" t="s">
        <v>77</v>
      </c>
      <c r="D118" s="116">
        <f t="shared" ref="D118:D123" si="599">E115+1</f>
        <v>46205</v>
      </c>
      <c r="E118" s="116">
        <f t="shared" si="598"/>
        <v>46260</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75" outlineLevel="1" thickBot="1" x14ac:dyDescent="0.3">
      <c r="A119" s="33"/>
      <c r="B119" s="47" t="s">
        <v>238</v>
      </c>
      <c r="C119" s="42" t="s">
        <v>216</v>
      </c>
      <c r="D119" s="116">
        <f t="shared" si="599"/>
        <v>46226</v>
      </c>
      <c r="E119" s="116">
        <f t="shared" si="598"/>
        <v>46281</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75" outlineLevel="1" thickBot="1" x14ac:dyDescent="0.3">
      <c r="A120" s="33" t="s">
        <v>241</v>
      </c>
      <c r="B120" s="146" t="s">
        <v>240</v>
      </c>
      <c r="C120" s="147" t="s">
        <v>183</v>
      </c>
      <c r="D120" s="148">
        <f t="shared" si="599"/>
        <v>46233</v>
      </c>
      <c r="E120" s="148">
        <f t="shared" si="598"/>
        <v>46288</v>
      </c>
      <c r="F120" s="14"/>
      <c r="G120" s="14">
        <v>56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75" outlineLevel="1" thickBot="1" x14ac:dyDescent="0.3">
      <c r="A121" s="33"/>
      <c r="B121" s="47" t="s">
        <v>239</v>
      </c>
      <c r="C121" s="42" t="s">
        <v>74</v>
      </c>
      <c r="D121" s="116">
        <f t="shared" si="599"/>
        <v>46261</v>
      </c>
      <c r="E121" s="116">
        <f t="shared" si="598"/>
        <v>46316</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75" outlineLevel="1" thickBot="1" x14ac:dyDescent="0.3">
      <c r="A122" s="33"/>
      <c r="B122" s="47" t="s">
        <v>238</v>
      </c>
      <c r="C122" s="42"/>
      <c r="D122" s="116">
        <f t="shared" si="599"/>
        <v>46282</v>
      </c>
      <c r="E122" s="116">
        <f t="shared" si="598"/>
        <v>46337</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75" outlineLevel="1" thickBot="1" x14ac:dyDescent="0.3">
      <c r="A123" s="33"/>
      <c r="B123" s="146" t="s">
        <v>240</v>
      </c>
      <c r="C123" s="147" t="s">
        <v>183</v>
      </c>
      <c r="D123" s="148">
        <f t="shared" si="599"/>
        <v>46289</v>
      </c>
      <c r="E123" s="148">
        <f t="shared" si="598"/>
        <v>46344</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75" outlineLevel="1" thickBot="1" x14ac:dyDescent="0.3">
      <c r="A124" s="33"/>
      <c r="B124" s="162" t="s">
        <v>242</v>
      </c>
      <c r="C124" s="163" t="s">
        <v>243</v>
      </c>
      <c r="D124" s="164">
        <v>46114</v>
      </c>
      <c r="E124" s="164">
        <f t="shared" ref="E124:E126" si="600">D124+G124-1</f>
        <v>46169</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75" outlineLevel="1" thickBot="1" x14ac:dyDescent="0.3">
      <c r="A125" s="33"/>
      <c r="B125" s="162" t="s">
        <v>242</v>
      </c>
      <c r="C125" s="163" t="s">
        <v>243</v>
      </c>
      <c r="D125" s="164">
        <f>E124+1</f>
        <v>46170</v>
      </c>
      <c r="E125" s="164">
        <f t="shared" si="600"/>
        <v>46225</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75" outlineLevel="1" thickBot="1" x14ac:dyDescent="0.3">
      <c r="A126" s="33"/>
      <c r="B126" s="162" t="s">
        <v>242</v>
      </c>
      <c r="C126" s="163" t="s">
        <v>243</v>
      </c>
      <c r="D126" s="164">
        <f t="shared" ref="D126" si="601">E125+1</f>
        <v>46226</v>
      </c>
      <c r="E126" s="164">
        <f t="shared" si="600"/>
        <v>46281</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75" outlineLevel="1" thickBot="1" x14ac:dyDescent="0.3">
      <c r="A127" s="33"/>
      <c r="B127" s="162"/>
      <c r="C127" s="163"/>
      <c r="D127" s="164"/>
      <c r="E127" s="164"/>
      <c r="F127" s="14"/>
      <c r="G127" s="14"/>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75" outlineLevel="1" thickBot="1" x14ac:dyDescent="0.3">
      <c r="A128" s="33"/>
      <c r="B128" s="47"/>
      <c r="C128" s="42"/>
      <c r="D128" s="116"/>
      <c r="E128" s="116"/>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75" outlineLevel="1" thickBot="1" x14ac:dyDescent="0.3">
      <c r="A129" s="33"/>
      <c r="B129" s="47"/>
      <c r="C129" s="42"/>
      <c r="D129" s="116"/>
      <c r="E129" s="116"/>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75" outlineLevel="1" thickBot="1" x14ac:dyDescent="0.3">
      <c r="A130" s="33"/>
      <c r="B130" s="47"/>
      <c r="C130" s="42"/>
      <c r="D130" s="116"/>
      <c r="E130" s="116"/>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75" outlineLevel="1" thickBot="1" x14ac:dyDescent="0.3">
      <c r="A131" s="33"/>
      <c r="B131" s="47"/>
      <c r="C131" s="42"/>
      <c r="D131" s="116"/>
      <c r="E131" s="116"/>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75" outlineLevel="1" thickBot="1" x14ac:dyDescent="0.3">
      <c r="A132" s="33"/>
      <c r="B132" s="24" t="s">
        <v>244</v>
      </c>
      <c r="C132" s="140"/>
      <c r="D132" s="121"/>
      <c r="E132" s="122"/>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75" outlineLevel="1" thickBot="1" x14ac:dyDescent="0.3">
      <c r="A133" s="33"/>
      <c r="B133" s="85" t="s">
        <v>245</v>
      </c>
      <c r="C133" s="102" t="s">
        <v>80</v>
      </c>
      <c r="D133" s="123">
        <v>45754</v>
      </c>
      <c r="E133" s="123">
        <f>D133+G133</f>
        <v>45758</v>
      </c>
      <c r="F133" s="14"/>
      <c r="G133" s="14">
        <v>4</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75" outlineLevel="1" thickBot="1" x14ac:dyDescent="0.3">
      <c r="A134" s="33"/>
      <c r="B134" s="85" t="s">
        <v>208</v>
      </c>
      <c r="C134" s="102" t="s">
        <v>216</v>
      </c>
      <c r="D134" s="123">
        <v>45782</v>
      </c>
      <c r="E134" s="123">
        <f>D134+G134-1</f>
        <v>45793</v>
      </c>
      <c r="F134" s="14"/>
      <c r="G134" s="14">
        <v>12</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75" outlineLevel="1" thickBot="1" x14ac:dyDescent="0.3">
      <c r="A135" s="33"/>
      <c r="B135" s="85" t="s">
        <v>246</v>
      </c>
      <c r="C135" s="102" t="s">
        <v>77</v>
      </c>
      <c r="D135" s="123">
        <f>D134+35</f>
        <v>45817</v>
      </c>
      <c r="E135" s="123">
        <f t="shared" ref="E135:E144" si="602">D135+G135-1</f>
        <v>45828</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75" outlineLevel="1" thickBot="1" x14ac:dyDescent="0.3">
      <c r="A136" s="33"/>
      <c r="B136" s="85" t="s">
        <v>208</v>
      </c>
      <c r="C136" s="102" t="s">
        <v>30</v>
      </c>
      <c r="D136" s="123">
        <f t="shared" ref="D136" si="603">D135+35</f>
        <v>45852</v>
      </c>
      <c r="E136" s="123">
        <f t="shared" si="602"/>
        <v>45863</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75" outlineLevel="1" thickBot="1" x14ac:dyDescent="0.3">
      <c r="A137" s="33"/>
      <c r="B137" s="85" t="s">
        <v>208</v>
      </c>
      <c r="C137" s="102" t="s">
        <v>155</v>
      </c>
      <c r="D137" s="123">
        <v>45852</v>
      </c>
      <c r="E137" s="123">
        <f t="shared" si="602"/>
        <v>45856</v>
      </c>
      <c r="F137" s="14"/>
      <c r="G137" s="14">
        <v>5</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75" outlineLevel="1" thickBot="1" x14ac:dyDescent="0.3">
      <c r="A138" s="33"/>
      <c r="B138" s="85" t="s">
        <v>208</v>
      </c>
      <c r="C138" s="102" t="s">
        <v>158</v>
      </c>
      <c r="D138" s="123">
        <v>45859</v>
      </c>
      <c r="E138" s="123">
        <f t="shared" si="602"/>
        <v>45863</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75" outlineLevel="1" thickBot="1" x14ac:dyDescent="0.3">
      <c r="A139" s="33"/>
      <c r="B139" s="85" t="s">
        <v>246</v>
      </c>
      <c r="C139" s="102" t="s">
        <v>71</v>
      </c>
      <c r="D139" s="123">
        <v>45894</v>
      </c>
      <c r="E139" s="123">
        <f t="shared" si="602"/>
        <v>45905</v>
      </c>
      <c r="F139" s="14"/>
      <c r="G139" s="14">
        <v>12</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75" outlineLevel="1" thickBot="1" x14ac:dyDescent="0.3">
      <c r="A140" s="33"/>
      <c r="B140" s="85" t="s">
        <v>246</v>
      </c>
      <c r="C140" s="102" t="s">
        <v>134</v>
      </c>
      <c r="D140" s="123">
        <v>45901</v>
      </c>
      <c r="E140" s="123">
        <f t="shared" si="602"/>
        <v>45905</v>
      </c>
      <c r="F140" s="14"/>
      <c r="G140" s="14">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75" outlineLevel="1" thickBot="1" x14ac:dyDescent="0.3">
      <c r="A141" s="33"/>
      <c r="B141" s="85" t="s">
        <v>210</v>
      </c>
      <c r="C141" s="102" t="s">
        <v>18</v>
      </c>
      <c r="D141" s="123">
        <v>45894</v>
      </c>
      <c r="E141" s="123">
        <f t="shared" si="602"/>
        <v>45898</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75" outlineLevel="1" thickBot="1" x14ac:dyDescent="0.3">
      <c r="A142" s="33"/>
      <c r="B142" s="85" t="s">
        <v>246</v>
      </c>
      <c r="C142" s="102" t="s">
        <v>92</v>
      </c>
      <c r="D142" s="123">
        <v>45929</v>
      </c>
      <c r="E142" s="123">
        <f t="shared" si="602"/>
        <v>45940</v>
      </c>
      <c r="F142" s="14"/>
      <c r="G142" s="14">
        <v>12</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75" outlineLevel="1" thickBot="1" x14ac:dyDescent="0.3">
      <c r="A143" s="33"/>
      <c r="B143" s="85" t="s">
        <v>210</v>
      </c>
      <c r="C143" s="102" t="s">
        <v>22</v>
      </c>
      <c r="D143" s="123">
        <v>45929</v>
      </c>
      <c r="E143" s="123">
        <f t="shared" si="602"/>
        <v>45933</v>
      </c>
      <c r="F143" s="14"/>
      <c r="G143" s="14">
        <v>5</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75" outlineLevel="1" thickBot="1" x14ac:dyDescent="0.3">
      <c r="A144" s="33"/>
      <c r="B144" s="85" t="s">
        <v>208</v>
      </c>
      <c r="C144" s="102" t="s">
        <v>152</v>
      </c>
      <c r="D144" s="123">
        <v>45936</v>
      </c>
      <c r="E144" s="123">
        <f t="shared" si="602"/>
        <v>45940</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75" outlineLevel="1" thickBot="1" x14ac:dyDescent="0.3">
      <c r="A145" s="33"/>
      <c r="B145" s="149" t="s">
        <v>208</v>
      </c>
      <c r="C145" s="150"/>
      <c r="D145" s="151">
        <v>45964</v>
      </c>
      <c r="E145" s="151">
        <f t="shared" ref="E145:E149" si="604">D145+G145-1</f>
        <v>45975</v>
      </c>
      <c r="F145" s="152"/>
      <c r="G145" s="152">
        <v>12</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75" outlineLevel="1" thickBot="1" x14ac:dyDescent="0.3">
      <c r="A146" s="33"/>
      <c r="B146" s="149" t="s">
        <v>210</v>
      </c>
      <c r="C146" s="150"/>
      <c r="D146" s="151">
        <v>45964</v>
      </c>
      <c r="E146" s="151">
        <f t="shared" si="604"/>
        <v>45975</v>
      </c>
      <c r="F146" s="152"/>
      <c r="G146" s="152">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75" outlineLevel="1" thickBot="1" x14ac:dyDescent="0.3">
      <c r="A147" s="33"/>
      <c r="B147" s="149" t="s">
        <v>246</v>
      </c>
      <c r="C147" s="150"/>
      <c r="D147" s="151">
        <v>45957</v>
      </c>
      <c r="E147" s="151">
        <f t="shared" si="604"/>
        <v>45961</v>
      </c>
      <c r="F147" s="152"/>
      <c r="G147" s="152">
        <v>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75" outlineLevel="1" thickBot="1" x14ac:dyDescent="0.3">
      <c r="A148" s="33"/>
      <c r="B148" s="149" t="s">
        <v>208</v>
      </c>
      <c r="C148" s="150"/>
      <c r="D148" s="151">
        <v>45964</v>
      </c>
      <c r="E148" s="151">
        <f t="shared" si="604"/>
        <v>45968</v>
      </c>
      <c r="F148" s="152"/>
      <c r="G148" s="152">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75" outlineLevel="1" thickBot="1" x14ac:dyDescent="0.3">
      <c r="A149" s="33"/>
      <c r="B149" s="149" t="s">
        <v>208</v>
      </c>
      <c r="C149" s="150"/>
      <c r="D149" s="151">
        <v>45971</v>
      </c>
      <c r="E149" s="151">
        <f t="shared" si="604"/>
        <v>45975</v>
      </c>
      <c r="F149" s="152"/>
      <c r="G149" s="152">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75" outlineLevel="1" thickBot="1" x14ac:dyDescent="0.3">
      <c r="A150" s="33"/>
      <c r="B150" s="85"/>
      <c r="C150" s="102"/>
      <c r="D150" s="123"/>
      <c r="E150" s="123"/>
      <c r="F150" s="14"/>
      <c r="G150" s="14"/>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75" outlineLevel="1" thickBot="1" x14ac:dyDescent="0.3">
      <c r="A151" s="33"/>
      <c r="B151" s="85"/>
      <c r="C151" s="102"/>
      <c r="D151" s="123"/>
      <c r="E151" s="123"/>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75" outlineLevel="1" thickBot="1" x14ac:dyDescent="0.3">
      <c r="A152" s="33"/>
      <c r="B152" s="83" t="s">
        <v>247</v>
      </c>
      <c r="C152" s="141"/>
      <c r="D152" s="124"/>
      <c r="E152" s="125"/>
      <c r="F152" s="14"/>
      <c r="G152" s="14" t="str">
        <f t="shared" si="586"/>
        <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75" outlineLevel="1" thickBot="1" x14ac:dyDescent="0.3">
      <c r="A153" s="33" t="s">
        <v>223</v>
      </c>
      <c r="B153" s="84" t="s">
        <v>229</v>
      </c>
      <c r="C153" s="142" t="s">
        <v>248</v>
      </c>
      <c r="D153" s="117">
        <v>45769</v>
      </c>
      <c r="E153" s="117">
        <v>45856</v>
      </c>
      <c r="F153" s="14"/>
      <c r="G153" s="14">
        <v>87</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75" outlineLevel="1" thickBot="1" x14ac:dyDescent="0.3">
      <c r="A154" s="33"/>
      <c r="B154" s="86" t="s">
        <v>232</v>
      </c>
      <c r="C154" s="142" t="s">
        <v>249</v>
      </c>
      <c r="D154" s="117">
        <v>45838</v>
      </c>
      <c r="E154" s="117">
        <v>45884</v>
      </c>
      <c r="F154" s="14"/>
      <c r="G154" s="14">
        <v>46</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75" outlineLevel="1" thickBot="1" x14ac:dyDescent="0.3">
      <c r="A155" s="33"/>
      <c r="B155" s="221" t="s">
        <v>250</v>
      </c>
      <c r="C155" s="221"/>
      <c r="D155" s="221"/>
      <c r="E155" s="221"/>
      <c r="F155" s="14"/>
      <c r="G155" s="14"/>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75" outlineLevel="1" thickBot="1" x14ac:dyDescent="0.3">
      <c r="A156" s="33"/>
      <c r="B156" s="155" t="s">
        <v>229</v>
      </c>
      <c r="C156" s="156" t="s">
        <v>251</v>
      </c>
      <c r="D156" s="157">
        <v>45971</v>
      </c>
      <c r="E156" s="157">
        <v>45996</v>
      </c>
      <c r="F156" s="14"/>
      <c r="G156" s="14">
        <f>E156-D156</f>
        <v>25</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75" outlineLevel="1" thickBot="1" x14ac:dyDescent="0.3">
      <c r="A157" s="33"/>
      <c r="B157" s="87" t="s">
        <v>252</v>
      </c>
      <c r="C157" s="41" t="s">
        <v>248</v>
      </c>
      <c r="D157" s="126">
        <v>46034</v>
      </c>
      <c r="E157" s="126">
        <f>D157+53</f>
        <v>46087</v>
      </c>
      <c r="F157" s="14"/>
      <c r="G157" s="14">
        <f>E157-D157</f>
        <v>53</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75" outlineLevel="1" thickBot="1" x14ac:dyDescent="0.3">
      <c r="A158" s="33"/>
      <c r="B158" s="87" t="s">
        <v>232</v>
      </c>
      <c r="C158" s="41" t="s">
        <v>253</v>
      </c>
      <c r="D158" s="126">
        <v>46097</v>
      </c>
      <c r="E158" s="126">
        <f>D158+53</f>
        <v>46150</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75" outlineLevel="1" thickBot="1" x14ac:dyDescent="0.3">
      <c r="A159" s="33"/>
      <c r="B159" s="87" t="s">
        <v>233</v>
      </c>
      <c r="C159" s="41" t="s">
        <v>254</v>
      </c>
      <c r="D159" s="126">
        <v>46160</v>
      </c>
      <c r="E159" s="126">
        <f>D159+53</f>
        <v>46213</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6.5" outlineLevel="1" thickBot="1" x14ac:dyDescent="0.3">
      <c r="A160" s="33"/>
      <c r="B160" s="220" t="s">
        <v>201</v>
      </c>
      <c r="C160" s="220"/>
      <c r="D160" s="220"/>
      <c r="E160" s="220"/>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75" thickBot="1" x14ac:dyDescent="0.3">
      <c r="A161" s="33"/>
      <c r="B161" s="215" t="s">
        <v>255</v>
      </c>
      <c r="C161" s="215"/>
      <c r="D161" s="215"/>
      <c r="E161" s="215"/>
      <c r="F161" s="14"/>
      <c r="G161" s="14" t="str">
        <f t="shared" si="586"/>
        <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2.6" customHeight="1" outlineLevel="1" thickBot="1" x14ac:dyDescent="0.3">
      <c r="A162" s="34" t="s">
        <v>211</v>
      </c>
      <c r="B162" s="47" t="s">
        <v>256</v>
      </c>
      <c r="C162" s="42" t="s">
        <v>95</v>
      </c>
      <c r="D162" s="116">
        <v>45964</v>
      </c>
      <c r="E162" s="116">
        <f t="shared" ref="E162:E168" si="605">D162+G162</f>
        <v>46050</v>
      </c>
      <c r="F162" s="14"/>
      <c r="G162" s="14">
        <v>86</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5.75" outlineLevel="1" thickBot="1" x14ac:dyDescent="0.3">
      <c r="A163" s="33"/>
      <c r="B163" s="47" t="s">
        <v>257</v>
      </c>
      <c r="C163" s="42" t="s">
        <v>109</v>
      </c>
      <c r="D163" s="116">
        <v>46037</v>
      </c>
      <c r="E163" s="116">
        <f t="shared" si="605"/>
        <v>46123</v>
      </c>
      <c r="F163" s="14"/>
      <c r="G163" s="175">
        <v>86</v>
      </c>
      <c r="H163" s="29"/>
      <c r="I163" s="29"/>
      <c r="J163" s="29"/>
      <c r="K163" s="29"/>
      <c r="L163" s="29"/>
      <c r="M163" s="29"/>
      <c r="N163" s="29"/>
      <c r="O163" s="29"/>
      <c r="P163" s="29"/>
      <c r="Q163" s="29"/>
      <c r="R163" s="29"/>
      <c r="S163" s="29"/>
      <c r="T163" s="29"/>
      <c r="U163" s="30"/>
      <c r="V163" s="30"/>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75" outlineLevel="1" thickBot="1" x14ac:dyDescent="0.3">
      <c r="A164" s="33"/>
      <c r="B164" s="47" t="s">
        <v>256</v>
      </c>
      <c r="C164" s="42" t="s">
        <v>98</v>
      </c>
      <c r="D164" s="116">
        <v>46058</v>
      </c>
      <c r="E164" s="116">
        <f t="shared" si="605"/>
        <v>46114</v>
      </c>
      <c r="F164" s="14"/>
      <c r="G164" s="14">
        <v>56</v>
      </c>
      <c r="H164" s="29"/>
      <c r="I164" s="29"/>
      <c r="J164" s="29"/>
      <c r="K164" s="29"/>
      <c r="L164" s="29"/>
      <c r="M164" s="29"/>
      <c r="N164" s="29"/>
      <c r="O164" s="29"/>
      <c r="P164" s="29"/>
      <c r="Q164" s="29"/>
      <c r="R164" s="29"/>
      <c r="S164" s="29"/>
      <c r="T164" s="29"/>
      <c r="U164" s="29"/>
      <c r="V164" s="29"/>
      <c r="W164" s="29"/>
      <c r="X164" s="29"/>
      <c r="Y164" s="30"/>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75" outlineLevel="1" thickBot="1" x14ac:dyDescent="0.3">
      <c r="A165" s="33"/>
      <c r="B165" s="47" t="s">
        <v>257</v>
      </c>
      <c r="C165" s="42" t="s">
        <v>258</v>
      </c>
      <c r="D165" s="116">
        <v>46120</v>
      </c>
      <c r="E165" s="116">
        <f t="shared" si="605"/>
        <v>46176</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75" outlineLevel="1" thickBot="1" x14ac:dyDescent="0.3">
      <c r="A166" s="33"/>
      <c r="B166" s="146" t="s">
        <v>240</v>
      </c>
      <c r="C166" s="147" t="s">
        <v>182</v>
      </c>
      <c r="D166" s="148">
        <v>46132</v>
      </c>
      <c r="E166" s="148">
        <f t="shared" ref="E166" si="606">D166+G166-1</f>
        <v>46187</v>
      </c>
      <c r="F166" s="14"/>
      <c r="G166" s="14">
        <v>56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75" outlineLevel="1" thickBot="1" x14ac:dyDescent="0.3">
      <c r="A167" s="33"/>
      <c r="B167" s="47" t="s">
        <v>256</v>
      </c>
      <c r="C167" s="42" t="s">
        <v>95</v>
      </c>
      <c r="D167" s="116">
        <v>46118</v>
      </c>
      <c r="E167" s="116">
        <f>D167+G167</f>
        <v>46204</v>
      </c>
      <c r="F167" s="14"/>
      <c r="G167" s="14">
        <v>86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75" outlineLevel="1" thickBot="1" x14ac:dyDescent="0.3">
      <c r="A168" s="33"/>
      <c r="B168" s="47" t="s">
        <v>257</v>
      </c>
      <c r="C168" s="42"/>
      <c r="D168" s="116">
        <f>E165</f>
        <v>46176</v>
      </c>
      <c r="E168" s="116">
        <f t="shared" si="605"/>
        <v>46232</v>
      </c>
      <c r="F168" s="14"/>
      <c r="G168" s="14">
        <v>56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75" outlineLevel="1" thickBot="1" x14ac:dyDescent="0.3">
      <c r="A169" s="33"/>
      <c r="B169" s="47" t="s">
        <v>256</v>
      </c>
      <c r="C169" s="42"/>
      <c r="D169" s="116">
        <f t="shared" ref="D169:D173" si="607">E167</f>
        <v>46204</v>
      </c>
      <c r="E169" s="116">
        <f>D169+G169</f>
        <v>46260</v>
      </c>
      <c r="F169" s="14"/>
      <c r="G169" s="14">
        <v>56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75" outlineLevel="1" thickBot="1" x14ac:dyDescent="0.3">
      <c r="A170" s="33"/>
      <c r="B170" s="47" t="s">
        <v>257</v>
      </c>
      <c r="C170" s="42"/>
      <c r="D170" s="116">
        <f t="shared" si="607"/>
        <v>46232</v>
      </c>
      <c r="E170" s="116">
        <f t="shared" ref="E170" si="608">D170+G170</f>
        <v>46318</v>
      </c>
      <c r="F170" s="14"/>
      <c r="G170" s="14">
        <v>86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75" outlineLevel="1" thickBot="1" x14ac:dyDescent="0.3">
      <c r="A171" s="33"/>
      <c r="B171" s="47" t="s">
        <v>256</v>
      </c>
      <c r="C171" s="42"/>
      <c r="D171" s="116">
        <f t="shared" si="607"/>
        <v>46260</v>
      </c>
      <c r="E171" s="116">
        <f>D171+G171</f>
        <v>46316</v>
      </c>
      <c r="F171" s="14"/>
      <c r="G171" s="14">
        <v>56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75" outlineLevel="1" thickBot="1" x14ac:dyDescent="0.3">
      <c r="A172" s="33"/>
      <c r="B172" s="47" t="s">
        <v>257</v>
      </c>
      <c r="C172" s="42"/>
      <c r="D172" s="116">
        <f t="shared" si="607"/>
        <v>46318</v>
      </c>
      <c r="E172" s="116">
        <f t="shared" ref="E172" si="609">D172+G172</f>
        <v>46374</v>
      </c>
      <c r="F172" s="14"/>
      <c r="G172" s="14">
        <v>56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75" outlineLevel="1" thickBot="1" x14ac:dyDescent="0.3">
      <c r="A173" s="33"/>
      <c r="B173" s="47" t="s">
        <v>256</v>
      </c>
      <c r="C173" s="42"/>
      <c r="D173" s="116">
        <f t="shared" si="607"/>
        <v>46316</v>
      </c>
      <c r="E173" s="116">
        <f>D173+G173</f>
        <v>46372</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75" outlineLevel="1" thickBot="1" x14ac:dyDescent="0.3">
      <c r="A174" s="33"/>
      <c r="B174" s="47" t="s">
        <v>257</v>
      </c>
      <c r="C174" s="42"/>
      <c r="D174" s="116">
        <v>46077</v>
      </c>
      <c r="E174" s="116">
        <f t="shared" ref="E174" si="610">D174+G174</f>
        <v>46132</v>
      </c>
      <c r="F174" s="14"/>
      <c r="G174" s="14">
        <v>55</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75" outlineLevel="1" thickBot="1" x14ac:dyDescent="0.3">
      <c r="A175" s="33"/>
      <c r="B175" s="83" t="s">
        <v>259</v>
      </c>
      <c r="C175" s="141"/>
      <c r="D175" s="124"/>
      <c r="E175" s="125"/>
      <c r="F175" s="14"/>
      <c r="G175" s="14" t="str">
        <f t="shared" si="586"/>
        <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75" outlineLevel="1" thickBot="1" x14ac:dyDescent="0.3">
      <c r="A176" s="33" t="s">
        <v>223</v>
      </c>
      <c r="B176" s="84" t="s">
        <v>256</v>
      </c>
      <c r="C176" s="137" t="s">
        <v>53</v>
      </c>
      <c r="D176" s="117">
        <f>E176-G176</f>
        <v>45853</v>
      </c>
      <c r="E176" s="117">
        <v>45898</v>
      </c>
      <c r="F176" s="14"/>
      <c r="G176" s="14">
        <v>45</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75" outlineLevel="1" thickBot="1" x14ac:dyDescent="0.3">
      <c r="A177" s="33"/>
      <c r="B177" s="21" t="s">
        <v>260</v>
      </c>
      <c r="C177" s="143"/>
      <c r="D177" s="127"/>
      <c r="E177" s="128"/>
      <c r="F177" s="14"/>
      <c r="G177" s="14"/>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75" outlineLevel="1" thickBot="1" x14ac:dyDescent="0.3">
      <c r="A178" s="33"/>
      <c r="B178" s="82" t="s">
        <v>233</v>
      </c>
      <c r="C178" s="138" t="s">
        <v>261</v>
      </c>
      <c r="D178" s="119">
        <v>45735</v>
      </c>
      <c r="E178" s="119">
        <v>45814</v>
      </c>
      <c r="F178" s="14"/>
      <c r="G178" s="14">
        <v>79</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75" outlineLevel="1" thickBot="1" x14ac:dyDescent="0.3">
      <c r="A179" s="33"/>
      <c r="B179" s="82" t="s">
        <v>233</v>
      </c>
      <c r="C179" s="138" t="s">
        <v>254</v>
      </c>
      <c r="D179" s="119">
        <v>45817</v>
      </c>
      <c r="E179" s="119">
        <v>45870</v>
      </c>
      <c r="F179" s="14"/>
      <c r="G179" s="14">
        <v>53</v>
      </c>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75" outlineLevel="1" thickBot="1" x14ac:dyDescent="0.3">
      <c r="A180" s="33"/>
      <c r="B180" s="82" t="s">
        <v>229</v>
      </c>
      <c r="C180" s="138" t="s">
        <v>262</v>
      </c>
      <c r="D180" s="119">
        <v>45873</v>
      </c>
      <c r="E180" s="119">
        <v>45898</v>
      </c>
      <c r="F180" s="14"/>
      <c r="G180" s="14">
        <v>25</v>
      </c>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75" outlineLevel="1" thickBot="1" x14ac:dyDescent="0.3">
      <c r="A181" s="33"/>
      <c r="B181" s="82"/>
      <c r="C181" s="138"/>
      <c r="D181" s="119"/>
      <c r="E181" s="119"/>
      <c r="F181" s="14"/>
      <c r="G181" s="14">
        <v>25</v>
      </c>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75" outlineLevel="1" thickBot="1" x14ac:dyDescent="0.3">
      <c r="A182" s="33"/>
      <c r="B182" s="103" t="s">
        <v>263</v>
      </c>
      <c r="C182" s="108"/>
      <c r="D182" s="129"/>
      <c r="E182" s="130"/>
      <c r="F182" s="104" t="s">
        <v>264</v>
      </c>
      <c r="G182" s="104" t="s">
        <v>264</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75" outlineLevel="1" thickBot="1" x14ac:dyDescent="0.3">
      <c r="A183" s="33"/>
      <c r="B183" s="105" t="s">
        <v>232</v>
      </c>
      <c r="C183" s="144" t="s">
        <v>265</v>
      </c>
      <c r="D183" s="109">
        <v>45818</v>
      </c>
      <c r="E183" s="109">
        <v>45870</v>
      </c>
      <c r="F183" s="106" t="s">
        <v>264</v>
      </c>
      <c r="G183" s="106">
        <v>52</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75" outlineLevel="1" thickBot="1" x14ac:dyDescent="0.3">
      <c r="A184" s="33"/>
      <c r="B184" s="105" t="s">
        <v>232</v>
      </c>
      <c r="C184" s="144" t="s">
        <v>227</v>
      </c>
      <c r="D184" s="109">
        <v>45873</v>
      </c>
      <c r="E184" s="109">
        <v>45929</v>
      </c>
      <c r="F184" s="106" t="s">
        <v>264</v>
      </c>
      <c r="G184" s="106">
        <v>56</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75" outlineLevel="1" thickBot="1" x14ac:dyDescent="0.3">
      <c r="A185" s="33"/>
      <c r="B185" s="24" t="s">
        <v>266</v>
      </c>
      <c r="C185" s="140"/>
      <c r="D185" s="121"/>
      <c r="E185" s="122"/>
      <c r="F185" s="14"/>
      <c r="G185" s="14"/>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75" outlineLevel="1" thickBot="1" x14ac:dyDescent="0.3">
      <c r="A186" s="33"/>
      <c r="B186" s="85" t="s">
        <v>229</v>
      </c>
      <c r="C186" s="145" t="s">
        <v>251</v>
      </c>
      <c r="D186" s="123">
        <f>E156+3</f>
        <v>45999</v>
      </c>
      <c r="E186" s="123">
        <v>46028</v>
      </c>
      <c r="F186" s="14"/>
      <c r="G186" s="14">
        <f>E186-D186</f>
        <v>29</v>
      </c>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75" outlineLevel="1" thickBot="1" x14ac:dyDescent="0.3">
      <c r="A187" s="33"/>
      <c r="B187" s="85" t="s">
        <v>233</v>
      </c>
      <c r="C187" s="145" t="s">
        <v>261</v>
      </c>
      <c r="D187" s="123">
        <v>46048</v>
      </c>
      <c r="E187" s="123">
        <f>D187+53</f>
        <v>46101</v>
      </c>
      <c r="F187" s="14"/>
      <c r="G187" s="14">
        <f>E187-D187</f>
        <v>53</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75" outlineLevel="1" thickBot="1" x14ac:dyDescent="0.3">
      <c r="A188" s="33"/>
      <c r="B188" s="85" t="s">
        <v>229</v>
      </c>
      <c r="C188" s="145" t="s">
        <v>267</v>
      </c>
      <c r="D188" s="123">
        <v>46090</v>
      </c>
      <c r="E188" s="123">
        <f>D188+53</f>
        <v>46143</v>
      </c>
      <c r="F188" s="14"/>
      <c r="G188" s="14">
        <f>E188-D188</f>
        <v>53</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75" outlineLevel="1" thickBot="1" x14ac:dyDescent="0.3">
      <c r="A189" s="33"/>
      <c r="B189" s="85" t="s">
        <v>232</v>
      </c>
      <c r="C189" s="145" t="s">
        <v>265</v>
      </c>
      <c r="D189" s="123">
        <v>46153</v>
      </c>
      <c r="E189" s="123">
        <f>D189+53</f>
        <v>46206</v>
      </c>
      <c r="F189" s="14"/>
      <c r="G189" s="14">
        <f>E189-D189</f>
        <v>53</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75" outlineLevel="1" thickBot="1" x14ac:dyDescent="0.3">
      <c r="A190" s="33"/>
      <c r="B190" s="85"/>
      <c r="C190" s="145"/>
      <c r="D190" s="123"/>
      <c r="E190" s="123">
        <f>D190+G190</f>
        <v>0</v>
      </c>
      <c r="F190" s="14"/>
      <c r="G190" s="14"/>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75" outlineLevel="1" thickBot="1" x14ac:dyDescent="0.3">
      <c r="A191" s="33"/>
      <c r="B191" s="85"/>
      <c r="C191" s="145"/>
      <c r="D191" s="123"/>
      <c r="E191" s="123"/>
      <c r="F191" s="14"/>
      <c r="G191" s="14"/>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75" outlineLevel="1" thickBot="1" x14ac:dyDescent="0.3">
      <c r="A192" s="33"/>
      <c r="B192" s="85"/>
      <c r="C192" s="145"/>
      <c r="D192" s="123"/>
      <c r="E192" s="123"/>
      <c r="F192" s="14"/>
      <c r="G192" s="14"/>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75" outlineLevel="1" thickBot="1" x14ac:dyDescent="0.3">
      <c r="A193" s="33"/>
      <c r="B193" s="49"/>
      <c r="C193" s="45"/>
      <c r="D193" s="131"/>
      <c r="E193" s="131"/>
      <c r="F193" s="14"/>
      <c r="G193" s="14">
        <v>111</v>
      </c>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75" thickBot="1" x14ac:dyDescent="0.3">
      <c r="A194" s="33" t="s">
        <v>268</v>
      </c>
      <c r="B194" s="25" t="s">
        <v>269</v>
      </c>
      <c r="C194" s="26"/>
      <c r="D194" s="132"/>
      <c r="E194" s="133"/>
      <c r="F194" s="28"/>
      <c r="G194" s="28" t="str">
        <f t="shared" si="586"/>
        <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409.6" thickBot="1" x14ac:dyDescent="0.3">
      <c r="A195" s="34" t="s">
        <v>270</v>
      </c>
      <c r="B195"/>
      <c r="C195" s="5"/>
      <c r="D195" s="111"/>
      <c r="E195" s="111"/>
      <c r="F195"/>
      <c r="G195"/>
      <c r="H195" s="31"/>
      <c r="I195" s="31"/>
      <c r="J195" s="31"/>
      <c r="K195" s="31"/>
      <c r="L195" s="31"/>
      <c r="M195" s="31"/>
      <c r="N195" s="31"/>
      <c r="O195" s="31"/>
      <c r="P195" s="31"/>
      <c r="Q195" s="31"/>
      <c r="R195" s="31"/>
      <c r="S195" s="31"/>
      <c r="T195" s="31"/>
      <c r="U195" s="31"/>
      <c r="V195" s="31"/>
      <c r="W195" s="31"/>
      <c r="X195" s="31"/>
      <c r="Y195" s="31"/>
      <c r="Z195" s="31"/>
      <c r="AA195" s="31"/>
      <c r="AB195" s="31"/>
      <c r="AC195" s="31"/>
      <c r="AD195" s="31"/>
      <c r="AE195" s="31"/>
      <c r="AF195" s="31"/>
      <c r="AG195" s="31"/>
      <c r="AH195" s="31"/>
      <c r="AI195" s="31"/>
      <c r="AJ195" s="31"/>
      <c r="AK195" s="31"/>
      <c r="AL195" s="31"/>
      <c r="AM195" s="31"/>
      <c r="AN195" s="31"/>
      <c r="AO195" s="31"/>
      <c r="AP195" s="31"/>
      <c r="AQ195" s="31"/>
      <c r="AR195" s="31"/>
      <c r="AS195" s="31"/>
      <c r="AT195" s="31"/>
      <c r="AU195" s="31"/>
      <c r="AV195" s="31"/>
      <c r="AW195" s="31"/>
      <c r="AX195" s="31"/>
      <c r="AY195" s="31"/>
      <c r="AZ195" s="31"/>
      <c r="BA195" s="31"/>
      <c r="BB195" s="31"/>
      <c r="BC195" s="31"/>
      <c r="BD195" s="31"/>
      <c r="BE195" s="31"/>
      <c r="BF195" s="31"/>
      <c r="BG195" s="31"/>
      <c r="BH195" s="31"/>
      <c r="BI195" s="31"/>
      <c r="BJ195" s="31"/>
      <c r="BK195" s="31"/>
      <c r="BL195" s="31"/>
      <c r="BM195" s="31"/>
      <c r="BN195" s="31"/>
      <c r="BO195" s="31"/>
      <c r="BP195" s="31"/>
      <c r="BQ195" s="31"/>
      <c r="BR195" s="31"/>
      <c r="BS195" s="31"/>
      <c r="BT195" s="31"/>
      <c r="BU195" s="31"/>
      <c r="BV195" s="31"/>
      <c r="BW195" s="31"/>
      <c r="BX195" s="31"/>
      <c r="BY195" s="31"/>
      <c r="BZ195" s="31"/>
      <c r="CA195" s="31"/>
      <c r="CB195" s="31"/>
      <c r="CC195" s="31"/>
      <c r="CD195" s="31"/>
      <c r="CE195" s="31"/>
      <c r="CF195" s="31"/>
      <c r="CG195" s="31"/>
      <c r="CH195" s="31"/>
      <c r="CI195" s="31"/>
      <c r="CJ195" s="31"/>
      <c r="CK195" s="31"/>
      <c r="CL195" s="31"/>
      <c r="CM195" s="31"/>
      <c r="CN195" s="31"/>
      <c r="CO195" s="31"/>
      <c r="CP195" s="31"/>
      <c r="CQ195" s="31"/>
      <c r="CR195" s="31"/>
      <c r="CS195" s="31"/>
      <c r="CT195" s="31"/>
      <c r="CU195" s="31"/>
      <c r="CV195" s="31"/>
      <c r="CW195" s="31"/>
      <c r="CX195" s="31"/>
      <c r="CY195" s="31"/>
      <c r="CZ195" s="31"/>
      <c r="DA195" s="31"/>
      <c r="DB195" s="31"/>
      <c r="DC195" s="31"/>
      <c r="DD195" s="31"/>
      <c r="DE195" s="31"/>
      <c r="DF195" s="31"/>
      <c r="DG195" s="31"/>
      <c r="DH195" s="31"/>
      <c r="DI195" s="31"/>
      <c r="DJ195" s="31"/>
      <c r="DK195" s="31"/>
      <c r="DL195" s="31"/>
      <c r="DM195" s="31"/>
      <c r="DN195" s="31"/>
      <c r="DO195" s="31"/>
      <c r="DP195" s="31"/>
      <c r="DQ195" s="31"/>
      <c r="DR195" s="31"/>
      <c r="DS195" s="31"/>
      <c r="DT195" s="31"/>
      <c r="DU195" s="31"/>
      <c r="DV195" s="31"/>
      <c r="DW195" s="31"/>
      <c r="DX195" s="31"/>
      <c r="DY195" s="31"/>
      <c r="DZ195" s="31"/>
      <c r="EA195" s="31"/>
      <c r="EB195" s="31"/>
      <c r="EC195" s="31"/>
      <c r="ED195" s="31"/>
      <c r="EE195" s="31"/>
      <c r="EF195" s="31"/>
      <c r="EG195" s="31"/>
      <c r="EH195" s="31"/>
      <c r="EI195" s="31"/>
      <c r="EJ195" s="31"/>
      <c r="EK195" s="31"/>
      <c r="EL195" s="31"/>
      <c r="EM195" s="31"/>
      <c r="EN195" s="31"/>
      <c r="EO195" s="31"/>
      <c r="EP195" s="31"/>
      <c r="EQ195" s="31"/>
      <c r="ER195" s="31"/>
      <c r="ES195" s="31"/>
      <c r="ET195" s="31"/>
      <c r="EU195" s="31"/>
      <c r="EV195" s="31"/>
      <c r="EW195" s="31"/>
      <c r="EX195" s="31"/>
      <c r="EY195" s="31"/>
      <c r="EZ195" s="31"/>
      <c r="FA195" s="31"/>
      <c r="FB195" s="31"/>
      <c r="FC195" s="31"/>
      <c r="FD195" s="31"/>
      <c r="FE195" s="31"/>
      <c r="FF195" s="31"/>
      <c r="FG195" s="31"/>
      <c r="FH195" s="31"/>
      <c r="FI195" s="31"/>
      <c r="FJ195" s="31"/>
      <c r="FK195" s="31"/>
      <c r="FL195" s="31"/>
      <c r="FM195" s="31"/>
      <c r="FN195" s="31"/>
      <c r="FO195" s="31"/>
      <c r="FP195" s="31"/>
      <c r="FQ195" s="31"/>
      <c r="FR195" s="31"/>
      <c r="FS195" s="31"/>
      <c r="FT195" s="31"/>
      <c r="FU195" s="31"/>
      <c r="FV195" s="31"/>
      <c r="FW195" s="31"/>
      <c r="FX195" s="31"/>
      <c r="FY195" s="31"/>
      <c r="FZ195" s="31"/>
      <c r="GA195" s="31"/>
      <c r="GB195" s="31"/>
      <c r="GC195" s="31"/>
      <c r="GD195" s="31"/>
      <c r="GE195" s="31"/>
      <c r="GF195" s="31"/>
      <c r="GG195" s="31"/>
      <c r="GH195" s="31"/>
      <c r="GI195" s="31"/>
      <c r="GJ195" s="31"/>
      <c r="GK195" s="31"/>
      <c r="GL195" s="31"/>
      <c r="GM195" s="31"/>
      <c r="GN195" s="31"/>
      <c r="GO195" s="31"/>
      <c r="GP195" s="31"/>
      <c r="GQ195" s="31"/>
      <c r="GR195" s="31"/>
      <c r="GS195" s="31"/>
      <c r="GT195" s="31"/>
      <c r="GU195" s="31"/>
      <c r="GV195" s="31"/>
      <c r="GW195" s="31"/>
      <c r="GX195" s="31"/>
      <c r="GY195" s="31"/>
      <c r="GZ195" s="31"/>
      <c r="HA195" s="31"/>
      <c r="HB195" s="31"/>
      <c r="HC195" s="31"/>
      <c r="HD195" s="31"/>
      <c r="HE195" s="31"/>
      <c r="HF195" s="31"/>
      <c r="HG195" s="31"/>
      <c r="HH195" s="31"/>
      <c r="HI195" s="31"/>
      <c r="HJ195" s="31"/>
      <c r="HK195" s="31"/>
      <c r="HL195" s="31"/>
      <c r="HM195" s="31"/>
      <c r="HN195" s="31"/>
      <c r="HO195" s="31"/>
      <c r="HP195" s="31"/>
      <c r="HQ195" s="31"/>
      <c r="HR195" s="31"/>
      <c r="HS195" s="31"/>
      <c r="HT195" s="31"/>
      <c r="HU195" s="31"/>
      <c r="HV195" s="31"/>
      <c r="HW195" s="31"/>
      <c r="HX195" s="31"/>
      <c r="HY195" s="31"/>
      <c r="HZ195" s="31"/>
      <c r="IA195" s="31"/>
      <c r="IB195" s="31"/>
      <c r="IC195" s="31"/>
      <c r="ID195" s="31"/>
      <c r="IE195" s="31"/>
      <c r="IF195" s="31"/>
      <c r="IG195" s="31"/>
      <c r="IH195" s="31"/>
      <c r="II195" s="31"/>
      <c r="IJ195" s="31"/>
      <c r="IK195" s="31"/>
      <c r="IL195" s="31"/>
      <c r="IM195" s="31"/>
      <c r="IN195" s="31"/>
      <c r="IO195" s="31"/>
      <c r="IP195" s="31"/>
      <c r="IQ195" s="31"/>
      <c r="IR195" s="31"/>
      <c r="IS195" s="31"/>
      <c r="IT195" s="31"/>
      <c r="IU195" s="31"/>
      <c r="IV195" s="31"/>
      <c r="IW195" s="31"/>
      <c r="IX195" s="31"/>
      <c r="IY195" s="31"/>
      <c r="IZ195" s="31"/>
      <c r="JA195" s="31"/>
      <c r="JB195" s="31"/>
      <c r="JC195" s="31"/>
      <c r="JD195" s="31"/>
      <c r="JE195" s="31"/>
      <c r="JF195" s="31"/>
      <c r="JG195" s="31"/>
      <c r="JH195" s="31"/>
      <c r="JI195" s="31"/>
      <c r="JJ195" s="31"/>
      <c r="JK195" s="31"/>
      <c r="JL195" s="31"/>
      <c r="JM195" s="31"/>
      <c r="JN195" s="31"/>
      <c r="JO195" s="31"/>
      <c r="JP195" s="31"/>
      <c r="JQ195" s="31"/>
      <c r="JR195" s="31"/>
      <c r="JS195" s="31"/>
      <c r="JT195" s="31"/>
      <c r="JU195" s="31"/>
      <c r="JV195" s="31"/>
      <c r="JW195" s="31"/>
      <c r="JX195" s="31"/>
      <c r="JY195" s="31"/>
      <c r="JZ195" s="31"/>
      <c r="KA195" s="31"/>
      <c r="KB195" s="31"/>
      <c r="KC195" s="31"/>
      <c r="KD195" s="31"/>
      <c r="KE195" s="31"/>
      <c r="KF195" s="31"/>
      <c r="KG195" s="31"/>
      <c r="KH195" s="31"/>
      <c r="KI195" s="31"/>
      <c r="KJ195" s="31"/>
      <c r="KK195" s="31"/>
      <c r="KL195" s="31"/>
      <c r="KM195" s="31"/>
      <c r="KN195" s="31"/>
      <c r="KO195" s="31"/>
      <c r="KP195" s="31"/>
      <c r="KQ195" s="31"/>
      <c r="KR195" s="31"/>
      <c r="KS195" s="31"/>
      <c r="KT195" s="31"/>
      <c r="KU195" s="31"/>
      <c r="KV195" s="31"/>
      <c r="KW195" s="31"/>
      <c r="KX195" s="31"/>
      <c r="KY195" s="31"/>
      <c r="KZ195" s="31"/>
      <c r="LA195" s="31"/>
      <c r="LB195" s="31"/>
      <c r="LC195" s="31"/>
      <c r="LD195" s="31"/>
      <c r="LE195" s="31"/>
      <c r="LF195" s="31"/>
      <c r="LG195" s="31"/>
      <c r="LH195" s="31"/>
      <c r="LI195" s="31"/>
      <c r="LJ195" s="31"/>
      <c r="LK195" s="31"/>
      <c r="LL195" s="31"/>
      <c r="LM195" s="31"/>
      <c r="LN195" s="31"/>
      <c r="LO195" s="31"/>
      <c r="LP195" s="31"/>
      <c r="LQ195" s="31"/>
      <c r="LR195" s="31"/>
      <c r="LS195" s="31"/>
      <c r="LT195" s="31"/>
      <c r="LU195" s="31"/>
      <c r="LV195" s="31"/>
      <c r="LW195" s="31"/>
      <c r="LX195" s="31"/>
      <c r="LY195" s="31"/>
      <c r="LZ195" s="31"/>
      <c r="MA195" s="31"/>
      <c r="MB195" s="31"/>
      <c r="MC195" s="31"/>
      <c r="MD195" s="31"/>
      <c r="ME195" s="31"/>
      <c r="MF195" s="31"/>
      <c r="MG195" s="31"/>
      <c r="MH195" s="31"/>
      <c r="MI195" s="31"/>
      <c r="MJ195" s="31"/>
      <c r="MK195" s="31"/>
      <c r="ML195" s="31"/>
      <c r="MM195" s="31"/>
      <c r="MN195" s="31"/>
      <c r="MO195" s="31"/>
      <c r="MP195" s="31"/>
      <c r="MQ195" s="31"/>
      <c r="MR195" s="31"/>
      <c r="MS195" s="31"/>
      <c r="MT195" s="31"/>
      <c r="MU195" s="31"/>
      <c r="MV195" s="31"/>
      <c r="MW195" s="31"/>
      <c r="MX195" s="31"/>
      <c r="MY195" s="31"/>
      <c r="MZ195" s="31"/>
      <c r="NA195" s="31"/>
      <c r="NB195" s="31"/>
      <c r="NC195" s="31"/>
      <c r="ND195" s="31"/>
      <c r="NE195" s="31"/>
      <c r="NF195" s="31"/>
      <c r="NG195" s="31"/>
      <c r="NH195" s="31"/>
      <c r="NI195" s="31"/>
      <c r="NJ195" s="31"/>
      <c r="NK195" s="31"/>
      <c r="NL195" s="31"/>
      <c r="NM195" s="31"/>
      <c r="NN195" s="31"/>
      <c r="NO195" s="31"/>
      <c r="NP195" s="31"/>
      <c r="NQ195" s="31"/>
      <c r="NR195" s="31"/>
      <c r="NS195" s="31"/>
      <c r="NT195" s="31"/>
      <c r="NU195" s="31"/>
      <c r="NV195" s="31"/>
      <c r="NW195" s="31"/>
      <c r="NX195" s="31"/>
      <c r="NY195" s="31"/>
      <c r="NZ195" s="31"/>
      <c r="OA195" s="31"/>
      <c r="OB195" s="31"/>
      <c r="OC195" s="31"/>
      <c r="OD195" s="31"/>
      <c r="OE195" s="31"/>
      <c r="OF195" s="31"/>
      <c r="OG195" s="31"/>
      <c r="OH195" s="31"/>
      <c r="OI195" s="31"/>
      <c r="OJ195" s="31"/>
      <c r="OK195" s="31"/>
      <c r="OL195" s="31"/>
      <c r="OM195" s="31"/>
      <c r="ON195" s="31"/>
      <c r="OO195" s="31"/>
      <c r="OP195" s="31"/>
      <c r="OQ195" s="31"/>
      <c r="OR195" s="31"/>
      <c r="OS195" s="31"/>
      <c r="OT195" s="31"/>
      <c r="OU195" s="31"/>
      <c r="OV195" s="31"/>
      <c r="OW195" s="31"/>
      <c r="OX195" s="31"/>
      <c r="OY195" s="31"/>
      <c r="OZ195" s="31"/>
      <c r="PA195" s="31"/>
      <c r="PB195" s="31"/>
      <c r="PC195" s="31"/>
      <c r="PD195" s="31"/>
      <c r="PE195" s="31"/>
      <c r="PF195" s="31"/>
      <c r="PG195" s="31"/>
      <c r="PH195" s="31"/>
      <c r="PI195" s="31"/>
      <c r="PJ195" s="31"/>
      <c r="PK195" s="31"/>
      <c r="PL195" s="31"/>
      <c r="PM195" s="31"/>
      <c r="PN195" s="31"/>
      <c r="PO195" s="31"/>
      <c r="PP195" s="31"/>
      <c r="PQ195" s="31"/>
      <c r="PR195" s="31"/>
      <c r="PS195" s="31"/>
      <c r="PT195" s="31"/>
      <c r="PU195" s="31"/>
      <c r="PV195" s="31"/>
      <c r="PW195" s="31"/>
      <c r="PX195" s="31"/>
      <c r="PY195" s="31"/>
      <c r="PZ195" s="31"/>
      <c r="QA195" s="31"/>
      <c r="QB195" s="31"/>
      <c r="QC195" s="31"/>
      <c r="QD195" s="31"/>
      <c r="QE195" s="31"/>
      <c r="QF195" s="31"/>
      <c r="QG195" s="31"/>
      <c r="QH195" s="31"/>
      <c r="QI195" s="31"/>
      <c r="QJ195" s="31"/>
      <c r="QK195" s="31"/>
      <c r="QL195" s="31"/>
      <c r="QM195" s="31"/>
      <c r="QN195" s="31"/>
      <c r="QO195" s="31"/>
      <c r="QP195" s="31"/>
      <c r="QQ195" s="31"/>
      <c r="QR195" s="31"/>
      <c r="QS195" s="31"/>
      <c r="QT195" s="31"/>
      <c r="QU195" s="31"/>
      <c r="QV195" s="31"/>
      <c r="QW195" s="31"/>
      <c r="QX195" s="31"/>
      <c r="QY195" s="31"/>
      <c r="QZ195" s="31"/>
      <c r="RA195" s="31"/>
      <c r="RB195" s="31"/>
      <c r="RC195" s="31"/>
      <c r="RD195" s="31"/>
      <c r="RE195" s="31"/>
      <c r="RF195" s="31"/>
      <c r="RG195" s="31"/>
      <c r="RH195" s="31"/>
      <c r="RI195" s="31"/>
      <c r="RJ195" s="31"/>
      <c r="RK195" s="31"/>
      <c r="RL195" s="31"/>
      <c r="RM195" s="31"/>
      <c r="RN195" s="31"/>
      <c r="RO195" s="31"/>
      <c r="RP195" s="31"/>
      <c r="RQ195" s="31"/>
      <c r="RR195" s="31"/>
      <c r="RS195" s="31"/>
      <c r="RT195" s="31"/>
      <c r="RU195" s="31"/>
      <c r="RV195" s="31"/>
      <c r="RW195" s="31"/>
      <c r="RX195" s="31"/>
      <c r="RY195" s="31"/>
      <c r="RZ195" s="31"/>
      <c r="SA195" s="31"/>
      <c r="SB195" s="31"/>
      <c r="SC195" s="31"/>
      <c r="SD195" s="31"/>
      <c r="SE195" s="31"/>
      <c r="SF195" s="31"/>
      <c r="SG195" s="31"/>
      <c r="SH195" s="31"/>
      <c r="SI195" s="31"/>
      <c r="SJ195" s="31"/>
      <c r="SK195" s="31"/>
      <c r="SL195" s="31"/>
      <c r="SM195" s="31"/>
      <c r="SN195" s="31"/>
      <c r="SO195" s="31"/>
      <c r="SP195" s="31"/>
      <c r="SQ195" s="31"/>
      <c r="SR195" s="31"/>
      <c r="SS195" s="31"/>
      <c r="ST195" s="31"/>
      <c r="SU195" s="31"/>
      <c r="SV195" s="31"/>
      <c r="SW195" s="31"/>
      <c r="SX195" s="31"/>
      <c r="SY195" s="31"/>
      <c r="SZ195" s="31"/>
      <c r="TA195" s="31"/>
      <c r="TB195" s="31"/>
      <c r="TC195" s="31"/>
      <c r="TD195" s="31"/>
      <c r="TE195" s="31"/>
      <c r="TF195" s="31"/>
      <c r="TG195" s="31"/>
      <c r="TH195" s="31"/>
      <c r="TI195" s="31"/>
      <c r="TJ195" s="31"/>
      <c r="TK195" s="31"/>
      <c r="TL195" s="31"/>
      <c r="TM195" s="31"/>
      <c r="TN195" s="31"/>
      <c r="TO195" s="31"/>
      <c r="TP195" s="31"/>
      <c r="TQ195" s="31"/>
      <c r="TR195" s="31"/>
      <c r="TS195" s="31"/>
      <c r="TT195" s="31"/>
      <c r="TU195" s="31"/>
      <c r="TV195" s="31"/>
      <c r="TW195" s="31"/>
      <c r="TX195" s="31"/>
      <c r="TY195" s="31"/>
      <c r="TZ195" s="31"/>
      <c r="UA195" s="31"/>
      <c r="UB195" s="31"/>
      <c r="UC195" s="31"/>
      <c r="UD195" s="31"/>
      <c r="UE195" s="31"/>
      <c r="UF195" s="31"/>
      <c r="UG195" s="31"/>
      <c r="UH195" s="31"/>
      <c r="UI195" s="31"/>
      <c r="UJ195" s="31"/>
      <c r="UK195" s="31"/>
      <c r="UL195" s="31"/>
      <c r="UM195" s="31"/>
      <c r="UN195" s="31"/>
      <c r="UO195" s="31"/>
      <c r="UP195" s="31"/>
      <c r="UQ195" s="31"/>
      <c r="UR195" s="31"/>
      <c r="US195" s="31"/>
      <c r="UT195" s="31"/>
      <c r="UU195" s="31"/>
      <c r="UV195" s="31"/>
      <c r="UW195" s="31"/>
      <c r="UX195" s="31"/>
      <c r="UY195" s="31"/>
      <c r="UZ195" s="31"/>
      <c r="VA195" s="31"/>
      <c r="VB195" s="31"/>
      <c r="VC195" s="31"/>
      <c r="VD195" s="31"/>
      <c r="VE195" s="31"/>
      <c r="VF195" s="31"/>
      <c r="VG195" s="31"/>
      <c r="VH195" s="31"/>
      <c r="VI195" s="31"/>
      <c r="VJ195" s="31"/>
      <c r="VK195" s="31"/>
      <c r="VL195" s="31"/>
      <c r="VM195" s="31"/>
      <c r="VN195" s="31"/>
      <c r="VO195" s="31"/>
      <c r="VP195" s="31"/>
      <c r="VQ195" s="31"/>
      <c r="VR195" s="31"/>
      <c r="VS195" s="31"/>
      <c r="VT195" s="31"/>
      <c r="VU195" s="31"/>
      <c r="VV195" s="31"/>
      <c r="VW195" s="31"/>
      <c r="VX195" s="31"/>
      <c r="VY195" s="31"/>
      <c r="VZ195" s="31"/>
      <c r="WA195" s="31"/>
      <c r="WB195" s="31"/>
      <c r="WC195" s="31"/>
      <c r="WD195" s="31"/>
      <c r="WE195" s="31"/>
      <c r="WF195" s="31"/>
      <c r="WG195" s="31"/>
      <c r="WH195" s="31"/>
      <c r="WI195" s="31"/>
      <c r="WJ195" s="31"/>
      <c r="WK195" s="31"/>
      <c r="WL195" s="31"/>
      <c r="WM195" s="31"/>
      <c r="WN195" s="31"/>
      <c r="WO195" s="31"/>
      <c r="WP195" s="31"/>
      <c r="WQ195" s="31"/>
      <c r="WR195" s="31"/>
      <c r="WS195" s="31"/>
    </row>
  </sheetData>
  <mergeCells count="90">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 ref="VX4:WD4"/>
    <mergeCell ref="UB4:UH4"/>
    <mergeCell ref="QV4:RB4"/>
    <mergeCell ref="MN4:MT4"/>
    <mergeCell ref="MU4:NA4"/>
    <mergeCell ref="NB4:NH4"/>
    <mergeCell ref="NI4:NO4"/>
    <mergeCell ref="NP4:NV4"/>
    <mergeCell ref="B161:E161"/>
    <mergeCell ref="B64:E64"/>
    <mergeCell ref="B87:E87"/>
    <mergeCell ref="B89:E89"/>
    <mergeCell ref="B92:E92"/>
    <mergeCell ref="B160:E160"/>
    <mergeCell ref="B98:E98"/>
    <mergeCell ref="B99:E99"/>
    <mergeCell ref="B155:E155"/>
    <mergeCell ref="B80:E80"/>
    <mergeCell ref="E3:F3"/>
    <mergeCell ref="H4:O4"/>
    <mergeCell ref="P4:V4"/>
    <mergeCell ref="W4:AC4"/>
    <mergeCell ref="AD4:AJ4"/>
    <mergeCell ref="AK4:AQ4"/>
    <mergeCell ref="AR4:AX4"/>
    <mergeCell ref="AY4:BE4"/>
    <mergeCell ref="BF4:BL4"/>
    <mergeCell ref="BM4:BS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GI4:GO4"/>
    <mergeCell ref="EE4:EK4"/>
    <mergeCell ref="EL4:ER4"/>
    <mergeCell ref="ES4:EY4"/>
    <mergeCell ref="EZ4:FF4"/>
    <mergeCell ref="FG4:FM4"/>
    <mergeCell ref="GB4:GH4"/>
    <mergeCell ref="FU4:GA4"/>
    <mergeCell ref="GP4:GV4"/>
    <mergeCell ref="GW4:HC4"/>
    <mergeCell ref="HD4:HJ4"/>
    <mergeCell ref="HK4:HQ4"/>
    <mergeCell ref="HR4:HX4"/>
    <mergeCell ref="HY4:IE4"/>
    <mergeCell ref="IF4:IL4"/>
    <mergeCell ref="IM4:IS4"/>
    <mergeCell ref="IT4:IZ4"/>
    <mergeCell ref="JA4:JG4"/>
    <mergeCell ref="JH4:JN4"/>
    <mergeCell ref="JO4:JU4"/>
    <mergeCell ref="JV4:KB4"/>
    <mergeCell ref="KC4:KI4"/>
    <mergeCell ref="KJ4:KP4"/>
    <mergeCell ref="LZ4:MF4"/>
    <mergeCell ref="MG4:MM4"/>
    <mergeCell ref="KQ4:KW4"/>
    <mergeCell ref="KX4:LD4"/>
    <mergeCell ref="LE4:LK4"/>
    <mergeCell ref="LL4:LR4"/>
    <mergeCell ref="LS4:LY4"/>
  </mergeCells>
  <conditionalFormatting sqref="H5:I101 H133:I195">
    <cfRule type="expression" dxfId="67" priority="212">
      <formula>AND(TODAY()&gt;=H$5,TODAY()&lt;J$5)</formula>
    </cfRule>
  </conditionalFormatting>
  <conditionalFormatting sqref="H7:I101 H133:I195">
    <cfRule type="expression" dxfId="66" priority="220" stopIfTrue="1">
      <formula>AND(Término_da_tarefa&gt;=H$5,Início_da_tarefa&lt;J$5)</formula>
    </cfRule>
  </conditionalFormatting>
  <conditionalFormatting sqref="H48:WS101 H7:BL13 BM9:FZ13 GA9:WS47 H14:FZ47 LE74:LF168 J102:WS132 H133:WS195 LE175:LF242">
    <cfRule type="expression" dxfId="65" priority="203">
      <formula>AND(Início_da_tarefa&lt;=H$5,ROUNDDOWN((Término_da_tarefa-Início_da_tarefa+1)*Progresso_da_tarefa,0)+Início_da_tarefa-1&gt;=H$5)</formula>
    </cfRule>
  </conditionalFormatting>
  <conditionalFormatting sqref="J5:BL13 BM9:FZ13 GA9:WS47 J14:FZ47 J48:WS195 LE175:LF242 BM5:GN6">
    <cfRule type="expression" dxfId="64" priority="209">
      <formula>AND(TODAY()&gt;=J$5,TODAY()&lt;K$5)</formula>
    </cfRule>
  </conditionalFormatting>
  <conditionalFormatting sqref="J7:BL13 BM9:FZ13 GA9:WS47 J14:FZ47 J48:WS195 LE175:LF242">
    <cfRule type="expression" dxfId="63" priority="204" stopIfTrue="1">
      <formula>AND(Término_da_tarefa&gt;=J$5,Início_da_tarefa&lt;K$5)</formula>
    </cfRule>
  </conditionalFormatting>
  <conditionalFormatting sqref="BM8:WS8">
    <cfRule type="expression" dxfId="62" priority="9">
      <formula>AND(Início_da_tarefa&lt;=BM$5,ROUNDDOWN((Término_da_tarefa-Início_da_tarefa+1)*Progresso_da_tarefa,0)+Início_da_tarefa-1&gt;=BM$5)</formula>
    </cfRule>
    <cfRule type="expression" dxfId="61" priority="10" stopIfTrue="1">
      <formula>AND(Término_da_tarefa&gt;=BM$5,Início_da_tarefa&lt;BN$5)</formula>
    </cfRule>
    <cfRule type="expression" dxfId="60" priority="11">
      <formula>AND(TODAY()&gt;=BM$5,TODAY()&lt;BN$5)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69:LE70">
    <cfRule type="expression" dxfId="16" priority="8">
      <formula>AND(TODAY()&gt;=LE$5,TODAY()&lt;#REF!)</formula>
    </cfRule>
  </conditionalFormatting>
  <conditionalFormatting sqref="LE72:LF72">
    <cfRule type="expression" dxfId="15" priority="4" stopIfTrue="1">
      <formula>AND(Término_da_tarefa&gt;=LE$5,Início_da_tarefa&lt;LF$5)</formula>
    </cfRule>
    <cfRule type="expression" dxfId="14" priority="5">
      <formula>AND(TODAY()&gt;=LE$5,TODAY()&lt;LF$5)</formula>
    </cfRule>
  </conditionalFormatting>
  <conditionalFormatting sqref="LE5:LJ5">
    <cfRule type="expression" dxfId="13" priority="71">
      <formula>AND(TODAY()&gt;=LE$5,TODAY()&lt;LF$5)</formula>
    </cfRule>
  </conditionalFormatting>
  <conditionalFormatting sqref="LF69:LF70">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Equipe!#REF!</xm:f>
          </x14:formula1>
          <xm:sqref>C88 C10:C63 C162:C174 C65:C79 C81:C86 C100:C131 C133:C151 C176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5" x14ac:dyDescent="0.25"/>
  <sheetData>
    <row r="5" spans="4:4" x14ac:dyDescent="0.25">
      <c r="D5" s="153"/>
    </row>
    <row r="6" spans="4:4" x14ac:dyDescent="0.25">
      <c r="D6" s="153"/>
    </row>
    <row r="7" spans="4:4" x14ac:dyDescent="0.25">
      <c r="D7" s="153"/>
    </row>
    <row r="8" spans="4:4" x14ac:dyDescent="0.25">
      <c r="D8" s="153"/>
    </row>
    <row r="9" spans="4:4" x14ac:dyDescent="0.25">
      <c r="D9" s="153"/>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5" customWidth="1"/>
    <col min="97" max="97" width="2.28515625" customWidth="1"/>
    <col min="98" max="101" width="2" customWidth="1"/>
    <col min="102" max="103" width="2" style="75" customWidth="1"/>
    <col min="104" max="130" width="2" customWidth="1"/>
    <col min="131" max="131" width="2" style="71" customWidth="1"/>
    <col min="132" max="155" width="2" customWidth="1"/>
    <col min="156" max="197" width="2.28515625" customWidth="1"/>
    <col min="198" max="239" width="2.42578125" customWidth="1"/>
  </cols>
  <sheetData>
    <row r="1" spans="1:239" ht="30" customHeight="1" x14ac:dyDescent="0.45">
      <c r="A1" s="34" t="s">
        <v>184</v>
      </c>
      <c r="B1" s="37" t="s">
        <v>271</v>
      </c>
      <c r="C1" s="1"/>
      <c r="D1" s="2"/>
      <c r="E1" s="4"/>
      <c r="F1" s="32"/>
      <c r="H1" s="2"/>
      <c r="I1" s="51" t="s">
        <v>272</v>
      </c>
    </row>
    <row r="2" spans="1:239" ht="30" customHeight="1" x14ac:dyDescent="0.3">
      <c r="A2" s="33" t="s">
        <v>187</v>
      </c>
      <c r="B2" s="38" t="s">
        <v>273</v>
      </c>
      <c r="I2" s="154"/>
    </row>
    <row r="3" spans="1:239" ht="33" customHeight="1" x14ac:dyDescent="0.25">
      <c r="A3" s="33" t="s">
        <v>188</v>
      </c>
      <c r="B3" s="70" t="s">
        <v>189</v>
      </c>
      <c r="C3" s="69">
        <f>Início_do_projeto+120</f>
        <v>46051</v>
      </c>
      <c r="D3" s="68" t="s">
        <v>190</v>
      </c>
      <c r="E3" s="225">
        <v>45931</v>
      </c>
      <c r="F3" s="225"/>
      <c r="G3" s="64"/>
    </row>
    <row r="4" spans="1:239" ht="30" customHeight="1" x14ac:dyDescent="0.25">
      <c r="A4" s="34" t="s">
        <v>191</v>
      </c>
      <c r="C4" s="226" t="s">
        <v>192</v>
      </c>
      <c r="D4" s="227"/>
      <c r="E4" s="7">
        <v>1</v>
      </c>
      <c r="I4" s="222">
        <f>I5</f>
        <v>45929</v>
      </c>
      <c r="J4" s="223"/>
      <c r="K4" s="223"/>
      <c r="L4" s="223"/>
      <c r="M4" s="223"/>
      <c r="N4" s="223"/>
      <c r="O4" s="224"/>
      <c r="P4" s="222">
        <f>P5</f>
        <v>45936</v>
      </c>
      <c r="Q4" s="223"/>
      <c r="R4" s="223"/>
      <c r="S4" s="223"/>
      <c r="T4" s="223"/>
      <c r="U4" s="223"/>
      <c r="V4" s="224"/>
      <c r="W4" s="222">
        <f>W5</f>
        <v>45943</v>
      </c>
      <c r="X4" s="223"/>
      <c r="Y4" s="223"/>
      <c r="Z4" s="223"/>
      <c r="AA4" s="223"/>
      <c r="AB4" s="223"/>
      <c r="AC4" s="224"/>
      <c r="AD4" s="222">
        <f>AD5</f>
        <v>45950</v>
      </c>
      <c r="AE4" s="223"/>
      <c r="AF4" s="223"/>
      <c r="AG4" s="223"/>
      <c r="AH4" s="223"/>
      <c r="AI4" s="223"/>
      <c r="AJ4" s="224"/>
      <c r="AK4" s="222">
        <f>AK5</f>
        <v>45957</v>
      </c>
      <c r="AL4" s="223"/>
      <c r="AM4" s="223"/>
      <c r="AN4" s="223"/>
      <c r="AO4" s="223"/>
      <c r="AP4" s="223"/>
      <c r="AQ4" s="224"/>
      <c r="AR4" s="222">
        <f>AR5</f>
        <v>45964</v>
      </c>
      <c r="AS4" s="223"/>
      <c r="AT4" s="223"/>
      <c r="AU4" s="223"/>
      <c r="AV4" s="223"/>
      <c r="AW4" s="223"/>
      <c r="AX4" s="224"/>
      <c r="AY4" s="222">
        <f>AY5</f>
        <v>45971</v>
      </c>
      <c r="AZ4" s="223"/>
      <c r="BA4" s="223"/>
      <c r="BB4" s="223"/>
      <c r="BC4" s="223"/>
      <c r="BD4" s="223"/>
      <c r="BE4" s="224"/>
      <c r="BF4" s="222">
        <f>BF5</f>
        <v>45978</v>
      </c>
      <c r="BG4" s="223"/>
      <c r="BH4" s="223"/>
      <c r="BI4" s="223"/>
      <c r="BJ4" s="223"/>
      <c r="BK4" s="223"/>
      <c r="BL4" s="224"/>
      <c r="BM4" s="222">
        <f>BM5</f>
        <v>45985</v>
      </c>
      <c r="BN4" s="223"/>
      <c r="BO4" s="223"/>
      <c r="BP4" s="223"/>
      <c r="BQ4" s="223"/>
      <c r="BR4" s="223"/>
      <c r="BS4" s="224"/>
      <c r="BT4" s="222">
        <f>BT5</f>
        <v>45992</v>
      </c>
      <c r="BU4" s="223"/>
      <c r="BV4" s="223"/>
      <c r="BW4" s="223"/>
      <c r="BX4" s="223"/>
      <c r="BY4" s="223"/>
      <c r="BZ4" s="224"/>
      <c r="CA4" s="222">
        <f>CA5</f>
        <v>45999</v>
      </c>
      <c r="CB4" s="223"/>
      <c r="CC4" s="223"/>
      <c r="CD4" s="223"/>
      <c r="CE4" s="223"/>
      <c r="CF4" s="223"/>
      <c r="CG4" s="224"/>
      <c r="CH4" s="222">
        <f>CH5</f>
        <v>46006</v>
      </c>
      <c r="CI4" s="223"/>
      <c r="CJ4" s="223"/>
      <c r="CK4" s="223"/>
      <c r="CL4" s="223"/>
      <c r="CM4" s="223"/>
      <c r="CN4" s="224"/>
      <c r="CO4" s="222">
        <f>CO5</f>
        <v>46013</v>
      </c>
      <c r="CP4" s="223"/>
      <c r="CQ4" s="223"/>
      <c r="CR4" s="223"/>
      <c r="CS4" s="223"/>
      <c r="CT4" s="223"/>
      <c r="CU4" s="224"/>
      <c r="CV4" s="222">
        <f>CV5</f>
        <v>46020</v>
      </c>
      <c r="CW4" s="223"/>
      <c r="CX4" s="223"/>
      <c r="CY4" s="223"/>
      <c r="CZ4" s="223"/>
      <c r="DA4" s="223"/>
      <c r="DB4" s="224"/>
      <c r="DC4" s="222">
        <f>DC5</f>
        <v>46027</v>
      </c>
      <c r="DD4" s="223"/>
      <c r="DE4" s="223"/>
      <c r="DF4" s="223"/>
      <c r="DG4" s="223"/>
      <c r="DH4" s="223"/>
      <c r="DI4" s="224"/>
      <c r="DJ4" s="222">
        <f>DJ5</f>
        <v>46034</v>
      </c>
      <c r="DK4" s="223"/>
      <c r="DL4" s="223"/>
      <c r="DM4" s="223"/>
      <c r="DN4" s="223"/>
      <c r="DO4" s="223"/>
      <c r="DP4" s="224"/>
      <c r="DQ4" s="222">
        <f>DQ5</f>
        <v>46041</v>
      </c>
      <c r="DR4" s="223"/>
      <c r="DS4" s="223"/>
      <c r="DT4" s="223"/>
      <c r="DU4" s="223"/>
      <c r="DV4" s="223"/>
      <c r="DW4" s="224"/>
      <c r="DX4" s="222">
        <f>DX5</f>
        <v>46048</v>
      </c>
      <c r="DY4" s="223"/>
      <c r="DZ4" s="223"/>
      <c r="EA4" s="223"/>
      <c r="EB4" s="223"/>
      <c r="EC4" s="223"/>
      <c r="ED4" s="224"/>
      <c r="EE4" s="222">
        <f t="shared" ref="EE4" si="0">EE5</f>
        <v>46055</v>
      </c>
      <c r="EF4" s="223"/>
      <c r="EG4" s="223"/>
      <c r="EH4" s="223"/>
      <c r="EI4" s="223"/>
      <c r="EJ4" s="223"/>
      <c r="EK4" s="224"/>
      <c r="EL4" s="222">
        <f t="shared" ref="EL4" si="1">EL5</f>
        <v>46062</v>
      </c>
      <c r="EM4" s="223"/>
      <c r="EN4" s="223"/>
      <c r="EO4" s="223"/>
      <c r="EP4" s="223"/>
      <c r="EQ4" s="223"/>
      <c r="ER4" s="224"/>
      <c r="ES4" s="222">
        <f t="shared" ref="ES4" si="2">ES5</f>
        <v>46069</v>
      </c>
      <c r="ET4" s="223"/>
      <c r="EU4" s="223"/>
      <c r="EV4" s="223"/>
      <c r="EW4" s="223"/>
      <c r="EX4" s="223"/>
      <c r="EY4" s="224"/>
      <c r="EZ4" s="222">
        <f t="shared" ref="EZ4" si="3">EZ5</f>
        <v>46076</v>
      </c>
      <c r="FA4" s="223"/>
      <c r="FB4" s="223"/>
      <c r="FC4" s="223"/>
      <c r="FD4" s="223"/>
      <c r="FE4" s="223"/>
      <c r="FF4" s="224"/>
      <c r="FG4" s="222">
        <f t="shared" ref="FG4" si="4">FG5</f>
        <v>46083</v>
      </c>
      <c r="FH4" s="223"/>
      <c r="FI4" s="223"/>
      <c r="FJ4" s="223"/>
      <c r="FK4" s="223"/>
      <c r="FL4" s="223"/>
      <c r="FM4" s="224"/>
      <c r="FN4" s="222">
        <f t="shared" ref="FN4" si="5">FN5</f>
        <v>46090</v>
      </c>
      <c r="FO4" s="223"/>
      <c r="FP4" s="223"/>
      <c r="FQ4" s="223"/>
      <c r="FR4" s="223"/>
      <c r="FS4" s="223"/>
      <c r="FT4" s="224"/>
      <c r="FU4" s="222">
        <f t="shared" ref="FU4" si="6">FU5</f>
        <v>46097</v>
      </c>
      <c r="FV4" s="223"/>
      <c r="FW4" s="223"/>
      <c r="FX4" s="223"/>
      <c r="FY4" s="223"/>
      <c r="FZ4" s="223"/>
      <c r="GA4" s="224"/>
      <c r="GB4" s="222">
        <f t="shared" ref="GB4" si="7">GB5</f>
        <v>46104</v>
      </c>
      <c r="GC4" s="223"/>
      <c r="GD4" s="223"/>
      <c r="GE4" s="223"/>
      <c r="GF4" s="223"/>
      <c r="GG4" s="223"/>
      <c r="GH4" s="224"/>
      <c r="GI4" s="222">
        <f t="shared" ref="GI4" si="8">GI5</f>
        <v>46111</v>
      </c>
      <c r="GJ4" s="223"/>
      <c r="GK4" s="223"/>
      <c r="GL4" s="223"/>
      <c r="GM4" s="223"/>
      <c r="GN4" s="223"/>
      <c r="GO4" s="224"/>
      <c r="GP4" s="222">
        <f t="shared" ref="GP4" si="9">GP5</f>
        <v>46118</v>
      </c>
      <c r="GQ4" s="223"/>
      <c r="GR4" s="223"/>
      <c r="GS4" s="223"/>
      <c r="GT4" s="223"/>
      <c r="GU4" s="223"/>
      <c r="GV4" s="224"/>
      <c r="GW4" s="222">
        <f t="shared" ref="GW4" si="10">GW5</f>
        <v>46125</v>
      </c>
      <c r="GX4" s="223"/>
      <c r="GY4" s="223"/>
      <c r="GZ4" s="223"/>
      <c r="HA4" s="223"/>
      <c r="HB4" s="223"/>
      <c r="HC4" s="224"/>
      <c r="HD4" s="222">
        <f t="shared" ref="HD4" si="11">HD5</f>
        <v>46132</v>
      </c>
      <c r="HE4" s="223"/>
      <c r="HF4" s="223"/>
      <c r="HG4" s="223"/>
      <c r="HH4" s="223"/>
      <c r="HI4" s="223"/>
      <c r="HJ4" s="224"/>
      <c r="HK4" s="222">
        <f t="shared" ref="HK4" si="12">HK5</f>
        <v>46139</v>
      </c>
      <c r="HL4" s="223"/>
      <c r="HM4" s="223"/>
      <c r="HN4" s="223"/>
      <c r="HO4" s="223"/>
      <c r="HP4" s="223"/>
      <c r="HQ4" s="224"/>
      <c r="HR4" s="222">
        <f t="shared" ref="HR4" si="13">HR5</f>
        <v>46146</v>
      </c>
      <c r="HS4" s="223"/>
      <c r="HT4" s="223"/>
      <c r="HU4" s="223"/>
      <c r="HV4" s="223"/>
      <c r="HW4" s="223"/>
      <c r="HX4" s="224"/>
      <c r="HY4" s="222">
        <f t="shared" ref="HY4" si="14">HY5</f>
        <v>46153</v>
      </c>
      <c r="HZ4" s="223"/>
      <c r="IA4" s="223"/>
      <c r="IB4" s="223"/>
      <c r="IC4" s="223"/>
      <c r="ID4" s="223"/>
      <c r="IE4" s="224"/>
    </row>
    <row r="5" spans="1:239" ht="15" customHeight="1" x14ac:dyDescent="0.25">
      <c r="A5" s="34" t="s">
        <v>193</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
      <c r="A6" s="34" t="s">
        <v>194</v>
      </c>
      <c r="B6" s="8" t="s">
        <v>195</v>
      </c>
      <c r="C6" s="9" t="s">
        <v>196</v>
      </c>
      <c r="D6" s="9" t="s">
        <v>274</v>
      </c>
      <c r="E6" s="9" t="s">
        <v>197</v>
      </c>
      <c r="F6" s="9" t="s">
        <v>198</v>
      </c>
      <c r="G6" s="9"/>
      <c r="H6" s="9" t="s">
        <v>199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3" t="s">
        <v>200</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3">
      <c r="A8" s="34" t="s">
        <v>202</v>
      </c>
      <c r="B8" s="15" t="s">
        <v>275</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3">
      <c r="A9" s="34" t="s">
        <v>204</v>
      </c>
      <c r="B9" s="46" t="s">
        <v>276</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3">
      <c r="A10" s="34" t="s">
        <v>205</v>
      </c>
      <c r="B10" s="46" t="s">
        <v>277</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3">
      <c r="A11" s="34"/>
      <c r="B11" s="46" t="s">
        <v>278</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3">
      <c r="A12" s="33"/>
      <c r="B12" s="46" t="s">
        <v>279</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3">
      <c r="A13" s="33"/>
      <c r="B13" s="46" t="s">
        <v>277</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3">
      <c r="A14" s="33"/>
      <c r="B14" s="46" t="s">
        <v>280</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3">
      <c r="A15" s="33"/>
      <c r="B15" s="46" t="s">
        <v>277</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3">
      <c r="A16" s="34" t="s">
        <v>211</v>
      </c>
      <c r="B16" s="18" t="s">
        <v>281</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3">
      <c r="A17" s="34"/>
      <c r="B17" s="47" t="s">
        <v>276</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3">
      <c r="A18" s="33"/>
      <c r="B18" s="47" t="s">
        <v>277</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3">
      <c r="A19" s="33"/>
      <c r="B19" s="47" t="s">
        <v>279</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3">
      <c r="A20" s="33"/>
      <c r="B20" s="47" t="s">
        <v>277</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3">
      <c r="A21" s="33"/>
      <c r="B21" s="47" t="s">
        <v>280</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3">
      <c r="A22" s="33"/>
      <c r="B22" s="47" t="s">
        <v>277</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3">
      <c r="A23" s="33" t="s">
        <v>223</v>
      </c>
      <c r="B23" s="21" t="s">
        <v>282</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3">
      <c r="A24" s="33"/>
      <c r="B24" s="48" t="s">
        <v>276</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3">
      <c r="A25" s="33"/>
      <c r="B25" s="48" t="s">
        <v>277</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3">
      <c r="A26" s="33"/>
      <c r="B26" s="48" t="s">
        <v>279</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3">
      <c r="A27" s="33"/>
      <c r="B27" s="48" t="s">
        <v>277</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3">
      <c r="A28" s="33"/>
      <c r="B28" s="48" t="s">
        <v>280</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3">
      <c r="A29" s="33"/>
      <c r="B29" s="48" t="s">
        <v>277</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3">
      <c r="A30" s="33" t="s">
        <v>268</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3">
      <c r="A31" s="34" t="s">
        <v>270</v>
      </c>
      <c r="B31" s="25" t="s">
        <v>269</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25">
      <c r="G32" s="6"/>
    </row>
    <row r="33" spans="3:6" ht="30" customHeight="1" x14ac:dyDescent="0.25">
      <c r="C33" s="11"/>
      <c r="F33" s="35"/>
    </row>
    <row r="34" spans="3:6" ht="30" customHeight="1" x14ac:dyDescent="0.2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986B8910-5FE7-40EE-B620-3AA397DFA0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2026-03-18T13:01:09Z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