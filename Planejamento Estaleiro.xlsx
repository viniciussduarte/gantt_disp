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codeName="EstaPastaDeTrabalho"/>
  <xr:revisionPtr revIDLastSave="1798" documentId="101_S{B73360A1-8A99-5EFE-B3D7-B4540AB28558}" xr6:coauthVersionLast="47" xr6:coauthVersionMax="47" xr10:uidLastSave="{27633429-DBAC-4CB4-995C-A8E75C3CB5EF}"/>
  <bookViews>
    <workbookView xWindow="-80" yWindow="-80" windowWidth="19360" windowHeight="1024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Equipe!$A$1:$J$56</definedName>
    <definedName name="_xlnm._FilterDatabase" localSheetId="1" hidden="1">'Planejamento IED'!$B$1:$G$187</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3" i="11" l="1"/>
  <c r="D116" i="11" s="1"/>
  <c r="E183" i="11" l="1"/>
  <c r="E78" i="11"/>
  <c r="E123" i="11" l="1"/>
  <c r="D124" i="11" s="1"/>
  <c r="E124" i="11" s="1"/>
  <c r="D125" i="11" s="1"/>
  <c r="E125" i="11" s="1"/>
  <c r="E62" i="11"/>
  <c r="E61" i="11"/>
  <c r="E60" i="11"/>
  <c r="E59" i="11"/>
  <c r="E107" i="11"/>
  <c r="D110" i="11" s="1"/>
  <c r="E110" i="11" s="1"/>
  <c r="E74" i="11"/>
  <c r="E77" i="11"/>
  <c r="E79" i="11"/>
  <c r="E80" i="11"/>
  <c r="E81" i="11"/>
  <c r="E82" i="11"/>
  <c r="E83" i="11"/>
  <c r="E84" i="11"/>
  <c r="E58" i="11"/>
  <c r="E182" i="11"/>
  <c r="E158" i="11"/>
  <c r="E157" i="11"/>
  <c r="E156" i="11"/>
  <c r="E57" i="11"/>
  <c r="E56" i="11"/>
  <c r="E55" i="11"/>
  <c r="G101" i="11" l="1"/>
  <c r="G98" i="11"/>
  <c r="E180" i="11"/>
  <c r="E181" i="11" s="1"/>
  <c r="D179" i="11" l="1"/>
  <c r="G179" i="11" s="1"/>
  <c r="G155" i="11"/>
  <c r="E72" i="11"/>
  <c r="G96" i="11" l="1"/>
  <c r="G157" i="11"/>
  <c r="G181" i="11"/>
  <c r="G180" i="11"/>
  <c r="G156" i="11"/>
  <c r="G182" i="11" l="1"/>
  <c r="G158" i="11"/>
  <c r="E105" i="11"/>
  <c r="D108" i="11" s="1"/>
  <c r="E165" i="11"/>
  <c r="E73" i="11"/>
  <c r="E53" i="11" l="1"/>
  <c r="E54" i="11"/>
  <c r="E75" i="11" l="1"/>
  <c r="E51" i="11"/>
  <c r="E50" i="11"/>
  <c r="E49" i="11"/>
  <c r="E48" i="11"/>
  <c r="E106" i="11" l="1"/>
  <c r="E104" i="11"/>
  <c r="E109" i="11" l="1"/>
  <c r="E45" i="11"/>
  <c r="E46" i="11"/>
  <c r="E44" i="11"/>
  <c r="E148" i="11" l="1"/>
  <c r="E147" i="11"/>
  <c r="E146" i="11"/>
  <c r="E145" i="11"/>
  <c r="E144" i="11"/>
  <c r="G93" i="11"/>
  <c r="G94" i="11"/>
  <c r="G95" i="11"/>
  <c r="G92" i="11"/>
  <c r="E143" i="11"/>
  <c r="E142" i="11"/>
  <c r="E139" i="11"/>
  <c r="E140" i="11"/>
  <c r="E137" i="11"/>
  <c r="E136" i="11"/>
  <c r="D169" i="11"/>
  <c r="G168" i="11"/>
  <c r="E76" i="11"/>
  <c r="E103" i="11"/>
  <c r="E108" i="11" s="1"/>
  <c r="E100" i="11"/>
  <c r="E133" i="11"/>
  <c r="E132" i="11"/>
  <c r="E87" i="11"/>
  <c r="G86" i="11"/>
  <c r="D134" i="11"/>
  <c r="D135" i="11" s="1"/>
  <c r="E162" i="11"/>
  <c r="D164" i="11" s="1"/>
  <c r="E161" i="11"/>
  <c r="G160" i="11"/>
  <c r="C3" i="11"/>
  <c r="D14" i="11"/>
  <c r="E14" i="11" s="1"/>
  <c r="E13" i="11"/>
  <c r="E11" i="11"/>
  <c r="E10" i="11"/>
  <c r="E67" i="11"/>
  <c r="E112" i="11" l="1"/>
  <c r="E111" i="11"/>
  <c r="D115" i="11" s="1"/>
  <c r="D102" i="11"/>
  <c r="E102" i="11" s="1"/>
  <c r="E134" i="11"/>
  <c r="E141" i="11"/>
  <c r="E138" i="11"/>
  <c r="E135" i="11"/>
  <c r="D167" i="11"/>
  <c r="E167" i="11" s="1"/>
  <c r="E163" i="11"/>
  <c r="D166" i="11" s="1"/>
  <c r="E166" i="11" s="1"/>
  <c r="D16" i="11"/>
  <c r="D15" i="11" s="1"/>
  <c r="D12" i="11"/>
  <c r="E116" i="11" l="1"/>
  <c r="D119" i="11" s="1"/>
  <c r="E115" i="11"/>
  <c r="D118" i="11" s="1"/>
  <c r="E15" i="11"/>
  <c r="D17" i="11"/>
  <c r="E17" i="11" s="1"/>
  <c r="E164" i="11"/>
  <c r="D114" i="11"/>
  <c r="D18" i="11"/>
  <c r="E18" i="11" s="1"/>
  <c r="E70" i="11"/>
  <c r="E16" i="11"/>
  <c r="E12" i="11"/>
  <c r="G151" i="11"/>
  <c r="F11" i="13"/>
  <c r="E11" i="13"/>
  <c r="H31" i="13"/>
  <c r="H30" i="13"/>
  <c r="H23" i="13"/>
  <c r="H16" i="13"/>
  <c r="E9" i="13"/>
  <c r="F9" i="13" s="1"/>
  <c r="H8" i="13"/>
  <c r="H7" i="13"/>
  <c r="I5" i="13"/>
  <c r="J5" i="13" s="1"/>
  <c r="K5" i="13" s="1"/>
  <c r="C3" i="13"/>
  <c r="G7" i="11"/>
  <c r="E114" i="11" l="1"/>
  <c r="D117" i="11" s="1"/>
  <c r="E119" i="11"/>
  <c r="E118" i="11"/>
  <c r="D121" i="11" s="1"/>
  <c r="D19" i="11"/>
  <c r="E19" i="11" s="1"/>
  <c r="E71" i="11"/>
  <c r="I4" i="13"/>
  <c r="I6" i="13"/>
  <c r="J6" i="13"/>
  <c r="L5" i="13"/>
  <c r="K6" i="13"/>
  <c r="D122" i="11" l="1"/>
  <c r="E122" i="11" s="1"/>
  <c r="E117" i="11"/>
  <c r="D120" i="11" s="1"/>
  <c r="E121" i="11"/>
  <c r="D20" i="11"/>
  <c r="D21" i="11" s="1"/>
  <c r="E10" i="13"/>
  <c r="F10" i="13" s="1"/>
  <c r="E12" i="13" s="1"/>
  <c r="M5" i="13"/>
  <c r="L6" i="13"/>
  <c r="H9" i="13"/>
  <c r="H5" i="11"/>
  <c r="G187" i="11"/>
  <c r="G91" i="11"/>
  <c r="G88" i="11"/>
  <c r="G65" i="11"/>
  <c r="G9" i="11"/>
  <c r="E120"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6"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9"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7"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09"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0"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3" authorId="0" shapeId="0" xr:uid="{6CEDFB85-F951-422E-B01B-164DF19F64A2}">
      <text>
        <r>
          <rPr>
            <b/>
            <sz val="9"/>
            <color indexed="81"/>
            <rFont val="Segoe UI"/>
            <charset val="1"/>
          </rPr>
          <t>Autor:</t>
        </r>
        <r>
          <rPr>
            <sz val="9"/>
            <color indexed="81"/>
            <rFont val="Segoe UI"/>
            <charset val="1"/>
          </rPr>
          <t xml:space="preserve">
Postergado em 7 dias devido a limitação de POB em SG</t>
        </r>
      </text>
    </comment>
  </commentList>
</comments>
</file>

<file path=xl/sharedStrings.xml><?xml version="1.0" encoding="utf-8"?>
<sst xmlns="http://schemas.openxmlformats.org/spreadsheetml/2006/main" count="772" uniqueCount="286">
  <si>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</si>
  <si>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</si>
  <si>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</si>
  <si>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</si>
  <si>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</si>
  <si>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</si>
  <si>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</si>
  <si>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</si>
  <si>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</si>
  <si>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</si>
  <si>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</si>
  <si>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</si>
  <si>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</si>
  <si>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</si>
  <si>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</si>
  <si>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</si>
  <si>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</si>
  <si>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</si>
  <si>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</si>
  <si>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</si>
  <si>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</si>
  <si>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</si>
  <si>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</si>
  <si>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</si>
  <si>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</si>
  <si>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</si>
  <si>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</si>
  <si>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</si>
  <si>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</si>
  <si>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</si>
  <si>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</si>
  <si>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</si>
  <si>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</si>
  <si>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</si>
  <si>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</si>
  <si>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</si>
  <si>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</si>
  <si>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</si>
  <si>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</si>
  <si>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</si>
  <si>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</si>
  <si>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</si>
  <si>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</si>
  <si>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</si>
  <si>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</si>
  <si>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</si>
  <si>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</si>
  <si>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</si>
  <si>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</si>
  <si>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</si>
  <si>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</si>
  <si>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</si>
  <si>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</si>
  <si>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</si>
  <si>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</si>
  <si>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</si>
  <si>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</si>
  <si>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</si>
  <si>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</si>
  <si>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</si>
  <si>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</si>
  <si>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</si>
  <si>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</si>
  <si>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</si>
  <si>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</si>
  <si>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</si>
  <si>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</si>
  <si>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</si>
  <si>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</si>
  <si>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</si>
  <si>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</si>
  <si>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</si>
  <si>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</si>
  <si>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</si>
  <si>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</si>
  <si>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</si>
  <si>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</si>
  <si>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</si>
  <si>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</si>
  <si>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</si>
  <si>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</si>
  <si>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</si>
  <si>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</si>
  <si>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</si>
  <si>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</si>
  <si>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</si>
  <si>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</si>
  <si>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</si>
  <si>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</si>
  <si>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</si>
  <si>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</si>
  <si>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</si>
  <si>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</si>
  <si>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</si>
  <si>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</si>
  <si>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</si>
  <si>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</si>
  <si>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</si>
  <si>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</si>
  <si>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</si>
  <si>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</si>
  <si>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</si>
  <si>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</si>
  <si>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</si>
  <si>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</si>
  <si>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</si>
  <si>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</si>
  <si>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</si>
  <si>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</si>
  <si>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</si>
  <si>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</si>
  <si>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</si>
  <si>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</si>
  <si>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</si>
  <si>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</si>
  <si>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</si>
  <si>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</si>
  <si>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</si>
  <si>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</si>
  <si>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</si>
  <si>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</si>
  <si>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</si>
  <si>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</si>
  <si>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</si>
  <si>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</si>
  <si>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</si>
  <si>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</si>
  <si>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</si>
  <si>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</si>
  <si>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</si>
  <si>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</si>
  <si>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</si>
  <si>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</si>
  <si>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</si>
  <si>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</si>
  <si>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</si>
  <si>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</si>
  <si>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</si>
  <si>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</si>
  <si>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</si>
  <si>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</si>
  <si>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</si>
  <si>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</si>
  <si>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</si>
  <si>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</si>
  <si>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</si>
  <si>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</si>
  <si>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</si>
  <si>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</si>
  <si>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</si>
  <si>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</si>
  <si>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</si>
  <si>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</si>
  <si>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</si>
  <si>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</si>
  <si>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</si>
  <si>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</si>
  <si>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</si>
  <si>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</si>
  <si>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</si>
  <si>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</si>
  <si>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</si>
  <si>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</si>
  <si>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</si>
  <si>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</si>
  <si>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</si>
  <si>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</si>
  <si>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</si>
  <si>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</si>
  <si>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</si>
  <si>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</si>
  <si>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</si>
  <si>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</si>
  <si>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</si>
  <si>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</si>
  <si>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</si>
  <si>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</si>
  <si>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</si>
  <si>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</si>
  <si>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</si>
  <si>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</si>
  <si>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</si>
  <si>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</si>
  <si>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</si>
  <si>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</si>
  <si>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EEDSE</t>
  </si>
  <si>
    <t>LUIZ VITOR</t>
  </si>
  <si>
    <t>Engenheiro EEDSE</t>
  </si>
  <si>
    <t>Engenheiro PBAC</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</si>
  <si>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</si>
  <si>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</si>
  <si>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</si>
  <si>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</si>
  <si>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</si>
  <si>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</si>
  <si>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</si>
  <si>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</si>
  <si>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</si>
  <si>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</si>
  <si>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</si>
  <si>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</si>
  <si>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</si>
  <si>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</si>
  <si>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</si>
  <si>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</si>
  <si>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</si>
  <si>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</si>
  <si>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</si>
  <si>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</si>
  <si>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</si>
  <si>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</si>
  <si>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</si>
  <si>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</si>
  <si>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SEMANA DO CARNAVAL</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</si>
  <si>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</si>
  <si>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</si>
  <si>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</si>
  <si>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</si>
  <si>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</si>
  <si>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</si>
  <si>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</si>
  <si>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</si>
  <si>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</si>
  <si>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 xml:space="preserve">Engenharia CGM ( </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</si>
  <si>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</si>
  <si>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</si>
  <si>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</si>
  <si>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</si>
  <si>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</si>
  <si>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</si>
  <si>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</si>
  <si>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</si>
  <si>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</si>
  <si>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</si>
  <si>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</si>
  <si>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</si>
  <si>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</si>
  <si>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</si>
  <si>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</si>
  <si>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</si>
  <si>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</si>
  <si>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</si>
  <si>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</si>
  <si>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</si>
  <si>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Engenharia EEDSE</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</si>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</sst>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11"/>
      <color rgb="FF000000"/>
      <name val="Aptos Narrow"/>
      <family val="2"/>
    </font>
    <font>
      <sz val="9"/>
      <color indexed="81"/>
      <name val="Segoe UI"/>
      <charset val="1"/>
    </font>
    <font>
      <b/>
      <sz val="9"/>
      <color indexed="81"/>
      <name val="Segoe UI"/>
      <charset val="1"/>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1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3"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33" fillId="0" borderId="17" xfId="53" applyBorder="1" applyAlignment="1">
      <alignment horizontal="center" vertical="center"/>
    </xf>
    <xf numFmtId="0" fontId="9" fillId="3" borderId="28" xfId="10" applyFill="1" applyBorder="1">
      <alignment horizontal="center" vertical="center"/>
    </xf>
    <xf numFmtId="0" fontId="9" fillId="3" borderId="29" xfId="10" applyFill="1" applyBorder="1">
      <alignment horizontal="center" vertical="center"/>
    </xf>
    <xf numFmtId="0" fontId="9" fillId="3" borderId="30" xfId="10" applyFill="1" applyBorder="1">
      <alignment horizontal="center" vertical="center"/>
    </xf>
    <xf numFmtId="14" fontId="9" fillId="3" borderId="28" xfId="9" applyNumberFormat="1" applyFill="1" applyBorder="1">
      <alignment horizontal="center" vertical="center"/>
    </xf>
    <xf numFmtId="14" fontId="9" fillId="3" borderId="29" xfId="9" applyNumberFormat="1" applyFill="1" applyBorder="1">
      <alignment horizontal="center" vertical="center"/>
    </xf>
    <xf numFmtId="0" fontId="9" fillId="3" borderId="31" xfId="10" applyFill="1" applyBorder="1">
      <alignment horizontal="center" vertical="center"/>
    </xf>
    <xf numFmtId="14" fontId="9" fillId="3" borderId="31" xfId="9" applyNumberFormat="1" applyFill="1" applyBorder="1">
      <alignment horizontal="center" vertical="center"/>
    </xf>
    <xf numFmtId="14" fontId="9" fillId="3" borderId="32" xfId="9" applyNumberFormat="1" applyFill="1" applyBorder="1">
      <alignment horizontal="center" vertical="center"/>
    </xf>
    <xf numFmtId="14" fontId="9" fillId="3" borderId="30"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8" fontId="31" fillId="0" borderId="3" xfId="8"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09"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6"/>
  <sheetViews>
    <sheetView showGridLines="0" zoomScale="85" zoomScaleNormal="85" workbookViewId="0">
      <pane ySplit="1" topLeftCell="A12" activePane="bottomLeft" state="frozen"/>
      <selection pane="bottomLeft" activeCell="H18" sqref="H18"/>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26953125" bestFit="1" customWidth="1"/>
    <col min="7" max="7" width="39.26953125" customWidth="1"/>
    <col min="8" max="8" width="44.26953125" customWidth="1"/>
    <col min="9" max="9" width="26.7265625" customWidth="1"/>
    <col min="10" max="10" width="22.54296875" style="5" customWidth="1"/>
  </cols>
  <sheetData>
    <row r="1" spans="1:10" x14ac:dyDescent="0.35">
      <c r="A1" s="90" t="s">
        <v>0</v>
      </c>
      <c r="B1" s="91" t="s">
        <v>1</v>
      </c>
      <c r="C1" s="91" t="s">
        <v>2</v>
      </c>
      <c r="D1" s="91" t="s">
        <v>3</v>
      </c>
      <c r="E1" s="92" t="s">
        <v>4</v>
      </c>
      <c r="F1" s="92" t="s">
        <v>5</v>
      </c>
      <c r="G1" s="92" t="s">
        <v>6</v>
      </c>
      <c r="H1" s="92" t="s">
        <v>7</v>
      </c>
      <c r="I1" s="157" t="s">
        <v>8</v>
      </c>
      <c r="J1" s="159" t="s">
        <v>9</v>
      </c>
    </row>
    <row r="2" spans="1:10" x14ac:dyDescent="0.35">
      <c r="A2" s="79" t="s">
        <v>10</v>
      </c>
      <c r="B2" s="93">
        <v>4612171</v>
      </c>
      <c r="C2" s="93" t="s">
        <v>11</v>
      </c>
      <c r="D2" s="94" t="s">
        <v>12</v>
      </c>
      <c r="E2" s="95" t="s">
        <v>13</v>
      </c>
      <c r="F2" s="95" t="s">
        <v>14</v>
      </c>
      <c r="G2" s="181" t="s">
        <v>15</v>
      </c>
      <c r="H2" s="95" t="s">
        <v>16</v>
      </c>
      <c r="I2" s="158" t="s">
        <v>17</v>
      </c>
      <c r="J2" s="160"/>
    </row>
    <row r="3" spans="1:10" x14ac:dyDescent="0.35">
      <c r="A3" s="79" t="s">
        <v>10</v>
      </c>
      <c r="B3" s="96">
        <v>4612050</v>
      </c>
      <c r="C3" s="96" t="s">
        <v>18</v>
      </c>
      <c r="D3" s="97" t="s">
        <v>12</v>
      </c>
      <c r="E3" s="95" t="s">
        <v>19</v>
      </c>
      <c r="F3" s="98" t="s">
        <v>14</v>
      </c>
      <c r="G3" s="182" t="s">
        <v>20</v>
      </c>
      <c r="H3" s="98" t="s">
        <v>21</v>
      </c>
      <c r="I3" s="158" t="s">
        <v>22</v>
      </c>
      <c r="J3" s="160"/>
    </row>
    <row r="4" spans="1:10" x14ac:dyDescent="0.35">
      <c r="A4" s="79" t="s">
        <v>10</v>
      </c>
      <c r="B4" s="93">
        <v>4612140</v>
      </c>
      <c r="C4" s="93" t="s">
        <v>23</v>
      </c>
      <c r="D4" s="94" t="s">
        <v>12</v>
      </c>
      <c r="E4" s="101" t="s">
        <v>24</v>
      </c>
      <c r="F4" s="95" t="s">
        <v>14</v>
      </c>
      <c r="G4" s="181" t="s">
        <v>25</v>
      </c>
      <c r="H4" s="95" t="s">
        <v>26</v>
      </c>
      <c r="I4" s="158" t="s">
        <v>17</v>
      </c>
      <c r="J4" s="160"/>
    </row>
    <row r="5" spans="1:10" x14ac:dyDescent="0.35">
      <c r="A5" s="79" t="s">
        <v>10</v>
      </c>
      <c r="B5" s="96">
        <v>9842940</v>
      </c>
      <c r="C5" s="96" t="s">
        <v>27</v>
      </c>
      <c r="D5" s="97" t="s">
        <v>12</v>
      </c>
      <c r="E5" s="98" t="s">
        <v>13</v>
      </c>
      <c r="F5" s="98" t="s">
        <v>14</v>
      </c>
      <c r="G5" s="182" t="s">
        <v>28</v>
      </c>
      <c r="H5" s="98" t="s">
        <v>29</v>
      </c>
      <c r="I5" s="158" t="s">
        <v>30</v>
      </c>
      <c r="J5" s="161"/>
    </row>
    <row r="6" spans="1:10" x14ac:dyDescent="0.35">
      <c r="A6" s="79" t="s">
        <v>31</v>
      </c>
      <c r="B6" s="93">
        <v>9886449</v>
      </c>
      <c r="C6" s="93" t="s">
        <v>32</v>
      </c>
      <c r="D6" s="94" t="s">
        <v>12</v>
      </c>
      <c r="E6" s="95" t="s">
        <v>13</v>
      </c>
      <c r="F6" s="95" t="s">
        <v>33</v>
      </c>
      <c r="G6" s="181" t="s">
        <v>34</v>
      </c>
      <c r="H6" s="95" t="s">
        <v>35</v>
      </c>
      <c r="I6" s="158" t="s">
        <v>22</v>
      </c>
      <c r="J6" s="161" t="s">
        <v>36</v>
      </c>
    </row>
    <row r="7" spans="1:10" x14ac:dyDescent="0.35">
      <c r="A7" s="99" t="s">
        <v>31</v>
      </c>
      <c r="B7" s="96">
        <v>4608721</v>
      </c>
      <c r="C7" s="96" t="s">
        <v>37</v>
      </c>
      <c r="D7" s="100" t="s">
        <v>12</v>
      </c>
      <c r="E7" s="101" t="s">
        <v>13</v>
      </c>
      <c r="F7" s="101" t="s">
        <v>14</v>
      </c>
      <c r="G7" s="162" t="s">
        <v>38</v>
      </c>
      <c r="H7" s="101" t="s">
        <v>39</v>
      </c>
      <c r="I7" s="158" t="s">
        <v>22</v>
      </c>
      <c r="J7" s="161"/>
    </row>
    <row r="8" spans="1:10" x14ac:dyDescent="0.35">
      <c r="A8" s="99" t="s">
        <v>31</v>
      </c>
      <c r="B8" s="93">
        <v>1385894</v>
      </c>
      <c r="C8" s="93" t="s">
        <v>40</v>
      </c>
      <c r="D8" s="102" t="s">
        <v>12</v>
      </c>
      <c r="E8" s="103" t="s">
        <v>13</v>
      </c>
      <c r="F8" s="103" t="s">
        <v>33</v>
      </c>
      <c r="G8" s="183" t="s">
        <v>41</v>
      </c>
      <c r="H8" s="103" t="s">
        <v>42</v>
      </c>
      <c r="I8" s="158" t="s">
        <v>22</v>
      </c>
      <c r="J8" s="161" t="s">
        <v>36</v>
      </c>
    </row>
    <row r="9" spans="1:10" x14ac:dyDescent="0.35">
      <c r="A9" s="99" t="s">
        <v>31</v>
      </c>
      <c r="B9" s="96">
        <v>4608685</v>
      </c>
      <c r="C9" s="96" t="s">
        <v>43</v>
      </c>
      <c r="D9" s="100" t="s">
        <v>12</v>
      </c>
      <c r="E9" s="101" t="s">
        <v>13</v>
      </c>
      <c r="F9" s="101" t="s">
        <v>14</v>
      </c>
      <c r="G9" s="162" t="s">
        <v>44</v>
      </c>
      <c r="H9" s="101" t="s">
        <v>45</v>
      </c>
      <c r="I9" s="158" t="s">
        <v>22</v>
      </c>
      <c r="J9" s="161"/>
    </row>
    <row r="10" spans="1:10" ht="43.5" x14ac:dyDescent="0.35">
      <c r="A10" s="99" t="s">
        <v>46</v>
      </c>
      <c r="B10" s="93">
        <v>9762281</v>
      </c>
      <c r="C10" s="93" t="s">
        <v>47</v>
      </c>
      <c r="D10" s="102" t="s">
        <v>12</v>
      </c>
      <c r="E10" s="103" t="s">
        <v>13</v>
      </c>
      <c r="F10" s="103" t="s">
        <v>33</v>
      </c>
      <c r="G10" s="183" t="s">
        <v>48</v>
      </c>
      <c r="H10" s="103" t="s">
        <v>49</v>
      </c>
      <c r="I10" s="158" t="s">
        <v>22</v>
      </c>
      <c r="J10" s="163" t="s">
        <v>50</v>
      </c>
    </row>
    <row r="11" spans="1:10" x14ac:dyDescent="0.35">
      <c r="A11" s="99" t="s">
        <v>46</v>
      </c>
      <c r="B11" s="96">
        <v>9683150</v>
      </c>
      <c r="C11" s="96" t="s">
        <v>51</v>
      </c>
      <c r="D11" s="100" t="s">
        <v>12</v>
      </c>
      <c r="E11" s="101" t="s">
        <v>13</v>
      </c>
      <c r="F11" s="101" t="s">
        <v>33</v>
      </c>
      <c r="G11" s="162" t="s">
        <v>52</v>
      </c>
      <c r="H11" s="101" t="s">
        <v>53</v>
      </c>
      <c r="I11" s="158" t="s">
        <v>22</v>
      </c>
      <c r="J11" s="161" t="s">
        <v>54</v>
      </c>
    </row>
    <row r="12" spans="1:10" x14ac:dyDescent="0.35">
      <c r="A12" s="79" t="s">
        <v>46</v>
      </c>
      <c r="B12" s="93">
        <v>2440812</v>
      </c>
      <c r="C12" s="93" t="s">
        <v>55</v>
      </c>
      <c r="D12" s="94" t="s">
        <v>56</v>
      </c>
      <c r="E12" s="95" t="s">
        <v>13</v>
      </c>
      <c r="F12" s="95" t="s">
        <v>33</v>
      </c>
      <c r="G12" s="181" t="s">
        <v>57</v>
      </c>
      <c r="H12" s="95" t="s">
        <v>58</v>
      </c>
      <c r="I12" s="158" t="s">
        <v>22</v>
      </c>
      <c r="J12" s="161"/>
    </row>
    <row r="13" spans="1:10" x14ac:dyDescent="0.35">
      <c r="A13" s="99" t="s">
        <v>46</v>
      </c>
      <c r="B13" s="96">
        <v>1381625</v>
      </c>
      <c r="C13" s="96" t="s">
        <v>59</v>
      </c>
      <c r="D13" s="97" t="s">
        <v>12</v>
      </c>
      <c r="E13" s="98" t="s">
        <v>13</v>
      </c>
      <c r="F13" s="98" t="s">
        <v>33</v>
      </c>
      <c r="G13" s="182" t="s">
        <v>60</v>
      </c>
      <c r="H13" s="98" t="s">
        <v>61</v>
      </c>
      <c r="I13" s="158" t="s">
        <v>22</v>
      </c>
      <c r="J13" s="161"/>
    </row>
    <row r="14" spans="1:10" x14ac:dyDescent="0.35">
      <c r="A14" s="79" t="s">
        <v>46</v>
      </c>
      <c r="B14" s="93">
        <v>4608389</v>
      </c>
      <c r="C14" s="93" t="s">
        <v>62</v>
      </c>
      <c r="D14" s="94" t="s">
        <v>12</v>
      </c>
      <c r="E14" s="95" t="s">
        <v>13</v>
      </c>
      <c r="F14" s="95" t="s">
        <v>14</v>
      </c>
      <c r="G14" s="181" t="s">
        <v>63</v>
      </c>
      <c r="H14" s="95" t="s">
        <v>64</v>
      </c>
      <c r="I14" s="158" t="s">
        <v>22</v>
      </c>
      <c r="J14" s="161"/>
    </row>
    <row r="15" spans="1:10" x14ac:dyDescent="0.35">
      <c r="A15" s="99" t="s">
        <v>10</v>
      </c>
      <c r="B15" s="96">
        <v>4608544</v>
      </c>
      <c r="C15" s="96" t="s">
        <v>65</v>
      </c>
      <c r="D15" s="97" t="s">
        <v>12</v>
      </c>
      <c r="E15" s="98" t="s">
        <v>19</v>
      </c>
      <c r="F15" s="98" t="s">
        <v>14</v>
      </c>
      <c r="G15" s="182" t="s">
        <v>66</v>
      </c>
      <c r="H15" s="98" t="s">
        <v>67</v>
      </c>
      <c r="I15" s="158" t="s">
        <v>22</v>
      </c>
      <c r="J15" s="161"/>
    </row>
    <row r="16" spans="1:10" x14ac:dyDescent="0.35">
      <c r="A16" s="99" t="s">
        <v>31</v>
      </c>
      <c r="B16" s="93">
        <v>4608474</v>
      </c>
      <c r="C16" s="93" t="s">
        <v>68</v>
      </c>
      <c r="D16" s="94" t="s">
        <v>12</v>
      </c>
      <c r="E16" s="95" t="s">
        <v>19</v>
      </c>
      <c r="F16" s="103" t="s">
        <v>14</v>
      </c>
      <c r="G16" s="183" t="s">
        <v>69</v>
      </c>
      <c r="H16" s="103" t="s">
        <v>70</v>
      </c>
      <c r="I16" s="158" t="s">
        <v>22</v>
      </c>
      <c r="J16" s="161"/>
    </row>
    <row r="17" spans="1:10" x14ac:dyDescent="0.35">
      <c r="A17" s="79" t="s">
        <v>31</v>
      </c>
      <c r="B17" s="96">
        <v>1386344</v>
      </c>
      <c r="C17" s="96" t="s">
        <v>71</v>
      </c>
      <c r="D17" s="100" t="s">
        <v>12</v>
      </c>
      <c r="E17" s="101" t="s">
        <v>19</v>
      </c>
      <c r="F17" s="101" t="s">
        <v>33</v>
      </c>
      <c r="G17" s="162" t="s">
        <v>72</v>
      </c>
      <c r="H17" s="101" t="s">
        <v>73</v>
      </c>
      <c r="I17" s="158" t="s">
        <v>22</v>
      </c>
      <c r="J17" s="161" t="s">
        <v>54</v>
      </c>
    </row>
    <row r="18" spans="1:10" x14ac:dyDescent="0.35">
      <c r="A18" s="79" t="s">
        <v>31</v>
      </c>
      <c r="B18" s="93">
        <v>4608684</v>
      </c>
      <c r="C18" s="93" t="s">
        <v>74</v>
      </c>
      <c r="D18" s="102" t="s">
        <v>12</v>
      </c>
      <c r="E18" s="103" t="s">
        <v>19</v>
      </c>
      <c r="F18" s="103" t="s">
        <v>14</v>
      </c>
      <c r="G18" s="183" t="s">
        <v>75</v>
      </c>
      <c r="H18" s="95" t="s">
        <v>76</v>
      </c>
      <c r="I18" s="158" t="s">
        <v>22</v>
      </c>
      <c r="J18" s="161"/>
    </row>
    <row r="19" spans="1:10" x14ac:dyDescent="0.35">
      <c r="A19" s="79" t="s">
        <v>46</v>
      </c>
      <c r="B19" s="96">
        <v>9612082</v>
      </c>
      <c r="C19" s="96" t="s">
        <v>77</v>
      </c>
      <c r="D19" s="100" t="s">
        <v>12</v>
      </c>
      <c r="E19" s="101" t="s">
        <v>19</v>
      </c>
      <c r="F19" s="98" t="s">
        <v>33</v>
      </c>
      <c r="G19" s="162" t="s">
        <v>78</v>
      </c>
      <c r="H19" s="101" t="s">
        <v>79</v>
      </c>
      <c r="I19" s="158" t="s">
        <v>22</v>
      </c>
      <c r="J19" s="161"/>
    </row>
    <row r="20" spans="1:10" x14ac:dyDescent="0.35">
      <c r="A20" s="79" t="s">
        <v>46</v>
      </c>
      <c r="B20" s="93">
        <v>9618720</v>
      </c>
      <c r="C20" s="93" t="s">
        <v>80</v>
      </c>
      <c r="D20" s="102" t="s">
        <v>12</v>
      </c>
      <c r="E20" s="103" t="s">
        <v>19</v>
      </c>
      <c r="F20" s="95" t="s">
        <v>33</v>
      </c>
      <c r="G20" s="183" t="s">
        <v>81</v>
      </c>
      <c r="H20" s="103" t="s">
        <v>82</v>
      </c>
      <c r="I20" s="158" t="s">
        <v>22</v>
      </c>
      <c r="J20" s="161" t="s">
        <v>36</v>
      </c>
    </row>
    <row r="21" spans="1:10" x14ac:dyDescent="0.35">
      <c r="A21" s="79" t="s">
        <v>46</v>
      </c>
      <c r="B21" s="96">
        <v>9724817</v>
      </c>
      <c r="C21" s="96" t="s">
        <v>83</v>
      </c>
      <c r="D21" s="100" t="s">
        <v>12</v>
      </c>
      <c r="E21" s="101" t="s">
        <v>19</v>
      </c>
      <c r="F21" s="98" t="s">
        <v>33</v>
      </c>
      <c r="G21" s="162" t="s">
        <v>84</v>
      </c>
      <c r="H21" s="101" t="s">
        <v>85</v>
      </c>
      <c r="I21" s="158" t="s">
        <v>22</v>
      </c>
      <c r="J21" s="161"/>
    </row>
    <row r="22" spans="1:10" x14ac:dyDescent="0.35">
      <c r="A22" s="79" t="s">
        <v>46</v>
      </c>
      <c r="B22" s="93">
        <v>2460800</v>
      </c>
      <c r="C22" s="93" t="s">
        <v>86</v>
      </c>
      <c r="D22" s="102" t="s">
        <v>56</v>
      </c>
      <c r="E22" s="103" t="s">
        <v>19</v>
      </c>
      <c r="F22" s="95" t="s">
        <v>33</v>
      </c>
      <c r="G22" s="181" t="s">
        <v>87</v>
      </c>
      <c r="H22" s="95" t="s">
        <v>88</v>
      </c>
      <c r="I22" s="158" t="s">
        <v>30</v>
      </c>
      <c r="J22" s="161"/>
    </row>
    <row r="23" spans="1:10" x14ac:dyDescent="0.35">
      <c r="A23" s="79" t="s">
        <v>10</v>
      </c>
      <c r="B23" s="96">
        <v>4608559</v>
      </c>
      <c r="C23" s="96" t="s">
        <v>89</v>
      </c>
      <c r="D23" s="100" t="s">
        <v>12</v>
      </c>
      <c r="E23" s="101" t="s">
        <v>24</v>
      </c>
      <c r="F23" s="101" t="s">
        <v>14</v>
      </c>
      <c r="G23" s="162" t="s">
        <v>90</v>
      </c>
      <c r="H23" s="101" t="s">
        <v>91</v>
      </c>
      <c r="I23" s="158" t="s">
        <v>22</v>
      </c>
      <c r="J23" s="160"/>
    </row>
    <row r="24" spans="1:10" x14ac:dyDescent="0.35">
      <c r="A24" s="79" t="s">
        <v>31</v>
      </c>
      <c r="B24" s="93">
        <v>4608411</v>
      </c>
      <c r="C24" s="93" t="s">
        <v>92</v>
      </c>
      <c r="D24" s="102" t="s">
        <v>12</v>
      </c>
      <c r="E24" s="103" t="s">
        <v>24</v>
      </c>
      <c r="F24" s="95" t="s">
        <v>14</v>
      </c>
      <c r="G24" s="183" t="s">
        <v>93</v>
      </c>
      <c r="H24" s="103" t="s">
        <v>94</v>
      </c>
      <c r="I24" s="158" t="s">
        <v>22</v>
      </c>
      <c r="J24" s="160"/>
    </row>
    <row r="25" spans="1:10" x14ac:dyDescent="0.35">
      <c r="A25" s="79" t="s">
        <v>31</v>
      </c>
      <c r="B25" s="96">
        <v>9634180</v>
      </c>
      <c r="C25" s="96" t="s">
        <v>95</v>
      </c>
      <c r="D25" s="97" t="s">
        <v>12</v>
      </c>
      <c r="E25" s="98" t="s">
        <v>24</v>
      </c>
      <c r="F25" s="98" t="s">
        <v>33</v>
      </c>
      <c r="G25" s="182" t="s">
        <v>96</v>
      </c>
      <c r="H25" s="98" t="s">
        <v>97</v>
      </c>
      <c r="I25" s="158" t="s">
        <v>22</v>
      </c>
      <c r="J25" s="160"/>
    </row>
    <row r="26" spans="1:10" x14ac:dyDescent="0.35">
      <c r="A26" s="79" t="s">
        <v>46</v>
      </c>
      <c r="B26" s="93">
        <v>4608780</v>
      </c>
      <c r="C26" s="93" t="s">
        <v>98</v>
      </c>
      <c r="D26" s="94" t="s">
        <v>12</v>
      </c>
      <c r="E26" s="95" t="s">
        <v>24</v>
      </c>
      <c r="F26" s="95" t="s">
        <v>14</v>
      </c>
      <c r="G26" s="181" t="s">
        <v>99</v>
      </c>
      <c r="H26" s="95" t="s">
        <v>100</v>
      </c>
      <c r="I26" s="158" t="s">
        <v>22</v>
      </c>
      <c r="J26" s="160"/>
    </row>
    <row r="27" spans="1:10" x14ac:dyDescent="0.35">
      <c r="A27" s="79" t="s">
        <v>46</v>
      </c>
      <c r="B27" s="96">
        <v>2475130</v>
      </c>
      <c r="C27" s="96" t="s">
        <v>101</v>
      </c>
      <c r="D27" s="97" t="s">
        <v>12</v>
      </c>
      <c r="E27" s="98" t="s">
        <v>24</v>
      </c>
      <c r="F27" s="98" t="s">
        <v>33</v>
      </c>
      <c r="G27" s="162" t="s">
        <v>102</v>
      </c>
      <c r="H27" s="101" t="s">
        <v>103</v>
      </c>
      <c r="I27" s="158" t="s">
        <v>30</v>
      </c>
      <c r="J27" s="161" t="s">
        <v>54</v>
      </c>
    </row>
    <row r="28" spans="1:10" x14ac:dyDescent="0.35">
      <c r="A28" s="79" t="s">
        <v>46</v>
      </c>
      <c r="B28" s="93">
        <v>2477135</v>
      </c>
      <c r="C28" s="93" t="s">
        <v>104</v>
      </c>
      <c r="D28" s="94" t="s">
        <v>12</v>
      </c>
      <c r="E28" s="95" t="s">
        <v>24</v>
      </c>
      <c r="F28" s="95" t="s">
        <v>33</v>
      </c>
      <c r="G28" s="183" t="s">
        <v>105</v>
      </c>
      <c r="H28" s="103" t="s">
        <v>106</v>
      </c>
      <c r="I28" s="158" t="s">
        <v>22</v>
      </c>
      <c r="J28" s="160"/>
    </row>
    <row r="29" spans="1:10" x14ac:dyDescent="0.35">
      <c r="A29" s="79" t="s">
        <v>10</v>
      </c>
      <c r="B29" s="96">
        <v>4606246</v>
      </c>
      <c r="C29" s="96" t="s">
        <v>107</v>
      </c>
      <c r="D29" s="97" t="s">
        <v>108</v>
      </c>
      <c r="E29" s="101" t="s">
        <v>109</v>
      </c>
      <c r="F29" s="98" t="s">
        <v>14</v>
      </c>
      <c r="G29" s="162" t="s">
        <v>110</v>
      </c>
      <c r="H29" s="101" t="s">
        <v>111</v>
      </c>
      <c r="I29" s="158" t="s">
        <v>22</v>
      </c>
      <c r="J29" s="161"/>
    </row>
    <row r="30" spans="1:10" x14ac:dyDescent="0.35">
      <c r="A30" s="79" t="s">
        <v>31</v>
      </c>
      <c r="B30" s="93">
        <v>4606308</v>
      </c>
      <c r="C30" s="93" t="s">
        <v>112</v>
      </c>
      <c r="D30" s="94" t="s">
        <v>108</v>
      </c>
      <c r="E30" s="103" t="s">
        <v>109</v>
      </c>
      <c r="F30" s="95" t="s">
        <v>14</v>
      </c>
      <c r="G30" s="183" t="s">
        <v>113</v>
      </c>
      <c r="H30" s="103" t="s">
        <v>114</v>
      </c>
      <c r="I30" s="158" t="s">
        <v>30</v>
      </c>
      <c r="J30" s="161"/>
    </row>
    <row r="31" spans="1:10" x14ac:dyDescent="0.35">
      <c r="A31" s="79" t="s">
        <v>31</v>
      </c>
      <c r="B31" s="96">
        <v>9634222</v>
      </c>
      <c r="C31" s="96" t="s">
        <v>115</v>
      </c>
      <c r="D31" s="97" t="s">
        <v>12</v>
      </c>
      <c r="E31" s="101" t="s">
        <v>24</v>
      </c>
      <c r="F31" s="98" t="s">
        <v>33</v>
      </c>
      <c r="G31" s="162" t="s">
        <v>116</v>
      </c>
      <c r="H31" s="101" t="s">
        <v>117</v>
      </c>
      <c r="I31" s="158" t="s">
        <v>22</v>
      </c>
      <c r="J31" s="161" t="s">
        <v>54</v>
      </c>
    </row>
    <row r="32" spans="1:10" x14ac:dyDescent="0.35">
      <c r="A32" s="79" t="s">
        <v>31</v>
      </c>
      <c r="B32" s="93">
        <v>229316</v>
      </c>
      <c r="C32" s="93" t="s">
        <v>118</v>
      </c>
      <c r="D32" s="93" t="s">
        <v>108</v>
      </c>
      <c r="E32" s="81" t="s">
        <v>109</v>
      </c>
      <c r="F32" s="81" t="s">
        <v>33</v>
      </c>
      <c r="G32" s="184" t="s">
        <v>119</v>
      </c>
      <c r="H32" s="81" t="s">
        <v>120</v>
      </c>
      <c r="I32" s="158" t="s">
        <v>22</v>
      </c>
      <c r="J32" s="161"/>
    </row>
    <row r="33" spans="1:10" x14ac:dyDescent="0.35">
      <c r="A33" s="79" t="s">
        <v>46</v>
      </c>
      <c r="B33" s="96">
        <v>2493288</v>
      </c>
      <c r="C33" s="96" t="s">
        <v>121</v>
      </c>
      <c r="D33" s="96" t="s">
        <v>108</v>
      </c>
      <c r="E33" s="80" t="s">
        <v>109</v>
      </c>
      <c r="F33" s="98" t="s">
        <v>33</v>
      </c>
      <c r="G33" s="185" t="s">
        <v>122</v>
      </c>
      <c r="H33" s="80" t="s">
        <v>123</v>
      </c>
      <c r="I33" s="158" t="s">
        <v>22</v>
      </c>
      <c r="J33" s="161"/>
    </row>
    <row r="34" spans="1:10" x14ac:dyDescent="0.35">
      <c r="A34" s="79" t="s">
        <v>46</v>
      </c>
      <c r="B34" s="93">
        <v>214272</v>
      </c>
      <c r="C34" s="93" t="s">
        <v>124</v>
      </c>
      <c r="D34" s="93" t="s">
        <v>108</v>
      </c>
      <c r="E34" s="81" t="s">
        <v>109</v>
      </c>
      <c r="F34" s="95" t="s">
        <v>33</v>
      </c>
      <c r="G34" s="184" t="s">
        <v>125</v>
      </c>
      <c r="H34" s="81" t="s">
        <v>126</v>
      </c>
      <c r="I34" s="158" t="s">
        <v>22</v>
      </c>
      <c r="J34" s="161"/>
    </row>
    <row r="35" spans="1:10" x14ac:dyDescent="0.35">
      <c r="A35" s="79" t="s">
        <v>46</v>
      </c>
      <c r="B35" s="96">
        <v>4606694</v>
      </c>
      <c r="C35" s="96" t="s">
        <v>127</v>
      </c>
      <c r="D35" s="97" t="s">
        <v>108</v>
      </c>
      <c r="E35" s="80" t="s">
        <v>109</v>
      </c>
      <c r="F35" s="80" t="s">
        <v>14</v>
      </c>
      <c r="G35" s="185" t="s">
        <v>128</v>
      </c>
      <c r="H35" s="80" t="s">
        <v>129</v>
      </c>
      <c r="I35" s="158" t="s">
        <v>30</v>
      </c>
      <c r="J35" s="161"/>
    </row>
    <row r="36" spans="1:10" x14ac:dyDescent="0.35">
      <c r="A36" s="79" t="s">
        <v>46</v>
      </c>
      <c r="B36" s="93">
        <v>2430855</v>
      </c>
      <c r="C36" s="93" t="s">
        <v>130</v>
      </c>
      <c r="D36" s="94" t="s">
        <v>12</v>
      </c>
      <c r="E36" s="81" t="s">
        <v>109</v>
      </c>
      <c r="F36" s="81" t="s">
        <v>33</v>
      </c>
      <c r="G36" s="184" t="s">
        <v>131</v>
      </c>
      <c r="H36" s="81" t="s">
        <v>132</v>
      </c>
      <c r="I36" s="158" t="s">
        <v>22</v>
      </c>
      <c r="J36" s="161"/>
    </row>
    <row r="37" spans="1:10" x14ac:dyDescent="0.35">
      <c r="A37" s="79" t="s">
        <v>46</v>
      </c>
      <c r="B37" s="96">
        <v>4604625</v>
      </c>
      <c r="C37" s="96" t="s">
        <v>133</v>
      </c>
      <c r="D37" s="97" t="s">
        <v>134</v>
      </c>
      <c r="E37" s="80" t="s">
        <v>109</v>
      </c>
      <c r="F37" s="80" t="s">
        <v>14</v>
      </c>
      <c r="G37" s="185" t="s">
        <v>135</v>
      </c>
      <c r="H37" s="80" t="s">
        <v>136</v>
      </c>
      <c r="I37" s="158" t="s">
        <v>22</v>
      </c>
      <c r="J37" s="161"/>
    </row>
    <row r="38" spans="1:10" x14ac:dyDescent="0.35">
      <c r="A38" s="79" t="s">
        <v>46</v>
      </c>
      <c r="B38" s="93">
        <v>4612098</v>
      </c>
      <c r="C38" s="93" t="s">
        <v>137</v>
      </c>
      <c r="D38" s="94" t="s">
        <v>12</v>
      </c>
      <c r="E38" s="95" t="s">
        <v>13</v>
      </c>
      <c r="F38" s="81" t="s">
        <v>14</v>
      </c>
      <c r="G38" s="184" t="s">
        <v>138</v>
      </c>
      <c r="H38" s="81" t="s">
        <v>139</v>
      </c>
      <c r="I38" s="158" t="s">
        <v>22</v>
      </c>
      <c r="J38" s="160"/>
    </row>
    <row r="39" spans="1:10" x14ac:dyDescent="0.35">
      <c r="A39" s="99" t="s">
        <v>46</v>
      </c>
      <c r="B39" s="96">
        <v>4612126</v>
      </c>
      <c r="C39" s="96" t="s">
        <v>140</v>
      </c>
      <c r="D39" s="97" t="s">
        <v>12</v>
      </c>
      <c r="E39" s="95" t="s">
        <v>19</v>
      </c>
      <c r="F39" s="80" t="s">
        <v>14</v>
      </c>
      <c r="G39" s="185" t="s">
        <v>141</v>
      </c>
      <c r="H39" s="80" t="s">
        <v>142</v>
      </c>
      <c r="I39" s="158" t="s">
        <v>22</v>
      </c>
      <c r="J39" s="160"/>
    </row>
    <row r="40" spans="1:10" x14ac:dyDescent="0.35">
      <c r="A40" s="79" t="s">
        <v>46</v>
      </c>
      <c r="B40" s="93">
        <v>2550195</v>
      </c>
      <c r="C40" s="93" t="s">
        <v>143</v>
      </c>
      <c r="D40" s="93" t="s">
        <v>56</v>
      </c>
      <c r="E40" s="81" t="s">
        <v>24</v>
      </c>
      <c r="F40" s="81" t="s">
        <v>33</v>
      </c>
      <c r="G40" s="184" t="s">
        <v>144</v>
      </c>
      <c r="H40" s="81" t="s">
        <v>145</v>
      </c>
      <c r="I40" s="158" t="s">
        <v>30</v>
      </c>
      <c r="J40" s="160"/>
    </row>
    <row r="41" spans="1:10" x14ac:dyDescent="0.35">
      <c r="A41" s="79" t="s">
        <v>31</v>
      </c>
      <c r="B41" s="96">
        <v>4612243</v>
      </c>
      <c r="C41" s="96" t="s">
        <v>146</v>
      </c>
      <c r="D41" s="97" t="s">
        <v>12</v>
      </c>
      <c r="E41" s="98" t="s">
        <v>13</v>
      </c>
      <c r="F41" s="80" t="s">
        <v>14</v>
      </c>
      <c r="G41" s="185" t="s">
        <v>147</v>
      </c>
      <c r="H41" s="80" t="s">
        <v>148</v>
      </c>
      <c r="I41" s="158" t="s">
        <v>22</v>
      </c>
      <c r="J41" s="160"/>
    </row>
    <row r="42" spans="1:10" x14ac:dyDescent="0.35">
      <c r="A42" s="79" t="s">
        <v>31</v>
      </c>
      <c r="B42" s="93">
        <v>4612389</v>
      </c>
      <c r="C42" s="93" t="s">
        <v>149</v>
      </c>
      <c r="D42" s="94" t="s">
        <v>12</v>
      </c>
      <c r="E42" s="98" t="s">
        <v>13</v>
      </c>
      <c r="F42" s="81" t="s">
        <v>14</v>
      </c>
      <c r="G42" s="184" t="s">
        <v>150</v>
      </c>
      <c r="H42" s="81" t="s">
        <v>151</v>
      </c>
      <c r="I42" s="158" t="s">
        <v>22</v>
      </c>
      <c r="J42" s="160"/>
    </row>
    <row r="43" spans="1:10" x14ac:dyDescent="0.35">
      <c r="A43" s="79" t="s">
        <v>31</v>
      </c>
      <c r="B43" s="96">
        <v>4612192</v>
      </c>
      <c r="C43" s="96" t="s">
        <v>152</v>
      </c>
      <c r="D43" s="97" t="s">
        <v>12</v>
      </c>
      <c r="E43" s="95" t="s">
        <v>19</v>
      </c>
      <c r="F43" s="80" t="s">
        <v>14</v>
      </c>
      <c r="G43" s="185" t="s">
        <v>153</v>
      </c>
      <c r="H43" s="80" t="s">
        <v>154</v>
      </c>
      <c r="I43" s="158" t="s">
        <v>30</v>
      </c>
      <c r="J43" s="160"/>
    </row>
    <row r="44" spans="1:10" x14ac:dyDescent="0.35">
      <c r="A44" s="79" t="s">
        <v>31</v>
      </c>
      <c r="B44" s="93">
        <v>4612393</v>
      </c>
      <c r="C44" s="93" t="s">
        <v>155</v>
      </c>
      <c r="D44" s="94" t="s">
        <v>12</v>
      </c>
      <c r="E44" s="101" t="s">
        <v>24</v>
      </c>
      <c r="F44" s="81" t="s">
        <v>14</v>
      </c>
      <c r="G44" s="184" t="s">
        <v>156</v>
      </c>
      <c r="H44" s="81" t="s">
        <v>157</v>
      </c>
      <c r="I44" s="158" t="s">
        <v>17</v>
      </c>
      <c r="J44" s="160"/>
    </row>
    <row r="45" spans="1:10" x14ac:dyDescent="0.35">
      <c r="A45" s="79" t="s">
        <v>31</v>
      </c>
      <c r="B45" s="96">
        <v>4612228</v>
      </c>
      <c r="C45" s="96" t="s">
        <v>158</v>
      </c>
      <c r="D45" s="97" t="s">
        <v>12</v>
      </c>
      <c r="E45" s="95" t="s">
        <v>19</v>
      </c>
      <c r="F45" s="80" t="s">
        <v>14</v>
      </c>
      <c r="G45" s="185" t="s">
        <v>159</v>
      </c>
      <c r="H45" s="80" t="s">
        <v>160</v>
      </c>
      <c r="I45" s="158" t="s">
        <v>22</v>
      </c>
      <c r="J45" s="160"/>
    </row>
    <row r="46" spans="1:10" x14ac:dyDescent="0.35">
      <c r="A46" s="79" t="s">
        <v>31</v>
      </c>
      <c r="B46" s="93">
        <v>4612247</v>
      </c>
      <c r="C46" s="93" t="s">
        <v>161</v>
      </c>
      <c r="D46" s="94" t="s">
        <v>12</v>
      </c>
      <c r="E46" s="101" t="s">
        <v>24</v>
      </c>
      <c r="F46" s="81" t="s">
        <v>14</v>
      </c>
      <c r="G46" s="184" t="s">
        <v>162</v>
      </c>
      <c r="H46" s="81" t="s">
        <v>163</v>
      </c>
      <c r="I46" s="158" t="s">
        <v>17</v>
      </c>
      <c r="J46" s="160"/>
    </row>
    <row r="47" spans="1:10" x14ac:dyDescent="0.35">
      <c r="A47" s="79" t="s">
        <v>31</v>
      </c>
      <c r="B47" s="96">
        <v>1385950</v>
      </c>
      <c r="C47" s="96" t="s">
        <v>164</v>
      </c>
      <c r="D47" s="97" t="s">
        <v>12</v>
      </c>
      <c r="E47" s="101" t="s">
        <v>109</v>
      </c>
      <c r="F47" s="80" t="s">
        <v>33</v>
      </c>
      <c r="G47" s="169" t="s">
        <v>165</v>
      </c>
      <c r="H47" s="80" t="s">
        <v>166</v>
      </c>
      <c r="I47" s="158"/>
      <c r="J47" s="160"/>
    </row>
    <row r="48" spans="1:10" x14ac:dyDescent="0.35">
      <c r="A48" s="79" t="s">
        <v>31</v>
      </c>
      <c r="B48" s="93">
        <v>1387328</v>
      </c>
      <c r="C48" s="93" t="s">
        <v>167</v>
      </c>
      <c r="D48" s="94" t="s">
        <v>12</v>
      </c>
      <c r="E48" s="101" t="s">
        <v>109</v>
      </c>
      <c r="F48" s="81" t="s">
        <v>33</v>
      </c>
      <c r="G48" s="170" t="s">
        <v>168</v>
      </c>
      <c r="H48" s="81" t="s">
        <v>169</v>
      </c>
      <c r="I48" s="158"/>
      <c r="J48" s="160"/>
    </row>
    <row r="49" spans="1:10" x14ac:dyDescent="0.35">
      <c r="A49" s="79" t="s">
        <v>31</v>
      </c>
      <c r="B49" s="96">
        <v>1385870</v>
      </c>
      <c r="C49" s="96" t="s">
        <v>170</v>
      </c>
      <c r="D49" s="97" t="s">
        <v>12</v>
      </c>
      <c r="E49" s="101" t="s">
        <v>109</v>
      </c>
      <c r="F49" s="80" t="s">
        <v>33</v>
      </c>
      <c r="G49" s="169" t="s">
        <v>171</v>
      </c>
      <c r="H49" s="80" t="s">
        <v>172</v>
      </c>
      <c r="I49" s="158"/>
      <c r="J49" s="160"/>
    </row>
    <row r="50" spans="1:10" x14ac:dyDescent="0.35">
      <c r="A50" s="79" t="s">
        <v>31</v>
      </c>
      <c r="B50" s="93">
        <v>1386288</v>
      </c>
      <c r="C50" s="93" t="s">
        <v>173</v>
      </c>
      <c r="D50" s="94" t="s">
        <v>12</v>
      </c>
      <c r="E50" s="101" t="s">
        <v>109</v>
      </c>
      <c r="F50" s="81" t="s">
        <v>33</v>
      </c>
      <c r="G50" s="170" t="s">
        <v>174</v>
      </c>
      <c r="H50" s="81" t="s">
        <v>175</v>
      </c>
      <c r="I50" s="158"/>
      <c r="J50" s="160"/>
    </row>
    <row r="51" spans="1:10" x14ac:dyDescent="0.35">
      <c r="A51" s="79" t="s">
        <v>31</v>
      </c>
      <c r="B51" s="96">
        <v>9678697</v>
      </c>
      <c r="C51" s="96" t="s">
        <v>176</v>
      </c>
      <c r="D51" s="97" t="s">
        <v>12</v>
      </c>
      <c r="E51" s="101" t="s">
        <v>109</v>
      </c>
      <c r="F51" s="80" t="s">
        <v>33</v>
      </c>
      <c r="G51" s="169" t="s">
        <v>177</v>
      </c>
      <c r="H51" s="80" t="s">
        <v>178</v>
      </c>
      <c r="I51" s="158"/>
      <c r="J51" s="160"/>
    </row>
    <row r="52" spans="1:10" x14ac:dyDescent="0.35">
      <c r="A52" s="79" t="s">
        <v>10</v>
      </c>
      <c r="B52" s="93">
        <v>9921954</v>
      </c>
      <c r="C52" s="93" t="s">
        <v>179</v>
      </c>
      <c r="D52" s="94" t="s">
        <v>12</v>
      </c>
      <c r="E52" s="101" t="s">
        <v>109</v>
      </c>
      <c r="F52" s="81" t="s">
        <v>33</v>
      </c>
      <c r="G52" s="170" t="s">
        <v>180</v>
      </c>
      <c r="H52" s="81" t="s">
        <v>181</v>
      </c>
      <c r="I52" s="158"/>
      <c r="J52" s="160"/>
    </row>
    <row r="53" spans="1:10" x14ac:dyDescent="0.35">
      <c r="A53" s="79" t="s">
        <v>10</v>
      </c>
      <c r="B53" s="96">
        <v>2448533</v>
      </c>
      <c r="C53" s="96" t="s">
        <v>182</v>
      </c>
      <c r="D53" s="97" t="s">
        <v>12</v>
      </c>
      <c r="E53" s="101" t="s">
        <v>109</v>
      </c>
      <c r="F53" s="80" t="s">
        <v>33</v>
      </c>
      <c r="G53" s="169" t="s">
        <v>183</v>
      </c>
      <c r="H53" s="80" t="s">
        <v>184</v>
      </c>
      <c r="I53" s="158"/>
      <c r="J53" s="160"/>
    </row>
    <row r="54" spans="1:10" x14ac:dyDescent="0.35">
      <c r="A54" s="79" t="s">
        <v>10</v>
      </c>
      <c r="B54" s="96">
        <v>2448534</v>
      </c>
      <c r="C54" s="96" t="s">
        <v>182</v>
      </c>
      <c r="D54" s="97" t="s">
        <v>108</v>
      </c>
      <c r="E54" s="101" t="s">
        <v>185</v>
      </c>
      <c r="F54" s="80" t="s">
        <v>33</v>
      </c>
      <c r="G54" s="171"/>
      <c r="H54" s="80" t="s">
        <v>186</v>
      </c>
      <c r="I54" s="158"/>
      <c r="J54" s="160"/>
    </row>
    <row r="55" spans="1:10" x14ac:dyDescent="0.35">
      <c r="A55" s="79" t="s">
        <v>31</v>
      </c>
      <c r="B55" s="96"/>
      <c r="C55" s="96"/>
      <c r="D55" s="97" t="s">
        <v>108</v>
      </c>
      <c r="E55" s="101" t="s">
        <v>185</v>
      </c>
      <c r="F55" s="80" t="s">
        <v>33</v>
      </c>
      <c r="G55" s="171"/>
      <c r="H55" s="80" t="s">
        <v>187</v>
      </c>
      <c r="I55" s="158"/>
      <c r="J55" s="160"/>
    </row>
    <row r="56" spans="1:10" x14ac:dyDescent="0.35">
      <c r="A56" s="79" t="s">
        <v>31</v>
      </c>
      <c r="B56" s="96"/>
      <c r="C56" s="96"/>
      <c r="D56" s="97" t="s">
        <v>108</v>
      </c>
      <c r="E56" s="101" t="s">
        <v>109</v>
      </c>
      <c r="F56" s="80" t="s">
        <v>33</v>
      </c>
      <c r="G56" s="171"/>
      <c r="H56" s="80" t="s">
        <v>188</v>
      </c>
      <c r="I56" s="158"/>
      <c r="J56" s="160"/>
    </row>
  </sheetData>
  <autoFilter ref="A1:J56" xr:uid="{CCFC853D-4B89-47CE-AA8F-BD4EA9CD1EC0}"/>
  <phoneticPr fontId="30" type="noConversion"/>
  <conditionalFormatting sqref="A38:A56">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6">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6">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E56">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87"/>
  <sheetViews>
    <sheetView showGridLines="0" tabSelected="1" showRuler="0" zoomScale="70" zoomScaleNormal="70" zoomScalePageLayoutView="70" workbookViewId="0">
      <pane ySplit="1" topLeftCell="A108" activePane="bottomLeft" state="frozen"/>
      <selection pane="bottomLeft" activeCell="V114" sqref="V114"/>
    </sheetView>
  </sheetViews>
  <sheetFormatPr defaultColWidth="9.26953125" defaultRowHeight="29.25" customHeight="1" outlineLevelRow="1" x14ac:dyDescent="0.35"/>
  <cols>
    <col min="1" max="1" width="0.453125" customWidth="1"/>
    <col min="2" max="2" width="37.7265625" bestFit="1" customWidth="1"/>
    <col min="3" max="3" width="27.81640625" style="5" bestFit="1" customWidth="1"/>
    <col min="4" max="4" width="21" style="113" bestFit="1" customWidth="1"/>
    <col min="5" max="5" width="12.1796875" style="113" bestFit="1" customWidth="1"/>
    <col min="6" max="7" width="4.453125" customWidth="1"/>
    <col min="8" max="9" width="0.453125" customWidth="1"/>
    <col min="10" max="10" width="2.7265625" bestFit="1" customWidth="1"/>
    <col min="11" max="19" width="2" bestFit="1" customWidth="1"/>
    <col min="20" max="24" width="2.7265625" bestFit="1" customWidth="1"/>
    <col min="25" max="25" width="6.81640625" bestFit="1" customWidth="1"/>
    <col min="26" max="41" width="2.7265625" bestFit="1" customWidth="1"/>
    <col min="42" max="50" width="2" bestFit="1" customWidth="1"/>
    <col min="51" max="69" width="2.7265625" bestFit="1" customWidth="1"/>
    <col min="70" max="78" width="2" bestFit="1" customWidth="1"/>
    <col min="79" max="100" width="2.7265625" bestFit="1" customWidth="1"/>
    <col min="101" max="109" width="2" bestFit="1" customWidth="1"/>
    <col min="110" max="130" width="2.7265625" bestFit="1" customWidth="1"/>
    <col min="131" max="139" width="2" bestFit="1" customWidth="1"/>
    <col min="140" max="161" width="2.7265625" bestFit="1" customWidth="1"/>
    <col min="162" max="170" width="2" bestFit="1" customWidth="1"/>
    <col min="171" max="191" width="2.7265625" bestFit="1" customWidth="1"/>
    <col min="192" max="200" width="2" bestFit="1" customWidth="1"/>
    <col min="201" max="222" width="2.7265625" bestFit="1" customWidth="1"/>
    <col min="223" max="231" width="2" bestFit="1" customWidth="1"/>
    <col min="232" max="253" width="2.7265625" bestFit="1" customWidth="1"/>
    <col min="254" max="262" width="2" bestFit="1" customWidth="1"/>
    <col min="263" max="283" width="2.7265625" bestFit="1" customWidth="1"/>
    <col min="284" max="292" width="2" bestFit="1" customWidth="1"/>
    <col min="293" max="314" width="2.7265625" bestFit="1" customWidth="1"/>
    <col min="315" max="323" width="2" bestFit="1" customWidth="1"/>
    <col min="324" max="344" width="2.7265625" bestFit="1" customWidth="1"/>
    <col min="345" max="346" width="2" bestFit="1" customWidth="1"/>
    <col min="347" max="347" width="0.26953125" customWidth="1"/>
    <col min="348" max="348" width="0.453125" hidden="1" customWidth="1"/>
    <col min="349" max="349" width="87.54296875" hidden="1" customWidth="1"/>
    <col min="350" max="350" width="0.453125" customWidth="1"/>
    <col min="351" max="351" width="4.26953125" customWidth="1"/>
  </cols>
  <sheetData>
    <row r="1" spans="1:351" ht="29.25" customHeight="1" x14ac:dyDescent="0.65">
      <c r="A1" s="34" t="s">
        <v>189</v>
      </c>
      <c r="B1" s="37" t="s">
        <v>190</v>
      </c>
      <c r="C1" s="137"/>
      <c r="D1" s="112"/>
      <c r="E1" s="112"/>
      <c r="G1" s="2"/>
      <c r="H1" s="51"/>
      <c r="I1" s="51"/>
      <c r="BT1" s="204" t="s">
        <v>191</v>
      </c>
      <c r="BU1" s="204"/>
      <c r="BV1" s="204"/>
      <c r="CQ1" s="203"/>
      <c r="CR1" s="203"/>
      <c r="CX1" s="202"/>
      <c r="CY1" s="202"/>
      <c r="EK1" s="203"/>
    </row>
    <row r="2" spans="1:351" ht="29.25" customHeight="1" x14ac:dyDescent="0.45">
      <c r="A2" s="33" t="s">
        <v>192</v>
      </c>
      <c r="B2" s="38"/>
      <c r="BT2" s="204"/>
      <c r="BU2" s="204"/>
      <c r="BV2" s="204"/>
      <c r="CQ2" s="203"/>
      <c r="CR2" s="203"/>
      <c r="CX2" s="202"/>
      <c r="CY2" s="202"/>
      <c r="EK2" s="203"/>
    </row>
    <row r="3" spans="1:351" ht="29.25" customHeight="1" x14ac:dyDescent="0.35">
      <c r="A3" s="33" t="s">
        <v>193</v>
      </c>
      <c r="B3" s="70" t="s">
        <v>194</v>
      </c>
      <c r="C3" s="138">
        <f>Início_do_projeto+660</f>
        <v>46318</v>
      </c>
      <c r="D3" s="114" t="s">
        <v>195</v>
      </c>
      <c r="E3" s="197">
        <v>45658</v>
      </c>
      <c r="F3" s="197"/>
      <c r="BT3" s="204"/>
      <c r="BU3" s="204"/>
      <c r="BV3" s="204"/>
      <c r="CQ3" s="203"/>
      <c r="CR3" s="203"/>
      <c r="CX3" s="202"/>
      <c r="CY3" s="202"/>
      <c r="EK3" s="203"/>
    </row>
    <row r="4" spans="1:351" ht="43.9" customHeight="1" x14ac:dyDescent="0.35">
      <c r="A4" s="34" t="s">
        <v>196</v>
      </c>
      <c r="D4" s="115" t="s">
        <v>197</v>
      </c>
      <c r="F4" s="7">
        <v>1</v>
      </c>
      <c r="H4" s="198">
        <f>H5</f>
        <v>45656</v>
      </c>
      <c r="I4" s="199"/>
      <c r="J4" s="199"/>
      <c r="K4" s="199"/>
      <c r="L4" s="199"/>
      <c r="M4" s="199"/>
      <c r="N4" s="199"/>
      <c r="O4" s="200"/>
      <c r="P4" s="198">
        <f>P5</f>
        <v>45663</v>
      </c>
      <c r="Q4" s="199"/>
      <c r="R4" s="199"/>
      <c r="S4" s="199"/>
      <c r="T4" s="199"/>
      <c r="U4" s="199"/>
      <c r="V4" s="200"/>
      <c r="W4" s="198">
        <f>W5</f>
        <v>45670</v>
      </c>
      <c r="X4" s="199"/>
      <c r="Y4" s="199"/>
      <c r="Z4" s="199"/>
      <c r="AA4" s="199"/>
      <c r="AB4" s="199"/>
      <c r="AC4" s="200"/>
      <c r="AD4" s="198">
        <f>AD5</f>
        <v>45677</v>
      </c>
      <c r="AE4" s="199"/>
      <c r="AF4" s="199"/>
      <c r="AG4" s="199"/>
      <c r="AH4" s="199"/>
      <c r="AI4" s="199"/>
      <c r="AJ4" s="200"/>
      <c r="AK4" s="198">
        <f>AK5</f>
        <v>45684</v>
      </c>
      <c r="AL4" s="199"/>
      <c r="AM4" s="199"/>
      <c r="AN4" s="199"/>
      <c r="AO4" s="199"/>
      <c r="AP4" s="199"/>
      <c r="AQ4" s="200"/>
      <c r="AR4" s="198">
        <f>AR5</f>
        <v>45691</v>
      </c>
      <c r="AS4" s="199"/>
      <c r="AT4" s="199"/>
      <c r="AU4" s="199"/>
      <c r="AV4" s="199"/>
      <c r="AW4" s="199"/>
      <c r="AX4" s="200"/>
      <c r="AY4" s="198">
        <f>AY5</f>
        <v>45698</v>
      </c>
      <c r="AZ4" s="199"/>
      <c r="BA4" s="199"/>
      <c r="BB4" s="199"/>
      <c r="BC4" s="199"/>
      <c r="BD4" s="199"/>
      <c r="BE4" s="200"/>
      <c r="BF4" s="198">
        <f>BF5</f>
        <v>45705</v>
      </c>
      <c r="BG4" s="199"/>
      <c r="BH4" s="199"/>
      <c r="BI4" s="199"/>
      <c r="BJ4" s="199"/>
      <c r="BK4" s="199"/>
      <c r="BL4" s="200"/>
      <c r="BM4" s="198">
        <f>BM5</f>
        <v>45712</v>
      </c>
      <c r="BN4" s="199"/>
      <c r="BO4" s="199"/>
      <c r="BP4" s="199"/>
      <c r="BQ4" s="199"/>
      <c r="BR4" s="199"/>
      <c r="BS4" s="200"/>
      <c r="BT4" s="198">
        <f>BT5</f>
        <v>45719</v>
      </c>
      <c r="BU4" s="199"/>
      <c r="BV4" s="199"/>
      <c r="BW4" s="199"/>
      <c r="BX4" s="199"/>
      <c r="BY4" s="199"/>
      <c r="BZ4" s="200"/>
      <c r="CA4" s="198">
        <f>CA5</f>
        <v>45726</v>
      </c>
      <c r="CB4" s="199"/>
      <c r="CC4" s="199"/>
      <c r="CD4" s="199"/>
      <c r="CE4" s="199"/>
      <c r="CF4" s="199"/>
      <c r="CG4" s="200"/>
      <c r="CH4" s="198">
        <f>CH5</f>
        <v>45733</v>
      </c>
      <c r="CI4" s="199"/>
      <c r="CJ4" s="199"/>
      <c r="CK4" s="199"/>
      <c r="CL4" s="199"/>
      <c r="CM4" s="199"/>
      <c r="CN4" s="200"/>
      <c r="CO4" s="198">
        <f>CO5</f>
        <v>45740</v>
      </c>
      <c r="CP4" s="199"/>
      <c r="CQ4" s="199"/>
      <c r="CR4" s="199"/>
      <c r="CS4" s="199"/>
      <c r="CT4" s="199"/>
      <c r="CU4" s="200"/>
      <c r="CV4" s="198">
        <f>CV5</f>
        <v>45747</v>
      </c>
      <c r="CW4" s="199"/>
      <c r="CX4" s="199"/>
      <c r="CY4" s="199"/>
      <c r="CZ4" s="199"/>
      <c r="DA4" s="199"/>
      <c r="DB4" s="200"/>
      <c r="DC4" s="198">
        <f>DC5</f>
        <v>45754</v>
      </c>
      <c r="DD4" s="199"/>
      <c r="DE4" s="199"/>
      <c r="DF4" s="199"/>
      <c r="DG4" s="199"/>
      <c r="DH4" s="199"/>
      <c r="DI4" s="200"/>
      <c r="DJ4" s="198">
        <f>DJ5</f>
        <v>45761</v>
      </c>
      <c r="DK4" s="199"/>
      <c r="DL4" s="199"/>
      <c r="DM4" s="199"/>
      <c r="DN4" s="199"/>
      <c r="DO4" s="199"/>
      <c r="DP4" s="200"/>
      <c r="DQ4" s="198">
        <f>DQ5</f>
        <v>45768</v>
      </c>
      <c r="DR4" s="199"/>
      <c r="DS4" s="199"/>
      <c r="DT4" s="199"/>
      <c r="DU4" s="199"/>
      <c r="DV4" s="199"/>
      <c r="DW4" s="200"/>
      <c r="DX4" s="198">
        <f>DX5</f>
        <v>45775</v>
      </c>
      <c r="DY4" s="199"/>
      <c r="DZ4" s="199"/>
      <c r="EA4" s="199"/>
      <c r="EB4" s="199"/>
      <c r="EC4" s="199"/>
      <c r="ED4" s="200"/>
      <c r="EE4" s="198">
        <f t="shared" ref="EE4" si="0">EE5</f>
        <v>45782</v>
      </c>
      <c r="EF4" s="199"/>
      <c r="EG4" s="199"/>
      <c r="EH4" s="199"/>
      <c r="EI4" s="199"/>
      <c r="EJ4" s="199"/>
      <c r="EK4" s="200"/>
      <c r="EL4" s="198">
        <f t="shared" ref="EL4" si="1">EL5</f>
        <v>45789</v>
      </c>
      <c r="EM4" s="199"/>
      <c r="EN4" s="199"/>
      <c r="EO4" s="199"/>
      <c r="EP4" s="199"/>
      <c r="EQ4" s="199"/>
      <c r="ER4" s="200"/>
      <c r="ES4" s="198">
        <f t="shared" ref="ES4" si="2">ES5</f>
        <v>45796</v>
      </c>
      <c r="ET4" s="199"/>
      <c r="EU4" s="199"/>
      <c r="EV4" s="199"/>
      <c r="EW4" s="199"/>
      <c r="EX4" s="199"/>
      <c r="EY4" s="200"/>
      <c r="EZ4" s="198">
        <f t="shared" ref="EZ4" si="3">EZ5</f>
        <v>45803</v>
      </c>
      <c r="FA4" s="199"/>
      <c r="FB4" s="199"/>
      <c r="FC4" s="199"/>
      <c r="FD4" s="199"/>
      <c r="FE4" s="199"/>
      <c r="FF4" s="200"/>
      <c r="FG4" s="198">
        <f t="shared" ref="FG4" si="4">FG5</f>
        <v>45810</v>
      </c>
      <c r="FH4" s="199"/>
      <c r="FI4" s="199"/>
      <c r="FJ4" s="199"/>
      <c r="FK4" s="199"/>
      <c r="FL4" s="199"/>
      <c r="FM4" s="200"/>
      <c r="FN4" s="198">
        <f t="shared" ref="FN4" si="5">FN5</f>
        <v>45817</v>
      </c>
      <c r="FO4" s="199"/>
      <c r="FP4" s="199"/>
      <c r="FQ4" s="199"/>
      <c r="FR4" s="199"/>
      <c r="FS4" s="199"/>
      <c r="FT4" s="200"/>
      <c r="FU4" s="198">
        <f t="shared" ref="FU4" si="6">FU5</f>
        <v>45824</v>
      </c>
      <c r="FV4" s="199"/>
      <c r="FW4" s="199"/>
      <c r="FX4" s="199"/>
      <c r="FY4" s="199"/>
      <c r="FZ4" s="199"/>
      <c r="GA4" s="200"/>
      <c r="GB4" s="198">
        <f t="shared" ref="GB4" si="7">GB5</f>
        <v>45831</v>
      </c>
      <c r="GC4" s="199"/>
      <c r="GD4" s="199"/>
      <c r="GE4" s="199"/>
      <c r="GF4" s="199"/>
      <c r="GG4" s="199"/>
      <c r="GH4" s="200"/>
      <c r="GI4" s="198">
        <f t="shared" ref="GI4" si="8">GI5</f>
        <v>45838</v>
      </c>
      <c r="GJ4" s="199"/>
      <c r="GK4" s="199"/>
      <c r="GL4" s="199"/>
      <c r="GM4" s="199"/>
      <c r="GN4" s="199"/>
      <c r="GO4" s="200"/>
      <c r="GP4" s="198">
        <f t="shared" ref="GP4" si="9">GP5</f>
        <v>45845</v>
      </c>
      <c r="GQ4" s="199"/>
      <c r="GR4" s="199"/>
      <c r="GS4" s="199"/>
      <c r="GT4" s="199"/>
      <c r="GU4" s="199"/>
      <c r="GV4" s="200"/>
      <c r="GW4" s="198">
        <f t="shared" ref="GW4" si="10">GW5</f>
        <v>45852</v>
      </c>
      <c r="GX4" s="199"/>
      <c r="GY4" s="199"/>
      <c r="GZ4" s="199"/>
      <c r="HA4" s="199"/>
      <c r="HB4" s="199"/>
      <c r="HC4" s="200"/>
      <c r="HD4" s="198">
        <f t="shared" ref="HD4" si="11">HD5</f>
        <v>45859</v>
      </c>
      <c r="HE4" s="199"/>
      <c r="HF4" s="199"/>
      <c r="HG4" s="199"/>
      <c r="HH4" s="199"/>
      <c r="HI4" s="199"/>
      <c r="HJ4" s="200"/>
      <c r="HK4" s="198">
        <f t="shared" ref="HK4" si="12">HK5</f>
        <v>45866</v>
      </c>
      <c r="HL4" s="199"/>
      <c r="HM4" s="199"/>
      <c r="HN4" s="199"/>
      <c r="HO4" s="199"/>
      <c r="HP4" s="199"/>
      <c r="HQ4" s="200"/>
      <c r="HR4" s="198">
        <f t="shared" ref="HR4" si="13">HR5</f>
        <v>45873</v>
      </c>
      <c r="HS4" s="199"/>
      <c r="HT4" s="199"/>
      <c r="HU4" s="199"/>
      <c r="HV4" s="199"/>
      <c r="HW4" s="199"/>
      <c r="HX4" s="200"/>
      <c r="HY4" s="198">
        <f t="shared" ref="HY4" si="14">HY5</f>
        <v>45880</v>
      </c>
      <c r="HZ4" s="199"/>
      <c r="IA4" s="199"/>
      <c r="IB4" s="199"/>
      <c r="IC4" s="199"/>
      <c r="ID4" s="199"/>
      <c r="IE4" s="200"/>
      <c r="IF4" s="198">
        <f t="shared" ref="IF4" si="15">IF5</f>
        <v>45887</v>
      </c>
      <c r="IG4" s="199"/>
      <c r="IH4" s="199"/>
      <c r="II4" s="199"/>
      <c r="IJ4" s="199"/>
      <c r="IK4" s="199"/>
      <c r="IL4" s="200"/>
      <c r="IM4" s="198">
        <f t="shared" ref="IM4" si="16">IM5</f>
        <v>45894</v>
      </c>
      <c r="IN4" s="199"/>
      <c r="IO4" s="199"/>
      <c r="IP4" s="199"/>
      <c r="IQ4" s="199"/>
      <c r="IR4" s="199"/>
      <c r="IS4" s="200"/>
      <c r="IT4" s="198">
        <f t="shared" ref="IT4" si="17">IT5</f>
        <v>45901</v>
      </c>
      <c r="IU4" s="199"/>
      <c r="IV4" s="199"/>
      <c r="IW4" s="199"/>
      <c r="IX4" s="199"/>
      <c r="IY4" s="199"/>
      <c r="IZ4" s="200"/>
      <c r="JA4" s="198">
        <f t="shared" ref="JA4" si="18">JA5</f>
        <v>45908</v>
      </c>
      <c r="JB4" s="199"/>
      <c r="JC4" s="199"/>
      <c r="JD4" s="199"/>
      <c r="JE4" s="199"/>
      <c r="JF4" s="199"/>
      <c r="JG4" s="200"/>
      <c r="JH4" s="198">
        <f t="shared" ref="JH4" si="19">JH5</f>
        <v>45915</v>
      </c>
      <c r="JI4" s="199"/>
      <c r="JJ4" s="199"/>
      <c r="JK4" s="199"/>
      <c r="JL4" s="199"/>
      <c r="JM4" s="199"/>
      <c r="JN4" s="200"/>
      <c r="JO4" s="198">
        <f t="shared" ref="JO4" si="20">JO5</f>
        <v>45922</v>
      </c>
      <c r="JP4" s="199"/>
      <c r="JQ4" s="199"/>
      <c r="JR4" s="199"/>
      <c r="JS4" s="199"/>
      <c r="JT4" s="199"/>
      <c r="JU4" s="200"/>
      <c r="JV4" s="198">
        <f t="shared" ref="JV4" si="21">JV5</f>
        <v>45929</v>
      </c>
      <c r="JW4" s="199"/>
      <c r="JX4" s="199"/>
      <c r="JY4" s="199"/>
      <c r="JZ4" s="199"/>
      <c r="KA4" s="199"/>
      <c r="KB4" s="200"/>
      <c r="KC4" s="198">
        <f t="shared" ref="KC4" si="22">KC5</f>
        <v>45936</v>
      </c>
      <c r="KD4" s="199"/>
      <c r="KE4" s="199"/>
      <c r="KF4" s="199"/>
      <c r="KG4" s="199"/>
      <c r="KH4" s="199"/>
      <c r="KI4" s="200"/>
      <c r="KJ4" s="198">
        <f t="shared" ref="KJ4" si="23">KJ5</f>
        <v>45943</v>
      </c>
      <c r="KK4" s="199"/>
      <c r="KL4" s="199"/>
      <c r="KM4" s="199"/>
      <c r="KN4" s="199"/>
      <c r="KO4" s="199"/>
      <c r="KP4" s="200"/>
      <c r="KQ4" s="198">
        <f t="shared" ref="KQ4" si="24">KQ5</f>
        <v>45950</v>
      </c>
      <c r="KR4" s="199"/>
      <c r="KS4" s="199"/>
      <c r="KT4" s="199"/>
      <c r="KU4" s="199"/>
      <c r="KV4" s="199"/>
      <c r="KW4" s="200"/>
      <c r="KX4" s="198">
        <f t="shared" ref="KX4" si="25">KX5</f>
        <v>45957</v>
      </c>
      <c r="KY4" s="199"/>
      <c r="KZ4" s="199"/>
      <c r="LA4" s="199"/>
      <c r="LB4" s="199"/>
      <c r="LC4" s="199"/>
      <c r="LD4" s="200"/>
      <c r="LE4" s="198">
        <f t="shared" ref="LE4" si="26">LE5</f>
        <v>45964</v>
      </c>
      <c r="LF4" s="199"/>
      <c r="LG4" s="199"/>
      <c r="LH4" s="199"/>
      <c r="LI4" s="199"/>
      <c r="LJ4" s="199"/>
      <c r="LK4" s="200"/>
      <c r="LL4" s="198">
        <f t="shared" ref="LL4" si="27">LL5</f>
        <v>45971</v>
      </c>
      <c r="LM4" s="199"/>
      <c r="LN4" s="199"/>
      <c r="LO4" s="199"/>
      <c r="LP4" s="199"/>
      <c r="LQ4" s="199"/>
      <c r="LR4" s="200"/>
      <c r="LS4" s="198">
        <f t="shared" ref="LS4" si="28">LS5</f>
        <v>45978</v>
      </c>
      <c r="LT4" s="198"/>
      <c r="LU4" s="198"/>
      <c r="LV4" s="198"/>
      <c r="LW4" s="198"/>
      <c r="LX4" s="198"/>
      <c r="LY4" s="198"/>
      <c r="LZ4" s="198">
        <f t="shared" ref="LZ4" si="29">LZ5</f>
        <v>45985</v>
      </c>
      <c r="MA4" s="199"/>
      <c r="MB4" s="199"/>
      <c r="MC4" s="199"/>
      <c r="MD4" s="199"/>
      <c r="ME4" s="199"/>
      <c r="MF4" s="200"/>
      <c r="MG4" s="198">
        <f t="shared" ref="MG4" si="30">MG5</f>
        <v>45992</v>
      </c>
      <c r="MH4" s="199"/>
      <c r="MI4" s="199"/>
      <c r="MJ4" s="199"/>
      <c r="MK4" s="199"/>
      <c r="ML4" s="199"/>
      <c r="MM4" s="200"/>
    </row>
    <row r="5" spans="1:351" ht="29.25" customHeight="1" x14ac:dyDescent="0.35">
      <c r="A5" s="34" t="s">
        <v>198</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x14ac:dyDescent="0.4">
      <c r="A6" s="34" t="s">
        <v>199</v>
      </c>
      <c r="B6" s="8" t="s">
        <v>200</v>
      </c>
      <c r="C6" s="9" t="s">
        <v>201</v>
      </c>
      <c r="D6" s="117" t="s">
        <v>202</v>
      </c>
      <c r="E6" s="117" t="s">
        <v>203</v>
      </c>
      <c r="F6" s="9"/>
      <c r="G6" s="9" t="s">
        <v>204</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x14ac:dyDescent="0.4">
      <c r="A7" s="33" t="s">
        <v>205</v>
      </c>
      <c r="C7" s="139"/>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x14ac:dyDescent="0.4">
      <c r="A8" s="33"/>
      <c r="B8" s="195" t="s">
        <v>206</v>
      </c>
      <c r="C8" s="195"/>
      <c r="D8" s="195"/>
      <c r="E8" s="195"/>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x14ac:dyDescent="0.4">
      <c r="A9" s="34" t="s">
        <v>207</v>
      </c>
      <c r="B9" s="201" t="s">
        <v>208</v>
      </c>
      <c r="C9" s="201"/>
      <c r="D9" s="201"/>
      <c r="E9" s="201"/>
      <c r="F9" s="14"/>
      <c r="G9" s="14" t="str">
        <f t="shared" ref="G9:G187"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x14ac:dyDescent="0.4">
      <c r="A10" s="34" t="s">
        <v>209</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x14ac:dyDescent="0.4">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x14ac:dyDescent="0.4">
      <c r="A12" s="34" t="s">
        <v>210</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x14ac:dyDescent="0.4">
      <c r="A13" s="33"/>
      <c r="B13" s="88"/>
      <c r="C13" s="40" t="s">
        <v>211</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x14ac:dyDescent="0.4">
      <c r="A14" s="33"/>
      <c r="B14" s="46"/>
      <c r="C14" s="40" t="s">
        <v>212</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x14ac:dyDescent="0.4">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x14ac:dyDescent="0.4">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x14ac:dyDescent="0.4">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x14ac:dyDescent="0.4">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x14ac:dyDescent="0.4">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x14ac:dyDescent="0.4">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x14ac:dyDescent="0.4">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x14ac:dyDescent="0.4">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x14ac:dyDescent="0.4">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x14ac:dyDescent="0.4">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x14ac:dyDescent="0.4">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x14ac:dyDescent="0.4">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x14ac:dyDescent="0.4">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x14ac:dyDescent="0.4">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x14ac:dyDescent="0.4">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x14ac:dyDescent="0.4">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x14ac:dyDescent="0.4">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x14ac:dyDescent="0.4">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x14ac:dyDescent="0.4">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x14ac:dyDescent="0.4">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x14ac:dyDescent="0.4">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x14ac:dyDescent="0.4">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x14ac:dyDescent="0.4">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x14ac:dyDescent="0.4">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x14ac:dyDescent="0.4">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x14ac:dyDescent="0.4">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x14ac:dyDescent="0.4">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x14ac:dyDescent="0.4">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x14ac:dyDescent="0.4">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x14ac:dyDescent="0.4">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x14ac:dyDescent="0.4">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x14ac:dyDescent="0.4">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x14ac:dyDescent="0.4">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x14ac:dyDescent="0.4">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x14ac:dyDescent="0.4">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x14ac:dyDescent="0.4">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x14ac:dyDescent="0.4">
      <c r="A51" s="33"/>
      <c r="B51" s="40"/>
      <c r="C51" s="40" t="s">
        <v>157</v>
      </c>
      <c r="D51" s="118">
        <v>45985</v>
      </c>
      <c r="E51" s="118">
        <f t="shared" ref="E51:E58"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x14ac:dyDescent="0.4">
      <c r="A52" s="33"/>
      <c r="B52" s="40"/>
      <c r="C52" s="40" t="s">
        <v>106</v>
      </c>
      <c r="D52" s="118">
        <v>45985</v>
      </c>
      <c r="E52" s="11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x14ac:dyDescent="0.4">
      <c r="A53" s="33"/>
      <c r="B53" s="40"/>
      <c r="C53" s="40" t="s">
        <v>26</v>
      </c>
      <c r="D53" s="118">
        <v>45992</v>
      </c>
      <c r="E53" s="118">
        <f t="shared" si="317"/>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x14ac:dyDescent="0.4">
      <c r="A54" s="33"/>
      <c r="B54" s="40"/>
      <c r="C54" s="40" t="s">
        <v>160</v>
      </c>
      <c r="D54" s="118">
        <v>45999</v>
      </c>
      <c r="E54" s="118">
        <f t="shared" si="317"/>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x14ac:dyDescent="0.4">
      <c r="A55" s="33"/>
      <c r="B55" s="40"/>
      <c r="C55" s="40" t="s">
        <v>132</v>
      </c>
      <c r="D55" s="118">
        <v>46034</v>
      </c>
      <c r="E55" s="118">
        <f t="shared" si="317"/>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x14ac:dyDescent="0.4">
      <c r="A56" s="33"/>
      <c r="B56" s="40"/>
      <c r="C56" s="40" t="s">
        <v>166</v>
      </c>
      <c r="D56" s="118">
        <v>46034</v>
      </c>
      <c r="E56" s="118">
        <f t="shared" si="317"/>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x14ac:dyDescent="0.4">
      <c r="A57" s="33"/>
      <c r="B57" s="40"/>
      <c r="C57" s="40" t="s">
        <v>172</v>
      </c>
      <c r="D57" s="118">
        <v>46048</v>
      </c>
      <c r="E57" s="118">
        <f t="shared" si="317"/>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x14ac:dyDescent="0.4">
      <c r="A58" s="33"/>
      <c r="B58" s="40"/>
      <c r="C58" s="40" t="s">
        <v>160</v>
      </c>
      <c r="D58" s="118">
        <v>46055</v>
      </c>
      <c r="E58" s="175">
        <f t="shared" si="317"/>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x14ac:dyDescent="0.4">
      <c r="A59" s="33"/>
      <c r="B59" s="172"/>
      <c r="C59" s="172"/>
      <c r="D59" s="175">
        <v>46062</v>
      </c>
      <c r="E59" s="180">
        <f>D59+G59-1</f>
        <v>46066</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x14ac:dyDescent="0.4">
      <c r="A60" s="33"/>
      <c r="B60" s="174" t="s">
        <v>213</v>
      </c>
      <c r="C60" s="177"/>
      <c r="D60" s="178">
        <v>46069</v>
      </c>
      <c r="E60" s="179">
        <f>D60+G60-1</f>
        <v>46073</v>
      </c>
      <c r="F60" s="14"/>
      <c r="G60" s="14">
        <v>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customHeight="1" outlineLevel="1" thickBot="1" x14ac:dyDescent="0.4">
      <c r="A61" s="33"/>
      <c r="B61" s="173"/>
      <c r="C61" s="173"/>
      <c r="D61" s="176">
        <v>46076</v>
      </c>
      <c r="E61" s="176">
        <f>D61+G61-1</f>
        <v>46080</v>
      </c>
      <c r="F61" s="14"/>
      <c r="G61" s="14">
        <v>5</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customHeight="1" outlineLevel="1" thickBot="1" x14ac:dyDescent="0.4">
      <c r="A62" s="33"/>
      <c r="B62" s="40"/>
      <c r="C62" s="40"/>
      <c r="D62" s="118">
        <v>46090</v>
      </c>
      <c r="E62" s="118">
        <f>D62+G62-1</f>
        <v>46101</v>
      </c>
      <c r="F62" s="14"/>
      <c r="G62" s="14">
        <v>12</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customHeight="1" outlineLevel="1" thickBot="1" x14ac:dyDescent="0.4">
      <c r="A63" s="33"/>
      <c r="B63" s="40"/>
      <c r="C63" s="40"/>
      <c r="D63" s="118"/>
      <c r="E63" s="118"/>
      <c r="F63" s="14"/>
      <c r="G63" s="14"/>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customHeight="1" outlineLevel="1" thickBot="1" x14ac:dyDescent="0.4">
      <c r="A64" s="33"/>
      <c r="B64" s="40"/>
      <c r="C64" s="40"/>
      <c r="D64" s="118"/>
      <c r="E64" s="118"/>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x14ac:dyDescent="0.4">
      <c r="A65" s="34" t="s">
        <v>214</v>
      </c>
      <c r="B65" s="191" t="s">
        <v>215</v>
      </c>
      <c r="C65" s="191"/>
      <c r="D65" s="191"/>
      <c r="E65" s="191"/>
      <c r="F65" s="14"/>
      <c r="G65" s="14" t="str">
        <f t="shared" si="311"/>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x14ac:dyDescent="0.4">
      <c r="A66" s="34"/>
      <c r="B66" s="47" t="s">
        <v>216</v>
      </c>
      <c r="C66" s="42" t="s">
        <v>123</v>
      </c>
      <c r="D66" s="119">
        <v>45719</v>
      </c>
      <c r="E66" s="119">
        <f>D66+G66-1</f>
        <v>45732</v>
      </c>
      <c r="F66" s="14"/>
      <c r="G66" s="14">
        <v>14</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x14ac:dyDescent="0.4">
      <c r="A67" s="33"/>
      <c r="B67" s="47" t="s">
        <v>217</v>
      </c>
      <c r="C67" s="42" t="s">
        <v>218</v>
      </c>
      <c r="D67" s="119">
        <v>45768</v>
      </c>
      <c r="E67" s="119">
        <f t="shared" ref="E67:E71" si="318">D67+G67</f>
        <v>45828</v>
      </c>
      <c r="F67" s="14"/>
      <c r="G67" s="14">
        <v>60</v>
      </c>
      <c r="H67" s="29"/>
      <c r="I67" s="29"/>
      <c r="J67" s="29"/>
      <c r="K67" s="29"/>
      <c r="L67" s="29"/>
      <c r="M67" s="29"/>
      <c r="N67" s="29"/>
      <c r="O67" s="29"/>
      <c r="P67" s="29"/>
      <c r="Q67" s="29"/>
      <c r="R67" s="29"/>
      <c r="S67" s="29"/>
      <c r="T67" s="29"/>
      <c r="U67" s="30"/>
      <c r="V67" s="30"/>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x14ac:dyDescent="0.4">
      <c r="A68" s="33"/>
      <c r="B68" s="47" t="s">
        <v>219</v>
      </c>
      <c r="C68" s="42" t="s">
        <v>220</v>
      </c>
      <c r="D68" s="119">
        <v>45852</v>
      </c>
      <c r="E68" s="119">
        <v>45909</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c r="LF68"/>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x14ac:dyDescent="0.4">
      <c r="A69" s="33"/>
      <c r="B69" s="47" t="s">
        <v>217</v>
      </c>
      <c r="C69" s="42" t="s">
        <v>85</v>
      </c>
      <c r="D69" s="119">
        <v>45852</v>
      </c>
      <c r="E69" s="119">
        <v>45907</v>
      </c>
      <c r="F69" s="14"/>
      <c r="G69" s="14">
        <v>59</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x14ac:dyDescent="0.4">
      <c r="A70" s="33"/>
      <c r="B70" s="47" t="s">
        <v>217</v>
      </c>
      <c r="C70" s="42" t="s">
        <v>221</v>
      </c>
      <c r="D70" s="119">
        <v>45904</v>
      </c>
      <c r="E70" s="119">
        <f t="shared" si="318"/>
        <v>45988</v>
      </c>
      <c r="F70" s="14"/>
      <c r="G70" s="14">
        <v>84</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x14ac:dyDescent="0.4">
      <c r="A71" s="33"/>
      <c r="B71" s="47" t="s">
        <v>219</v>
      </c>
      <c r="C71" s="42" t="s">
        <v>35</v>
      </c>
      <c r="D71" s="119">
        <v>45970</v>
      </c>
      <c r="E71" s="119">
        <f t="shared" si="318"/>
        <v>46050</v>
      </c>
      <c r="F71" s="14"/>
      <c r="G71" s="14">
        <v>80</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x14ac:dyDescent="0.4">
      <c r="A72" s="33"/>
      <c r="B72" s="47" t="s">
        <v>222</v>
      </c>
      <c r="C72" s="151" t="s">
        <v>123</v>
      </c>
      <c r="D72" s="119">
        <v>45987</v>
      </c>
      <c r="E72" s="119">
        <f t="shared" ref="E72:E84" si="319">D72+G72</f>
        <v>46045</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x14ac:dyDescent="0.4">
      <c r="A73" s="33"/>
      <c r="B73" s="47" t="s">
        <v>217</v>
      </c>
      <c r="C73" s="42" t="s">
        <v>218</v>
      </c>
      <c r="D73" s="119">
        <v>46030</v>
      </c>
      <c r="E73" s="119">
        <f t="shared" si="319"/>
        <v>46091</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x14ac:dyDescent="0.4">
      <c r="A74" s="33"/>
      <c r="B74" s="47" t="s">
        <v>222</v>
      </c>
      <c r="C74" s="151" t="s">
        <v>126</v>
      </c>
      <c r="D74" s="119">
        <v>46044</v>
      </c>
      <c r="E74" s="119">
        <f t="shared" si="319"/>
        <v>46100</v>
      </c>
      <c r="F74" s="14"/>
      <c r="G74" s="14">
        <v>56</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x14ac:dyDescent="0.4">
      <c r="A75" s="33"/>
      <c r="B75" s="47" t="s">
        <v>219</v>
      </c>
      <c r="C75" s="42" t="s">
        <v>42</v>
      </c>
      <c r="D75" s="119">
        <v>46045</v>
      </c>
      <c r="E75" s="119">
        <f t="shared" si="319"/>
        <v>46103</v>
      </c>
      <c r="F75" s="14"/>
      <c r="G75" s="14">
        <v>58</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x14ac:dyDescent="0.4">
      <c r="A76" s="33"/>
      <c r="B76" s="47" t="s">
        <v>217</v>
      </c>
      <c r="C76" s="42" t="s">
        <v>221</v>
      </c>
      <c r="D76" s="119">
        <v>46089</v>
      </c>
      <c r="E76" s="119">
        <f t="shared" si="319"/>
        <v>46150</v>
      </c>
      <c r="F76" s="14"/>
      <c r="G76" s="14">
        <v>61</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x14ac:dyDescent="0.4">
      <c r="A77" s="33"/>
      <c r="B77" s="47" t="s">
        <v>219</v>
      </c>
      <c r="C77" s="42" t="s">
        <v>35</v>
      </c>
      <c r="D77" s="119">
        <v>46100</v>
      </c>
      <c r="E77" s="119">
        <f t="shared" si="319"/>
        <v>46156</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x14ac:dyDescent="0.4">
      <c r="A78" s="33"/>
      <c r="B78" s="47" t="s">
        <v>223</v>
      </c>
      <c r="C78" s="42"/>
      <c r="D78" s="119">
        <v>46100</v>
      </c>
      <c r="E78" s="119">
        <f t="shared" si="319"/>
        <v>46156</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x14ac:dyDescent="0.4">
      <c r="A79" s="33"/>
      <c r="B79" s="47" t="s">
        <v>217</v>
      </c>
      <c r="C79" s="42" t="s">
        <v>218</v>
      </c>
      <c r="D79" s="119">
        <v>46150</v>
      </c>
      <c r="E79" s="119">
        <f t="shared" si="319"/>
        <v>46211</v>
      </c>
      <c r="F79" s="14"/>
      <c r="G79" s="14">
        <v>61</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x14ac:dyDescent="0.4">
      <c r="A80" s="33"/>
      <c r="B80" s="47" t="s">
        <v>219</v>
      </c>
      <c r="C80" s="42" t="s">
        <v>42</v>
      </c>
      <c r="D80" s="119">
        <v>46153</v>
      </c>
      <c r="E80" s="119">
        <f t="shared" si="319"/>
        <v>46228</v>
      </c>
      <c r="F80" s="14"/>
      <c r="G80" s="14">
        <v>75</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x14ac:dyDescent="0.4">
      <c r="A81" s="33"/>
      <c r="B81" s="47" t="s">
        <v>217</v>
      </c>
      <c r="C81" s="42" t="s">
        <v>221</v>
      </c>
      <c r="D81" s="119">
        <v>46211</v>
      </c>
      <c r="E81" s="119">
        <f t="shared" si="319"/>
        <v>46273</v>
      </c>
      <c r="F81" s="14"/>
      <c r="G81" s="14">
        <v>62</v>
      </c>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x14ac:dyDescent="0.4">
      <c r="A82" s="33"/>
      <c r="B82" s="47" t="s">
        <v>219</v>
      </c>
      <c r="C82" s="42" t="s">
        <v>35</v>
      </c>
      <c r="D82" s="119">
        <v>46229</v>
      </c>
      <c r="E82" s="119">
        <f t="shared" si="319"/>
        <v>46285</v>
      </c>
      <c r="F82" s="14"/>
      <c r="G82" s="14">
        <v>56</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x14ac:dyDescent="0.4">
      <c r="A83" s="33"/>
      <c r="B83" s="47" t="s">
        <v>217</v>
      </c>
      <c r="C83" s="42" t="s">
        <v>218</v>
      </c>
      <c r="D83" s="119">
        <v>46273</v>
      </c>
      <c r="E83" s="119">
        <f t="shared" si="319"/>
        <v>46329</v>
      </c>
      <c r="F83" s="14"/>
      <c r="G83" s="14">
        <v>56</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x14ac:dyDescent="0.4">
      <c r="A84" s="33"/>
      <c r="B84" s="47" t="s">
        <v>219</v>
      </c>
      <c r="C84" s="42" t="s">
        <v>42</v>
      </c>
      <c r="D84" s="119">
        <v>46282</v>
      </c>
      <c r="E84" s="119">
        <f t="shared" si="319"/>
        <v>46338</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x14ac:dyDescent="0.4">
      <c r="A85" s="33"/>
      <c r="B85" s="47"/>
      <c r="C85" s="42"/>
      <c r="D85" s="119"/>
      <c r="E85" s="119"/>
      <c r="F85" s="14"/>
      <c r="G85" s="14"/>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x14ac:dyDescent="0.4">
      <c r="A86" s="33" t="s">
        <v>224</v>
      </c>
      <c r="B86" s="192" t="s">
        <v>225</v>
      </c>
      <c r="C86" s="192"/>
      <c r="D86" s="192"/>
      <c r="E86" s="192"/>
      <c r="F86" s="14"/>
      <c r="G86" s="14" t="str">
        <f t="shared" si="311"/>
        <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x14ac:dyDescent="0.4">
      <c r="A87" s="33"/>
      <c r="B87" s="84" t="s">
        <v>217</v>
      </c>
      <c r="C87" s="141" t="s">
        <v>221</v>
      </c>
      <c r="D87" s="120">
        <v>45774</v>
      </c>
      <c r="E87" s="120">
        <f>D87+G87</f>
        <v>45819</v>
      </c>
      <c r="F87" s="14"/>
      <c r="G87" s="14">
        <v>45</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x14ac:dyDescent="0.4">
      <c r="A88" s="33" t="s">
        <v>224</v>
      </c>
      <c r="B88" s="193" t="s">
        <v>226</v>
      </c>
      <c r="C88" s="193"/>
      <c r="D88" s="193"/>
      <c r="E88" s="193"/>
      <c r="F88" s="14"/>
      <c r="G88" s="14" t="str">
        <f t="shared" si="311"/>
        <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outlineLevel="1" thickBot="1" x14ac:dyDescent="0.4">
      <c r="A89" s="33"/>
      <c r="B89" s="48" t="s">
        <v>227</v>
      </c>
      <c r="C89" s="44" t="s">
        <v>228</v>
      </c>
      <c r="D89" s="121">
        <v>45635</v>
      </c>
      <c r="E89" s="121">
        <v>45681</v>
      </c>
      <c r="F89" s="14"/>
      <c r="G89" s="14">
        <v>7</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outlineLevel="1" thickBot="1" x14ac:dyDescent="0.4">
      <c r="A90" s="33"/>
      <c r="B90" s="82" t="s">
        <v>227</v>
      </c>
      <c r="C90" s="142" t="s">
        <v>229</v>
      </c>
      <c r="D90" s="122">
        <v>45698</v>
      </c>
      <c r="E90" s="122">
        <v>45757</v>
      </c>
      <c r="F90" s="14"/>
      <c r="G90" s="14">
        <v>7</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29.25" customHeight="1" outlineLevel="1" thickBot="1" x14ac:dyDescent="0.4">
      <c r="A91" s="33" t="s">
        <v>224</v>
      </c>
      <c r="B91" s="194" t="s">
        <v>230</v>
      </c>
      <c r="C91" s="194"/>
      <c r="D91" s="194"/>
      <c r="E91" s="194"/>
      <c r="F91" s="14"/>
      <c r="G91" s="14" t="str">
        <f t="shared" si="311"/>
        <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customHeight="1" outlineLevel="1" thickBot="1" x14ac:dyDescent="0.4">
      <c r="A92" s="33"/>
      <c r="B92" s="85" t="s">
        <v>231</v>
      </c>
      <c r="C92" s="143" t="s">
        <v>232</v>
      </c>
      <c r="D92" s="123">
        <v>45866</v>
      </c>
      <c r="E92" s="123">
        <v>45891</v>
      </c>
      <c r="F92" s="14"/>
      <c r="G92" s="14">
        <f>E92-D92</f>
        <v>25</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customHeight="1" outlineLevel="1" thickBot="1" x14ac:dyDescent="0.4">
      <c r="A93" s="33"/>
      <c r="B93" s="85" t="s">
        <v>231</v>
      </c>
      <c r="C93" s="143" t="s">
        <v>233</v>
      </c>
      <c r="D93" s="123">
        <v>45922</v>
      </c>
      <c r="E93" s="123">
        <v>45975</v>
      </c>
      <c r="F93" s="14"/>
      <c r="G93" s="14">
        <f t="shared" ref="G93:G95" si="320">E93-D93</f>
        <v>53</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customHeight="1" outlineLevel="1" thickBot="1" x14ac:dyDescent="0.4">
      <c r="A94" s="33"/>
      <c r="B94" s="85" t="s">
        <v>234</v>
      </c>
      <c r="C94" s="149" t="s">
        <v>229</v>
      </c>
      <c r="D94" s="126">
        <v>46041</v>
      </c>
      <c r="E94" s="126">
        <v>46094</v>
      </c>
      <c r="F94" s="14"/>
      <c r="G94" s="14">
        <f t="shared" si="320"/>
        <v>53</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customHeight="1" outlineLevel="1" thickBot="1" x14ac:dyDescent="0.4">
      <c r="A95" s="33"/>
      <c r="B95" s="85" t="s">
        <v>235</v>
      </c>
      <c r="C95" s="143" t="s">
        <v>236</v>
      </c>
      <c r="D95" s="123">
        <v>46104</v>
      </c>
      <c r="E95" s="123">
        <v>46157</v>
      </c>
      <c r="F95" s="14"/>
      <c r="G95" s="14">
        <f t="shared" si="320"/>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customHeight="1" outlineLevel="1" thickBot="1" x14ac:dyDescent="0.4">
      <c r="A96" s="33"/>
      <c r="B96" s="85" t="s">
        <v>231</v>
      </c>
      <c r="C96" s="143" t="s">
        <v>237</v>
      </c>
      <c r="D96" s="123">
        <v>46146</v>
      </c>
      <c r="E96" s="123">
        <v>46199</v>
      </c>
      <c r="F96" s="14"/>
      <c r="G96" s="14">
        <f>E96-D96</f>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thickBot="1" x14ac:dyDescent="0.4">
      <c r="A97" s="33"/>
      <c r="B97" s="195" t="s">
        <v>238</v>
      </c>
      <c r="C97" s="195"/>
      <c r="D97" s="195"/>
      <c r="E97" s="195"/>
      <c r="F97" s="14"/>
      <c r="G97" s="14"/>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30.65" customHeight="1" outlineLevel="1" thickBot="1" x14ac:dyDescent="0.4">
      <c r="A98" s="34" t="s">
        <v>214</v>
      </c>
      <c r="B98" s="190" t="s">
        <v>239</v>
      </c>
      <c r="C98" s="190"/>
      <c r="D98" s="190"/>
      <c r="E98" s="190"/>
      <c r="F98" s="14"/>
      <c r="G98" s="14" t="str">
        <f t="shared" si="311"/>
        <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hidden="1" customHeight="1" outlineLevel="1" thickBot="1" x14ac:dyDescent="0.4">
      <c r="A99" s="33"/>
      <c r="B99" s="47" t="s">
        <v>240</v>
      </c>
      <c r="C99" s="42" t="s">
        <v>117</v>
      </c>
      <c r="D99" s="119">
        <v>45820</v>
      </c>
      <c r="E99" s="119">
        <f>D99+G99-1</f>
        <v>45873</v>
      </c>
      <c r="F99" s="14"/>
      <c r="G99" s="14">
        <v>54</v>
      </c>
      <c r="H99" s="29"/>
      <c r="I99" s="29"/>
      <c r="J99" s="29"/>
      <c r="K99" s="29"/>
      <c r="L99" s="29"/>
      <c r="M99" s="29"/>
      <c r="N99" s="29"/>
      <c r="O99" s="29"/>
      <c r="P99" s="29"/>
      <c r="Q99" s="29"/>
      <c r="R99" s="29"/>
      <c r="S99" s="29"/>
      <c r="T99" s="29"/>
      <c r="U99" s="30"/>
      <c r="V99" s="30"/>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hidden="1" customHeight="1" outlineLevel="1" thickBot="1" x14ac:dyDescent="0.4">
      <c r="A100" s="33"/>
      <c r="B100" s="47" t="s">
        <v>241</v>
      </c>
      <c r="C100" s="42" t="s">
        <v>82</v>
      </c>
      <c r="D100" s="119">
        <v>45855</v>
      </c>
      <c r="E100" s="119">
        <f>D100+G100</f>
        <v>45911</v>
      </c>
      <c r="F100" s="14"/>
      <c r="G100" s="14">
        <v>56</v>
      </c>
      <c r="H100" s="14">
        <v>54</v>
      </c>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hidden="1" customHeight="1" outlineLevel="1" thickBot="1" x14ac:dyDescent="0.4">
      <c r="A101" s="33"/>
      <c r="B101" s="47" t="s">
        <v>240</v>
      </c>
      <c r="C101" s="42" t="s">
        <v>42</v>
      </c>
      <c r="D101" s="119">
        <v>45876</v>
      </c>
      <c r="E101" s="119">
        <v>45925</v>
      </c>
      <c r="F101" s="14"/>
      <c r="G101" s="14">
        <f>E101-D101</f>
        <v>49</v>
      </c>
      <c r="H101" s="14">
        <v>54</v>
      </c>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hidden="1" customHeight="1" outlineLevel="1" thickBot="1" x14ac:dyDescent="0.4">
      <c r="A102" s="33"/>
      <c r="B102" s="47" t="s">
        <v>241</v>
      </c>
      <c r="C102" s="42" t="s">
        <v>132</v>
      </c>
      <c r="D102" s="119">
        <f>E100</f>
        <v>45911</v>
      </c>
      <c r="E102" s="119">
        <f t="shared" ref="E102:E103" si="321">D102+G102</f>
        <v>45967</v>
      </c>
      <c r="F102" s="14"/>
      <c r="G102" s="14">
        <v>56</v>
      </c>
      <c r="H102" s="14">
        <v>54</v>
      </c>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hidden="1" customHeight="1" outlineLevel="1" thickBot="1" x14ac:dyDescent="0.4">
      <c r="A103" s="33"/>
      <c r="B103" s="47" t="s">
        <v>240</v>
      </c>
      <c r="C103" s="42" t="s">
        <v>39</v>
      </c>
      <c r="D103" s="119">
        <v>45932</v>
      </c>
      <c r="E103" s="119">
        <f t="shared" si="321"/>
        <v>45988</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x14ac:dyDescent="0.4">
      <c r="A104" s="33"/>
      <c r="B104" s="47" t="s">
        <v>241</v>
      </c>
      <c r="C104" s="42" t="s">
        <v>61</v>
      </c>
      <c r="D104" s="119">
        <v>45974</v>
      </c>
      <c r="E104" s="119">
        <f t="shared" ref="E104:E122" si="322">D104+G104-1</f>
        <v>46029</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x14ac:dyDescent="0.4">
      <c r="A105" s="33"/>
      <c r="B105" s="47" t="s">
        <v>240</v>
      </c>
      <c r="C105" s="42" t="s">
        <v>220</v>
      </c>
      <c r="D105" s="119">
        <v>45996</v>
      </c>
      <c r="E105" s="119">
        <f>D105+G105-1</f>
        <v>46051</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x14ac:dyDescent="0.4">
      <c r="A106" s="33"/>
      <c r="B106" s="150" t="s">
        <v>242</v>
      </c>
      <c r="C106" s="151" t="s">
        <v>120</v>
      </c>
      <c r="D106" s="152">
        <v>45988</v>
      </c>
      <c r="E106" s="152">
        <f t="shared" si="322"/>
        <v>46043</v>
      </c>
      <c r="F106" s="14"/>
      <c r="G106" s="14">
        <v>56</v>
      </c>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x14ac:dyDescent="0.4">
      <c r="A107" s="33"/>
      <c r="B107" s="47" t="s">
        <v>241</v>
      </c>
      <c r="C107" s="42" t="s">
        <v>82</v>
      </c>
      <c r="D107" s="119">
        <v>46034</v>
      </c>
      <c r="E107" s="119">
        <f>D107+G107</f>
        <v>46085</v>
      </c>
      <c r="F107" s="14"/>
      <c r="G107" s="14">
        <v>51</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x14ac:dyDescent="0.4">
      <c r="A108" s="33"/>
      <c r="B108" s="47" t="s">
        <v>240</v>
      </c>
      <c r="C108" s="42" t="s">
        <v>94</v>
      </c>
      <c r="D108" s="119">
        <f>E105</f>
        <v>46051</v>
      </c>
      <c r="E108" s="119">
        <f t="shared" si="322"/>
        <v>46106</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x14ac:dyDescent="0.4">
      <c r="A109" s="33"/>
      <c r="B109" s="150" t="s">
        <v>242</v>
      </c>
      <c r="C109" s="151" t="s">
        <v>186</v>
      </c>
      <c r="D109" s="152">
        <v>46058</v>
      </c>
      <c r="E109" s="152">
        <f t="shared" si="322"/>
        <v>46113</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x14ac:dyDescent="0.4">
      <c r="A110" s="33"/>
      <c r="B110" s="47" t="s">
        <v>241</v>
      </c>
      <c r="C110" s="42" t="s">
        <v>85</v>
      </c>
      <c r="D110" s="119">
        <f>E107+8</f>
        <v>46093</v>
      </c>
      <c r="E110" s="119">
        <f>D110+G110-1</f>
        <v>46148</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x14ac:dyDescent="0.4">
      <c r="A111" s="33"/>
      <c r="B111" s="47" t="s">
        <v>240</v>
      </c>
      <c r="C111" s="42" t="s">
        <v>220</v>
      </c>
      <c r="D111" s="119">
        <v>46114</v>
      </c>
      <c r="E111" s="119">
        <f t="shared" si="322"/>
        <v>46169</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x14ac:dyDescent="0.4">
      <c r="A112" s="33"/>
      <c r="B112" s="150" t="s">
        <v>242</v>
      </c>
      <c r="C112" s="151" t="s">
        <v>111</v>
      </c>
      <c r="D112" s="152">
        <v>46065</v>
      </c>
      <c r="E112" s="152">
        <f t="shared" si="322"/>
        <v>46120</v>
      </c>
      <c r="F112" s="14"/>
      <c r="G112" s="14">
        <v>56</v>
      </c>
      <c r="H112" s="14"/>
      <c r="I112" s="14"/>
      <c r="J112" s="29"/>
      <c r="K112" s="29"/>
      <c r="L112" s="29"/>
      <c r="M112" s="29"/>
      <c r="N112" s="29"/>
      <c r="O112" s="29"/>
      <c r="P112" s="29"/>
      <c r="Q112" s="29"/>
      <c r="R112" s="29"/>
      <c r="S112" s="29"/>
      <c r="T112" s="29"/>
      <c r="U112" s="29"/>
      <c r="V112" s="29"/>
      <c r="W112" s="29"/>
      <c r="X112" s="29"/>
      <c r="Y112" s="18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x14ac:dyDescent="0.4">
      <c r="A113" s="33"/>
      <c r="B113" s="150" t="s">
        <v>242</v>
      </c>
      <c r="C113" s="151" t="s">
        <v>114</v>
      </c>
      <c r="D113" s="152">
        <v>46121</v>
      </c>
      <c r="E113" s="152">
        <f t="shared" si="322"/>
        <v>46176</v>
      </c>
      <c r="F113" s="14"/>
      <c r="G113" s="14">
        <v>56</v>
      </c>
      <c r="H113" s="14"/>
      <c r="I113" s="14"/>
      <c r="J113" s="29"/>
      <c r="K113" s="29"/>
      <c r="L113" s="29"/>
      <c r="M113" s="29"/>
      <c r="N113" s="29"/>
      <c r="O113" s="29"/>
      <c r="P113" s="29"/>
      <c r="Q113" s="29"/>
      <c r="R113" s="29"/>
      <c r="S113" s="29"/>
      <c r="T113" s="29"/>
      <c r="U113" s="29"/>
      <c r="V113" s="29"/>
      <c r="W113" s="29"/>
      <c r="X113" s="29"/>
      <c r="Y113" s="18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x14ac:dyDescent="0.4">
      <c r="A114" s="33"/>
      <c r="B114" s="47" t="s">
        <v>241</v>
      </c>
      <c r="C114" s="42" t="s">
        <v>82</v>
      </c>
      <c r="D114" s="119">
        <f>E110+1</f>
        <v>46149</v>
      </c>
      <c r="E114" s="119">
        <f>D114+G114-1</f>
        <v>46204</v>
      </c>
      <c r="F114" s="14"/>
      <c r="G114" s="14">
        <v>56</v>
      </c>
      <c r="H114" s="14"/>
      <c r="I114" s="14"/>
      <c r="J114" s="29"/>
      <c r="K114" s="29"/>
      <c r="L114" s="29"/>
      <c r="M114" s="29"/>
      <c r="N114" s="29"/>
      <c r="O114" s="29"/>
      <c r="P114" s="29"/>
      <c r="Q114" s="29"/>
      <c r="R114" s="29"/>
      <c r="S114" s="29"/>
      <c r="T114" s="29"/>
      <c r="U114" s="29"/>
      <c r="V114" s="29"/>
      <c r="W114" s="29"/>
      <c r="X114" s="29"/>
      <c r="Y114" s="18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x14ac:dyDescent="0.4">
      <c r="A115" s="33"/>
      <c r="B115" s="47" t="s">
        <v>240</v>
      </c>
      <c r="C115" s="42" t="s">
        <v>166</v>
      </c>
      <c r="D115" s="119">
        <f>E111+1</f>
        <v>46170</v>
      </c>
      <c r="E115" s="119">
        <f t="shared" si="322"/>
        <v>46225</v>
      </c>
      <c r="F115" s="14"/>
      <c r="G115" s="14">
        <v>56</v>
      </c>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x14ac:dyDescent="0.4">
      <c r="A116" s="33"/>
      <c r="B116" s="150" t="s">
        <v>242</v>
      </c>
      <c r="C116" s="151" t="s">
        <v>188</v>
      </c>
      <c r="D116" s="152">
        <f>E113+1</f>
        <v>46177</v>
      </c>
      <c r="E116" s="152">
        <f t="shared" si="322"/>
        <v>46232</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x14ac:dyDescent="0.4">
      <c r="A117" s="33"/>
      <c r="B117" s="47" t="s">
        <v>241</v>
      </c>
      <c r="C117" s="42" t="s">
        <v>85</v>
      </c>
      <c r="D117" s="119">
        <f t="shared" ref="D117:D122" si="323">E114+1</f>
        <v>46205</v>
      </c>
      <c r="E117" s="119">
        <f t="shared" si="322"/>
        <v>46260</v>
      </c>
      <c r="F117" s="14"/>
      <c r="G117" s="14">
        <v>56</v>
      </c>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x14ac:dyDescent="0.4">
      <c r="A118" s="33" t="s">
        <v>243</v>
      </c>
      <c r="B118" s="47" t="s">
        <v>240</v>
      </c>
      <c r="C118" s="42" t="s">
        <v>220</v>
      </c>
      <c r="D118" s="119">
        <f t="shared" si="323"/>
        <v>46226</v>
      </c>
      <c r="E118" s="119">
        <f t="shared" si="322"/>
        <v>46281</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x14ac:dyDescent="0.4">
      <c r="A119" s="33"/>
      <c r="B119" s="150" t="s">
        <v>242</v>
      </c>
      <c r="C119" s="151" t="s">
        <v>188</v>
      </c>
      <c r="D119" s="152">
        <f t="shared" si="323"/>
        <v>46233</v>
      </c>
      <c r="E119" s="152">
        <f t="shared" si="322"/>
        <v>46288</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x14ac:dyDescent="0.4">
      <c r="A120" s="33"/>
      <c r="B120" s="47" t="s">
        <v>241</v>
      </c>
      <c r="C120" s="42" t="s">
        <v>82</v>
      </c>
      <c r="D120" s="119">
        <f t="shared" si="323"/>
        <v>46261</v>
      </c>
      <c r="E120" s="119">
        <f t="shared" si="322"/>
        <v>46316</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x14ac:dyDescent="0.4">
      <c r="A121" s="33"/>
      <c r="B121" s="47" t="s">
        <v>240</v>
      </c>
      <c r="C121" s="42"/>
      <c r="D121" s="119">
        <f t="shared" si="323"/>
        <v>46282</v>
      </c>
      <c r="E121" s="119">
        <f t="shared" si="322"/>
        <v>46337</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x14ac:dyDescent="0.4">
      <c r="A122" s="33"/>
      <c r="B122" s="150" t="s">
        <v>242</v>
      </c>
      <c r="C122" s="151" t="s">
        <v>188</v>
      </c>
      <c r="D122" s="152">
        <f t="shared" si="323"/>
        <v>46289</v>
      </c>
      <c r="E122" s="152">
        <f t="shared" si="322"/>
        <v>46344</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x14ac:dyDescent="0.4">
      <c r="A123" s="33"/>
      <c r="B123" s="186" t="s">
        <v>244</v>
      </c>
      <c r="C123" s="187" t="s">
        <v>187</v>
      </c>
      <c r="D123" s="188">
        <v>46114</v>
      </c>
      <c r="E123" s="188">
        <f t="shared" ref="E123:E125" si="324">D123+G123-1</f>
        <v>46169</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x14ac:dyDescent="0.4">
      <c r="A124" s="33"/>
      <c r="B124" s="186" t="s">
        <v>244</v>
      </c>
      <c r="C124" s="187" t="s">
        <v>187</v>
      </c>
      <c r="D124" s="188">
        <f>E123+1</f>
        <v>46170</v>
      </c>
      <c r="E124" s="188">
        <f t="shared" si="324"/>
        <v>46225</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x14ac:dyDescent="0.4">
      <c r="A125" s="33"/>
      <c r="B125" s="186" t="s">
        <v>244</v>
      </c>
      <c r="C125" s="187" t="s">
        <v>187</v>
      </c>
      <c r="D125" s="188">
        <f t="shared" ref="D125" si="325">E124+1</f>
        <v>46226</v>
      </c>
      <c r="E125" s="188">
        <f t="shared" si="324"/>
        <v>46281</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x14ac:dyDescent="0.4">
      <c r="A126" s="33"/>
      <c r="B126" s="186"/>
      <c r="C126" s="187"/>
      <c r="D126" s="188"/>
      <c r="E126" s="188"/>
      <c r="F126" s="14"/>
      <c r="G126" s="14"/>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x14ac:dyDescent="0.4">
      <c r="A127" s="33"/>
      <c r="B127" s="47"/>
      <c r="C127" s="42"/>
      <c r="D127" s="119"/>
      <c r="E127" s="119"/>
      <c r="F127" s="14"/>
      <c r="G127" s="14"/>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x14ac:dyDescent="0.4">
      <c r="A128" s="33"/>
      <c r="B128" s="47"/>
      <c r="C128" s="42"/>
      <c r="D128" s="119"/>
      <c r="E128" s="119"/>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customHeight="1" outlineLevel="1" thickBot="1" x14ac:dyDescent="0.4">
      <c r="A129" s="33"/>
      <c r="B129" s="47"/>
      <c r="C129" s="42"/>
      <c r="D129" s="119"/>
      <c r="E129" s="119"/>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customHeight="1" outlineLevel="1" thickBot="1" x14ac:dyDescent="0.4">
      <c r="A130" s="33"/>
      <c r="B130" s="47"/>
      <c r="C130" s="42"/>
      <c r="D130" s="119"/>
      <c r="E130" s="119"/>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customHeight="1" outlineLevel="1" thickBot="1" x14ac:dyDescent="0.4">
      <c r="A131" s="33"/>
      <c r="B131" s="24" t="s">
        <v>245</v>
      </c>
      <c r="C131" s="144"/>
      <c r="D131" s="124"/>
      <c r="E131" s="125"/>
      <c r="F131" s="14"/>
      <c r="G131" s="14"/>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hidden="1" customHeight="1" outlineLevel="1" thickBot="1" x14ac:dyDescent="0.4">
      <c r="A132" s="33"/>
      <c r="B132" s="85" t="s">
        <v>246</v>
      </c>
      <c r="C132" s="104" t="s">
        <v>88</v>
      </c>
      <c r="D132" s="126">
        <v>45754</v>
      </c>
      <c r="E132" s="126">
        <f>D132+G132</f>
        <v>45758</v>
      </c>
      <c r="F132" s="14"/>
      <c r="G132" s="14">
        <v>4</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hidden="1" customHeight="1" outlineLevel="1" thickBot="1" x14ac:dyDescent="0.4">
      <c r="A133" s="33"/>
      <c r="B133" s="85" t="s">
        <v>247</v>
      </c>
      <c r="C133" s="104" t="s">
        <v>220</v>
      </c>
      <c r="D133" s="126">
        <v>45782</v>
      </c>
      <c r="E133" s="126">
        <f>D133+G133-1</f>
        <v>45793</v>
      </c>
      <c r="F133" s="14"/>
      <c r="G133" s="14">
        <v>12</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hidden="1" customHeight="1" outlineLevel="1" thickBot="1" x14ac:dyDescent="0.4">
      <c r="A134" s="33"/>
      <c r="B134" s="85" t="s">
        <v>248</v>
      </c>
      <c r="C134" s="104" t="s">
        <v>85</v>
      </c>
      <c r="D134" s="126">
        <f>D133+35</f>
        <v>45817</v>
      </c>
      <c r="E134" s="126">
        <f t="shared" ref="E134:E143" si="326">D134+G134-1</f>
        <v>45828</v>
      </c>
      <c r="F134" s="14"/>
      <c r="G134" s="14">
        <v>12</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hidden="1" customHeight="1" outlineLevel="1" thickBot="1" x14ac:dyDescent="0.4">
      <c r="A135" s="33"/>
      <c r="B135" s="85" t="s">
        <v>247</v>
      </c>
      <c r="C135" s="104" t="s">
        <v>35</v>
      </c>
      <c r="D135" s="126">
        <f t="shared" ref="D135" si="327">D134+35</f>
        <v>45852</v>
      </c>
      <c r="E135" s="126">
        <f t="shared" si="326"/>
        <v>45863</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hidden="1" customHeight="1" outlineLevel="1" thickBot="1" x14ac:dyDescent="0.4">
      <c r="A136" s="33"/>
      <c r="B136" s="85" t="s">
        <v>247</v>
      </c>
      <c r="C136" s="104" t="s">
        <v>157</v>
      </c>
      <c r="D136" s="126">
        <v>45852</v>
      </c>
      <c r="E136" s="126">
        <f t="shared" si="326"/>
        <v>45856</v>
      </c>
      <c r="F136" s="14"/>
      <c r="G136" s="14">
        <v>5</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hidden="1" customHeight="1" outlineLevel="1" thickBot="1" x14ac:dyDescent="0.4">
      <c r="A137" s="33"/>
      <c r="B137" s="85" t="s">
        <v>247</v>
      </c>
      <c r="C137" s="104" t="s">
        <v>160</v>
      </c>
      <c r="D137" s="126">
        <v>45859</v>
      </c>
      <c r="E137" s="126">
        <f t="shared" si="326"/>
        <v>45863</v>
      </c>
      <c r="F137" s="14"/>
      <c r="G137" s="14">
        <v>5</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hidden="1" customHeight="1" outlineLevel="1" thickBot="1" x14ac:dyDescent="0.4">
      <c r="A138" s="33"/>
      <c r="B138" s="85" t="s">
        <v>248</v>
      </c>
      <c r="C138" s="104" t="s">
        <v>79</v>
      </c>
      <c r="D138" s="126">
        <v>45894</v>
      </c>
      <c r="E138" s="126">
        <f t="shared" si="326"/>
        <v>45905</v>
      </c>
      <c r="F138" s="14"/>
      <c r="G138" s="14">
        <v>12</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hidden="1" customHeight="1" outlineLevel="1" thickBot="1" x14ac:dyDescent="0.4">
      <c r="A139" s="33"/>
      <c r="B139" s="85" t="s">
        <v>248</v>
      </c>
      <c r="C139" s="104" t="s">
        <v>142</v>
      </c>
      <c r="D139" s="126">
        <v>45901</v>
      </c>
      <c r="E139" s="126">
        <f t="shared" si="326"/>
        <v>45905</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hidden="1" customHeight="1" outlineLevel="1" thickBot="1" x14ac:dyDescent="0.4">
      <c r="A140" s="33"/>
      <c r="B140" s="85" t="s">
        <v>249</v>
      </c>
      <c r="C140" s="104" t="s">
        <v>21</v>
      </c>
      <c r="D140" s="126">
        <v>45894</v>
      </c>
      <c r="E140" s="126">
        <f t="shared" si="326"/>
        <v>45898</v>
      </c>
      <c r="F140" s="14"/>
      <c r="G140" s="14">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hidden="1" customHeight="1" outlineLevel="1" thickBot="1" x14ac:dyDescent="0.4">
      <c r="A141" s="33"/>
      <c r="B141" s="85" t="s">
        <v>248</v>
      </c>
      <c r="C141" s="104" t="s">
        <v>100</v>
      </c>
      <c r="D141" s="126">
        <v>45929</v>
      </c>
      <c r="E141" s="126">
        <f t="shared" si="326"/>
        <v>45940</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hidden="1" customHeight="1" outlineLevel="1" thickBot="1" x14ac:dyDescent="0.4">
      <c r="A142" s="33"/>
      <c r="B142" s="85" t="s">
        <v>249</v>
      </c>
      <c r="C142" s="104" t="s">
        <v>26</v>
      </c>
      <c r="D142" s="126">
        <v>45929</v>
      </c>
      <c r="E142" s="126">
        <f t="shared" si="326"/>
        <v>45933</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hidden="1" customHeight="1" outlineLevel="1" thickBot="1" x14ac:dyDescent="0.4">
      <c r="A143" s="33"/>
      <c r="B143" s="85" t="s">
        <v>247</v>
      </c>
      <c r="C143" s="104" t="s">
        <v>154</v>
      </c>
      <c r="D143" s="126">
        <v>45936</v>
      </c>
      <c r="E143" s="126">
        <f t="shared" si="326"/>
        <v>45940</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hidden="1" customHeight="1" outlineLevel="1" thickBot="1" x14ac:dyDescent="0.4">
      <c r="A144" s="33"/>
      <c r="B144" s="153" t="s">
        <v>247</v>
      </c>
      <c r="C144" s="154"/>
      <c r="D144" s="155">
        <v>45964</v>
      </c>
      <c r="E144" s="155">
        <f t="shared" ref="E144:E148" si="328">D144+G144-1</f>
        <v>45975</v>
      </c>
      <c r="F144" s="156"/>
      <c r="G144" s="156">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hidden="1" customHeight="1" outlineLevel="1" thickBot="1" x14ac:dyDescent="0.4">
      <c r="A145" s="33"/>
      <c r="B145" s="153" t="s">
        <v>249</v>
      </c>
      <c r="C145" s="154"/>
      <c r="D145" s="155">
        <v>45964</v>
      </c>
      <c r="E145" s="155">
        <f t="shared" si="328"/>
        <v>45975</v>
      </c>
      <c r="F145" s="156"/>
      <c r="G145" s="156">
        <v>12</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hidden="1" customHeight="1" outlineLevel="1" thickBot="1" x14ac:dyDescent="0.4">
      <c r="A146" s="33"/>
      <c r="B146" s="153" t="s">
        <v>248</v>
      </c>
      <c r="C146" s="154"/>
      <c r="D146" s="155">
        <v>45957</v>
      </c>
      <c r="E146" s="155">
        <f t="shared" si="328"/>
        <v>45961</v>
      </c>
      <c r="F146" s="156"/>
      <c r="G146" s="156">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hidden="1" customHeight="1" outlineLevel="1" thickBot="1" x14ac:dyDescent="0.4">
      <c r="A147" s="33"/>
      <c r="B147" s="153" t="s">
        <v>247</v>
      </c>
      <c r="C147" s="154"/>
      <c r="D147" s="155">
        <v>45964</v>
      </c>
      <c r="E147" s="155">
        <f t="shared" si="328"/>
        <v>45968</v>
      </c>
      <c r="F147" s="156"/>
      <c r="G147" s="156">
        <v>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hidden="1" customHeight="1" outlineLevel="1" thickBot="1" x14ac:dyDescent="0.4">
      <c r="A148" s="33"/>
      <c r="B148" s="153" t="s">
        <v>247</v>
      </c>
      <c r="C148" s="154"/>
      <c r="D148" s="155">
        <v>45971</v>
      </c>
      <c r="E148" s="155">
        <f t="shared" si="328"/>
        <v>45975</v>
      </c>
      <c r="F148" s="156"/>
      <c r="G148" s="156">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hidden="1" customHeight="1" outlineLevel="1" thickBot="1" x14ac:dyDescent="0.4">
      <c r="A149" s="33"/>
      <c r="B149" s="85"/>
      <c r="C149" s="104"/>
      <c r="D149" s="126"/>
      <c r="E149" s="126"/>
      <c r="F149" s="14"/>
      <c r="G149" s="14"/>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hidden="1" customHeight="1" outlineLevel="1" thickBot="1" x14ac:dyDescent="0.4">
      <c r="A150" s="33"/>
      <c r="B150" s="85"/>
      <c r="C150" s="104"/>
      <c r="D150" s="126"/>
      <c r="E150" s="126"/>
      <c r="F150" s="14"/>
      <c r="G150" s="14"/>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outlineLevel="1" thickBot="1" x14ac:dyDescent="0.4">
      <c r="A151" s="33" t="s">
        <v>224</v>
      </c>
      <c r="B151" s="83" t="s">
        <v>250</v>
      </c>
      <c r="C151" s="145"/>
      <c r="D151" s="127"/>
      <c r="E151" s="128"/>
      <c r="F151" s="14"/>
      <c r="G151" s="14" t="str">
        <f t="shared" si="311"/>
        <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x14ac:dyDescent="0.4">
      <c r="A152" s="33"/>
      <c r="B152" s="84" t="s">
        <v>231</v>
      </c>
      <c r="C152" s="146" t="s">
        <v>251</v>
      </c>
      <c r="D152" s="120">
        <v>45769</v>
      </c>
      <c r="E152" s="120">
        <v>45856</v>
      </c>
      <c r="F152" s="14"/>
      <c r="G152" s="14">
        <v>87</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x14ac:dyDescent="0.4">
      <c r="A153" s="33"/>
      <c r="B153" s="86" t="s">
        <v>234</v>
      </c>
      <c r="C153" s="146" t="s">
        <v>252</v>
      </c>
      <c r="D153" s="120">
        <v>45838</v>
      </c>
      <c r="E153" s="120">
        <v>45884</v>
      </c>
      <c r="F153" s="14"/>
      <c r="G153" s="14">
        <v>46</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x14ac:dyDescent="0.4">
      <c r="A154" s="33"/>
      <c r="B154" s="196" t="s">
        <v>253</v>
      </c>
      <c r="C154" s="196"/>
      <c r="D154" s="196"/>
      <c r="E154" s="196"/>
      <c r="F154" s="14"/>
      <c r="G154" s="14"/>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x14ac:dyDescent="0.4">
      <c r="A155" s="33"/>
      <c r="B155" s="166" t="s">
        <v>231</v>
      </c>
      <c r="C155" s="167" t="s">
        <v>254</v>
      </c>
      <c r="D155" s="168">
        <v>45971</v>
      </c>
      <c r="E155" s="168">
        <v>45996</v>
      </c>
      <c r="F155" s="14"/>
      <c r="G155" s="14">
        <f>E155-D155</f>
        <v>25</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x14ac:dyDescent="0.4">
      <c r="A156" s="33"/>
      <c r="B156" s="87" t="s">
        <v>255</v>
      </c>
      <c r="C156" s="41" t="s">
        <v>251</v>
      </c>
      <c r="D156" s="129">
        <v>46034</v>
      </c>
      <c r="E156" s="129">
        <f>D156+53</f>
        <v>46087</v>
      </c>
      <c r="F156" s="14"/>
      <c r="G156" s="14">
        <f>E156-D156</f>
        <v>53</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x14ac:dyDescent="0.4">
      <c r="A157" s="33"/>
      <c r="B157" s="87" t="s">
        <v>234</v>
      </c>
      <c r="C157" s="41" t="s">
        <v>256</v>
      </c>
      <c r="D157" s="129">
        <v>46097</v>
      </c>
      <c r="E157" s="129">
        <f>D157+53</f>
        <v>46150</v>
      </c>
      <c r="F157" s="14"/>
      <c r="G157" s="14">
        <f>E157-D157</f>
        <v>53</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x14ac:dyDescent="0.4">
      <c r="A158" s="33"/>
      <c r="B158" s="87" t="s">
        <v>235</v>
      </c>
      <c r="C158" s="41" t="s">
        <v>257</v>
      </c>
      <c r="D158" s="129">
        <v>46160</v>
      </c>
      <c r="E158" s="129">
        <f>D158+53</f>
        <v>46213</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thickBot="1" x14ac:dyDescent="0.4">
      <c r="A159" s="33"/>
      <c r="B159" s="195" t="s">
        <v>258</v>
      </c>
      <c r="C159" s="195"/>
      <c r="D159" s="195"/>
      <c r="E159" s="195"/>
      <c r="F159" s="14"/>
      <c r="G159" s="14"/>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x14ac:dyDescent="0.4">
      <c r="A160" s="34" t="s">
        <v>214</v>
      </c>
      <c r="B160" s="190" t="s">
        <v>259</v>
      </c>
      <c r="C160" s="190"/>
      <c r="D160" s="190"/>
      <c r="E160" s="190"/>
      <c r="F160" s="14"/>
      <c r="G160" s="14" t="str">
        <f t="shared" si="311"/>
        <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x14ac:dyDescent="0.4">
      <c r="A161" s="33"/>
      <c r="B161" s="47" t="s">
        <v>260</v>
      </c>
      <c r="C161" s="42" t="s">
        <v>103</v>
      </c>
      <c r="D161" s="119">
        <v>45964</v>
      </c>
      <c r="E161" s="119">
        <f t="shared" ref="E161:E167" si="329">D161+G161</f>
        <v>46050</v>
      </c>
      <c r="F161" s="14"/>
      <c r="G161" s="14">
        <v>86</v>
      </c>
      <c r="H161" s="29"/>
      <c r="I161" s="29"/>
      <c r="J161" s="29"/>
      <c r="K161" s="29"/>
      <c r="L161" s="29"/>
      <c r="M161" s="29"/>
      <c r="N161" s="29"/>
      <c r="O161" s="29"/>
      <c r="P161" s="29"/>
      <c r="Q161" s="29"/>
      <c r="R161" s="29"/>
      <c r="S161" s="29"/>
      <c r="T161" s="29"/>
      <c r="U161" s="30"/>
      <c r="V161" s="30"/>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x14ac:dyDescent="0.4">
      <c r="A162" s="33"/>
      <c r="B162" s="47" t="s">
        <v>261</v>
      </c>
      <c r="C162" s="42" t="s">
        <v>117</v>
      </c>
      <c r="D162" s="119">
        <v>46035</v>
      </c>
      <c r="E162" s="119">
        <f t="shared" si="329"/>
        <v>46121</v>
      </c>
      <c r="F162" s="14"/>
      <c r="G162" s="14">
        <v>86</v>
      </c>
      <c r="H162" s="29"/>
      <c r="I162" s="29"/>
      <c r="J162" s="29"/>
      <c r="K162" s="29"/>
      <c r="L162" s="29"/>
      <c r="M162" s="29"/>
      <c r="N162" s="29"/>
      <c r="O162" s="29"/>
      <c r="P162" s="29"/>
      <c r="Q162" s="29"/>
      <c r="R162" s="29"/>
      <c r="S162" s="29"/>
      <c r="T162" s="29"/>
      <c r="U162" s="29"/>
      <c r="V162" s="29"/>
      <c r="W162" s="29"/>
      <c r="X162" s="29"/>
      <c r="Y162" s="30"/>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x14ac:dyDescent="0.4">
      <c r="A163" s="33"/>
      <c r="B163" s="47" t="s">
        <v>260</v>
      </c>
      <c r="C163" s="42" t="s">
        <v>106</v>
      </c>
      <c r="D163" s="119">
        <v>46058</v>
      </c>
      <c r="E163" s="119">
        <f t="shared" si="329"/>
        <v>46114</v>
      </c>
      <c r="F163" s="14"/>
      <c r="G163" s="14">
        <v>56</v>
      </c>
      <c r="H163" s="29"/>
      <c r="I163" s="29"/>
      <c r="J163" s="29"/>
      <c r="K163" s="29"/>
      <c r="L163" s="29"/>
      <c r="M163" s="29"/>
      <c r="N163" s="29"/>
      <c r="O163" s="29"/>
      <c r="P163" s="29"/>
      <c r="Q163" s="29"/>
      <c r="R163" s="29"/>
      <c r="S163" s="29"/>
      <c r="T163" s="29"/>
      <c r="U163" s="29"/>
      <c r="V163" s="29"/>
      <c r="W163" s="29"/>
      <c r="X163" s="29"/>
      <c r="Y163" s="30"/>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x14ac:dyDescent="0.4">
      <c r="A164" s="33"/>
      <c r="B164" s="47" t="s">
        <v>261</v>
      </c>
      <c r="C164" s="42"/>
      <c r="D164" s="119">
        <f>E162</f>
        <v>46121</v>
      </c>
      <c r="E164" s="119">
        <f t="shared" si="329"/>
        <v>46177</v>
      </c>
      <c r="F164" s="14"/>
      <c r="G164" s="14">
        <v>56</v>
      </c>
      <c r="H164" s="29"/>
      <c r="I164" s="29"/>
      <c r="J164" s="29"/>
      <c r="K164" s="29"/>
      <c r="L164" s="29"/>
      <c r="M164" s="29"/>
      <c r="N164" s="29"/>
      <c r="O164" s="29"/>
      <c r="P164" s="29"/>
      <c r="Q164" s="29"/>
      <c r="R164" s="29"/>
      <c r="S164" s="29"/>
      <c r="T164" s="29"/>
      <c r="U164" s="29"/>
      <c r="V164" s="29"/>
      <c r="W164" s="29"/>
      <c r="X164" s="29"/>
      <c r="Y164" s="30"/>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x14ac:dyDescent="0.4">
      <c r="A165" s="33"/>
      <c r="B165" s="150" t="s">
        <v>242</v>
      </c>
      <c r="C165" s="151"/>
      <c r="D165" s="152">
        <v>46101</v>
      </c>
      <c r="E165" s="152">
        <f t="shared" ref="E165" si="330">D165+G165-1</f>
        <v>46156</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x14ac:dyDescent="0.4">
      <c r="A166" s="33"/>
      <c r="B166" s="47" t="s">
        <v>260</v>
      </c>
      <c r="C166" s="42"/>
      <c r="D166" s="119">
        <f>E163</f>
        <v>46114</v>
      </c>
      <c r="E166" s="119">
        <f t="shared" si="329"/>
        <v>46170</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x14ac:dyDescent="0.4">
      <c r="A167" s="33"/>
      <c r="B167" s="47" t="s">
        <v>261</v>
      </c>
      <c r="C167" s="42"/>
      <c r="D167" s="119">
        <f t="shared" ref="D167" si="331">D164+60</f>
        <v>46181</v>
      </c>
      <c r="E167" s="119">
        <f t="shared" si="329"/>
        <v>46237</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x14ac:dyDescent="0.4">
      <c r="A168" s="33" t="s">
        <v>224</v>
      </c>
      <c r="B168" s="83" t="s">
        <v>262</v>
      </c>
      <c r="C168" s="145"/>
      <c r="D168" s="127"/>
      <c r="E168" s="128"/>
      <c r="F168" s="14"/>
      <c r="G168" s="14" t="str">
        <f t="shared" si="311"/>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x14ac:dyDescent="0.4">
      <c r="A169" s="33"/>
      <c r="B169" s="84" t="s">
        <v>260</v>
      </c>
      <c r="C169" s="141" t="s">
        <v>61</v>
      </c>
      <c r="D169" s="120">
        <f>E169-G169</f>
        <v>45853</v>
      </c>
      <c r="E169" s="120">
        <v>45898</v>
      </c>
      <c r="F169" s="14"/>
      <c r="G169" s="14">
        <v>45</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x14ac:dyDescent="0.4">
      <c r="A170" s="33"/>
      <c r="B170" s="21" t="s">
        <v>263</v>
      </c>
      <c r="C170" s="147"/>
      <c r="D170" s="130"/>
      <c r="E170" s="131"/>
      <c r="F170" s="14"/>
      <c r="G170" s="14"/>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x14ac:dyDescent="0.4">
      <c r="A171" s="33"/>
      <c r="B171" s="82" t="s">
        <v>235</v>
      </c>
      <c r="C171" s="142" t="s">
        <v>264</v>
      </c>
      <c r="D171" s="122">
        <v>45735</v>
      </c>
      <c r="E171" s="122">
        <v>45814</v>
      </c>
      <c r="F171" s="14"/>
      <c r="G171" s="14">
        <v>79</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x14ac:dyDescent="0.4">
      <c r="A172" s="33"/>
      <c r="B172" s="82" t="s">
        <v>235</v>
      </c>
      <c r="C172" s="142" t="s">
        <v>257</v>
      </c>
      <c r="D172" s="122">
        <v>45817</v>
      </c>
      <c r="E172" s="122">
        <v>45870</v>
      </c>
      <c r="F172" s="14"/>
      <c r="G172" s="14">
        <v>53</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x14ac:dyDescent="0.4">
      <c r="A173" s="33"/>
      <c r="B173" s="82" t="s">
        <v>231</v>
      </c>
      <c r="C173" s="142" t="s">
        <v>265</v>
      </c>
      <c r="D173" s="122">
        <v>45873</v>
      </c>
      <c r="E173" s="122">
        <v>45898</v>
      </c>
      <c r="F173" s="14"/>
      <c r="G173" s="14">
        <v>25</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x14ac:dyDescent="0.4">
      <c r="A174" s="33"/>
      <c r="B174" s="82"/>
      <c r="C174" s="142"/>
      <c r="D174" s="122"/>
      <c r="E174" s="122"/>
      <c r="F174" s="14"/>
      <c r="G174" s="14">
        <v>25</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x14ac:dyDescent="0.4">
      <c r="A175" s="33"/>
      <c r="B175" s="105" t="s">
        <v>266</v>
      </c>
      <c r="C175" s="110"/>
      <c r="D175" s="132"/>
      <c r="E175" s="133"/>
      <c r="F175" s="106" t="s">
        <v>267</v>
      </c>
      <c r="G175" s="106" t="s">
        <v>267</v>
      </c>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outlineLevel="1" thickBot="1" x14ac:dyDescent="0.4">
      <c r="A176" s="33"/>
      <c r="B176" s="107" t="s">
        <v>234</v>
      </c>
      <c r="C176" s="148" t="s">
        <v>268</v>
      </c>
      <c r="D176" s="111">
        <v>45818</v>
      </c>
      <c r="E176" s="111">
        <v>45870</v>
      </c>
      <c r="F176" s="108" t="s">
        <v>267</v>
      </c>
      <c r="G176" s="108">
        <v>52</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outlineLevel="1" thickBot="1" x14ac:dyDescent="0.4">
      <c r="A177" s="33"/>
      <c r="B177" s="107" t="s">
        <v>234</v>
      </c>
      <c r="C177" s="148" t="s">
        <v>229</v>
      </c>
      <c r="D177" s="111">
        <v>45873</v>
      </c>
      <c r="E177" s="111">
        <v>45929</v>
      </c>
      <c r="F177" s="108" t="s">
        <v>267</v>
      </c>
      <c r="G177" s="108">
        <v>56</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row>
    <row r="178" spans="1:351" s="3" customFormat="1" ht="29.25" customHeight="1" outlineLevel="1" thickBot="1" x14ac:dyDescent="0.4">
      <c r="A178" s="33"/>
      <c r="B178" s="24" t="s">
        <v>269</v>
      </c>
      <c r="C178" s="144"/>
      <c r="D178" s="124"/>
      <c r="E178" s="125"/>
      <c r="F178" s="14"/>
      <c r="G178" s="14"/>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row>
    <row r="179" spans="1:351" s="3" customFormat="1" ht="29.25" customHeight="1" outlineLevel="1" thickBot="1" x14ac:dyDescent="0.4">
      <c r="A179" s="33"/>
      <c r="B179" s="85" t="s">
        <v>231</v>
      </c>
      <c r="C179" s="149" t="s">
        <v>254</v>
      </c>
      <c r="D179" s="126">
        <f>E155+3</f>
        <v>45999</v>
      </c>
      <c r="E179" s="126">
        <v>46028</v>
      </c>
      <c r="F179" s="14"/>
      <c r="G179" s="14">
        <f>E179-D179</f>
        <v>29</v>
      </c>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row>
    <row r="180" spans="1:351" s="3" customFormat="1" ht="29.25" customHeight="1" outlineLevel="1" thickBot="1" x14ac:dyDescent="0.4">
      <c r="A180" s="33"/>
      <c r="B180" s="85" t="s">
        <v>235</v>
      </c>
      <c r="C180" s="149" t="s">
        <v>264</v>
      </c>
      <c r="D180" s="126">
        <v>46048</v>
      </c>
      <c r="E180" s="126">
        <f>D180+53</f>
        <v>46101</v>
      </c>
      <c r="F180" s="14"/>
      <c r="G180" s="14">
        <f>E180-D180</f>
        <v>53</v>
      </c>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row>
    <row r="181" spans="1:351" s="3" customFormat="1" ht="29.25" customHeight="1" outlineLevel="1" thickBot="1" x14ac:dyDescent="0.4">
      <c r="A181" s="33"/>
      <c r="B181" s="85" t="s">
        <v>231</v>
      </c>
      <c r="C181" s="149" t="s">
        <v>270</v>
      </c>
      <c r="D181" s="126">
        <v>46090</v>
      </c>
      <c r="E181" s="126">
        <f>D181+53</f>
        <v>46143</v>
      </c>
      <c r="F181" s="14"/>
      <c r="G181" s="14">
        <f>E181-D181</f>
        <v>53</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row>
    <row r="182" spans="1:351" s="3" customFormat="1" ht="29.25" customHeight="1" outlineLevel="1" thickBot="1" x14ac:dyDescent="0.4">
      <c r="A182" s="33"/>
      <c r="B182" s="85" t="s">
        <v>234</v>
      </c>
      <c r="C182" s="149" t="s">
        <v>268</v>
      </c>
      <c r="D182" s="126">
        <v>46153</v>
      </c>
      <c r="E182" s="126">
        <f>D182+53</f>
        <v>46206</v>
      </c>
      <c r="F182" s="14"/>
      <c r="G182" s="14">
        <f>E182-D182</f>
        <v>53</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row>
    <row r="183" spans="1:351" s="3" customFormat="1" ht="29.25" customHeight="1" outlineLevel="1" thickBot="1" x14ac:dyDescent="0.4">
      <c r="A183" s="33"/>
      <c r="B183" s="85"/>
      <c r="C183" s="149"/>
      <c r="D183" s="126"/>
      <c r="E183" s="126">
        <f>D183+G183</f>
        <v>0</v>
      </c>
      <c r="F183" s="14"/>
      <c r="G183" s="14"/>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row>
    <row r="184" spans="1:351" s="3" customFormat="1" ht="29.25" customHeight="1" outlineLevel="1" thickBot="1" x14ac:dyDescent="0.4">
      <c r="A184" s="33"/>
      <c r="B184" s="85"/>
      <c r="C184" s="149"/>
      <c r="D184" s="126"/>
      <c r="E184" s="126"/>
      <c r="F184" s="14"/>
      <c r="G184" s="14"/>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row>
    <row r="185" spans="1:351" s="3" customFormat="1" ht="29.25" customHeight="1" outlineLevel="1" thickBot="1" x14ac:dyDescent="0.4">
      <c r="A185" s="33"/>
      <c r="B185" s="85"/>
      <c r="C185" s="149"/>
      <c r="D185" s="126"/>
      <c r="E185" s="126"/>
      <c r="F185" s="14"/>
      <c r="G185" s="14"/>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row>
    <row r="186" spans="1:351" s="3" customFormat="1" ht="29.25" customHeight="1" thickBot="1" x14ac:dyDescent="0.4">
      <c r="A186" s="33" t="s">
        <v>271</v>
      </c>
      <c r="B186" s="49"/>
      <c r="C186" s="45"/>
      <c r="D186" s="134"/>
      <c r="E186" s="134"/>
      <c r="F186" s="14"/>
      <c r="G186" s="14">
        <v>111</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row>
    <row r="187" spans="1:351" s="3" customFormat="1" ht="29.25" customHeight="1" thickBot="1" x14ac:dyDescent="0.4">
      <c r="A187" s="34" t="s">
        <v>272</v>
      </c>
      <c r="B187" s="25" t="s">
        <v>273</v>
      </c>
      <c r="C187" s="26"/>
      <c r="D187" s="135"/>
      <c r="E187" s="136"/>
      <c r="F187" s="28"/>
      <c r="G187" s="28" t="str">
        <f t="shared" si="311"/>
        <v/>
      </c>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c r="AJ187" s="31"/>
      <c r="AK187" s="31"/>
      <c r="AL187" s="31"/>
      <c r="AM187" s="31"/>
      <c r="AN187" s="31"/>
      <c r="AO187" s="31"/>
      <c r="AP187" s="31"/>
      <c r="AQ187" s="31"/>
      <c r="AR187" s="31"/>
      <c r="AS187" s="31"/>
      <c r="AT187" s="31"/>
      <c r="AU187" s="31"/>
      <c r="AV187" s="31"/>
      <c r="AW187" s="31"/>
      <c r="AX187" s="31"/>
      <c r="AY187" s="31"/>
      <c r="AZ187" s="31"/>
      <c r="BA187" s="31"/>
      <c r="BB187" s="31"/>
      <c r="BC187" s="31"/>
      <c r="BD187" s="31"/>
      <c r="BE187" s="31"/>
      <c r="BF187" s="31"/>
      <c r="BG187" s="31"/>
      <c r="BH187" s="31"/>
      <c r="BI187" s="31"/>
      <c r="BJ187" s="31"/>
      <c r="BK187" s="31"/>
      <c r="BL187" s="31"/>
      <c r="BM187" s="31"/>
      <c r="BN187" s="31"/>
      <c r="BO187" s="31"/>
      <c r="BP187" s="31"/>
      <c r="BQ187" s="31"/>
      <c r="BR187" s="31"/>
      <c r="BS187" s="31"/>
      <c r="BT187" s="31"/>
      <c r="BU187" s="31"/>
      <c r="BV187" s="31"/>
      <c r="BW187" s="31"/>
      <c r="BX187" s="31"/>
      <c r="BY187" s="31"/>
      <c r="BZ187" s="31"/>
      <c r="CA187" s="31"/>
      <c r="CB187" s="31"/>
      <c r="CC187" s="31"/>
      <c r="CD187" s="31"/>
      <c r="CE187" s="31"/>
      <c r="CF187" s="31"/>
      <c r="CG187" s="31"/>
      <c r="CH187" s="31"/>
      <c r="CI187" s="31"/>
      <c r="CJ187" s="31"/>
      <c r="CK187" s="31"/>
      <c r="CL187" s="31"/>
      <c r="CM187" s="31"/>
      <c r="CN187" s="31"/>
      <c r="CO187" s="31"/>
      <c r="CP187" s="31"/>
      <c r="CQ187" s="31"/>
      <c r="CR187" s="31"/>
      <c r="CS187" s="31"/>
      <c r="CT187" s="31"/>
      <c r="CU187" s="31"/>
      <c r="CV187" s="31"/>
      <c r="CW187" s="31"/>
      <c r="CX187" s="31"/>
      <c r="CY187" s="31"/>
      <c r="CZ187" s="31"/>
      <c r="DA187" s="31"/>
      <c r="DB187" s="31"/>
      <c r="DC187" s="31"/>
      <c r="DD187" s="31"/>
      <c r="DE187" s="31"/>
      <c r="DF187" s="31"/>
      <c r="DG187" s="31"/>
      <c r="DH187" s="31"/>
      <c r="DI187" s="31"/>
      <c r="DJ187" s="31"/>
      <c r="DK187" s="31"/>
      <c r="DL187" s="31"/>
      <c r="DM187" s="31"/>
      <c r="DN187" s="31"/>
      <c r="DO187" s="31"/>
      <c r="DP187" s="31"/>
      <c r="DQ187" s="31"/>
      <c r="DR187" s="31"/>
      <c r="DS187" s="31"/>
      <c r="DT187" s="31"/>
      <c r="DU187" s="31"/>
      <c r="DV187" s="31"/>
      <c r="DW187" s="31"/>
      <c r="DX187" s="31"/>
      <c r="DY187" s="31"/>
      <c r="DZ187" s="31"/>
      <c r="EA187" s="31"/>
      <c r="EB187" s="31"/>
      <c r="EC187" s="31"/>
      <c r="ED187" s="31"/>
      <c r="EE187" s="31"/>
      <c r="EF187" s="31"/>
      <c r="EG187" s="31"/>
      <c r="EH187" s="31"/>
      <c r="EI187" s="31"/>
      <c r="EJ187" s="31"/>
      <c r="EK187" s="31"/>
      <c r="EL187" s="31"/>
      <c r="EM187" s="31"/>
      <c r="EN187" s="31"/>
      <c r="EO187" s="31"/>
      <c r="EP187" s="31"/>
      <c r="EQ187" s="31"/>
      <c r="ER187" s="31"/>
      <c r="ES187" s="31"/>
      <c r="ET187" s="31"/>
      <c r="EU187" s="31"/>
      <c r="EV187" s="31"/>
      <c r="EW187" s="31"/>
      <c r="EX187" s="31"/>
      <c r="EY187" s="31"/>
      <c r="EZ187" s="31"/>
      <c r="FA187" s="31"/>
      <c r="FB187" s="31"/>
      <c r="FC187" s="31"/>
      <c r="FD187" s="31"/>
      <c r="FE187" s="31"/>
      <c r="FF187" s="31"/>
      <c r="FG187" s="31"/>
      <c r="FH187" s="31"/>
      <c r="FI187" s="31"/>
      <c r="FJ187" s="31"/>
      <c r="FK187" s="31"/>
      <c r="FL187" s="31"/>
      <c r="FM187" s="31"/>
      <c r="FN187" s="31"/>
      <c r="FO187" s="31"/>
      <c r="FP187" s="31"/>
      <c r="FQ187" s="31"/>
      <c r="FR187" s="31"/>
      <c r="FS187" s="31"/>
      <c r="FT187" s="31"/>
      <c r="FU187" s="31"/>
      <c r="FV187" s="31"/>
      <c r="FW187" s="31"/>
      <c r="FX187" s="31"/>
      <c r="FY187" s="31"/>
      <c r="FZ187" s="31"/>
      <c r="GA187" s="31"/>
      <c r="GB187" s="31"/>
      <c r="GC187" s="31"/>
      <c r="GD187" s="31"/>
      <c r="GE187" s="31"/>
      <c r="GF187" s="31"/>
      <c r="GG187" s="31"/>
      <c r="GH187" s="31"/>
      <c r="GI187" s="31"/>
      <c r="GJ187" s="31"/>
      <c r="GK187" s="31"/>
      <c r="GL187" s="31"/>
      <c r="GM187" s="31"/>
      <c r="GN187" s="31"/>
      <c r="GO187" s="31"/>
      <c r="GP187" s="31"/>
      <c r="GQ187" s="31"/>
      <c r="GR187" s="31"/>
      <c r="GS187" s="31"/>
      <c r="GT187" s="31"/>
      <c r="GU187" s="31"/>
      <c r="GV187" s="31"/>
      <c r="GW187" s="31"/>
      <c r="GX187" s="31"/>
      <c r="GY187" s="31"/>
      <c r="GZ187" s="31"/>
      <c r="HA187" s="31"/>
      <c r="HB187" s="31"/>
      <c r="HC187" s="31"/>
      <c r="HD187" s="31"/>
      <c r="HE187" s="31"/>
      <c r="HF187" s="31"/>
      <c r="HG187" s="31"/>
      <c r="HH187" s="31"/>
      <c r="HI187" s="31"/>
      <c r="HJ187" s="31"/>
      <c r="HK187" s="31"/>
      <c r="HL187" s="31"/>
      <c r="HM187" s="31"/>
      <c r="HN187" s="31"/>
      <c r="HO187" s="31"/>
      <c r="HP187" s="31"/>
      <c r="HQ187" s="31"/>
      <c r="HR187" s="31"/>
      <c r="HS187" s="31"/>
      <c r="HT187" s="31"/>
      <c r="HU187" s="31"/>
      <c r="HV187" s="31"/>
      <c r="HW187" s="31"/>
      <c r="HX187" s="31"/>
      <c r="HY187" s="31"/>
      <c r="HZ187" s="31"/>
      <c r="IA187" s="31"/>
      <c r="IB187" s="31"/>
      <c r="IC187" s="31"/>
      <c r="ID187" s="31"/>
      <c r="IE187" s="31"/>
      <c r="IF187" s="31"/>
      <c r="IG187" s="31"/>
      <c r="IH187" s="31"/>
      <c r="II187" s="31"/>
      <c r="IJ187" s="31"/>
      <c r="IK187" s="31"/>
      <c r="IL187" s="31"/>
      <c r="IM187" s="31"/>
      <c r="IN187" s="31"/>
      <c r="IO187" s="31"/>
      <c r="IP187" s="31"/>
      <c r="IQ187" s="31"/>
      <c r="IR187" s="31"/>
      <c r="IS187" s="31"/>
      <c r="IT187" s="31"/>
      <c r="IU187" s="31"/>
      <c r="IV187" s="31"/>
      <c r="IW187" s="31"/>
      <c r="IX187" s="31"/>
      <c r="IY187" s="31"/>
      <c r="IZ187" s="31"/>
      <c r="JA187" s="31"/>
      <c r="JB187" s="31"/>
      <c r="JC187" s="31"/>
      <c r="JD187" s="31"/>
      <c r="JE187" s="31"/>
      <c r="JF187" s="31"/>
      <c r="JG187" s="31"/>
      <c r="JH187" s="31"/>
      <c r="JI187" s="31"/>
      <c r="JJ187" s="31"/>
      <c r="JK187" s="31"/>
      <c r="JL187" s="31"/>
      <c r="JM187" s="31"/>
      <c r="JN187" s="31"/>
      <c r="JO187" s="31"/>
      <c r="JP187" s="31"/>
      <c r="JQ187" s="31"/>
      <c r="JR187" s="31"/>
      <c r="JS187" s="31"/>
      <c r="JT187" s="31"/>
      <c r="JU187" s="31"/>
      <c r="JV187" s="31"/>
      <c r="JW187" s="31"/>
      <c r="JX187" s="31"/>
      <c r="JY187" s="31"/>
      <c r="JZ187" s="31"/>
      <c r="KA187" s="31"/>
      <c r="KB187" s="31"/>
      <c r="KC187" s="31"/>
      <c r="KD187" s="31"/>
      <c r="KE187" s="31"/>
      <c r="KF187" s="31"/>
      <c r="KG187" s="31"/>
      <c r="KH187" s="31"/>
      <c r="KI187" s="31"/>
      <c r="KJ187" s="31"/>
      <c r="KK187" s="31"/>
      <c r="KL187" s="31"/>
      <c r="KM187" s="31"/>
      <c r="KN187" s="31"/>
      <c r="KO187" s="31"/>
      <c r="KP187" s="31"/>
      <c r="KQ187" s="31"/>
      <c r="KR187" s="31"/>
      <c r="KS187" s="31"/>
      <c r="KT187" s="31"/>
      <c r="KU187" s="31"/>
      <c r="KV187" s="31"/>
      <c r="KW187" s="31"/>
      <c r="KX187" s="31"/>
      <c r="KY187" s="31"/>
      <c r="KZ187" s="31"/>
      <c r="LA187" s="31"/>
      <c r="LB187" s="31"/>
      <c r="LC187" s="31"/>
      <c r="LD187" s="31"/>
      <c r="LE187" s="31"/>
      <c r="LF187" s="31"/>
      <c r="LG187" s="31"/>
      <c r="LH187" s="31"/>
      <c r="LI187" s="31"/>
      <c r="LJ187" s="31"/>
      <c r="LK187" s="31"/>
      <c r="LL187" s="31"/>
      <c r="LM187" s="31"/>
      <c r="LN187" s="31"/>
      <c r="LO187" s="31"/>
      <c r="LP187" s="31"/>
      <c r="LQ187" s="31"/>
      <c r="LR187" s="31"/>
      <c r="LS187" s="31"/>
      <c r="LT187" s="31"/>
      <c r="LU187" s="31"/>
      <c r="LV187" s="31"/>
      <c r="LW187" s="31"/>
      <c r="LX187" s="31"/>
      <c r="LY187" s="31"/>
      <c r="LZ187" s="31"/>
      <c r="MA187" s="31"/>
      <c r="MB187" s="31"/>
      <c r="MC187" s="31"/>
      <c r="MD187" s="31"/>
      <c r="ME187" s="31"/>
      <c r="MF187" s="31"/>
      <c r="MG187" s="31"/>
      <c r="MH187" s="31"/>
      <c r="MI187" s="31"/>
      <c r="MJ187" s="31"/>
      <c r="MK187" s="31"/>
      <c r="ML187" s="31"/>
      <c r="MM187" s="31"/>
    </row>
  </sheetData>
  <mergeCells count="65">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0:E160"/>
    <mergeCell ref="B65:E65"/>
    <mergeCell ref="B86:E86"/>
    <mergeCell ref="B88:E88"/>
    <mergeCell ref="B91:E91"/>
    <mergeCell ref="B159:E159"/>
    <mergeCell ref="B97:E97"/>
    <mergeCell ref="B98:E98"/>
    <mergeCell ref="B154:E154"/>
  </mergeCells>
  <conditionalFormatting sqref="H5:I99 H131:I187">
    <cfRule type="expression" dxfId="67" priority="210">
      <formula>AND(TODAY()&gt;=H$5,TODAY()&lt;J$5)</formula>
    </cfRule>
  </conditionalFormatting>
  <conditionalFormatting sqref="H7:I99 H131:I187">
    <cfRule type="expression" dxfId="66" priority="218" stopIfTrue="1">
      <formula>AND(Término_da_tarefa&gt;=H$5,Início_da_tarefa&lt;J$5)</formula>
    </cfRule>
  </conditionalFormatting>
  <conditionalFormatting sqref="H48:MM99 LE75:LF234 H7:BL13 BM9:FZ13 GA9:MM47 H14:FZ47 J100:MM130 H131:MM187">
    <cfRule type="expression" dxfId="65" priority="201">
      <formula>AND(Início_da_tarefa&lt;=H$5,ROUNDDOWN((Término_da_tarefa-Início_da_tarefa+1)*Progresso_da_tarefa,0)+Início_da_tarefa-1&gt;=H$5)</formula>
    </cfRule>
  </conditionalFormatting>
  <conditionalFormatting sqref="J5:BL13 BM9:FZ13 GA9:MM47 J14:FZ47 J48:MM187 LE76:LF234 BM5:GN6">
    <cfRule type="expression" dxfId="64" priority="207">
      <formula>AND(TODAY()&gt;=J$5,TODAY()&lt;K$5)</formula>
    </cfRule>
  </conditionalFormatting>
  <conditionalFormatting sqref="J7:BL13 BM9:FZ13 GA9:MM47 J14:FZ47 J48:MM187 LE76:LF234">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71:LE72">
    <cfRule type="expression" dxfId="16" priority="6">
      <formula>AND(TODAY()&gt;=LE$5,TODAY()&lt;#REF!)</formula>
    </cfRule>
  </conditionalFormatting>
  <conditionalFormatting sqref="LE75:LF75">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71:LF72">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C87 C169 C132:C150 C161:C165 C10:C64 C99:C130 C66:C85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5" x14ac:dyDescent="0.35"/>
  <sheetData>
    <row r="5" spans="4:4" x14ac:dyDescent="0.35">
      <c r="D5" s="164"/>
    </row>
    <row r="6" spans="4:4" x14ac:dyDescent="0.35">
      <c r="D6" s="164"/>
    </row>
    <row r="7" spans="4:4" x14ac:dyDescent="0.35">
      <c r="D7" s="164"/>
    </row>
    <row r="8" spans="4:4" x14ac:dyDescent="0.35">
      <c r="D8" s="164"/>
    </row>
    <row r="9" spans="4:4" x14ac:dyDescent="0.35">
      <c r="D9" s="164"/>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7265625" style="33" customWidth="1"/>
    <col min="2" max="2" width="19.7265625" customWidth="1"/>
    <col min="3" max="3" width="15" bestFit="1" customWidth="1"/>
    <col min="4" max="4" width="16.26953125" customWidth="1"/>
    <col min="5" max="5" width="10.453125" style="5" customWidth="1"/>
    <col min="6" max="6" width="10.453125" customWidth="1"/>
    <col min="7" max="7" width="2.453125" customWidth="1"/>
    <col min="8" max="8" width="6.26953125" hidden="1" customWidth="1"/>
    <col min="9" max="71" width="2" customWidth="1"/>
    <col min="72" max="72" width="2.26953125" customWidth="1"/>
    <col min="73" max="82" width="2" customWidth="1"/>
    <col min="83" max="83" width="1.7265625" customWidth="1"/>
    <col min="84" max="93" width="2" customWidth="1"/>
    <col min="94" max="94" width="2.26953125" customWidth="1"/>
    <col min="95" max="96" width="2.26953125" style="75" customWidth="1"/>
    <col min="97" max="97" width="2.26953125" customWidth="1"/>
    <col min="98" max="101" width="2" customWidth="1"/>
    <col min="102" max="103" width="2" style="75" customWidth="1"/>
    <col min="104" max="130" width="2" customWidth="1"/>
    <col min="131" max="131" width="2" style="71" customWidth="1"/>
    <col min="132" max="155" width="2" customWidth="1"/>
    <col min="156" max="197" width="2.26953125" customWidth="1"/>
    <col min="198" max="239" width="2.453125" customWidth="1"/>
  </cols>
  <sheetData>
    <row r="1" spans="1:239" ht="30" customHeight="1" x14ac:dyDescent="0.65">
      <c r="A1" s="34" t="s">
        <v>189</v>
      </c>
      <c r="B1" s="37" t="s">
        <v>274</v>
      </c>
      <c r="C1" s="1"/>
      <c r="D1" s="2"/>
      <c r="E1" s="4"/>
      <c r="F1" s="32"/>
      <c r="H1" s="2"/>
      <c r="I1" s="51" t="s">
        <v>275</v>
      </c>
    </row>
    <row r="2" spans="1:239" ht="30" customHeight="1" x14ac:dyDescent="0.45">
      <c r="A2" s="33" t="s">
        <v>192</v>
      </c>
      <c r="B2" s="38" t="s">
        <v>276</v>
      </c>
      <c r="I2" s="165"/>
    </row>
    <row r="3" spans="1:239" ht="33" customHeight="1" x14ac:dyDescent="0.35">
      <c r="A3" s="33" t="s">
        <v>193</v>
      </c>
      <c r="B3" s="70" t="s">
        <v>194</v>
      </c>
      <c r="C3" s="69">
        <f>Início_do_projeto+120</f>
        <v>46051</v>
      </c>
      <c r="D3" s="68" t="s">
        <v>195</v>
      </c>
      <c r="E3" s="208">
        <v>45931</v>
      </c>
      <c r="F3" s="208"/>
      <c r="G3" s="64"/>
    </row>
    <row r="4" spans="1:239" ht="30" customHeight="1" x14ac:dyDescent="0.35">
      <c r="A4" s="34" t="s">
        <v>196</v>
      </c>
      <c r="C4" s="209" t="s">
        <v>197</v>
      </c>
      <c r="D4" s="210"/>
      <c r="E4" s="7">
        <v>1</v>
      </c>
      <c r="I4" s="205">
        <f>I5</f>
        <v>45929</v>
      </c>
      <c r="J4" s="206"/>
      <c r="K4" s="206"/>
      <c r="L4" s="206"/>
      <c r="M4" s="206"/>
      <c r="N4" s="206"/>
      <c r="O4" s="207"/>
      <c r="P4" s="205">
        <f>P5</f>
        <v>45936</v>
      </c>
      <c r="Q4" s="206"/>
      <c r="R4" s="206"/>
      <c r="S4" s="206"/>
      <c r="T4" s="206"/>
      <c r="U4" s="206"/>
      <c r="V4" s="207"/>
      <c r="W4" s="205">
        <f>W5</f>
        <v>45943</v>
      </c>
      <c r="X4" s="206"/>
      <c r="Y4" s="206"/>
      <c r="Z4" s="206"/>
      <c r="AA4" s="206"/>
      <c r="AB4" s="206"/>
      <c r="AC4" s="207"/>
      <c r="AD4" s="205">
        <f>AD5</f>
        <v>45950</v>
      </c>
      <c r="AE4" s="206"/>
      <c r="AF4" s="206"/>
      <c r="AG4" s="206"/>
      <c r="AH4" s="206"/>
      <c r="AI4" s="206"/>
      <c r="AJ4" s="207"/>
      <c r="AK4" s="205">
        <f>AK5</f>
        <v>45957</v>
      </c>
      <c r="AL4" s="206"/>
      <c r="AM4" s="206"/>
      <c r="AN4" s="206"/>
      <c r="AO4" s="206"/>
      <c r="AP4" s="206"/>
      <c r="AQ4" s="207"/>
      <c r="AR4" s="205">
        <f>AR5</f>
        <v>45964</v>
      </c>
      <c r="AS4" s="206"/>
      <c r="AT4" s="206"/>
      <c r="AU4" s="206"/>
      <c r="AV4" s="206"/>
      <c r="AW4" s="206"/>
      <c r="AX4" s="207"/>
      <c r="AY4" s="205">
        <f>AY5</f>
        <v>45971</v>
      </c>
      <c r="AZ4" s="206"/>
      <c r="BA4" s="206"/>
      <c r="BB4" s="206"/>
      <c r="BC4" s="206"/>
      <c r="BD4" s="206"/>
      <c r="BE4" s="207"/>
      <c r="BF4" s="205">
        <f>BF5</f>
        <v>45978</v>
      </c>
      <c r="BG4" s="206"/>
      <c r="BH4" s="206"/>
      <c r="BI4" s="206"/>
      <c r="BJ4" s="206"/>
      <c r="BK4" s="206"/>
      <c r="BL4" s="207"/>
      <c r="BM4" s="205">
        <f>BM5</f>
        <v>45985</v>
      </c>
      <c r="BN4" s="206"/>
      <c r="BO4" s="206"/>
      <c r="BP4" s="206"/>
      <c r="BQ4" s="206"/>
      <c r="BR4" s="206"/>
      <c r="BS4" s="207"/>
      <c r="BT4" s="205">
        <f>BT5</f>
        <v>45992</v>
      </c>
      <c r="BU4" s="206"/>
      <c r="BV4" s="206"/>
      <c r="BW4" s="206"/>
      <c r="BX4" s="206"/>
      <c r="BY4" s="206"/>
      <c r="BZ4" s="207"/>
      <c r="CA4" s="205">
        <f>CA5</f>
        <v>45999</v>
      </c>
      <c r="CB4" s="206"/>
      <c r="CC4" s="206"/>
      <c r="CD4" s="206"/>
      <c r="CE4" s="206"/>
      <c r="CF4" s="206"/>
      <c r="CG4" s="207"/>
      <c r="CH4" s="205">
        <f>CH5</f>
        <v>46006</v>
      </c>
      <c r="CI4" s="206"/>
      <c r="CJ4" s="206"/>
      <c r="CK4" s="206"/>
      <c r="CL4" s="206"/>
      <c r="CM4" s="206"/>
      <c r="CN4" s="207"/>
      <c r="CO4" s="205">
        <f>CO5</f>
        <v>46013</v>
      </c>
      <c r="CP4" s="206"/>
      <c r="CQ4" s="206"/>
      <c r="CR4" s="206"/>
      <c r="CS4" s="206"/>
      <c r="CT4" s="206"/>
      <c r="CU4" s="207"/>
      <c r="CV4" s="205">
        <f>CV5</f>
        <v>46020</v>
      </c>
      <c r="CW4" s="206"/>
      <c r="CX4" s="206"/>
      <c r="CY4" s="206"/>
      <c r="CZ4" s="206"/>
      <c r="DA4" s="206"/>
      <c r="DB4" s="207"/>
      <c r="DC4" s="205">
        <f>DC5</f>
        <v>46027</v>
      </c>
      <c r="DD4" s="206"/>
      <c r="DE4" s="206"/>
      <c r="DF4" s="206"/>
      <c r="DG4" s="206"/>
      <c r="DH4" s="206"/>
      <c r="DI4" s="207"/>
      <c r="DJ4" s="205">
        <f>DJ5</f>
        <v>46034</v>
      </c>
      <c r="DK4" s="206"/>
      <c r="DL4" s="206"/>
      <c r="DM4" s="206"/>
      <c r="DN4" s="206"/>
      <c r="DO4" s="206"/>
      <c r="DP4" s="207"/>
      <c r="DQ4" s="205">
        <f>DQ5</f>
        <v>46041</v>
      </c>
      <c r="DR4" s="206"/>
      <c r="DS4" s="206"/>
      <c r="DT4" s="206"/>
      <c r="DU4" s="206"/>
      <c r="DV4" s="206"/>
      <c r="DW4" s="207"/>
      <c r="DX4" s="205">
        <f>DX5</f>
        <v>46048</v>
      </c>
      <c r="DY4" s="206"/>
      <c r="DZ4" s="206"/>
      <c r="EA4" s="206"/>
      <c r="EB4" s="206"/>
      <c r="EC4" s="206"/>
      <c r="ED4" s="207"/>
      <c r="EE4" s="205">
        <f t="shared" ref="EE4" si="0">EE5</f>
        <v>46055</v>
      </c>
      <c r="EF4" s="206"/>
      <c r="EG4" s="206"/>
      <c r="EH4" s="206"/>
      <c r="EI4" s="206"/>
      <c r="EJ4" s="206"/>
      <c r="EK4" s="207"/>
      <c r="EL4" s="205">
        <f t="shared" ref="EL4" si="1">EL5</f>
        <v>46062</v>
      </c>
      <c r="EM4" s="206"/>
      <c r="EN4" s="206"/>
      <c r="EO4" s="206"/>
      <c r="EP4" s="206"/>
      <c r="EQ4" s="206"/>
      <c r="ER4" s="207"/>
      <c r="ES4" s="205">
        <f t="shared" ref="ES4" si="2">ES5</f>
        <v>46069</v>
      </c>
      <c r="ET4" s="206"/>
      <c r="EU4" s="206"/>
      <c r="EV4" s="206"/>
      <c r="EW4" s="206"/>
      <c r="EX4" s="206"/>
      <c r="EY4" s="207"/>
      <c r="EZ4" s="205">
        <f t="shared" ref="EZ4" si="3">EZ5</f>
        <v>46076</v>
      </c>
      <c r="FA4" s="206"/>
      <c r="FB4" s="206"/>
      <c r="FC4" s="206"/>
      <c r="FD4" s="206"/>
      <c r="FE4" s="206"/>
      <c r="FF4" s="207"/>
      <c r="FG4" s="205">
        <f t="shared" ref="FG4" si="4">FG5</f>
        <v>46083</v>
      </c>
      <c r="FH4" s="206"/>
      <c r="FI4" s="206"/>
      <c r="FJ4" s="206"/>
      <c r="FK4" s="206"/>
      <c r="FL4" s="206"/>
      <c r="FM4" s="207"/>
      <c r="FN4" s="205">
        <f t="shared" ref="FN4" si="5">FN5</f>
        <v>46090</v>
      </c>
      <c r="FO4" s="206"/>
      <c r="FP4" s="206"/>
      <c r="FQ4" s="206"/>
      <c r="FR4" s="206"/>
      <c r="FS4" s="206"/>
      <c r="FT4" s="207"/>
      <c r="FU4" s="205">
        <f t="shared" ref="FU4" si="6">FU5</f>
        <v>46097</v>
      </c>
      <c r="FV4" s="206"/>
      <c r="FW4" s="206"/>
      <c r="FX4" s="206"/>
      <c r="FY4" s="206"/>
      <c r="FZ4" s="206"/>
      <c r="GA4" s="207"/>
      <c r="GB4" s="205">
        <f t="shared" ref="GB4" si="7">GB5</f>
        <v>46104</v>
      </c>
      <c r="GC4" s="206"/>
      <c r="GD4" s="206"/>
      <c r="GE4" s="206"/>
      <c r="GF4" s="206"/>
      <c r="GG4" s="206"/>
      <c r="GH4" s="207"/>
      <c r="GI4" s="205">
        <f t="shared" ref="GI4" si="8">GI5</f>
        <v>46111</v>
      </c>
      <c r="GJ4" s="206"/>
      <c r="GK4" s="206"/>
      <c r="GL4" s="206"/>
      <c r="GM4" s="206"/>
      <c r="GN4" s="206"/>
      <c r="GO4" s="207"/>
      <c r="GP4" s="205">
        <f t="shared" ref="GP4" si="9">GP5</f>
        <v>46118</v>
      </c>
      <c r="GQ4" s="206"/>
      <c r="GR4" s="206"/>
      <c r="GS4" s="206"/>
      <c r="GT4" s="206"/>
      <c r="GU4" s="206"/>
      <c r="GV4" s="207"/>
      <c r="GW4" s="205">
        <f t="shared" ref="GW4" si="10">GW5</f>
        <v>46125</v>
      </c>
      <c r="GX4" s="206"/>
      <c r="GY4" s="206"/>
      <c r="GZ4" s="206"/>
      <c r="HA4" s="206"/>
      <c r="HB4" s="206"/>
      <c r="HC4" s="207"/>
      <c r="HD4" s="205">
        <f t="shared" ref="HD4" si="11">HD5</f>
        <v>46132</v>
      </c>
      <c r="HE4" s="206"/>
      <c r="HF4" s="206"/>
      <c r="HG4" s="206"/>
      <c r="HH4" s="206"/>
      <c r="HI4" s="206"/>
      <c r="HJ4" s="207"/>
      <c r="HK4" s="205">
        <f t="shared" ref="HK4" si="12">HK5</f>
        <v>46139</v>
      </c>
      <c r="HL4" s="206"/>
      <c r="HM4" s="206"/>
      <c r="HN4" s="206"/>
      <c r="HO4" s="206"/>
      <c r="HP4" s="206"/>
      <c r="HQ4" s="207"/>
      <c r="HR4" s="205">
        <f t="shared" ref="HR4" si="13">HR5</f>
        <v>46146</v>
      </c>
      <c r="HS4" s="206"/>
      <c r="HT4" s="206"/>
      <c r="HU4" s="206"/>
      <c r="HV4" s="206"/>
      <c r="HW4" s="206"/>
      <c r="HX4" s="207"/>
      <c r="HY4" s="205">
        <f t="shared" ref="HY4" si="14">HY5</f>
        <v>46153</v>
      </c>
      <c r="HZ4" s="206"/>
      <c r="IA4" s="206"/>
      <c r="IB4" s="206"/>
      <c r="IC4" s="206"/>
      <c r="ID4" s="206"/>
      <c r="IE4" s="207"/>
    </row>
    <row r="5" spans="1:239" ht="15" customHeight="1" x14ac:dyDescent="0.35">
      <c r="A5" s="34" t="s">
        <v>198</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199</v>
      </c>
      <c r="B6" s="8" t="s">
        <v>200</v>
      </c>
      <c r="C6" s="9" t="s">
        <v>201</v>
      </c>
      <c r="D6" s="9" t="s">
        <v>277</v>
      </c>
      <c r="E6" s="9" t="s">
        <v>202</v>
      </c>
      <c r="F6" s="9" t="s">
        <v>203</v>
      </c>
      <c r="G6" s="9"/>
      <c r="H6" s="9" t="s">
        <v>204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205</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207</v>
      </c>
      <c r="B8" s="15" t="s">
        <v>278</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209</v>
      </c>
      <c r="B9" s="46" t="s">
        <v>279</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210</v>
      </c>
      <c r="B10" s="46" t="s">
        <v>280</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281</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282</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280</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283</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280</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214</v>
      </c>
      <c r="B16" s="18" t="s">
        <v>284</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279</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280</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282</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280</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283</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280</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224</v>
      </c>
      <c r="B23" s="21" t="s">
        <v>285</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279</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280</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282</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280</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283</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280</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271</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272</v>
      </c>
      <c r="B31" s="25" t="s">
        <v>273</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3.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2026-01-28T09:35:41Z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