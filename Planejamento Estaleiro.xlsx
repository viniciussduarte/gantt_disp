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filterPrivacy="1" codeName="EstaPastaDeTrabalho"/>
  <xr:revisionPtr revIDLastSave="2646" documentId="101_S{B73360A1-8A99-5EFE-B3D7-B4540AB28558}" xr6:coauthVersionLast="47" xr6:coauthVersionMax="47" xr10:uidLastSave="{7254C49A-FFF2-43D0-92B5-37920DDAAC78}"/>
  <bookViews>
    <workbookView xWindow="-120" yWindow="-16320" windowWidth="29040" windowHeight="1572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Equipe!$A$1:$J$57</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6" i="11" l="1"/>
  <c r="E127" i="11" l="1"/>
  <c r="E122" i="11"/>
  <c r="E182" i="11"/>
  <c r="E185" i="11"/>
  <c r="G166" i="11"/>
  <c r="E165" i="11"/>
  <c r="G102" i="11"/>
  <c r="E75" i="11" l="1"/>
  <c r="D132" i="11"/>
  <c r="E87" i="11"/>
  <c r="E86" i="11" l="1"/>
  <c r="E180" i="11" l="1"/>
  <c r="D181" i="11" s="1"/>
  <c r="E181" i="11" s="1"/>
  <c r="E62" i="11"/>
  <c r="E63" i="11"/>
  <c r="E85" i="11"/>
  <c r="E84" i="11"/>
  <c r="E83" i="11"/>
  <c r="E82" i="11"/>
  <c r="D183" i="11" l="1"/>
  <c r="E119" i="11"/>
  <c r="E201" i="11"/>
  <c r="D202" i="11" s="1"/>
  <c r="E202" i="11" s="1"/>
  <c r="D203" i="11" s="1"/>
  <c r="E203" i="11" s="1"/>
  <c r="D204" i="11" s="1"/>
  <c r="E204" i="11" s="1"/>
  <c r="E129" i="11" l="1"/>
  <c r="D130" i="11" s="1"/>
  <c r="E130" i="11" s="1"/>
  <c r="D131" i="11" s="1"/>
  <c r="E131" i="11" s="1"/>
  <c r="E61" i="11"/>
  <c r="E60" i="11"/>
  <c r="E59" i="11"/>
  <c r="E113" i="11"/>
  <c r="D116" i="11" s="1"/>
  <c r="E116" i="11" s="1"/>
  <c r="E74" i="11"/>
  <c r="E77" i="11"/>
  <c r="E78" i="11"/>
  <c r="E79" i="11"/>
  <c r="E80" i="11"/>
  <c r="E58" i="11"/>
  <c r="E200" i="11"/>
  <c r="E164" i="11"/>
  <c r="E163" i="11"/>
  <c r="E162" i="11"/>
  <c r="E57" i="11"/>
  <c r="E56" i="11"/>
  <c r="E55" i="11"/>
  <c r="G107" i="11" l="1"/>
  <c r="G104" i="11"/>
  <c r="E198" i="11"/>
  <c r="E199" i="11" s="1"/>
  <c r="D197" i="11" l="1"/>
  <c r="G197" i="11" s="1"/>
  <c r="G161" i="11"/>
  <c r="G100" i="11" l="1"/>
  <c r="G163" i="11"/>
  <c r="G199" i="11"/>
  <c r="G198" i="11"/>
  <c r="G162" i="11"/>
  <c r="G200"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7" i="11"/>
  <c r="G186"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5" i="11" s="1"/>
  <c r="D16" i="11"/>
  <c r="D15" i="11" s="1"/>
  <c r="D12" i="11"/>
  <c r="D176" i="11" l="1"/>
  <c r="E176" i="11" s="1"/>
  <c r="E121" i="11"/>
  <c r="D124" i="11" s="1"/>
  <c r="E15" i="11"/>
  <c r="D17" i="11"/>
  <c r="E17" i="11" s="1"/>
  <c r="E172" i="11"/>
  <c r="D173" i="11" s="1"/>
  <c r="E173" i="11" s="1"/>
  <c r="D174" i="11" s="1"/>
  <c r="E174" i="11" s="1"/>
  <c r="D120" i="11"/>
  <c r="D18" i="11"/>
  <c r="E18" i="11" s="1"/>
  <c r="E69" i="11"/>
  <c r="E16" i="11"/>
  <c r="E12" i="11"/>
  <c r="G157" i="11"/>
  <c r="F11" i="13"/>
  <c r="E11" i="13"/>
  <c r="H31" i="13"/>
  <c r="H30" i="13"/>
  <c r="H23" i="13"/>
  <c r="H16" i="13"/>
  <c r="E9" i="13"/>
  <c r="F9" i="13" s="1"/>
  <c r="H8" i="13"/>
  <c r="H7" i="13"/>
  <c r="I5" i="13"/>
  <c r="J5" i="13" s="1"/>
  <c r="K5" i="13" s="1"/>
  <c r="C3" i="13"/>
  <c r="G7" i="11"/>
  <c r="D177" i="11" l="1"/>
  <c r="E177" i="11" s="1"/>
  <c r="D178" i="11" s="1"/>
  <c r="E178" i="11" s="1"/>
  <c r="E120" i="11"/>
  <c r="D123" i="11" s="1"/>
  <c r="E124" i="11"/>
  <c r="D19" i="11"/>
  <c r="E19" i="11" s="1"/>
  <c r="E70" i="11"/>
  <c r="I4" i="13"/>
  <c r="I6" i="13"/>
  <c r="J6" i="13"/>
  <c r="L5" i="13"/>
  <c r="K6" i="13"/>
  <c r="E183" i="11" l="1"/>
  <c r="E184" i="11"/>
  <c r="D128" i="11"/>
  <c r="E128" i="11" s="1"/>
  <c r="E123" i="11"/>
  <c r="D20" i="11"/>
  <c r="D21" i="11" s="1"/>
  <c r="E10" i="13"/>
  <c r="F10" i="13" s="1"/>
  <c r="E12" i="13" s="1"/>
  <c r="M5" i="13"/>
  <c r="L6" i="13"/>
  <c r="H9" i="13"/>
  <c r="H5" i="11"/>
  <c r="G207"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<sst xmlns="http://schemas.openxmlformats.org/spreadsheetml/2006/main" count="867" uniqueCount="328">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</sst>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0" fontId="6" fillId="5" borderId="34" xfId="0"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7"/>
  <sheetViews>
    <sheetView showGridLines="0" zoomScale="85" zoomScaleNormal="85" workbookViewId="0">
      <pane ySplit="1" topLeftCell="A27" activePane="bottomLeft" state="frozen"/>
      <selection pane="bottomLeft" activeCell="B1" sqref="B1:H31"/>
    </sheetView>
  </sheetViews>
  <sheetFormatPr defaultRowHeight="14.45"/>
  <cols>
    <col min="1" max="1" width="9.42578125" bestFit="1" customWidth="1"/>
    <col min="2" max="2" width="14.5703125" bestFit="1" customWidth="1"/>
    <col min="3" max="3" width="11.42578125" bestFit="1" customWidth="1"/>
    <col min="4" max="4" width="8.42578125" bestFit="1" customWidth="1"/>
    <col min="5" max="5" width="7.42578125" bestFit="1" customWidth="1"/>
    <col min="6" max="6" width="11.42578125" bestFit="1" customWidth="1"/>
    <col min="7" max="7" width="39.42578125" customWidth="1"/>
    <col min="8" max="8" width="17.85546875" bestFit="1"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hidden="1">
      <c r="A2" s="79" t="s">
        <v>10</v>
      </c>
      <c r="B2" s="91">
        <v>4612171</v>
      </c>
      <c r="C2" s="91" t="s">
        <v>11</v>
      </c>
      <c r="D2" s="92" t="s">
        <v>12</v>
      </c>
      <c r="E2" s="93" t="s">
        <v>13</v>
      </c>
      <c r="F2" s="93" t="s">
        <v>14</v>
      </c>
      <c r="G2" s="168" t="s">
        <v>15</v>
      </c>
      <c r="H2" s="93" t="s">
        <v>16</v>
      </c>
      <c r="I2" s="154" t="s">
        <v>17</v>
      </c>
      <c r="J2" s="156"/>
    </row>
    <row r="3" spans="1:10" hidden="1">
      <c r="A3" s="79" t="s">
        <v>10</v>
      </c>
      <c r="B3" s="94">
        <v>4612050</v>
      </c>
      <c r="C3" s="94" t="s">
        <v>18</v>
      </c>
      <c r="D3" s="95" t="s">
        <v>12</v>
      </c>
      <c r="E3" s="93" t="s">
        <v>19</v>
      </c>
      <c r="F3" s="96" t="s">
        <v>14</v>
      </c>
      <c r="G3" s="169" t="s">
        <v>20</v>
      </c>
      <c r="H3" s="96" t="s">
        <v>21</v>
      </c>
      <c r="I3" s="154" t="s">
        <v>22</v>
      </c>
      <c r="J3" s="156"/>
    </row>
    <row r="4" spans="1:10" hidden="1">
      <c r="A4" s="79" t="s">
        <v>10</v>
      </c>
      <c r="B4" s="91">
        <v>4612140</v>
      </c>
      <c r="C4" s="91" t="s">
        <v>23</v>
      </c>
      <c r="D4" s="92" t="s">
        <v>12</v>
      </c>
      <c r="E4" s="99" t="s">
        <v>24</v>
      </c>
      <c r="F4" s="93" t="s">
        <v>14</v>
      </c>
      <c r="G4" s="168" t="s">
        <v>25</v>
      </c>
      <c r="H4" s="93" t="s">
        <v>26</v>
      </c>
      <c r="I4" s="154" t="s">
        <v>17</v>
      </c>
      <c r="J4" s="156"/>
    </row>
    <row r="5" spans="1:10" hidden="1">
      <c r="A5" s="79" t="s">
        <v>10</v>
      </c>
      <c r="B5" s="94">
        <v>9842940</v>
      </c>
      <c r="C5" s="94" t="s">
        <v>27</v>
      </c>
      <c r="D5" s="95" t="s">
        <v>12</v>
      </c>
      <c r="E5" s="96" t="s">
        <v>13</v>
      </c>
      <c r="F5" s="96" t="s">
        <v>14</v>
      </c>
      <c r="G5" s="169" t="s">
        <v>28</v>
      </c>
      <c r="H5" s="96" t="s">
        <v>29</v>
      </c>
      <c r="I5" s="154" t="s">
        <v>30</v>
      </c>
      <c r="J5" s="157"/>
    </row>
    <row r="6" spans="1:10" hidden="1">
      <c r="A6" s="79" t="s">
        <v>31</v>
      </c>
      <c r="B6" s="91">
        <v>9886449</v>
      </c>
      <c r="C6" s="91" t="s">
        <v>32</v>
      </c>
      <c r="D6" s="92" t="s">
        <v>12</v>
      </c>
      <c r="E6" s="93" t="s">
        <v>13</v>
      </c>
      <c r="F6" s="93" t="s">
        <v>33</v>
      </c>
      <c r="G6" s="168" t="s">
        <v>34</v>
      </c>
      <c r="H6" s="93" t="s">
        <v>35</v>
      </c>
      <c r="I6" s="154" t="s">
        <v>22</v>
      </c>
      <c r="J6" s="157" t="s">
        <v>36</v>
      </c>
    </row>
    <row r="7" spans="1:10" hidden="1">
      <c r="A7" s="97" t="s">
        <v>31</v>
      </c>
      <c r="B7" s="94">
        <v>4608721</v>
      </c>
      <c r="C7" s="94" t="s">
        <v>37</v>
      </c>
      <c r="D7" s="98" t="s">
        <v>12</v>
      </c>
      <c r="E7" s="99" t="s">
        <v>13</v>
      </c>
      <c r="F7" s="99" t="s">
        <v>14</v>
      </c>
      <c r="G7" s="158" t="s">
        <v>38</v>
      </c>
      <c r="H7" s="99" t="s">
        <v>39</v>
      </c>
      <c r="I7" s="154" t="s">
        <v>22</v>
      </c>
      <c r="J7" s="157"/>
    </row>
    <row r="8" spans="1:10" hidden="1">
      <c r="A8" s="97" t="s">
        <v>31</v>
      </c>
      <c r="B8" s="91">
        <v>1385894</v>
      </c>
      <c r="C8" s="91" t="s">
        <v>40</v>
      </c>
      <c r="D8" s="100" t="s">
        <v>12</v>
      </c>
      <c r="E8" s="101" t="s">
        <v>13</v>
      </c>
      <c r="F8" s="101" t="s">
        <v>33</v>
      </c>
      <c r="G8" s="170" t="s">
        <v>41</v>
      </c>
      <c r="H8" s="101" t="s">
        <v>42</v>
      </c>
      <c r="I8" s="154" t="s">
        <v>22</v>
      </c>
      <c r="J8" s="157" t="s">
        <v>43</v>
      </c>
    </row>
    <row r="9" spans="1:10" hidden="1">
      <c r="A9" s="97" t="s">
        <v>31</v>
      </c>
      <c r="B9" s="94">
        <v>4608685</v>
      </c>
      <c r="C9" s="94" t="s">
        <v>44</v>
      </c>
      <c r="D9" s="98" t="s">
        <v>12</v>
      </c>
      <c r="E9" s="99" t="s">
        <v>13</v>
      </c>
      <c r="F9" s="99" t="s">
        <v>14</v>
      </c>
      <c r="G9" s="158" t="s">
        <v>45</v>
      </c>
      <c r="H9" s="99" t="s">
        <v>46</v>
      </c>
      <c r="I9" s="154" t="s">
        <v>22</v>
      </c>
      <c r="J9" s="157"/>
    </row>
    <row r="10" spans="1:10" ht="43.5" hidden="1">
      <c r="A10" s="97" t="s">
        <v>47</v>
      </c>
      <c r="B10" s="91">
        <v>9762281</v>
      </c>
      <c r="C10" s="91" t="s">
        <v>48</v>
      </c>
      <c r="D10" s="100" t="s">
        <v>12</v>
      </c>
      <c r="E10" s="101" t="s">
        <v>13</v>
      </c>
      <c r="F10" s="101" t="s">
        <v>33</v>
      </c>
      <c r="G10" s="170" t="s">
        <v>49</v>
      </c>
      <c r="H10" s="101" t="s">
        <v>50</v>
      </c>
      <c r="I10" s="154" t="s">
        <v>22</v>
      </c>
      <c r="J10" s="159" t="s">
        <v>51</v>
      </c>
    </row>
    <row r="11" spans="1:10" hidden="1">
      <c r="A11" s="97" t="s">
        <v>47</v>
      </c>
      <c r="B11" s="94">
        <v>9683150</v>
      </c>
      <c r="C11" s="94" t="s">
        <v>52</v>
      </c>
      <c r="D11" s="98" t="s">
        <v>12</v>
      </c>
      <c r="E11" s="99" t="s">
        <v>13</v>
      </c>
      <c r="F11" s="99" t="s">
        <v>33</v>
      </c>
      <c r="G11" s="158" t="s">
        <v>53</v>
      </c>
      <c r="H11" s="99" t="s">
        <v>54</v>
      </c>
      <c r="I11" s="154" t="s">
        <v>22</v>
      </c>
      <c r="J11" s="157" t="s">
        <v>55</v>
      </c>
    </row>
    <row r="12" spans="1:10" hidden="1">
      <c r="A12" s="79" t="s">
        <v>47</v>
      </c>
      <c r="B12" s="91">
        <v>2440812</v>
      </c>
      <c r="C12" s="91" t="s">
        <v>56</v>
      </c>
      <c r="D12" s="92" t="s">
        <v>57</v>
      </c>
      <c r="E12" s="93" t="s">
        <v>13</v>
      </c>
      <c r="F12" s="93" t="s">
        <v>33</v>
      </c>
      <c r="G12" s="168" t="s">
        <v>58</v>
      </c>
      <c r="H12" s="93" t="s">
        <v>59</v>
      </c>
      <c r="I12" s="154" t="s">
        <v>22</v>
      </c>
      <c r="J12" s="157"/>
    </row>
    <row r="13" spans="1:10" hidden="1">
      <c r="A13" s="97" t="s">
        <v>47</v>
      </c>
      <c r="B13" s="94">
        <v>1381625</v>
      </c>
      <c r="C13" s="94" t="s">
        <v>60</v>
      </c>
      <c r="D13" s="95" t="s">
        <v>12</v>
      </c>
      <c r="E13" s="96" t="s">
        <v>13</v>
      </c>
      <c r="F13" s="96" t="s">
        <v>33</v>
      </c>
      <c r="G13" s="169" t="s">
        <v>61</v>
      </c>
      <c r="H13" s="96" t="s">
        <v>62</v>
      </c>
      <c r="I13" s="154" t="s">
        <v>22</v>
      </c>
      <c r="J13" s="157"/>
    </row>
    <row r="14" spans="1:10" hidden="1">
      <c r="A14" s="79" t="s">
        <v>47</v>
      </c>
      <c r="B14" s="91">
        <v>4608389</v>
      </c>
      <c r="C14" s="91" t="s">
        <v>63</v>
      </c>
      <c r="D14" s="92" t="s">
        <v>12</v>
      </c>
      <c r="E14" s="93" t="s">
        <v>13</v>
      </c>
      <c r="F14" s="93" t="s">
        <v>14</v>
      </c>
      <c r="G14" s="168" t="s">
        <v>64</v>
      </c>
      <c r="H14" s="93" t="s">
        <v>65</v>
      </c>
      <c r="I14" s="154" t="s">
        <v>22</v>
      </c>
      <c r="J14" s="157"/>
    </row>
    <row r="15" spans="1:10" hidden="1">
      <c r="A15" s="97" t="s">
        <v>10</v>
      </c>
      <c r="B15" s="94">
        <v>4608544</v>
      </c>
      <c r="C15" s="94" t="s">
        <v>66</v>
      </c>
      <c r="D15" s="95" t="s">
        <v>12</v>
      </c>
      <c r="E15" s="96" t="s">
        <v>19</v>
      </c>
      <c r="F15" s="96" t="s">
        <v>14</v>
      </c>
      <c r="G15" s="169" t="s">
        <v>67</v>
      </c>
      <c r="H15" s="96" t="s">
        <v>68</v>
      </c>
      <c r="I15" s="154" t="s">
        <v>22</v>
      </c>
      <c r="J15" s="157"/>
    </row>
    <row r="16" spans="1:10" hidden="1">
      <c r="A16" s="97" t="s">
        <v>31</v>
      </c>
      <c r="B16" s="91">
        <v>4608474</v>
      </c>
      <c r="C16" s="91" t="s">
        <v>69</v>
      </c>
      <c r="D16" s="92" t="s">
        <v>12</v>
      </c>
      <c r="E16" s="93" t="s">
        <v>19</v>
      </c>
      <c r="F16" s="101" t="s">
        <v>14</v>
      </c>
      <c r="G16" s="170" t="s">
        <v>70</v>
      </c>
      <c r="H16" s="101" t="s">
        <v>71</v>
      </c>
      <c r="I16" s="154" t="s">
        <v>22</v>
      </c>
      <c r="J16" s="157"/>
    </row>
    <row r="17" spans="1:10" hidden="1">
      <c r="A17" s="79" t="s">
        <v>31</v>
      </c>
      <c r="B17" s="94">
        <v>1386344</v>
      </c>
      <c r="C17" s="94" t="s">
        <v>72</v>
      </c>
      <c r="D17" s="98" t="s">
        <v>12</v>
      </c>
      <c r="E17" s="99" t="s">
        <v>19</v>
      </c>
      <c r="F17" s="99" t="s">
        <v>33</v>
      </c>
      <c r="G17" s="158" t="s">
        <v>73</v>
      </c>
      <c r="H17" s="99" t="s">
        <v>74</v>
      </c>
      <c r="I17" s="154" t="s">
        <v>22</v>
      </c>
      <c r="J17" s="157" t="s">
        <v>55</v>
      </c>
    </row>
    <row r="18" spans="1:10" hidden="1">
      <c r="A18" s="79" t="s">
        <v>31</v>
      </c>
      <c r="B18" s="91">
        <v>4608684</v>
      </c>
      <c r="C18" s="91" t="s">
        <v>75</v>
      </c>
      <c r="D18" s="100" t="s">
        <v>12</v>
      </c>
      <c r="E18" s="101" t="s">
        <v>19</v>
      </c>
      <c r="F18" s="101" t="s">
        <v>14</v>
      </c>
      <c r="G18" s="170" t="s">
        <v>76</v>
      </c>
      <c r="H18" s="93" t="s">
        <v>77</v>
      </c>
      <c r="I18" s="154" t="s">
        <v>22</v>
      </c>
      <c r="J18" s="157"/>
    </row>
    <row r="19" spans="1:10" hidden="1">
      <c r="A19" s="79" t="s">
        <v>47</v>
      </c>
      <c r="B19" s="94">
        <v>9612082</v>
      </c>
      <c r="C19" s="94" t="s">
        <v>78</v>
      </c>
      <c r="D19" s="98" t="s">
        <v>12</v>
      </c>
      <c r="E19" s="99" t="s">
        <v>19</v>
      </c>
      <c r="F19" s="96" t="s">
        <v>33</v>
      </c>
      <c r="G19" s="158" t="s">
        <v>79</v>
      </c>
      <c r="H19" s="99" t="s">
        <v>80</v>
      </c>
      <c r="I19" s="154" t="s">
        <v>22</v>
      </c>
      <c r="J19" s="157"/>
    </row>
    <row r="20" spans="1:10" hidden="1">
      <c r="A20" s="79" t="s">
        <v>47</v>
      </c>
      <c r="B20" s="91">
        <v>9618720</v>
      </c>
      <c r="C20" s="91" t="s">
        <v>81</v>
      </c>
      <c r="D20" s="100" t="s">
        <v>12</v>
      </c>
      <c r="E20" s="101" t="s">
        <v>19</v>
      </c>
      <c r="F20" s="93" t="s">
        <v>33</v>
      </c>
      <c r="G20" s="170" t="s">
        <v>82</v>
      </c>
      <c r="H20" s="101" t="s">
        <v>83</v>
      </c>
      <c r="I20" s="154" t="s">
        <v>22</v>
      </c>
      <c r="J20" s="157" t="s">
        <v>43</v>
      </c>
    </row>
    <row r="21" spans="1:10" hidden="1">
      <c r="A21" s="79" t="s">
        <v>47</v>
      </c>
      <c r="B21" s="94">
        <v>9724817</v>
      </c>
      <c r="C21" s="94" t="s">
        <v>84</v>
      </c>
      <c r="D21" s="98" t="s">
        <v>12</v>
      </c>
      <c r="E21" s="99" t="s">
        <v>19</v>
      </c>
      <c r="F21" s="96" t="s">
        <v>33</v>
      </c>
      <c r="G21" s="158" t="s">
        <v>85</v>
      </c>
      <c r="H21" s="99" t="s">
        <v>86</v>
      </c>
      <c r="I21" s="154" t="s">
        <v>22</v>
      </c>
      <c r="J21" s="157"/>
    </row>
    <row r="22" spans="1:10" hidden="1">
      <c r="A22" s="79" t="s">
        <v>47</v>
      </c>
      <c r="B22" s="91">
        <v>2460800</v>
      </c>
      <c r="C22" s="91" t="s">
        <v>87</v>
      </c>
      <c r="D22" s="100" t="s">
        <v>57</v>
      </c>
      <c r="E22" s="101" t="s">
        <v>19</v>
      </c>
      <c r="F22" s="93" t="s">
        <v>33</v>
      </c>
      <c r="G22" s="168" t="s">
        <v>88</v>
      </c>
      <c r="H22" s="93" t="s">
        <v>89</v>
      </c>
      <c r="I22" s="154" t="s">
        <v>30</v>
      </c>
      <c r="J22" s="157"/>
    </row>
    <row r="23" spans="1:10" hidden="1">
      <c r="A23" s="79" t="s">
        <v>10</v>
      </c>
      <c r="B23" s="94">
        <v>4608559</v>
      </c>
      <c r="C23" s="94" t="s">
        <v>90</v>
      </c>
      <c r="D23" s="98" t="s">
        <v>12</v>
      </c>
      <c r="E23" s="99" t="s">
        <v>24</v>
      </c>
      <c r="F23" s="99" t="s">
        <v>14</v>
      </c>
      <c r="G23" s="158" t="s">
        <v>91</v>
      </c>
      <c r="H23" s="99" t="s">
        <v>92</v>
      </c>
      <c r="I23" s="154" t="s">
        <v>22</v>
      </c>
      <c r="J23" s="156"/>
    </row>
    <row r="24" spans="1:10" hidden="1">
      <c r="A24" s="79" t="s">
        <v>31</v>
      </c>
      <c r="B24" s="91">
        <v>4608411</v>
      </c>
      <c r="C24" s="91" t="s">
        <v>93</v>
      </c>
      <c r="D24" s="100" t="s">
        <v>12</v>
      </c>
      <c r="E24" s="101" t="s">
        <v>24</v>
      </c>
      <c r="F24" s="93" t="s">
        <v>14</v>
      </c>
      <c r="G24" s="170" t="s">
        <v>94</v>
      </c>
      <c r="H24" s="101" t="s">
        <v>95</v>
      </c>
      <c r="I24" s="154" t="s">
        <v>22</v>
      </c>
      <c r="J24" s="156"/>
    </row>
    <row r="25" spans="1:10" hidden="1">
      <c r="A25" s="79" t="s">
        <v>31</v>
      </c>
      <c r="B25" s="94">
        <v>9634180</v>
      </c>
      <c r="C25" s="94" t="s">
        <v>96</v>
      </c>
      <c r="D25" s="95" t="s">
        <v>12</v>
      </c>
      <c r="E25" s="96" t="s">
        <v>24</v>
      </c>
      <c r="F25" s="96" t="s">
        <v>33</v>
      </c>
      <c r="G25" s="169" t="s">
        <v>97</v>
      </c>
      <c r="H25" s="96" t="s">
        <v>98</v>
      </c>
      <c r="I25" s="154" t="s">
        <v>22</v>
      </c>
      <c r="J25" s="156"/>
    </row>
    <row r="26" spans="1:10" hidden="1">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hidden="1">
      <c r="A28" s="79" t="s">
        <v>47</v>
      </c>
      <c r="B28" s="91">
        <v>2477135</v>
      </c>
      <c r="C28" s="91" t="s">
        <v>106</v>
      </c>
      <c r="D28" s="92" t="s">
        <v>12</v>
      </c>
      <c r="E28" s="93" t="s">
        <v>24</v>
      </c>
      <c r="F28" s="93" t="s">
        <v>33</v>
      </c>
      <c r="G28" s="170" t="s">
        <v>107</v>
      </c>
      <c r="H28" s="101" t="s">
        <v>108</v>
      </c>
      <c r="I28" s="154" t="s">
        <v>22</v>
      </c>
      <c r="J28" s="156"/>
    </row>
    <row r="29" spans="1:10" hidden="1">
      <c r="A29" s="79" t="s">
        <v>10</v>
      </c>
      <c r="B29" s="94">
        <v>4606246</v>
      </c>
      <c r="C29" s="94" t="s">
        <v>109</v>
      </c>
      <c r="D29" s="95" t="s">
        <v>110</v>
      </c>
      <c r="E29" s="99" t="s">
        <v>111</v>
      </c>
      <c r="F29" s="96" t="s">
        <v>14</v>
      </c>
      <c r="G29" s="158" t="s">
        <v>112</v>
      </c>
      <c r="H29" s="99" t="s">
        <v>113</v>
      </c>
      <c r="I29" s="154" t="s">
        <v>22</v>
      </c>
      <c r="J29" s="157"/>
    </row>
    <row r="30" spans="1:10" hidden="1">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hidden="1">
      <c r="A32" s="79" t="s">
        <v>31</v>
      </c>
      <c r="B32" s="91">
        <v>229316</v>
      </c>
      <c r="C32" s="91" t="s">
        <v>120</v>
      </c>
      <c r="D32" s="91" t="s">
        <v>110</v>
      </c>
      <c r="E32" s="81" t="s">
        <v>111</v>
      </c>
      <c r="F32" s="81" t="s">
        <v>33</v>
      </c>
      <c r="G32" s="171" t="s">
        <v>121</v>
      </c>
      <c r="H32" s="81" t="s">
        <v>122</v>
      </c>
      <c r="I32" s="154" t="s">
        <v>22</v>
      </c>
      <c r="J32" s="157"/>
    </row>
    <row r="33" spans="1:10" hidden="1">
      <c r="A33" s="79" t="s">
        <v>47</v>
      </c>
      <c r="B33" s="94">
        <v>2493288</v>
      </c>
      <c r="C33" s="94" t="s">
        <v>123</v>
      </c>
      <c r="D33" s="94" t="s">
        <v>110</v>
      </c>
      <c r="E33" s="80" t="s">
        <v>111</v>
      </c>
      <c r="F33" s="96" t="s">
        <v>33</v>
      </c>
      <c r="G33" s="172" t="s">
        <v>124</v>
      </c>
      <c r="H33" s="80" t="s">
        <v>125</v>
      </c>
      <c r="I33" s="154" t="s">
        <v>22</v>
      </c>
      <c r="J33" s="157"/>
    </row>
    <row r="34" spans="1:10" hidden="1">
      <c r="A34" s="79" t="s">
        <v>47</v>
      </c>
      <c r="B34" s="91">
        <v>214272</v>
      </c>
      <c r="C34" s="91" t="s">
        <v>126</v>
      </c>
      <c r="D34" s="91" t="s">
        <v>110</v>
      </c>
      <c r="E34" s="81" t="s">
        <v>111</v>
      </c>
      <c r="F34" s="93" t="s">
        <v>33</v>
      </c>
      <c r="G34" s="171" t="s">
        <v>127</v>
      </c>
      <c r="H34" s="81" t="s">
        <v>128</v>
      </c>
      <c r="I34" s="154" t="s">
        <v>22</v>
      </c>
      <c r="J34" s="157"/>
    </row>
    <row r="35" spans="1:10" hidden="1">
      <c r="A35" s="79" t="s">
        <v>47</v>
      </c>
      <c r="B35" s="94">
        <v>4606694</v>
      </c>
      <c r="C35" s="94" t="s">
        <v>129</v>
      </c>
      <c r="D35" s="95" t="s">
        <v>110</v>
      </c>
      <c r="E35" s="80" t="s">
        <v>111</v>
      </c>
      <c r="F35" s="80" t="s">
        <v>14</v>
      </c>
      <c r="G35" s="172" t="s">
        <v>130</v>
      </c>
      <c r="H35" s="80" t="s">
        <v>131</v>
      </c>
      <c r="I35" s="154" t="s">
        <v>30</v>
      </c>
      <c r="J35" s="157"/>
    </row>
    <row r="36" spans="1:10" hidden="1">
      <c r="A36" s="79" t="s">
        <v>47</v>
      </c>
      <c r="B36" s="91">
        <v>2430855</v>
      </c>
      <c r="C36" s="91" t="s">
        <v>132</v>
      </c>
      <c r="D36" s="92" t="s">
        <v>12</v>
      </c>
      <c r="E36" s="81" t="s">
        <v>111</v>
      </c>
      <c r="F36" s="81" t="s">
        <v>33</v>
      </c>
      <c r="G36" s="171" t="s">
        <v>133</v>
      </c>
      <c r="H36" s="81" t="s">
        <v>134</v>
      </c>
      <c r="I36" s="154" t="s">
        <v>22</v>
      </c>
      <c r="J36" s="157"/>
    </row>
    <row r="37" spans="1:10" hidden="1">
      <c r="A37" s="79" t="s">
        <v>47</v>
      </c>
      <c r="B37" s="94">
        <v>4604625</v>
      </c>
      <c r="C37" s="94" t="s">
        <v>135</v>
      </c>
      <c r="D37" s="95" t="s">
        <v>136</v>
      </c>
      <c r="E37" s="80" t="s">
        <v>111</v>
      </c>
      <c r="F37" s="80" t="s">
        <v>14</v>
      </c>
      <c r="G37" s="172" t="s">
        <v>137</v>
      </c>
      <c r="H37" s="80" t="s">
        <v>138</v>
      </c>
      <c r="I37" s="154" t="s">
        <v>22</v>
      </c>
      <c r="J37" s="157"/>
    </row>
    <row r="38" spans="1:10" hidden="1">
      <c r="A38" s="79" t="s">
        <v>47</v>
      </c>
      <c r="B38" s="91">
        <v>4612098</v>
      </c>
      <c r="C38" s="91" t="s">
        <v>139</v>
      </c>
      <c r="D38" s="92" t="s">
        <v>12</v>
      </c>
      <c r="E38" s="93" t="s">
        <v>13</v>
      </c>
      <c r="F38" s="81" t="s">
        <v>14</v>
      </c>
      <c r="G38" s="171" t="s">
        <v>140</v>
      </c>
      <c r="H38" s="81" t="s">
        <v>141</v>
      </c>
      <c r="I38" s="154" t="s">
        <v>22</v>
      </c>
      <c r="J38" s="156"/>
    </row>
    <row r="39" spans="1:10" hidden="1">
      <c r="A39" s="97" t="s">
        <v>47</v>
      </c>
      <c r="B39" s="94">
        <v>4612126</v>
      </c>
      <c r="C39" s="94" t="s">
        <v>142</v>
      </c>
      <c r="D39" s="95" t="s">
        <v>12</v>
      </c>
      <c r="E39" s="93" t="s">
        <v>19</v>
      </c>
      <c r="F39" s="80" t="s">
        <v>14</v>
      </c>
      <c r="G39" s="172" t="s">
        <v>143</v>
      </c>
      <c r="H39" s="80" t="s">
        <v>144</v>
      </c>
      <c r="I39" s="154" t="s">
        <v>22</v>
      </c>
      <c r="J39" s="156"/>
    </row>
    <row r="40" spans="1:10" hidden="1">
      <c r="A40" s="79" t="s">
        <v>47</v>
      </c>
      <c r="B40" s="91">
        <v>2550195</v>
      </c>
      <c r="C40" s="91" t="s">
        <v>145</v>
      </c>
      <c r="D40" s="91" t="s">
        <v>57</v>
      </c>
      <c r="E40" s="81" t="s">
        <v>24</v>
      </c>
      <c r="F40" s="81" t="s">
        <v>33</v>
      </c>
      <c r="G40" s="171" t="s">
        <v>146</v>
      </c>
      <c r="H40" s="81" t="s">
        <v>147</v>
      </c>
      <c r="I40" s="154" t="s">
        <v>30</v>
      </c>
      <c r="J40" s="156"/>
    </row>
    <row r="41" spans="1:10" hidden="1">
      <c r="A41" s="79" t="s">
        <v>47</v>
      </c>
      <c r="B41" s="94">
        <v>4613176</v>
      </c>
      <c r="C41" s="94" t="s">
        <v>148</v>
      </c>
      <c r="D41" s="95" t="s">
        <v>12</v>
      </c>
      <c r="E41" s="96" t="s">
        <v>19</v>
      </c>
      <c r="F41" s="80" t="s">
        <v>14</v>
      </c>
      <c r="G41" s="202" t="s">
        <v>149</v>
      </c>
      <c r="H41" s="80" t="s">
        <v>150</v>
      </c>
      <c r="I41" s="154"/>
      <c r="J41" s="156"/>
    </row>
    <row r="42" spans="1:10" hidden="1">
      <c r="A42" s="79" t="s">
        <v>47</v>
      </c>
      <c r="B42" s="91">
        <v>4613186</v>
      </c>
      <c r="C42" s="91" t="s">
        <v>151</v>
      </c>
      <c r="D42" s="92" t="s">
        <v>12</v>
      </c>
      <c r="E42" s="93" t="s">
        <v>24</v>
      </c>
      <c r="F42" s="81" t="s">
        <v>14</v>
      </c>
      <c r="G42" s="203" t="s">
        <v>152</v>
      </c>
      <c r="H42" s="81" t="s">
        <v>153</v>
      </c>
      <c r="I42" s="154"/>
      <c r="J42" s="156"/>
    </row>
    <row r="43" spans="1:10" hidden="1">
      <c r="A43" s="79" t="s">
        <v>31</v>
      </c>
      <c r="B43" s="94">
        <v>4612243</v>
      </c>
      <c r="C43" s="94" t="s">
        <v>154</v>
      </c>
      <c r="D43" s="95" t="s">
        <v>12</v>
      </c>
      <c r="E43" s="96" t="s">
        <v>13</v>
      </c>
      <c r="F43" s="80" t="s">
        <v>14</v>
      </c>
      <c r="G43" s="172" t="s">
        <v>155</v>
      </c>
      <c r="H43" s="80" t="s">
        <v>156</v>
      </c>
      <c r="I43" s="154" t="s">
        <v>22</v>
      </c>
      <c r="J43" s="156"/>
    </row>
    <row r="44" spans="1:10" hidden="1">
      <c r="A44" s="79" t="s">
        <v>31</v>
      </c>
      <c r="B44" s="91">
        <v>4612389</v>
      </c>
      <c r="C44" s="91" t="s">
        <v>157</v>
      </c>
      <c r="D44" s="92" t="s">
        <v>12</v>
      </c>
      <c r="E44" s="96" t="s">
        <v>13</v>
      </c>
      <c r="F44" s="81" t="s">
        <v>14</v>
      </c>
      <c r="G44" s="171" t="s">
        <v>158</v>
      </c>
      <c r="H44" s="81" t="s">
        <v>159</v>
      </c>
      <c r="I44" s="154" t="s">
        <v>22</v>
      </c>
      <c r="J44" s="156"/>
    </row>
    <row r="45" spans="1:10" hidden="1">
      <c r="A45" s="79" t="s">
        <v>31</v>
      </c>
      <c r="B45" s="94">
        <v>4612192</v>
      </c>
      <c r="C45" s="94" t="s">
        <v>160</v>
      </c>
      <c r="D45" s="95" t="s">
        <v>12</v>
      </c>
      <c r="E45" s="93" t="s">
        <v>19</v>
      </c>
      <c r="F45" s="80" t="s">
        <v>14</v>
      </c>
      <c r="G45" s="172" t="s">
        <v>161</v>
      </c>
      <c r="H45" s="80" t="s">
        <v>162</v>
      </c>
      <c r="I45" s="154" t="s">
        <v>30</v>
      </c>
      <c r="J45" s="156"/>
    </row>
    <row r="46" spans="1:10" hidden="1">
      <c r="A46" s="79" t="s">
        <v>31</v>
      </c>
      <c r="B46" s="91">
        <v>4612393</v>
      </c>
      <c r="C46" s="91" t="s">
        <v>163</v>
      </c>
      <c r="D46" s="92" t="s">
        <v>12</v>
      </c>
      <c r="E46" s="99" t="s">
        <v>24</v>
      </c>
      <c r="F46" s="81" t="s">
        <v>14</v>
      </c>
      <c r="G46" s="171" t="s">
        <v>164</v>
      </c>
      <c r="H46" s="81" t="s">
        <v>165</v>
      </c>
      <c r="I46" s="154" t="s">
        <v>17</v>
      </c>
      <c r="J46" s="156"/>
    </row>
    <row r="47" spans="1:10" hidden="1">
      <c r="A47" s="79" t="s">
        <v>31</v>
      </c>
      <c r="B47" s="94">
        <v>4612228</v>
      </c>
      <c r="C47" s="94" t="s">
        <v>166</v>
      </c>
      <c r="D47" s="95" t="s">
        <v>12</v>
      </c>
      <c r="E47" s="93" t="s">
        <v>19</v>
      </c>
      <c r="F47" s="80" t="s">
        <v>14</v>
      </c>
      <c r="G47" s="172" t="s">
        <v>167</v>
      </c>
      <c r="H47" s="80" t="s">
        <v>168</v>
      </c>
      <c r="I47" s="154" t="s">
        <v>22</v>
      </c>
      <c r="J47" s="156"/>
    </row>
    <row r="48" spans="1:10" hidden="1">
      <c r="A48" s="79" t="s">
        <v>31</v>
      </c>
      <c r="B48" s="91">
        <v>4612247</v>
      </c>
      <c r="C48" s="91" t="s">
        <v>169</v>
      </c>
      <c r="D48" s="92" t="s">
        <v>12</v>
      </c>
      <c r="E48" s="99" t="s">
        <v>24</v>
      </c>
      <c r="F48" s="81" t="s">
        <v>14</v>
      </c>
      <c r="G48" s="171" t="s">
        <v>170</v>
      </c>
      <c r="H48" s="81" t="s">
        <v>171</v>
      </c>
      <c r="I48" s="154" t="s">
        <v>17</v>
      </c>
      <c r="J48" s="156"/>
    </row>
    <row r="49" spans="1:10" hidden="1">
      <c r="A49" s="79" t="s">
        <v>31</v>
      </c>
      <c r="B49" s="94">
        <v>1385950</v>
      </c>
      <c r="C49" s="94" t="s">
        <v>172</v>
      </c>
      <c r="D49" s="95" t="s">
        <v>12</v>
      </c>
      <c r="E49" s="93" t="s">
        <v>19</v>
      </c>
      <c r="F49" s="80" t="s">
        <v>33</v>
      </c>
      <c r="G49" s="164" t="s">
        <v>173</v>
      </c>
      <c r="H49" s="80" t="s">
        <v>174</v>
      </c>
      <c r="I49" s="154"/>
      <c r="J49" s="156"/>
    </row>
    <row r="50" spans="1:10" hidden="1">
      <c r="A50" s="79" t="s">
        <v>31</v>
      </c>
      <c r="B50" s="91">
        <v>1387328</v>
      </c>
      <c r="C50" s="91" t="s">
        <v>175</v>
      </c>
      <c r="D50" s="92" t="s">
        <v>12</v>
      </c>
      <c r="E50" s="93" t="s">
        <v>19</v>
      </c>
      <c r="F50" s="81" t="s">
        <v>33</v>
      </c>
      <c r="G50" s="165" t="s">
        <v>176</v>
      </c>
      <c r="H50" s="81" t="s">
        <v>177</v>
      </c>
      <c r="I50" s="154"/>
      <c r="J50" s="156"/>
    </row>
    <row r="51" spans="1:10" hidden="1">
      <c r="A51" s="187" t="s">
        <v>31</v>
      </c>
      <c r="B51" s="188">
        <v>1385870</v>
      </c>
      <c r="C51" s="188" t="s">
        <v>178</v>
      </c>
      <c r="D51" s="189" t="s">
        <v>12</v>
      </c>
      <c r="E51" s="190" t="s">
        <v>24</v>
      </c>
      <c r="F51" s="191" t="s">
        <v>33</v>
      </c>
      <c r="G51" s="192" t="s">
        <v>179</v>
      </c>
      <c r="H51" s="191" t="s">
        <v>180</v>
      </c>
      <c r="I51" s="193"/>
      <c r="J51" s="194"/>
    </row>
    <row r="52" spans="1:10" hidden="1">
      <c r="A52" s="195" t="s">
        <v>31</v>
      </c>
      <c r="B52" s="196">
        <v>1386288</v>
      </c>
      <c r="C52" s="196" t="s">
        <v>181</v>
      </c>
      <c r="D52" s="196" t="s">
        <v>12</v>
      </c>
      <c r="E52" s="197" t="s">
        <v>24</v>
      </c>
      <c r="F52" s="198" t="s">
        <v>33</v>
      </c>
      <c r="G52" s="199" t="s">
        <v>182</v>
      </c>
      <c r="H52" s="198" t="s">
        <v>183</v>
      </c>
      <c r="I52" s="157"/>
      <c r="J52" s="156"/>
    </row>
    <row r="53" spans="1:10" hidden="1">
      <c r="A53" s="195" t="s">
        <v>31</v>
      </c>
      <c r="B53" s="200">
        <v>9678697</v>
      </c>
      <c r="C53" s="200" t="s">
        <v>184</v>
      </c>
      <c r="D53" s="200" t="s">
        <v>12</v>
      </c>
      <c r="E53" s="197" t="s">
        <v>13</v>
      </c>
      <c r="F53" s="197" t="s">
        <v>33</v>
      </c>
      <c r="G53" s="201" t="s">
        <v>185</v>
      </c>
      <c r="H53" s="197" t="s">
        <v>186</v>
      </c>
      <c r="I53" s="157"/>
      <c r="J53" s="156"/>
    </row>
    <row r="54" spans="1:10" hidden="1">
      <c r="A54" s="195" t="s">
        <v>10</v>
      </c>
      <c r="B54" s="196">
        <v>9921954</v>
      </c>
      <c r="C54" s="196" t="s">
        <v>187</v>
      </c>
      <c r="D54" s="196" t="s">
        <v>12</v>
      </c>
      <c r="E54" s="198" t="s">
        <v>19</v>
      </c>
      <c r="F54" s="198" t="s">
        <v>33</v>
      </c>
      <c r="G54" s="199" t="s">
        <v>188</v>
      </c>
      <c r="H54" s="198" t="s">
        <v>189</v>
      </c>
      <c r="I54" s="157"/>
      <c r="J54" s="156"/>
    </row>
    <row r="55" spans="1:10" hidden="1">
      <c r="A55" s="195" t="s">
        <v>10</v>
      </c>
      <c r="B55" s="200">
        <v>2448533</v>
      </c>
      <c r="C55" s="200" t="s">
        <v>190</v>
      </c>
      <c r="D55" s="200" t="s">
        <v>12</v>
      </c>
      <c r="E55" s="197" t="s">
        <v>13</v>
      </c>
      <c r="F55" s="197" t="s">
        <v>33</v>
      </c>
      <c r="G55" s="201" t="s">
        <v>191</v>
      </c>
      <c r="H55" s="197" t="s">
        <v>192</v>
      </c>
      <c r="I55" s="157"/>
      <c r="J55" s="156"/>
    </row>
    <row r="56" spans="1:10" hidden="1">
      <c r="A56" s="195" t="s">
        <v>10</v>
      </c>
      <c r="B56" s="200">
        <v>4606426</v>
      </c>
      <c r="C56" s="200" t="s">
        <v>193</v>
      </c>
      <c r="D56" s="196" t="s">
        <v>110</v>
      </c>
      <c r="E56" s="197" t="s">
        <v>194</v>
      </c>
      <c r="F56" s="197"/>
      <c r="G56" s="201" t="s">
        <v>195</v>
      </c>
      <c r="H56" s="198" t="s">
        <v>196</v>
      </c>
      <c r="I56" s="156"/>
      <c r="J56" s="157"/>
    </row>
    <row r="57" spans="1:10" hidden="1">
      <c r="A57" s="195" t="s">
        <v>31</v>
      </c>
      <c r="B57" s="200"/>
      <c r="C57" s="200"/>
      <c r="D57" s="196" t="s">
        <v>110</v>
      </c>
      <c r="E57" s="197"/>
      <c r="F57" s="197"/>
      <c r="G57" s="214"/>
      <c r="H57" s="198" t="s">
        <v>197</v>
      </c>
      <c r="I57" s="156"/>
      <c r="J57" s="157"/>
    </row>
  </sheetData>
  <autoFilter ref="A1:J57" xr:uid="{CCFC853D-4B89-47CE-AA8F-BD4EA9CD1EC0}">
    <filterColumn colId="7">
      <filters>
        <filter val="RAFAEL LUSQUINOS"/>
        <filter val="RAUL ALENDE"/>
      </filters>
    </filterColumn>
  </autoFilter>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8"/>
  <sheetViews>
    <sheetView showGridLines="0" tabSelected="1" showRuler="0" zoomScale="90" zoomScaleNormal="90" zoomScalePageLayoutView="70" workbookViewId="0">
      <pane xSplit="7" ySplit="6" topLeftCell="H162" activePane="bottomRight" state="frozen"/>
      <selection pane="bottomRight" activeCell="C174" sqref="C174"/>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570312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570312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45" t="s">
        <v>200</v>
      </c>
      <c r="BU1" s="245"/>
      <c r="BV1" s="245"/>
      <c r="CQ1" s="243"/>
      <c r="CR1" s="243"/>
      <c r="CX1" s="242"/>
      <c r="CY1" s="242"/>
      <c r="EK1" s="243"/>
    </row>
    <row r="2" spans="1:617" ht="9.6" customHeight="1">
      <c r="A2" s="33" t="s">
        <v>201</v>
      </c>
      <c r="B2" s="38"/>
      <c r="BT2" s="245"/>
      <c r="BU2" s="245"/>
      <c r="BV2" s="245"/>
      <c r="CQ2" s="243"/>
      <c r="CR2" s="243"/>
      <c r="CX2" s="242"/>
      <c r="CY2" s="242"/>
      <c r="EK2" s="243"/>
    </row>
    <row r="3" spans="1:617" ht="9.6" customHeight="1">
      <c r="A3" s="33" t="s">
        <v>202</v>
      </c>
      <c r="B3" s="70" t="s">
        <v>203</v>
      </c>
      <c r="C3" s="135">
        <f>Início_do_projeto+660</f>
        <v>46318</v>
      </c>
      <c r="D3" s="112" t="s">
        <v>204</v>
      </c>
      <c r="E3" s="249">
        <v>45658</v>
      </c>
      <c r="F3" s="249"/>
      <c r="BT3" s="245"/>
      <c r="BU3" s="245"/>
      <c r="BV3" s="245"/>
      <c r="CQ3" s="243"/>
      <c r="CR3" s="243"/>
      <c r="CX3" s="242"/>
      <c r="CY3" s="242"/>
      <c r="EK3" s="243"/>
    </row>
    <row r="4" spans="1:617" ht="9.6" customHeight="1">
      <c r="A4" s="34" t="s">
        <v>205</v>
      </c>
      <c r="D4" s="113" t="s">
        <v>206</v>
      </c>
      <c r="F4" s="7">
        <v>1</v>
      </c>
      <c r="H4" s="231">
        <f>H5</f>
        <v>45656</v>
      </c>
      <c r="I4" s="232"/>
      <c r="J4" s="232"/>
      <c r="K4" s="232"/>
      <c r="L4" s="232"/>
      <c r="M4" s="232"/>
      <c r="N4" s="232"/>
      <c r="O4" s="233"/>
      <c r="P4" s="231">
        <f>P5</f>
        <v>45663</v>
      </c>
      <c r="Q4" s="232"/>
      <c r="R4" s="232"/>
      <c r="S4" s="232"/>
      <c r="T4" s="232"/>
      <c r="U4" s="232"/>
      <c r="V4" s="233"/>
      <c r="W4" s="231">
        <f>W5</f>
        <v>45670</v>
      </c>
      <c r="X4" s="232"/>
      <c r="Y4" s="232"/>
      <c r="Z4" s="232"/>
      <c r="AA4" s="232"/>
      <c r="AB4" s="232"/>
      <c r="AC4" s="233"/>
      <c r="AD4" s="231">
        <f>AD5</f>
        <v>45677</v>
      </c>
      <c r="AE4" s="232"/>
      <c r="AF4" s="232"/>
      <c r="AG4" s="232"/>
      <c r="AH4" s="232"/>
      <c r="AI4" s="232"/>
      <c r="AJ4" s="233"/>
      <c r="AK4" s="231">
        <f>AK5</f>
        <v>45684</v>
      </c>
      <c r="AL4" s="232"/>
      <c r="AM4" s="232"/>
      <c r="AN4" s="232"/>
      <c r="AO4" s="232"/>
      <c r="AP4" s="232"/>
      <c r="AQ4" s="233"/>
      <c r="AR4" s="231">
        <f>AR5</f>
        <v>45691</v>
      </c>
      <c r="AS4" s="232"/>
      <c r="AT4" s="232"/>
      <c r="AU4" s="232"/>
      <c r="AV4" s="232"/>
      <c r="AW4" s="232"/>
      <c r="AX4" s="233"/>
      <c r="AY4" s="231">
        <f>AY5</f>
        <v>45698</v>
      </c>
      <c r="AZ4" s="232"/>
      <c r="BA4" s="232"/>
      <c r="BB4" s="232"/>
      <c r="BC4" s="232"/>
      <c r="BD4" s="232"/>
      <c r="BE4" s="233"/>
      <c r="BF4" s="231">
        <f>BF5</f>
        <v>45705</v>
      </c>
      <c r="BG4" s="232"/>
      <c r="BH4" s="232"/>
      <c r="BI4" s="232"/>
      <c r="BJ4" s="232"/>
      <c r="BK4" s="232"/>
      <c r="BL4" s="233"/>
      <c r="BM4" s="231">
        <f>BM5</f>
        <v>45712</v>
      </c>
      <c r="BN4" s="232"/>
      <c r="BO4" s="232"/>
      <c r="BP4" s="232"/>
      <c r="BQ4" s="232"/>
      <c r="BR4" s="232"/>
      <c r="BS4" s="233"/>
      <c r="BT4" s="231">
        <f>BT5</f>
        <v>45719</v>
      </c>
      <c r="BU4" s="232"/>
      <c r="BV4" s="232"/>
      <c r="BW4" s="232"/>
      <c r="BX4" s="232"/>
      <c r="BY4" s="232"/>
      <c r="BZ4" s="233"/>
      <c r="CA4" s="231">
        <f>CA5</f>
        <v>45726</v>
      </c>
      <c r="CB4" s="232"/>
      <c r="CC4" s="232"/>
      <c r="CD4" s="232"/>
      <c r="CE4" s="232"/>
      <c r="CF4" s="232"/>
      <c r="CG4" s="233"/>
      <c r="CH4" s="231">
        <f>CH5</f>
        <v>45733</v>
      </c>
      <c r="CI4" s="232"/>
      <c r="CJ4" s="232"/>
      <c r="CK4" s="232"/>
      <c r="CL4" s="232"/>
      <c r="CM4" s="232"/>
      <c r="CN4" s="233"/>
      <c r="CO4" s="231">
        <f>CO5</f>
        <v>45740</v>
      </c>
      <c r="CP4" s="232"/>
      <c r="CQ4" s="232"/>
      <c r="CR4" s="232"/>
      <c r="CS4" s="232"/>
      <c r="CT4" s="232"/>
      <c r="CU4" s="233"/>
      <c r="CV4" s="231">
        <f>CV5</f>
        <v>45747</v>
      </c>
      <c r="CW4" s="232"/>
      <c r="CX4" s="232"/>
      <c r="CY4" s="232"/>
      <c r="CZ4" s="232"/>
      <c r="DA4" s="232"/>
      <c r="DB4" s="233"/>
      <c r="DC4" s="231">
        <f>DC5</f>
        <v>45754</v>
      </c>
      <c r="DD4" s="232"/>
      <c r="DE4" s="232"/>
      <c r="DF4" s="232"/>
      <c r="DG4" s="232"/>
      <c r="DH4" s="232"/>
      <c r="DI4" s="233"/>
      <c r="DJ4" s="231">
        <f>DJ5</f>
        <v>45761</v>
      </c>
      <c r="DK4" s="232"/>
      <c r="DL4" s="232"/>
      <c r="DM4" s="232"/>
      <c r="DN4" s="232"/>
      <c r="DO4" s="232"/>
      <c r="DP4" s="233"/>
      <c r="DQ4" s="231">
        <f>DQ5</f>
        <v>45768</v>
      </c>
      <c r="DR4" s="232"/>
      <c r="DS4" s="232"/>
      <c r="DT4" s="232"/>
      <c r="DU4" s="232"/>
      <c r="DV4" s="232"/>
      <c r="DW4" s="233"/>
      <c r="DX4" s="231">
        <f>DX5</f>
        <v>45775</v>
      </c>
      <c r="DY4" s="232"/>
      <c r="DZ4" s="232"/>
      <c r="EA4" s="232"/>
      <c r="EB4" s="232"/>
      <c r="EC4" s="232"/>
      <c r="ED4" s="233"/>
      <c r="EE4" s="231">
        <f t="shared" ref="EE4" si="0">EE5</f>
        <v>45782</v>
      </c>
      <c r="EF4" s="232"/>
      <c r="EG4" s="232"/>
      <c r="EH4" s="232"/>
      <c r="EI4" s="232"/>
      <c r="EJ4" s="232"/>
      <c r="EK4" s="233"/>
      <c r="EL4" s="231">
        <f t="shared" ref="EL4" si="1">EL5</f>
        <v>45789</v>
      </c>
      <c r="EM4" s="232"/>
      <c r="EN4" s="232"/>
      <c r="EO4" s="232"/>
      <c r="EP4" s="232"/>
      <c r="EQ4" s="232"/>
      <c r="ER4" s="233"/>
      <c r="ES4" s="231">
        <f t="shared" ref="ES4" si="2">ES5</f>
        <v>45796</v>
      </c>
      <c r="ET4" s="232"/>
      <c r="EU4" s="232"/>
      <c r="EV4" s="232"/>
      <c r="EW4" s="232"/>
      <c r="EX4" s="232"/>
      <c r="EY4" s="233"/>
      <c r="EZ4" s="231">
        <f t="shared" ref="EZ4" si="3">EZ5</f>
        <v>45803</v>
      </c>
      <c r="FA4" s="232"/>
      <c r="FB4" s="232"/>
      <c r="FC4" s="232"/>
      <c r="FD4" s="232"/>
      <c r="FE4" s="232"/>
      <c r="FF4" s="233"/>
      <c r="FG4" s="231">
        <f t="shared" ref="FG4" si="4">FG5</f>
        <v>45810</v>
      </c>
      <c r="FH4" s="232"/>
      <c r="FI4" s="232"/>
      <c r="FJ4" s="232"/>
      <c r="FK4" s="232"/>
      <c r="FL4" s="232"/>
      <c r="FM4" s="233"/>
      <c r="FN4" s="231">
        <f t="shared" ref="FN4" si="5">FN5</f>
        <v>45817</v>
      </c>
      <c r="FO4" s="232"/>
      <c r="FP4" s="232"/>
      <c r="FQ4" s="232"/>
      <c r="FR4" s="232"/>
      <c r="FS4" s="232"/>
      <c r="FT4" s="233"/>
      <c r="FU4" s="231">
        <f t="shared" ref="FU4" si="6">FU5</f>
        <v>45824</v>
      </c>
      <c r="FV4" s="232"/>
      <c r="FW4" s="232"/>
      <c r="FX4" s="232"/>
      <c r="FY4" s="232"/>
      <c r="FZ4" s="232"/>
      <c r="GA4" s="233"/>
      <c r="GB4" s="231">
        <f t="shared" ref="GB4" si="7">GB5</f>
        <v>45831</v>
      </c>
      <c r="GC4" s="232"/>
      <c r="GD4" s="232"/>
      <c r="GE4" s="232"/>
      <c r="GF4" s="232"/>
      <c r="GG4" s="232"/>
      <c r="GH4" s="233"/>
      <c r="GI4" s="231">
        <f t="shared" ref="GI4" si="8">GI5</f>
        <v>45838</v>
      </c>
      <c r="GJ4" s="232"/>
      <c r="GK4" s="232"/>
      <c r="GL4" s="232"/>
      <c r="GM4" s="232"/>
      <c r="GN4" s="232"/>
      <c r="GO4" s="233"/>
      <c r="GP4" s="231">
        <f t="shared" ref="GP4" si="9">GP5</f>
        <v>45845</v>
      </c>
      <c r="GQ4" s="232"/>
      <c r="GR4" s="232"/>
      <c r="GS4" s="232"/>
      <c r="GT4" s="232"/>
      <c r="GU4" s="232"/>
      <c r="GV4" s="233"/>
      <c r="GW4" s="231">
        <f t="shared" ref="GW4" si="10">GW5</f>
        <v>45852</v>
      </c>
      <c r="GX4" s="232"/>
      <c r="GY4" s="232"/>
      <c r="GZ4" s="232"/>
      <c r="HA4" s="232"/>
      <c r="HB4" s="232"/>
      <c r="HC4" s="233"/>
      <c r="HD4" s="231">
        <f t="shared" ref="HD4" si="11">HD5</f>
        <v>45859</v>
      </c>
      <c r="HE4" s="232"/>
      <c r="HF4" s="232"/>
      <c r="HG4" s="232"/>
      <c r="HH4" s="232"/>
      <c r="HI4" s="232"/>
      <c r="HJ4" s="233"/>
      <c r="HK4" s="231">
        <f t="shared" ref="HK4" si="12">HK5</f>
        <v>45866</v>
      </c>
      <c r="HL4" s="232"/>
      <c r="HM4" s="232"/>
      <c r="HN4" s="232"/>
      <c r="HO4" s="232"/>
      <c r="HP4" s="232"/>
      <c r="HQ4" s="233"/>
      <c r="HR4" s="231">
        <f t="shared" ref="HR4" si="13">HR5</f>
        <v>45873</v>
      </c>
      <c r="HS4" s="232"/>
      <c r="HT4" s="232"/>
      <c r="HU4" s="232"/>
      <c r="HV4" s="232"/>
      <c r="HW4" s="232"/>
      <c r="HX4" s="233"/>
      <c r="HY4" s="231">
        <f t="shared" ref="HY4" si="14">HY5</f>
        <v>45880</v>
      </c>
      <c r="HZ4" s="232"/>
      <c r="IA4" s="232"/>
      <c r="IB4" s="232"/>
      <c r="IC4" s="232"/>
      <c r="ID4" s="232"/>
      <c r="IE4" s="233"/>
      <c r="IF4" s="231">
        <f t="shared" ref="IF4" si="15">IF5</f>
        <v>45887</v>
      </c>
      <c r="IG4" s="232"/>
      <c r="IH4" s="232"/>
      <c r="II4" s="232"/>
      <c r="IJ4" s="232"/>
      <c r="IK4" s="232"/>
      <c r="IL4" s="233"/>
      <c r="IM4" s="231">
        <f t="shared" ref="IM4" si="16">IM5</f>
        <v>45894</v>
      </c>
      <c r="IN4" s="232"/>
      <c r="IO4" s="232"/>
      <c r="IP4" s="232"/>
      <c r="IQ4" s="232"/>
      <c r="IR4" s="232"/>
      <c r="IS4" s="233"/>
      <c r="IT4" s="231">
        <f t="shared" ref="IT4" si="17">IT5</f>
        <v>45901</v>
      </c>
      <c r="IU4" s="232"/>
      <c r="IV4" s="232"/>
      <c r="IW4" s="232"/>
      <c r="IX4" s="232"/>
      <c r="IY4" s="232"/>
      <c r="IZ4" s="233"/>
      <c r="JA4" s="231">
        <f t="shared" ref="JA4" si="18">JA5</f>
        <v>45908</v>
      </c>
      <c r="JB4" s="232"/>
      <c r="JC4" s="232"/>
      <c r="JD4" s="232"/>
      <c r="JE4" s="232"/>
      <c r="JF4" s="232"/>
      <c r="JG4" s="233"/>
      <c r="JH4" s="231">
        <f t="shared" ref="JH4" si="19">JH5</f>
        <v>45915</v>
      </c>
      <c r="JI4" s="232"/>
      <c r="JJ4" s="232"/>
      <c r="JK4" s="232"/>
      <c r="JL4" s="232"/>
      <c r="JM4" s="232"/>
      <c r="JN4" s="233"/>
      <c r="JO4" s="231">
        <f t="shared" ref="JO4" si="20">JO5</f>
        <v>45922</v>
      </c>
      <c r="JP4" s="232"/>
      <c r="JQ4" s="232"/>
      <c r="JR4" s="232"/>
      <c r="JS4" s="232"/>
      <c r="JT4" s="232"/>
      <c r="JU4" s="233"/>
      <c r="JV4" s="231">
        <f t="shared" ref="JV4" si="21">JV5</f>
        <v>45929</v>
      </c>
      <c r="JW4" s="232"/>
      <c r="JX4" s="232"/>
      <c r="JY4" s="232"/>
      <c r="JZ4" s="232"/>
      <c r="KA4" s="232"/>
      <c r="KB4" s="233"/>
      <c r="KC4" s="231">
        <f t="shared" ref="KC4" si="22">KC5</f>
        <v>45936</v>
      </c>
      <c r="KD4" s="232"/>
      <c r="KE4" s="232"/>
      <c r="KF4" s="232"/>
      <c r="KG4" s="232"/>
      <c r="KH4" s="232"/>
      <c r="KI4" s="233"/>
      <c r="KJ4" s="231">
        <f t="shared" ref="KJ4" si="23">KJ5</f>
        <v>45943</v>
      </c>
      <c r="KK4" s="232"/>
      <c r="KL4" s="232"/>
      <c r="KM4" s="232"/>
      <c r="KN4" s="232"/>
      <c r="KO4" s="232"/>
      <c r="KP4" s="233"/>
      <c r="KQ4" s="231">
        <f t="shared" ref="KQ4" si="24">KQ5</f>
        <v>45950</v>
      </c>
      <c r="KR4" s="232"/>
      <c r="KS4" s="232"/>
      <c r="KT4" s="232"/>
      <c r="KU4" s="232"/>
      <c r="KV4" s="232"/>
      <c r="KW4" s="233"/>
      <c r="KX4" s="231">
        <f t="shared" ref="KX4" si="25">KX5</f>
        <v>45957</v>
      </c>
      <c r="KY4" s="232"/>
      <c r="KZ4" s="232"/>
      <c r="LA4" s="232"/>
      <c r="LB4" s="232"/>
      <c r="LC4" s="232"/>
      <c r="LD4" s="233"/>
      <c r="LE4" s="231">
        <f t="shared" ref="LE4" si="26">LE5</f>
        <v>45964</v>
      </c>
      <c r="LF4" s="232"/>
      <c r="LG4" s="232"/>
      <c r="LH4" s="232"/>
      <c r="LI4" s="232"/>
      <c r="LJ4" s="232"/>
      <c r="LK4" s="233"/>
      <c r="LL4" s="231">
        <f t="shared" ref="LL4" si="27">LL5</f>
        <v>45971</v>
      </c>
      <c r="LM4" s="232"/>
      <c r="LN4" s="232"/>
      <c r="LO4" s="232"/>
      <c r="LP4" s="232"/>
      <c r="LQ4" s="232"/>
      <c r="LR4" s="233"/>
      <c r="LS4" s="231">
        <f t="shared" ref="LS4" si="28">LS5</f>
        <v>45978</v>
      </c>
      <c r="LT4" s="231"/>
      <c r="LU4" s="231"/>
      <c r="LV4" s="231"/>
      <c r="LW4" s="231"/>
      <c r="LX4" s="231"/>
      <c r="LY4" s="231"/>
      <c r="LZ4" s="231">
        <f t="shared" ref="LZ4" si="29">LZ5</f>
        <v>45985</v>
      </c>
      <c r="MA4" s="232"/>
      <c r="MB4" s="232"/>
      <c r="MC4" s="232"/>
      <c r="MD4" s="232"/>
      <c r="ME4" s="232"/>
      <c r="MF4" s="233"/>
      <c r="MG4" s="231">
        <f t="shared" ref="MG4" si="30">MG5</f>
        <v>45992</v>
      </c>
      <c r="MH4" s="232"/>
      <c r="MI4" s="232"/>
      <c r="MJ4" s="232"/>
      <c r="MK4" s="232"/>
      <c r="ML4" s="232"/>
      <c r="MM4" s="233"/>
      <c r="MN4" s="231">
        <f t="shared" ref="MN4:OY4" si="31">MN5</f>
        <v>45999</v>
      </c>
      <c r="MO4" s="232"/>
      <c r="MP4" s="232"/>
      <c r="MQ4" s="232"/>
      <c r="MR4" s="232"/>
      <c r="MS4" s="232"/>
      <c r="MT4" s="233"/>
      <c r="MU4" s="231">
        <f t="shared" si="31"/>
        <v>46006</v>
      </c>
      <c r="MV4" s="232"/>
      <c r="MW4" s="232"/>
      <c r="MX4" s="232"/>
      <c r="MY4" s="232"/>
      <c r="MZ4" s="232"/>
      <c r="NA4" s="233"/>
      <c r="NB4" s="231">
        <f t="shared" si="31"/>
        <v>46013</v>
      </c>
      <c r="NC4" s="232"/>
      <c r="ND4" s="232"/>
      <c r="NE4" s="232"/>
      <c r="NF4" s="232"/>
      <c r="NG4" s="232"/>
      <c r="NH4" s="233"/>
      <c r="NI4" s="231">
        <f t="shared" si="31"/>
        <v>46020</v>
      </c>
      <c r="NJ4" s="232"/>
      <c r="NK4" s="232"/>
      <c r="NL4" s="232"/>
      <c r="NM4" s="232"/>
      <c r="NN4" s="232"/>
      <c r="NO4" s="233"/>
      <c r="NP4" s="231">
        <f t="shared" si="31"/>
        <v>46027</v>
      </c>
      <c r="NQ4" s="232"/>
      <c r="NR4" s="232"/>
      <c r="NS4" s="232"/>
      <c r="NT4" s="232"/>
      <c r="NU4" s="232"/>
      <c r="NV4" s="233"/>
      <c r="NW4" s="183">
        <f t="shared" si="31"/>
        <v>46034</v>
      </c>
      <c r="NX4" s="184"/>
      <c r="NY4" s="184"/>
      <c r="NZ4" s="184"/>
      <c r="OA4" s="184"/>
      <c r="OB4" s="231"/>
      <c r="OC4" s="232"/>
      <c r="OD4" s="232">
        <f t="shared" si="31"/>
        <v>46041</v>
      </c>
      <c r="OE4" s="232"/>
      <c r="OF4" s="232"/>
      <c r="OG4" s="232"/>
      <c r="OH4" s="233"/>
      <c r="OI4" s="184"/>
      <c r="OJ4" s="185"/>
      <c r="OK4" s="183">
        <f t="shared" si="31"/>
        <v>46048</v>
      </c>
      <c r="OL4" s="184"/>
      <c r="OM4" s="184"/>
      <c r="ON4" s="231"/>
      <c r="OO4" s="232"/>
      <c r="OP4" s="232"/>
      <c r="OQ4" s="232"/>
      <c r="OR4" s="232">
        <f t="shared" si="31"/>
        <v>46055</v>
      </c>
      <c r="OS4" s="232"/>
      <c r="OT4" s="233"/>
      <c r="OU4" s="184"/>
      <c r="OV4" s="184"/>
      <c r="OW4" s="184"/>
      <c r="OX4" s="185"/>
      <c r="OY4" s="183">
        <f t="shared" si="31"/>
        <v>46062</v>
      </c>
      <c r="OZ4" s="231"/>
      <c r="PA4" s="232"/>
      <c r="PB4" s="232"/>
      <c r="PC4" s="232"/>
      <c r="PD4" s="232"/>
      <c r="PE4" s="232"/>
      <c r="PF4" s="233">
        <f t="shared" ref="PF4:RQ4" si="32">PF5</f>
        <v>46069</v>
      </c>
      <c r="PG4" s="184"/>
      <c r="PH4" s="184"/>
      <c r="PI4" s="184"/>
      <c r="PJ4" s="184"/>
      <c r="PK4" s="184"/>
      <c r="PL4" s="231"/>
      <c r="PM4" s="232">
        <f t="shared" si="32"/>
        <v>46076</v>
      </c>
      <c r="PN4" s="232"/>
      <c r="PO4" s="232"/>
      <c r="PP4" s="232"/>
      <c r="PQ4" s="232"/>
      <c r="PR4" s="233"/>
      <c r="PS4" s="185"/>
      <c r="PT4" s="183">
        <f t="shared" si="32"/>
        <v>46083</v>
      </c>
      <c r="PU4" s="184"/>
      <c r="PV4" s="184"/>
      <c r="PW4" s="184"/>
      <c r="PX4" s="231"/>
      <c r="PY4" s="232"/>
      <c r="PZ4" s="232"/>
      <c r="QA4" s="232">
        <f t="shared" si="32"/>
        <v>46090</v>
      </c>
      <c r="QB4" s="232"/>
      <c r="QC4" s="232"/>
      <c r="QD4" s="233"/>
      <c r="QE4" s="184"/>
      <c r="QF4" s="184"/>
      <c r="QG4" s="185"/>
      <c r="QH4" s="183">
        <f t="shared" si="32"/>
        <v>46097</v>
      </c>
      <c r="QI4" s="184"/>
      <c r="QJ4" s="231"/>
      <c r="QK4" s="232"/>
      <c r="QL4" s="232"/>
      <c r="QM4" s="232"/>
      <c r="QN4" s="232"/>
      <c r="QO4" s="232">
        <f t="shared" si="32"/>
        <v>46104</v>
      </c>
      <c r="QP4" s="233"/>
      <c r="QQ4" s="184"/>
      <c r="QR4" s="184"/>
      <c r="QS4" s="184"/>
      <c r="QT4" s="184"/>
      <c r="QU4" s="185"/>
      <c r="QV4" s="231">
        <f t="shared" si="32"/>
        <v>46111</v>
      </c>
      <c r="QW4" s="232"/>
      <c r="QX4" s="232"/>
      <c r="QY4" s="232"/>
      <c r="QZ4" s="232"/>
      <c r="RA4" s="232"/>
      <c r="RB4" s="233"/>
      <c r="RC4" s="183">
        <f t="shared" si="32"/>
        <v>46118</v>
      </c>
      <c r="RD4" s="184"/>
      <c r="RE4" s="184"/>
      <c r="RF4" s="184"/>
      <c r="RG4" s="184"/>
      <c r="RH4" s="231"/>
      <c r="RI4" s="232"/>
      <c r="RJ4" s="232">
        <f t="shared" si="32"/>
        <v>46125</v>
      </c>
      <c r="RK4" s="232"/>
      <c r="RL4" s="232"/>
      <c r="RM4" s="232"/>
      <c r="RN4" s="233"/>
      <c r="RO4" s="184"/>
      <c r="RP4" s="185"/>
      <c r="RQ4" s="183">
        <f t="shared" si="32"/>
        <v>46132</v>
      </c>
      <c r="RR4" s="184"/>
      <c r="RS4" s="184"/>
      <c r="RT4" s="231"/>
      <c r="RU4" s="232"/>
      <c r="RV4" s="232"/>
      <c r="RW4" s="232"/>
      <c r="RX4" s="232">
        <f t="shared" ref="RX4:UI4" si="33">RX5</f>
        <v>46139</v>
      </c>
      <c r="RY4" s="232"/>
      <c r="RZ4" s="233"/>
      <c r="SA4" s="184"/>
      <c r="SB4" s="184"/>
      <c r="SC4" s="184"/>
      <c r="SD4" s="185"/>
      <c r="SE4" s="183">
        <f t="shared" si="33"/>
        <v>46146</v>
      </c>
      <c r="SF4" s="231"/>
      <c r="SG4" s="232"/>
      <c r="SH4" s="232"/>
      <c r="SI4" s="232"/>
      <c r="SJ4" s="232"/>
      <c r="SK4" s="232"/>
      <c r="SL4" s="233">
        <f t="shared" si="33"/>
        <v>46153</v>
      </c>
      <c r="SM4" s="184"/>
      <c r="SN4" s="184"/>
      <c r="SO4" s="184"/>
      <c r="SP4" s="184"/>
      <c r="SQ4" s="184"/>
      <c r="SR4" s="231"/>
      <c r="SS4" s="232">
        <f t="shared" si="33"/>
        <v>46160</v>
      </c>
      <c r="ST4" s="232"/>
      <c r="SU4" s="232"/>
      <c r="SV4" s="232"/>
      <c r="SW4" s="232"/>
      <c r="SX4" s="233"/>
      <c r="SY4" s="185"/>
      <c r="SZ4" s="183">
        <f t="shared" si="33"/>
        <v>46167</v>
      </c>
      <c r="TA4" s="184"/>
      <c r="TB4" s="184"/>
      <c r="TC4" s="184"/>
      <c r="TD4" s="231"/>
      <c r="TE4" s="232"/>
      <c r="TF4" s="232"/>
      <c r="TG4" s="232">
        <f t="shared" si="33"/>
        <v>46174</v>
      </c>
      <c r="TH4" s="232"/>
      <c r="TI4" s="232"/>
      <c r="TJ4" s="233"/>
      <c r="TK4" s="184"/>
      <c r="TL4" s="184"/>
      <c r="TM4" s="185"/>
      <c r="TN4" s="183">
        <f t="shared" si="33"/>
        <v>46181</v>
      </c>
      <c r="TO4" s="184"/>
      <c r="TP4" s="231"/>
      <c r="TQ4" s="232"/>
      <c r="TR4" s="232"/>
      <c r="TS4" s="232"/>
      <c r="TT4" s="232"/>
      <c r="TU4" s="232">
        <f t="shared" si="33"/>
        <v>46188</v>
      </c>
      <c r="TV4" s="233"/>
      <c r="TW4" s="184"/>
      <c r="TX4" s="184"/>
      <c r="TY4" s="184"/>
      <c r="TZ4" s="184"/>
      <c r="UA4" s="185"/>
      <c r="UB4" s="231">
        <f t="shared" si="33"/>
        <v>46195</v>
      </c>
      <c r="UC4" s="232"/>
      <c r="UD4" s="232"/>
      <c r="UE4" s="232"/>
      <c r="UF4" s="232"/>
      <c r="UG4" s="232"/>
      <c r="UH4" s="233"/>
      <c r="UI4" s="183">
        <f t="shared" si="33"/>
        <v>46202</v>
      </c>
      <c r="UJ4" s="184"/>
      <c r="UK4" s="184"/>
      <c r="UL4" s="184"/>
      <c r="UM4" s="184"/>
      <c r="UN4" s="231"/>
      <c r="UO4" s="232"/>
      <c r="UP4" s="232">
        <f t="shared" ref="UP4:WM4" si="34">UP5</f>
        <v>46209</v>
      </c>
      <c r="UQ4" s="232"/>
      <c r="UR4" s="232"/>
      <c r="US4" s="232"/>
      <c r="UT4" s="233"/>
      <c r="UU4" s="184"/>
      <c r="UV4" s="185"/>
      <c r="UW4" s="183">
        <f t="shared" si="34"/>
        <v>46216</v>
      </c>
      <c r="UX4" s="184"/>
      <c r="UY4" s="184"/>
      <c r="UZ4" s="231"/>
      <c r="VA4" s="232"/>
      <c r="VB4" s="232"/>
      <c r="VC4" s="232"/>
      <c r="VD4" s="232">
        <f t="shared" si="34"/>
        <v>46223</v>
      </c>
      <c r="VE4" s="232"/>
      <c r="VF4" s="233"/>
      <c r="VG4" s="184"/>
      <c r="VH4" s="184"/>
      <c r="VI4" s="184"/>
      <c r="VJ4" s="185"/>
      <c r="VK4" s="183">
        <f t="shared" si="34"/>
        <v>46230</v>
      </c>
      <c r="VL4" s="231"/>
      <c r="VM4" s="232"/>
      <c r="VN4" s="232"/>
      <c r="VO4" s="232"/>
      <c r="VP4" s="232"/>
      <c r="VQ4" s="232"/>
      <c r="VR4" s="233">
        <f t="shared" si="34"/>
        <v>46237</v>
      </c>
      <c r="VS4" s="184"/>
      <c r="VT4" s="184"/>
      <c r="VU4" s="184"/>
      <c r="VV4" s="184"/>
      <c r="VW4" s="184"/>
      <c r="VX4" s="231"/>
      <c r="VY4" s="232">
        <f t="shared" si="34"/>
        <v>46244</v>
      </c>
      <c r="VZ4" s="232"/>
      <c r="WA4" s="232"/>
      <c r="WB4" s="232"/>
      <c r="WC4" s="232"/>
      <c r="WD4" s="233"/>
      <c r="WE4" s="185"/>
      <c r="WF4" s="183">
        <f t="shared" si="34"/>
        <v>46251</v>
      </c>
      <c r="WG4" s="184"/>
      <c r="WH4" s="184"/>
      <c r="WI4" s="184"/>
      <c r="WJ4" s="231"/>
      <c r="WK4" s="232"/>
      <c r="WL4" s="232"/>
      <c r="WM4" s="232">
        <f t="shared" si="34"/>
        <v>46258</v>
      </c>
      <c r="WN4" s="232"/>
      <c r="WO4" s="232"/>
      <c r="WP4" s="233"/>
      <c r="WQ4" s="184"/>
      <c r="WR4" s="184"/>
      <c r="WS4" s="185"/>
    </row>
    <row r="5" spans="1:617" ht="9.6" customHeight="1">
      <c r="A5" s="34" t="s">
        <v>207</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44" t="s">
        <v>215</v>
      </c>
      <c r="C8" s="244"/>
      <c r="D8" s="244"/>
      <c r="E8" s="24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85" customHeight="1" outlineLevel="1" thickBot="1">
      <c r="A9" s="34" t="s">
        <v>216</v>
      </c>
      <c r="B9" s="241" t="s">
        <v>217</v>
      </c>
      <c r="C9" s="241"/>
      <c r="D9" s="241"/>
      <c r="E9" s="241"/>
      <c r="F9" s="14"/>
      <c r="G9" s="14" t="str">
        <f t="shared" ref="G9:G207"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35" t="s">
        <v>226</v>
      </c>
      <c r="C65" s="235"/>
      <c r="D65" s="235"/>
      <c r="E65" s="235"/>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0">
        <v>46149</v>
      </c>
      <c r="E75" s="204">
        <f>D75+G75</f>
        <v>46266</v>
      </c>
      <c r="F75" s="14"/>
      <c r="G75" s="14">
        <v>117</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0">
        <v>46155</v>
      </c>
      <c r="E76" s="204">
        <f>D76+G76</f>
        <v>46266</v>
      </c>
      <c r="F76" s="14"/>
      <c r="G76" s="14">
        <v>111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204">
        <v>46209</v>
      </c>
      <c r="E77" s="116">
        <f t="shared" si="594"/>
        <v>46266</v>
      </c>
      <c r="F77" s="14"/>
      <c r="G77" s="14">
        <v>57</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204">
        <v>46226</v>
      </c>
      <c r="E78" s="116">
        <f t="shared" si="594"/>
        <v>46266</v>
      </c>
      <c r="F78" s="14"/>
      <c r="G78" s="14">
        <v>40</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36" t="s">
        <v>232</v>
      </c>
      <c r="C81" s="236"/>
      <c r="D81" s="236"/>
      <c r="E81" s="236"/>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36" t="s">
        <v>236</v>
      </c>
      <c r="C90" s="236"/>
      <c r="D90" s="236"/>
      <c r="E90" s="236"/>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37" t="s">
        <v>238</v>
      </c>
      <c r="C92" s="237"/>
      <c r="D92" s="237"/>
      <c r="E92" s="237"/>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38" t="s">
        <v>242</v>
      </c>
      <c r="C95" s="238"/>
      <c r="D95" s="238"/>
      <c r="E95" s="238"/>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39" t="s">
        <v>251</v>
      </c>
      <c r="C103" s="239"/>
      <c r="D103" s="239"/>
      <c r="E103" s="239"/>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34" t="s">
        <v>252</v>
      </c>
      <c r="C104" s="234"/>
      <c r="D104" s="234"/>
      <c r="E104" s="234"/>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206">
        <v>46233</v>
      </c>
      <c r="E125" s="148">
        <v>46280</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46281</v>
      </c>
      <c r="E128" s="148">
        <f t="shared" si="598"/>
        <v>46336</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40" t="s">
        <v>267</v>
      </c>
      <c r="C160" s="240"/>
      <c r="D160" s="240"/>
      <c r="E160" s="240"/>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 customHeight="1" outlineLevel="1" thickBot="1">
      <c r="A167" s="33"/>
      <c r="B167" s="239" t="s">
        <v>215</v>
      </c>
      <c r="C167" s="239"/>
      <c r="D167" s="239"/>
      <c r="E167" s="239"/>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34" t="s">
        <v>274</v>
      </c>
      <c r="C168" s="234"/>
      <c r="D168" s="234"/>
      <c r="E168" s="234"/>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customHeight="1" outlineLevel="1" thickBot="1">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221" t="s">
        <v>276</v>
      </c>
      <c r="C172" s="222" t="s">
        <v>277</v>
      </c>
      <c r="D172" s="223">
        <f>E170</f>
        <v>46204</v>
      </c>
      <c r="E172" s="224">
        <f t="shared" si="605"/>
        <v>46290</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276</v>
      </c>
      <c r="C173" s="42" t="s">
        <v>180</v>
      </c>
      <c r="D173" s="116">
        <f>E172</f>
        <v>46290</v>
      </c>
      <c r="E173" s="116">
        <f t="shared" ref="E173:E178" si="606">D173+G173</f>
        <v>46363</v>
      </c>
      <c r="F173" s="14"/>
      <c r="G173" s="186">
        <v>73</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276</v>
      </c>
      <c r="C174" s="42" t="s">
        <v>183</v>
      </c>
      <c r="D174" s="116">
        <f>E173</f>
        <v>46363</v>
      </c>
      <c r="E174" s="116">
        <f t="shared" si="606"/>
        <v>46436</v>
      </c>
      <c r="F174" s="14"/>
      <c r="G174" s="186">
        <v>73</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221" t="s">
        <v>275</v>
      </c>
      <c r="C175" s="222" t="s">
        <v>104</v>
      </c>
      <c r="D175" s="227">
        <v>46118</v>
      </c>
      <c r="E175" s="223">
        <f t="shared" si="606"/>
        <v>46204</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21" t="s">
        <v>275</v>
      </c>
      <c r="C176" s="222" t="s">
        <v>108</v>
      </c>
      <c r="D176" s="223">
        <f>E175</f>
        <v>46204</v>
      </c>
      <c r="E176" s="224">
        <f t="shared" si="606"/>
        <v>46290</v>
      </c>
      <c r="F176" s="14"/>
      <c r="G176" s="14">
        <v>86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62</v>
      </c>
      <c r="D177" s="116">
        <f>E176</f>
        <v>46290</v>
      </c>
      <c r="E177" s="116">
        <f t="shared" si="606"/>
        <v>46346</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275</v>
      </c>
      <c r="C178" s="42" t="s">
        <v>108</v>
      </c>
      <c r="D178" s="116">
        <f>E177</f>
        <v>46346</v>
      </c>
      <c r="E178" s="116">
        <f t="shared" si="606"/>
        <v>46436</v>
      </c>
      <c r="F178" s="14"/>
      <c r="G178" s="186">
        <v>90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146" t="s">
        <v>278</v>
      </c>
      <c r="C179" s="147" t="s">
        <v>279</v>
      </c>
      <c r="D179" s="206">
        <v>46132</v>
      </c>
      <c r="E179" s="206">
        <v>46192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21" t="s">
        <v>278</v>
      </c>
      <c r="C180" s="222" t="s">
        <v>196</v>
      </c>
      <c r="D180" s="223">
        <v>46191</v>
      </c>
      <c r="E180" s="224">
        <f t="shared" ref="E180" si="607">D180+G180-1</f>
        <v>46246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146" t="s">
        <v>280</v>
      </c>
      <c r="C181" s="147" t="s">
        <v>138</v>
      </c>
      <c r="D181" s="148">
        <f>E180</f>
        <v>46246</v>
      </c>
      <c r="E181" s="148">
        <f t="shared" ref="E181" si="608">D181+G181-1</f>
        <v>46301</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215" t="s">
        <v>281</v>
      </c>
      <c r="C182" s="216" t="s">
        <v>119</v>
      </c>
      <c r="D182" s="217">
        <v>46275</v>
      </c>
      <c r="E182" s="217">
        <f>D182+G182</f>
        <v>46436</v>
      </c>
      <c r="F182" s="14"/>
      <c r="G182" s="186">
        <v>161</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146" t="s">
        <v>280</v>
      </c>
      <c r="C183" s="147" t="s">
        <v>131</v>
      </c>
      <c r="D183" s="148">
        <f>E181</f>
        <v>46301</v>
      </c>
      <c r="E183" s="148">
        <f>D183+G183</f>
        <v>46436</v>
      </c>
      <c r="F183" s="14"/>
      <c r="G183" s="186">
        <v>135</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18" t="s">
        <v>276</v>
      </c>
      <c r="C184" s="219"/>
      <c r="D184" s="220">
        <v>46268</v>
      </c>
      <c r="E184" s="220">
        <f t="shared" ref="E184" si="609">D184+G184</f>
        <v>46436</v>
      </c>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218" t="s">
        <v>275</v>
      </c>
      <c r="C185" s="219" t="s">
        <v>104</v>
      </c>
      <c r="D185" s="220">
        <v>46268</v>
      </c>
      <c r="E185" s="220">
        <f>D185+G185</f>
        <v>46436</v>
      </c>
      <c r="F185" s="14"/>
      <c r="G185" s="186">
        <v>168</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83" t="s">
        <v>282</v>
      </c>
      <c r="C186" s="141"/>
      <c r="D186" s="124"/>
      <c r="E186" s="125"/>
      <c r="F186" s="14"/>
      <c r="G186" s="14" t="str">
        <f t="shared" ca="1" si="586"/>
        <v/>
      </c>
      <c r="H186" s="29"/>
      <c r="I186" s="29"/>
      <c r="J186" s="29"/>
      <c r="K186" s="29"/>
      <c r="L186" s="29"/>
      <c r="M186" s="29"/>
      <c r="N186" s="29"/>
      <c r="O186" s="29"/>
      <c r="P186" s="29"/>
      <c r="Q186" s="29"/>
      <c r="R186" s="29"/>
      <c r="S186" s="29"/>
      <c r="T186" s="29"/>
      <c r="U186" s="29"/>
      <c r="V186" s="29"/>
      <c r="W186" s="29"/>
      <c r="X186" s="29"/>
      <c r="Y186" s="30"/>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c r="A187" s="33" t="s">
        <v>237</v>
      </c>
      <c r="B187" s="84" t="s">
        <v>275</v>
      </c>
      <c r="C187" s="137" t="s">
        <v>62</v>
      </c>
      <c r="D187" s="117">
        <f>E187-G187</f>
        <v>45853</v>
      </c>
      <c r="E187" s="117">
        <v>45898</v>
      </c>
      <c r="F187" s="14"/>
      <c r="G187" s="14">
        <v>45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21" t="s">
        <v>283</v>
      </c>
      <c r="C188" s="143"/>
      <c r="D188" s="127"/>
      <c r="E188" s="128"/>
      <c r="F188" s="14"/>
      <c r="G188" s="14"/>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82" t="s">
        <v>247</v>
      </c>
      <c r="C189" s="138" t="s">
        <v>284</v>
      </c>
      <c r="D189" s="119">
        <v>45735</v>
      </c>
      <c r="E189" s="119">
        <v>45814</v>
      </c>
      <c r="F189" s="14"/>
      <c r="G189" s="14">
        <v>79</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82" t="s">
        <v>247</v>
      </c>
      <c r="C190" s="138" t="s">
        <v>271</v>
      </c>
      <c r="D190" s="119">
        <v>45817</v>
      </c>
      <c r="E190" s="119">
        <v>45870</v>
      </c>
      <c r="F190" s="14"/>
      <c r="G190" s="14">
        <v>53</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82" t="s">
        <v>243</v>
      </c>
      <c r="C191" s="138" t="s">
        <v>285</v>
      </c>
      <c r="D191" s="119">
        <v>45873</v>
      </c>
      <c r="E191" s="119">
        <v>45898</v>
      </c>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82"/>
      <c r="C192" s="138"/>
      <c r="D192" s="119"/>
      <c r="E192" s="119"/>
      <c r="F192" s="14"/>
      <c r="G192" s="14">
        <v>25</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c r="A193" s="33"/>
      <c r="B193" s="103" t="s">
        <v>286</v>
      </c>
      <c r="C193" s="108"/>
      <c r="D193" s="129"/>
      <c r="E193" s="130"/>
      <c r="F193" s="104" t="s">
        <v>287</v>
      </c>
      <c r="G193" s="104" t="s">
        <v>287</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c r="A194" s="33"/>
      <c r="B194" s="105" t="s">
        <v>246</v>
      </c>
      <c r="C194" s="144" t="s">
        <v>288</v>
      </c>
      <c r="D194" s="109">
        <v>45818</v>
      </c>
      <c r="E194" s="109">
        <v>45870</v>
      </c>
      <c r="F194" s="106" t="s">
        <v>287</v>
      </c>
      <c r="G194" s="106">
        <v>52</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105" t="s">
        <v>246</v>
      </c>
      <c r="C195" s="144" t="s">
        <v>241</v>
      </c>
      <c r="D195" s="109">
        <v>45873</v>
      </c>
      <c r="E195" s="109">
        <v>45929</v>
      </c>
      <c r="F195" s="106" t="s">
        <v>287</v>
      </c>
      <c r="G195" s="106">
        <v>56</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230" t="s">
        <v>289</v>
      </c>
      <c r="C196" s="230"/>
      <c r="D196" s="230"/>
      <c r="E196" s="230"/>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c r="A197" s="33"/>
      <c r="B197" s="85" t="s">
        <v>243</v>
      </c>
      <c r="C197" s="145" t="s">
        <v>268</v>
      </c>
      <c r="D197" s="123">
        <f>E161+3</f>
        <v>45999</v>
      </c>
      <c r="E197" s="123">
        <v>46028</v>
      </c>
      <c r="F197" s="14"/>
      <c r="G197" s="14">
        <f>E197-D197</f>
        <v>29</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c r="A198" s="33"/>
      <c r="B198" s="85" t="s">
        <v>247</v>
      </c>
      <c r="C198" s="145" t="s">
        <v>284</v>
      </c>
      <c r="D198" s="123">
        <v>46048</v>
      </c>
      <c r="E198" s="123">
        <f>D198+53</f>
        <v>46101</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c r="A199" s="33"/>
      <c r="B199" s="85" t="s">
        <v>243</v>
      </c>
      <c r="C199" s="145" t="s">
        <v>290</v>
      </c>
      <c r="D199" s="123">
        <v>46090</v>
      </c>
      <c r="E199" s="205">
        <f>D199+53</f>
        <v>46143</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225" t="s">
        <v>246</v>
      </c>
      <c r="C200" s="226" t="s">
        <v>288</v>
      </c>
      <c r="D200" s="227">
        <v>46153</v>
      </c>
      <c r="E200" s="223">
        <f>D200+53</f>
        <v>46206</v>
      </c>
      <c r="F200" s="14"/>
      <c r="G200" s="14">
        <f>E200-D200</f>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225" t="s">
        <v>247</v>
      </c>
      <c r="C201" s="226" t="s">
        <v>291</v>
      </c>
      <c r="D201" s="223">
        <v>46209</v>
      </c>
      <c r="E201" s="227">
        <f>D201+G201</f>
        <v>46262</v>
      </c>
      <c r="F201" s="14"/>
      <c r="G201" s="14">
        <v>53</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t="s">
        <v>247</v>
      </c>
      <c r="C202" s="145" t="s">
        <v>284</v>
      </c>
      <c r="D202" s="123">
        <f>E201</f>
        <v>46262</v>
      </c>
      <c r="E202" s="123">
        <f>D202+G202</f>
        <v>46315</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c r="C203" s="145"/>
      <c r="D203" s="123">
        <f>E202</f>
        <v>46315</v>
      </c>
      <c r="E203" s="123">
        <f>D203+G203</f>
        <v>46368</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f>E203</f>
        <v>46368</v>
      </c>
      <c r="E204" s="123">
        <f>D204+G204</f>
        <v>46421</v>
      </c>
      <c r="F204" s="14"/>
      <c r="G204" s="14">
        <v>53</v>
      </c>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85"/>
      <c r="C205" s="145"/>
      <c r="D205" s="123"/>
      <c r="E205" s="123"/>
      <c r="F205" s="14"/>
      <c r="G205" s="14"/>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outlineLevel="1" thickBot="1">
      <c r="A206" s="33"/>
      <c r="B206" s="49"/>
      <c r="C206" s="45"/>
      <c r="D206" s="131"/>
      <c r="E206" s="131"/>
      <c r="F206" s="14"/>
      <c r="G206" s="14">
        <v>111</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15" thickBot="1">
      <c r="A207" s="33" t="s">
        <v>292</v>
      </c>
      <c r="B207" s="25" t="s">
        <v>293</v>
      </c>
      <c r="C207" s="26"/>
      <c r="D207" s="132"/>
      <c r="E207" s="133"/>
      <c r="F207" s="28"/>
      <c r="G207" s="28" t="str">
        <f t="shared" ca="1" si="586"/>
        <v/>
      </c>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c r="BN207" s="29"/>
      <c r="BO207" s="29"/>
      <c r="BP207" s="29"/>
      <c r="BQ207" s="29"/>
      <c r="BR207" s="29"/>
      <c r="BS207" s="29"/>
      <c r="BT207" s="29"/>
      <c r="BU207" s="29"/>
      <c r="BV207" s="29"/>
      <c r="BW207" s="29"/>
      <c r="BX207" s="29"/>
      <c r="BY207" s="29"/>
      <c r="BZ207" s="29"/>
      <c r="CA207" s="29"/>
      <c r="CB207" s="29"/>
      <c r="CC207" s="29"/>
      <c r="CD207" s="29"/>
      <c r="CE207" s="29"/>
      <c r="CF207" s="29"/>
      <c r="CG207" s="29"/>
      <c r="CH207" s="29"/>
      <c r="CI207" s="29"/>
      <c r="CJ207" s="29"/>
      <c r="CK207" s="29"/>
      <c r="CL207" s="29"/>
      <c r="CM207" s="29"/>
      <c r="CN207" s="29"/>
      <c r="CO207" s="29"/>
      <c r="CP207" s="29"/>
      <c r="CQ207" s="29"/>
      <c r="CR207" s="29"/>
      <c r="CS207" s="29"/>
      <c r="CT207" s="29"/>
      <c r="CU207" s="29"/>
      <c r="CV207" s="29"/>
      <c r="CW207" s="29"/>
      <c r="CX207" s="29"/>
      <c r="CY207" s="29"/>
      <c r="CZ207" s="29"/>
      <c r="DA207" s="29"/>
      <c r="DB207" s="29"/>
      <c r="DC207" s="29"/>
      <c r="DD207" s="29"/>
      <c r="DE207" s="29"/>
      <c r="DF207" s="29"/>
      <c r="DG207" s="29"/>
      <c r="DH207" s="29"/>
      <c r="DI207" s="29"/>
      <c r="DJ207" s="29"/>
      <c r="DK207" s="29"/>
      <c r="DL207" s="29"/>
      <c r="DM207" s="29"/>
      <c r="DN207" s="29"/>
      <c r="DO207" s="29"/>
      <c r="DP207" s="29"/>
      <c r="DQ207" s="29"/>
      <c r="DR207" s="29"/>
      <c r="DS207" s="29"/>
      <c r="DT207" s="29"/>
      <c r="DU207" s="29"/>
      <c r="DV207" s="29"/>
      <c r="DW207" s="29"/>
      <c r="DX207" s="29"/>
      <c r="DY207" s="29"/>
      <c r="DZ207" s="29"/>
      <c r="EA207" s="29"/>
      <c r="EB207" s="29"/>
      <c r="EC207" s="29"/>
      <c r="ED207" s="29"/>
      <c r="EE207" s="29"/>
      <c r="EF207" s="29"/>
      <c r="EG207" s="29"/>
      <c r="EH207" s="29"/>
      <c r="EI207" s="29"/>
      <c r="EJ207" s="29"/>
      <c r="EK207" s="29"/>
      <c r="EL207" s="29"/>
      <c r="EM207" s="29"/>
      <c r="EN207" s="29"/>
      <c r="EO207" s="29"/>
      <c r="EP207" s="29"/>
      <c r="EQ207" s="29"/>
      <c r="ER207" s="29"/>
      <c r="ES207" s="29"/>
      <c r="ET207" s="29"/>
      <c r="EU207" s="29"/>
      <c r="EV207" s="29"/>
      <c r="EW207" s="29"/>
      <c r="EX207" s="29"/>
      <c r="EY207" s="29"/>
      <c r="EZ207" s="29"/>
      <c r="FA207" s="29"/>
      <c r="FB207" s="29"/>
      <c r="FC207" s="29"/>
      <c r="FD207" s="29"/>
      <c r="FE207" s="29"/>
      <c r="FF207" s="29"/>
      <c r="FG207" s="29"/>
      <c r="FH207" s="29"/>
      <c r="FI207" s="29"/>
      <c r="FJ207" s="29"/>
      <c r="FK207" s="29"/>
      <c r="FL207" s="29"/>
      <c r="FM207" s="29"/>
      <c r="FN207" s="29"/>
      <c r="FO207" s="29"/>
      <c r="FP207" s="29"/>
      <c r="FQ207" s="29"/>
      <c r="FR207" s="29"/>
      <c r="FS207" s="29"/>
      <c r="FT207" s="29"/>
      <c r="FU207" s="29"/>
      <c r="FV207" s="29"/>
      <c r="FW207" s="29"/>
      <c r="FX207" s="29"/>
      <c r="FY207" s="29"/>
      <c r="FZ207" s="29"/>
      <c r="GA207" s="29"/>
      <c r="GB207" s="29"/>
      <c r="GC207" s="29"/>
      <c r="GD207" s="29"/>
      <c r="GE207" s="29"/>
      <c r="GF207" s="29"/>
      <c r="GG207" s="29"/>
      <c r="GH207" s="29"/>
      <c r="GI207" s="29"/>
      <c r="GJ207" s="29"/>
      <c r="GK207" s="29"/>
      <c r="GL207" s="29"/>
      <c r="GM207" s="29"/>
      <c r="GN207" s="29"/>
      <c r="GO207" s="29"/>
      <c r="GP207" s="29"/>
      <c r="GQ207" s="29"/>
      <c r="GR207" s="29"/>
      <c r="GS207" s="29"/>
      <c r="GT207" s="29"/>
      <c r="GU207" s="29"/>
      <c r="GV207" s="29"/>
      <c r="GW207" s="29"/>
      <c r="GX207" s="29"/>
      <c r="GY207" s="29"/>
      <c r="GZ207" s="29"/>
      <c r="HA207" s="29"/>
      <c r="HB207" s="29"/>
      <c r="HC207" s="29"/>
      <c r="HD207" s="29"/>
      <c r="HE207" s="29"/>
      <c r="HF207" s="29"/>
      <c r="HG207" s="29"/>
      <c r="HH207" s="29"/>
      <c r="HI207" s="29"/>
      <c r="HJ207" s="29"/>
      <c r="HK207" s="29"/>
      <c r="HL207" s="29"/>
      <c r="HM207" s="29"/>
      <c r="HN207" s="29"/>
      <c r="HO207" s="29"/>
      <c r="HP207" s="29"/>
      <c r="HQ207" s="29"/>
      <c r="HR207" s="29"/>
      <c r="HS207" s="29"/>
      <c r="HT207" s="29"/>
      <c r="HU207" s="29"/>
      <c r="HV207" s="29"/>
      <c r="HW207" s="29"/>
      <c r="HX207" s="29"/>
      <c r="HY207" s="29"/>
      <c r="HZ207" s="29"/>
      <c r="IA207" s="29"/>
      <c r="IB207" s="29"/>
      <c r="IC207" s="29"/>
      <c r="ID207" s="29"/>
      <c r="IE207" s="29"/>
      <c r="IF207" s="29"/>
      <c r="IG207" s="29"/>
      <c r="IH207" s="29"/>
      <c r="II207" s="29"/>
      <c r="IJ207" s="29"/>
      <c r="IK207" s="29"/>
      <c r="IL207" s="29"/>
      <c r="IM207" s="29"/>
      <c r="IN207" s="29"/>
      <c r="IO207" s="29"/>
      <c r="IP207" s="29"/>
      <c r="IQ207" s="29"/>
      <c r="IR207" s="29"/>
      <c r="IS207" s="29"/>
      <c r="IT207" s="29"/>
      <c r="IU207" s="29"/>
      <c r="IV207" s="29"/>
      <c r="IW207" s="29"/>
      <c r="IX207" s="29"/>
      <c r="IY207" s="29"/>
      <c r="IZ207" s="29"/>
      <c r="JA207" s="29"/>
      <c r="JB207" s="29"/>
      <c r="JC207" s="29"/>
      <c r="JD207" s="29"/>
      <c r="JE207" s="29"/>
      <c r="JF207" s="29"/>
      <c r="JG207" s="29"/>
      <c r="JH207" s="29"/>
      <c r="JI207" s="29"/>
      <c r="JJ207" s="29"/>
      <c r="JK207" s="29"/>
      <c r="JL207" s="29"/>
      <c r="JM207" s="29"/>
      <c r="JN207" s="29"/>
      <c r="JO207" s="29"/>
      <c r="JP207" s="29"/>
      <c r="JQ207" s="29"/>
      <c r="JR207" s="29"/>
      <c r="JS207" s="29"/>
      <c r="JT207" s="29"/>
      <c r="JU207" s="29"/>
      <c r="JV207" s="29"/>
      <c r="JW207" s="29"/>
      <c r="JX207" s="29"/>
      <c r="JY207" s="29"/>
      <c r="JZ207" s="29"/>
      <c r="KA207" s="29"/>
      <c r="KB207" s="29"/>
      <c r="KC207" s="29"/>
      <c r="KD207" s="29"/>
      <c r="KE207" s="29"/>
      <c r="KF207" s="29"/>
      <c r="KG207" s="29"/>
      <c r="KH207" s="29"/>
      <c r="KI207" s="29"/>
      <c r="KJ207" s="29"/>
      <c r="KK207" s="29"/>
      <c r="KL207" s="29"/>
      <c r="KM207" s="29"/>
      <c r="KN207" s="29"/>
      <c r="KO207" s="29"/>
      <c r="KP207" s="29"/>
      <c r="KQ207" s="29"/>
      <c r="KR207" s="29"/>
      <c r="KS207" s="29"/>
      <c r="KT207" s="29"/>
      <c r="KU207" s="29"/>
      <c r="KV207" s="29"/>
      <c r="KW207" s="29"/>
      <c r="KX207" s="29"/>
      <c r="KY207" s="29"/>
      <c r="KZ207" s="29"/>
      <c r="LA207" s="29"/>
      <c r="LB207" s="29"/>
      <c r="LC207" s="29"/>
      <c r="LD207" s="29"/>
      <c r="LE207" s="29"/>
      <c r="LF207" s="29"/>
      <c r="LG207" s="29"/>
      <c r="LH207" s="29"/>
      <c r="LI207" s="29"/>
      <c r="LJ207" s="29"/>
      <c r="LK207" s="29"/>
      <c r="LL207" s="29"/>
      <c r="LM207" s="29"/>
      <c r="LN207" s="29"/>
      <c r="LO207" s="29"/>
      <c r="LP207" s="29"/>
      <c r="LQ207" s="29"/>
      <c r="LR207" s="29"/>
      <c r="LS207" s="29"/>
      <c r="LT207" s="29"/>
      <c r="LU207" s="29"/>
      <c r="LV207" s="29"/>
      <c r="LW207" s="29"/>
      <c r="LX207" s="29"/>
      <c r="LY207" s="29"/>
      <c r="LZ207" s="29"/>
      <c r="MA207" s="29"/>
      <c r="MB207" s="29"/>
      <c r="MC207" s="29"/>
      <c r="MD207" s="29"/>
      <c r="ME207" s="29"/>
      <c r="MF207" s="29"/>
      <c r="MG207" s="29"/>
      <c r="MH207" s="29"/>
      <c r="MI207" s="29"/>
      <c r="MJ207" s="29"/>
      <c r="MK207" s="29"/>
      <c r="ML207" s="29"/>
      <c r="MM207" s="29"/>
      <c r="MN207" s="29"/>
      <c r="MO207" s="29"/>
      <c r="MP207" s="29"/>
      <c r="MQ207" s="29"/>
      <c r="MR207" s="29"/>
      <c r="MS207" s="29"/>
      <c r="MT207" s="29"/>
      <c r="MU207" s="29"/>
      <c r="MV207" s="29"/>
      <c r="MW207" s="29"/>
      <c r="MX207" s="29"/>
      <c r="MY207" s="29"/>
      <c r="MZ207" s="29"/>
      <c r="NA207" s="29"/>
      <c r="NB207" s="29"/>
      <c r="NC207" s="29"/>
      <c r="ND207" s="29"/>
      <c r="NE207" s="29"/>
      <c r="NF207" s="29"/>
      <c r="NG207" s="29"/>
      <c r="NH207" s="29"/>
      <c r="NI207" s="29"/>
      <c r="NJ207" s="29"/>
      <c r="NK207" s="29"/>
      <c r="NL207" s="29"/>
      <c r="NM207" s="29"/>
      <c r="NN207" s="29"/>
      <c r="NO207" s="29"/>
      <c r="NP207" s="29"/>
      <c r="NQ207" s="29"/>
      <c r="NR207" s="29"/>
      <c r="NS207" s="29"/>
      <c r="NT207" s="29"/>
      <c r="NU207" s="29"/>
      <c r="NV207" s="29"/>
      <c r="NW207" s="29"/>
      <c r="NX207" s="29"/>
      <c r="NY207" s="29"/>
      <c r="NZ207" s="29"/>
      <c r="OA207" s="29"/>
      <c r="OB207" s="29"/>
      <c r="OC207" s="29"/>
      <c r="OD207" s="29"/>
      <c r="OE207" s="29"/>
      <c r="OF207" s="29"/>
      <c r="OG207" s="29"/>
      <c r="OH207" s="29"/>
      <c r="OI207" s="29"/>
      <c r="OJ207" s="29"/>
      <c r="OK207" s="29"/>
      <c r="OL207" s="29"/>
      <c r="OM207" s="29"/>
      <c r="ON207" s="29"/>
      <c r="OO207" s="29"/>
      <c r="OP207" s="29"/>
      <c r="OQ207" s="29"/>
      <c r="OR207" s="29"/>
      <c r="OS207" s="29"/>
      <c r="OT207" s="29"/>
      <c r="OU207" s="29"/>
      <c r="OV207" s="29"/>
      <c r="OW207" s="29"/>
      <c r="OX207" s="29"/>
      <c r="OY207" s="29"/>
      <c r="OZ207" s="29"/>
      <c r="PA207" s="29"/>
      <c r="PB207" s="29"/>
      <c r="PC207" s="29"/>
      <c r="PD207" s="29"/>
      <c r="PE207" s="29"/>
      <c r="PF207" s="29"/>
      <c r="PG207" s="29"/>
      <c r="PH207" s="29"/>
      <c r="PI207" s="29"/>
      <c r="PJ207" s="29"/>
      <c r="PK207" s="29"/>
      <c r="PL207" s="29"/>
      <c r="PM207" s="29"/>
      <c r="PN207" s="29"/>
      <c r="PO207" s="29"/>
      <c r="PP207" s="29"/>
      <c r="PQ207" s="29"/>
      <c r="PR207" s="29"/>
      <c r="PS207" s="29"/>
      <c r="PT207" s="29"/>
      <c r="PU207" s="29"/>
      <c r="PV207" s="29"/>
      <c r="PW207" s="29"/>
      <c r="PX207" s="29"/>
      <c r="PY207" s="29"/>
      <c r="PZ207" s="29"/>
      <c r="QA207" s="29"/>
      <c r="QB207" s="29"/>
      <c r="QC207" s="29"/>
      <c r="QD207" s="29"/>
      <c r="QE207" s="29"/>
      <c r="QF207" s="29"/>
      <c r="QG207" s="29"/>
      <c r="QH207" s="29"/>
      <c r="QI207" s="29"/>
      <c r="QJ207" s="29"/>
      <c r="QK207" s="29"/>
      <c r="QL207" s="29"/>
      <c r="QM207" s="29"/>
      <c r="QN207" s="29"/>
      <c r="QO207" s="29"/>
      <c r="QP207" s="29"/>
      <c r="QQ207" s="29"/>
      <c r="QR207" s="29"/>
      <c r="QS207" s="29"/>
      <c r="QT207" s="29"/>
      <c r="QU207" s="29"/>
      <c r="QV207" s="29"/>
      <c r="QW207" s="29"/>
      <c r="QX207" s="29"/>
      <c r="QY207" s="29"/>
      <c r="QZ207" s="29"/>
      <c r="RA207" s="29"/>
      <c r="RB207" s="29"/>
      <c r="RC207" s="29"/>
      <c r="RD207" s="29"/>
      <c r="RE207" s="29"/>
      <c r="RF207" s="29"/>
      <c r="RG207" s="29"/>
      <c r="RH207" s="29"/>
      <c r="RI207" s="29"/>
      <c r="RJ207" s="29"/>
      <c r="RK207" s="29"/>
      <c r="RL207" s="29"/>
      <c r="RM207" s="29"/>
      <c r="RN207" s="29"/>
      <c r="RO207" s="29"/>
      <c r="RP207" s="29"/>
      <c r="RQ207" s="29"/>
      <c r="RR207" s="29"/>
      <c r="RS207" s="29"/>
      <c r="RT207" s="29"/>
      <c r="RU207" s="29"/>
      <c r="RV207" s="29"/>
      <c r="RW207" s="29"/>
      <c r="RX207" s="29"/>
      <c r="RY207" s="29"/>
      <c r="RZ207" s="29"/>
      <c r="SA207" s="29"/>
      <c r="SB207" s="29"/>
      <c r="SC207" s="29"/>
      <c r="SD207" s="29"/>
      <c r="SE207" s="29"/>
      <c r="SF207" s="29"/>
      <c r="SG207" s="29"/>
      <c r="SH207" s="29"/>
      <c r="SI207" s="29"/>
      <c r="SJ207" s="29"/>
      <c r="SK207" s="29"/>
      <c r="SL207" s="29"/>
      <c r="SM207" s="29"/>
      <c r="SN207" s="29"/>
      <c r="SO207" s="29"/>
      <c r="SP207" s="29"/>
      <c r="SQ207" s="29"/>
      <c r="SR207" s="29"/>
      <c r="SS207" s="29"/>
      <c r="ST207" s="29"/>
      <c r="SU207" s="29"/>
      <c r="SV207" s="29"/>
      <c r="SW207" s="29"/>
      <c r="SX207" s="29"/>
      <c r="SY207" s="29"/>
      <c r="SZ207" s="29"/>
      <c r="TA207" s="29"/>
      <c r="TB207" s="29"/>
      <c r="TC207" s="29"/>
      <c r="TD207" s="29"/>
      <c r="TE207" s="29"/>
      <c r="TF207" s="29"/>
      <c r="TG207" s="29"/>
      <c r="TH207" s="29"/>
      <c r="TI207" s="29"/>
      <c r="TJ207" s="29"/>
      <c r="TK207" s="29"/>
      <c r="TL207" s="29"/>
      <c r="TM207" s="29"/>
      <c r="TN207" s="29"/>
      <c r="TO207" s="29"/>
      <c r="TP207" s="29"/>
      <c r="TQ207" s="29"/>
      <c r="TR207" s="29"/>
      <c r="TS207" s="29"/>
      <c r="TT207" s="29"/>
      <c r="TU207" s="29"/>
      <c r="TV207" s="29"/>
      <c r="TW207" s="29"/>
      <c r="TX207" s="29"/>
      <c r="TY207" s="29"/>
      <c r="TZ207" s="29"/>
      <c r="UA207" s="29"/>
      <c r="UB207" s="29"/>
      <c r="UC207" s="29"/>
      <c r="UD207" s="29"/>
      <c r="UE207" s="29"/>
      <c r="UF207" s="29"/>
      <c r="UG207" s="29"/>
      <c r="UH207" s="29"/>
      <c r="UI207" s="29"/>
      <c r="UJ207" s="29"/>
      <c r="UK207" s="29"/>
      <c r="UL207" s="29"/>
      <c r="UM207" s="29"/>
      <c r="UN207" s="29"/>
      <c r="UO207" s="29"/>
      <c r="UP207" s="29"/>
      <c r="UQ207" s="29"/>
      <c r="UR207" s="29"/>
      <c r="US207" s="29"/>
      <c r="UT207" s="29"/>
      <c r="UU207" s="29"/>
      <c r="UV207" s="29"/>
      <c r="UW207" s="29"/>
      <c r="UX207" s="29"/>
      <c r="UY207" s="29"/>
      <c r="UZ207" s="29"/>
      <c r="VA207" s="29"/>
      <c r="VB207" s="29"/>
      <c r="VC207" s="29"/>
      <c r="VD207" s="29"/>
      <c r="VE207" s="29"/>
      <c r="VF207" s="29"/>
      <c r="VG207" s="29"/>
      <c r="VH207" s="29"/>
      <c r="VI207" s="29"/>
      <c r="VJ207" s="29"/>
      <c r="VK207" s="29"/>
      <c r="VL207" s="29"/>
      <c r="VM207" s="29"/>
      <c r="VN207" s="29"/>
      <c r="VO207" s="29"/>
      <c r="VP207" s="29"/>
      <c r="VQ207" s="29"/>
      <c r="VR207" s="29"/>
      <c r="VS207" s="29"/>
      <c r="VT207" s="29"/>
      <c r="VU207" s="29"/>
      <c r="VV207" s="29"/>
      <c r="VW207" s="29"/>
      <c r="VX207" s="29"/>
      <c r="VY207" s="29"/>
      <c r="VZ207" s="29"/>
      <c r="WA207" s="29"/>
      <c r="WB207" s="29"/>
      <c r="WC207" s="29"/>
      <c r="WD207" s="29"/>
      <c r="WE207" s="29"/>
      <c r="WF207" s="29"/>
      <c r="WG207" s="29"/>
      <c r="WH207" s="29"/>
      <c r="WI207" s="29"/>
      <c r="WJ207" s="29"/>
      <c r="WK207" s="29"/>
      <c r="WL207" s="29"/>
      <c r="WM207" s="29"/>
      <c r="WN207" s="29"/>
      <c r="WO207" s="29"/>
      <c r="WP207" s="29"/>
      <c r="WQ207" s="29"/>
      <c r="WR207" s="29"/>
      <c r="WS207" s="29"/>
    </row>
    <row r="208" spans="1:617" s="3" customFormat="1" ht="409.6" thickBot="1">
      <c r="A208" s="34" t="s">
        <v>294</v>
      </c>
      <c r="B208"/>
      <c r="C208" s="5"/>
      <c r="D208" s="111"/>
      <c r="E208" s="111"/>
      <c r="F208"/>
      <c r="G208"/>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c r="AS208" s="31"/>
      <c r="AT208" s="31"/>
      <c r="AU208" s="31"/>
      <c r="AV208" s="31"/>
      <c r="AW208" s="31"/>
      <c r="AX208" s="31"/>
      <c r="AY208" s="31"/>
      <c r="AZ208" s="31"/>
      <c r="BA208" s="31"/>
      <c r="BB208" s="31"/>
      <c r="BC208" s="31"/>
      <c r="BD208" s="31"/>
      <c r="BE208" s="31"/>
      <c r="BF208" s="31"/>
      <c r="BG208" s="31"/>
      <c r="BH208" s="31"/>
      <c r="BI208" s="31"/>
      <c r="BJ208" s="31"/>
      <c r="BK208" s="31"/>
      <c r="BL208" s="31"/>
      <c r="BM208" s="31"/>
      <c r="BN208" s="31"/>
      <c r="BO208" s="31"/>
      <c r="BP208" s="31"/>
      <c r="BQ208" s="31"/>
      <c r="BR208" s="31"/>
      <c r="BS208" s="31"/>
      <c r="BT208" s="31"/>
      <c r="BU208" s="31"/>
      <c r="BV208" s="31"/>
      <c r="BW208" s="31"/>
      <c r="BX208" s="31"/>
      <c r="BY208" s="31"/>
      <c r="BZ208" s="31"/>
      <c r="CA208" s="31"/>
      <c r="CB208" s="31"/>
      <c r="CC208" s="31"/>
      <c r="CD208" s="31"/>
      <c r="CE208" s="31"/>
      <c r="CF208" s="31"/>
      <c r="CG208" s="31"/>
      <c r="CH208" s="31"/>
      <c r="CI208" s="31"/>
      <c r="CJ208" s="31"/>
      <c r="CK208" s="31"/>
      <c r="CL208" s="31"/>
      <c r="CM208" s="31"/>
      <c r="CN208" s="31"/>
      <c r="CO208" s="31"/>
      <c r="CP208" s="31"/>
      <c r="CQ208" s="31"/>
      <c r="CR208" s="31"/>
      <c r="CS208" s="31"/>
      <c r="CT208" s="31"/>
      <c r="CU208" s="31"/>
      <c r="CV208" s="31"/>
      <c r="CW208" s="31"/>
      <c r="CX208" s="31"/>
      <c r="CY208" s="31"/>
      <c r="CZ208" s="31"/>
      <c r="DA208" s="31"/>
      <c r="DB208" s="31"/>
      <c r="DC208" s="31"/>
      <c r="DD208" s="31"/>
      <c r="DE208" s="31"/>
      <c r="DF208" s="31"/>
      <c r="DG208" s="31"/>
      <c r="DH208" s="31"/>
      <c r="DI208" s="31"/>
      <c r="DJ208" s="31"/>
      <c r="DK208" s="31"/>
      <c r="DL208" s="31"/>
      <c r="DM208" s="31"/>
      <c r="DN208" s="31"/>
      <c r="DO208" s="31"/>
      <c r="DP208" s="31"/>
      <c r="DQ208" s="31"/>
      <c r="DR208" s="31"/>
      <c r="DS208" s="31"/>
      <c r="DT208" s="31"/>
      <c r="DU208" s="31"/>
      <c r="DV208" s="31"/>
      <c r="DW208" s="31"/>
      <c r="DX208" s="31"/>
      <c r="DY208" s="31"/>
      <c r="DZ208" s="31"/>
      <c r="EA208" s="31"/>
      <c r="EB208" s="31"/>
      <c r="EC208" s="31"/>
      <c r="ED208" s="31"/>
      <c r="EE208" s="31"/>
      <c r="EF208" s="31"/>
      <c r="EG208" s="31"/>
      <c r="EH208" s="31"/>
      <c r="EI208" s="31"/>
      <c r="EJ208" s="31"/>
      <c r="EK208" s="31"/>
      <c r="EL208" s="31"/>
      <c r="EM208" s="31"/>
      <c r="EN208" s="31"/>
      <c r="EO208" s="31"/>
      <c r="EP208" s="31"/>
      <c r="EQ208" s="31"/>
      <c r="ER208" s="31"/>
      <c r="ES208" s="31"/>
      <c r="ET208" s="31"/>
      <c r="EU208" s="31"/>
      <c r="EV208" s="31"/>
      <c r="EW208" s="31"/>
      <c r="EX208" s="31"/>
      <c r="EY208" s="31"/>
      <c r="EZ208" s="31"/>
      <c r="FA208" s="31"/>
      <c r="FB208" s="31"/>
      <c r="FC208" s="31"/>
      <c r="FD208" s="31"/>
      <c r="FE208" s="31"/>
      <c r="FF208" s="31"/>
      <c r="FG208" s="31"/>
      <c r="FH208" s="31"/>
      <c r="FI208" s="31"/>
      <c r="FJ208" s="31"/>
      <c r="FK208" s="31"/>
      <c r="FL208" s="31"/>
      <c r="FM208" s="31"/>
      <c r="FN208" s="31"/>
      <c r="FO208" s="31"/>
      <c r="FP208" s="31"/>
      <c r="FQ208" s="31"/>
      <c r="FR208" s="31"/>
      <c r="FS208" s="31"/>
      <c r="FT208" s="31"/>
      <c r="FU208" s="31"/>
      <c r="FV208" s="31"/>
      <c r="FW208" s="31"/>
      <c r="FX208" s="31"/>
      <c r="FY208" s="31"/>
      <c r="FZ208" s="31"/>
      <c r="GA208" s="31"/>
      <c r="GB208" s="31"/>
      <c r="GC208" s="31"/>
      <c r="GD208" s="31"/>
      <c r="GE208" s="31"/>
      <c r="GF208" s="31"/>
      <c r="GG208" s="31"/>
      <c r="GH208" s="31"/>
      <c r="GI208" s="31"/>
      <c r="GJ208" s="31"/>
      <c r="GK208" s="31"/>
      <c r="GL208" s="31"/>
      <c r="GM208" s="31"/>
      <c r="GN208" s="31"/>
      <c r="GO208" s="31"/>
      <c r="GP208" s="31"/>
      <c r="GQ208" s="31"/>
      <c r="GR208" s="31"/>
      <c r="GS208" s="31"/>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31"/>
      <c r="IK208" s="31"/>
      <c r="IL208" s="31"/>
      <c r="IM208" s="31"/>
      <c r="IN208" s="31"/>
      <c r="IO208" s="31"/>
      <c r="IP208" s="31"/>
      <c r="IQ208" s="31"/>
      <c r="IR208" s="31"/>
      <c r="IS208" s="31"/>
      <c r="IT208" s="31"/>
      <c r="IU208" s="31"/>
      <c r="IV208" s="31"/>
      <c r="IW208" s="31"/>
      <c r="IX208" s="31"/>
      <c r="IY208" s="31"/>
      <c r="IZ208" s="31"/>
      <c r="JA208" s="31"/>
      <c r="JB208" s="31"/>
      <c r="JC208" s="31"/>
      <c r="JD208" s="31"/>
      <c r="JE208" s="31"/>
      <c r="JF208" s="31"/>
      <c r="JG208" s="31"/>
      <c r="JH208" s="31"/>
      <c r="JI208" s="31"/>
      <c r="JJ208" s="31"/>
      <c r="JK208" s="31"/>
      <c r="JL208" s="31"/>
      <c r="JM208" s="31"/>
      <c r="JN208" s="31"/>
      <c r="JO208" s="31"/>
      <c r="JP208" s="31"/>
      <c r="JQ208" s="31"/>
      <c r="JR208" s="31"/>
      <c r="JS208" s="31"/>
      <c r="JT208" s="31"/>
      <c r="JU208" s="31"/>
      <c r="JV208" s="31"/>
      <c r="JW208" s="31"/>
      <c r="JX208" s="31"/>
      <c r="JY208" s="31"/>
      <c r="JZ208" s="31"/>
      <c r="KA208" s="31"/>
      <c r="KB208" s="31"/>
      <c r="KC208" s="31"/>
      <c r="KD208" s="31"/>
      <c r="KE208" s="31"/>
      <c r="KF208" s="31"/>
      <c r="KG208" s="31"/>
      <c r="KH208" s="31"/>
      <c r="KI208" s="31"/>
      <c r="KJ208" s="31"/>
      <c r="KK208" s="31"/>
      <c r="KL208" s="31"/>
      <c r="KM208" s="31"/>
      <c r="KN208" s="31"/>
      <c r="KO208" s="31"/>
      <c r="KP208" s="31"/>
      <c r="KQ208" s="31"/>
      <c r="KR208" s="31"/>
      <c r="KS208" s="31"/>
      <c r="KT208" s="31"/>
      <c r="KU208" s="31"/>
      <c r="KV208" s="31"/>
      <c r="KW208" s="31"/>
      <c r="KX208" s="31"/>
      <c r="KY208" s="31"/>
      <c r="KZ208" s="31"/>
      <c r="LA208" s="31"/>
      <c r="LB208" s="31"/>
      <c r="LC208" s="31"/>
      <c r="LD208" s="31"/>
      <c r="LE208" s="31"/>
      <c r="LF208" s="31"/>
      <c r="LG208" s="31"/>
      <c r="LH208" s="31"/>
      <c r="LI208" s="31"/>
      <c r="LJ208" s="31"/>
      <c r="LK208" s="31"/>
      <c r="LL208" s="31"/>
      <c r="LM208" s="31"/>
      <c r="LN208" s="31"/>
      <c r="LO208" s="31"/>
      <c r="LP208" s="31"/>
      <c r="LQ208" s="31"/>
      <c r="LR208" s="31"/>
      <c r="LS208" s="31"/>
      <c r="LT208" s="31"/>
      <c r="LU208" s="31"/>
      <c r="LV208" s="31"/>
      <c r="LW208" s="31"/>
      <c r="LX208" s="31"/>
      <c r="LY208" s="31"/>
      <c r="LZ208" s="31"/>
      <c r="MA208" s="31"/>
      <c r="MB208" s="31"/>
      <c r="MC208" s="31"/>
      <c r="MD208" s="31"/>
      <c r="ME208" s="31"/>
      <c r="MF208" s="31"/>
      <c r="MG208" s="31"/>
      <c r="MH208" s="31"/>
      <c r="MI208" s="31"/>
      <c r="MJ208" s="31"/>
      <c r="MK208" s="31"/>
      <c r="ML208" s="31"/>
      <c r="MM208" s="31"/>
      <c r="MN208" s="31"/>
      <c r="MO208" s="31"/>
      <c r="MP208" s="31"/>
      <c r="MQ208" s="31"/>
      <c r="MR208" s="31"/>
      <c r="MS208" s="31"/>
      <c r="MT208" s="31"/>
      <c r="MU208" s="31"/>
      <c r="MV208" s="31"/>
      <c r="MW208" s="31"/>
      <c r="MX208" s="31"/>
      <c r="MY208" s="31"/>
      <c r="MZ208" s="31"/>
      <c r="NA208" s="31"/>
      <c r="NB208" s="31"/>
      <c r="NC208" s="31"/>
      <c r="ND208" s="31"/>
      <c r="NE208" s="31"/>
      <c r="NF208" s="31"/>
      <c r="NG208" s="31"/>
      <c r="NH208" s="31"/>
      <c r="NI208" s="31"/>
      <c r="NJ208" s="31"/>
      <c r="NK208" s="31"/>
      <c r="NL208" s="31"/>
      <c r="NM208" s="31"/>
      <c r="NN208" s="31"/>
      <c r="NO208" s="31"/>
      <c r="NP208" s="31"/>
      <c r="NQ208" s="31"/>
      <c r="NR208" s="31"/>
      <c r="NS208" s="31"/>
      <c r="NT208" s="31"/>
      <c r="NU208" s="31"/>
      <c r="NV208" s="31"/>
      <c r="NW208" s="31"/>
      <c r="NX208" s="31"/>
      <c r="NY208" s="31"/>
      <c r="NZ208" s="31"/>
      <c r="OA208" s="31"/>
      <c r="OB208" s="31"/>
      <c r="OC208" s="31"/>
      <c r="OD208" s="31"/>
      <c r="OE208" s="31"/>
      <c r="OF208" s="31"/>
      <c r="OG208" s="31"/>
      <c r="OH208" s="31"/>
      <c r="OI208" s="31"/>
      <c r="OJ208" s="31"/>
      <c r="OK208" s="31"/>
      <c r="OL208" s="31"/>
      <c r="OM208" s="31"/>
      <c r="ON208" s="31"/>
      <c r="OO208" s="31"/>
      <c r="OP208" s="31"/>
      <c r="OQ208" s="31"/>
      <c r="OR208" s="31"/>
      <c r="OS208" s="31"/>
      <c r="OT208" s="31"/>
      <c r="OU208" s="31"/>
      <c r="OV208" s="31"/>
      <c r="OW208" s="31"/>
      <c r="OX208" s="31"/>
      <c r="OY208" s="31"/>
      <c r="OZ208" s="31"/>
      <c r="PA208" s="31"/>
      <c r="PB208" s="31"/>
      <c r="PC208" s="31"/>
      <c r="PD208" s="31"/>
      <c r="PE208" s="31"/>
      <c r="PF208" s="31"/>
      <c r="PG208" s="31"/>
      <c r="PH208" s="31"/>
      <c r="PI208" s="31"/>
      <c r="PJ208" s="31"/>
      <c r="PK208" s="31"/>
      <c r="PL208" s="31"/>
      <c r="PM208" s="31"/>
      <c r="PN208" s="31"/>
      <c r="PO208" s="31"/>
      <c r="PP208" s="31"/>
      <c r="PQ208" s="31"/>
      <c r="PR208" s="31"/>
      <c r="PS208" s="31"/>
      <c r="PT208" s="31"/>
      <c r="PU208" s="31"/>
      <c r="PV208" s="31"/>
      <c r="PW208" s="31"/>
      <c r="PX208" s="31"/>
      <c r="PY208" s="31"/>
      <c r="PZ208" s="31"/>
      <c r="QA208" s="31"/>
      <c r="QB208" s="31"/>
      <c r="QC208" s="31"/>
      <c r="QD208" s="31"/>
      <c r="QE208" s="31"/>
      <c r="QF208" s="31"/>
      <c r="QG208" s="31"/>
      <c r="QH208" s="31"/>
      <c r="QI208" s="31"/>
      <c r="QJ208" s="31"/>
      <c r="QK208" s="31"/>
      <c r="QL208" s="31"/>
      <c r="QM208" s="31"/>
      <c r="QN208" s="31"/>
      <c r="QO208" s="31"/>
      <c r="QP208" s="31"/>
      <c r="QQ208" s="31"/>
      <c r="QR208" s="31"/>
      <c r="QS208" s="31"/>
      <c r="QT208" s="31"/>
      <c r="QU208" s="31"/>
      <c r="QV208" s="31"/>
      <c r="QW208" s="31"/>
      <c r="QX208" s="31"/>
      <c r="QY208" s="31"/>
      <c r="QZ208" s="31"/>
      <c r="RA208" s="31"/>
      <c r="RB208" s="31"/>
      <c r="RC208" s="31"/>
      <c r="RD208" s="31"/>
      <c r="RE208" s="31"/>
      <c r="RF208" s="31"/>
      <c r="RG208" s="31"/>
      <c r="RH208" s="31"/>
      <c r="RI208" s="31"/>
      <c r="RJ208" s="31"/>
      <c r="RK208" s="31"/>
      <c r="RL208" s="31"/>
      <c r="RM208" s="31"/>
      <c r="RN208" s="31"/>
      <c r="RO208" s="31"/>
      <c r="RP208" s="31"/>
      <c r="RQ208" s="31"/>
      <c r="RR208" s="31"/>
      <c r="RS208" s="31"/>
      <c r="RT208" s="31"/>
      <c r="RU208" s="31"/>
      <c r="RV208" s="31"/>
      <c r="RW208" s="31"/>
      <c r="RX208" s="31"/>
      <c r="RY208" s="31"/>
      <c r="RZ208" s="31"/>
      <c r="SA208" s="31"/>
      <c r="SB208" s="31"/>
      <c r="SC208" s="31"/>
      <c r="SD208" s="31"/>
      <c r="SE208" s="31"/>
      <c r="SF208" s="31"/>
      <c r="SG208" s="31"/>
      <c r="SH208" s="31"/>
      <c r="SI208" s="31"/>
      <c r="SJ208" s="31"/>
      <c r="SK208" s="31"/>
      <c r="SL208" s="31"/>
      <c r="SM208" s="31"/>
      <c r="SN208" s="31"/>
      <c r="SO208" s="31"/>
      <c r="SP208" s="31"/>
      <c r="SQ208" s="31"/>
      <c r="SR208" s="31"/>
      <c r="SS208" s="31"/>
      <c r="ST208" s="31"/>
      <c r="SU208" s="31"/>
      <c r="SV208" s="31"/>
      <c r="SW208" s="31"/>
      <c r="SX208" s="31"/>
      <c r="SY208" s="31"/>
      <c r="SZ208" s="31"/>
      <c r="TA208" s="31"/>
      <c r="TB208" s="31"/>
      <c r="TC208" s="31"/>
      <c r="TD208" s="31"/>
      <c r="TE208" s="31"/>
      <c r="TF208" s="31"/>
      <c r="TG208" s="31"/>
      <c r="TH208" s="31"/>
      <c r="TI208" s="31"/>
      <c r="TJ208" s="31"/>
      <c r="TK208" s="31"/>
      <c r="TL208" s="31"/>
      <c r="TM208" s="31"/>
      <c r="TN208" s="31"/>
      <c r="TO208" s="31"/>
      <c r="TP208" s="31"/>
      <c r="TQ208" s="31"/>
      <c r="TR208" s="31"/>
      <c r="TS208" s="31"/>
      <c r="TT208" s="31"/>
      <c r="TU208" s="31"/>
      <c r="TV208" s="31"/>
      <c r="TW208" s="31"/>
      <c r="TX208" s="31"/>
      <c r="TY208" s="31"/>
      <c r="TZ208" s="31"/>
      <c r="UA208" s="31"/>
      <c r="UB208" s="31"/>
      <c r="UC208" s="31"/>
      <c r="UD208" s="31"/>
      <c r="UE208" s="31"/>
      <c r="UF208" s="31"/>
      <c r="UG208" s="31"/>
      <c r="UH208" s="31"/>
      <c r="UI208" s="31"/>
      <c r="UJ208" s="31"/>
      <c r="UK208" s="31"/>
      <c r="UL208" s="31"/>
      <c r="UM208" s="31"/>
      <c r="UN208" s="31"/>
      <c r="UO208" s="31"/>
      <c r="UP208" s="31"/>
      <c r="UQ208" s="31"/>
      <c r="UR208" s="31"/>
      <c r="US208" s="31"/>
      <c r="UT208" s="31"/>
      <c r="UU208" s="31"/>
      <c r="UV208" s="31"/>
      <c r="UW208" s="31"/>
      <c r="UX208" s="31"/>
      <c r="UY208" s="31"/>
      <c r="UZ208" s="31"/>
      <c r="VA208" s="31"/>
      <c r="VB208" s="31"/>
      <c r="VC208" s="31"/>
      <c r="VD208" s="31"/>
      <c r="VE208" s="31"/>
      <c r="VF208" s="31"/>
      <c r="VG208" s="31"/>
      <c r="VH208" s="31"/>
      <c r="VI208" s="31"/>
      <c r="VJ208" s="31"/>
      <c r="VK208" s="31"/>
      <c r="VL208" s="31"/>
      <c r="VM208" s="31"/>
      <c r="VN208" s="31"/>
      <c r="VO208" s="31"/>
      <c r="VP208" s="31"/>
      <c r="VQ208" s="31"/>
      <c r="VR208" s="31"/>
      <c r="VS208" s="31"/>
      <c r="VT208" s="31"/>
      <c r="VU208" s="31"/>
      <c r="VV208" s="31"/>
      <c r="VW208" s="31"/>
      <c r="VX208" s="31"/>
      <c r="VY208" s="31"/>
      <c r="VZ208" s="31"/>
      <c r="WA208" s="31"/>
      <c r="WB208" s="31"/>
      <c r="WC208" s="31"/>
      <c r="WD208" s="31"/>
      <c r="WE208" s="31"/>
      <c r="WF208" s="31"/>
      <c r="WG208" s="31"/>
      <c r="WH208" s="31"/>
      <c r="WI208" s="31"/>
      <c r="WJ208" s="31"/>
      <c r="WK208" s="31"/>
      <c r="WL208" s="31"/>
      <c r="WM208" s="31"/>
      <c r="WN208" s="31"/>
      <c r="WO208" s="31"/>
      <c r="WP208" s="31"/>
      <c r="WQ208" s="31"/>
      <c r="WR208" s="31"/>
      <c r="WS208" s="31"/>
    </row>
  </sheetData>
  <mergeCells count="91">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8:E168"/>
    <mergeCell ref="B65:E65"/>
    <mergeCell ref="B90:E90"/>
    <mergeCell ref="B92:E92"/>
    <mergeCell ref="B95:E95"/>
    <mergeCell ref="B167:E167"/>
    <mergeCell ref="B103:E103"/>
    <mergeCell ref="B104:E104"/>
    <mergeCell ref="B160:E160"/>
    <mergeCell ref="B81:E81"/>
    <mergeCell ref="VL4:VR4"/>
    <mergeCell ref="VX4:WD4"/>
    <mergeCell ref="UB4:UH4"/>
    <mergeCell ref="QV4:RB4"/>
    <mergeCell ref="MN4:MT4"/>
    <mergeCell ref="MU4:NA4"/>
    <mergeCell ref="NB4:NH4"/>
    <mergeCell ref="NI4:NO4"/>
    <mergeCell ref="NP4:NV4"/>
    <mergeCell ref="B196:E196"/>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s>
  <conditionalFormatting sqref="H5:I106 H138:I208">
    <cfRule type="expression" dxfId="67" priority="212">
      <formula>AND(TODAY()&gt;=H$5,TODAY()&lt;J$5)</formula>
    </cfRule>
  </conditionalFormatting>
  <conditionalFormatting sqref="H7:I106 H138:I208">
    <cfRule type="expression" dxfId="66" priority="220" stopIfTrue="1">
      <formula>AND(Término_da_tarefa&gt;=H$5,Início_da_tarefa&lt;J$5)</formula>
    </cfRule>
  </conditionalFormatting>
  <conditionalFormatting sqref="H48:WS106 H7:BL13 BM9:FZ13 GA9:WS47 H14:FZ47 LE75:LF172 J107:WS137 H138:WS208 LE186:LF255">
    <cfRule type="expression" dxfId="65" priority="203">
      <formula>AND(Início_da_tarefa&lt;=H$5,ROUNDDOWN((Término_da_tarefa-Início_da_tarefa+1)*Progresso_da_tarefa,0)+Início_da_tarefa-1&gt;=H$5)</formula>
    </cfRule>
  </conditionalFormatting>
  <conditionalFormatting sqref="J5:BL13 BM9:FZ13 GA9:WS47 J14:FZ47 J48:WS208 LE186:LF255 BM5:GN6">
    <cfRule type="expression" dxfId="64" priority="209">
      <formula>AND(TODAY()&gt;=J$5,TODAY()&lt;K$5)</formula>
    </cfRule>
  </conditionalFormatting>
  <conditionalFormatting sqref="J7:BL13 BM9:FZ13 GA9:WS47 J14:FZ47 J48:WS208 LE186:LF255">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C187 C10:C64 C66:C80 C82:C89 C105:C136 C138:C156 C169:C185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45"/>
  <cols>
    <col min="1" max="1" width="43.85546875" style="5" customWidth="1"/>
    <col min="2" max="2" width="8.5703125" style="5"/>
    <col min="3" max="3" width="52.5703125" style="5" customWidth="1"/>
  </cols>
  <sheetData>
    <row r="1" spans="1:3">
      <c r="A1" s="211" t="s">
        <v>295</v>
      </c>
      <c r="B1" s="211" t="s">
        <v>296</v>
      </c>
      <c r="C1" s="211" t="s">
        <v>297</v>
      </c>
    </row>
    <row r="2" spans="1:3">
      <c r="A2" s="212" t="s">
        <v>298</v>
      </c>
      <c r="B2" s="211" t="s">
        <v>299</v>
      </c>
      <c r="C2" s="211" t="s">
        <v>300</v>
      </c>
    </row>
    <row r="3" spans="1:3">
      <c r="A3" s="212" t="s">
        <v>301</v>
      </c>
      <c r="B3" s="211" t="s">
        <v>194</v>
      </c>
      <c r="C3" s="213" t="s">
        <v>302</v>
      </c>
    </row>
    <row r="4" spans="1:3">
      <c r="A4" s="212" t="s">
        <v>303</v>
      </c>
      <c r="B4" s="211" t="s">
        <v>299</v>
      </c>
      <c r="C4" s="211" t="s">
        <v>304</v>
      </c>
    </row>
    <row r="5" spans="1:3">
      <c r="A5" s="212" t="s">
        <v>305</v>
      </c>
      <c r="B5" s="211" t="s">
        <v>299</v>
      </c>
      <c r="C5" s="211" t="s">
        <v>306</v>
      </c>
    </row>
    <row r="6" spans="1:3">
      <c r="A6" s="212" t="s">
        <v>307</v>
      </c>
      <c r="B6" s="211" t="s">
        <v>299</v>
      </c>
      <c r="C6" s="211" t="s">
        <v>308</v>
      </c>
    </row>
    <row r="7" spans="1:3">
      <c r="A7" s="212" t="s">
        <v>309</v>
      </c>
      <c r="B7" s="211" t="s">
        <v>299</v>
      </c>
      <c r="C7" s="211" t="s">
        <v>308</v>
      </c>
    </row>
    <row r="8" spans="1:3">
      <c r="A8" s="212" t="s">
        <v>310</v>
      </c>
      <c r="B8" s="211" t="s">
        <v>299</v>
      </c>
      <c r="C8" s="211" t="s">
        <v>306</v>
      </c>
    </row>
    <row r="9" spans="1:3">
      <c r="A9" s="212" t="s">
        <v>311</v>
      </c>
      <c r="B9" s="211" t="s">
        <v>299</v>
      </c>
      <c r="C9" s="211" t="s">
        <v>308</v>
      </c>
    </row>
    <row r="10" spans="1:3">
      <c r="A10" s="212" t="s">
        <v>312</v>
      </c>
      <c r="B10" s="211" t="s">
        <v>299</v>
      </c>
      <c r="C10" s="211" t="s">
        <v>306</v>
      </c>
    </row>
    <row r="11" spans="1:3">
      <c r="A11" s="212" t="s">
        <v>313</v>
      </c>
      <c r="B11" s="211" t="s">
        <v>299</v>
      </c>
      <c r="C11" s="211" t="s">
        <v>304</v>
      </c>
    </row>
    <row r="12" spans="1:3">
      <c r="A12" s="212" t="s">
        <v>314</v>
      </c>
      <c r="B12" s="211" t="s">
        <v>299</v>
      </c>
      <c r="C12" s="211" t="s">
        <v>300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315</v>
      </c>
      <c r="B1" s="37" t="s">
        <v>316</v>
      </c>
      <c r="C1" s="1"/>
      <c r="D1" s="2"/>
      <c r="E1" s="4"/>
      <c r="F1" s="32"/>
      <c r="H1" s="2"/>
      <c r="I1" s="51" t="s">
        <v>317</v>
      </c>
    </row>
    <row r="2" spans="1:239" ht="30" customHeight="1">
      <c r="A2" s="33" t="s">
        <v>201</v>
      </c>
      <c r="B2" s="38" t="s">
        <v>318</v>
      </c>
      <c r="I2" s="160"/>
    </row>
    <row r="3" spans="1:239" ht="33" customHeight="1">
      <c r="A3" s="33" t="s">
        <v>202</v>
      </c>
      <c r="B3" s="70" t="s">
        <v>203</v>
      </c>
      <c r="C3" s="69">
        <f>Início_do_projeto+120</f>
        <v>46051</v>
      </c>
      <c r="D3" s="68" t="s">
        <v>204</v>
      </c>
      <c r="E3" s="250">
        <v>45931</v>
      </c>
      <c r="F3" s="250"/>
      <c r="G3" s="64"/>
    </row>
    <row r="4" spans="1:239" ht="30" customHeight="1">
      <c r="A4" s="34" t="s">
        <v>205</v>
      </c>
      <c r="C4" s="251" t="s">
        <v>206</v>
      </c>
      <c r="D4" s="252"/>
      <c r="E4" s="7">
        <v>1</v>
      </c>
      <c r="I4" s="246">
        <f>I5</f>
        <v>45929</v>
      </c>
      <c r="J4" s="247"/>
      <c r="K4" s="247"/>
      <c r="L4" s="247"/>
      <c r="M4" s="247"/>
      <c r="N4" s="247"/>
      <c r="O4" s="248"/>
      <c r="P4" s="246">
        <f>P5</f>
        <v>45936</v>
      </c>
      <c r="Q4" s="247"/>
      <c r="R4" s="247"/>
      <c r="S4" s="247"/>
      <c r="T4" s="247"/>
      <c r="U4" s="247"/>
      <c r="V4" s="248"/>
      <c r="W4" s="246">
        <f>W5</f>
        <v>45943</v>
      </c>
      <c r="X4" s="247"/>
      <c r="Y4" s="247"/>
      <c r="Z4" s="247"/>
      <c r="AA4" s="247"/>
      <c r="AB4" s="247"/>
      <c r="AC4" s="248"/>
      <c r="AD4" s="246">
        <f>AD5</f>
        <v>45950</v>
      </c>
      <c r="AE4" s="247"/>
      <c r="AF4" s="247"/>
      <c r="AG4" s="247"/>
      <c r="AH4" s="247"/>
      <c r="AI4" s="247"/>
      <c r="AJ4" s="248"/>
      <c r="AK4" s="246">
        <f>AK5</f>
        <v>45957</v>
      </c>
      <c r="AL4" s="247"/>
      <c r="AM4" s="247"/>
      <c r="AN4" s="247"/>
      <c r="AO4" s="247"/>
      <c r="AP4" s="247"/>
      <c r="AQ4" s="248"/>
      <c r="AR4" s="246">
        <f>AR5</f>
        <v>45964</v>
      </c>
      <c r="AS4" s="247"/>
      <c r="AT4" s="247"/>
      <c r="AU4" s="247"/>
      <c r="AV4" s="247"/>
      <c r="AW4" s="247"/>
      <c r="AX4" s="248"/>
      <c r="AY4" s="246">
        <f>AY5</f>
        <v>45971</v>
      </c>
      <c r="AZ4" s="247"/>
      <c r="BA4" s="247"/>
      <c r="BB4" s="247"/>
      <c r="BC4" s="247"/>
      <c r="BD4" s="247"/>
      <c r="BE4" s="248"/>
      <c r="BF4" s="246">
        <f>BF5</f>
        <v>45978</v>
      </c>
      <c r="BG4" s="247"/>
      <c r="BH4" s="247"/>
      <c r="BI4" s="247"/>
      <c r="BJ4" s="247"/>
      <c r="BK4" s="247"/>
      <c r="BL4" s="248"/>
      <c r="BM4" s="246">
        <f>BM5</f>
        <v>45985</v>
      </c>
      <c r="BN4" s="247"/>
      <c r="BO4" s="247"/>
      <c r="BP4" s="247"/>
      <c r="BQ4" s="247"/>
      <c r="BR4" s="247"/>
      <c r="BS4" s="248"/>
      <c r="BT4" s="246">
        <f>BT5</f>
        <v>45992</v>
      </c>
      <c r="BU4" s="247"/>
      <c r="BV4" s="247"/>
      <c r="BW4" s="247"/>
      <c r="BX4" s="247"/>
      <c r="BY4" s="247"/>
      <c r="BZ4" s="248"/>
      <c r="CA4" s="246">
        <f>CA5</f>
        <v>45999</v>
      </c>
      <c r="CB4" s="247"/>
      <c r="CC4" s="247"/>
      <c r="CD4" s="247"/>
      <c r="CE4" s="247"/>
      <c r="CF4" s="247"/>
      <c r="CG4" s="248"/>
      <c r="CH4" s="246">
        <f>CH5</f>
        <v>46006</v>
      </c>
      <c r="CI4" s="247"/>
      <c r="CJ4" s="247"/>
      <c r="CK4" s="247"/>
      <c r="CL4" s="247"/>
      <c r="CM4" s="247"/>
      <c r="CN4" s="248"/>
      <c r="CO4" s="246">
        <f>CO5</f>
        <v>46013</v>
      </c>
      <c r="CP4" s="247"/>
      <c r="CQ4" s="247"/>
      <c r="CR4" s="247"/>
      <c r="CS4" s="247"/>
      <c r="CT4" s="247"/>
      <c r="CU4" s="248"/>
      <c r="CV4" s="246">
        <f>CV5</f>
        <v>46020</v>
      </c>
      <c r="CW4" s="247"/>
      <c r="CX4" s="247"/>
      <c r="CY4" s="247"/>
      <c r="CZ4" s="247"/>
      <c r="DA4" s="247"/>
      <c r="DB4" s="248"/>
      <c r="DC4" s="246">
        <f>DC5</f>
        <v>46027</v>
      </c>
      <c r="DD4" s="247"/>
      <c r="DE4" s="247"/>
      <c r="DF4" s="247"/>
      <c r="DG4" s="247"/>
      <c r="DH4" s="247"/>
      <c r="DI4" s="248"/>
      <c r="DJ4" s="246">
        <f>DJ5</f>
        <v>46034</v>
      </c>
      <c r="DK4" s="247"/>
      <c r="DL4" s="247"/>
      <c r="DM4" s="247"/>
      <c r="DN4" s="247"/>
      <c r="DO4" s="247"/>
      <c r="DP4" s="248"/>
      <c r="DQ4" s="246">
        <f>DQ5</f>
        <v>46041</v>
      </c>
      <c r="DR4" s="247"/>
      <c r="DS4" s="247"/>
      <c r="DT4" s="247"/>
      <c r="DU4" s="247"/>
      <c r="DV4" s="247"/>
      <c r="DW4" s="248"/>
      <c r="DX4" s="246">
        <f>DX5</f>
        <v>46048</v>
      </c>
      <c r="DY4" s="247"/>
      <c r="DZ4" s="247"/>
      <c r="EA4" s="247"/>
      <c r="EB4" s="247"/>
      <c r="EC4" s="247"/>
      <c r="ED4" s="248"/>
      <c r="EE4" s="246">
        <f t="shared" ref="EE4" si="0">EE5</f>
        <v>46055</v>
      </c>
      <c r="EF4" s="247"/>
      <c r="EG4" s="247"/>
      <c r="EH4" s="247"/>
      <c r="EI4" s="247"/>
      <c r="EJ4" s="247"/>
      <c r="EK4" s="248"/>
      <c r="EL4" s="246">
        <f t="shared" ref="EL4" si="1">EL5</f>
        <v>46062</v>
      </c>
      <c r="EM4" s="247"/>
      <c r="EN4" s="247"/>
      <c r="EO4" s="247"/>
      <c r="EP4" s="247"/>
      <c r="EQ4" s="247"/>
      <c r="ER4" s="248"/>
      <c r="ES4" s="246">
        <f t="shared" ref="ES4" si="2">ES5</f>
        <v>46069</v>
      </c>
      <c r="ET4" s="247"/>
      <c r="EU4" s="247"/>
      <c r="EV4" s="247"/>
      <c r="EW4" s="247"/>
      <c r="EX4" s="247"/>
      <c r="EY4" s="248"/>
      <c r="EZ4" s="246">
        <f t="shared" ref="EZ4" si="3">EZ5</f>
        <v>46076</v>
      </c>
      <c r="FA4" s="247"/>
      <c r="FB4" s="247"/>
      <c r="FC4" s="247"/>
      <c r="FD4" s="247"/>
      <c r="FE4" s="247"/>
      <c r="FF4" s="248"/>
      <c r="FG4" s="246">
        <f t="shared" ref="FG4" si="4">FG5</f>
        <v>46083</v>
      </c>
      <c r="FH4" s="247"/>
      <c r="FI4" s="247"/>
      <c r="FJ4" s="247"/>
      <c r="FK4" s="247"/>
      <c r="FL4" s="247"/>
      <c r="FM4" s="248"/>
      <c r="FN4" s="246">
        <f t="shared" ref="FN4" si="5">FN5</f>
        <v>46090</v>
      </c>
      <c r="FO4" s="247"/>
      <c r="FP4" s="247"/>
      <c r="FQ4" s="247"/>
      <c r="FR4" s="247"/>
      <c r="FS4" s="247"/>
      <c r="FT4" s="248"/>
      <c r="FU4" s="246">
        <f t="shared" ref="FU4" si="6">FU5</f>
        <v>46097</v>
      </c>
      <c r="FV4" s="247"/>
      <c r="FW4" s="247"/>
      <c r="FX4" s="247"/>
      <c r="FY4" s="247"/>
      <c r="FZ4" s="247"/>
      <c r="GA4" s="248"/>
      <c r="GB4" s="246">
        <f t="shared" ref="GB4" si="7">GB5</f>
        <v>46104</v>
      </c>
      <c r="GC4" s="247"/>
      <c r="GD4" s="247"/>
      <c r="GE4" s="247"/>
      <c r="GF4" s="247"/>
      <c r="GG4" s="247"/>
      <c r="GH4" s="248"/>
      <c r="GI4" s="246">
        <f t="shared" ref="GI4" si="8">GI5</f>
        <v>46111</v>
      </c>
      <c r="GJ4" s="247"/>
      <c r="GK4" s="247"/>
      <c r="GL4" s="247"/>
      <c r="GM4" s="247"/>
      <c r="GN4" s="247"/>
      <c r="GO4" s="248"/>
      <c r="GP4" s="246">
        <f t="shared" ref="GP4" si="9">GP5</f>
        <v>46118</v>
      </c>
      <c r="GQ4" s="247"/>
      <c r="GR4" s="247"/>
      <c r="GS4" s="247"/>
      <c r="GT4" s="247"/>
      <c r="GU4" s="247"/>
      <c r="GV4" s="248"/>
      <c r="GW4" s="246">
        <f t="shared" ref="GW4" si="10">GW5</f>
        <v>46125</v>
      </c>
      <c r="GX4" s="247"/>
      <c r="GY4" s="247"/>
      <c r="GZ4" s="247"/>
      <c r="HA4" s="247"/>
      <c r="HB4" s="247"/>
      <c r="HC4" s="248"/>
      <c r="HD4" s="246">
        <f t="shared" ref="HD4" si="11">HD5</f>
        <v>46132</v>
      </c>
      <c r="HE4" s="247"/>
      <c r="HF4" s="247"/>
      <c r="HG4" s="247"/>
      <c r="HH4" s="247"/>
      <c r="HI4" s="247"/>
      <c r="HJ4" s="248"/>
      <c r="HK4" s="246">
        <f t="shared" ref="HK4" si="12">HK5</f>
        <v>46139</v>
      </c>
      <c r="HL4" s="247"/>
      <c r="HM4" s="247"/>
      <c r="HN4" s="247"/>
      <c r="HO4" s="247"/>
      <c r="HP4" s="247"/>
      <c r="HQ4" s="248"/>
      <c r="HR4" s="246">
        <f t="shared" ref="HR4" si="13">HR5</f>
        <v>46146</v>
      </c>
      <c r="HS4" s="247"/>
      <c r="HT4" s="247"/>
      <c r="HU4" s="247"/>
      <c r="HV4" s="247"/>
      <c r="HW4" s="247"/>
      <c r="HX4" s="248"/>
      <c r="HY4" s="246">
        <f t="shared" ref="HY4" si="14">HY5</f>
        <v>46153</v>
      </c>
      <c r="HZ4" s="247"/>
      <c r="IA4" s="247"/>
      <c r="IB4" s="247"/>
      <c r="IC4" s="247"/>
      <c r="ID4" s="247"/>
      <c r="IE4" s="248"/>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319</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320</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321</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322</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323</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324</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322</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325</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322</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326</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321</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322</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324</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322</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325</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322</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327</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321</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322</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324</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322</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325</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322</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292</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294</v>
      </c>
      <c r="B31" s="25" t="s">
        <v>293</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BFB5670B-D830-4B08-AE54-9C8F4F93FE3A}"/>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Breno Carvalho Batista Guedes</cp:lastModifiedBy>
  <cp:revision/>
  <dcterms:created xsi:type="dcterms:W3CDTF">2021-12-14T20:18:50Z</dcterms:created>
  <dcterms:modified xsi:type="dcterms:W3CDTF">2026-06-30T13:20:51Z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