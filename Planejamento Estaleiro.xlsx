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codeName="EstaPastaDeTrabalho"/>
  <xr:revisionPtr revIDLastSave="1860" documentId="101_S{B73360A1-8A99-5EFE-B3D7-B4540AB28558}" xr6:coauthVersionLast="47" xr6:coauthVersionMax="47" xr10:uidLastSave="{952DD8F1-6107-4AFD-8CE3-653DDDBD4DC7}"/>
  <bookViews>
    <workbookView xWindow="-110" yWindow="-110" windowWidth="19420" windowHeight="10300"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Equipe!$A$1:$J$56</definedName>
    <definedName name="_xlnm._FilterDatabase" localSheetId="1" hidden="1">'Planejamento IED'!$B$1:$G$189</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W5" i="11" l="1"/>
  <c r="NW4" i="11" s="1"/>
  <c r="NX5" i="11"/>
  <c r="NX6" i="11" s="1"/>
  <c r="NW6" i="11"/>
  <c r="E85" i="11"/>
  <c r="E84" i="11"/>
  <c r="E83" i="11"/>
  <c r="E82" i="11"/>
  <c r="NY5" i="11" l="1"/>
  <c r="NY6" i="11" s="1"/>
  <c r="NZ5" i="11"/>
  <c r="OA5" i="11" l="1"/>
  <c r="NZ6" i="11"/>
  <c r="OB5" i="11" l="1"/>
  <c r="OA6" i="11"/>
  <c r="OC5" i="11" l="1"/>
  <c r="OB6" i="11"/>
  <c r="OD5" i="11" l="1"/>
  <c r="OC6" i="11"/>
  <c r="OD4" i="11" l="1"/>
  <c r="OD6" i="11"/>
  <c r="OE5"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V5" i="11" l="1"/>
  <c r="OU6" i="11"/>
  <c r="OV6" i="11" l="1"/>
  <c r="OW5" i="11"/>
  <c r="OX5" i="11" l="1"/>
  <c r="OW6" i="11"/>
  <c r="OY5" i="11" l="1"/>
  <c r="OX6" i="11"/>
  <c r="OZ5" i="11" l="1"/>
  <c r="OY4" i="11"/>
  <c r="OY6" i="11"/>
  <c r="PA5" i="11" l="1"/>
  <c r="OZ6" i="11"/>
  <c r="PB5" i="11" l="1"/>
  <c r="PA6" i="11"/>
  <c r="PB6" i="11" l="1"/>
  <c r="PC5" i="11"/>
  <c r="PD5" i="11" l="1"/>
  <c r="PC6" i="11"/>
  <c r="PD6" i="11" l="1"/>
  <c r="PE5" i="11"/>
  <c r="PE6" i="11" l="1"/>
  <c r="PF5" i="11"/>
  <c r="PG5" i="11" l="1"/>
  <c r="PF4" i="11"/>
  <c r="PF6" i="11"/>
  <c r="PH5" i="11" l="1"/>
  <c r="PG6" i="11"/>
  <c r="PH6" i="11" l="1"/>
  <c r="PI5" i="11"/>
  <c r="PJ5" i="11" l="1"/>
  <c r="PI6" i="11"/>
  <c r="PK5" i="11" l="1"/>
  <c r="PJ6" i="11"/>
  <c r="PL5" i="11" l="1"/>
  <c r="PK6" i="11"/>
  <c r="PM5" i="11" l="1"/>
  <c r="PL6" i="11"/>
  <c r="PM6" i="11" l="1"/>
  <c r="PN5" i="11"/>
  <c r="PM4"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4" i="11"/>
  <c r="QA6" i="11"/>
  <c r="QB6" i="11" l="1"/>
  <c r="QC5" i="11"/>
  <c r="QD5" i="11" l="1"/>
  <c r="QC6" i="11"/>
  <c r="QE5" i="11" l="1"/>
  <c r="QD6" i="11"/>
  <c r="QF5" i="11" l="1"/>
  <c r="QE6" i="11"/>
  <c r="QF6" i="11" l="1"/>
  <c r="QG5" i="11"/>
  <c r="QH5" i="11" l="1"/>
  <c r="QG6" i="11"/>
  <c r="QI5" i="11" l="1"/>
  <c r="QH6" i="11"/>
  <c r="QH4" i="11"/>
  <c r="E115" i="11"/>
  <c r="D118" i="11" s="1"/>
  <c r="E185" i="11"/>
  <c r="QJ5" i="11" l="1"/>
  <c r="QI6" i="11"/>
  <c r="E125" i="11"/>
  <c r="D126" i="11" s="1"/>
  <c r="E126" i="11" s="1"/>
  <c r="D127" i="11" s="1"/>
  <c r="E127" i="11" s="1"/>
  <c r="E62" i="11"/>
  <c r="E61" i="11"/>
  <c r="E60" i="11"/>
  <c r="E59" i="11"/>
  <c r="E109" i="11"/>
  <c r="D112" i="11" s="1"/>
  <c r="E112" i="11" s="1"/>
  <c r="E74" i="11"/>
  <c r="E75" i="11"/>
  <c r="E76" i="11"/>
  <c r="E77" i="11"/>
  <c r="E78" i="11"/>
  <c r="E79" i="11"/>
  <c r="E80" i="11"/>
  <c r="E58" i="11"/>
  <c r="E184" i="11"/>
  <c r="E160" i="11"/>
  <c r="E159" i="11"/>
  <c r="E158" i="11"/>
  <c r="E57" i="11"/>
  <c r="E56" i="11"/>
  <c r="E55" i="11"/>
  <c r="QK5" i="11" l="1"/>
  <c r="QJ6" i="11"/>
  <c r="G103" i="11"/>
  <c r="G100" i="11"/>
  <c r="E182" i="11"/>
  <c r="E183" i="11" s="1"/>
  <c r="QK6" i="11" l="1"/>
  <c r="QL5" i="11"/>
  <c r="D181" i="11"/>
  <c r="G181" i="11" s="1"/>
  <c r="G157" i="11"/>
  <c r="QL6" i="11" l="1"/>
  <c r="QM5" i="11"/>
  <c r="G98" i="11"/>
  <c r="G159" i="11"/>
  <c r="G183" i="11"/>
  <c r="G182" i="11"/>
  <c r="G158" i="11"/>
  <c r="QN5" i="11" l="1"/>
  <c r="QM6" i="11"/>
  <c r="G184" i="11"/>
  <c r="G160" i="11"/>
  <c r="E107" i="11"/>
  <c r="D110" i="11" s="1"/>
  <c r="E167" i="11"/>
  <c r="E71" i="11"/>
  <c r="QO5" i="11" l="1"/>
  <c r="QN6" i="11"/>
  <c r="E53" i="11"/>
  <c r="E54" i="11"/>
  <c r="QO4" i="11" l="1"/>
  <c r="QO6" i="11"/>
  <c r="QP5" i="11"/>
  <c r="E72" i="11"/>
  <c r="E51" i="11"/>
  <c r="E50" i="11"/>
  <c r="E49" i="11"/>
  <c r="E48" i="11"/>
  <c r="QQ5" i="11" l="1"/>
  <c r="QP6" i="11"/>
  <c r="E108" i="11"/>
  <c r="E106" i="11"/>
  <c r="QR5" i="11" l="1"/>
  <c r="QQ6" i="11"/>
  <c r="E111" i="11"/>
  <c r="E45" i="11"/>
  <c r="E46" i="11"/>
  <c r="E44" i="11"/>
  <c r="QR6" i="11" l="1"/>
  <c r="QS5" i="11"/>
  <c r="E150" i="11"/>
  <c r="E149" i="11"/>
  <c r="E148" i="11"/>
  <c r="E147" i="11"/>
  <c r="E146" i="11"/>
  <c r="G95" i="11"/>
  <c r="G96" i="11"/>
  <c r="G97" i="11"/>
  <c r="G94" i="11"/>
  <c r="E145" i="11"/>
  <c r="E144" i="11"/>
  <c r="E141" i="11"/>
  <c r="E142" i="11"/>
  <c r="E139" i="11"/>
  <c r="E138" i="11"/>
  <c r="D171" i="11"/>
  <c r="G170" i="11"/>
  <c r="E73" i="11"/>
  <c r="E105" i="11"/>
  <c r="E110" i="11" s="1"/>
  <c r="E102" i="11"/>
  <c r="E135" i="11"/>
  <c r="E134" i="11"/>
  <c r="E89" i="11"/>
  <c r="G88" i="11"/>
  <c r="D136" i="11"/>
  <c r="D137" i="11" s="1"/>
  <c r="E164" i="11"/>
  <c r="D166" i="11" s="1"/>
  <c r="E163" i="11"/>
  <c r="G162" i="11"/>
  <c r="C3" i="11"/>
  <c r="D14" i="11"/>
  <c r="E14" i="11" s="1"/>
  <c r="E13" i="11"/>
  <c r="E11" i="11"/>
  <c r="E10" i="11"/>
  <c r="E66" i="11"/>
  <c r="QT5" i="11" l="1"/>
  <c r="QS6" i="11"/>
  <c r="E114" i="11"/>
  <c r="E113" i="11"/>
  <c r="D117" i="11" s="1"/>
  <c r="D104" i="11"/>
  <c r="E104" i="11" s="1"/>
  <c r="E136" i="11"/>
  <c r="E143" i="11"/>
  <c r="E140" i="11"/>
  <c r="E137" i="11"/>
  <c r="D169" i="11"/>
  <c r="E169" i="11" s="1"/>
  <c r="E165" i="11"/>
  <c r="D168" i="11" s="1"/>
  <c r="E168" i="11" s="1"/>
  <c r="D16" i="11"/>
  <c r="D15" i="11" s="1"/>
  <c r="D12" i="11"/>
  <c r="QU5" i="11" l="1"/>
  <c r="QT6" i="11"/>
  <c r="E118" i="11"/>
  <c r="D121" i="11" s="1"/>
  <c r="E117" i="11"/>
  <c r="D120" i="11" s="1"/>
  <c r="E15" i="11"/>
  <c r="D17" i="11"/>
  <c r="E17" i="11" s="1"/>
  <c r="E166" i="11"/>
  <c r="D116" i="11"/>
  <c r="D18" i="11"/>
  <c r="E18" i="11" s="1"/>
  <c r="E69" i="11"/>
  <c r="E16" i="11"/>
  <c r="E12" i="11"/>
  <c r="G153" i="11"/>
  <c r="F11" i="13"/>
  <c r="E11" i="13"/>
  <c r="H31" i="13"/>
  <c r="H30" i="13"/>
  <c r="H23" i="13"/>
  <c r="H16" i="13"/>
  <c r="E9" i="13"/>
  <c r="F9" i="13" s="1"/>
  <c r="H8" i="13"/>
  <c r="H7" i="13"/>
  <c r="I5" i="13"/>
  <c r="J5" i="13" s="1"/>
  <c r="K5" i="13" s="1"/>
  <c r="C3" i="13"/>
  <c r="G7" i="11"/>
  <c r="QV5" i="11" l="1"/>
  <c r="QU6" i="11"/>
  <c r="E116" i="11"/>
  <c r="D119" i="11" s="1"/>
  <c r="E121" i="11"/>
  <c r="E120" i="11"/>
  <c r="D123" i="11" s="1"/>
  <c r="D19" i="11"/>
  <c r="E19" i="11" s="1"/>
  <c r="E70" i="11"/>
  <c r="I4" i="13"/>
  <c r="I6" i="13"/>
  <c r="J6" i="13"/>
  <c r="L5" i="13"/>
  <c r="K6" i="13"/>
  <c r="QW5" i="11" l="1"/>
  <c r="QV6" i="11"/>
  <c r="QV4" i="11"/>
  <c r="D124" i="11"/>
  <c r="E124" i="11" s="1"/>
  <c r="E119" i="11"/>
  <c r="D122" i="11" s="1"/>
  <c r="E123" i="11"/>
  <c r="D20" i="11"/>
  <c r="D21" i="11" s="1"/>
  <c r="E10" i="13"/>
  <c r="F10" i="13" s="1"/>
  <c r="E12" i="13" s="1"/>
  <c r="M5" i="13"/>
  <c r="L6" i="13"/>
  <c r="H9" i="13"/>
  <c r="H5" i="11"/>
  <c r="G189" i="11"/>
  <c r="G93" i="11"/>
  <c r="G90" i="11"/>
  <c r="G65" i="11"/>
  <c r="G9" i="11"/>
  <c r="QW6" i="11" l="1"/>
  <c r="QX5" i="11"/>
  <c r="E122" i="11"/>
  <c r="E20" i="11"/>
  <c r="E21" i="11"/>
  <c r="D22" i="11"/>
  <c r="H10" i="13"/>
  <c r="E17" i="13"/>
  <c r="F17" i="13" s="1"/>
  <c r="N5" i="13"/>
  <c r="M6" i="13"/>
  <c r="H6" i="11"/>
  <c r="QY5" i="11" l="1"/>
  <c r="QX6" i="11"/>
  <c r="E22" i="11"/>
  <c r="D23" i="11"/>
  <c r="O5" i="13"/>
  <c r="N6" i="13"/>
  <c r="H17" i="13"/>
  <c r="J5" i="11"/>
  <c r="K5" i="11" s="1"/>
  <c r="L5" i="11" s="1"/>
  <c r="M5" i="11" s="1"/>
  <c r="N5" i="11" s="1"/>
  <c r="O5" i="11" s="1"/>
  <c r="P5" i="11" s="1"/>
  <c r="H4" i="11"/>
  <c r="QZ5" i="11" l="1"/>
  <c r="QY6" i="11"/>
  <c r="E23" i="11"/>
  <c r="D24" i="11"/>
  <c r="E18" i="13"/>
  <c r="F18" i="13" s="1"/>
  <c r="O6" i="13"/>
  <c r="P5" i="13"/>
  <c r="P4" i="11"/>
  <c r="Q5" i="11"/>
  <c r="R5" i="11" s="1"/>
  <c r="S5" i="11" s="1"/>
  <c r="T5" i="11" s="1"/>
  <c r="U5" i="11" s="1"/>
  <c r="V5" i="11" s="1"/>
  <c r="W5" i="11" s="1"/>
  <c r="J6" i="11"/>
  <c r="RA5" i="11" l="1"/>
  <c r="QZ6" i="11"/>
  <c r="E24" i="11"/>
  <c r="D25" i="11"/>
  <c r="D26" i="11" s="1"/>
  <c r="P6" i="13"/>
  <c r="P4" i="13"/>
  <c r="Q5" i="13"/>
  <c r="E24" i="13"/>
  <c r="F24" i="13" s="1"/>
  <c r="H18" i="13"/>
  <c r="W4" i="11"/>
  <c r="X5" i="11"/>
  <c r="Y5" i="11" s="1"/>
  <c r="Z5" i="11" s="1"/>
  <c r="AA5" i="11" s="1"/>
  <c r="AB5" i="11" s="1"/>
  <c r="AC5" i="11" s="1"/>
  <c r="AD5" i="11" s="1"/>
  <c r="K6" i="11"/>
  <c r="RA6" i="11" l="1"/>
  <c r="RB5" i="11"/>
  <c r="D27" i="11"/>
  <c r="E26" i="11"/>
  <c r="E25" i="11"/>
  <c r="H24" i="13"/>
  <c r="Q6" i="13"/>
  <c r="R5" i="13"/>
  <c r="AE5" i="11"/>
  <c r="AF5" i="11" s="1"/>
  <c r="AG5" i="11" s="1"/>
  <c r="AH5" i="11" s="1"/>
  <c r="AI5" i="11" s="1"/>
  <c r="AJ5" i="11" s="1"/>
  <c r="AD4" i="11"/>
  <c r="L6" i="11"/>
  <c r="RC5" i="11" l="1"/>
  <c r="RB6" i="11"/>
  <c r="D28" i="11"/>
  <c r="E27" i="11"/>
  <c r="R6" i="13"/>
  <c r="S5" i="13"/>
  <c r="E25" i="13"/>
  <c r="F25" i="13" s="1"/>
  <c r="AK5" i="11"/>
  <c r="AL5" i="11" s="1"/>
  <c r="AM5" i="11" s="1"/>
  <c r="AN5" i="11" s="1"/>
  <c r="AO5" i="11" s="1"/>
  <c r="AP5" i="11" s="1"/>
  <c r="AQ5" i="11" s="1"/>
  <c r="M6" i="11"/>
  <c r="RC4" i="11" l="1"/>
  <c r="RD5" i="11"/>
  <c r="RC6" i="11"/>
  <c r="E28" i="11"/>
  <c r="D29" i="11"/>
  <c r="F12" i="13"/>
  <c r="H25" i="13"/>
  <c r="T5" i="13"/>
  <c r="S6" i="13"/>
  <c r="AR5" i="11"/>
  <c r="AS5" i="11" s="1"/>
  <c r="AK4" i="11"/>
  <c r="N6" i="11"/>
  <c r="RD6" i="11" l="1"/>
  <c r="RE5" i="11"/>
  <c r="D30" i="11"/>
  <c r="E29" i="11"/>
  <c r="U5" i="13"/>
  <c r="T6" i="13"/>
  <c r="AT5" i="11"/>
  <c r="AS6" i="11"/>
  <c r="AR4" i="11"/>
  <c r="O6" i="11"/>
  <c r="RF5" i="11" l="1"/>
  <c r="RE6" i="11"/>
  <c r="E30" i="11"/>
  <c r="D31" i="11"/>
  <c r="V5" i="13"/>
  <c r="U6" i="13"/>
  <c r="AU5" i="11"/>
  <c r="AT6" i="11"/>
  <c r="RG5" i="11" l="1"/>
  <c r="RF6" i="11"/>
  <c r="E31" i="11"/>
  <c r="D32" i="11"/>
  <c r="W5" i="13"/>
  <c r="V6" i="13"/>
  <c r="AV5" i="11"/>
  <c r="AU6" i="11"/>
  <c r="P6" i="11"/>
  <c r="Q6" i="11"/>
  <c r="RH5" i="11" l="1"/>
  <c r="RG6" i="11"/>
  <c r="E32" i="11"/>
  <c r="D33" i="11"/>
  <c r="W6" i="13"/>
  <c r="X5" i="13"/>
  <c r="W4" i="13"/>
  <c r="AW5" i="11"/>
  <c r="AV6" i="11"/>
  <c r="R6" i="11"/>
  <c r="RI5" i="11" l="1"/>
  <c r="RH6" i="11"/>
  <c r="D34" i="11"/>
  <c r="D35" i="11" s="1"/>
  <c r="E33" i="11"/>
  <c r="X6" i="13"/>
  <c r="Y5" i="13"/>
  <c r="AX5" i="11"/>
  <c r="AY5" i="11" s="1"/>
  <c r="AW6" i="11"/>
  <c r="S6" i="11"/>
  <c r="RJ5" i="11" l="1"/>
  <c r="RI6" i="11"/>
  <c r="E34" i="11"/>
  <c r="Y6" i="13"/>
  <c r="Z5" i="13"/>
  <c r="AY6" i="11"/>
  <c r="AZ5" i="11"/>
  <c r="AY4" i="11"/>
  <c r="AX6" i="11"/>
  <c r="T6" i="11"/>
  <c r="RJ4" i="11" l="1"/>
  <c r="RJ6" i="11"/>
  <c r="RK5" i="11"/>
  <c r="E35" i="11"/>
  <c r="D36" i="11"/>
  <c r="Z6" i="13"/>
  <c r="AA5" i="13"/>
  <c r="BA5" i="11"/>
  <c r="AZ6" i="11"/>
  <c r="U6" i="11"/>
  <c r="RL5" i="11" l="1"/>
  <c r="RK6" i="11"/>
  <c r="E36" i="11"/>
  <c r="D37" i="11"/>
  <c r="AA6" i="13"/>
  <c r="AB5" i="13"/>
  <c r="BA6" i="11"/>
  <c r="BB5" i="11"/>
  <c r="V6" i="11"/>
  <c r="RM5" i="11" l="1"/>
  <c r="RL6" i="11"/>
  <c r="D38" i="11"/>
  <c r="E37" i="11"/>
  <c r="AB6" i="13"/>
  <c r="AC5" i="13"/>
  <c r="BB6" i="11"/>
  <c r="BC5" i="11"/>
  <c r="W6" i="11"/>
  <c r="RM6" i="11" l="1"/>
  <c r="RN5" i="11"/>
  <c r="E38" i="11"/>
  <c r="D39" i="11"/>
  <c r="AD5" i="13"/>
  <c r="AC6" i="13"/>
  <c r="BC6" i="11"/>
  <c r="BD5" i="11"/>
  <c r="X6" i="11"/>
  <c r="RO5" i="11" l="1"/>
  <c r="RN6" i="11"/>
  <c r="E39" i="11"/>
  <c r="D40" i="11"/>
  <c r="D41" i="11" s="1"/>
  <c r="AE5" i="13"/>
  <c r="AD4" i="13"/>
  <c r="AD6" i="13"/>
  <c r="BE5" i="11"/>
  <c r="BD6" i="11"/>
  <c r="Y6" i="11"/>
  <c r="RP5" i="11" l="1"/>
  <c r="RO6" i="11"/>
  <c r="E40" i="11"/>
  <c r="AE6" i="13"/>
  <c r="AF5" i="13"/>
  <c r="BE6" i="11"/>
  <c r="BF5" i="11"/>
  <c r="Z6" i="11"/>
  <c r="RQ5" i="11" l="1"/>
  <c r="RP6" i="11"/>
  <c r="E41" i="11"/>
  <c r="AF6" i="13"/>
  <c r="AG5" i="13"/>
  <c r="BF6" i="11"/>
  <c r="BG5" i="11"/>
  <c r="BF4" i="11"/>
  <c r="AA6" i="11"/>
  <c r="RR5" i="11" l="1"/>
  <c r="RQ4" i="11"/>
  <c r="RQ6" i="11"/>
  <c r="E42" i="11"/>
  <c r="AH5" i="13"/>
  <c r="AG6" i="13"/>
  <c r="BG6" i="11"/>
  <c r="BH5" i="11"/>
  <c r="AB6" i="11"/>
  <c r="RS5" i="11" l="1"/>
  <c r="RR6" i="11"/>
  <c r="E47" i="11"/>
  <c r="E43" i="11"/>
  <c r="AI5" i="13"/>
  <c r="AH6" i="13"/>
  <c r="BI5" i="11"/>
  <c r="BH6" i="11"/>
  <c r="AC6" i="11"/>
  <c r="RT5" i="11" l="1"/>
  <c r="RS6" i="11"/>
  <c r="AI6" i="13"/>
  <c r="AJ5" i="13"/>
  <c r="BJ5" i="11"/>
  <c r="BI6" i="11"/>
  <c r="AD6" i="11"/>
  <c r="RU5" i="11" l="1"/>
  <c r="RT6" i="11"/>
  <c r="AJ6" i="13"/>
  <c r="AK5" i="13"/>
  <c r="BK5" i="11"/>
  <c r="BJ6" i="11"/>
  <c r="AE6" i="11"/>
  <c r="RU6" i="11" l="1"/>
  <c r="RV5" i="11"/>
  <c r="AL5" i="13"/>
  <c r="AK6" i="13"/>
  <c r="AK4" i="13"/>
  <c r="BL5" i="11"/>
  <c r="BM5" i="11" s="1"/>
  <c r="BK6" i="11"/>
  <c r="AF6" i="11"/>
  <c r="RV6" i="11" l="1"/>
  <c r="RW5" i="11"/>
  <c r="AM5" i="13"/>
  <c r="AL6" i="13"/>
  <c r="BM4" i="11"/>
  <c r="BN5" i="11"/>
  <c r="BM6" i="11"/>
  <c r="BL6" i="11"/>
  <c r="AG6" i="11"/>
  <c r="RX5" i="11" l="1"/>
  <c r="RW6" i="11"/>
  <c r="AM6" i="13"/>
  <c r="AN5" i="13"/>
  <c r="BN6" i="11"/>
  <c r="BO5" i="11"/>
  <c r="AH6" i="11"/>
  <c r="RY5" i="11" l="1"/>
  <c r="RX6" i="11"/>
  <c r="RX4" i="11"/>
  <c r="AN6" i="13"/>
  <c r="AO5" i="13"/>
  <c r="BO6" i="11"/>
  <c r="BP5" i="11"/>
  <c r="AI6" i="11"/>
  <c r="RY6" i="11" l="1"/>
  <c r="RZ5" i="11"/>
  <c r="AP5" i="13"/>
  <c r="AO6" i="13"/>
  <c r="BP6" i="11"/>
  <c r="BQ5" i="11"/>
  <c r="AJ6" i="11"/>
  <c r="SA5" i="11" l="1"/>
  <c r="RZ6" i="11"/>
  <c r="AQ5" i="13"/>
  <c r="AP6" i="13"/>
  <c r="BR5" i="11"/>
  <c r="BQ6" i="11"/>
  <c r="AK6" i="11"/>
  <c r="SB5" i="11" l="1"/>
  <c r="SA6" i="11"/>
  <c r="AR5" i="13"/>
  <c r="AQ6" i="13"/>
  <c r="BR6" i="11"/>
  <c r="BS5" i="11"/>
  <c r="AL6" i="11"/>
  <c r="SC5" i="11" l="1"/>
  <c r="SB6" i="11"/>
  <c r="AS5" i="13"/>
  <c r="AR4" i="13"/>
  <c r="AR6" i="13"/>
  <c r="BS6" i="11"/>
  <c r="BT5" i="11"/>
  <c r="AM6" i="11"/>
  <c r="SD5" i="11" l="1"/>
  <c r="SC6" i="11"/>
  <c r="AT5" i="13"/>
  <c r="AS6" i="13"/>
  <c r="BU5" i="11"/>
  <c r="BT6" i="11"/>
  <c r="BT4" i="11"/>
  <c r="AN6" i="11"/>
  <c r="SE5" i="11" l="1"/>
  <c r="SD6" i="11"/>
  <c r="AU5" i="13"/>
  <c r="AT6" i="13"/>
  <c r="BU6" i="11"/>
  <c r="BV5" i="11"/>
  <c r="AO6" i="11"/>
  <c r="SF5" i="11" l="1"/>
  <c r="SE4" i="11"/>
  <c r="SE6" i="11"/>
  <c r="AU6" i="13"/>
  <c r="AV5" i="13"/>
  <c r="BV6" i="11"/>
  <c r="BW5" i="11"/>
  <c r="AP6" i="11"/>
  <c r="SG5" i="11" l="1"/>
  <c r="SF6" i="11"/>
  <c r="AV6" i="13"/>
  <c r="AW5" i="13"/>
  <c r="BW6" i="11"/>
  <c r="BX5" i="11"/>
  <c r="AQ6" i="11"/>
  <c r="SG6" i="11" l="1"/>
  <c r="SH5" i="11"/>
  <c r="AX5" i="13"/>
  <c r="AW6" i="13"/>
  <c r="BY5" i="11"/>
  <c r="BX6" i="11"/>
  <c r="AR6" i="11"/>
  <c r="SI5" i="11" l="1"/>
  <c r="SH6" i="11"/>
  <c r="AX6" i="13"/>
  <c r="AY5" i="13"/>
  <c r="BZ5" i="11"/>
  <c r="BY6" i="11"/>
  <c r="SJ5" i="11" l="1"/>
  <c r="SI6" i="11"/>
  <c r="AY4" i="13"/>
  <c r="AZ5" i="13"/>
  <c r="AY6" i="13"/>
  <c r="BZ6" i="11"/>
  <c r="CA5" i="11"/>
  <c r="SK5" i="11" l="1"/>
  <c r="SJ6" i="11"/>
  <c r="BA5" i="13"/>
  <c r="AZ6" i="13"/>
  <c r="CA4" i="11"/>
  <c r="CA6" i="11"/>
  <c r="CB5" i="11"/>
  <c r="SL5" i="11" l="1"/>
  <c r="SK6" i="11"/>
  <c r="BB5" i="13"/>
  <c r="BA6" i="13"/>
  <c r="CB6" i="11"/>
  <c r="CC5" i="11"/>
  <c r="SL4" i="11" l="1"/>
  <c r="SM5" i="11"/>
  <c r="SL6" i="11"/>
  <c r="BC5" i="13"/>
  <c r="BB6" i="13"/>
  <c r="CC6" i="11"/>
  <c r="CD5" i="11"/>
  <c r="SN5" i="11" l="1"/>
  <c r="SM6" i="11"/>
  <c r="BC6" i="13"/>
  <c r="BD5" i="13"/>
  <c r="CD6" i="11"/>
  <c r="CE5" i="11"/>
  <c r="SN6" i="11" l="1"/>
  <c r="SO5" i="11"/>
  <c r="BD6" i="13"/>
  <c r="BE5" i="13"/>
  <c r="CE6" i="11"/>
  <c r="CF5" i="11"/>
  <c r="SP5" i="11" l="1"/>
  <c r="SO6" i="11"/>
  <c r="BE6" i="13"/>
  <c r="BF5" i="13"/>
  <c r="CG5" i="11"/>
  <c r="CF6" i="11"/>
  <c r="SQ5" i="11" l="1"/>
  <c r="SP6" i="11"/>
  <c r="BF4" i="13"/>
  <c r="BF6" i="13"/>
  <c r="BG5" i="13"/>
  <c r="CH5" i="11"/>
  <c r="CG6" i="11"/>
  <c r="SR5" i="11" l="1"/>
  <c r="SQ6" i="11"/>
  <c r="BG6" i="13"/>
  <c r="BH5" i="13"/>
  <c r="CH4" i="11"/>
  <c r="CI5" i="11"/>
  <c r="CH6" i="11"/>
  <c r="SS5" i="11" l="1"/>
  <c r="SR6" i="11"/>
  <c r="BH6" i="13"/>
  <c r="BI5" i="13"/>
  <c r="CJ5" i="11"/>
  <c r="CI6" i="11"/>
  <c r="SS4" i="11" l="1"/>
  <c r="ST5" i="11"/>
  <c r="SS6" i="11"/>
  <c r="BJ5" i="13"/>
  <c r="BI6" i="13"/>
  <c r="CJ6" i="11"/>
  <c r="CK5" i="11"/>
  <c r="ST6" i="11" l="1"/>
  <c r="SU5" i="11"/>
  <c r="BK5" i="13"/>
  <c r="BJ6" i="13"/>
  <c r="CK6" i="11"/>
  <c r="CL5" i="11"/>
  <c r="SV5" i="11" l="1"/>
  <c r="SU6" i="11"/>
  <c r="BK6" i="13"/>
  <c r="BL5" i="13"/>
  <c r="CL6" i="11"/>
  <c r="CM5" i="11"/>
  <c r="SW5" i="11" l="1"/>
  <c r="SV6" i="11"/>
  <c r="BL6" i="13"/>
  <c r="BM5" i="13"/>
  <c r="CN5" i="11"/>
  <c r="CM6" i="11"/>
  <c r="SX5" i="11" l="1"/>
  <c r="SW6" i="11"/>
  <c r="BN5" i="13"/>
  <c r="BM6" i="13"/>
  <c r="BM4" i="13"/>
  <c r="CN6" i="11"/>
  <c r="CO5" i="11"/>
  <c r="SY5" i="11" l="1"/>
  <c r="SX6" i="11"/>
  <c r="BO5" i="13"/>
  <c r="BN6" i="13"/>
  <c r="CO4" i="11"/>
  <c r="CP5" i="11"/>
  <c r="CO6" i="11"/>
  <c r="SZ5" i="11" l="1"/>
  <c r="SY6" i="11"/>
  <c r="BO6" i="13"/>
  <c r="BP5" i="13"/>
  <c r="CP6" i="11"/>
  <c r="CQ5" i="11"/>
  <c r="SZ4" i="11" l="1"/>
  <c r="TA5" i="11"/>
  <c r="SZ6" i="11"/>
  <c r="BP6" i="13"/>
  <c r="BQ5" i="13"/>
  <c r="CR5" i="11"/>
  <c r="CQ6" i="11"/>
  <c r="TB5" i="11" l="1"/>
  <c r="TA6" i="11"/>
  <c r="BR5" i="13"/>
  <c r="BQ6" i="13"/>
  <c r="CR6" i="11"/>
  <c r="CS5" i="11"/>
  <c r="TC5" i="11" l="1"/>
  <c r="TB6" i="11"/>
  <c r="BS5" i="13"/>
  <c r="BR6" i="13"/>
  <c r="CS6" i="11"/>
  <c r="CT5" i="11"/>
  <c r="TD5" i="11" l="1"/>
  <c r="TC6" i="11"/>
  <c r="BS6" i="13"/>
  <c r="BT5" i="13"/>
  <c r="CT6" i="11"/>
  <c r="CU5" i="11"/>
  <c r="TE5" i="11" l="1"/>
  <c r="TD6" i="11"/>
  <c r="BT6" i="13"/>
  <c r="BU5" i="13"/>
  <c r="BT4" i="13"/>
  <c r="CV5" i="11"/>
  <c r="CU6" i="11"/>
  <c r="TE6" i="11" l="1"/>
  <c r="TF5" i="11"/>
  <c r="BV5" i="13"/>
  <c r="BU6" i="13"/>
  <c r="CV6" i="11"/>
  <c r="CW5" i="11"/>
  <c r="CV4" i="11"/>
  <c r="TF6" i="11" l="1"/>
  <c r="TG5" i="11"/>
  <c r="BW5" i="13"/>
  <c r="BV6" i="13"/>
  <c r="CX5" i="11"/>
  <c r="CW6" i="11"/>
  <c r="TH5" i="11" l="1"/>
  <c r="TG4" i="11"/>
  <c r="TG6" i="11"/>
  <c r="BX5" i="13"/>
  <c r="BW6" i="13"/>
  <c r="CY5" i="11"/>
  <c r="CX6" i="11"/>
  <c r="TH6" i="11" l="1"/>
  <c r="TI5" i="11"/>
  <c r="BY5" i="13"/>
  <c r="BX6" i="13"/>
  <c r="CY6" i="11"/>
  <c r="CZ5" i="11"/>
  <c r="TI6" i="11" l="1"/>
  <c r="TJ5" i="11"/>
  <c r="BZ5" i="13"/>
  <c r="BY6" i="13"/>
  <c r="CZ6" i="11"/>
  <c r="DA5" i="11"/>
  <c r="TK5" i="11" l="1"/>
  <c r="TJ6" i="11"/>
  <c r="CA5" i="13"/>
  <c r="BZ6" i="13"/>
  <c r="DB5" i="11"/>
  <c r="DA6" i="11"/>
  <c r="TL5" i="11" l="1"/>
  <c r="TK6" i="11"/>
  <c r="CA6" i="13"/>
  <c r="CA4" i="13"/>
  <c r="CB5" i="13"/>
  <c r="DB6" i="11"/>
  <c r="DC5" i="11"/>
  <c r="TM5" i="11" l="1"/>
  <c r="TL6" i="11"/>
  <c r="CB6" i="13"/>
  <c r="CC5" i="13"/>
  <c r="DD5" i="11"/>
  <c r="DC6" i="11"/>
  <c r="DC4" i="11"/>
  <c r="TN5" i="11" l="1"/>
  <c r="TM6" i="11"/>
  <c r="CC6" i="13"/>
  <c r="CD5" i="13"/>
  <c r="DD6" i="11"/>
  <c r="DE5" i="11"/>
  <c r="TO5" i="11" l="1"/>
  <c r="TN6" i="11"/>
  <c r="TN4" i="11"/>
  <c r="CD6" i="13"/>
  <c r="CE5" i="13"/>
  <c r="DF5" i="11"/>
  <c r="DE6" i="11"/>
  <c r="TP5" i="11" l="1"/>
  <c r="TO6" i="11"/>
  <c r="CF5" i="13"/>
  <c r="CE6" i="13"/>
  <c r="DG5" i="11"/>
  <c r="DF6" i="11"/>
  <c r="TQ5" i="11" l="1"/>
  <c r="TP6" i="11"/>
  <c r="CG5" i="13"/>
  <c r="CF6" i="13"/>
  <c r="DG6" i="11"/>
  <c r="DH5" i="11"/>
  <c r="TR5" i="11" l="1"/>
  <c r="TQ6" i="11"/>
  <c r="CH5" i="13"/>
  <c r="CG6" i="13"/>
  <c r="DH6" i="11"/>
  <c r="DI5" i="11"/>
  <c r="TR6" i="11" l="1"/>
  <c r="TS5" i="11"/>
  <c r="CI5" i="13"/>
  <c r="CH6" i="13"/>
  <c r="CH4" i="13"/>
  <c r="DI6" i="11"/>
  <c r="DJ5" i="11"/>
  <c r="TT5" i="11" l="1"/>
  <c r="TS6" i="11"/>
  <c r="CI6" i="13"/>
  <c r="CJ5" i="13"/>
  <c r="DJ4" i="11"/>
  <c r="DJ6" i="11"/>
  <c r="DK5" i="11"/>
  <c r="TT6" i="11" l="1"/>
  <c r="TU5" i="11"/>
  <c r="CJ6" i="13"/>
  <c r="CK5" i="13"/>
  <c r="DK6" i="11"/>
  <c r="DL5" i="11"/>
  <c r="TU4" i="11" l="1"/>
  <c r="TV5" i="11"/>
  <c r="TU6" i="11"/>
  <c r="CK6" i="13"/>
  <c r="CL5" i="13"/>
  <c r="DM5" i="11"/>
  <c r="DL6" i="11"/>
  <c r="TW5" i="11" l="1"/>
  <c r="TV6" i="11"/>
  <c r="CL6" i="13"/>
  <c r="CM5" i="13"/>
  <c r="DN5" i="11"/>
  <c r="DM6" i="11"/>
  <c r="TX5" i="11" l="1"/>
  <c r="TW6" i="11"/>
  <c r="CN5" i="13"/>
  <c r="CM6" i="13"/>
  <c r="DN6" i="11"/>
  <c r="DO5" i="11"/>
  <c r="TX6" i="11" l="1"/>
  <c r="TY5" i="11"/>
  <c r="CN6" i="13"/>
  <c r="CO5" i="13"/>
  <c r="DO6" i="11"/>
  <c r="DP5" i="11"/>
  <c r="TZ5" i="11" l="1"/>
  <c r="TY6" i="11"/>
  <c r="CP5" i="13"/>
  <c r="CO4" i="13"/>
  <c r="CO6" i="13"/>
  <c r="DP6" i="11"/>
  <c r="DQ5" i="11"/>
  <c r="UA5" i="11" l="1"/>
  <c r="TZ6" i="11"/>
  <c r="CQ5" i="13"/>
  <c r="CP6" i="13"/>
  <c r="DQ4" i="11"/>
  <c r="DR5" i="11"/>
  <c r="DQ6" i="11"/>
  <c r="UB5" i="11" l="1"/>
  <c r="UA6" i="11"/>
  <c r="CQ6" i="13"/>
  <c r="CR5" i="13"/>
  <c r="DR6" i="11"/>
  <c r="DS5" i="11"/>
  <c r="UC5" i="11" l="1"/>
  <c r="UB6" i="11"/>
  <c r="UB4" i="11"/>
  <c r="CR6" i="13"/>
  <c r="CS5" i="13"/>
  <c r="DS6" i="11"/>
  <c r="DT5" i="11"/>
  <c r="UC6" i="11" l="1"/>
  <c r="UD5" i="11"/>
  <c r="CS6" i="13"/>
  <c r="CT5" i="13"/>
  <c r="DT6" i="11"/>
  <c r="DU5" i="11"/>
  <c r="UE5" i="11" l="1"/>
  <c r="UD6" i="11"/>
  <c r="CU5" i="13"/>
  <c r="CT6" i="13"/>
  <c r="DV5" i="11"/>
  <c r="DU6" i="11"/>
  <c r="UF5" i="11" l="1"/>
  <c r="UE6" i="11"/>
  <c r="CU6" i="13"/>
  <c r="CV5" i="13"/>
  <c r="DV6" i="11"/>
  <c r="DW5" i="11"/>
  <c r="UG5" i="11" l="1"/>
  <c r="UF6" i="11"/>
  <c r="CV4" i="13"/>
  <c r="CV6" i="13"/>
  <c r="CW5" i="13"/>
  <c r="DX5" i="11"/>
  <c r="DW6" i="11"/>
  <c r="UH5" i="11" l="1"/>
  <c r="UG6" i="11"/>
  <c r="CX5" i="13"/>
  <c r="CW6" i="13"/>
  <c r="DX4" i="11"/>
  <c r="DY5" i="11"/>
  <c r="DX6" i="11"/>
  <c r="UI5" i="11" l="1"/>
  <c r="UH6" i="11"/>
  <c r="CY5" i="13"/>
  <c r="CX6" i="13"/>
  <c r="DY6" i="11"/>
  <c r="DZ5" i="11"/>
  <c r="EA5" i="11" s="1"/>
  <c r="EA6" i="11" s="1"/>
  <c r="UI4" i="11" l="1"/>
  <c r="UJ5" i="11"/>
  <c r="UI6" i="11"/>
  <c r="CY6" i="13"/>
  <c r="CZ5" i="13"/>
  <c r="DZ6" i="11"/>
  <c r="UK5" i="11" l="1"/>
  <c r="UJ6" i="11"/>
  <c r="CZ6" i="13"/>
  <c r="DA5" i="13"/>
  <c r="EB5" i="11"/>
  <c r="UL5" i="11" l="1"/>
  <c r="UK6" i="11"/>
  <c r="DB5" i="13"/>
  <c r="DA6" i="13"/>
  <c r="EB6" i="11"/>
  <c r="EC5" i="11"/>
  <c r="UM5" i="11" l="1"/>
  <c r="UL6" i="11"/>
  <c r="DC5" i="13"/>
  <c r="DB6" i="13"/>
  <c r="EC6" i="11"/>
  <c r="ED5" i="11"/>
  <c r="UN5" i="11" l="1"/>
  <c r="UM6" i="11"/>
  <c r="DC4" i="13"/>
  <c r="DD5" i="13"/>
  <c r="DC6" i="13"/>
  <c r="ED6" i="11"/>
  <c r="EE5" i="11"/>
  <c r="UO5" i="11" l="1"/>
  <c r="UN6" i="11"/>
  <c r="DE5" i="13"/>
  <c r="DD6" i="13"/>
  <c r="EE4" i="11"/>
  <c r="EF5" i="11"/>
  <c r="EE6" i="11"/>
  <c r="UP5" i="11" l="1"/>
  <c r="UO6" i="11"/>
  <c r="DF5" i="13"/>
  <c r="DE6" i="13"/>
  <c r="EG5" i="11"/>
  <c r="EF6" i="11"/>
  <c r="UP4" i="11" l="1"/>
  <c r="UP6" i="11"/>
  <c r="UQ5" i="11"/>
  <c r="DG5" i="13"/>
  <c r="DF6" i="13"/>
  <c r="EG6" i="11"/>
  <c r="EH5" i="11"/>
  <c r="UR5" i="11" l="1"/>
  <c r="UQ6" i="11"/>
  <c r="DG6" i="13"/>
  <c r="DH5" i="13"/>
  <c r="EH6" i="11"/>
  <c r="EI5" i="11"/>
  <c r="UR6" i="11" l="1"/>
  <c r="US5" i="11"/>
  <c r="DH6" i="13"/>
  <c r="DI5" i="13"/>
  <c r="EJ5" i="11"/>
  <c r="EI6" i="11"/>
  <c r="UT5" i="11" l="1"/>
  <c r="US6" i="11"/>
  <c r="DI6" i="13"/>
  <c r="DJ5" i="13"/>
  <c r="EJ6" i="11"/>
  <c r="EK5" i="11"/>
  <c r="UU5" i="11" l="1"/>
  <c r="UT6" i="11"/>
  <c r="DJ4" i="13"/>
  <c r="DJ6" i="13"/>
  <c r="DK5" i="13"/>
  <c r="EK6" i="11"/>
  <c r="EL5" i="11"/>
  <c r="UV5" i="11" l="1"/>
  <c r="UU6" i="11"/>
  <c r="DL5" i="13"/>
  <c r="DK6" i="13"/>
  <c r="EL4" i="11"/>
  <c r="EM5" i="11"/>
  <c r="EL6" i="11"/>
  <c r="UW5" i="11" l="1"/>
  <c r="UV6" i="11"/>
  <c r="DM5" i="13"/>
  <c r="DL6" i="13"/>
  <c r="EM6" i="11"/>
  <c r="EN5" i="11"/>
  <c r="UX5" i="11" l="1"/>
  <c r="UW4" i="11"/>
  <c r="UW6" i="11"/>
  <c r="DN5" i="13"/>
  <c r="DM6" i="13"/>
  <c r="EN6" i="11"/>
  <c r="EO5" i="11"/>
  <c r="UY5" i="11" l="1"/>
  <c r="UX6" i="11"/>
  <c r="DO5" i="13"/>
  <c r="DN6" i="13"/>
  <c r="EO6" i="11"/>
  <c r="EP5" i="11"/>
  <c r="UZ5" i="11" l="1"/>
  <c r="UY6" i="11"/>
  <c r="DO6" i="13"/>
  <c r="DP5" i="13"/>
  <c r="EQ5" i="11"/>
  <c r="EP6" i="11"/>
  <c r="VA5" i="11" l="1"/>
  <c r="UZ6" i="11"/>
  <c r="DP6" i="13"/>
  <c r="DQ5" i="13"/>
  <c r="ER5" i="11"/>
  <c r="EQ6" i="11"/>
  <c r="VA6" i="11" l="1"/>
  <c r="VB5" i="11"/>
  <c r="DQ4" i="13"/>
  <c r="DQ6" i="13"/>
  <c r="DR5" i="13"/>
  <c r="ES5" i="11"/>
  <c r="ER6" i="11"/>
  <c r="VB6" i="11" l="1"/>
  <c r="VC5" i="11"/>
  <c r="DR6" i="13"/>
  <c r="DS5" i="13"/>
  <c r="ES4" i="11"/>
  <c r="ET5" i="11"/>
  <c r="ES6" i="11"/>
  <c r="VD5" i="11" l="1"/>
  <c r="VC6" i="11"/>
  <c r="DS6" i="13"/>
  <c r="DT5" i="13"/>
  <c r="EU5" i="11"/>
  <c r="ET6" i="11"/>
  <c r="VD4" i="11" l="1"/>
  <c r="VE5" i="11"/>
  <c r="VD6" i="11"/>
  <c r="DT6" i="13"/>
  <c r="DU5" i="13"/>
  <c r="EU6" i="11"/>
  <c r="EV5" i="11"/>
  <c r="VF5" i="11" l="1"/>
  <c r="VE6" i="11"/>
  <c r="DV5" i="13"/>
  <c r="DU6" i="13"/>
  <c r="EV6" i="11"/>
  <c r="EW5" i="11"/>
  <c r="VG5" i="11" l="1"/>
  <c r="VF6" i="11"/>
  <c r="DW5" i="13"/>
  <c r="DV6" i="13"/>
  <c r="EX5" i="11"/>
  <c r="EW6" i="11"/>
  <c r="VH5" i="11" l="1"/>
  <c r="VG6" i="11"/>
  <c r="DW6" i="13"/>
  <c r="DX5" i="13"/>
  <c r="EX6" i="11"/>
  <c r="EY5" i="11"/>
  <c r="VI5" i="11" l="1"/>
  <c r="VH6" i="11"/>
  <c r="DX6" i="13"/>
  <c r="DX4" i="13"/>
  <c r="DY5" i="13"/>
  <c r="EY6" i="11"/>
  <c r="EZ5" i="11"/>
  <c r="VJ5" i="11" l="1"/>
  <c r="VI6" i="11"/>
  <c r="DZ5" i="13"/>
  <c r="DY6" i="13"/>
  <c r="EZ4" i="11"/>
  <c r="EZ6" i="11"/>
  <c r="FA5" i="11"/>
  <c r="VK5" i="11" l="1"/>
  <c r="VJ6" i="11"/>
  <c r="EA5" i="13"/>
  <c r="DZ6" i="13"/>
  <c r="FA6" i="11"/>
  <c r="FB5" i="11"/>
  <c r="VL5" i="11" l="1"/>
  <c r="VK4" i="11"/>
  <c r="VK6" i="11"/>
  <c r="EA6" i="13"/>
  <c r="EB5" i="13"/>
  <c r="FB6" i="11"/>
  <c r="FC5" i="11"/>
  <c r="VM5" i="11" l="1"/>
  <c r="VL6" i="11"/>
  <c r="EB6" i="13"/>
  <c r="EC5" i="13"/>
  <c r="FC6" i="11"/>
  <c r="FD5" i="11"/>
  <c r="VN5" i="11" l="1"/>
  <c r="VM6" i="11"/>
  <c r="ED5" i="13"/>
  <c r="EC6" i="13"/>
  <c r="FD6" i="11"/>
  <c r="FE5" i="11"/>
  <c r="VN6" i="11" l="1"/>
  <c r="VO5" i="11"/>
  <c r="EE5" i="13"/>
  <c r="ED6" i="13"/>
  <c r="FF5" i="11"/>
  <c r="FE6" i="11"/>
  <c r="VP5" i="11" l="1"/>
  <c r="VO6" i="11"/>
  <c r="EE6" i="13"/>
  <c r="EF5" i="13"/>
  <c r="EE4" i="13"/>
  <c r="FF6" i="11"/>
  <c r="FG5" i="11"/>
  <c r="VP6" i="11" l="1"/>
  <c r="VQ5" i="11"/>
  <c r="EF6" i="13"/>
  <c r="EG5" i="13"/>
  <c r="FG4" i="11"/>
  <c r="FG6" i="11"/>
  <c r="FH5" i="11"/>
  <c r="VR5" i="11" l="1"/>
  <c r="VQ6" i="11"/>
  <c r="EH5" i="13"/>
  <c r="EG6" i="13"/>
  <c r="FI5" i="11"/>
  <c r="FH6" i="11"/>
  <c r="VS5" i="11" l="1"/>
  <c r="VR4" i="11"/>
  <c r="VR6" i="11"/>
  <c r="EI5" i="13"/>
  <c r="EH6" i="13"/>
  <c r="FI6" i="11"/>
  <c r="FJ5" i="11"/>
  <c r="VT5" i="11" l="1"/>
  <c r="VS6" i="11"/>
  <c r="EJ5" i="13"/>
  <c r="EI6" i="13"/>
  <c r="FJ6" i="11"/>
  <c r="FK5" i="11"/>
  <c r="VT6" i="11" l="1"/>
  <c r="VU5" i="11"/>
  <c r="EK5" i="13"/>
  <c r="EJ6" i="13"/>
  <c r="FL5" i="11"/>
  <c r="FK6" i="11"/>
  <c r="VV5" i="11" l="1"/>
  <c r="VU6" i="11"/>
  <c r="EL5" i="13"/>
  <c r="EK6" i="13"/>
  <c r="FL6" i="11"/>
  <c r="FM5" i="11"/>
  <c r="VW5" i="11" l="1"/>
  <c r="VV6" i="11"/>
  <c r="EM5" i="13"/>
  <c r="EL6" i="13"/>
  <c r="EL4" i="13"/>
  <c r="FM6" i="11"/>
  <c r="FN5" i="11"/>
  <c r="VX5" i="11" l="1"/>
  <c r="VW6" i="11"/>
  <c r="EM6" i="13"/>
  <c r="EN5" i="13"/>
  <c r="FN4" i="11"/>
  <c r="FN6" i="11"/>
  <c r="FO5" i="11"/>
  <c r="VY5" i="11" l="1"/>
  <c r="VX6" i="11"/>
  <c r="EN6" i="13"/>
  <c r="EO5" i="13"/>
  <c r="FO6" i="11"/>
  <c r="FP5" i="11"/>
  <c r="VY6" i="11" l="1"/>
  <c r="VZ5" i="11"/>
  <c r="VY4" i="11"/>
  <c r="EO6" i="13"/>
  <c r="EP5" i="13"/>
  <c r="FQ5" i="11"/>
  <c r="FP6" i="11"/>
  <c r="WA5" i="11" l="1"/>
  <c r="VZ6" i="11"/>
  <c r="EP6" i="13"/>
  <c r="EQ5" i="13"/>
  <c r="FQ6" i="11"/>
  <c r="FR5" i="11"/>
  <c r="WB5" i="11" l="1"/>
  <c r="WA6" i="11"/>
  <c r="ER5" i="13"/>
  <c r="EQ6" i="13"/>
  <c r="FR6" i="11"/>
  <c r="FS5" i="11"/>
  <c r="WC5" i="11" l="1"/>
  <c r="WB6" i="11"/>
  <c r="ES5" i="13"/>
  <c r="ER6" i="13"/>
  <c r="FT5" i="11"/>
  <c r="FS6" i="11"/>
  <c r="WD5" i="11" l="1"/>
  <c r="WC6" i="11"/>
  <c r="ET5" i="13"/>
  <c r="ES6" i="13"/>
  <c r="ES4" i="13"/>
  <c r="FU5" i="11"/>
  <c r="FT6" i="11"/>
  <c r="WE5" i="11" l="1"/>
  <c r="WD6" i="11"/>
  <c r="EU5" i="13"/>
  <c r="ET6" i="13"/>
  <c r="FU4" i="11"/>
  <c r="FV5" i="11"/>
  <c r="FU6" i="11"/>
  <c r="WF5" i="11" l="1"/>
  <c r="WE6" i="11"/>
  <c r="EU6" i="13"/>
  <c r="EV5" i="13"/>
  <c r="FW5" i="11"/>
  <c r="FV6" i="11"/>
  <c r="WF4" i="11" l="1"/>
  <c r="WG5" i="11"/>
  <c r="WF6" i="11"/>
  <c r="EV6" i="13"/>
  <c r="EW5" i="13"/>
  <c r="FW6" i="11"/>
  <c r="FX5" i="11"/>
  <c r="WH5" i="11" l="1"/>
  <c r="WG6" i="11"/>
  <c r="EW6" i="13"/>
  <c r="EX5" i="13"/>
  <c r="FX6" i="11"/>
  <c r="FY5" i="11"/>
  <c r="WI5" i="11" l="1"/>
  <c r="WH6" i="11"/>
  <c r="EX6" i="13"/>
  <c r="EY5" i="13"/>
  <c r="FY6" i="11"/>
  <c r="FZ5" i="11"/>
  <c r="WJ5" i="11" l="1"/>
  <c r="WI6" i="11"/>
  <c r="EY6" i="13"/>
  <c r="EZ5" i="13"/>
  <c r="FZ6" i="11"/>
  <c r="GA5" i="11"/>
  <c r="GA6" i="11" s="1"/>
  <c r="WK5" i="11" l="1"/>
  <c r="WJ6" i="11"/>
  <c r="EZ6" i="13"/>
  <c r="FA5" i="13"/>
  <c r="EZ4" i="13"/>
  <c r="GB5" i="11"/>
  <c r="WK6" i="11" l="1"/>
  <c r="WL5" i="11"/>
  <c r="FB5" i="13"/>
  <c r="FA6" i="13"/>
  <c r="GC5" i="11"/>
  <c r="GB4" i="11"/>
  <c r="GB6" i="11"/>
  <c r="WL6" i="11" l="1"/>
  <c r="WM5" i="11"/>
  <c r="FC5" i="13"/>
  <c r="FB6" i="13"/>
  <c r="GC6" i="11"/>
  <c r="GD5" i="11"/>
  <c r="WN5" i="11" l="1"/>
  <c r="WM4" i="11"/>
  <c r="WM6" i="11"/>
  <c r="FC6" i="13"/>
  <c r="FD5" i="13"/>
  <c r="GE5" i="11"/>
  <c r="GD6" i="11"/>
  <c r="WO5" i="11" l="1"/>
  <c r="WN6" i="11"/>
  <c r="FD6" i="13"/>
  <c r="FE5" i="13"/>
  <c r="GE6" i="11"/>
  <c r="GF5" i="11"/>
  <c r="WP5" i="11" l="1"/>
  <c r="WO6" i="11"/>
  <c r="FF5" i="13"/>
  <c r="FE6" i="13"/>
  <c r="GG5" i="11"/>
  <c r="GF6" i="11"/>
  <c r="WQ5" i="11" l="1"/>
  <c r="WP6" i="11"/>
  <c r="FG5" i="13"/>
  <c r="FF6" i="13"/>
  <c r="GH5" i="11"/>
  <c r="GH6" i="11" s="1"/>
  <c r="GG6" i="11"/>
  <c r="WR5" i="11" l="1"/>
  <c r="WQ6" i="11"/>
  <c r="FG4" i="13"/>
  <c r="FG6" i="13"/>
  <c r="FH5" i="13"/>
  <c r="GI5" i="11"/>
  <c r="WR6" i="11" l="1"/>
  <c r="WS5" i="11"/>
  <c r="WS6" i="11" s="1"/>
  <c r="FH6" i="13"/>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1"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V6" i="11" s="1"/>
  <c r="NU6"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9"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1"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12"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5"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<sst xmlns="http://schemas.openxmlformats.org/spreadsheetml/2006/main" count="778" uniqueCount="288">
  <si>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</si>
  <si>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</si>
  <si>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</si>
  <si>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</si>
  <si>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</si>
  <si>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</si>
  <si>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</si>
  <si>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</si>
  <si>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</si>
  <si>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</si>
  <si>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</si>
  <si>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</si>
  <si>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</si>
  <si>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</si>
  <si>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</si>
  <si>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</si>
  <si>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</si>
  <si>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</si>
  <si>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</si>
  <si>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</si>
  <si>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</si>
  <si>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</si>
  <si>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</si>
  <si>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</si>
  <si>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</si>
  <si>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</si>
  <si>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</si>
  <si>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</si>
  <si>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</si>
  <si>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</si>
  <si>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</si>
  <si>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</si>
  <si>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</si>
  <si>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</si>
  <si>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</si>
  <si>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</si>
  <si>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</si>
  <si>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</si>
  <si>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</si>
  <si>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</si>
  <si>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</si>
  <si>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</si>
  <si>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</si>
  <si>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</si>
  <si>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</si>
  <si>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</si>
  <si>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</si>
  <si>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</si>
  <si>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</si>
  <si>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</si>
  <si>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</si>
  <si>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</si>
  <si>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</si>
  <si>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</si>
  <si>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</si>
  <si>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</si>
  <si>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</si>
  <si>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</si>
  <si>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</si>
  <si>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</si>
  <si>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</si>
  <si>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</si>
  <si>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</si>
  <si>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</si>
  <si>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</si>
  <si>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</si>
  <si>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</si>
  <si>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</si>
  <si>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</si>
  <si>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</si>
  <si>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</si>
  <si>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</si>
  <si>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</si>
  <si>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</si>
  <si>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</si>
  <si>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</si>
  <si>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</si>
  <si>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</si>
  <si>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</si>
  <si>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</si>
  <si>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</si>
  <si>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</si>
  <si>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</si>
  <si>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</si>
  <si>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</si>
  <si>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</si>
  <si>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</si>
  <si>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</si>
  <si>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</si>
  <si>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</si>
  <si>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</si>
  <si>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</si>
  <si>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</si>
  <si>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</si>
  <si>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</si>
  <si>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</si>
  <si>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</si>
  <si>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</si>
  <si>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</si>
  <si>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</si>
  <si>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</si>
  <si>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</si>
  <si>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</si>
  <si>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</si>
  <si>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</si>
  <si>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</si>
  <si>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</si>
  <si>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</si>
  <si>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</si>
  <si>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</si>
  <si>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</si>
  <si>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</si>
  <si>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</si>
  <si>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</si>
  <si>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</si>
  <si>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</si>
  <si>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</si>
  <si>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</si>
  <si>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</si>
  <si>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</si>
  <si>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</si>
  <si>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</si>
  <si>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</si>
  <si>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</si>
  <si>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</si>
  <si>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</si>
  <si>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</si>
  <si>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</si>
  <si>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</si>
  <si>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</si>
  <si>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</si>
  <si>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</si>
  <si>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</si>
  <si>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</si>
  <si>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</si>
  <si>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</si>
  <si>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</si>
  <si>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</si>
  <si>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</si>
  <si>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</si>
  <si>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</si>
  <si>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</si>
  <si>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</si>
  <si>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</si>
  <si>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</si>
  <si>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</si>
  <si>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</si>
  <si>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</si>
  <si>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</si>
  <si>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</si>
  <si>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</si>
  <si>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</si>
  <si>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</si>
  <si>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</si>
  <si>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</si>
  <si>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</si>
  <si>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</si>
  <si>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</si>
  <si>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</si>
  <si>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</si>
  <si>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</si>
  <si>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</si>
  <si>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</si>
  <si>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</si>
  <si>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</si>
  <si>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</si>
  <si>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</si>
  <si>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</si>
  <si>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</si>
  <si>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</si>
  <si>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</si>
  <si>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</si>
  <si>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</si>
  <si>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</si>
  <si>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</si>
  <si>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</si>
  <si>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</si>
  <si>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</si>
  <si>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</si>
  <si>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</si>
  <si>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</si>
  <si>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</si>
  <si>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</si>
  <si>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</si>
  <si>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</si>
  <si>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EEDSE</t>
  </si>
  <si>
    <t>LUIZ VITOR</t>
  </si>
  <si>
    <t>Engenheiro EEDSE</t>
  </si>
  <si>
    <t>Engenheiro PBAC</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</si>
  <si>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</si>
  <si>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</si>
  <si>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</si>
  <si>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</si>
  <si>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</si>
  <si>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</si>
  <si>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</si>
  <si>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</si>
  <si>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</si>
  <si>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</si>
  <si>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</si>
  <si>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</si>
  <si>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</si>
  <si>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</si>
  <si>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</si>
  <si>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</si>
  <si>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</si>
  <si>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</si>
  <si>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</si>
  <si>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</si>
  <si>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</si>
  <si>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</si>
  <si>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</si>
  <si>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SEMANA DO CARNAVAL</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</si>
  <si>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</si>
  <si>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</si>
  <si>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</si>
  <si>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</si>
  <si>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</si>
  <si>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</si>
  <si>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</si>
  <si>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Engenharia CGM( Mecânica)</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</si>
  <si>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</si>
  <si>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</si>
  <si>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</si>
  <si>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</si>
  <si>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</si>
  <si>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</si>
  <si>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</si>
  <si>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</si>
  <si>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</si>
  <si>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</si>
  <si>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</si>
  <si>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</si>
  <si>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</si>
  <si>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</si>
  <si>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</si>
  <si>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</si>
  <si>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</si>
  <si>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</si>
  <si>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</si>
  <si>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</si>
  <si>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Engenharia EEDSE</t>
  </si>
  <si>
    <t>EJA  (P-82 - CGM)</t>
  </si>
  <si>
    <t>Supervisor CGM</t>
  </si>
  <si>
    <t>Instrumentação CGM</t>
  </si>
  <si>
    <t>Mecânica CGM</t>
  </si>
  <si>
    <t>Eletricista CGM</t>
  </si>
  <si>
    <t>Qidong - China (P-82 - ATR)</t>
  </si>
  <si>
    <t>Camila Ranucci de Luca</t>
  </si>
  <si>
    <t>Gabriel Boaventura Andrade</t>
  </si>
  <si>
    <t>Singapura (P-82 - ATR)</t>
  </si>
  <si>
    <t>Fábio Vinícius</t>
  </si>
  <si>
    <t>Eng. Equp. Mecânica</t>
  </si>
  <si>
    <t>Daniel Bueno</t>
  </si>
  <si>
    <t>Rafael Sales</t>
  </si>
  <si>
    <t>P-83</t>
  </si>
  <si>
    <t>Singapura (P-83 - CGM)</t>
  </si>
  <si>
    <t>Mecânica CGM (P-83)</t>
  </si>
  <si>
    <t>Instrumentação CGM (P-83)</t>
  </si>
  <si>
    <t>Nantong - China (P-83 - CGM)</t>
  </si>
  <si>
    <t>Yantai - China (P-83 - ATR)</t>
  </si>
  <si>
    <t>João Eduardo</t>
  </si>
  <si>
    <t>Rodrigo D'Amico</t>
  </si>
  <si>
    <t>M-17 Batam (P-83 - ATR)</t>
  </si>
  <si>
    <t> </t>
  </si>
  <si>
    <t>Ana Clara</t>
  </si>
  <si>
    <t>Singapura (P-83 - ATR)</t>
  </si>
  <si>
    <t>Rafael Pitta</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</si>
  <si>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</si>
  <si>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</si>
  <si>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</si>
  <si>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</si>
  <si>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</si>
  <si>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</si>
  <si>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</si>
  <si>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</si>
  <si>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</si>
  <si>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</si>
  <si>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</si>
  <si>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</si>
  <si>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</si>
  <si>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</si>
  <si>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</si>
  <si>
    <t>Brasfels (P-83 - CGM)</t>
  </si>
  <si>
    <t>Elienai de Oliveira Macedo</t>
  </si>
  <si>
    <t>Engenharia CGM (Mecânica) - Hazop MOC</t>
  </si>
  <si>
    <t>Engenharia CGM ( Mecânica)</t>
  </si>
  <si>
    <t>Singapura (P80 - CGM - Engenharia) - Full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</si>
</sst>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4"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11"/>
      <color rgb="FF000000"/>
      <name val="Aptos Narrow"/>
      <family val="2"/>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2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3"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33" fillId="0" borderId="17" xfId="53" applyBorder="1" applyAlignment="1">
      <alignment horizontal="center" vertical="center"/>
    </xf>
    <xf numFmtId="0" fontId="9" fillId="3" borderId="29" xfId="10" applyFill="1" applyBorder="1">
      <alignment horizontal="center" vertical="center"/>
    </xf>
    <xf numFmtId="0" fontId="9" fillId="3" borderId="30" xfId="10" applyFill="1" applyBorder="1">
      <alignment horizontal="center" vertical="center"/>
    </xf>
    <xf numFmtId="14" fontId="9" fillId="3" borderId="29" xfId="9" applyNumberFormat="1" applyFill="1" applyBorder="1">
      <alignment horizontal="center" vertical="center"/>
    </xf>
    <xf numFmtId="0" fontId="9" fillId="3" borderId="31" xfId="10" applyFill="1" applyBorder="1">
      <alignment horizontal="center" vertical="center"/>
    </xf>
    <xf numFmtId="14" fontId="9" fillId="3" borderId="31" xfId="9" applyNumberFormat="1" applyFill="1" applyBorder="1">
      <alignment horizontal="center" vertical="center"/>
    </xf>
    <xf numFmtId="14" fontId="9" fillId="3" borderId="32"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9" fillId="3" borderId="0" xfId="10" applyFill="1" applyBorder="1">
      <alignment horizontal="center" vertical="center"/>
    </xf>
    <xf numFmtId="14" fontId="9" fillId="3" borderId="0" xfId="9" applyNumberFormat="1" applyFill="1" applyBorder="1">
      <alignment horizontal="center" vertical="center"/>
    </xf>
    <xf numFmtId="14" fontId="9" fillId="3" borderId="33" xfId="9" applyNumberFormat="1" applyFill="1" applyBorder="1">
      <alignment horizontal="center"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0" fontId="31" fillId="45" borderId="17" xfId="0" applyFont="1" applyFill="1" applyBorder="1" applyAlignment="1">
      <alignment horizontal="center" vertical="center"/>
    </xf>
    <xf numFmtId="0" fontId="31" fillId="45" borderId="19" xfId="0" applyFont="1" applyFill="1" applyBorder="1" applyAlignment="1">
      <alignment horizontal="center" vertical="center"/>
    </xf>
    <xf numFmtId="0" fontId="32" fillId="45" borderId="23" xfId="0" applyFont="1" applyFill="1" applyBorder="1" applyAlignment="1">
      <alignment horizontal="center" vertical="center"/>
    </xf>
    <xf numFmtId="0" fontId="32" fillId="45" borderId="17" xfId="0" applyFont="1" applyFill="1" applyBorder="1" applyAlignment="1">
      <alignment horizontal="center" vertical="center"/>
    </xf>
    <xf numFmtId="0" fontId="33" fillId="45" borderId="17" xfId="53" applyFill="1" applyBorder="1" applyAlignment="1">
      <alignment horizontal="center" vertical="center"/>
    </xf>
    <xf numFmtId="0" fontId="0" fillId="45" borderId="20" xfId="0" applyFill="1" applyBorder="1" applyAlignment="1">
      <alignment horizontal="center"/>
    </xf>
    <xf numFmtId="0" fontId="0" fillId="45" borderId="27" xfId="0" applyFill="1" applyBorder="1"/>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8" fontId="31" fillId="0" borderId="3" xfId="8" applyFont="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5">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14"/>
      <tableStyleElement type="headerRow" dxfId="113"/>
      <tableStyleElement type="totalRow" dxfId="112"/>
      <tableStyleElement type="firstColumn" dxfId="111"/>
      <tableStyleElement type="lastColumn" dxfId="110"/>
      <tableStyleElement type="firstRowStripe" dxfId="109"/>
      <tableStyleElement type="secondRowStripe" dxfId="108"/>
      <tableStyleElement type="firstColumnStripe" dxfId="107"/>
      <tableStyleElement type="secondColumnStripe" dxfId="106"/>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1"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6"/>
  <sheetViews>
    <sheetView showGridLines="0" zoomScale="85" zoomScaleNormal="85" workbookViewId="0">
      <pane ySplit="1" topLeftCell="A33" activePane="bottomLeft" state="frozen"/>
      <selection pane="bottomLeft" activeCell="I60" sqref="I60"/>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26953125" bestFit="1" customWidth="1"/>
    <col min="7" max="7" width="39.26953125" customWidth="1"/>
    <col min="8" max="8" width="44.26953125" customWidth="1"/>
    <col min="9" max="9" width="26.7265625" customWidth="1"/>
    <col min="10" max="10" width="22.54296875" style="5" customWidth="1"/>
  </cols>
  <sheetData>
    <row r="1" spans="1:10" x14ac:dyDescent="0.35">
      <c r="A1" s="88" t="s">
        <v>0</v>
      </c>
      <c r="B1" s="89" t="s">
        <v>1</v>
      </c>
      <c r="C1" s="89" t="s">
        <v>2</v>
      </c>
      <c r="D1" s="89" t="s">
        <v>3</v>
      </c>
      <c r="E1" s="90" t="s">
        <v>4</v>
      </c>
      <c r="F1" s="90" t="s">
        <v>5</v>
      </c>
      <c r="G1" s="90" t="s">
        <v>6</v>
      </c>
      <c r="H1" s="90" t="s">
        <v>7</v>
      </c>
      <c r="I1" s="154" t="s">
        <v>8</v>
      </c>
      <c r="J1" s="156" t="s">
        <v>9</v>
      </c>
    </row>
    <row r="2" spans="1:10" x14ac:dyDescent="0.35">
      <c r="A2" s="79" t="s">
        <v>10</v>
      </c>
      <c r="B2" s="91">
        <v>4612171</v>
      </c>
      <c r="C2" s="91" t="s">
        <v>11</v>
      </c>
      <c r="D2" s="92" t="s">
        <v>12</v>
      </c>
      <c r="E2" s="93" t="s">
        <v>13</v>
      </c>
      <c r="F2" s="93" t="s">
        <v>14</v>
      </c>
      <c r="G2" s="175" t="s">
        <v>15</v>
      </c>
      <c r="H2" s="93" t="s">
        <v>16</v>
      </c>
      <c r="I2" s="155" t="s">
        <v>17</v>
      </c>
      <c r="J2" s="157"/>
    </row>
    <row r="3" spans="1:10" x14ac:dyDescent="0.35">
      <c r="A3" s="79" t="s">
        <v>10</v>
      </c>
      <c r="B3" s="94">
        <v>4612050</v>
      </c>
      <c r="C3" s="94" t="s">
        <v>18</v>
      </c>
      <c r="D3" s="95" t="s">
        <v>12</v>
      </c>
      <c r="E3" s="93" t="s">
        <v>19</v>
      </c>
      <c r="F3" s="96" t="s">
        <v>14</v>
      </c>
      <c r="G3" s="176" t="s">
        <v>20</v>
      </c>
      <c r="H3" s="96" t="s">
        <v>21</v>
      </c>
      <c r="I3" s="155" t="s">
        <v>22</v>
      </c>
      <c r="J3" s="157"/>
    </row>
    <row r="4" spans="1:10" x14ac:dyDescent="0.35">
      <c r="A4" s="79" t="s">
        <v>10</v>
      </c>
      <c r="B4" s="91">
        <v>4612140</v>
      </c>
      <c r="C4" s="91" t="s">
        <v>23</v>
      </c>
      <c r="D4" s="92" t="s">
        <v>12</v>
      </c>
      <c r="E4" s="99" t="s">
        <v>24</v>
      </c>
      <c r="F4" s="93" t="s">
        <v>14</v>
      </c>
      <c r="G4" s="175" t="s">
        <v>25</v>
      </c>
      <c r="H4" s="93" t="s">
        <v>26</v>
      </c>
      <c r="I4" s="155" t="s">
        <v>17</v>
      </c>
      <c r="J4" s="157"/>
    </row>
    <row r="5" spans="1:10" x14ac:dyDescent="0.35">
      <c r="A5" s="79" t="s">
        <v>10</v>
      </c>
      <c r="B5" s="94">
        <v>9842940</v>
      </c>
      <c r="C5" s="94" t="s">
        <v>27</v>
      </c>
      <c r="D5" s="95" t="s">
        <v>12</v>
      </c>
      <c r="E5" s="96" t="s">
        <v>13</v>
      </c>
      <c r="F5" s="96" t="s">
        <v>14</v>
      </c>
      <c r="G5" s="176" t="s">
        <v>28</v>
      </c>
      <c r="H5" s="96" t="s">
        <v>29</v>
      </c>
      <c r="I5" s="155" t="s">
        <v>30</v>
      </c>
      <c r="J5" s="158"/>
    </row>
    <row r="6" spans="1:10" x14ac:dyDescent="0.35">
      <c r="A6" s="79" t="s">
        <v>31</v>
      </c>
      <c r="B6" s="91">
        <v>9886449</v>
      </c>
      <c r="C6" s="91" t="s">
        <v>32</v>
      </c>
      <c r="D6" s="92" t="s">
        <v>12</v>
      </c>
      <c r="E6" s="93" t="s">
        <v>13</v>
      </c>
      <c r="F6" s="93" t="s">
        <v>33</v>
      </c>
      <c r="G6" s="175" t="s">
        <v>34</v>
      </c>
      <c r="H6" s="93" t="s">
        <v>35</v>
      </c>
      <c r="I6" s="155" t="s">
        <v>22</v>
      </c>
      <c r="J6" s="158" t="s">
        <v>36</v>
      </c>
    </row>
    <row r="7" spans="1:10" x14ac:dyDescent="0.35">
      <c r="A7" s="97" t="s">
        <v>31</v>
      </c>
      <c r="B7" s="94">
        <v>4608721</v>
      </c>
      <c r="C7" s="94" t="s">
        <v>37</v>
      </c>
      <c r="D7" s="98" t="s">
        <v>12</v>
      </c>
      <c r="E7" s="99" t="s">
        <v>13</v>
      </c>
      <c r="F7" s="99" t="s">
        <v>14</v>
      </c>
      <c r="G7" s="159" t="s">
        <v>38</v>
      </c>
      <c r="H7" s="99" t="s">
        <v>39</v>
      </c>
      <c r="I7" s="155" t="s">
        <v>22</v>
      </c>
      <c r="J7" s="158"/>
    </row>
    <row r="8" spans="1:10" x14ac:dyDescent="0.35">
      <c r="A8" s="97" t="s">
        <v>31</v>
      </c>
      <c r="B8" s="91">
        <v>1385894</v>
      </c>
      <c r="C8" s="91" t="s">
        <v>40</v>
      </c>
      <c r="D8" s="100" t="s">
        <v>12</v>
      </c>
      <c r="E8" s="101" t="s">
        <v>13</v>
      </c>
      <c r="F8" s="101" t="s">
        <v>33</v>
      </c>
      <c r="G8" s="177" t="s">
        <v>41</v>
      </c>
      <c r="H8" s="101" t="s">
        <v>42</v>
      </c>
      <c r="I8" s="155" t="s">
        <v>22</v>
      </c>
      <c r="J8" s="158" t="s">
        <v>36</v>
      </c>
    </row>
    <row r="9" spans="1:10" x14ac:dyDescent="0.35">
      <c r="A9" s="97" t="s">
        <v>31</v>
      </c>
      <c r="B9" s="94">
        <v>4608685</v>
      </c>
      <c r="C9" s="94" t="s">
        <v>43</v>
      </c>
      <c r="D9" s="98" t="s">
        <v>12</v>
      </c>
      <c r="E9" s="99" t="s">
        <v>13</v>
      </c>
      <c r="F9" s="99" t="s">
        <v>14</v>
      </c>
      <c r="G9" s="159" t="s">
        <v>44</v>
      </c>
      <c r="H9" s="99" t="s">
        <v>45</v>
      </c>
      <c r="I9" s="155" t="s">
        <v>22</v>
      </c>
      <c r="J9" s="158"/>
    </row>
    <row r="10" spans="1:10" ht="43.5" x14ac:dyDescent="0.35">
      <c r="A10" s="97" t="s">
        <v>46</v>
      </c>
      <c r="B10" s="91">
        <v>9762281</v>
      </c>
      <c r="C10" s="91" t="s">
        <v>47</v>
      </c>
      <c r="D10" s="100" t="s">
        <v>12</v>
      </c>
      <c r="E10" s="101" t="s">
        <v>13</v>
      </c>
      <c r="F10" s="101" t="s">
        <v>33</v>
      </c>
      <c r="G10" s="177" t="s">
        <v>48</v>
      </c>
      <c r="H10" s="101" t="s">
        <v>49</v>
      </c>
      <c r="I10" s="155" t="s">
        <v>22</v>
      </c>
      <c r="J10" s="160" t="s">
        <v>50</v>
      </c>
    </row>
    <row r="11" spans="1:10" x14ac:dyDescent="0.35">
      <c r="A11" s="97" t="s">
        <v>46</v>
      </c>
      <c r="B11" s="94">
        <v>9683150</v>
      </c>
      <c r="C11" s="94" t="s">
        <v>51</v>
      </c>
      <c r="D11" s="98" t="s">
        <v>12</v>
      </c>
      <c r="E11" s="99" t="s">
        <v>13</v>
      </c>
      <c r="F11" s="99" t="s">
        <v>33</v>
      </c>
      <c r="G11" s="159" t="s">
        <v>52</v>
      </c>
      <c r="H11" s="99" t="s">
        <v>53</v>
      </c>
      <c r="I11" s="155" t="s">
        <v>22</v>
      </c>
      <c r="J11" s="158" t="s">
        <v>54</v>
      </c>
    </row>
    <row r="12" spans="1:10" x14ac:dyDescent="0.35">
      <c r="A12" s="79" t="s">
        <v>46</v>
      </c>
      <c r="B12" s="91">
        <v>2440812</v>
      </c>
      <c r="C12" s="91" t="s">
        <v>55</v>
      </c>
      <c r="D12" s="92" t="s">
        <v>56</v>
      </c>
      <c r="E12" s="93" t="s">
        <v>13</v>
      </c>
      <c r="F12" s="93" t="s">
        <v>33</v>
      </c>
      <c r="G12" s="175" t="s">
        <v>57</v>
      </c>
      <c r="H12" s="93" t="s">
        <v>58</v>
      </c>
      <c r="I12" s="155" t="s">
        <v>22</v>
      </c>
      <c r="J12" s="158"/>
    </row>
    <row r="13" spans="1:10" x14ac:dyDescent="0.35">
      <c r="A13" s="97" t="s">
        <v>46</v>
      </c>
      <c r="B13" s="94">
        <v>1381625</v>
      </c>
      <c r="C13" s="94" t="s">
        <v>59</v>
      </c>
      <c r="D13" s="95" t="s">
        <v>12</v>
      </c>
      <c r="E13" s="96" t="s">
        <v>13</v>
      </c>
      <c r="F13" s="96" t="s">
        <v>33</v>
      </c>
      <c r="G13" s="176" t="s">
        <v>60</v>
      </c>
      <c r="H13" s="96" t="s">
        <v>61</v>
      </c>
      <c r="I13" s="155" t="s">
        <v>22</v>
      </c>
      <c r="J13" s="158"/>
    </row>
    <row r="14" spans="1:10" x14ac:dyDescent="0.35">
      <c r="A14" s="79" t="s">
        <v>46</v>
      </c>
      <c r="B14" s="91">
        <v>4608389</v>
      </c>
      <c r="C14" s="91" t="s">
        <v>62</v>
      </c>
      <c r="D14" s="92" t="s">
        <v>12</v>
      </c>
      <c r="E14" s="93" t="s">
        <v>13</v>
      </c>
      <c r="F14" s="93" t="s">
        <v>14</v>
      </c>
      <c r="G14" s="175" t="s">
        <v>63</v>
      </c>
      <c r="H14" s="93" t="s">
        <v>64</v>
      </c>
      <c r="I14" s="155" t="s">
        <v>22</v>
      </c>
      <c r="J14" s="158"/>
    </row>
    <row r="15" spans="1:10" x14ac:dyDescent="0.35">
      <c r="A15" s="97" t="s">
        <v>10</v>
      </c>
      <c r="B15" s="94">
        <v>4608544</v>
      </c>
      <c r="C15" s="94" t="s">
        <v>65</v>
      </c>
      <c r="D15" s="95" t="s">
        <v>12</v>
      </c>
      <c r="E15" s="96" t="s">
        <v>19</v>
      </c>
      <c r="F15" s="96" t="s">
        <v>14</v>
      </c>
      <c r="G15" s="176" t="s">
        <v>66</v>
      </c>
      <c r="H15" s="96" t="s">
        <v>67</v>
      </c>
      <c r="I15" s="155" t="s">
        <v>22</v>
      </c>
      <c r="J15" s="158"/>
    </row>
    <row r="16" spans="1:10" x14ac:dyDescent="0.35">
      <c r="A16" s="97" t="s">
        <v>31</v>
      </c>
      <c r="B16" s="91">
        <v>4608474</v>
      </c>
      <c r="C16" s="91" t="s">
        <v>68</v>
      </c>
      <c r="D16" s="92" t="s">
        <v>12</v>
      </c>
      <c r="E16" s="93" t="s">
        <v>19</v>
      </c>
      <c r="F16" s="101" t="s">
        <v>14</v>
      </c>
      <c r="G16" s="177" t="s">
        <v>69</v>
      </c>
      <c r="H16" s="101" t="s">
        <v>70</v>
      </c>
      <c r="I16" s="155" t="s">
        <v>22</v>
      </c>
      <c r="J16" s="158"/>
    </row>
    <row r="17" spans="1:10" x14ac:dyDescent="0.35">
      <c r="A17" s="79" t="s">
        <v>31</v>
      </c>
      <c r="B17" s="94">
        <v>1386344</v>
      </c>
      <c r="C17" s="94" t="s">
        <v>71</v>
      </c>
      <c r="D17" s="98" t="s">
        <v>12</v>
      </c>
      <c r="E17" s="99" t="s">
        <v>19</v>
      </c>
      <c r="F17" s="99" t="s">
        <v>33</v>
      </c>
      <c r="G17" s="159" t="s">
        <v>72</v>
      </c>
      <c r="H17" s="99" t="s">
        <v>73</v>
      </c>
      <c r="I17" s="155" t="s">
        <v>22</v>
      </c>
      <c r="J17" s="158" t="s">
        <v>54</v>
      </c>
    </row>
    <row r="18" spans="1:10" x14ac:dyDescent="0.35">
      <c r="A18" s="79" t="s">
        <v>31</v>
      </c>
      <c r="B18" s="91">
        <v>4608684</v>
      </c>
      <c r="C18" s="91" t="s">
        <v>74</v>
      </c>
      <c r="D18" s="100" t="s">
        <v>12</v>
      </c>
      <c r="E18" s="101" t="s">
        <v>19</v>
      </c>
      <c r="F18" s="101" t="s">
        <v>14</v>
      </c>
      <c r="G18" s="177" t="s">
        <v>75</v>
      </c>
      <c r="H18" s="93" t="s">
        <v>76</v>
      </c>
      <c r="I18" s="155" t="s">
        <v>22</v>
      </c>
      <c r="J18" s="158"/>
    </row>
    <row r="19" spans="1:10" x14ac:dyDescent="0.35">
      <c r="A19" s="79" t="s">
        <v>46</v>
      </c>
      <c r="B19" s="94">
        <v>9612082</v>
      </c>
      <c r="C19" s="94" t="s">
        <v>77</v>
      </c>
      <c r="D19" s="98" t="s">
        <v>12</v>
      </c>
      <c r="E19" s="99" t="s">
        <v>19</v>
      </c>
      <c r="F19" s="96" t="s">
        <v>33</v>
      </c>
      <c r="G19" s="159" t="s">
        <v>78</v>
      </c>
      <c r="H19" s="99" t="s">
        <v>79</v>
      </c>
      <c r="I19" s="155" t="s">
        <v>22</v>
      </c>
      <c r="J19" s="158"/>
    </row>
    <row r="20" spans="1:10" x14ac:dyDescent="0.35">
      <c r="A20" s="79" t="s">
        <v>46</v>
      </c>
      <c r="B20" s="91">
        <v>9618720</v>
      </c>
      <c r="C20" s="91" t="s">
        <v>80</v>
      </c>
      <c r="D20" s="100" t="s">
        <v>12</v>
      </c>
      <c r="E20" s="101" t="s">
        <v>19</v>
      </c>
      <c r="F20" s="93" t="s">
        <v>33</v>
      </c>
      <c r="G20" s="177" t="s">
        <v>81</v>
      </c>
      <c r="H20" s="101" t="s">
        <v>82</v>
      </c>
      <c r="I20" s="155" t="s">
        <v>22</v>
      </c>
      <c r="J20" s="158" t="s">
        <v>36</v>
      </c>
    </row>
    <row r="21" spans="1:10" x14ac:dyDescent="0.35">
      <c r="A21" s="79" t="s">
        <v>46</v>
      </c>
      <c r="B21" s="94">
        <v>9724817</v>
      </c>
      <c r="C21" s="94" t="s">
        <v>83</v>
      </c>
      <c r="D21" s="98" t="s">
        <v>12</v>
      </c>
      <c r="E21" s="99" t="s">
        <v>19</v>
      </c>
      <c r="F21" s="96" t="s">
        <v>33</v>
      </c>
      <c r="G21" s="159" t="s">
        <v>84</v>
      </c>
      <c r="H21" s="99" t="s">
        <v>85</v>
      </c>
      <c r="I21" s="155" t="s">
        <v>22</v>
      </c>
      <c r="J21" s="158"/>
    </row>
    <row r="22" spans="1:10" x14ac:dyDescent="0.35">
      <c r="A22" s="79" t="s">
        <v>46</v>
      </c>
      <c r="B22" s="91">
        <v>2460800</v>
      </c>
      <c r="C22" s="91" t="s">
        <v>86</v>
      </c>
      <c r="D22" s="100" t="s">
        <v>56</v>
      </c>
      <c r="E22" s="101" t="s">
        <v>19</v>
      </c>
      <c r="F22" s="93" t="s">
        <v>33</v>
      </c>
      <c r="G22" s="175" t="s">
        <v>87</v>
      </c>
      <c r="H22" s="93" t="s">
        <v>88</v>
      </c>
      <c r="I22" s="155" t="s">
        <v>30</v>
      </c>
      <c r="J22" s="158"/>
    </row>
    <row r="23" spans="1:10" x14ac:dyDescent="0.35">
      <c r="A23" s="79" t="s">
        <v>10</v>
      </c>
      <c r="B23" s="94">
        <v>4608559</v>
      </c>
      <c r="C23" s="94" t="s">
        <v>89</v>
      </c>
      <c r="D23" s="98" t="s">
        <v>12</v>
      </c>
      <c r="E23" s="99" t="s">
        <v>24</v>
      </c>
      <c r="F23" s="99" t="s">
        <v>14</v>
      </c>
      <c r="G23" s="159" t="s">
        <v>90</v>
      </c>
      <c r="H23" s="99" t="s">
        <v>91</v>
      </c>
      <c r="I23" s="155" t="s">
        <v>22</v>
      </c>
      <c r="J23" s="157"/>
    </row>
    <row r="24" spans="1:10" x14ac:dyDescent="0.35">
      <c r="A24" s="79" t="s">
        <v>31</v>
      </c>
      <c r="B24" s="91">
        <v>4608411</v>
      </c>
      <c r="C24" s="91" t="s">
        <v>92</v>
      </c>
      <c r="D24" s="100" t="s">
        <v>12</v>
      </c>
      <c r="E24" s="101" t="s">
        <v>24</v>
      </c>
      <c r="F24" s="93" t="s">
        <v>14</v>
      </c>
      <c r="G24" s="177" t="s">
        <v>93</v>
      </c>
      <c r="H24" s="101" t="s">
        <v>94</v>
      </c>
      <c r="I24" s="155" t="s">
        <v>22</v>
      </c>
      <c r="J24" s="157"/>
    </row>
    <row r="25" spans="1:10" x14ac:dyDescent="0.35">
      <c r="A25" s="79" t="s">
        <v>31</v>
      </c>
      <c r="B25" s="94">
        <v>9634180</v>
      </c>
      <c r="C25" s="94" t="s">
        <v>95</v>
      </c>
      <c r="D25" s="95" t="s">
        <v>12</v>
      </c>
      <c r="E25" s="96" t="s">
        <v>24</v>
      </c>
      <c r="F25" s="96" t="s">
        <v>33</v>
      </c>
      <c r="G25" s="176" t="s">
        <v>96</v>
      </c>
      <c r="H25" s="96" t="s">
        <v>97</v>
      </c>
      <c r="I25" s="155" t="s">
        <v>22</v>
      </c>
      <c r="J25" s="157"/>
    </row>
    <row r="26" spans="1:10" x14ac:dyDescent="0.35">
      <c r="A26" s="79" t="s">
        <v>46</v>
      </c>
      <c r="B26" s="91">
        <v>4608780</v>
      </c>
      <c r="C26" s="91" t="s">
        <v>98</v>
      </c>
      <c r="D26" s="92" t="s">
        <v>12</v>
      </c>
      <c r="E26" s="93" t="s">
        <v>24</v>
      </c>
      <c r="F26" s="93" t="s">
        <v>14</v>
      </c>
      <c r="G26" s="175" t="s">
        <v>99</v>
      </c>
      <c r="H26" s="93" t="s">
        <v>100</v>
      </c>
      <c r="I26" s="155" t="s">
        <v>22</v>
      </c>
      <c r="J26" s="157"/>
    </row>
    <row r="27" spans="1:10" x14ac:dyDescent="0.35">
      <c r="A27" s="79" t="s">
        <v>46</v>
      </c>
      <c r="B27" s="94">
        <v>2475130</v>
      </c>
      <c r="C27" s="94" t="s">
        <v>101</v>
      </c>
      <c r="D27" s="95" t="s">
        <v>12</v>
      </c>
      <c r="E27" s="96" t="s">
        <v>24</v>
      </c>
      <c r="F27" s="96" t="s">
        <v>33</v>
      </c>
      <c r="G27" s="159" t="s">
        <v>102</v>
      </c>
      <c r="H27" s="99" t="s">
        <v>103</v>
      </c>
      <c r="I27" s="155" t="s">
        <v>30</v>
      </c>
      <c r="J27" s="158" t="s">
        <v>54</v>
      </c>
    </row>
    <row r="28" spans="1:10" x14ac:dyDescent="0.35">
      <c r="A28" s="79" t="s">
        <v>46</v>
      </c>
      <c r="B28" s="91">
        <v>2477135</v>
      </c>
      <c r="C28" s="91" t="s">
        <v>104</v>
      </c>
      <c r="D28" s="92" t="s">
        <v>12</v>
      </c>
      <c r="E28" s="93" t="s">
        <v>24</v>
      </c>
      <c r="F28" s="93" t="s">
        <v>33</v>
      </c>
      <c r="G28" s="177" t="s">
        <v>105</v>
      </c>
      <c r="H28" s="101" t="s">
        <v>106</v>
      </c>
      <c r="I28" s="155" t="s">
        <v>22</v>
      </c>
      <c r="J28" s="157"/>
    </row>
    <row r="29" spans="1:10" x14ac:dyDescent="0.35">
      <c r="A29" s="79" t="s">
        <v>10</v>
      </c>
      <c r="B29" s="94">
        <v>4606246</v>
      </c>
      <c r="C29" s="94" t="s">
        <v>107</v>
      </c>
      <c r="D29" s="95" t="s">
        <v>108</v>
      </c>
      <c r="E29" s="99" t="s">
        <v>109</v>
      </c>
      <c r="F29" s="96" t="s">
        <v>14</v>
      </c>
      <c r="G29" s="159" t="s">
        <v>110</v>
      </c>
      <c r="H29" s="99" t="s">
        <v>111</v>
      </c>
      <c r="I29" s="155" t="s">
        <v>22</v>
      </c>
      <c r="J29" s="158"/>
    </row>
    <row r="30" spans="1:10" x14ac:dyDescent="0.35">
      <c r="A30" s="79" t="s">
        <v>31</v>
      </c>
      <c r="B30" s="91">
        <v>4606308</v>
      </c>
      <c r="C30" s="91" t="s">
        <v>112</v>
      </c>
      <c r="D30" s="92" t="s">
        <v>108</v>
      </c>
      <c r="E30" s="101" t="s">
        <v>109</v>
      </c>
      <c r="F30" s="93" t="s">
        <v>14</v>
      </c>
      <c r="G30" s="177" t="s">
        <v>113</v>
      </c>
      <c r="H30" s="101" t="s">
        <v>114</v>
      </c>
      <c r="I30" s="155" t="s">
        <v>30</v>
      </c>
      <c r="J30" s="158"/>
    </row>
    <row r="31" spans="1:10" x14ac:dyDescent="0.35">
      <c r="A31" s="79" t="s">
        <v>31</v>
      </c>
      <c r="B31" s="94">
        <v>9634222</v>
      </c>
      <c r="C31" s="94" t="s">
        <v>115</v>
      </c>
      <c r="D31" s="95" t="s">
        <v>12</v>
      </c>
      <c r="E31" s="99" t="s">
        <v>24</v>
      </c>
      <c r="F31" s="96" t="s">
        <v>33</v>
      </c>
      <c r="G31" s="159" t="s">
        <v>116</v>
      </c>
      <c r="H31" s="99" t="s">
        <v>117</v>
      </c>
      <c r="I31" s="155" t="s">
        <v>22</v>
      </c>
      <c r="J31" s="158" t="s">
        <v>54</v>
      </c>
    </row>
    <row r="32" spans="1:10" x14ac:dyDescent="0.35">
      <c r="A32" s="79" t="s">
        <v>31</v>
      </c>
      <c r="B32" s="91">
        <v>229316</v>
      </c>
      <c r="C32" s="91" t="s">
        <v>118</v>
      </c>
      <c r="D32" s="91" t="s">
        <v>108</v>
      </c>
      <c r="E32" s="81" t="s">
        <v>109</v>
      </c>
      <c r="F32" s="81" t="s">
        <v>33</v>
      </c>
      <c r="G32" s="178" t="s">
        <v>119</v>
      </c>
      <c r="H32" s="81" t="s">
        <v>120</v>
      </c>
      <c r="I32" s="155" t="s">
        <v>22</v>
      </c>
      <c r="J32" s="158"/>
    </row>
    <row r="33" spans="1:10" x14ac:dyDescent="0.35">
      <c r="A33" s="79" t="s">
        <v>46</v>
      </c>
      <c r="B33" s="94">
        <v>2493288</v>
      </c>
      <c r="C33" s="94" t="s">
        <v>121</v>
      </c>
      <c r="D33" s="94" t="s">
        <v>108</v>
      </c>
      <c r="E33" s="80" t="s">
        <v>109</v>
      </c>
      <c r="F33" s="96" t="s">
        <v>33</v>
      </c>
      <c r="G33" s="179" t="s">
        <v>122</v>
      </c>
      <c r="H33" s="80" t="s">
        <v>123</v>
      </c>
      <c r="I33" s="155" t="s">
        <v>22</v>
      </c>
      <c r="J33" s="158"/>
    </row>
    <row r="34" spans="1:10" x14ac:dyDescent="0.35">
      <c r="A34" s="79" t="s">
        <v>46</v>
      </c>
      <c r="B34" s="91">
        <v>214272</v>
      </c>
      <c r="C34" s="91" t="s">
        <v>124</v>
      </c>
      <c r="D34" s="91" t="s">
        <v>108</v>
      </c>
      <c r="E34" s="81" t="s">
        <v>109</v>
      </c>
      <c r="F34" s="93" t="s">
        <v>33</v>
      </c>
      <c r="G34" s="178" t="s">
        <v>125</v>
      </c>
      <c r="H34" s="81" t="s">
        <v>126</v>
      </c>
      <c r="I34" s="155" t="s">
        <v>22</v>
      </c>
      <c r="J34" s="158"/>
    </row>
    <row r="35" spans="1:10" x14ac:dyDescent="0.35">
      <c r="A35" s="79" t="s">
        <v>46</v>
      </c>
      <c r="B35" s="94">
        <v>4606694</v>
      </c>
      <c r="C35" s="94" t="s">
        <v>127</v>
      </c>
      <c r="D35" s="95" t="s">
        <v>108</v>
      </c>
      <c r="E35" s="80" t="s">
        <v>109</v>
      </c>
      <c r="F35" s="80" t="s">
        <v>14</v>
      </c>
      <c r="G35" s="179" t="s">
        <v>128</v>
      </c>
      <c r="H35" s="80" t="s">
        <v>129</v>
      </c>
      <c r="I35" s="155" t="s">
        <v>30</v>
      </c>
      <c r="J35" s="158"/>
    </row>
    <row r="36" spans="1:10" x14ac:dyDescent="0.35">
      <c r="A36" s="79" t="s">
        <v>46</v>
      </c>
      <c r="B36" s="91">
        <v>2430855</v>
      </c>
      <c r="C36" s="91" t="s">
        <v>130</v>
      </c>
      <c r="D36" s="92" t="s">
        <v>12</v>
      </c>
      <c r="E36" s="81" t="s">
        <v>109</v>
      </c>
      <c r="F36" s="81" t="s">
        <v>33</v>
      </c>
      <c r="G36" s="178" t="s">
        <v>131</v>
      </c>
      <c r="H36" s="81" t="s">
        <v>132</v>
      </c>
      <c r="I36" s="155" t="s">
        <v>22</v>
      </c>
      <c r="J36" s="158"/>
    </row>
    <row r="37" spans="1:10" x14ac:dyDescent="0.35">
      <c r="A37" s="79" t="s">
        <v>46</v>
      </c>
      <c r="B37" s="94">
        <v>4604625</v>
      </c>
      <c r="C37" s="94" t="s">
        <v>133</v>
      </c>
      <c r="D37" s="95" t="s">
        <v>134</v>
      </c>
      <c r="E37" s="80" t="s">
        <v>109</v>
      </c>
      <c r="F37" s="80" t="s">
        <v>14</v>
      </c>
      <c r="G37" s="179" t="s">
        <v>135</v>
      </c>
      <c r="H37" s="80" t="s">
        <v>136</v>
      </c>
      <c r="I37" s="155" t="s">
        <v>22</v>
      </c>
      <c r="J37" s="158"/>
    </row>
    <row r="38" spans="1:10" x14ac:dyDescent="0.35">
      <c r="A38" s="79" t="s">
        <v>46</v>
      </c>
      <c r="B38" s="91">
        <v>4612098</v>
      </c>
      <c r="C38" s="91" t="s">
        <v>137</v>
      </c>
      <c r="D38" s="92" t="s">
        <v>12</v>
      </c>
      <c r="E38" s="93" t="s">
        <v>13</v>
      </c>
      <c r="F38" s="81" t="s">
        <v>14</v>
      </c>
      <c r="G38" s="178" t="s">
        <v>138</v>
      </c>
      <c r="H38" s="81" t="s">
        <v>139</v>
      </c>
      <c r="I38" s="155" t="s">
        <v>22</v>
      </c>
      <c r="J38" s="157"/>
    </row>
    <row r="39" spans="1:10" x14ac:dyDescent="0.35">
      <c r="A39" s="97" t="s">
        <v>46</v>
      </c>
      <c r="B39" s="94">
        <v>4612126</v>
      </c>
      <c r="C39" s="94" t="s">
        <v>140</v>
      </c>
      <c r="D39" s="95" t="s">
        <v>12</v>
      </c>
      <c r="E39" s="93" t="s">
        <v>19</v>
      </c>
      <c r="F39" s="80" t="s">
        <v>14</v>
      </c>
      <c r="G39" s="179" t="s">
        <v>141</v>
      </c>
      <c r="H39" s="80" t="s">
        <v>142</v>
      </c>
      <c r="I39" s="155" t="s">
        <v>22</v>
      </c>
      <c r="J39" s="157"/>
    </row>
    <row r="40" spans="1:10" x14ac:dyDescent="0.35">
      <c r="A40" s="79" t="s">
        <v>46</v>
      </c>
      <c r="B40" s="91">
        <v>2550195</v>
      </c>
      <c r="C40" s="91" t="s">
        <v>143</v>
      </c>
      <c r="D40" s="91" t="s">
        <v>56</v>
      </c>
      <c r="E40" s="81" t="s">
        <v>24</v>
      </c>
      <c r="F40" s="81" t="s">
        <v>33</v>
      </c>
      <c r="G40" s="178" t="s">
        <v>144</v>
      </c>
      <c r="H40" s="81" t="s">
        <v>145</v>
      </c>
      <c r="I40" s="155" t="s">
        <v>30</v>
      </c>
      <c r="J40" s="157"/>
    </row>
    <row r="41" spans="1:10" x14ac:dyDescent="0.35">
      <c r="A41" s="79" t="s">
        <v>31</v>
      </c>
      <c r="B41" s="94">
        <v>4612243</v>
      </c>
      <c r="C41" s="94" t="s">
        <v>146</v>
      </c>
      <c r="D41" s="95" t="s">
        <v>12</v>
      </c>
      <c r="E41" s="96" t="s">
        <v>13</v>
      </c>
      <c r="F41" s="80" t="s">
        <v>14</v>
      </c>
      <c r="G41" s="179" t="s">
        <v>147</v>
      </c>
      <c r="H41" s="80" t="s">
        <v>148</v>
      </c>
      <c r="I41" s="155" t="s">
        <v>22</v>
      </c>
      <c r="J41" s="157"/>
    </row>
    <row r="42" spans="1:10" x14ac:dyDescent="0.35">
      <c r="A42" s="79" t="s">
        <v>31</v>
      </c>
      <c r="B42" s="91">
        <v>4612389</v>
      </c>
      <c r="C42" s="91" t="s">
        <v>149</v>
      </c>
      <c r="D42" s="92" t="s">
        <v>12</v>
      </c>
      <c r="E42" s="96" t="s">
        <v>13</v>
      </c>
      <c r="F42" s="81" t="s">
        <v>14</v>
      </c>
      <c r="G42" s="178" t="s">
        <v>150</v>
      </c>
      <c r="H42" s="81" t="s">
        <v>151</v>
      </c>
      <c r="I42" s="155" t="s">
        <v>22</v>
      </c>
      <c r="J42" s="157"/>
    </row>
    <row r="43" spans="1:10" x14ac:dyDescent="0.35">
      <c r="A43" s="79" t="s">
        <v>31</v>
      </c>
      <c r="B43" s="94">
        <v>4612192</v>
      </c>
      <c r="C43" s="94" t="s">
        <v>152</v>
      </c>
      <c r="D43" s="95" t="s">
        <v>12</v>
      </c>
      <c r="E43" s="93" t="s">
        <v>19</v>
      </c>
      <c r="F43" s="80" t="s">
        <v>14</v>
      </c>
      <c r="G43" s="179" t="s">
        <v>153</v>
      </c>
      <c r="H43" s="80" t="s">
        <v>154</v>
      </c>
      <c r="I43" s="155" t="s">
        <v>30</v>
      </c>
      <c r="J43" s="157"/>
    </row>
    <row r="44" spans="1:10" x14ac:dyDescent="0.35">
      <c r="A44" s="79" t="s">
        <v>31</v>
      </c>
      <c r="B44" s="91">
        <v>4612393</v>
      </c>
      <c r="C44" s="91" t="s">
        <v>155</v>
      </c>
      <c r="D44" s="92" t="s">
        <v>12</v>
      </c>
      <c r="E44" s="99" t="s">
        <v>24</v>
      </c>
      <c r="F44" s="81" t="s">
        <v>14</v>
      </c>
      <c r="G44" s="178" t="s">
        <v>156</v>
      </c>
      <c r="H44" s="81" t="s">
        <v>157</v>
      </c>
      <c r="I44" s="155" t="s">
        <v>17</v>
      </c>
      <c r="J44" s="157"/>
    </row>
    <row r="45" spans="1:10" x14ac:dyDescent="0.35">
      <c r="A45" s="79" t="s">
        <v>31</v>
      </c>
      <c r="B45" s="94">
        <v>4612228</v>
      </c>
      <c r="C45" s="94" t="s">
        <v>158</v>
      </c>
      <c r="D45" s="95" t="s">
        <v>12</v>
      </c>
      <c r="E45" s="93" t="s">
        <v>19</v>
      </c>
      <c r="F45" s="80" t="s">
        <v>14</v>
      </c>
      <c r="G45" s="179" t="s">
        <v>159</v>
      </c>
      <c r="H45" s="80" t="s">
        <v>160</v>
      </c>
      <c r="I45" s="155" t="s">
        <v>22</v>
      </c>
      <c r="J45" s="157"/>
    </row>
    <row r="46" spans="1:10" x14ac:dyDescent="0.35">
      <c r="A46" s="79" t="s">
        <v>31</v>
      </c>
      <c r="B46" s="91">
        <v>4612247</v>
      </c>
      <c r="C46" s="91" t="s">
        <v>161</v>
      </c>
      <c r="D46" s="92" t="s">
        <v>12</v>
      </c>
      <c r="E46" s="99" t="s">
        <v>24</v>
      </c>
      <c r="F46" s="81" t="s">
        <v>14</v>
      </c>
      <c r="G46" s="178" t="s">
        <v>162</v>
      </c>
      <c r="H46" s="81" t="s">
        <v>163</v>
      </c>
      <c r="I46" s="155" t="s">
        <v>17</v>
      </c>
      <c r="J46" s="157"/>
    </row>
    <row r="47" spans="1:10" x14ac:dyDescent="0.35">
      <c r="A47" s="79" t="s">
        <v>31</v>
      </c>
      <c r="B47" s="94">
        <v>1385950</v>
      </c>
      <c r="C47" s="94" t="s">
        <v>164</v>
      </c>
      <c r="D47" s="95" t="s">
        <v>12</v>
      </c>
      <c r="E47" s="99" t="s">
        <v>109</v>
      </c>
      <c r="F47" s="80" t="s">
        <v>33</v>
      </c>
      <c r="G47" s="166" t="s">
        <v>165</v>
      </c>
      <c r="H47" s="80" t="s">
        <v>166</v>
      </c>
      <c r="I47" s="155"/>
      <c r="J47" s="157"/>
    </row>
    <row r="48" spans="1:10" x14ac:dyDescent="0.35">
      <c r="A48" s="79" t="s">
        <v>31</v>
      </c>
      <c r="B48" s="91">
        <v>1387328</v>
      </c>
      <c r="C48" s="91" t="s">
        <v>167</v>
      </c>
      <c r="D48" s="92" t="s">
        <v>12</v>
      </c>
      <c r="E48" s="99" t="s">
        <v>109</v>
      </c>
      <c r="F48" s="81" t="s">
        <v>33</v>
      </c>
      <c r="G48" s="167" t="s">
        <v>168</v>
      </c>
      <c r="H48" s="81" t="s">
        <v>169</v>
      </c>
      <c r="I48" s="155"/>
      <c r="J48" s="157"/>
    </row>
    <row r="49" spans="1:10" x14ac:dyDescent="0.35">
      <c r="A49" s="79" t="s">
        <v>31</v>
      </c>
      <c r="B49" s="94">
        <v>1385870</v>
      </c>
      <c r="C49" s="94" t="s">
        <v>170</v>
      </c>
      <c r="D49" s="95" t="s">
        <v>12</v>
      </c>
      <c r="E49" s="99" t="s">
        <v>109</v>
      </c>
      <c r="F49" s="80" t="s">
        <v>33</v>
      </c>
      <c r="G49" s="166" t="s">
        <v>171</v>
      </c>
      <c r="H49" s="80" t="s">
        <v>172</v>
      </c>
      <c r="I49" s="155"/>
      <c r="J49" s="157"/>
    </row>
    <row r="50" spans="1:10" x14ac:dyDescent="0.35">
      <c r="A50" s="79" t="s">
        <v>31</v>
      </c>
      <c r="B50" s="91">
        <v>1386288</v>
      </c>
      <c r="C50" s="91" t="s">
        <v>173</v>
      </c>
      <c r="D50" s="92" t="s">
        <v>12</v>
      </c>
      <c r="E50" s="99" t="s">
        <v>109</v>
      </c>
      <c r="F50" s="81" t="s">
        <v>33</v>
      </c>
      <c r="G50" s="167" t="s">
        <v>174</v>
      </c>
      <c r="H50" s="81" t="s">
        <v>175</v>
      </c>
      <c r="I50" s="155"/>
      <c r="J50" s="157"/>
    </row>
    <row r="51" spans="1:10" x14ac:dyDescent="0.35">
      <c r="A51" s="79" t="s">
        <v>31</v>
      </c>
      <c r="B51" s="94">
        <v>9678697</v>
      </c>
      <c r="C51" s="94" t="s">
        <v>176</v>
      </c>
      <c r="D51" s="95" t="s">
        <v>12</v>
      </c>
      <c r="E51" s="99" t="s">
        <v>109</v>
      </c>
      <c r="F51" s="80" t="s">
        <v>33</v>
      </c>
      <c r="G51" s="166" t="s">
        <v>177</v>
      </c>
      <c r="H51" s="80" t="s">
        <v>178</v>
      </c>
      <c r="I51" s="155"/>
      <c r="J51" s="157"/>
    </row>
    <row r="52" spans="1:10" x14ac:dyDescent="0.35">
      <c r="A52" s="79" t="s">
        <v>10</v>
      </c>
      <c r="B52" s="91">
        <v>9921954</v>
      </c>
      <c r="C52" s="91" t="s">
        <v>179</v>
      </c>
      <c r="D52" s="92" t="s">
        <v>12</v>
      </c>
      <c r="E52" s="99" t="s">
        <v>109</v>
      </c>
      <c r="F52" s="81" t="s">
        <v>33</v>
      </c>
      <c r="G52" s="167" t="s">
        <v>180</v>
      </c>
      <c r="H52" s="81" t="s">
        <v>181</v>
      </c>
      <c r="I52" s="155"/>
      <c r="J52" s="157"/>
    </row>
    <row r="53" spans="1:10" x14ac:dyDescent="0.35">
      <c r="A53" s="79" t="s">
        <v>10</v>
      </c>
      <c r="B53" s="94">
        <v>2448533</v>
      </c>
      <c r="C53" s="94" t="s">
        <v>182</v>
      </c>
      <c r="D53" s="95" t="s">
        <v>12</v>
      </c>
      <c r="E53" s="99" t="s">
        <v>109</v>
      </c>
      <c r="F53" s="80" t="s">
        <v>33</v>
      </c>
      <c r="G53" s="166" t="s">
        <v>183</v>
      </c>
      <c r="H53" s="80" t="s">
        <v>184</v>
      </c>
      <c r="I53" s="155"/>
      <c r="J53" s="157"/>
    </row>
    <row r="54" spans="1:10" x14ac:dyDescent="0.35">
      <c r="A54" s="79" t="s">
        <v>31</v>
      </c>
      <c r="B54" s="193">
        <v>2448534</v>
      </c>
      <c r="C54" s="193" t="s">
        <v>182</v>
      </c>
      <c r="D54" s="194" t="s">
        <v>108</v>
      </c>
      <c r="E54" s="195" t="s">
        <v>185</v>
      </c>
      <c r="F54" s="196" t="s">
        <v>33</v>
      </c>
      <c r="G54" s="197"/>
      <c r="H54" s="196" t="s">
        <v>186</v>
      </c>
      <c r="I54" s="198"/>
      <c r="J54" s="199"/>
    </row>
    <row r="55" spans="1:10" x14ac:dyDescent="0.35">
      <c r="A55" s="79" t="s">
        <v>10</v>
      </c>
      <c r="B55" s="193"/>
      <c r="C55" s="193"/>
      <c r="D55" s="194" t="s">
        <v>108</v>
      </c>
      <c r="E55" s="195" t="s">
        <v>185</v>
      </c>
      <c r="F55" s="196" t="s">
        <v>33</v>
      </c>
      <c r="G55" s="197"/>
      <c r="H55" s="196" t="s">
        <v>284</v>
      </c>
      <c r="I55" s="198"/>
      <c r="J55" s="199"/>
    </row>
    <row r="56" spans="1:10" x14ac:dyDescent="0.35">
      <c r="A56" s="79" t="s">
        <v>31</v>
      </c>
      <c r="B56" s="94"/>
      <c r="C56" s="94"/>
      <c r="D56" s="95" t="s">
        <v>108</v>
      </c>
      <c r="E56" s="99" t="s">
        <v>109</v>
      </c>
      <c r="F56" s="80" t="s">
        <v>33</v>
      </c>
      <c r="G56" s="168"/>
      <c r="H56" s="80" t="s">
        <v>188</v>
      </c>
      <c r="I56" s="155"/>
      <c r="J56" s="157"/>
    </row>
  </sheetData>
  <autoFilter ref="A1:J56" xr:uid="{CCFC853D-4B89-47CE-AA8F-BD4EA9CD1EC0}"/>
  <phoneticPr fontId="30" type="noConversion"/>
  <conditionalFormatting sqref="A38:A56">
    <cfRule type="containsText" dxfId="105" priority="13" operator="containsText" text="ELET">
      <formula>NOT(ISERROR(SEARCH("ELET",A38)))</formula>
    </cfRule>
    <cfRule type="containsText" dxfId="104" priority="14" operator="containsText" text="INST">
      <formula>NOT(ISERROR(SEARCH("INST",A38)))</formula>
    </cfRule>
    <cfRule type="containsText" dxfId="103" priority="15" operator="containsText" text="MEC">
      <formula>NOT(ISERROR(SEARCH("MEC",A38)))</formula>
    </cfRule>
  </conditionalFormatting>
  <conditionalFormatting sqref="A1:G56">
    <cfRule type="containsText" dxfId="102" priority="25" operator="containsText" text="ELET">
      <formula>NOT(ISERROR(SEARCH("ELET",A1)))</formula>
    </cfRule>
    <cfRule type="containsText" dxfId="101" priority="26" operator="containsText" text="INST">
      <formula>NOT(ISERROR(SEARCH("INST",A1)))</formula>
    </cfRule>
    <cfRule type="containsText" dxfId="100" priority="27" operator="containsText" text="MEC">
      <formula>NOT(ISERROR(SEARCH("MEC",A1)))</formula>
    </cfRule>
  </conditionalFormatting>
  <conditionalFormatting sqref="D25:D31">
    <cfRule type="containsText" dxfId="99" priority="16" operator="containsText" text="ELET">
      <formula>NOT(ISERROR(SEARCH("ELET",D25)))</formula>
    </cfRule>
    <cfRule type="containsText" dxfId="98" priority="17" operator="containsText" text="INST">
      <formula>NOT(ISERROR(SEARCH("INST",D25)))</formula>
    </cfRule>
    <cfRule type="containsText" dxfId="97" priority="18" operator="containsText" text="MEC">
      <formula>NOT(ISERROR(SEARCH("MEC",D25)))</formula>
    </cfRule>
  </conditionalFormatting>
  <conditionalFormatting sqref="D35:D56">
    <cfRule type="containsText" dxfId="96" priority="10" operator="containsText" text="ELET">
      <formula>NOT(ISERROR(SEARCH("ELET",D35)))</formula>
    </cfRule>
    <cfRule type="containsText" dxfId="95" priority="11" operator="containsText" text="INST">
      <formula>NOT(ISERROR(SEARCH("INST",D35)))</formula>
    </cfRule>
    <cfRule type="containsText" dxfId="94" priority="12" operator="containsText" text="MEC">
      <formula>NOT(ISERROR(SEARCH("MEC",D35)))</formula>
    </cfRule>
  </conditionalFormatting>
  <conditionalFormatting sqref="E4">
    <cfRule type="containsText" dxfId="93" priority="4" operator="containsText" text="ELET">
      <formula>NOT(ISERROR(SEARCH("ELET",E4)))</formula>
    </cfRule>
    <cfRule type="containsText" dxfId="92" priority="5" operator="containsText" text="INST">
      <formula>NOT(ISERROR(SEARCH("INST",E4)))</formula>
    </cfRule>
    <cfRule type="containsText" dxfId="91" priority="6" operator="containsText" text="MEC">
      <formula>NOT(ISERROR(SEARCH("MEC",E4)))</formula>
    </cfRule>
  </conditionalFormatting>
  <conditionalFormatting sqref="E18:E22">
    <cfRule type="containsText" dxfId="90" priority="22" operator="containsText" text="ELET">
      <formula>NOT(ISERROR(SEARCH("ELET",E18)))</formula>
    </cfRule>
    <cfRule type="containsText" dxfId="89" priority="23" operator="containsText" text="INST">
      <formula>NOT(ISERROR(SEARCH("INST",E18)))</formula>
    </cfRule>
    <cfRule type="containsText" dxfId="88" priority="24" operator="containsText" text="MEC">
      <formula>NOT(ISERROR(SEARCH("MEC",E18)))</formula>
    </cfRule>
  </conditionalFormatting>
  <conditionalFormatting sqref="E22:E28">
    <cfRule type="containsText" dxfId="87" priority="19" operator="containsText" text="ELET">
      <formula>NOT(ISERROR(SEARCH("ELET",E22)))</formula>
    </cfRule>
    <cfRule type="containsText" dxfId="86" priority="20" operator="containsText" text="INST">
      <formula>NOT(ISERROR(SEARCH("INST",E22)))</formula>
    </cfRule>
    <cfRule type="containsText" dxfId="85" priority="21" operator="containsText" text="MEC">
      <formula>NOT(ISERROR(SEARCH("MEC",E22)))</formula>
    </cfRule>
  </conditionalFormatting>
  <conditionalFormatting sqref="E44">
    <cfRule type="containsText" dxfId="84" priority="1" operator="containsText" text="ELET">
      <formula>NOT(ISERROR(SEARCH("ELET",E44)))</formula>
    </cfRule>
    <cfRule type="containsText" dxfId="83" priority="2" operator="containsText" text="INST">
      <formula>NOT(ISERROR(SEARCH("INST",E44)))</formula>
    </cfRule>
    <cfRule type="containsText" dxfId="82" priority="3" operator="containsText" text="MEC">
      <formula>NOT(ISERROR(SEARCH("MEC",E44)))</formula>
    </cfRule>
  </conditionalFormatting>
  <conditionalFormatting sqref="E46:E56">
    <cfRule type="containsText" dxfId="81" priority="7" operator="containsText" text="ELET">
      <formula>NOT(ISERROR(SEARCH("ELET",E46)))</formula>
    </cfRule>
    <cfRule type="containsText" dxfId="80" priority="8" operator="containsText" text="INST">
      <formula>NOT(ISERROR(SEARCH("INST",E46)))</formula>
    </cfRule>
    <cfRule type="containsText" dxfId="79" priority="9" operator="containsText" text="MEC">
      <formula>NOT(ISERROR(SEARCH("MEC",E46)))</formula>
    </cfRule>
  </conditionalFormatting>
  <conditionalFormatting sqref="I1:J1">
    <cfRule type="containsText" dxfId="78" priority="58" operator="containsText" text="ELET">
      <formula>NOT(ISERROR(SEARCH("ELET",I1)))</formula>
    </cfRule>
    <cfRule type="containsText" dxfId="77" priority="59" operator="containsText" text="INST">
      <formula>NOT(ISERROR(SEARCH("INST",I1)))</formula>
    </cfRule>
    <cfRule type="containsText" dxfId="76"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7" r:id="rId46" xr:uid="{11109C92-24DE-41D9-AC5B-B8DE456246C8}"/>
    <hyperlink ref="G48" r:id="rId47" xr:uid="{C27F965E-FA1B-43EB-9905-DBEDD2CC09EB}"/>
    <hyperlink ref="G49" r:id="rId48" xr:uid="{80E92C81-7A98-4489-B94B-93002CC75016}"/>
    <hyperlink ref="G50" r:id="rId49" xr:uid="{13ABD4E7-A9D6-4313-8200-F713CD3E8ABD}"/>
    <hyperlink ref="G51" r:id="rId50" xr:uid="{4D5B71C7-1667-4C2E-9DB5-74F7C4299E8D}"/>
    <hyperlink ref="G52" r:id="rId51" xr:uid="{077160BB-565E-4CE2-9572-36A117FFDEB8}"/>
    <hyperlink ref="G53" r:id="rId52" xr:uid="{6BCA10BF-F74E-4461-9524-10AB9F0693E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190"/>
  <sheetViews>
    <sheetView showGridLines="0" tabSelected="1" showRuler="0" zoomScale="40" zoomScaleNormal="40" zoomScalePageLayoutView="70" workbookViewId="0">
      <pane xSplit="7" ySplit="6" topLeftCell="LM77" activePane="bottomRight" state="frozen"/>
      <selection pane="topRight" activeCell="H1" sqref="H1"/>
      <selection pane="bottomLeft" activeCell="A7" sqref="A7"/>
      <selection pane="bottomRight" activeCell="NW1" sqref="NW1:WS1048576"/>
    </sheetView>
  </sheetViews>
  <sheetFormatPr defaultColWidth="9.26953125" defaultRowHeight="29.25" customHeight="1" outlineLevelRow="1" x14ac:dyDescent="0.35"/>
  <cols>
    <col min="1" max="1" width="0.453125" customWidth="1"/>
    <col min="2" max="2" width="37.7265625" bestFit="1" customWidth="1"/>
    <col min="3" max="3" width="27.81640625" style="5" bestFit="1" customWidth="1"/>
    <col min="4" max="4" width="21" style="111" bestFit="1" customWidth="1"/>
    <col min="5" max="5" width="12.1796875" style="111" bestFit="1" customWidth="1"/>
    <col min="6" max="7" width="4.453125" customWidth="1"/>
    <col min="8" max="9" width="0.453125" customWidth="1"/>
    <col min="10" max="10" width="2.7265625" bestFit="1" customWidth="1"/>
    <col min="11" max="19" width="2" bestFit="1" customWidth="1"/>
    <col min="20" max="24" width="2.7265625" bestFit="1" customWidth="1"/>
    <col min="25" max="25" width="6.81640625" bestFit="1" customWidth="1"/>
    <col min="26" max="41" width="2.7265625" bestFit="1" customWidth="1"/>
    <col min="42" max="50" width="2" bestFit="1" customWidth="1"/>
    <col min="51" max="69" width="2.7265625" bestFit="1" customWidth="1"/>
    <col min="70" max="78" width="2" bestFit="1" customWidth="1"/>
    <col min="79" max="100" width="2.7265625" bestFit="1" customWidth="1"/>
    <col min="101" max="109" width="2" bestFit="1" customWidth="1"/>
    <col min="110" max="130" width="2.7265625" bestFit="1" customWidth="1"/>
    <col min="131" max="139" width="2" bestFit="1" customWidth="1"/>
    <col min="140" max="161" width="2.7265625" bestFit="1" customWidth="1"/>
    <col min="162" max="170" width="2" bestFit="1" customWidth="1"/>
    <col min="171" max="191" width="2.7265625" bestFit="1" customWidth="1"/>
    <col min="192" max="200" width="2" bestFit="1" customWidth="1"/>
    <col min="201" max="222" width="2.7265625" bestFit="1" customWidth="1"/>
    <col min="223" max="231" width="2" bestFit="1" customWidth="1"/>
    <col min="232" max="253" width="2.7265625" bestFit="1" customWidth="1"/>
    <col min="254" max="262" width="2" bestFit="1" customWidth="1"/>
    <col min="263" max="283" width="2.7265625" bestFit="1" customWidth="1"/>
    <col min="284" max="292" width="2" bestFit="1" customWidth="1"/>
    <col min="293" max="314" width="2.7265625" bestFit="1" customWidth="1"/>
    <col min="315" max="323" width="2" bestFit="1" customWidth="1"/>
    <col min="324" max="617" width="2.7265625" bestFit="1" customWidth="1"/>
  </cols>
  <sheetData>
    <row r="1" spans="1:617" ht="29.25" customHeight="1" x14ac:dyDescent="0.65">
      <c r="A1" s="34" t="s">
        <v>189</v>
      </c>
      <c r="B1" s="37" t="s">
        <v>190</v>
      </c>
      <c r="C1" s="135"/>
      <c r="D1" s="110"/>
      <c r="E1" s="110"/>
      <c r="G1" s="2"/>
      <c r="H1" s="51"/>
      <c r="I1" s="51"/>
      <c r="BT1" s="210" t="s">
        <v>191</v>
      </c>
      <c r="BU1" s="210"/>
      <c r="BV1" s="210"/>
      <c r="CQ1" s="208"/>
      <c r="CR1" s="208"/>
      <c r="CX1" s="207"/>
      <c r="CY1" s="207"/>
      <c r="EK1" s="208"/>
    </row>
    <row r="2" spans="1:617" ht="17.25" customHeight="1" x14ac:dyDescent="0.45">
      <c r="A2" s="33" t="s">
        <v>192</v>
      </c>
      <c r="B2" s="38"/>
      <c r="BT2" s="210"/>
      <c r="BU2" s="210"/>
      <c r="BV2" s="210"/>
      <c r="CQ2" s="208"/>
      <c r="CR2" s="208"/>
      <c r="CX2" s="207"/>
      <c r="CY2" s="207"/>
      <c r="EK2" s="208"/>
    </row>
    <row r="3" spans="1:617" ht="29.25" customHeight="1" x14ac:dyDescent="0.35">
      <c r="A3" s="33" t="s">
        <v>193</v>
      </c>
      <c r="B3" s="70" t="s">
        <v>194</v>
      </c>
      <c r="C3" s="136">
        <f>Início_do_projeto+660</f>
        <v>46318</v>
      </c>
      <c r="D3" s="112" t="s">
        <v>195</v>
      </c>
      <c r="E3" s="211">
        <v>45658</v>
      </c>
      <c r="F3" s="211"/>
      <c r="BT3" s="210"/>
      <c r="BU3" s="210"/>
      <c r="BV3" s="210"/>
      <c r="CQ3" s="208"/>
      <c r="CR3" s="208"/>
      <c r="CX3" s="207"/>
      <c r="CY3" s="207"/>
      <c r="EK3" s="208"/>
    </row>
    <row r="4" spans="1:617" ht="43.9" customHeight="1" x14ac:dyDescent="0.35">
      <c r="A4" s="34" t="s">
        <v>196</v>
      </c>
      <c r="D4" s="113" t="s">
        <v>197</v>
      </c>
      <c r="F4" s="7">
        <v>1</v>
      </c>
      <c r="H4" s="203">
        <f>H5</f>
        <v>45656</v>
      </c>
      <c r="I4" s="204"/>
      <c r="J4" s="204"/>
      <c r="K4" s="204"/>
      <c r="L4" s="204"/>
      <c r="M4" s="204"/>
      <c r="N4" s="204"/>
      <c r="O4" s="205"/>
      <c r="P4" s="203">
        <f>P5</f>
        <v>45663</v>
      </c>
      <c r="Q4" s="204"/>
      <c r="R4" s="204"/>
      <c r="S4" s="204"/>
      <c r="T4" s="204"/>
      <c r="U4" s="204"/>
      <c r="V4" s="205"/>
      <c r="W4" s="203">
        <f>W5</f>
        <v>45670</v>
      </c>
      <c r="X4" s="204"/>
      <c r="Y4" s="204"/>
      <c r="Z4" s="204"/>
      <c r="AA4" s="204"/>
      <c r="AB4" s="204"/>
      <c r="AC4" s="205"/>
      <c r="AD4" s="203">
        <f>AD5</f>
        <v>45677</v>
      </c>
      <c r="AE4" s="204"/>
      <c r="AF4" s="204"/>
      <c r="AG4" s="204"/>
      <c r="AH4" s="204"/>
      <c r="AI4" s="204"/>
      <c r="AJ4" s="205"/>
      <c r="AK4" s="203">
        <f>AK5</f>
        <v>45684</v>
      </c>
      <c r="AL4" s="204"/>
      <c r="AM4" s="204"/>
      <c r="AN4" s="204"/>
      <c r="AO4" s="204"/>
      <c r="AP4" s="204"/>
      <c r="AQ4" s="205"/>
      <c r="AR4" s="203">
        <f>AR5</f>
        <v>45691</v>
      </c>
      <c r="AS4" s="204"/>
      <c r="AT4" s="204"/>
      <c r="AU4" s="204"/>
      <c r="AV4" s="204"/>
      <c r="AW4" s="204"/>
      <c r="AX4" s="205"/>
      <c r="AY4" s="203">
        <f>AY5</f>
        <v>45698</v>
      </c>
      <c r="AZ4" s="204"/>
      <c r="BA4" s="204"/>
      <c r="BB4" s="204"/>
      <c r="BC4" s="204"/>
      <c r="BD4" s="204"/>
      <c r="BE4" s="205"/>
      <c r="BF4" s="203">
        <f>BF5</f>
        <v>45705</v>
      </c>
      <c r="BG4" s="204"/>
      <c r="BH4" s="204"/>
      <c r="BI4" s="204"/>
      <c r="BJ4" s="204"/>
      <c r="BK4" s="204"/>
      <c r="BL4" s="205"/>
      <c r="BM4" s="203">
        <f>BM5</f>
        <v>45712</v>
      </c>
      <c r="BN4" s="204"/>
      <c r="BO4" s="204"/>
      <c r="BP4" s="204"/>
      <c r="BQ4" s="204"/>
      <c r="BR4" s="204"/>
      <c r="BS4" s="205"/>
      <c r="BT4" s="203">
        <f>BT5</f>
        <v>45719</v>
      </c>
      <c r="BU4" s="204"/>
      <c r="BV4" s="204"/>
      <c r="BW4" s="204"/>
      <c r="BX4" s="204"/>
      <c r="BY4" s="204"/>
      <c r="BZ4" s="205"/>
      <c r="CA4" s="203">
        <f>CA5</f>
        <v>45726</v>
      </c>
      <c r="CB4" s="204"/>
      <c r="CC4" s="204"/>
      <c r="CD4" s="204"/>
      <c r="CE4" s="204"/>
      <c r="CF4" s="204"/>
      <c r="CG4" s="205"/>
      <c r="CH4" s="203">
        <f>CH5</f>
        <v>45733</v>
      </c>
      <c r="CI4" s="204"/>
      <c r="CJ4" s="204"/>
      <c r="CK4" s="204"/>
      <c r="CL4" s="204"/>
      <c r="CM4" s="204"/>
      <c r="CN4" s="205"/>
      <c r="CO4" s="203">
        <f>CO5</f>
        <v>45740</v>
      </c>
      <c r="CP4" s="204"/>
      <c r="CQ4" s="204"/>
      <c r="CR4" s="204"/>
      <c r="CS4" s="204"/>
      <c r="CT4" s="204"/>
      <c r="CU4" s="205"/>
      <c r="CV4" s="203">
        <f>CV5</f>
        <v>45747</v>
      </c>
      <c r="CW4" s="204"/>
      <c r="CX4" s="204"/>
      <c r="CY4" s="204"/>
      <c r="CZ4" s="204"/>
      <c r="DA4" s="204"/>
      <c r="DB4" s="205"/>
      <c r="DC4" s="203">
        <f>DC5</f>
        <v>45754</v>
      </c>
      <c r="DD4" s="204"/>
      <c r="DE4" s="204"/>
      <c r="DF4" s="204"/>
      <c r="DG4" s="204"/>
      <c r="DH4" s="204"/>
      <c r="DI4" s="205"/>
      <c r="DJ4" s="203">
        <f>DJ5</f>
        <v>45761</v>
      </c>
      <c r="DK4" s="204"/>
      <c r="DL4" s="204"/>
      <c r="DM4" s="204"/>
      <c r="DN4" s="204"/>
      <c r="DO4" s="204"/>
      <c r="DP4" s="205"/>
      <c r="DQ4" s="203">
        <f>DQ5</f>
        <v>45768</v>
      </c>
      <c r="DR4" s="204"/>
      <c r="DS4" s="204"/>
      <c r="DT4" s="204"/>
      <c r="DU4" s="204"/>
      <c r="DV4" s="204"/>
      <c r="DW4" s="205"/>
      <c r="DX4" s="203">
        <f>DX5</f>
        <v>45775</v>
      </c>
      <c r="DY4" s="204"/>
      <c r="DZ4" s="204"/>
      <c r="EA4" s="204"/>
      <c r="EB4" s="204"/>
      <c r="EC4" s="204"/>
      <c r="ED4" s="205"/>
      <c r="EE4" s="203">
        <f t="shared" ref="EE4" si="0">EE5</f>
        <v>45782</v>
      </c>
      <c r="EF4" s="204"/>
      <c r="EG4" s="204"/>
      <c r="EH4" s="204"/>
      <c r="EI4" s="204"/>
      <c r="EJ4" s="204"/>
      <c r="EK4" s="205"/>
      <c r="EL4" s="203">
        <f t="shared" ref="EL4" si="1">EL5</f>
        <v>45789</v>
      </c>
      <c r="EM4" s="204"/>
      <c r="EN4" s="204"/>
      <c r="EO4" s="204"/>
      <c r="EP4" s="204"/>
      <c r="EQ4" s="204"/>
      <c r="ER4" s="205"/>
      <c r="ES4" s="203">
        <f t="shared" ref="ES4" si="2">ES5</f>
        <v>45796</v>
      </c>
      <c r="ET4" s="204"/>
      <c r="EU4" s="204"/>
      <c r="EV4" s="204"/>
      <c r="EW4" s="204"/>
      <c r="EX4" s="204"/>
      <c r="EY4" s="205"/>
      <c r="EZ4" s="203">
        <f t="shared" ref="EZ4" si="3">EZ5</f>
        <v>45803</v>
      </c>
      <c r="FA4" s="204"/>
      <c r="FB4" s="204"/>
      <c r="FC4" s="204"/>
      <c r="FD4" s="204"/>
      <c r="FE4" s="204"/>
      <c r="FF4" s="205"/>
      <c r="FG4" s="203">
        <f t="shared" ref="FG4" si="4">FG5</f>
        <v>45810</v>
      </c>
      <c r="FH4" s="204"/>
      <c r="FI4" s="204"/>
      <c r="FJ4" s="204"/>
      <c r="FK4" s="204"/>
      <c r="FL4" s="204"/>
      <c r="FM4" s="205"/>
      <c r="FN4" s="203">
        <f t="shared" ref="FN4" si="5">FN5</f>
        <v>45817</v>
      </c>
      <c r="FO4" s="204"/>
      <c r="FP4" s="204"/>
      <c r="FQ4" s="204"/>
      <c r="FR4" s="204"/>
      <c r="FS4" s="204"/>
      <c r="FT4" s="205"/>
      <c r="FU4" s="203">
        <f t="shared" ref="FU4" si="6">FU5</f>
        <v>45824</v>
      </c>
      <c r="FV4" s="204"/>
      <c r="FW4" s="204"/>
      <c r="FX4" s="204"/>
      <c r="FY4" s="204"/>
      <c r="FZ4" s="204"/>
      <c r="GA4" s="205"/>
      <c r="GB4" s="203">
        <f t="shared" ref="GB4" si="7">GB5</f>
        <v>45831</v>
      </c>
      <c r="GC4" s="204"/>
      <c r="GD4" s="204"/>
      <c r="GE4" s="204"/>
      <c r="GF4" s="204"/>
      <c r="GG4" s="204"/>
      <c r="GH4" s="205"/>
      <c r="GI4" s="203">
        <f t="shared" ref="GI4" si="8">GI5</f>
        <v>45838</v>
      </c>
      <c r="GJ4" s="204"/>
      <c r="GK4" s="204"/>
      <c r="GL4" s="204"/>
      <c r="GM4" s="204"/>
      <c r="GN4" s="204"/>
      <c r="GO4" s="205"/>
      <c r="GP4" s="203">
        <f t="shared" ref="GP4" si="9">GP5</f>
        <v>45845</v>
      </c>
      <c r="GQ4" s="204"/>
      <c r="GR4" s="204"/>
      <c r="GS4" s="204"/>
      <c r="GT4" s="204"/>
      <c r="GU4" s="204"/>
      <c r="GV4" s="205"/>
      <c r="GW4" s="203">
        <f t="shared" ref="GW4" si="10">GW5</f>
        <v>45852</v>
      </c>
      <c r="GX4" s="204"/>
      <c r="GY4" s="204"/>
      <c r="GZ4" s="204"/>
      <c r="HA4" s="204"/>
      <c r="HB4" s="204"/>
      <c r="HC4" s="205"/>
      <c r="HD4" s="203">
        <f t="shared" ref="HD4" si="11">HD5</f>
        <v>45859</v>
      </c>
      <c r="HE4" s="204"/>
      <c r="HF4" s="204"/>
      <c r="HG4" s="204"/>
      <c r="HH4" s="204"/>
      <c r="HI4" s="204"/>
      <c r="HJ4" s="205"/>
      <c r="HK4" s="203">
        <f t="shared" ref="HK4" si="12">HK5</f>
        <v>45866</v>
      </c>
      <c r="HL4" s="204"/>
      <c r="HM4" s="204"/>
      <c r="HN4" s="204"/>
      <c r="HO4" s="204"/>
      <c r="HP4" s="204"/>
      <c r="HQ4" s="205"/>
      <c r="HR4" s="203">
        <f t="shared" ref="HR4" si="13">HR5</f>
        <v>45873</v>
      </c>
      <c r="HS4" s="204"/>
      <c r="HT4" s="204"/>
      <c r="HU4" s="204"/>
      <c r="HV4" s="204"/>
      <c r="HW4" s="204"/>
      <c r="HX4" s="205"/>
      <c r="HY4" s="203">
        <f t="shared" ref="HY4" si="14">HY5</f>
        <v>45880</v>
      </c>
      <c r="HZ4" s="204"/>
      <c r="IA4" s="204"/>
      <c r="IB4" s="204"/>
      <c r="IC4" s="204"/>
      <c r="ID4" s="204"/>
      <c r="IE4" s="205"/>
      <c r="IF4" s="203">
        <f t="shared" ref="IF4" si="15">IF5</f>
        <v>45887</v>
      </c>
      <c r="IG4" s="204"/>
      <c r="IH4" s="204"/>
      <c r="II4" s="204"/>
      <c r="IJ4" s="204"/>
      <c r="IK4" s="204"/>
      <c r="IL4" s="205"/>
      <c r="IM4" s="203">
        <f t="shared" ref="IM4" si="16">IM5</f>
        <v>45894</v>
      </c>
      <c r="IN4" s="204"/>
      <c r="IO4" s="204"/>
      <c r="IP4" s="204"/>
      <c r="IQ4" s="204"/>
      <c r="IR4" s="204"/>
      <c r="IS4" s="205"/>
      <c r="IT4" s="203">
        <f t="shared" ref="IT4" si="17">IT5</f>
        <v>45901</v>
      </c>
      <c r="IU4" s="204"/>
      <c r="IV4" s="204"/>
      <c r="IW4" s="204"/>
      <c r="IX4" s="204"/>
      <c r="IY4" s="204"/>
      <c r="IZ4" s="205"/>
      <c r="JA4" s="203">
        <f t="shared" ref="JA4" si="18">JA5</f>
        <v>45908</v>
      </c>
      <c r="JB4" s="204"/>
      <c r="JC4" s="204"/>
      <c r="JD4" s="204"/>
      <c r="JE4" s="204"/>
      <c r="JF4" s="204"/>
      <c r="JG4" s="205"/>
      <c r="JH4" s="203">
        <f t="shared" ref="JH4" si="19">JH5</f>
        <v>45915</v>
      </c>
      <c r="JI4" s="204"/>
      <c r="JJ4" s="204"/>
      <c r="JK4" s="204"/>
      <c r="JL4" s="204"/>
      <c r="JM4" s="204"/>
      <c r="JN4" s="205"/>
      <c r="JO4" s="203">
        <f t="shared" ref="JO4" si="20">JO5</f>
        <v>45922</v>
      </c>
      <c r="JP4" s="204"/>
      <c r="JQ4" s="204"/>
      <c r="JR4" s="204"/>
      <c r="JS4" s="204"/>
      <c r="JT4" s="204"/>
      <c r="JU4" s="205"/>
      <c r="JV4" s="203">
        <f t="shared" ref="JV4" si="21">JV5</f>
        <v>45929</v>
      </c>
      <c r="JW4" s="204"/>
      <c r="JX4" s="204"/>
      <c r="JY4" s="204"/>
      <c r="JZ4" s="204"/>
      <c r="KA4" s="204"/>
      <c r="KB4" s="205"/>
      <c r="KC4" s="203">
        <f t="shared" ref="KC4" si="22">KC5</f>
        <v>45936</v>
      </c>
      <c r="KD4" s="204"/>
      <c r="KE4" s="204"/>
      <c r="KF4" s="204"/>
      <c r="KG4" s="204"/>
      <c r="KH4" s="204"/>
      <c r="KI4" s="205"/>
      <c r="KJ4" s="203">
        <f t="shared" ref="KJ4" si="23">KJ5</f>
        <v>45943</v>
      </c>
      <c r="KK4" s="204"/>
      <c r="KL4" s="204"/>
      <c r="KM4" s="204"/>
      <c r="KN4" s="204"/>
      <c r="KO4" s="204"/>
      <c r="KP4" s="205"/>
      <c r="KQ4" s="203">
        <f t="shared" ref="KQ4" si="24">KQ5</f>
        <v>45950</v>
      </c>
      <c r="KR4" s="204"/>
      <c r="KS4" s="204"/>
      <c r="KT4" s="204"/>
      <c r="KU4" s="204"/>
      <c r="KV4" s="204"/>
      <c r="KW4" s="205"/>
      <c r="KX4" s="203">
        <f t="shared" ref="KX4" si="25">KX5</f>
        <v>45957</v>
      </c>
      <c r="KY4" s="204"/>
      <c r="KZ4" s="204"/>
      <c r="LA4" s="204"/>
      <c r="LB4" s="204"/>
      <c r="LC4" s="204"/>
      <c r="LD4" s="205"/>
      <c r="LE4" s="203">
        <f t="shared" ref="LE4" si="26">LE5</f>
        <v>45964</v>
      </c>
      <c r="LF4" s="204"/>
      <c r="LG4" s="204"/>
      <c r="LH4" s="204"/>
      <c r="LI4" s="204"/>
      <c r="LJ4" s="204"/>
      <c r="LK4" s="205"/>
      <c r="LL4" s="203">
        <f t="shared" ref="LL4" si="27">LL5</f>
        <v>45971</v>
      </c>
      <c r="LM4" s="204"/>
      <c r="LN4" s="204"/>
      <c r="LO4" s="204"/>
      <c r="LP4" s="204"/>
      <c r="LQ4" s="204"/>
      <c r="LR4" s="205"/>
      <c r="LS4" s="203">
        <f t="shared" ref="LS4" si="28">LS5</f>
        <v>45978</v>
      </c>
      <c r="LT4" s="203"/>
      <c r="LU4" s="203"/>
      <c r="LV4" s="203"/>
      <c r="LW4" s="203"/>
      <c r="LX4" s="203"/>
      <c r="LY4" s="203"/>
      <c r="LZ4" s="203">
        <f t="shared" ref="LZ4" si="29">LZ5</f>
        <v>45985</v>
      </c>
      <c r="MA4" s="204"/>
      <c r="MB4" s="204"/>
      <c r="MC4" s="204"/>
      <c r="MD4" s="204"/>
      <c r="ME4" s="204"/>
      <c r="MF4" s="205"/>
      <c r="MG4" s="203">
        <f t="shared" ref="MG4" si="30">MG5</f>
        <v>45992</v>
      </c>
      <c r="MH4" s="204"/>
      <c r="MI4" s="204"/>
      <c r="MJ4" s="204"/>
      <c r="MK4" s="204"/>
      <c r="ML4" s="204"/>
      <c r="MM4" s="205"/>
      <c r="MN4" s="203">
        <f t="shared" ref="MN4:OY4" si="31">MN5</f>
        <v>45999</v>
      </c>
      <c r="MO4" s="204"/>
      <c r="MP4" s="204"/>
      <c r="MQ4" s="204"/>
      <c r="MR4" s="204"/>
      <c r="MS4" s="204"/>
      <c r="MT4" s="205"/>
      <c r="MU4" s="203">
        <f t="shared" si="31"/>
        <v>46006</v>
      </c>
      <c r="MV4" s="204"/>
      <c r="MW4" s="204"/>
      <c r="MX4" s="204"/>
      <c r="MY4" s="204"/>
      <c r="MZ4" s="204"/>
      <c r="NA4" s="205"/>
      <c r="NB4" s="203">
        <f t="shared" si="31"/>
        <v>46013</v>
      </c>
      <c r="NC4" s="204"/>
      <c r="ND4" s="204"/>
      <c r="NE4" s="204"/>
      <c r="NF4" s="204"/>
      <c r="NG4" s="204"/>
      <c r="NH4" s="205"/>
      <c r="NI4" s="203">
        <f t="shared" si="31"/>
        <v>46020</v>
      </c>
      <c r="NJ4" s="204"/>
      <c r="NK4" s="204"/>
      <c r="NL4" s="204"/>
      <c r="NM4" s="204"/>
      <c r="NN4" s="204"/>
      <c r="NO4" s="205"/>
      <c r="NP4" s="203">
        <f t="shared" si="31"/>
        <v>46027</v>
      </c>
      <c r="NQ4" s="204"/>
      <c r="NR4" s="204"/>
      <c r="NS4" s="204"/>
      <c r="NT4" s="204"/>
      <c r="NU4" s="204"/>
      <c r="NV4" s="205"/>
      <c r="NW4" s="200">
        <f t="shared" si="31"/>
        <v>46034</v>
      </c>
      <c r="NX4" s="201"/>
      <c r="NY4" s="201"/>
      <c r="NZ4" s="201"/>
      <c r="OA4" s="201"/>
      <c r="OB4" s="203"/>
      <c r="OC4" s="204"/>
      <c r="OD4" s="204">
        <f t="shared" si="31"/>
        <v>46041</v>
      </c>
      <c r="OE4" s="204"/>
      <c r="OF4" s="204"/>
      <c r="OG4" s="204"/>
      <c r="OH4" s="205"/>
      <c r="OI4" s="201"/>
      <c r="OJ4" s="202"/>
      <c r="OK4" s="200">
        <f t="shared" si="31"/>
        <v>46048</v>
      </c>
      <c r="OL4" s="201"/>
      <c r="OM4" s="201"/>
      <c r="ON4" s="203"/>
      <c r="OO4" s="204"/>
      <c r="OP4" s="204"/>
      <c r="OQ4" s="204"/>
      <c r="OR4" s="204">
        <f t="shared" si="31"/>
        <v>46055</v>
      </c>
      <c r="OS4" s="204"/>
      <c r="OT4" s="205"/>
      <c r="OU4" s="201"/>
      <c r="OV4" s="201"/>
      <c r="OW4" s="201"/>
      <c r="OX4" s="202"/>
      <c r="OY4" s="200">
        <f t="shared" si="31"/>
        <v>46062</v>
      </c>
      <c r="OZ4" s="203"/>
      <c r="PA4" s="204"/>
      <c r="PB4" s="204"/>
      <c r="PC4" s="204"/>
      <c r="PD4" s="204"/>
      <c r="PE4" s="204"/>
      <c r="PF4" s="205">
        <f t="shared" ref="PF4:RQ4" si="32">PF5</f>
        <v>46069</v>
      </c>
      <c r="PG4" s="201"/>
      <c r="PH4" s="201"/>
      <c r="PI4" s="201"/>
      <c r="PJ4" s="201"/>
      <c r="PK4" s="201"/>
      <c r="PL4" s="203"/>
      <c r="PM4" s="204">
        <f t="shared" si="32"/>
        <v>46076</v>
      </c>
      <c r="PN4" s="204"/>
      <c r="PO4" s="204"/>
      <c r="PP4" s="204"/>
      <c r="PQ4" s="204"/>
      <c r="PR4" s="205"/>
      <c r="PS4" s="202"/>
      <c r="PT4" s="200">
        <f t="shared" si="32"/>
        <v>46083</v>
      </c>
      <c r="PU4" s="201"/>
      <c r="PV4" s="201"/>
      <c r="PW4" s="201"/>
      <c r="PX4" s="203"/>
      <c r="PY4" s="204"/>
      <c r="PZ4" s="204"/>
      <c r="QA4" s="204">
        <f t="shared" si="32"/>
        <v>46090</v>
      </c>
      <c r="QB4" s="204"/>
      <c r="QC4" s="204"/>
      <c r="QD4" s="205"/>
      <c r="QE4" s="201"/>
      <c r="QF4" s="201"/>
      <c r="QG4" s="202"/>
      <c r="QH4" s="200">
        <f t="shared" si="32"/>
        <v>46097</v>
      </c>
      <c r="QI4" s="201"/>
      <c r="QJ4" s="203"/>
      <c r="QK4" s="204"/>
      <c r="QL4" s="204"/>
      <c r="QM4" s="204"/>
      <c r="QN4" s="204"/>
      <c r="QO4" s="204">
        <f t="shared" si="32"/>
        <v>46104</v>
      </c>
      <c r="QP4" s="205"/>
      <c r="QQ4" s="201"/>
      <c r="QR4" s="201"/>
      <c r="QS4" s="201"/>
      <c r="QT4" s="201"/>
      <c r="QU4" s="202"/>
      <c r="QV4" s="203">
        <f t="shared" si="32"/>
        <v>46111</v>
      </c>
      <c r="QW4" s="204"/>
      <c r="QX4" s="204"/>
      <c r="QY4" s="204"/>
      <c r="QZ4" s="204"/>
      <c r="RA4" s="204"/>
      <c r="RB4" s="205"/>
      <c r="RC4" s="200">
        <f t="shared" si="32"/>
        <v>46118</v>
      </c>
      <c r="RD4" s="201"/>
      <c r="RE4" s="201"/>
      <c r="RF4" s="201"/>
      <c r="RG4" s="201"/>
      <c r="RH4" s="203"/>
      <c r="RI4" s="204"/>
      <c r="RJ4" s="204">
        <f t="shared" si="32"/>
        <v>46125</v>
      </c>
      <c r="RK4" s="204"/>
      <c r="RL4" s="204"/>
      <c r="RM4" s="204"/>
      <c r="RN4" s="205"/>
      <c r="RO4" s="201"/>
      <c r="RP4" s="202"/>
      <c r="RQ4" s="200">
        <f t="shared" si="32"/>
        <v>46132</v>
      </c>
      <c r="RR4" s="201"/>
      <c r="RS4" s="201"/>
      <c r="RT4" s="203"/>
      <c r="RU4" s="204"/>
      <c r="RV4" s="204"/>
      <c r="RW4" s="204"/>
      <c r="RX4" s="204">
        <f t="shared" ref="RX4:UI4" si="33">RX5</f>
        <v>46139</v>
      </c>
      <c r="RY4" s="204"/>
      <c r="RZ4" s="205"/>
      <c r="SA4" s="201"/>
      <c r="SB4" s="201"/>
      <c r="SC4" s="201"/>
      <c r="SD4" s="202"/>
      <c r="SE4" s="200">
        <f t="shared" si="33"/>
        <v>46146</v>
      </c>
      <c r="SF4" s="203"/>
      <c r="SG4" s="204"/>
      <c r="SH4" s="204"/>
      <c r="SI4" s="204"/>
      <c r="SJ4" s="204"/>
      <c r="SK4" s="204"/>
      <c r="SL4" s="205">
        <f t="shared" si="33"/>
        <v>46153</v>
      </c>
      <c r="SM4" s="201"/>
      <c r="SN4" s="201"/>
      <c r="SO4" s="201"/>
      <c r="SP4" s="201"/>
      <c r="SQ4" s="201"/>
      <c r="SR4" s="203"/>
      <c r="SS4" s="204">
        <f t="shared" si="33"/>
        <v>46160</v>
      </c>
      <c r="ST4" s="204"/>
      <c r="SU4" s="204"/>
      <c r="SV4" s="204"/>
      <c r="SW4" s="204"/>
      <c r="SX4" s="205"/>
      <c r="SY4" s="202"/>
      <c r="SZ4" s="200">
        <f t="shared" si="33"/>
        <v>46167</v>
      </c>
      <c r="TA4" s="201"/>
      <c r="TB4" s="201"/>
      <c r="TC4" s="201"/>
      <c r="TD4" s="203"/>
      <c r="TE4" s="204"/>
      <c r="TF4" s="204"/>
      <c r="TG4" s="204">
        <f t="shared" si="33"/>
        <v>46174</v>
      </c>
      <c r="TH4" s="204"/>
      <c r="TI4" s="204"/>
      <c r="TJ4" s="205"/>
      <c r="TK4" s="201"/>
      <c r="TL4" s="201"/>
      <c r="TM4" s="202"/>
      <c r="TN4" s="200">
        <f t="shared" si="33"/>
        <v>46181</v>
      </c>
      <c r="TO4" s="201"/>
      <c r="TP4" s="203"/>
      <c r="TQ4" s="204"/>
      <c r="TR4" s="204"/>
      <c r="TS4" s="204"/>
      <c r="TT4" s="204"/>
      <c r="TU4" s="204">
        <f t="shared" si="33"/>
        <v>46188</v>
      </c>
      <c r="TV4" s="205"/>
      <c r="TW4" s="201"/>
      <c r="TX4" s="201"/>
      <c r="TY4" s="201"/>
      <c r="TZ4" s="201"/>
      <c r="UA4" s="202"/>
      <c r="UB4" s="203">
        <f t="shared" si="33"/>
        <v>46195</v>
      </c>
      <c r="UC4" s="204"/>
      <c r="UD4" s="204"/>
      <c r="UE4" s="204"/>
      <c r="UF4" s="204"/>
      <c r="UG4" s="204"/>
      <c r="UH4" s="205"/>
      <c r="UI4" s="200">
        <f t="shared" si="33"/>
        <v>46202</v>
      </c>
      <c r="UJ4" s="201"/>
      <c r="UK4" s="201"/>
      <c r="UL4" s="201"/>
      <c r="UM4" s="201"/>
      <c r="UN4" s="203"/>
      <c r="UO4" s="204"/>
      <c r="UP4" s="204">
        <f t="shared" ref="UP4:WS4" si="34">UP5</f>
        <v>46209</v>
      </c>
      <c r="UQ4" s="204"/>
      <c r="UR4" s="204"/>
      <c r="US4" s="204"/>
      <c r="UT4" s="205"/>
      <c r="UU4" s="201"/>
      <c r="UV4" s="202"/>
      <c r="UW4" s="200">
        <f t="shared" si="34"/>
        <v>46216</v>
      </c>
      <c r="UX4" s="201"/>
      <c r="UY4" s="201"/>
      <c r="UZ4" s="203"/>
      <c r="VA4" s="204"/>
      <c r="VB4" s="204"/>
      <c r="VC4" s="204"/>
      <c r="VD4" s="204">
        <f t="shared" si="34"/>
        <v>46223</v>
      </c>
      <c r="VE4" s="204"/>
      <c r="VF4" s="205"/>
      <c r="VG4" s="201"/>
      <c r="VH4" s="201"/>
      <c r="VI4" s="201"/>
      <c r="VJ4" s="202"/>
      <c r="VK4" s="200">
        <f t="shared" si="34"/>
        <v>46230</v>
      </c>
      <c r="VL4" s="203"/>
      <c r="VM4" s="204"/>
      <c r="VN4" s="204"/>
      <c r="VO4" s="204"/>
      <c r="VP4" s="204"/>
      <c r="VQ4" s="204"/>
      <c r="VR4" s="205">
        <f t="shared" si="34"/>
        <v>46237</v>
      </c>
      <c r="VS4" s="201"/>
      <c r="VT4" s="201"/>
      <c r="VU4" s="201"/>
      <c r="VV4" s="201"/>
      <c r="VW4" s="201"/>
      <c r="VX4" s="203"/>
      <c r="VY4" s="204">
        <f t="shared" si="34"/>
        <v>46244</v>
      </c>
      <c r="VZ4" s="204"/>
      <c r="WA4" s="204"/>
      <c r="WB4" s="204"/>
      <c r="WC4" s="204"/>
      <c r="WD4" s="205"/>
      <c r="WE4" s="202"/>
      <c r="WF4" s="200">
        <f t="shared" si="34"/>
        <v>46251</v>
      </c>
      <c r="WG4" s="201"/>
      <c r="WH4" s="201"/>
      <c r="WI4" s="201"/>
      <c r="WJ4" s="203"/>
      <c r="WK4" s="204"/>
      <c r="WL4" s="204"/>
      <c r="WM4" s="204">
        <f t="shared" si="34"/>
        <v>46258</v>
      </c>
      <c r="WN4" s="204"/>
      <c r="WO4" s="204"/>
      <c r="WP4" s="205"/>
      <c r="WQ4" s="201"/>
      <c r="WR4" s="201"/>
      <c r="WS4" s="202"/>
    </row>
    <row r="5" spans="1:617" ht="29.25" customHeight="1" x14ac:dyDescent="0.35">
      <c r="A5" s="34" t="s">
        <v>198</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29.25" customHeight="1" thickBot="1" x14ac:dyDescent="0.4">
      <c r="A6" s="34" t="s">
        <v>199</v>
      </c>
      <c r="B6" s="8" t="s">
        <v>200</v>
      </c>
      <c r="C6" s="9" t="s">
        <v>201</v>
      </c>
      <c r="D6" s="115" t="s">
        <v>202</v>
      </c>
      <c r="E6" s="115" t="s">
        <v>203</v>
      </c>
      <c r="F6" s="9"/>
      <c r="G6" s="9" t="s">
        <v>204</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29.25" customHeight="1" thickBot="1" x14ac:dyDescent="0.4">
      <c r="A7" s="33" t="s">
        <v>205</v>
      </c>
      <c r="C7" s="137"/>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29.25" customHeight="1" thickBot="1" x14ac:dyDescent="0.4">
      <c r="A8" s="33"/>
      <c r="B8" s="209" t="s">
        <v>206</v>
      </c>
      <c r="C8" s="209"/>
      <c r="D8" s="209"/>
      <c r="E8" s="20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29.25" customHeight="1" outlineLevel="1" thickBot="1" x14ac:dyDescent="0.4">
      <c r="A9" s="34" t="s">
        <v>207</v>
      </c>
      <c r="B9" s="206" t="s">
        <v>283</v>
      </c>
      <c r="C9" s="206"/>
      <c r="D9" s="206"/>
      <c r="E9" s="206"/>
      <c r="F9" s="14"/>
      <c r="G9" s="14" t="str">
        <f t="shared" ref="G9:G189"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29.25" customHeight="1" outlineLevel="1" thickBot="1" x14ac:dyDescent="0.4">
      <c r="A10" s="34" t="s">
        <v>208</v>
      </c>
      <c r="B10" s="187"/>
      <c r="C10" s="188" t="s">
        <v>117</v>
      </c>
      <c r="D10" s="189">
        <v>45691</v>
      </c>
      <c r="E10" s="18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29.25" customHeight="1" outlineLevel="1" thickBot="1" x14ac:dyDescent="0.4">
      <c r="A11" s="34"/>
      <c r="B11" s="187"/>
      <c r="C11" s="188" t="s">
        <v>136</v>
      </c>
      <c r="D11" s="189">
        <v>45691</v>
      </c>
      <c r="E11" s="18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29.25" customHeight="1" outlineLevel="1" thickBot="1" x14ac:dyDescent="0.4">
      <c r="A12" s="34" t="s">
        <v>209</v>
      </c>
      <c r="B12" s="187"/>
      <c r="C12" s="188" t="s">
        <v>126</v>
      </c>
      <c r="D12" s="189">
        <f>D11+14</f>
        <v>45705</v>
      </c>
      <c r="E12" s="18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29.25" customHeight="1" outlineLevel="1" thickBot="1" x14ac:dyDescent="0.4">
      <c r="A13" s="33"/>
      <c r="B13" s="187"/>
      <c r="C13" s="188" t="s">
        <v>210</v>
      </c>
      <c r="D13" s="189">
        <v>45705</v>
      </c>
      <c r="E13" s="18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29.25" customHeight="1" outlineLevel="1" thickBot="1" x14ac:dyDescent="0.4">
      <c r="A14" s="33"/>
      <c r="B14" s="190"/>
      <c r="C14" s="188" t="s">
        <v>211</v>
      </c>
      <c r="D14" s="189">
        <f>D13+7</f>
        <v>45712</v>
      </c>
      <c r="E14" s="18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29.25" customHeight="1" outlineLevel="1" thickBot="1" x14ac:dyDescent="0.4">
      <c r="A15" s="33"/>
      <c r="B15" s="191"/>
      <c r="C15" s="188" t="s">
        <v>120</v>
      </c>
      <c r="D15" s="189">
        <f>D16</f>
        <v>45726</v>
      </c>
      <c r="E15" s="18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29.25" customHeight="1" outlineLevel="1" thickBot="1" x14ac:dyDescent="0.4">
      <c r="A16" s="33"/>
      <c r="B16" s="191"/>
      <c r="C16" s="188" t="s">
        <v>42</v>
      </c>
      <c r="D16" s="189">
        <f>D14+14</f>
        <v>45726</v>
      </c>
      <c r="E16" s="18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29.25" customHeight="1" outlineLevel="1" thickBot="1" x14ac:dyDescent="0.4">
      <c r="A17" s="33"/>
      <c r="B17" s="191"/>
      <c r="C17" s="188" t="s">
        <v>100</v>
      </c>
      <c r="D17" s="189">
        <f>D15+14</f>
        <v>45740</v>
      </c>
      <c r="E17" s="18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29.25" customHeight="1" outlineLevel="1" thickBot="1" x14ac:dyDescent="0.4">
      <c r="A18" s="33"/>
      <c r="B18" s="188"/>
      <c r="C18" s="188" t="s">
        <v>106</v>
      </c>
      <c r="D18" s="189">
        <f>D16+14</f>
        <v>45740</v>
      </c>
      <c r="E18" s="18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29.25" customHeight="1" outlineLevel="1" thickBot="1" x14ac:dyDescent="0.4">
      <c r="A19" s="33"/>
      <c r="B19" s="188"/>
      <c r="C19" s="188" t="s">
        <v>82</v>
      </c>
      <c r="D19" s="189">
        <f t="shared" ref="D19:D40" si="588">D18+7</f>
        <v>45747</v>
      </c>
      <c r="E19" s="18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29.25" customHeight="1" outlineLevel="1" thickBot="1" x14ac:dyDescent="0.4">
      <c r="A20" s="33"/>
      <c r="B20" s="188"/>
      <c r="C20" s="188" t="s">
        <v>79</v>
      </c>
      <c r="D20" s="189">
        <f t="shared" si="588"/>
        <v>45754</v>
      </c>
      <c r="E20" s="18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29.25" customHeight="1" outlineLevel="1" thickBot="1" x14ac:dyDescent="0.4">
      <c r="A21" s="33"/>
      <c r="B21" s="188"/>
      <c r="C21" s="188" t="s">
        <v>94</v>
      </c>
      <c r="D21" s="189">
        <f t="shared" si="588"/>
        <v>45761</v>
      </c>
      <c r="E21" s="18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29.25" customHeight="1" outlineLevel="1" thickBot="1" x14ac:dyDescent="0.4">
      <c r="A22" s="33"/>
      <c r="B22" s="188"/>
      <c r="C22" s="188" t="s">
        <v>64</v>
      </c>
      <c r="D22" s="189">
        <f t="shared" si="588"/>
        <v>45768</v>
      </c>
      <c r="E22" s="18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29.25" customHeight="1" outlineLevel="1" thickBot="1" x14ac:dyDescent="0.4">
      <c r="A23" s="33"/>
      <c r="B23" s="188"/>
      <c r="C23" s="188" t="s">
        <v>61</v>
      </c>
      <c r="D23" s="189">
        <f t="shared" si="588"/>
        <v>45775</v>
      </c>
      <c r="E23" s="18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29.25" customHeight="1" outlineLevel="1" thickBot="1" x14ac:dyDescent="0.4">
      <c r="A24" s="33"/>
      <c r="B24" s="188"/>
      <c r="C24" s="188" t="s">
        <v>67</v>
      </c>
      <c r="D24" s="189">
        <f t="shared" si="588"/>
        <v>45782</v>
      </c>
      <c r="E24" s="18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29.25" customHeight="1" outlineLevel="1" thickBot="1" x14ac:dyDescent="0.4">
      <c r="A25" s="33"/>
      <c r="B25" s="188"/>
      <c r="C25" s="188" t="s">
        <v>132</v>
      </c>
      <c r="D25" s="189">
        <f t="shared" si="588"/>
        <v>45789</v>
      </c>
      <c r="E25" s="18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29.25" customHeight="1" outlineLevel="1" thickBot="1" x14ac:dyDescent="0.4">
      <c r="A26" s="33"/>
      <c r="B26" s="188"/>
      <c r="C26" s="188" t="s">
        <v>85</v>
      </c>
      <c r="D26" s="189">
        <f>D25+7</f>
        <v>45796</v>
      </c>
      <c r="E26" s="18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29.25" customHeight="1" outlineLevel="1" thickBot="1" x14ac:dyDescent="0.4">
      <c r="A27" s="33"/>
      <c r="B27" s="188"/>
      <c r="C27" s="188" t="s">
        <v>39</v>
      </c>
      <c r="D27" s="189">
        <f t="shared" si="588"/>
        <v>45803</v>
      </c>
      <c r="E27" s="18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29.25" customHeight="1" outlineLevel="1" thickBot="1" x14ac:dyDescent="0.4">
      <c r="A28" s="33"/>
      <c r="B28" s="188"/>
      <c r="C28" s="188" t="s">
        <v>70</v>
      </c>
      <c r="D28" s="189">
        <f t="shared" si="588"/>
        <v>45810</v>
      </c>
      <c r="E28" s="18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29.25" customHeight="1" outlineLevel="1" thickBot="1" x14ac:dyDescent="0.4">
      <c r="A29" s="33"/>
      <c r="B29" s="188"/>
      <c r="C29" s="188" t="s">
        <v>35</v>
      </c>
      <c r="D29" s="189">
        <f t="shared" si="588"/>
        <v>45817</v>
      </c>
      <c r="E29" s="18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29.25" customHeight="1" outlineLevel="1" thickBot="1" x14ac:dyDescent="0.4">
      <c r="A30" s="33"/>
      <c r="B30" s="188"/>
      <c r="C30" s="188" t="s">
        <v>91</v>
      </c>
      <c r="D30" s="189">
        <f t="shared" si="588"/>
        <v>45824</v>
      </c>
      <c r="E30" s="18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29.25" customHeight="1" outlineLevel="1" thickBot="1" x14ac:dyDescent="0.4">
      <c r="A31" s="33"/>
      <c r="B31" s="188"/>
      <c r="C31" s="188" t="s">
        <v>103</v>
      </c>
      <c r="D31" s="189">
        <f t="shared" si="588"/>
        <v>45831</v>
      </c>
      <c r="E31" s="18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29.25" customHeight="1" outlineLevel="1" thickBot="1" x14ac:dyDescent="0.4">
      <c r="A32" s="33"/>
      <c r="B32" s="188"/>
      <c r="C32" s="188" t="s">
        <v>100</v>
      </c>
      <c r="D32" s="189">
        <f t="shared" si="588"/>
        <v>45838</v>
      </c>
      <c r="E32" s="18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29.25" customHeight="1" outlineLevel="1" thickBot="1" x14ac:dyDescent="0.4">
      <c r="A33" s="33"/>
      <c r="B33" s="188"/>
      <c r="C33" s="188" t="s">
        <v>76</v>
      </c>
      <c r="D33" s="189">
        <f t="shared" si="588"/>
        <v>45845</v>
      </c>
      <c r="E33" s="18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29.25" customHeight="1" outlineLevel="1" thickBot="1" x14ac:dyDescent="0.4">
      <c r="A34" s="33"/>
      <c r="B34" s="188"/>
      <c r="C34" s="188" t="s">
        <v>70</v>
      </c>
      <c r="D34" s="189">
        <f t="shared" si="588"/>
        <v>45852</v>
      </c>
      <c r="E34" s="18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29.25" customHeight="1" outlineLevel="1" thickBot="1" x14ac:dyDescent="0.4">
      <c r="A35" s="33"/>
      <c r="B35" s="188"/>
      <c r="C35" s="188" t="s">
        <v>39</v>
      </c>
      <c r="D35" s="189">
        <f t="shared" si="588"/>
        <v>45859</v>
      </c>
      <c r="E35" s="18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29.25" customHeight="1" outlineLevel="1" thickBot="1" x14ac:dyDescent="0.4">
      <c r="A36" s="33"/>
      <c r="B36" s="188"/>
      <c r="C36" s="188" t="s">
        <v>132</v>
      </c>
      <c r="D36" s="189">
        <f t="shared" si="588"/>
        <v>45866</v>
      </c>
      <c r="E36" s="18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29.25" customHeight="1" outlineLevel="1" thickBot="1" x14ac:dyDescent="0.4">
      <c r="A37" s="33"/>
      <c r="B37" s="188"/>
      <c r="C37" s="188" t="s">
        <v>114</v>
      </c>
      <c r="D37" s="189">
        <f t="shared" si="588"/>
        <v>45873</v>
      </c>
      <c r="E37" s="18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29.25" customHeight="1" outlineLevel="1" thickBot="1" x14ac:dyDescent="0.4">
      <c r="A38" s="33"/>
      <c r="B38" s="188"/>
      <c r="C38" s="188" t="s">
        <v>129</v>
      </c>
      <c r="D38" s="189">
        <f t="shared" si="588"/>
        <v>45880</v>
      </c>
      <c r="E38" s="18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29.25" customHeight="1" outlineLevel="1" thickBot="1" x14ac:dyDescent="0.4">
      <c r="A39" s="33"/>
      <c r="B39" s="188"/>
      <c r="C39" s="192" t="s">
        <v>94</v>
      </c>
      <c r="D39" s="189">
        <f t="shared" si="588"/>
        <v>45887</v>
      </c>
      <c r="E39" s="18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29.25" customHeight="1" outlineLevel="1" thickBot="1" x14ac:dyDescent="0.4">
      <c r="A40" s="33"/>
      <c r="B40" s="188"/>
      <c r="C40" s="188" t="s">
        <v>103</v>
      </c>
      <c r="D40" s="189">
        <f t="shared" si="588"/>
        <v>45894</v>
      </c>
      <c r="E40" s="18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29.25" customHeight="1" outlineLevel="1" thickBot="1" x14ac:dyDescent="0.4">
      <c r="A41" s="33"/>
      <c r="B41" s="188"/>
      <c r="C41" s="188" t="s">
        <v>45</v>
      </c>
      <c r="D41" s="189">
        <f>D40+7</f>
        <v>45901</v>
      </c>
      <c r="E41" s="18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29.25" customHeight="1" outlineLevel="1" thickBot="1" x14ac:dyDescent="0.4">
      <c r="A42" s="33"/>
      <c r="B42" s="188"/>
      <c r="C42" s="188" t="s">
        <v>61</v>
      </c>
      <c r="D42" s="189">
        <v>45915</v>
      </c>
      <c r="E42" s="18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29.25" customHeight="1" outlineLevel="1" thickBot="1" x14ac:dyDescent="0.4">
      <c r="A43" s="33"/>
      <c r="B43" s="188"/>
      <c r="C43" s="188" t="s">
        <v>151</v>
      </c>
      <c r="D43" s="189">
        <v>45922</v>
      </c>
      <c r="E43" s="18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29.25" customHeight="1" outlineLevel="1" thickBot="1" x14ac:dyDescent="0.4">
      <c r="A44" s="33"/>
      <c r="B44" s="188"/>
      <c r="C44" s="188" t="s">
        <v>82</v>
      </c>
      <c r="D44" s="189">
        <v>45936</v>
      </c>
      <c r="E44" s="18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29.25" customHeight="1" outlineLevel="1" thickBot="1" x14ac:dyDescent="0.4">
      <c r="A45" s="33"/>
      <c r="B45" s="188"/>
      <c r="C45" s="188" t="s">
        <v>163</v>
      </c>
      <c r="D45" s="189">
        <v>45936</v>
      </c>
      <c r="E45" s="18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29.25" customHeight="1" outlineLevel="1" thickBot="1" x14ac:dyDescent="0.4">
      <c r="A46" s="33"/>
      <c r="B46" s="188"/>
      <c r="C46" s="188" t="s">
        <v>148</v>
      </c>
      <c r="D46" s="189">
        <v>45950</v>
      </c>
      <c r="E46" s="18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29.25" customHeight="1" outlineLevel="1" thickBot="1" x14ac:dyDescent="0.4">
      <c r="A47" s="33"/>
      <c r="B47" s="188"/>
      <c r="C47" s="188" t="s">
        <v>106</v>
      </c>
      <c r="D47" s="189">
        <v>45957</v>
      </c>
      <c r="E47" s="18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29.25" customHeight="1" outlineLevel="1" thickBot="1" x14ac:dyDescent="0.4">
      <c r="A48" s="33"/>
      <c r="B48" s="188"/>
      <c r="C48" s="188" t="s">
        <v>16</v>
      </c>
      <c r="D48" s="189">
        <v>45964</v>
      </c>
      <c r="E48" s="18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29.25" customHeight="1" outlineLevel="1" thickBot="1" x14ac:dyDescent="0.4">
      <c r="A49" s="33"/>
      <c r="B49" s="188"/>
      <c r="C49" s="188" t="s">
        <v>82</v>
      </c>
      <c r="D49" s="189">
        <v>45971</v>
      </c>
      <c r="E49" s="18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29.25" customHeight="1" outlineLevel="1" thickBot="1" x14ac:dyDescent="0.4">
      <c r="A50" s="33"/>
      <c r="B50" s="188"/>
      <c r="C50" s="188" t="s">
        <v>154</v>
      </c>
      <c r="D50" s="189">
        <v>45978</v>
      </c>
      <c r="E50" s="18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29.25" customHeight="1" outlineLevel="1" thickBot="1" x14ac:dyDescent="0.4">
      <c r="A51" s="33"/>
      <c r="B51" s="188"/>
      <c r="C51" s="188" t="s">
        <v>157</v>
      </c>
      <c r="D51" s="189">
        <v>45985</v>
      </c>
      <c r="E51" s="18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29.25" customHeight="1" outlineLevel="1" thickBot="1" x14ac:dyDescent="0.4">
      <c r="A52" s="33"/>
      <c r="B52" s="188"/>
      <c r="C52" s="188" t="s">
        <v>106</v>
      </c>
      <c r="D52" s="189">
        <v>45985</v>
      </c>
      <c r="E52" s="18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29.25" customHeight="1" outlineLevel="1" thickBot="1" x14ac:dyDescent="0.4">
      <c r="A53" s="33"/>
      <c r="B53" s="188"/>
      <c r="C53" s="188" t="s">
        <v>26</v>
      </c>
      <c r="D53" s="189">
        <v>45992</v>
      </c>
      <c r="E53" s="18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29.25" customHeight="1" outlineLevel="1" thickBot="1" x14ac:dyDescent="0.4">
      <c r="A54" s="33"/>
      <c r="B54" s="188"/>
      <c r="C54" s="188" t="s">
        <v>160</v>
      </c>
      <c r="D54" s="189">
        <v>45999</v>
      </c>
      <c r="E54" s="18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29.25" customHeight="1" outlineLevel="1" thickBot="1" x14ac:dyDescent="0.4">
      <c r="A55" s="33"/>
      <c r="B55" s="188"/>
      <c r="C55" s="188" t="s">
        <v>132</v>
      </c>
      <c r="D55" s="189">
        <v>46034</v>
      </c>
      <c r="E55" s="18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29.25" customHeight="1" outlineLevel="1" thickBot="1" x14ac:dyDescent="0.4">
      <c r="A56" s="33"/>
      <c r="B56" s="188" t="s">
        <v>244</v>
      </c>
      <c r="C56" s="188" t="s">
        <v>166</v>
      </c>
      <c r="D56" s="189">
        <v>46034</v>
      </c>
      <c r="E56" s="18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29.25" customHeight="1" outlineLevel="1" thickBot="1" x14ac:dyDescent="0.4">
      <c r="A57" s="33"/>
      <c r="B57" s="188" t="s">
        <v>244</v>
      </c>
      <c r="C57" s="188" t="s">
        <v>172</v>
      </c>
      <c r="D57" s="189">
        <v>46048</v>
      </c>
      <c r="E57" s="18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29.25" customHeight="1" outlineLevel="1" thickBot="1" x14ac:dyDescent="0.4">
      <c r="A58" s="33"/>
      <c r="B58" s="188" t="s">
        <v>244</v>
      </c>
      <c r="C58" s="188" t="s">
        <v>160</v>
      </c>
      <c r="D58" s="189">
        <v>46055</v>
      </c>
      <c r="E58" s="18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29.25" customHeight="1" outlineLevel="1" thickBot="1" x14ac:dyDescent="0.4">
      <c r="A59" s="33"/>
      <c r="B59" s="184"/>
      <c r="C59" s="184"/>
      <c r="D59" s="185">
        <v>46062</v>
      </c>
      <c r="E59" s="186">
        <f>D59+G59-1</f>
        <v>46066</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29.25" customHeight="1" outlineLevel="1" thickBot="1" x14ac:dyDescent="0.4">
      <c r="A60" s="33"/>
      <c r="B60" s="170" t="s">
        <v>212</v>
      </c>
      <c r="C60" s="172"/>
      <c r="D60" s="173">
        <v>46069</v>
      </c>
      <c r="E60" s="174">
        <f>D60+G60-1</f>
        <v>46073</v>
      </c>
      <c r="F60" s="14"/>
      <c r="G60" s="14">
        <v>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29.25" customHeight="1" outlineLevel="1" thickBot="1" x14ac:dyDescent="0.4">
      <c r="A61" s="33"/>
      <c r="B61" s="169"/>
      <c r="C61" s="169"/>
      <c r="D61" s="171">
        <v>46076</v>
      </c>
      <c r="E61" s="171">
        <f>D61+G61-1</f>
        <v>46080</v>
      </c>
      <c r="F61" s="14"/>
      <c r="G61" s="14">
        <v>5</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29.25" customHeight="1" outlineLevel="1" thickBot="1" x14ac:dyDescent="0.4">
      <c r="A62" s="33"/>
      <c r="B62" s="40"/>
      <c r="C62" s="40"/>
      <c r="D62" s="116">
        <v>46090</v>
      </c>
      <c r="E62" s="116">
        <f>D62+G62-1</f>
        <v>46101</v>
      </c>
      <c r="F62" s="14"/>
      <c r="G62" s="14">
        <v>12</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29.25" customHeight="1" outlineLevel="1" thickBot="1" x14ac:dyDescent="0.4">
      <c r="A63" s="33"/>
      <c r="B63" s="40"/>
      <c r="C63" s="40"/>
      <c r="D63" s="116"/>
      <c r="E63" s="116"/>
      <c r="F63" s="14"/>
      <c r="G63" s="14"/>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29.25" customHeight="1" outlineLevel="1" thickBot="1" x14ac:dyDescent="0.4">
      <c r="A64" s="33"/>
      <c r="B64" s="40"/>
      <c r="C64" s="40"/>
      <c r="D64" s="116"/>
      <c r="E64" s="116"/>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29.25" customHeight="1" outlineLevel="1" thickBot="1" x14ac:dyDescent="0.4">
      <c r="A65" s="34" t="s">
        <v>213</v>
      </c>
      <c r="B65" s="213" t="s">
        <v>214</v>
      </c>
      <c r="C65" s="213"/>
      <c r="D65" s="213"/>
      <c r="E65" s="213"/>
      <c r="F65" s="14"/>
      <c r="G65" s="14" t="str">
        <f t="shared"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29.25" customHeight="1" outlineLevel="1" thickBot="1" x14ac:dyDescent="0.4">
      <c r="A66" s="33"/>
      <c r="B66" s="47" t="s">
        <v>215</v>
      </c>
      <c r="C66" s="42" t="s">
        <v>216</v>
      </c>
      <c r="D66" s="117">
        <v>45768</v>
      </c>
      <c r="E66" s="117">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29.25" customHeight="1" outlineLevel="1" thickBot="1" x14ac:dyDescent="0.4">
      <c r="A67" s="33"/>
      <c r="B67" s="47" t="s">
        <v>217</v>
      </c>
      <c r="C67" s="42" t="s">
        <v>218</v>
      </c>
      <c r="D67" s="117">
        <v>45852</v>
      </c>
      <c r="E67" s="117">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29.25" customHeight="1" outlineLevel="1" thickBot="1" x14ac:dyDescent="0.4">
      <c r="A68" s="33"/>
      <c r="B68" s="47" t="s">
        <v>215</v>
      </c>
      <c r="C68" s="42" t="s">
        <v>85</v>
      </c>
      <c r="D68" s="117">
        <v>45852</v>
      </c>
      <c r="E68" s="117">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29.25" customHeight="1" outlineLevel="1" thickBot="1" x14ac:dyDescent="0.4">
      <c r="A69" s="33"/>
      <c r="B69" s="47" t="s">
        <v>215</v>
      </c>
      <c r="C69" s="42" t="s">
        <v>219</v>
      </c>
      <c r="D69" s="117">
        <v>45904</v>
      </c>
      <c r="E69" s="117">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29.25" customHeight="1" outlineLevel="1" thickBot="1" x14ac:dyDescent="0.4">
      <c r="A70" s="33"/>
      <c r="B70" s="47" t="s">
        <v>217</v>
      </c>
      <c r="C70" s="42" t="s">
        <v>35</v>
      </c>
      <c r="D70" s="117">
        <v>45970</v>
      </c>
      <c r="E70" s="117">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29.25" customHeight="1" outlineLevel="1" thickBot="1" x14ac:dyDescent="0.4">
      <c r="A71" s="33"/>
      <c r="B71" s="47" t="s">
        <v>215</v>
      </c>
      <c r="C71" s="42" t="s">
        <v>216</v>
      </c>
      <c r="D71" s="117">
        <v>46030</v>
      </c>
      <c r="E71" s="117">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29.25" customHeight="1" outlineLevel="1" thickBot="1" x14ac:dyDescent="0.4">
      <c r="A72" s="33"/>
      <c r="B72" s="47" t="s">
        <v>217</v>
      </c>
      <c r="C72" s="42" t="s">
        <v>42</v>
      </c>
      <c r="D72" s="117">
        <v>46045</v>
      </c>
      <c r="E72" s="117">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29.25" customHeight="1" outlineLevel="1" thickBot="1" x14ac:dyDescent="0.4">
      <c r="A73" s="33"/>
      <c r="B73" s="47" t="s">
        <v>215</v>
      </c>
      <c r="C73" s="42" t="s">
        <v>219</v>
      </c>
      <c r="D73" s="117">
        <v>46089</v>
      </c>
      <c r="E73" s="117">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29.25" customHeight="1" outlineLevel="1" thickBot="1" x14ac:dyDescent="0.4">
      <c r="A74" s="33"/>
      <c r="B74" s="47" t="s">
        <v>217</v>
      </c>
      <c r="C74" s="42" t="s">
        <v>35</v>
      </c>
      <c r="D74" s="117">
        <v>46100</v>
      </c>
      <c r="E74" s="117">
        <f t="shared" si="594"/>
        <v>46156</v>
      </c>
      <c r="F74" s="14"/>
      <c r="G74" s="14">
        <v>56</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29.25" customHeight="1" outlineLevel="1" thickBot="1" x14ac:dyDescent="0.4">
      <c r="A75" s="33"/>
      <c r="B75" s="47" t="s">
        <v>215</v>
      </c>
      <c r="C75" s="42" t="s">
        <v>216</v>
      </c>
      <c r="D75" s="117">
        <v>46150</v>
      </c>
      <c r="E75" s="117">
        <f t="shared" si="594"/>
        <v>46211</v>
      </c>
      <c r="F75" s="14"/>
      <c r="G75" s="14">
        <v>61</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29.25" customHeight="1" outlineLevel="1" thickBot="1" x14ac:dyDescent="0.4">
      <c r="A76" s="33"/>
      <c r="B76" s="47" t="s">
        <v>217</v>
      </c>
      <c r="C76" s="42" t="s">
        <v>42</v>
      </c>
      <c r="D76" s="117">
        <v>46153</v>
      </c>
      <c r="E76" s="117">
        <f t="shared" si="594"/>
        <v>46228</v>
      </c>
      <c r="F76" s="14"/>
      <c r="G76" s="14">
        <v>75</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29.25" customHeight="1" outlineLevel="1" thickBot="1" x14ac:dyDescent="0.4">
      <c r="A77" s="33"/>
      <c r="B77" s="47" t="s">
        <v>215</v>
      </c>
      <c r="C77" s="42" t="s">
        <v>219</v>
      </c>
      <c r="D77" s="117">
        <v>46211</v>
      </c>
      <c r="E77" s="117">
        <f t="shared" si="594"/>
        <v>46273</v>
      </c>
      <c r="F77" s="14"/>
      <c r="G77" s="14">
        <v>62</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29.25" customHeight="1" outlineLevel="1" thickBot="1" x14ac:dyDescent="0.4">
      <c r="A78" s="33"/>
      <c r="B78" s="47" t="s">
        <v>217</v>
      </c>
      <c r="C78" s="42" t="s">
        <v>35</v>
      </c>
      <c r="D78" s="117">
        <v>46229</v>
      </c>
      <c r="E78" s="117">
        <f t="shared" si="594"/>
        <v>46285</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29.25" customHeight="1" outlineLevel="1" thickBot="1" x14ac:dyDescent="0.4">
      <c r="A79" s="33"/>
      <c r="B79" s="47" t="s">
        <v>215</v>
      </c>
      <c r="C79" s="42" t="s">
        <v>216</v>
      </c>
      <c r="D79" s="117">
        <v>46273</v>
      </c>
      <c r="E79" s="117">
        <f t="shared" si="594"/>
        <v>46329</v>
      </c>
      <c r="F79" s="14"/>
      <c r="G79" s="14">
        <v>56</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29.25" customHeight="1" outlineLevel="1" thickBot="1" x14ac:dyDescent="0.4">
      <c r="A80" s="33"/>
      <c r="B80" s="47" t="s">
        <v>217</v>
      </c>
      <c r="C80" s="42" t="s">
        <v>42</v>
      </c>
      <c r="D80" s="117">
        <v>46282</v>
      </c>
      <c r="E80" s="117">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29.25" customHeight="1" outlineLevel="1" thickBot="1" x14ac:dyDescent="0.4">
      <c r="A81" s="33"/>
      <c r="B81" s="214" t="s">
        <v>287</v>
      </c>
      <c r="C81" s="214"/>
      <c r="D81" s="214"/>
      <c r="E81" s="214"/>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29.25" customHeight="1" outlineLevel="1" thickBot="1" x14ac:dyDescent="0.4">
      <c r="A82" s="33"/>
      <c r="B82" s="47" t="s">
        <v>285</v>
      </c>
      <c r="C82" s="42" t="s">
        <v>123</v>
      </c>
      <c r="D82" s="117">
        <v>45719</v>
      </c>
      <c r="E82" s="117">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29.25" customHeight="1" outlineLevel="1" thickBot="1" x14ac:dyDescent="0.4">
      <c r="A83" s="33"/>
      <c r="B83" s="47" t="s">
        <v>220</v>
      </c>
      <c r="C83" s="42" t="s">
        <v>123</v>
      </c>
      <c r="D83" s="117">
        <v>45987</v>
      </c>
      <c r="E83" s="117">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29.25" customHeight="1" outlineLevel="1" thickBot="1" x14ac:dyDescent="0.4">
      <c r="A84" s="33"/>
      <c r="B84" s="47" t="s">
        <v>220</v>
      </c>
      <c r="C84" s="42" t="s">
        <v>126</v>
      </c>
      <c r="D84" s="117">
        <v>46044</v>
      </c>
      <c r="E84" s="117">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29.25" customHeight="1" outlineLevel="1" thickBot="1" x14ac:dyDescent="0.4">
      <c r="A85" s="33"/>
      <c r="B85" s="47" t="s">
        <v>286</v>
      </c>
      <c r="C85" s="42" t="s">
        <v>132</v>
      </c>
      <c r="D85" s="117">
        <v>46107</v>
      </c>
      <c r="E85" s="117">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29.25" customHeight="1" outlineLevel="1" thickBot="1" x14ac:dyDescent="0.4">
      <c r="A86" s="33"/>
      <c r="B86" s="47"/>
      <c r="C86" s="42"/>
      <c r="D86" s="117"/>
      <c r="E86" s="117"/>
      <c r="F86" s="14"/>
      <c r="G86" s="14"/>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29.25" customHeight="1" outlineLevel="1" thickBot="1" x14ac:dyDescent="0.4">
      <c r="A87" s="33"/>
      <c r="B87" s="47"/>
      <c r="C87" s="42"/>
      <c r="D87" s="117"/>
      <c r="E87" s="117"/>
      <c r="F87" s="14"/>
      <c r="G87" s="14"/>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29.25" customHeight="1" outlineLevel="1" thickBot="1" x14ac:dyDescent="0.4">
      <c r="A88" s="33"/>
      <c r="B88" s="214" t="s">
        <v>222</v>
      </c>
      <c r="C88" s="214"/>
      <c r="D88" s="214"/>
      <c r="E88" s="214"/>
      <c r="F88" s="14"/>
      <c r="G88" s="14" t="str">
        <f t="shared" si="586"/>
        <v/>
      </c>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29.25" customHeight="1" outlineLevel="1" thickBot="1" x14ac:dyDescent="0.4">
      <c r="A89" s="33" t="s">
        <v>221</v>
      </c>
      <c r="B89" s="84" t="s">
        <v>215</v>
      </c>
      <c r="C89" s="138" t="s">
        <v>219</v>
      </c>
      <c r="D89" s="118">
        <v>45774</v>
      </c>
      <c r="E89" s="118">
        <f>D89+G89</f>
        <v>45819</v>
      </c>
      <c r="F89" s="14"/>
      <c r="G89" s="14">
        <v>45</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29.25" customHeight="1" outlineLevel="1" thickBot="1" x14ac:dyDescent="0.4">
      <c r="A90" s="33"/>
      <c r="B90" s="215" t="s">
        <v>223</v>
      </c>
      <c r="C90" s="215"/>
      <c r="D90" s="215"/>
      <c r="E90" s="215"/>
      <c r="F90" s="14"/>
      <c r="G90" s="14" t="str">
        <f t="shared" si="586"/>
        <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29.25" customHeight="1" outlineLevel="1" thickBot="1" x14ac:dyDescent="0.4">
      <c r="A91" s="33" t="s">
        <v>221</v>
      </c>
      <c r="B91" s="48" t="s">
        <v>224</v>
      </c>
      <c r="C91" s="44" t="s">
        <v>225</v>
      </c>
      <c r="D91" s="119">
        <v>45635</v>
      </c>
      <c r="E91" s="119">
        <v>45681</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29.25" customHeight="1" outlineLevel="1" thickBot="1" x14ac:dyDescent="0.4">
      <c r="A92" s="33"/>
      <c r="B92" s="82" t="s">
        <v>224</v>
      </c>
      <c r="C92" s="139" t="s">
        <v>226</v>
      </c>
      <c r="D92" s="120">
        <v>45698</v>
      </c>
      <c r="E92" s="120">
        <v>45757</v>
      </c>
      <c r="F92" s="14"/>
      <c r="G92" s="14">
        <v>7</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29.25" customHeight="1" outlineLevel="1" thickBot="1" x14ac:dyDescent="0.4">
      <c r="A93" s="33"/>
      <c r="B93" s="216" t="s">
        <v>227</v>
      </c>
      <c r="C93" s="216"/>
      <c r="D93" s="216"/>
      <c r="E93" s="216"/>
      <c r="F93" s="14"/>
      <c r="G93" s="14" t="str">
        <f t="shared" si="586"/>
        <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29.25" customHeight="1" outlineLevel="1" thickBot="1" x14ac:dyDescent="0.4">
      <c r="A94" s="33" t="s">
        <v>221</v>
      </c>
      <c r="B94" s="85" t="s">
        <v>228</v>
      </c>
      <c r="C94" s="140" t="s">
        <v>229</v>
      </c>
      <c r="D94" s="121">
        <v>45866</v>
      </c>
      <c r="E94" s="121">
        <v>45891</v>
      </c>
      <c r="F94" s="14"/>
      <c r="G94" s="14">
        <f>E94-D94</f>
        <v>25</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29.25" customHeight="1" outlineLevel="1" thickBot="1" x14ac:dyDescent="0.4">
      <c r="A95" s="33"/>
      <c r="B95" s="85" t="s">
        <v>228</v>
      </c>
      <c r="C95" s="140" t="s">
        <v>230</v>
      </c>
      <c r="D95" s="121">
        <v>45922</v>
      </c>
      <c r="E95" s="121">
        <v>45975</v>
      </c>
      <c r="F95" s="14"/>
      <c r="G95" s="14">
        <f t="shared" ref="G95:G97" si="596">E95-D95</f>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29.25" customHeight="1" outlineLevel="1" thickBot="1" x14ac:dyDescent="0.4">
      <c r="A96" s="33"/>
      <c r="B96" s="85" t="s">
        <v>231</v>
      </c>
      <c r="C96" s="146" t="s">
        <v>226</v>
      </c>
      <c r="D96" s="124">
        <v>46041</v>
      </c>
      <c r="E96" s="124">
        <v>46094</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29.25" customHeight="1" outlineLevel="1" thickBot="1" x14ac:dyDescent="0.4">
      <c r="A97" s="33"/>
      <c r="B97" s="85" t="s">
        <v>232</v>
      </c>
      <c r="C97" s="140" t="s">
        <v>233</v>
      </c>
      <c r="D97" s="121">
        <v>46104</v>
      </c>
      <c r="E97" s="121">
        <v>46157</v>
      </c>
      <c r="F97" s="14"/>
      <c r="G97" s="14">
        <f t="shared" si="596"/>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29.25" customHeight="1" outlineLevel="1" thickBot="1" x14ac:dyDescent="0.4">
      <c r="A98" s="33"/>
      <c r="B98" s="85" t="s">
        <v>228</v>
      </c>
      <c r="C98" s="140" t="s">
        <v>234</v>
      </c>
      <c r="D98" s="121">
        <v>46146</v>
      </c>
      <c r="E98" s="121">
        <v>46199</v>
      </c>
      <c r="F98" s="14"/>
      <c r="G98" s="14">
        <f>E98-D98</f>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29.25" customHeight="1" outlineLevel="1" thickBot="1" x14ac:dyDescent="0.4">
      <c r="A99" s="33"/>
      <c r="B99" s="217" t="s">
        <v>235</v>
      </c>
      <c r="C99" s="217"/>
      <c r="D99" s="217"/>
      <c r="E99" s="217"/>
      <c r="F99" s="14"/>
      <c r="G99" s="14"/>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29.25" customHeight="1" thickBot="1" x14ac:dyDescent="0.4">
      <c r="A100" s="33"/>
      <c r="B100" s="212" t="s">
        <v>236</v>
      </c>
      <c r="C100" s="212"/>
      <c r="D100" s="212"/>
      <c r="E100" s="212"/>
      <c r="F100" s="14"/>
      <c r="G100" s="14" t="str">
        <f t="shared" si="586"/>
        <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30.65" customHeight="1" outlineLevel="1" thickBot="1" x14ac:dyDescent="0.4">
      <c r="A101" s="34" t="s">
        <v>213</v>
      </c>
      <c r="B101" s="47" t="s">
        <v>237</v>
      </c>
      <c r="C101" s="42" t="s">
        <v>117</v>
      </c>
      <c r="D101" s="117">
        <v>45820</v>
      </c>
      <c r="E101" s="117">
        <f>D101+G101-1</f>
        <v>45873</v>
      </c>
      <c r="F101" s="14"/>
      <c r="G101" s="14">
        <v>54</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29.25" hidden="1" customHeight="1" outlineLevel="1" thickBot="1" x14ac:dyDescent="0.4">
      <c r="A102" s="33"/>
      <c r="B102" s="47" t="s">
        <v>238</v>
      </c>
      <c r="C102" s="42" t="s">
        <v>82</v>
      </c>
      <c r="D102" s="117">
        <v>45855</v>
      </c>
      <c r="E102" s="117">
        <f>D102+G102</f>
        <v>45911</v>
      </c>
      <c r="F102" s="14"/>
      <c r="G102" s="14">
        <v>56</v>
      </c>
      <c r="H102" s="29"/>
      <c r="I102" s="29"/>
      <c r="J102" s="29"/>
      <c r="K102" s="29"/>
      <c r="L102" s="29"/>
      <c r="M102" s="29"/>
      <c r="N102" s="29"/>
      <c r="O102" s="29"/>
      <c r="P102" s="29"/>
      <c r="Q102" s="29"/>
      <c r="R102" s="29"/>
      <c r="S102" s="29"/>
      <c r="T102" s="29"/>
      <c r="U102" s="30"/>
      <c r="V102" s="30"/>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29.25" hidden="1" customHeight="1" outlineLevel="1" thickBot="1" x14ac:dyDescent="0.4">
      <c r="A103" s="33"/>
      <c r="B103" s="47" t="s">
        <v>237</v>
      </c>
      <c r="C103" s="42" t="s">
        <v>42</v>
      </c>
      <c r="D103" s="117">
        <v>45876</v>
      </c>
      <c r="E103" s="117">
        <v>45925</v>
      </c>
      <c r="F103" s="14"/>
      <c r="G103" s="14">
        <f>E103-D103</f>
        <v>49</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29.25" hidden="1" customHeight="1" outlineLevel="1" thickBot="1" x14ac:dyDescent="0.4">
      <c r="A104" s="33"/>
      <c r="B104" s="47" t="s">
        <v>238</v>
      </c>
      <c r="C104" s="42" t="s">
        <v>132</v>
      </c>
      <c r="D104" s="117">
        <f>E102</f>
        <v>45911</v>
      </c>
      <c r="E104" s="117">
        <f t="shared" ref="E104:E105" si="597">D104+G104</f>
        <v>45967</v>
      </c>
      <c r="F104" s="14"/>
      <c r="G104" s="14">
        <v>56</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29.25" hidden="1" customHeight="1" outlineLevel="1" thickBot="1" x14ac:dyDescent="0.4">
      <c r="A105" s="33"/>
      <c r="B105" s="47" t="s">
        <v>237</v>
      </c>
      <c r="C105" s="42" t="s">
        <v>39</v>
      </c>
      <c r="D105" s="117">
        <v>45932</v>
      </c>
      <c r="E105" s="117">
        <f t="shared" si="597"/>
        <v>45988</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29.25" hidden="1" customHeight="1" outlineLevel="1" thickBot="1" x14ac:dyDescent="0.4">
      <c r="A106" s="33"/>
      <c r="B106" s="47" t="s">
        <v>238</v>
      </c>
      <c r="C106" s="42" t="s">
        <v>61</v>
      </c>
      <c r="D106" s="117">
        <v>45974</v>
      </c>
      <c r="E106" s="117">
        <f t="shared" ref="E106:E124" si="598">D106+G106-1</f>
        <v>46029</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29.25" customHeight="1" outlineLevel="1" thickBot="1" x14ac:dyDescent="0.4">
      <c r="A107" s="33"/>
      <c r="B107" s="47" t="s">
        <v>237</v>
      </c>
      <c r="C107" s="42" t="s">
        <v>218</v>
      </c>
      <c r="D107" s="117">
        <v>45996</v>
      </c>
      <c r="E107" s="117">
        <f>D107+G107-1</f>
        <v>46051</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29.25" customHeight="1" outlineLevel="1" thickBot="1" x14ac:dyDescent="0.4">
      <c r="A108" s="33"/>
      <c r="B108" s="147" t="s">
        <v>239</v>
      </c>
      <c r="C108" s="148" t="s">
        <v>120</v>
      </c>
      <c r="D108" s="149">
        <v>45988</v>
      </c>
      <c r="E108" s="149">
        <f t="shared" si="598"/>
        <v>46043</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29.25" customHeight="1" outlineLevel="1" thickBot="1" x14ac:dyDescent="0.4">
      <c r="A109" s="33"/>
      <c r="B109" s="47" t="s">
        <v>238</v>
      </c>
      <c r="C109" s="42" t="s">
        <v>82</v>
      </c>
      <c r="D109" s="117">
        <v>46034</v>
      </c>
      <c r="E109" s="117">
        <f>D109+G109</f>
        <v>46085</v>
      </c>
      <c r="F109" s="14"/>
      <c r="G109" s="14">
        <v>51</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29.25" customHeight="1" outlineLevel="1" thickBot="1" x14ac:dyDescent="0.4">
      <c r="A110" s="33"/>
      <c r="B110" s="47" t="s">
        <v>237</v>
      </c>
      <c r="C110" s="42" t="s">
        <v>94</v>
      </c>
      <c r="D110" s="117">
        <f>E107</f>
        <v>46051</v>
      </c>
      <c r="E110" s="117">
        <f t="shared" si="598"/>
        <v>46106</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29.25" customHeight="1" outlineLevel="1" thickBot="1" x14ac:dyDescent="0.4">
      <c r="A111" s="33"/>
      <c r="B111" s="147" t="s">
        <v>239</v>
      </c>
      <c r="C111" s="148" t="s">
        <v>186</v>
      </c>
      <c r="D111" s="149">
        <v>46058</v>
      </c>
      <c r="E111" s="149">
        <f t="shared" si="598"/>
        <v>46113</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29.25" customHeight="1" outlineLevel="1" thickBot="1" x14ac:dyDescent="0.4">
      <c r="A112" s="33"/>
      <c r="B112" s="47" t="s">
        <v>238</v>
      </c>
      <c r="C112" s="42" t="s">
        <v>85</v>
      </c>
      <c r="D112" s="117">
        <f>E109+8</f>
        <v>46093</v>
      </c>
      <c r="E112" s="117">
        <f>D112+G112-1</f>
        <v>46148</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29.25" customHeight="1" outlineLevel="1" thickBot="1" x14ac:dyDescent="0.4">
      <c r="A113" s="33"/>
      <c r="B113" s="47" t="s">
        <v>237</v>
      </c>
      <c r="C113" s="42" t="s">
        <v>218</v>
      </c>
      <c r="D113" s="117">
        <v>46114</v>
      </c>
      <c r="E113" s="117">
        <f t="shared" si="598"/>
        <v>46169</v>
      </c>
      <c r="F113" s="14"/>
      <c r="G113" s="14">
        <v>56</v>
      </c>
      <c r="H113" s="14">
        <v>54</v>
      </c>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29.25" customHeight="1" outlineLevel="1" thickBot="1" x14ac:dyDescent="0.4">
      <c r="A114" s="33"/>
      <c r="B114" s="147" t="s">
        <v>239</v>
      </c>
      <c r="C114" s="148" t="s">
        <v>111</v>
      </c>
      <c r="D114" s="149">
        <v>46065</v>
      </c>
      <c r="E114" s="149">
        <f t="shared" si="598"/>
        <v>46120</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29.25" customHeight="1" outlineLevel="1" thickBot="1" x14ac:dyDescent="0.4">
      <c r="A115" s="33"/>
      <c r="B115" s="147" t="s">
        <v>239</v>
      </c>
      <c r="C115" s="148" t="s">
        <v>114</v>
      </c>
      <c r="D115" s="149">
        <v>46121</v>
      </c>
      <c r="E115" s="149">
        <f>D115+G115-1</f>
        <v>46176</v>
      </c>
      <c r="F115" s="14"/>
      <c r="G115" s="14">
        <v>56</v>
      </c>
      <c r="H115" s="14"/>
      <c r="I115" s="14"/>
      <c r="J115" s="29"/>
      <c r="K115" s="29"/>
      <c r="L115" s="29"/>
      <c r="M115" s="29"/>
      <c r="N115" s="29"/>
      <c r="O115" s="29"/>
      <c r="P115" s="29"/>
      <c r="Q115" s="29"/>
      <c r="R115" s="29"/>
      <c r="S115" s="29"/>
      <c r="T115" s="29"/>
      <c r="U115" s="29"/>
      <c r="V115" s="29"/>
      <c r="W115" s="29"/>
      <c r="X115" s="29"/>
      <c r="Y115" s="183"/>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29.25" customHeight="1" outlineLevel="1" thickBot="1" x14ac:dyDescent="0.4">
      <c r="A116" s="33"/>
      <c r="B116" s="47" t="s">
        <v>238</v>
      </c>
      <c r="C116" s="42" t="s">
        <v>82</v>
      </c>
      <c r="D116" s="117">
        <f>E112+1</f>
        <v>46149</v>
      </c>
      <c r="E116" s="117">
        <f>D116+G116-1</f>
        <v>46204</v>
      </c>
      <c r="F116" s="14"/>
      <c r="G116" s="14">
        <v>56</v>
      </c>
      <c r="H116" s="14"/>
      <c r="I116" s="14"/>
      <c r="J116" s="29"/>
      <c r="K116" s="29"/>
      <c r="L116" s="29"/>
      <c r="M116" s="29"/>
      <c r="N116" s="29"/>
      <c r="O116" s="29"/>
      <c r="P116" s="29"/>
      <c r="Q116" s="29"/>
      <c r="R116" s="29"/>
      <c r="S116" s="29"/>
      <c r="T116" s="29"/>
      <c r="U116" s="29"/>
      <c r="V116" s="29"/>
      <c r="W116" s="29"/>
      <c r="X116" s="29"/>
      <c r="Y116" s="183"/>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29.25" customHeight="1" outlineLevel="1" thickBot="1" x14ac:dyDescent="0.4">
      <c r="A117" s="33"/>
      <c r="B117" s="47" t="s">
        <v>237</v>
      </c>
      <c r="C117" s="42" t="s">
        <v>166</v>
      </c>
      <c r="D117" s="117">
        <f>E113+1</f>
        <v>46170</v>
      </c>
      <c r="E117" s="117">
        <f t="shared" si="598"/>
        <v>46225</v>
      </c>
      <c r="F117" s="14"/>
      <c r="G117" s="14">
        <v>56</v>
      </c>
      <c r="H117" s="14"/>
      <c r="I117" s="14"/>
      <c r="J117" s="29"/>
      <c r="K117" s="29"/>
      <c r="L117" s="29"/>
      <c r="M117" s="29"/>
      <c r="N117" s="29"/>
      <c r="O117" s="29"/>
      <c r="P117" s="29"/>
      <c r="Q117" s="29"/>
      <c r="R117" s="29"/>
      <c r="S117" s="29"/>
      <c r="T117" s="29"/>
      <c r="U117" s="29"/>
      <c r="V117" s="29"/>
      <c r="W117" s="29"/>
      <c r="X117" s="29"/>
      <c r="Y117" s="183"/>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29.25" customHeight="1" outlineLevel="1" thickBot="1" x14ac:dyDescent="0.4">
      <c r="A118" s="33"/>
      <c r="B118" s="147" t="s">
        <v>239</v>
      </c>
      <c r="C118" s="148" t="s">
        <v>188</v>
      </c>
      <c r="D118" s="149">
        <f>E115+1</f>
        <v>46177</v>
      </c>
      <c r="E118" s="149">
        <f t="shared" si="598"/>
        <v>46232</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29.25" customHeight="1" outlineLevel="1" thickBot="1" x14ac:dyDescent="0.4">
      <c r="A119" s="33"/>
      <c r="B119" s="47" t="s">
        <v>238</v>
      </c>
      <c r="C119" s="42" t="s">
        <v>85</v>
      </c>
      <c r="D119" s="117">
        <f t="shared" ref="D119:D124" si="599">E116+1</f>
        <v>46205</v>
      </c>
      <c r="E119" s="117">
        <f t="shared" si="598"/>
        <v>46260</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29.25" customHeight="1" outlineLevel="1" thickBot="1" x14ac:dyDescent="0.4">
      <c r="A120" s="33"/>
      <c r="B120" s="47" t="s">
        <v>237</v>
      </c>
      <c r="C120" s="42" t="s">
        <v>218</v>
      </c>
      <c r="D120" s="117">
        <f t="shared" si="599"/>
        <v>46226</v>
      </c>
      <c r="E120" s="117">
        <f t="shared" si="598"/>
        <v>46281</v>
      </c>
      <c r="F120" s="14"/>
      <c r="G120" s="14">
        <v>56</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29.25" customHeight="1" outlineLevel="1" thickBot="1" x14ac:dyDescent="0.4">
      <c r="A121" s="33" t="s">
        <v>240</v>
      </c>
      <c r="B121" s="147" t="s">
        <v>239</v>
      </c>
      <c r="C121" s="148" t="s">
        <v>188</v>
      </c>
      <c r="D121" s="149">
        <f t="shared" si="599"/>
        <v>46233</v>
      </c>
      <c r="E121" s="149">
        <f t="shared" si="598"/>
        <v>46288</v>
      </c>
      <c r="F121" s="14"/>
      <c r="G121" s="14">
        <v>56</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29.25" customHeight="1" outlineLevel="1" thickBot="1" x14ac:dyDescent="0.4">
      <c r="A122" s="33"/>
      <c r="B122" s="47" t="s">
        <v>238</v>
      </c>
      <c r="C122" s="42" t="s">
        <v>82</v>
      </c>
      <c r="D122" s="117">
        <f t="shared" si="599"/>
        <v>46261</v>
      </c>
      <c r="E122" s="117">
        <f t="shared" si="598"/>
        <v>46316</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29.25" customHeight="1" outlineLevel="1" thickBot="1" x14ac:dyDescent="0.4">
      <c r="A123" s="33"/>
      <c r="B123" s="47" t="s">
        <v>237</v>
      </c>
      <c r="C123" s="42"/>
      <c r="D123" s="117">
        <f t="shared" si="599"/>
        <v>46282</v>
      </c>
      <c r="E123" s="117">
        <f t="shared" si="598"/>
        <v>46337</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29.25" customHeight="1" outlineLevel="1" thickBot="1" x14ac:dyDescent="0.4">
      <c r="A124" s="33"/>
      <c r="B124" s="147" t="s">
        <v>239</v>
      </c>
      <c r="C124" s="148" t="s">
        <v>188</v>
      </c>
      <c r="D124" s="149">
        <f t="shared" si="599"/>
        <v>46289</v>
      </c>
      <c r="E124" s="149">
        <f t="shared" si="598"/>
        <v>46344</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29.25" customHeight="1" outlineLevel="1" thickBot="1" x14ac:dyDescent="0.4">
      <c r="A125" s="33"/>
      <c r="B125" s="180" t="s">
        <v>241</v>
      </c>
      <c r="C125" s="181" t="s">
        <v>187</v>
      </c>
      <c r="D125" s="182">
        <v>46114</v>
      </c>
      <c r="E125" s="182">
        <f t="shared" ref="E125:E127" si="600">D125+G125-1</f>
        <v>46169</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29.25" customHeight="1" outlineLevel="1" thickBot="1" x14ac:dyDescent="0.4">
      <c r="A126" s="33"/>
      <c r="B126" s="180" t="s">
        <v>241</v>
      </c>
      <c r="C126" s="181" t="s">
        <v>187</v>
      </c>
      <c r="D126" s="182">
        <f>E125+1</f>
        <v>46170</v>
      </c>
      <c r="E126" s="182">
        <f t="shared" si="600"/>
        <v>46225</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29.25" customHeight="1" outlineLevel="1" thickBot="1" x14ac:dyDescent="0.4">
      <c r="A127" s="33"/>
      <c r="B127" s="180" t="s">
        <v>241</v>
      </c>
      <c r="C127" s="181" t="s">
        <v>187</v>
      </c>
      <c r="D127" s="182">
        <f t="shared" ref="D127" si="601">E126+1</f>
        <v>46226</v>
      </c>
      <c r="E127" s="182">
        <f t="shared" si="600"/>
        <v>46281</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29.25" customHeight="1" outlineLevel="1" thickBot="1" x14ac:dyDescent="0.4">
      <c r="A128" s="33"/>
      <c r="B128" s="180"/>
      <c r="C128" s="181"/>
      <c r="D128" s="182"/>
      <c r="E128" s="182"/>
      <c r="F128" s="14"/>
      <c r="G128" s="14"/>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29.25" customHeight="1" outlineLevel="1" thickBot="1" x14ac:dyDescent="0.4">
      <c r="A129" s="33"/>
      <c r="B129" s="47"/>
      <c r="C129" s="42"/>
      <c r="D129" s="117"/>
      <c r="E129" s="117"/>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29.25" customHeight="1" outlineLevel="1" thickBot="1" x14ac:dyDescent="0.4">
      <c r="A130" s="33"/>
      <c r="B130" s="47"/>
      <c r="C130" s="42"/>
      <c r="D130" s="117"/>
      <c r="E130" s="117"/>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29.25" customHeight="1" outlineLevel="1" thickBot="1" x14ac:dyDescent="0.4">
      <c r="A131" s="33"/>
      <c r="B131" s="47"/>
      <c r="C131" s="42"/>
      <c r="D131" s="117"/>
      <c r="E131" s="117"/>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29.25" customHeight="1" outlineLevel="1" thickBot="1" x14ac:dyDescent="0.4">
      <c r="A132" s="33"/>
      <c r="B132" s="47"/>
      <c r="C132" s="42"/>
      <c r="D132" s="117"/>
      <c r="E132" s="117"/>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29.25" customHeight="1" outlineLevel="1" thickBot="1" x14ac:dyDescent="0.4">
      <c r="A133" s="33"/>
      <c r="B133" s="24" t="s">
        <v>242</v>
      </c>
      <c r="C133" s="141"/>
      <c r="D133" s="122"/>
      <c r="E133" s="123"/>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29.25" customHeight="1" outlineLevel="1" thickBot="1" x14ac:dyDescent="0.4">
      <c r="A134" s="33"/>
      <c r="B134" s="85" t="s">
        <v>243</v>
      </c>
      <c r="C134" s="102" t="s">
        <v>88</v>
      </c>
      <c r="D134" s="124">
        <v>45754</v>
      </c>
      <c r="E134" s="124">
        <f>D134+G134</f>
        <v>45758</v>
      </c>
      <c r="F134" s="14"/>
      <c r="G134" s="14">
        <v>4</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29.25" customHeight="1" outlineLevel="1" thickBot="1" x14ac:dyDescent="0.4">
      <c r="A135" s="33"/>
      <c r="B135" s="85" t="s">
        <v>244</v>
      </c>
      <c r="C135" s="102" t="s">
        <v>218</v>
      </c>
      <c r="D135" s="124">
        <v>45782</v>
      </c>
      <c r="E135" s="124">
        <f>D135+G135-1</f>
        <v>45793</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29.25" customHeight="1" outlineLevel="1" thickBot="1" x14ac:dyDescent="0.4">
      <c r="A136" s="33"/>
      <c r="B136" s="85" t="s">
        <v>245</v>
      </c>
      <c r="C136" s="102" t="s">
        <v>85</v>
      </c>
      <c r="D136" s="124">
        <f>D135+35</f>
        <v>45817</v>
      </c>
      <c r="E136" s="124">
        <f t="shared" ref="E136:E145" si="602">D136+G136-1</f>
        <v>45828</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29.25" customHeight="1" outlineLevel="1" thickBot="1" x14ac:dyDescent="0.4">
      <c r="A137" s="33"/>
      <c r="B137" s="85" t="s">
        <v>244</v>
      </c>
      <c r="C137" s="102" t="s">
        <v>35</v>
      </c>
      <c r="D137" s="124">
        <f t="shared" ref="D137" si="603">D136+35</f>
        <v>45852</v>
      </c>
      <c r="E137" s="124">
        <f t="shared" si="602"/>
        <v>45863</v>
      </c>
      <c r="F137" s="14"/>
      <c r="G137" s="14">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29.25" customHeight="1" outlineLevel="1" thickBot="1" x14ac:dyDescent="0.4">
      <c r="A138" s="33"/>
      <c r="B138" s="85" t="s">
        <v>244</v>
      </c>
      <c r="C138" s="102" t="s">
        <v>157</v>
      </c>
      <c r="D138" s="124">
        <v>45852</v>
      </c>
      <c r="E138" s="124">
        <f t="shared" si="602"/>
        <v>45856</v>
      </c>
      <c r="F138" s="14"/>
      <c r="G138" s="14">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29.25" customHeight="1" outlineLevel="1" thickBot="1" x14ac:dyDescent="0.4">
      <c r="A139" s="33"/>
      <c r="B139" s="85" t="s">
        <v>244</v>
      </c>
      <c r="C139" s="102" t="s">
        <v>160</v>
      </c>
      <c r="D139" s="124">
        <v>45859</v>
      </c>
      <c r="E139" s="124">
        <f t="shared" si="602"/>
        <v>45863</v>
      </c>
      <c r="F139" s="14"/>
      <c r="G139" s="14">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29.25" customHeight="1" outlineLevel="1" thickBot="1" x14ac:dyDescent="0.4">
      <c r="A140" s="33"/>
      <c r="B140" s="85" t="s">
        <v>245</v>
      </c>
      <c r="C140" s="102" t="s">
        <v>79</v>
      </c>
      <c r="D140" s="124">
        <v>45894</v>
      </c>
      <c r="E140" s="124">
        <f t="shared" si="602"/>
        <v>45905</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29.25" customHeight="1" outlineLevel="1" thickBot="1" x14ac:dyDescent="0.4">
      <c r="A141" s="33"/>
      <c r="B141" s="85" t="s">
        <v>245</v>
      </c>
      <c r="C141" s="102" t="s">
        <v>142</v>
      </c>
      <c r="D141" s="124">
        <v>45901</v>
      </c>
      <c r="E141" s="124">
        <f t="shared" si="602"/>
        <v>45905</v>
      </c>
      <c r="F141" s="14"/>
      <c r="G141" s="14">
        <v>5</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29.25" customHeight="1" outlineLevel="1" thickBot="1" x14ac:dyDescent="0.4">
      <c r="A142" s="33"/>
      <c r="B142" s="85" t="s">
        <v>246</v>
      </c>
      <c r="C142" s="102" t="s">
        <v>21</v>
      </c>
      <c r="D142" s="124">
        <v>45894</v>
      </c>
      <c r="E142" s="124">
        <f t="shared" si="602"/>
        <v>45898</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29.25" customHeight="1" outlineLevel="1" thickBot="1" x14ac:dyDescent="0.4">
      <c r="A143" s="33"/>
      <c r="B143" s="85" t="s">
        <v>245</v>
      </c>
      <c r="C143" s="102" t="s">
        <v>100</v>
      </c>
      <c r="D143" s="124">
        <v>45929</v>
      </c>
      <c r="E143" s="124">
        <f t="shared" si="602"/>
        <v>45940</v>
      </c>
      <c r="F143" s="14"/>
      <c r="G143" s="14">
        <v>12</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29.25" customHeight="1" outlineLevel="1" thickBot="1" x14ac:dyDescent="0.4">
      <c r="A144" s="33"/>
      <c r="B144" s="85" t="s">
        <v>246</v>
      </c>
      <c r="C144" s="102" t="s">
        <v>26</v>
      </c>
      <c r="D144" s="124">
        <v>45929</v>
      </c>
      <c r="E144" s="124">
        <f t="shared" si="602"/>
        <v>45933</v>
      </c>
      <c r="F144" s="14"/>
      <c r="G144" s="14">
        <v>5</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29.25" customHeight="1" outlineLevel="1" thickBot="1" x14ac:dyDescent="0.4">
      <c r="A145" s="33"/>
      <c r="B145" s="85" t="s">
        <v>244</v>
      </c>
      <c r="C145" s="102" t="s">
        <v>154</v>
      </c>
      <c r="D145" s="124">
        <v>45936</v>
      </c>
      <c r="E145" s="124">
        <f t="shared" si="602"/>
        <v>45940</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29.25" customHeight="1" outlineLevel="1" thickBot="1" x14ac:dyDescent="0.4">
      <c r="A146" s="33"/>
      <c r="B146" s="150" t="s">
        <v>244</v>
      </c>
      <c r="C146" s="151"/>
      <c r="D146" s="152">
        <v>45964</v>
      </c>
      <c r="E146" s="152">
        <f t="shared" ref="E146:E150" si="604">D146+G146-1</f>
        <v>45975</v>
      </c>
      <c r="F146" s="153"/>
      <c r="G146" s="153">
        <v>12</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29.25" customHeight="1" outlineLevel="1" thickBot="1" x14ac:dyDescent="0.4">
      <c r="A147" s="33"/>
      <c r="B147" s="150" t="s">
        <v>246</v>
      </c>
      <c r="C147" s="151"/>
      <c r="D147" s="152">
        <v>45964</v>
      </c>
      <c r="E147" s="152">
        <f t="shared" si="604"/>
        <v>45975</v>
      </c>
      <c r="F147" s="153"/>
      <c r="G147" s="153">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29.25" customHeight="1" outlineLevel="1" thickBot="1" x14ac:dyDescent="0.4">
      <c r="A148" s="33"/>
      <c r="B148" s="150" t="s">
        <v>245</v>
      </c>
      <c r="C148" s="151"/>
      <c r="D148" s="152">
        <v>45957</v>
      </c>
      <c r="E148" s="152">
        <f t="shared" si="604"/>
        <v>45961</v>
      </c>
      <c r="F148" s="153"/>
      <c r="G148" s="153">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29.25" customHeight="1" outlineLevel="1" thickBot="1" x14ac:dyDescent="0.4">
      <c r="A149" s="33"/>
      <c r="B149" s="150" t="s">
        <v>244</v>
      </c>
      <c r="C149" s="151"/>
      <c r="D149" s="152">
        <v>45964</v>
      </c>
      <c r="E149" s="152">
        <f t="shared" si="604"/>
        <v>45968</v>
      </c>
      <c r="F149" s="153"/>
      <c r="G149" s="153">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29.25" customHeight="1" outlineLevel="1" thickBot="1" x14ac:dyDescent="0.4">
      <c r="A150" s="33"/>
      <c r="B150" s="150" t="s">
        <v>244</v>
      </c>
      <c r="C150" s="151"/>
      <c r="D150" s="152">
        <v>45971</v>
      </c>
      <c r="E150" s="152">
        <f t="shared" si="604"/>
        <v>45975</v>
      </c>
      <c r="F150" s="153"/>
      <c r="G150" s="153">
        <v>5</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29.25" customHeight="1" outlineLevel="1" thickBot="1" x14ac:dyDescent="0.4">
      <c r="A151" s="33"/>
      <c r="B151" s="85"/>
      <c r="C151" s="102"/>
      <c r="D151" s="124"/>
      <c r="E151" s="124"/>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29.25" customHeight="1" outlineLevel="1" thickBot="1" x14ac:dyDescent="0.4">
      <c r="A152" s="33"/>
      <c r="B152" s="85"/>
      <c r="C152" s="102"/>
      <c r="D152" s="124"/>
      <c r="E152" s="124"/>
      <c r="F152" s="14"/>
      <c r="G152" s="14"/>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29.25" customHeight="1" outlineLevel="1" thickBot="1" x14ac:dyDescent="0.4">
      <c r="A153" s="33"/>
      <c r="B153" s="83" t="s">
        <v>247</v>
      </c>
      <c r="C153" s="142"/>
      <c r="D153" s="125"/>
      <c r="E153" s="126"/>
      <c r="F153" s="14"/>
      <c r="G153" s="14" t="str">
        <f t="shared" si="586"/>
        <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29.25" customHeight="1" outlineLevel="1" thickBot="1" x14ac:dyDescent="0.4">
      <c r="A154" s="33" t="s">
        <v>221</v>
      </c>
      <c r="B154" s="84" t="s">
        <v>228</v>
      </c>
      <c r="C154" s="143" t="s">
        <v>248</v>
      </c>
      <c r="D154" s="118">
        <v>45769</v>
      </c>
      <c r="E154" s="118">
        <v>45856</v>
      </c>
      <c r="F154" s="14"/>
      <c r="G154" s="14">
        <v>87</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29.25" customHeight="1" outlineLevel="1" thickBot="1" x14ac:dyDescent="0.4">
      <c r="A155" s="33"/>
      <c r="B155" s="86" t="s">
        <v>231</v>
      </c>
      <c r="C155" s="143" t="s">
        <v>249</v>
      </c>
      <c r="D155" s="118">
        <v>45838</v>
      </c>
      <c r="E155" s="118">
        <v>45884</v>
      </c>
      <c r="F155" s="14"/>
      <c r="G155" s="14">
        <v>46</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29.25" customHeight="1" outlineLevel="1" thickBot="1" x14ac:dyDescent="0.4">
      <c r="A156" s="33"/>
      <c r="B156" s="218" t="s">
        <v>250</v>
      </c>
      <c r="C156" s="218"/>
      <c r="D156" s="218"/>
      <c r="E156" s="218"/>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29.25" customHeight="1" outlineLevel="1" thickBot="1" x14ac:dyDescent="0.4">
      <c r="A157" s="33"/>
      <c r="B157" s="163" t="s">
        <v>228</v>
      </c>
      <c r="C157" s="164" t="s">
        <v>251</v>
      </c>
      <c r="D157" s="165">
        <v>45971</v>
      </c>
      <c r="E157" s="165">
        <v>45996</v>
      </c>
      <c r="F157" s="14"/>
      <c r="G157" s="14">
        <f>E157-D157</f>
        <v>25</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29.25" customHeight="1" outlineLevel="1" thickBot="1" x14ac:dyDescent="0.4">
      <c r="A158" s="33"/>
      <c r="B158" s="87" t="s">
        <v>252</v>
      </c>
      <c r="C158" s="41" t="s">
        <v>248</v>
      </c>
      <c r="D158" s="127">
        <v>46034</v>
      </c>
      <c r="E158" s="127">
        <f>D158+53</f>
        <v>46087</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29.25" customHeight="1" outlineLevel="1" thickBot="1" x14ac:dyDescent="0.4">
      <c r="A159" s="33"/>
      <c r="B159" s="87" t="s">
        <v>231</v>
      </c>
      <c r="C159" s="41" t="s">
        <v>253</v>
      </c>
      <c r="D159" s="127">
        <v>46097</v>
      </c>
      <c r="E159" s="127">
        <f>D159+53</f>
        <v>46150</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29.25" customHeight="1" outlineLevel="1" thickBot="1" x14ac:dyDescent="0.4">
      <c r="A160" s="33"/>
      <c r="B160" s="87" t="s">
        <v>232</v>
      </c>
      <c r="C160" s="41" t="s">
        <v>254</v>
      </c>
      <c r="D160" s="127">
        <v>46160</v>
      </c>
      <c r="E160" s="127">
        <f>D160+53</f>
        <v>46213</v>
      </c>
      <c r="F160" s="14"/>
      <c r="G160" s="14">
        <f>E160-D160</f>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29.25" customHeight="1" outlineLevel="1" thickBot="1" x14ac:dyDescent="0.4">
      <c r="A161" s="33"/>
      <c r="B161" s="217" t="s">
        <v>255</v>
      </c>
      <c r="C161" s="217"/>
      <c r="D161" s="217"/>
      <c r="E161" s="217"/>
      <c r="F161" s="14"/>
      <c r="G161" s="14"/>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29.25" customHeight="1" thickBot="1" x14ac:dyDescent="0.4">
      <c r="A162" s="33"/>
      <c r="B162" s="212" t="s">
        <v>256</v>
      </c>
      <c r="C162" s="212"/>
      <c r="D162" s="212"/>
      <c r="E162" s="212"/>
      <c r="F162" s="14"/>
      <c r="G162" s="14" t="str">
        <f t="shared" si="586"/>
        <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29.25" customHeight="1" outlineLevel="1" thickBot="1" x14ac:dyDescent="0.4">
      <c r="A163" s="34" t="s">
        <v>213</v>
      </c>
      <c r="B163" s="47" t="s">
        <v>257</v>
      </c>
      <c r="C163" s="42" t="s">
        <v>103</v>
      </c>
      <c r="D163" s="117">
        <v>45964</v>
      </c>
      <c r="E163" s="117">
        <f t="shared" ref="E163:E169" si="605">D163+G163</f>
        <v>46050</v>
      </c>
      <c r="F163" s="14"/>
      <c r="G163" s="14">
        <v>86</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29.25" hidden="1" customHeight="1" outlineLevel="1" thickBot="1" x14ac:dyDescent="0.4">
      <c r="A164" s="33"/>
      <c r="B164" s="47" t="s">
        <v>258</v>
      </c>
      <c r="C164" s="42" t="s">
        <v>117</v>
      </c>
      <c r="D164" s="117">
        <v>46035</v>
      </c>
      <c r="E164" s="117">
        <f t="shared" si="605"/>
        <v>46121</v>
      </c>
      <c r="F164" s="14"/>
      <c r="G164" s="14">
        <v>86</v>
      </c>
      <c r="H164" s="29"/>
      <c r="I164" s="29"/>
      <c r="J164" s="29"/>
      <c r="K164" s="29"/>
      <c r="L164" s="29"/>
      <c r="M164" s="29"/>
      <c r="N164" s="29"/>
      <c r="O164" s="29"/>
      <c r="P164" s="29"/>
      <c r="Q164" s="29"/>
      <c r="R164" s="29"/>
      <c r="S164" s="29"/>
      <c r="T164" s="29"/>
      <c r="U164" s="30"/>
      <c r="V164" s="30"/>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29.25" customHeight="1" outlineLevel="1" thickBot="1" x14ac:dyDescent="0.4">
      <c r="A165" s="33"/>
      <c r="B165" s="47" t="s">
        <v>257</v>
      </c>
      <c r="C165" s="42" t="s">
        <v>106</v>
      </c>
      <c r="D165" s="117">
        <v>46058</v>
      </c>
      <c r="E165" s="117">
        <f t="shared" si="605"/>
        <v>46114</v>
      </c>
      <c r="F165" s="14"/>
      <c r="G165" s="14">
        <v>56</v>
      </c>
      <c r="H165" s="29"/>
      <c r="I165" s="29"/>
      <c r="J165" s="29"/>
      <c r="K165" s="29"/>
      <c r="L165" s="29"/>
      <c r="M165" s="29"/>
      <c r="N165" s="29"/>
      <c r="O165" s="29"/>
      <c r="P165" s="29"/>
      <c r="Q165" s="29"/>
      <c r="R165" s="29"/>
      <c r="S165" s="29"/>
      <c r="T165" s="29"/>
      <c r="U165" s="29"/>
      <c r="V165" s="29"/>
      <c r="W165" s="29"/>
      <c r="X165" s="29"/>
      <c r="Y165" s="30"/>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29.25" customHeight="1" outlineLevel="1" thickBot="1" x14ac:dyDescent="0.4">
      <c r="A166" s="33"/>
      <c r="B166" s="47" t="s">
        <v>258</v>
      </c>
      <c r="C166" s="42"/>
      <c r="D166" s="117">
        <f>E164</f>
        <v>46121</v>
      </c>
      <c r="E166" s="117">
        <f t="shared" si="605"/>
        <v>46177</v>
      </c>
      <c r="F166" s="14"/>
      <c r="G166" s="14">
        <v>56</v>
      </c>
      <c r="H166" s="29"/>
      <c r="I166" s="29"/>
      <c r="J166" s="29"/>
      <c r="K166" s="29"/>
      <c r="L166" s="29"/>
      <c r="M166" s="29"/>
      <c r="N166" s="29"/>
      <c r="O166" s="29"/>
      <c r="P166" s="29"/>
      <c r="Q166" s="29"/>
      <c r="R166" s="29"/>
      <c r="S166" s="29"/>
      <c r="T166" s="29"/>
      <c r="U166" s="29"/>
      <c r="V166" s="29"/>
      <c r="W166" s="29"/>
      <c r="X166" s="29"/>
      <c r="Y166" s="30"/>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29.25" customHeight="1" outlineLevel="1" thickBot="1" x14ac:dyDescent="0.4">
      <c r="A167" s="33"/>
      <c r="B167" s="147" t="s">
        <v>239</v>
      </c>
      <c r="C167" s="148" t="s">
        <v>284</v>
      </c>
      <c r="D167" s="149">
        <v>46121</v>
      </c>
      <c r="E167" s="149">
        <f t="shared" ref="E167" si="606">D167+G167-1</f>
        <v>46176</v>
      </c>
      <c r="F167" s="14"/>
      <c r="G167" s="14">
        <v>56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29.25" customHeight="1" outlineLevel="1" thickBot="1" x14ac:dyDescent="0.4">
      <c r="A168" s="33"/>
      <c r="B168" s="47" t="s">
        <v>257</v>
      </c>
      <c r="C168" s="42"/>
      <c r="D168" s="117">
        <f>E165</f>
        <v>46114</v>
      </c>
      <c r="E168" s="117">
        <f t="shared" si="605"/>
        <v>46170</v>
      </c>
      <c r="F168" s="14"/>
      <c r="G168" s="14">
        <v>56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29.25" customHeight="1" outlineLevel="1" thickBot="1" x14ac:dyDescent="0.4">
      <c r="A169" s="33"/>
      <c r="B169" s="47" t="s">
        <v>258</v>
      </c>
      <c r="C169" s="42"/>
      <c r="D169" s="117">
        <f t="shared" ref="D169" si="607">D166+60</f>
        <v>46181</v>
      </c>
      <c r="E169" s="117">
        <f t="shared" si="605"/>
        <v>46237</v>
      </c>
      <c r="F169" s="14"/>
      <c r="G169" s="14">
        <v>56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29.25" customHeight="1" outlineLevel="1" thickBot="1" x14ac:dyDescent="0.4">
      <c r="A170" s="33"/>
      <c r="B170" s="83" t="s">
        <v>259</v>
      </c>
      <c r="C170" s="142"/>
      <c r="D170" s="125"/>
      <c r="E170" s="126"/>
      <c r="F170" s="14"/>
      <c r="G170" s="14" t="str">
        <f t="shared" si="586"/>
        <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29.25" customHeight="1" outlineLevel="1" thickBot="1" x14ac:dyDescent="0.4">
      <c r="A171" s="33" t="s">
        <v>221</v>
      </c>
      <c r="B171" s="84" t="s">
        <v>257</v>
      </c>
      <c r="C171" s="138" t="s">
        <v>61</v>
      </c>
      <c r="D171" s="118">
        <f>E171-G171</f>
        <v>45853</v>
      </c>
      <c r="E171" s="118">
        <v>45898</v>
      </c>
      <c r="F171" s="14"/>
      <c r="G171" s="14">
        <v>45</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29.25" customHeight="1" outlineLevel="1" thickBot="1" x14ac:dyDescent="0.4">
      <c r="A172" s="33"/>
      <c r="B172" s="21" t="s">
        <v>260</v>
      </c>
      <c r="C172" s="144"/>
      <c r="D172" s="128"/>
      <c r="E172" s="129"/>
      <c r="F172" s="14"/>
      <c r="G172" s="14"/>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29.25" customHeight="1" outlineLevel="1" thickBot="1" x14ac:dyDescent="0.4">
      <c r="A173" s="33"/>
      <c r="B173" s="82" t="s">
        <v>232</v>
      </c>
      <c r="C173" s="139" t="s">
        <v>261</v>
      </c>
      <c r="D173" s="120">
        <v>45735</v>
      </c>
      <c r="E173" s="120">
        <v>45814</v>
      </c>
      <c r="F173" s="14"/>
      <c r="G173" s="14">
        <v>79</v>
      </c>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29.25" customHeight="1" outlineLevel="1" thickBot="1" x14ac:dyDescent="0.4">
      <c r="A174" s="33"/>
      <c r="B174" s="82" t="s">
        <v>232</v>
      </c>
      <c r="C174" s="139" t="s">
        <v>254</v>
      </c>
      <c r="D174" s="120">
        <v>45817</v>
      </c>
      <c r="E174" s="120">
        <v>45870</v>
      </c>
      <c r="F174" s="14"/>
      <c r="G174" s="14">
        <v>53</v>
      </c>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29.25" customHeight="1" outlineLevel="1" thickBot="1" x14ac:dyDescent="0.4">
      <c r="A175" s="33"/>
      <c r="B175" s="82" t="s">
        <v>228</v>
      </c>
      <c r="C175" s="139" t="s">
        <v>262</v>
      </c>
      <c r="D175" s="120">
        <v>45873</v>
      </c>
      <c r="E175" s="120">
        <v>45898</v>
      </c>
      <c r="F175" s="14"/>
      <c r="G175" s="14">
        <v>25</v>
      </c>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29.25" customHeight="1" outlineLevel="1" thickBot="1" x14ac:dyDescent="0.4">
      <c r="A176" s="33"/>
      <c r="B176" s="82"/>
      <c r="C176" s="139"/>
      <c r="D176" s="120"/>
      <c r="E176" s="120"/>
      <c r="F176" s="14"/>
      <c r="G176" s="14">
        <v>25</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29.25" customHeight="1" outlineLevel="1" thickBot="1" x14ac:dyDescent="0.4">
      <c r="A177" s="33"/>
      <c r="B177" s="103" t="s">
        <v>263</v>
      </c>
      <c r="C177" s="108"/>
      <c r="D177" s="130"/>
      <c r="E177" s="131"/>
      <c r="F177" s="104" t="s">
        <v>264</v>
      </c>
      <c r="G177" s="104" t="s">
        <v>264</v>
      </c>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29.25" customHeight="1" outlineLevel="1" thickBot="1" x14ac:dyDescent="0.4">
      <c r="A178" s="33"/>
      <c r="B178" s="105" t="s">
        <v>231</v>
      </c>
      <c r="C178" s="145" t="s">
        <v>265</v>
      </c>
      <c r="D178" s="109">
        <v>45818</v>
      </c>
      <c r="E178" s="109">
        <v>45870</v>
      </c>
      <c r="F178" s="106" t="s">
        <v>264</v>
      </c>
      <c r="G178" s="106">
        <v>52</v>
      </c>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29.25" customHeight="1" outlineLevel="1" thickBot="1" x14ac:dyDescent="0.4">
      <c r="A179" s="33"/>
      <c r="B179" s="105" t="s">
        <v>231</v>
      </c>
      <c r="C179" s="145" t="s">
        <v>226</v>
      </c>
      <c r="D179" s="109">
        <v>45873</v>
      </c>
      <c r="E179" s="109">
        <v>45929</v>
      </c>
      <c r="F179" s="106" t="s">
        <v>264</v>
      </c>
      <c r="G179" s="106">
        <v>56</v>
      </c>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29.25" customHeight="1" outlineLevel="1" thickBot="1" x14ac:dyDescent="0.4">
      <c r="A180" s="33"/>
      <c r="B180" s="24" t="s">
        <v>266</v>
      </c>
      <c r="C180" s="141"/>
      <c r="D180" s="122"/>
      <c r="E180" s="123"/>
      <c r="F180" s="14"/>
      <c r="G180" s="14"/>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29.25" customHeight="1" outlineLevel="1" thickBot="1" x14ac:dyDescent="0.4">
      <c r="A181" s="33"/>
      <c r="B181" s="85" t="s">
        <v>228</v>
      </c>
      <c r="C181" s="146" t="s">
        <v>251</v>
      </c>
      <c r="D181" s="124">
        <f>E157+3</f>
        <v>45999</v>
      </c>
      <c r="E181" s="124">
        <v>46028</v>
      </c>
      <c r="F181" s="14"/>
      <c r="G181" s="14">
        <f>E181-D181</f>
        <v>29</v>
      </c>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29.25" customHeight="1" outlineLevel="1" thickBot="1" x14ac:dyDescent="0.4">
      <c r="A182" s="33"/>
      <c r="B182" s="85" t="s">
        <v>232</v>
      </c>
      <c r="C182" s="146" t="s">
        <v>261</v>
      </c>
      <c r="D182" s="124">
        <v>46048</v>
      </c>
      <c r="E182" s="124">
        <f>D182+53</f>
        <v>46101</v>
      </c>
      <c r="F182" s="14"/>
      <c r="G182" s="14">
        <f>E182-D182</f>
        <v>53</v>
      </c>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29.25" customHeight="1" outlineLevel="1" thickBot="1" x14ac:dyDescent="0.4">
      <c r="A183" s="33"/>
      <c r="B183" s="85" t="s">
        <v>228</v>
      </c>
      <c r="C183" s="146" t="s">
        <v>267</v>
      </c>
      <c r="D183" s="124">
        <v>46090</v>
      </c>
      <c r="E183" s="124">
        <f>D183+53</f>
        <v>46143</v>
      </c>
      <c r="F183" s="14"/>
      <c r="G183" s="14">
        <f>E183-D183</f>
        <v>53</v>
      </c>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29.25" customHeight="1" outlineLevel="1" thickBot="1" x14ac:dyDescent="0.4">
      <c r="A184" s="33"/>
      <c r="B184" s="85" t="s">
        <v>231</v>
      </c>
      <c r="C184" s="146" t="s">
        <v>265</v>
      </c>
      <c r="D184" s="124">
        <v>46153</v>
      </c>
      <c r="E184" s="124">
        <f>D184+53</f>
        <v>46206</v>
      </c>
      <c r="F184" s="14"/>
      <c r="G184" s="14">
        <f>E184-D184</f>
        <v>53</v>
      </c>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29.25" customHeight="1" outlineLevel="1" thickBot="1" x14ac:dyDescent="0.4">
      <c r="A185" s="33"/>
      <c r="B185" s="85"/>
      <c r="C185" s="146"/>
      <c r="D185" s="124"/>
      <c r="E185" s="124">
        <f>D185+G185</f>
        <v>0</v>
      </c>
      <c r="F185" s="14"/>
      <c r="G185" s="14"/>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29.25" customHeight="1" outlineLevel="1" thickBot="1" x14ac:dyDescent="0.4">
      <c r="A186" s="33"/>
      <c r="B186" s="85"/>
      <c r="C186" s="146"/>
      <c r="D186" s="124"/>
      <c r="E186" s="124"/>
      <c r="F186" s="14"/>
      <c r="G186" s="14"/>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29.25" customHeight="1" outlineLevel="1" thickBot="1" x14ac:dyDescent="0.4">
      <c r="A187" s="33"/>
      <c r="B187" s="85"/>
      <c r="C187" s="146"/>
      <c r="D187" s="124"/>
      <c r="E187" s="124"/>
      <c r="F187" s="14"/>
      <c r="G187" s="14"/>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29.25" customHeight="1" outlineLevel="1" thickBot="1" x14ac:dyDescent="0.4">
      <c r="A188" s="33"/>
      <c r="B188" s="49"/>
      <c r="C188" s="45"/>
      <c r="D188" s="132"/>
      <c r="E188" s="132"/>
      <c r="F188" s="14"/>
      <c r="G188" s="14">
        <v>111</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29.25" customHeight="1" thickBot="1" x14ac:dyDescent="0.4">
      <c r="A189" s="33" t="s">
        <v>268</v>
      </c>
      <c r="B189" s="25" t="s">
        <v>270</v>
      </c>
      <c r="C189" s="26"/>
      <c r="D189" s="133"/>
      <c r="E189" s="134"/>
      <c r="F189" s="28"/>
      <c r="G189" s="28" t="str">
        <f t="shared" si="586"/>
        <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29.25" customHeight="1" thickBot="1" x14ac:dyDescent="0.4">
      <c r="A190" s="34" t="s">
        <v>269</v>
      </c>
      <c r="B190"/>
      <c r="C190" s="5"/>
      <c r="D190" s="111"/>
      <c r="E190" s="111"/>
      <c r="F190"/>
      <c r="G190"/>
      <c r="H190" s="31"/>
      <c r="I190" s="31"/>
      <c r="J190" s="31"/>
      <c r="K190" s="31"/>
      <c r="L190" s="31"/>
      <c r="M190" s="31"/>
      <c r="N190" s="31"/>
      <c r="O190" s="31"/>
      <c r="P190" s="31"/>
      <c r="Q190" s="31"/>
      <c r="R190" s="31"/>
      <c r="S190" s="31"/>
      <c r="T190" s="31"/>
      <c r="U190" s="31"/>
      <c r="V190" s="31"/>
      <c r="W190" s="31"/>
      <c r="X190" s="31"/>
      <c r="Y190" s="31"/>
      <c r="Z190" s="31"/>
      <c r="AA190" s="31"/>
      <c r="AB190" s="31"/>
      <c r="AC190" s="31"/>
      <c r="AD190" s="31"/>
      <c r="AE190" s="31"/>
      <c r="AF190" s="31"/>
      <c r="AG190" s="31"/>
      <c r="AH190" s="31"/>
      <c r="AI190" s="31"/>
      <c r="AJ190" s="31"/>
      <c r="AK190" s="31"/>
      <c r="AL190" s="31"/>
      <c r="AM190" s="31"/>
      <c r="AN190" s="31"/>
      <c r="AO190" s="31"/>
      <c r="AP190" s="31"/>
      <c r="AQ190" s="31"/>
      <c r="AR190" s="31"/>
      <c r="AS190" s="31"/>
      <c r="AT190" s="31"/>
      <c r="AU190" s="31"/>
      <c r="AV190" s="31"/>
      <c r="AW190" s="31"/>
      <c r="AX190" s="31"/>
      <c r="AY190" s="31"/>
      <c r="AZ190" s="31"/>
      <c r="BA190" s="31"/>
      <c r="BB190" s="31"/>
      <c r="BC190" s="31"/>
      <c r="BD190" s="31"/>
      <c r="BE190" s="31"/>
      <c r="BF190" s="31"/>
      <c r="BG190" s="31"/>
      <c r="BH190" s="31"/>
      <c r="BI190" s="31"/>
      <c r="BJ190" s="31"/>
      <c r="BK190" s="31"/>
      <c r="BL190" s="31"/>
      <c r="BM190" s="31"/>
      <c r="BN190" s="31"/>
      <c r="BO190" s="31"/>
      <c r="BP190" s="31"/>
      <c r="BQ190" s="31"/>
      <c r="BR190" s="31"/>
      <c r="BS190" s="31"/>
      <c r="BT190" s="31"/>
      <c r="BU190" s="31"/>
      <c r="BV190" s="31"/>
      <c r="BW190" s="31"/>
      <c r="BX190" s="31"/>
      <c r="BY190" s="31"/>
      <c r="BZ190" s="31"/>
      <c r="CA190" s="31"/>
      <c r="CB190" s="31"/>
      <c r="CC190" s="31"/>
      <c r="CD190" s="31"/>
      <c r="CE190" s="31"/>
      <c r="CF190" s="31"/>
      <c r="CG190" s="31"/>
      <c r="CH190" s="31"/>
      <c r="CI190" s="31"/>
      <c r="CJ190" s="31"/>
      <c r="CK190" s="31"/>
      <c r="CL190" s="31"/>
      <c r="CM190" s="31"/>
      <c r="CN190" s="31"/>
      <c r="CO190" s="31"/>
      <c r="CP190" s="31"/>
      <c r="CQ190" s="31"/>
      <c r="CR190" s="31"/>
      <c r="CS190" s="31"/>
      <c r="CT190" s="31"/>
      <c r="CU190" s="31"/>
      <c r="CV190" s="31"/>
      <c r="CW190" s="31"/>
      <c r="CX190" s="31"/>
      <c r="CY190" s="31"/>
      <c r="CZ190" s="31"/>
      <c r="DA190" s="31"/>
      <c r="DB190" s="31"/>
      <c r="DC190" s="31"/>
      <c r="DD190" s="31"/>
      <c r="DE190" s="31"/>
      <c r="DF190" s="31"/>
      <c r="DG190" s="31"/>
      <c r="DH190" s="31"/>
      <c r="DI190" s="31"/>
      <c r="DJ190" s="31"/>
      <c r="DK190" s="31"/>
      <c r="DL190" s="31"/>
      <c r="DM190" s="31"/>
      <c r="DN190" s="31"/>
      <c r="DO190" s="31"/>
      <c r="DP190" s="31"/>
      <c r="DQ190" s="31"/>
      <c r="DR190" s="31"/>
      <c r="DS190" s="31"/>
      <c r="DT190" s="31"/>
      <c r="DU190" s="31"/>
      <c r="DV190" s="31"/>
      <c r="DW190" s="31"/>
      <c r="DX190" s="31"/>
      <c r="DY190" s="31"/>
      <c r="DZ190" s="31"/>
      <c r="EA190" s="31"/>
      <c r="EB190" s="31"/>
      <c r="EC190" s="31"/>
      <c r="ED190" s="31"/>
      <c r="EE190" s="31"/>
      <c r="EF190" s="31"/>
      <c r="EG190" s="31"/>
      <c r="EH190" s="31"/>
      <c r="EI190" s="31"/>
      <c r="EJ190" s="31"/>
      <c r="EK190" s="31"/>
      <c r="EL190" s="31"/>
      <c r="EM190" s="31"/>
      <c r="EN190" s="31"/>
      <c r="EO190" s="31"/>
      <c r="EP190" s="31"/>
      <c r="EQ190" s="31"/>
      <c r="ER190" s="31"/>
      <c r="ES190" s="31"/>
      <c r="ET190" s="31"/>
      <c r="EU190" s="31"/>
      <c r="EV190" s="31"/>
      <c r="EW190" s="31"/>
      <c r="EX190" s="31"/>
      <c r="EY190" s="31"/>
      <c r="EZ190" s="31"/>
      <c r="FA190" s="31"/>
      <c r="FB190" s="31"/>
      <c r="FC190" s="31"/>
      <c r="FD190" s="31"/>
      <c r="FE190" s="31"/>
      <c r="FF190" s="31"/>
      <c r="FG190" s="31"/>
      <c r="FH190" s="31"/>
      <c r="FI190" s="31"/>
      <c r="FJ190" s="31"/>
      <c r="FK190" s="31"/>
      <c r="FL190" s="31"/>
      <c r="FM190" s="31"/>
      <c r="FN190" s="31"/>
      <c r="FO190" s="31"/>
      <c r="FP190" s="31"/>
      <c r="FQ190" s="31"/>
      <c r="FR190" s="31"/>
      <c r="FS190" s="31"/>
      <c r="FT190" s="31"/>
      <c r="FU190" s="31"/>
      <c r="FV190" s="31"/>
      <c r="FW190" s="31"/>
      <c r="FX190" s="31"/>
      <c r="FY190" s="31"/>
      <c r="FZ190" s="31"/>
      <c r="GA190" s="31"/>
      <c r="GB190" s="31"/>
      <c r="GC190" s="31"/>
      <c r="GD190" s="31"/>
      <c r="GE190" s="31"/>
      <c r="GF190" s="31"/>
      <c r="GG190" s="31"/>
      <c r="GH190" s="31"/>
      <c r="GI190" s="31"/>
      <c r="GJ190" s="31"/>
      <c r="GK190" s="31"/>
      <c r="GL190" s="31"/>
      <c r="GM190" s="31"/>
      <c r="GN190" s="31"/>
      <c r="GO190" s="31"/>
      <c r="GP190" s="31"/>
      <c r="GQ190" s="31"/>
      <c r="GR190" s="31"/>
      <c r="GS190" s="31"/>
      <c r="GT190" s="31"/>
      <c r="GU190" s="31"/>
      <c r="GV190" s="31"/>
      <c r="GW190" s="31"/>
      <c r="GX190" s="31"/>
      <c r="GY190" s="31"/>
      <c r="GZ190" s="31"/>
      <c r="HA190" s="31"/>
      <c r="HB190" s="31"/>
      <c r="HC190" s="31"/>
      <c r="HD190" s="31"/>
      <c r="HE190" s="31"/>
      <c r="HF190" s="31"/>
      <c r="HG190" s="31"/>
      <c r="HH190" s="31"/>
      <c r="HI190" s="31"/>
      <c r="HJ190" s="31"/>
      <c r="HK190" s="31"/>
      <c r="HL190" s="31"/>
      <c r="HM190" s="31"/>
      <c r="HN190" s="31"/>
      <c r="HO190" s="31"/>
      <c r="HP190" s="31"/>
      <c r="HQ190" s="31"/>
      <c r="HR190" s="31"/>
      <c r="HS190" s="31"/>
      <c r="HT190" s="31"/>
      <c r="HU190" s="31"/>
      <c r="HV190" s="31"/>
      <c r="HW190" s="31"/>
      <c r="HX190" s="31"/>
      <c r="HY190" s="31"/>
      <c r="HZ190" s="31"/>
      <c r="IA190" s="31"/>
      <c r="IB190" s="31"/>
      <c r="IC190" s="31"/>
      <c r="ID190" s="31"/>
      <c r="IE190" s="31"/>
      <c r="IF190" s="31"/>
      <c r="IG190" s="31"/>
      <c r="IH190" s="31"/>
      <c r="II190" s="31"/>
      <c r="IJ190" s="31"/>
      <c r="IK190" s="31"/>
      <c r="IL190" s="31"/>
      <c r="IM190" s="31"/>
      <c r="IN190" s="31"/>
      <c r="IO190" s="31"/>
      <c r="IP190" s="31"/>
      <c r="IQ190" s="31"/>
      <c r="IR190" s="31"/>
      <c r="IS190" s="31"/>
      <c r="IT190" s="31"/>
      <c r="IU190" s="31"/>
      <c r="IV190" s="31"/>
      <c r="IW190" s="31"/>
      <c r="IX190" s="31"/>
      <c r="IY190" s="31"/>
      <c r="IZ190" s="31"/>
      <c r="JA190" s="31"/>
      <c r="JB190" s="31"/>
      <c r="JC190" s="31"/>
      <c r="JD190" s="31"/>
      <c r="JE190" s="31"/>
      <c r="JF190" s="31"/>
      <c r="JG190" s="31"/>
      <c r="JH190" s="31"/>
      <c r="JI190" s="31"/>
      <c r="JJ190" s="31"/>
      <c r="JK190" s="31"/>
      <c r="JL190" s="31"/>
      <c r="JM190" s="31"/>
      <c r="JN190" s="31"/>
      <c r="JO190" s="31"/>
      <c r="JP190" s="31"/>
      <c r="JQ190" s="31"/>
      <c r="JR190" s="31"/>
      <c r="JS190" s="31"/>
      <c r="JT190" s="31"/>
      <c r="JU190" s="31"/>
      <c r="JV190" s="31"/>
      <c r="JW190" s="31"/>
      <c r="JX190" s="31"/>
      <c r="JY190" s="31"/>
      <c r="JZ190" s="31"/>
      <c r="KA190" s="31"/>
      <c r="KB190" s="31"/>
      <c r="KC190" s="31"/>
      <c r="KD190" s="31"/>
      <c r="KE190" s="31"/>
      <c r="KF190" s="31"/>
      <c r="KG190" s="31"/>
      <c r="KH190" s="31"/>
      <c r="KI190" s="31"/>
      <c r="KJ190" s="31"/>
      <c r="KK190" s="31"/>
      <c r="KL190" s="31"/>
      <c r="KM190" s="31"/>
      <c r="KN190" s="31"/>
      <c r="KO190" s="31"/>
      <c r="KP190" s="31"/>
      <c r="KQ190" s="31"/>
      <c r="KR190" s="31"/>
      <c r="KS190" s="31"/>
      <c r="KT190" s="31"/>
      <c r="KU190" s="31"/>
      <c r="KV190" s="31"/>
      <c r="KW190" s="31"/>
      <c r="KX190" s="31"/>
      <c r="KY190" s="31"/>
      <c r="KZ190" s="31"/>
      <c r="LA190" s="31"/>
      <c r="LB190" s="31"/>
      <c r="LC190" s="31"/>
      <c r="LD190" s="31"/>
      <c r="LE190" s="31"/>
      <c r="LF190" s="31"/>
      <c r="LG190" s="31"/>
      <c r="LH190" s="31"/>
      <c r="LI190" s="31"/>
      <c r="LJ190" s="31"/>
      <c r="LK190" s="31"/>
      <c r="LL190" s="31"/>
      <c r="LM190" s="31"/>
      <c r="LN190" s="31"/>
      <c r="LO190" s="31"/>
      <c r="LP190" s="31"/>
      <c r="LQ190" s="31"/>
      <c r="LR190" s="31"/>
      <c r="LS190" s="31"/>
      <c r="LT190" s="31"/>
      <c r="LU190" s="31"/>
      <c r="LV190" s="31"/>
      <c r="LW190" s="31"/>
      <c r="LX190" s="31"/>
      <c r="LY190" s="31"/>
      <c r="LZ190" s="31"/>
      <c r="MA190" s="31"/>
      <c r="MB190" s="31"/>
      <c r="MC190" s="31"/>
      <c r="MD190" s="31"/>
      <c r="ME190" s="31"/>
      <c r="MF190" s="31"/>
      <c r="MG190" s="31"/>
      <c r="MH190" s="31"/>
      <c r="MI190" s="31"/>
      <c r="MJ190" s="31"/>
      <c r="MK190" s="31"/>
      <c r="ML190" s="31"/>
      <c r="MM190" s="31"/>
      <c r="MN190" s="31"/>
      <c r="MO190" s="31"/>
      <c r="MP190" s="31"/>
      <c r="MQ190" s="31"/>
      <c r="MR190" s="31"/>
      <c r="MS190" s="31"/>
      <c r="MT190" s="31"/>
      <c r="MU190" s="31"/>
      <c r="MV190" s="31"/>
      <c r="MW190" s="31"/>
      <c r="MX190" s="31"/>
      <c r="MY190" s="31"/>
      <c r="MZ190" s="31"/>
      <c r="NA190" s="31"/>
      <c r="NB190" s="31"/>
      <c r="NC190" s="31"/>
      <c r="ND190" s="31"/>
      <c r="NE190" s="31"/>
      <c r="NF190" s="31"/>
      <c r="NG190" s="31"/>
      <c r="NH190" s="31"/>
      <c r="NI190" s="31"/>
      <c r="NJ190" s="31"/>
      <c r="NK190" s="31"/>
      <c r="NL190" s="31"/>
      <c r="NM190" s="31"/>
      <c r="NN190" s="31"/>
      <c r="NO190" s="31"/>
      <c r="NP190" s="31"/>
      <c r="NQ190" s="31"/>
      <c r="NR190" s="31"/>
      <c r="NS190" s="31"/>
      <c r="NT190" s="31"/>
      <c r="NU190" s="31"/>
      <c r="NV190" s="31"/>
      <c r="NW190" s="31"/>
      <c r="NX190" s="31"/>
      <c r="NY190" s="31"/>
      <c r="NZ190" s="31"/>
      <c r="OA190" s="31"/>
      <c r="OB190" s="31"/>
      <c r="OC190" s="31"/>
      <c r="OD190" s="31"/>
      <c r="OE190" s="31"/>
      <c r="OF190" s="31"/>
      <c r="OG190" s="31"/>
      <c r="OH190" s="31"/>
      <c r="OI190" s="31"/>
      <c r="OJ190" s="31"/>
      <c r="OK190" s="31"/>
      <c r="OL190" s="31"/>
      <c r="OM190" s="31"/>
      <c r="ON190" s="31"/>
      <c r="OO190" s="31"/>
      <c r="OP190" s="31"/>
      <c r="OQ190" s="31"/>
      <c r="OR190" s="31"/>
      <c r="OS190" s="31"/>
      <c r="OT190" s="31"/>
      <c r="OU190" s="31"/>
      <c r="OV190" s="31"/>
      <c r="OW190" s="31"/>
      <c r="OX190" s="31"/>
      <c r="OY190" s="31"/>
      <c r="OZ190" s="31"/>
      <c r="PA190" s="31"/>
      <c r="PB190" s="31"/>
      <c r="PC190" s="31"/>
      <c r="PD190" s="31"/>
      <c r="PE190" s="31"/>
      <c r="PF190" s="31"/>
      <c r="PG190" s="31"/>
      <c r="PH190" s="31"/>
      <c r="PI190" s="31"/>
      <c r="PJ190" s="31"/>
      <c r="PK190" s="31"/>
      <c r="PL190" s="31"/>
      <c r="PM190" s="31"/>
      <c r="PN190" s="31"/>
      <c r="PO190" s="31"/>
      <c r="PP190" s="31"/>
      <c r="PQ190" s="31"/>
      <c r="PR190" s="31"/>
      <c r="PS190" s="31"/>
      <c r="PT190" s="31"/>
      <c r="PU190" s="31"/>
      <c r="PV190" s="31"/>
      <c r="PW190" s="31"/>
      <c r="PX190" s="31"/>
      <c r="PY190" s="31"/>
      <c r="PZ190" s="31"/>
      <c r="QA190" s="31"/>
      <c r="QB190" s="31"/>
      <c r="QC190" s="31"/>
      <c r="QD190" s="31"/>
      <c r="QE190" s="31"/>
      <c r="QF190" s="31"/>
      <c r="QG190" s="31"/>
      <c r="QH190" s="31"/>
      <c r="QI190" s="31"/>
      <c r="QJ190" s="31"/>
      <c r="QK190" s="31"/>
      <c r="QL190" s="31"/>
      <c r="QM190" s="31"/>
      <c r="QN190" s="31"/>
      <c r="QO190" s="31"/>
      <c r="QP190" s="31"/>
      <c r="QQ190" s="31"/>
      <c r="QR190" s="31"/>
      <c r="QS190" s="31"/>
      <c r="QT190" s="31"/>
      <c r="QU190" s="31"/>
      <c r="QV190" s="31"/>
      <c r="QW190" s="31"/>
      <c r="QX190" s="31"/>
      <c r="QY190" s="31"/>
      <c r="QZ190" s="31"/>
      <c r="RA190" s="31"/>
      <c r="RB190" s="31"/>
      <c r="RC190" s="31"/>
      <c r="RD190" s="31"/>
      <c r="RE190" s="31"/>
      <c r="RF190" s="31"/>
      <c r="RG190" s="31"/>
      <c r="RH190" s="31"/>
      <c r="RI190" s="31"/>
      <c r="RJ190" s="31"/>
      <c r="RK190" s="31"/>
      <c r="RL190" s="31"/>
      <c r="RM190" s="31"/>
      <c r="RN190" s="31"/>
      <c r="RO190" s="31"/>
      <c r="RP190" s="31"/>
      <c r="RQ190" s="31"/>
      <c r="RR190" s="31"/>
      <c r="RS190" s="31"/>
      <c r="RT190" s="31"/>
      <c r="RU190" s="31"/>
      <c r="RV190" s="31"/>
      <c r="RW190" s="31"/>
      <c r="RX190" s="31"/>
      <c r="RY190" s="31"/>
      <c r="RZ190" s="31"/>
      <c r="SA190" s="31"/>
      <c r="SB190" s="31"/>
      <c r="SC190" s="31"/>
      <c r="SD190" s="31"/>
      <c r="SE190" s="31"/>
      <c r="SF190" s="31"/>
      <c r="SG190" s="31"/>
      <c r="SH190" s="31"/>
      <c r="SI190" s="31"/>
      <c r="SJ190" s="31"/>
      <c r="SK190" s="31"/>
      <c r="SL190" s="31"/>
      <c r="SM190" s="31"/>
      <c r="SN190" s="31"/>
      <c r="SO190" s="31"/>
      <c r="SP190" s="31"/>
      <c r="SQ190" s="31"/>
      <c r="SR190" s="31"/>
      <c r="SS190" s="31"/>
      <c r="ST190" s="31"/>
      <c r="SU190" s="31"/>
      <c r="SV190" s="31"/>
      <c r="SW190" s="31"/>
      <c r="SX190" s="31"/>
      <c r="SY190" s="31"/>
      <c r="SZ190" s="31"/>
      <c r="TA190" s="31"/>
      <c r="TB190" s="31"/>
      <c r="TC190" s="31"/>
      <c r="TD190" s="31"/>
      <c r="TE190" s="31"/>
      <c r="TF190" s="31"/>
      <c r="TG190" s="31"/>
      <c r="TH190" s="31"/>
      <c r="TI190" s="31"/>
      <c r="TJ190" s="31"/>
      <c r="TK190" s="31"/>
      <c r="TL190" s="31"/>
      <c r="TM190" s="31"/>
      <c r="TN190" s="31"/>
      <c r="TO190" s="31"/>
      <c r="TP190" s="31"/>
      <c r="TQ190" s="31"/>
      <c r="TR190" s="31"/>
      <c r="TS190" s="31"/>
      <c r="TT190" s="31"/>
      <c r="TU190" s="31"/>
      <c r="TV190" s="31"/>
      <c r="TW190" s="31"/>
      <c r="TX190" s="31"/>
      <c r="TY190" s="31"/>
      <c r="TZ190" s="31"/>
      <c r="UA190" s="31"/>
      <c r="UB190" s="31"/>
      <c r="UC190" s="31"/>
      <c r="UD190" s="31"/>
      <c r="UE190" s="31"/>
      <c r="UF190" s="31"/>
      <c r="UG190" s="31"/>
      <c r="UH190" s="31"/>
      <c r="UI190" s="31"/>
      <c r="UJ190" s="31"/>
      <c r="UK190" s="31"/>
      <c r="UL190" s="31"/>
      <c r="UM190" s="31"/>
      <c r="UN190" s="31"/>
      <c r="UO190" s="31"/>
      <c r="UP190" s="31"/>
      <c r="UQ190" s="31"/>
      <c r="UR190" s="31"/>
      <c r="US190" s="31"/>
      <c r="UT190" s="31"/>
      <c r="UU190" s="31"/>
      <c r="UV190" s="31"/>
      <c r="UW190" s="31"/>
      <c r="UX190" s="31"/>
      <c r="UY190" s="31"/>
      <c r="UZ190" s="31"/>
      <c r="VA190" s="31"/>
      <c r="VB190" s="31"/>
      <c r="VC190" s="31"/>
      <c r="VD190" s="31"/>
      <c r="VE190" s="31"/>
      <c r="VF190" s="31"/>
      <c r="VG190" s="31"/>
      <c r="VH190" s="31"/>
      <c r="VI190" s="31"/>
      <c r="VJ190" s="31"/>
      <c r="VK190" s="31"/>
      <c r="VL190" s="31"/>
      <c r="VM190" s="31"/>
      <c r="VN190" s="31"/>
      <c r="VO190" s="31"/>
      <c r="VP190" s="31"/>
      <c r="VQ190" s="31"/>
      <c r="VR190" s="31"/>
      <c r="VS190" s="31"/>
      <c r="VT190" s="31"/>
      <c r="VU190" s="31"/>
      <c r="VV190" s="31"/>
      <c r="VW190" s="31"/>
      <c r="VX190" s="31"/>
      <c r="VY190" s="31"/>
      <c r="VZ190" s="31"/>
      <c r="WA190" s="31"/>
      <c r="WB190" s="31"/>
      <c r="WC190" s="31"/>
      <c r="WD190" s="31"/>
      <c r="WE190" s="31"/>
      <c r="WF190" s="31"/>
      <c r="WG190" s="31"/>
      <c r="WH190" s="31"/>
      <c r="WI190" s="31"/>
      <c r="WJ190" s="31"/>
      <c r="WK190" s="31"/>
      <c r="WL190" s="31"/>
      <c r="WM190" s="31"/>
      <c r="WN190" s="31"/>
      <c r="WO190" s="31"/>
      <c r="WP190" s="31"/>
      <c r="WQ190" s="31"/>
      <c r="WR190" s="31"/>
      <c r="WS190" s="31"/>
    </row>
  </sheetData>
  <mergeCells count="90">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 ref="VX4:WD4"/>
    <mergeCell ref="UB4:UH4"/>
    <mergeCell ref="QV4:RB4"/>
    <mergeCell ref="MN4:MT4"/>
    <mergeCell ref="MU4:NA4"/>
    <mergeCell ref="NB4:NH4"/>
    <mergeCell ref="NI4:NO4"/>
    <mergeCell ref="NP4:NV4"/>
    <mergeCell ref="B162:E162"/>
    <mergeCell ref="B65:E65"/>
    <mergeCell ref="B88:E88"/>
    <mergeCell ref="B90:E90"/>
    <mergeCell ref="B93:E93"/>
    <mergeCell ref="B161:E161"/>
    <mergeCell ref="B99:E99"/>
    <mergeCell ref="B100:E100"/>
    <mergeCell ref="B156:E156"/>
    <mergeCell ref="B81:E81"/>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134:I190 H5:I102">
    <cfRule type="expression" dxfId="75" priority="212">
      <formula>AND(TODAY()&gt;=H$5,TODAY()&lt;J$5)</formula>
    </cfRule>
  </conditionalFormatting>
  <conditionalFormatting sqref="H134:I190 H7:I102">
    <cfRule type="expression" dxfId="74" priority="220" stopIfTrue="1">
      <formula>AND(Término_da_tarefa&gt;=H$5,Início_da_tarefa&lt;J$5)</formula>
    </cfRule>
  </conditionalFormatting>
  <conditionalFormatting sqref="H7:BL13 BM9:FZ13 H14:FZ47 LE75:LF237 GA9:WS47 J103:WS133 H134:WS190 H48:WS102">
    <cfRule type="expression" dxfId="10" priority="203">
      <formula>AND(Início_da_tarefa&lt;=H$5,ROUNDDOWN((Término_da_tarefa-Início_da_tarefa+1)*Progresso_da_tarefa,0)+Início_da_tarefa-1&gt;=H$5)</formula>
    </cfRule>
  </conditionalFormatting>
  <conditionalFormatting sqref="J5:BL13 BM9:FZ13 J14:FZ47 BM5:GN6 LE75:LF237 GA9:WS47 J48:WS190">
    <cfRule type="expression" dxfId="9" priority="209">
      <formula>AND(TODAY()&gt;=J$5,TODAY()&lt;K$5)</formula>
    </cfRule>
  </conditionalFormatting>
  <conditionalFormatting sqref="J7:BL13 BM9:FZ13 J14:FZ47 LE75:LF237 GA9:WS47 J48:WS190">
    <cfRule type="expression" dxfId="8" priority="204" stopIfTrue="1">
      <formula>AND(Término_da_tarefa&gt;=J$5,Início_da_tarefa&lt;K$5)</formula>
    </cfRule>
  </conditionalFormatting>
  <conditionalFormatting sqref="BM8:WS8">
    <cfRule type="expression" dxfId="73" priority="9">
      <formula>AND(Início_da_tarefa&lt;=BM$5,ROUNDDOWN((Término_da_tarefa-Início_da_tarefa+1)*Progresso_da_tarefa,0)+Início_da_tarefa-1&gt;=BM$5)</formula>
    </cfRule>
    <cfRule type="expression" dxfId="72" priority="10" stopIfTrue="1">
      <formula>AND(Término_da_tarefa&gt;=BM$5,Início_da_tarefa&lt;BN$5)</formula>
    </cfRule>
    <cfRule type="expression" dxfId="71" priority="11">
      <formula>AND(TODAY()&gt;=BM$5,TODAY()&lt;BN$5)</formula>
    </cfRule>
  </conditionalFormatting>
  <conditionalFormatting sqref="GO5">
    <cfRule type="expression" dxfId="70" priority="211">
      <formula>AND(TODAY()&gt;=GO$5,TODAY()&lt;#REF!)</formula>
    </cfRule>
  </conditionalFormatting>
  <conditionalFormatting sqref="GO6">
    <cfRule type="expression" dxfId="69" priority="44">
      <formula>AND(TODAY()&gt;=GO$5,TODAY()&lt;GP$5)</formula>
    </cfRule>
  </conditionalFormatting>
  <conditionalFormatting sqref="GP5:GU6">
    <cfRule type="expression" dxfId="68" priority="173">
      <formula>AND(TODAY()&gt;=GP$5,TODAY()&lt;GQ$5)</formula>
    </cfRule>
  </conditionalFormatting>
  <conditionalFormatting sqref="GV5">
    <cfRule type="expression" dxfId="67" priority="174">
      <formula>AND(TODAY()&gt;=GV$5,TODAY()&lt;#REF!)</formula>
    </cfRule>
  </conditionalFormatting>
  <conditionalFormatting sqref="GV6">
    <cfRule type="expression" dxfId="66" priority="41">
      <formula>AND(TODAY()&gt;=GV$5,TODAY()&lt;GW$5)</formula>
    </cfRule>
  </conditionalFormatting>
  <conditionalFormatting sqref="GW5:HB6">
    <cfRule type="expression" dxfId="65" priority="167">
      <formula>AND(TODAY()&gt;=GW$5,TODAY()&lt;GX$5)</formula>
    </cfRule>
  </conditionalFormatting>
  <conditionalFormatting sqref="HC5">
    <cfRule type="expression" dxfId="64" priority="168">
      <formula>AND(TODAY()&gt;=HC$5,TODAY()&lt;#REF!)</formula>
    </cfRule>
  </conditionalFormatting>
  <conditionalFormatting sqref="HC6">
    <cfRule type="expression" dxfId="63" priority="38">
      <formula>AND(TODAY()&gt;=HC$5,TODAY()&lt;HD$5)</formula>
    </cfRule>
  </conditionalFormatting>
  <conditionalFormatting sqref="HD5:HI6">
    <cfRule type="expression" dxfId="62" priority="161">
      <formula>AND(TODAY()&gt;=HD$5,TODAY()&lt;HE$5)</formula>
    </cfRule>
  </conditionalFormatting>
  <conditionalFormatting sqref="HJ5">
    <cfRule type="expression" dxfId="61" priority="162">
      <formula>AND(TODAY()&gt;=HJ$5,TODAY()&lt;#REF!)</formula>
    </cfRule>
  </conditionalFormatting>
  <conditionalFormatting sqref="HJ6">
    <cfRule type="expression" dxfId="60" priority="35">
      <formula>AND(TODAY()&gt;=HJ$5,TODAY()&lt;HK$5)</formula>
    </cfRule>
  </conditionalFormatting>
  <conditionalFormatting sqref="HK5:HP6">
    <cfRule type="expression" dxfId="59" priority="155">
      <formula>AND(TODAY()&gt;=HK$5,TODAY()&lt;HL$5)</formula>
    </cfRule>
  </conditionalFormatting>
  <conditionalFormatting sqref="HQ5">
    <cfRule type="expression" dxfId="58" priority="156">
      <formula>AND(TODAY()&gt;=HQ$5,TODAY()&lt;#REF!)</formula>
    </cfRule>
  </conditionalFormatting>
  <conditionalFormatting sqref="HQ6">
    <cfRule type="expression" dxfId="57" priority="32">
      <formula>AND(TODAY()&gt;=HQ$5,TODAY()&lt;HR$5)</formula>
    </cfRule>
  </conditionalFormatting>
  <conditionalFormatting sqref="HR5:HW6">
    <cfRule type="expression" dxfId="56" priority="149">
      <formula>AND(TODAY()&gt;=HR$5,TODAY()&lt;HS$5)</formula>
    </cfRule>
  </conditionalFormatting>
  <conditionalFormatting sqref="HX5">
    <cfRule type="expression" dxfId="55" priority="150">
      <formula>AND(TODAY()&gt;=HX$5,TODAY()&lt;#REF!)</formula>
    </cfRule>
  </conditionalFormatting>
  <conditionalFormatting sqref="HX6">
    <cfRule type="expression" dxfId="54" priority="29">
      <formula>AND(TODAY()&gt;=HX$5,TODAY()&lt;HY$5)</formula>
    </cfRule>
  </conditionalFormatting>
  <conditionalFormatting sqref="HY5:ID6">
    <cfRule type="expression" dxfId="53" priority="143">
      <formula>AND(TODAY()&gt;=HY$5,TODAY()&lt;HZ$5)</formula>
    </cfRule>
  </conditionalFormatting>
  <conditionalFormatting sqref="IE5">
    <cfRule type="expression" dxfId="52" priority="144">
      <formula>AND(TODAY()&gt;=IE$5,TODAY()&lt;#REF!)</formula>
    </cfRule>
  </conditionalFormatting>
  <conditionalFormatting sqref="IE6">
    <cfRule type="expression" dxfId="51" priority="26">
      <formula>AND(TODAY()&gt;=IE$5,TODAY()&lt;IF$5)</formula>
    </cfRule>
  </conditionalFormatting>
  <conditionalFormatting sqref="IF5:IK6">
    <cfRule type="expression" dxfId="50" priority="137">
      <formula>AND(TODAY()&gt;=IF$5,TODAY()&lt;IG$5)</formula>
    </cfRule>
  </conditionalFormatting>
  <conditionalFormatting sqref="IL5">
    <cfRule type="expression" dxfId="49" priority="138">
      <formula>AND(TODAY()&gt;=IL$5,TODAY()&lt;#REF!)</formula>
    </cfRule>
  </conditionalFormatting>
  <conditionalFormatting sqref="IL6">
    <cfRule type="expression" dxfId="48" priority="23">
      <formula>AND(TODAY()&gt;=IL$5,TODAY()&lt;IM$5)</formula>
    </cfRule>
  </conditionalFormatting>
  <conditionalFormatting sqref="IM5:IS6">
    <cfRule type="expression" dxfId="47" priority="14">
      <formula>AND(TODAY()&gt;=IM$5,TODAY()&lt;IN$5)</formula>
    </cfRule>
  </conditionalFormatting>
  <conditionalFormatting sqref="IT5:IY5">
    <cfRule type="expression" dxfId="46" priority="125">
      <formula>AND(TODAY()&gt;=IT$5,TODAY()&lt;IU$5)</formula>
    </cfRule>
  </conditionalFormatting>
  <conditionalFormatting sqref="IT6:WS6">
    <cfRule type="expression" dxfId="45" priority="17">
      <formula>AND(TODAY()&gt;=IT$5,TODAY()&lt;IU$5)</formula>
    </cfRule>
  </conditionalFormatting>
  <conditionalFormatting sqref="IZ5">
    <cfRule type="expression" dxfId="44" priority="126">
      <formula>AND(TODAY()&gt;=IZ$5,TODAY()&lt;#REF!)</formula>
    </cfRule>
  </conditionalFormatting>
  <conditionalFormatting sqref="JA5:JF5">
    <cfRule type="expression" dxfId="43" priority="119">
      <formula>AND(TODAY()&gt;=JA$5,TODAY()&lt;JB$5)</formula>
    </cfRule>
  </conditionalFormatting>
  <conditionalFormatting sqref="JG5">
    <cfRule type="expression" dxfId="42" priority="120">
      <formula>AND(TODAY()&gt;=JG$5,TODAY()&lt;#REF!)</formula>
    </cfRule>
  </conditionalFormatting>
  <conditionalFormatting sqref="JH5:JM5">
    <cfRule type="expression" dxfId="41" priority="113">
      <formula>AND(TODAY()&gt;=JH$5,TODAY()&lt;JI$5)</formula>
    </cfRule>
  </conditionalFormatting>
  <conditionalFormatting sqref="JN5">
    <cfRule type="expression" dxfId="40" priority="114">
      <formula>AND(TODAY()&gt;=JN$5,TODAY()&lt;#REF!)</formula>
    </cfRule>
  </conditionalFormatting>
  <conditionalFormatting sqref="JO5:JT5">
    <cfRule type="expression" dxfId="39" priority="107">
      <formula>AND(TODAY()&gt;=JO$5,TODAY()&lt;JP$5)</formula>
    </cfRule>
  </conditionalFormatting>
  <conditionalFormatting sqref="JU5">
    <cfRule type="expression" dxfId="38" priority="108">
      <formula>AND(TODAY()&gt;=JU$5,TODAY()&lt;#REF!)</formula>
    </cfRule>
  </conditionalFormatting>
  <conditionalFormatting sqref="JV5:KA5">
    <cfRule type="expression" dxfId="37" priority="101">
      <formula>AND(TODAY()&gt;=JV$5,TODAY()&lt;JW$5)</formula>
    </cfRule>
  </conditionalFormatting>
  <conditionalFormatting sqref="KB5">
    <cfRule type="expression" dxfId="36" priority="102">
      <formula>AND(TODAY()&gt;=KB$5,TODAY()&lt;#REF!)</formula>
    </cfRule>
  </conditionalFormatting>
  <conditionalFormatting sqref="KC5:KH5">
    <cfRule type="expression" dxfId="35" priority="95">
      <formula>AND(TODAY()&gt;=KC$5,TODAY()&lt;KD$5)</formula>
    </cfRule>
  </conditionalFormatting>
  <conditionalFormatting sqref="KI5">
    <cfRule type="expression" dxfId="34" priority="96">
      <formula>AND(TODAY()&gt;=KI$5,TODAY()&lt;#REF!)</formula>
    </cfRule>
  </conditionalFormatting>
  <conditionalFormatting sqref="KJ5:KO5">
    <cfRule type="expression" dxfId="33" priority="89">
      <formula>AND(TODAY()&gt;=KJ$5,TODAY()&lt;KK$5)</formula>
    </cfRule>
  </conditionalFormatting>
  <conditionalFormatting sqref="KP5">
    <cfRule type="expression" dxfId="32" priority="90">
      <formula>AND(TODAY()&gt;=KP$5,TODAY()&lt;#REF!)</formula>
    </cfRule>
  </conditionalFormatting>
  <conditionalFormatting sqref="KQ5:KV5">
    <cfRule type="expression" dxfId="31" priority="83">
      <formula>AND(TODAY()&gt;=KQ$5,TODAY()&lt;KR$5)</formula>
    </cfRule>
  </conditionalFormatting>
  <conditionalFormatting sqref="KW5">
    <cfRule type="expression" dxfId="30" priority="84">
      <formula>AND(TODAY()&gt;=KW$5,TODAY()&lt;#REF!)</formula>
    </cfRule>
  </conditionalFormatting>
  <conditionalFormatting sqref="KX5:LC5">
    <cfRule type="expression" dxfId="29" priority="77">
      <formula>AND(TODAY()&gt;=KX$5,TODAY()&lt;KY$5)</formula>
    </cfRule>
  </conditionalFormatting>
  <conditionalFormatting sqref="LD5">
    <cfRule type="expression" dxfId="28" priority="78">
      <formula>AND(TODAY()&gt;=LD$5,TODAY()&lt;#REF!)</formula>
    </cfRule>
  </conditionalFormatting>
  <conditionalFormatting sqref="LE70:LE71">
    <cfRule type="expression" dxfId="27" priority="8">
      <formula>AND(TODAY()&gt;=LE$5,TODAY()&lt;#REF!)</formula>
    </cfRule>
  </conditionalFormatting>
  <conditionalFormatting sqref="LE73:LF73">
    <cfRule type="expression" dxfId="26" priority="4" stopIfTrue="1">
      <formula>AND(Término_da_tarefa&gt;=LE$5,Início_da_tarefa&lt;LF$5)</formula>
    </cfRule>
    <cfRule type="expression" dxfId="25" priority="5">
      <formula>AND(TODAY()&gt;=LE$5,TODAY()&lt;LF$5)</formula>
    </cfRule>
  </conditionalFormatting>
  <conditionalFormatting sqref="LE5:LJ5">
    <cfRule type="expression" dxfId="24" priority="71">
      <formula>AND(TODAY()&gt;=LE$5,TODAY()&lt;LF$5)</formula>
    </cfRule>
  </conditionalFormatting>
  <conditionalFormatting sqref="LF70:LF71">
    <cfRule type="expression" dxfId="23" priority="7">
      <formula>AND(TODAY()&gt;=LF$5,TODAY()&lt;LG$5)</formula>
    </cfRule>
  </conditionalFormatting>
  <conditionalFormatting sqref="LK5">
    <cfRule type="expression" dxfId="22" priority="72">
      <formula>AND(TODAY()&gt;=LK$5,TODAY()&lt;#REF!)</formula>
    </cfRule>
  </conditionalFormatting>
  <conditionalFormatting sqref="LL5:LQ5">
    <cfRule type="expression" dxfId="21" priority="65">
      <formula>AND(TODAY()&gt;=LL$5,TODAY()&lt;LM$5)</formula>
    </cfRule>
  </conditionalFormatting>
  <conditionalFormatting sqref="LR5">
    <cfRule type="expression" dxfId="20" priority="66">
      <formula>AND(TODAY()&gt;=LR$5,TODAY()&lt;#REF!)</formula>
    </cfRule>
  </conditionalFormatting>
  <conditionalFormatting sqref="LS5:LX5">
    <cfRule type="expression" dxfId="19" priority="59">
      <formula>AND(TODAY()&gt;=LS$5,TODAY()&lt;LT$5)</formula>
    </cfRule>
  </conditionalFormatting>
  <conditionalFormatting sqref="LY5">
    <cfRule type="expression" dxfId="18" priority="60">
      <formula>AND(TODAY()&gt;=LY$5,TODAY()&lt;#REF!)</formula>
    </cfRule>
  </conditionalFormatting>
  <conditionalFormatting sqref="LZ5:ME5">
    <cfRule type="expression" dxfId="17" priority="53">
      <formula>AND(TODAY()&gt;=LZ$5,TODAY()&lt;MA$5)</formula>
    </cfRule>
  </conditionalFormatting>
  <conditionalFormatting sqref="MF5">
    <cfRule type="expression" dxfId="16" priority="54">
      <formula>AND(TODAY()&gt;=MF$5,TODAY()&lt;#REF!)</formula>
    </cfRule>
  </conditionalFormatting>
  <conditionalFormatting sqref="MG5:ML5 MN5:MS5 MU5:MZ5 NB5:NG5 NI5:NN5 NP5:NU5 NW5:NZ5 OI5:OL5 OU5:OX5 PG5:PJ5 PS5:PV5 QE5:QH5 QQ5:QT5 RC5:RF5 RO5:RR5 SA5:SD5 SM5:SP5 SY5:TB5 TK5:TN5 TW5:TZ5 UI5:UL5 UU5:UX5 VG5:VJ5 VS5:VV5 WE5:WH5 WQ5:WS5 OB5:OG5 ON5:OS5 OZ5:PE5 PL5:PQ5 PX5:QC5 QJ5:QO5 QV5:RA5 RH5:RM5 RT5:RY5 SF5:SK5 SR5:SW5 TD5:TI5 TP5:TU5 UB5:UG5 UN5:US5 UZ5:VE5 VL5:VQ5 VX5:WC5 WJ5:WO5">
    <cfRule type="expression" dxfId="1" priority="1">
      <formula>AND(TODAY()&gt;=MG$5,TODAY()&lt;MH$5)</formula>
    </cfRule>
  </conditionalFormatting>
  <conditionalFormatting sqref="MM5 MT5 NA5 NH5 NO5 NV5 OA5 OM5 OY5 PK5 PW5 QI5 QU5 RG5 RS5 SE5 SQ5 TC5 TO5 UA5 UM5 UY5 VK5 VW5 WI5 OH5 OT5 PF5 PR5 QD5 QP5 RB5 RN5 RZ5 SL5 SX5 TJ5 TV5 UH5 UT5 VF5 VR5 WD5 WP5">
    <cfRule type="expression" dxfId="0"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C89 C171 C134:C152 C163:C167 C10:C64 C101:C132 C82:C87 C66:C80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5" x14ac:dyDescent="0.35"/>
  <sheetData>
    <row r="5" spans="4:4" x14ac:dyDescent="0.35">
      <c r="D5" s="161"/>
    </row>
    <row r="6" spans="4:4" x14ac:dyDescent="0.35">
      <c r="D6" s="161"/>
    </row>
    <row r="7" spans="4:4" x14ac:dyDescent="0.35">
      <c r="D7" s="161"/>
    </row>
    <row r="8" spans="4:4" x14ac:dyDescent="0.35">
      <c r="D8" s="161"/>
    </row>
    <row r="9" spans="4:4" x14ac:dyDescent="0.35">
      <c r="D9" s="161"/>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7265625" style="33" customWidth="1"/>
    <col min="2" max="2" width="19.7265625" customWidth="1"/>
    <col min="3" max="3" width="15" bestFit="1" customWidth="1"/>
    <col min="4" max="4" width="16.26953125" customWidth="1"/>
    <col min="5" max="5" width="10.453125" style="5" customWidth="1"/>
    <col min="6" max="6" width="10.453125" customWidth="1"/>
    <col min="7" max="7" width="2.453125" customWidth="1"/>
    <col min="8" max="8" width="6.26953125" hidden="1" customWidth="1"/>
    <col min="9" max="71" width="2" customWidth="1"/>
    <col min="72" max="72" width="2.26953125" customWidth="1"/>
    <col min="73" max="82" width="2" customWidth="1"/>
    <col min="83" max="83" width="1.7265625" customWidth="1"/>
    <col min="84" max="93" width="2" customWidth="1"/>
    <col min="94" max="94" width="2.26953125" customWidth="1"/>
    <col min="95" max="96" width="2.26953125" style="75" customWidth="1"/>
    <col min="97" max="97" width="2.26953125" customWidth="1"/>
    <col min="98" max="101" width="2" customWidth="1"/>
    <col min="102" max="103" width="2" style="75" customWidth="1"/>
    <col min="104" max="130" width="2" customWidth="1"/>
    <col min="131" max="131" width="2" style="71" customWidth="1"/>
    <col min="132" max="155" width="2" customWidth="1"/>
    <col min="156" max="197" width="2.26953125" customWidth="1"/>
    <col min="198" max="239" width="2.453125" customWidth="1"/>
  </cols>
  <sheetData>
    <row r="1" spans="1:239" ht="30" customHeight="1" x14ac:dyDescent="0.65">
      <c r="A1" s="34" t="s">
        <v>189</v>
      </c>
      <c r="B1" s="37" t="s">
        <v>271</v>
      </c>
      <c r="C1" s="1"/>
      <c r="D1" s="2"/>
      <c r="E1" s="4"/>
      <c r="F1" s="32"/>
      <c r="H1" s="2"/>
      <c r="I1" s="51" t="s">
        <v>272</v>
      </c>
    </row>
    <row r="2" spans="1:239" ht="30" customHeight="1" x14ac:dyDescent="0.45">
      <c r="A2" s="33" t="s">
        <v>192</v>
      </c>
      <c r="B2" s="38" t="s">
        <v>273</v>
      </c>
      <c r="I2" s="162"/>
    </row>
    <row r="3" spans="1:239" ht="33" customHeight="1" x14ac:dyDescent="0.35">
      <c r="A3" s="33" t="s">
        <v>193</v>
      </c>
      <c r="B3" s="70" t="s">
        <v>194</v>
      </c>
      <c r="C3" s="69">
        <f>Início_do_projeto+120</f>
        <v>46051</v>
      </c>
      <c r="D3" s="68" t="s">
        <v>195</v>
      </c>
      <c r="E3" s="222">
        <v>45931</v>
      </c>
      <c r="F3" s="222"/>
      <c r="G3" s="64"/>
    </row>
    <row r="4" spans="1:239" ht="30" customHeight="1" x14ac:dyDescent="0.35">
      <c r="A4" s="34" t="s">
        <v>196</v>
      </c>
      <c r="C4" s="223" t="s">
        <v>197</v>
      </c>
      <c r="D4" s="224"/>
      <c r="E4" s="7">
        <v>1</v>
      </c>
      <c r="I4" s="219">
        <f>I5</f>
        <v>45929</v>
      </c>
      <c r="J4" s="220"/>
      <c r="K4" s="220"/>
      <c r="L4" s="220"/>
      <c r="M4" s="220"/>
      <c r="N4" s="220"/>
      <c r="O4" s="221"/>
      <c r="P4" s="219">
        <f>P5</f>
        <v>45936</v>
      </c>
      <c r="Q4" s="220"/>
      <c r="R4" s="220"/>
      <c r="S4" s="220"/>
      <c r="T4" s="220"/>
      <c r="U4" s="220"/>
      <c r="V4" s="221"/>
      <c r="W4" s="219">
        <f>W5</f>
        <v>45943</v>
      </c>
      <c r="X4" s="220"/>
      <c r="Y4" s="220"/>
      <c r="Z4" s="220"/>
      <c r="AA4" s="220"/>
      <c r="AB4" s="220"/>
      <c r="AC4" s="221"/>
      <c r="AD4" s="219">
        <f>AD5</f>
        <v>45950</v>
      </c>
      <c r="AE4" s="220"/>
      <c r="AF4" s="220"/>
      <c r="AG4" s="220"/>
      <c r="AH4" s="220"/>
      <c r="AI4" s="220"/>
      <c r="AJ4" s="221"/>
      <c r="AK4" s="219">
        <f>AK5</f>
        <v>45957</v>
      </c>
      <c r="AL4" s="220"/>
      <c r="AM4" s="220"/>
      <c r="AN4" s="220"/>
      <c r="AO4" s="220"/>
      <c r="AP4" s="220"/>
      <c r="AQ4" s="221"/>
      <c r="AR4" s="219">
        <f>AR5</f>
        <v>45964</v>
      </c>
      <c r="AS4" s="220"/>
      <c r="AT4" s="220"/>
      <c r="AU4" s="220"/>
      <c r="AV4" s="220"/>
      <c r="AW4" s="220"/>
      <c r="AX4" s="221"/>
      <c r="AY4" s="219">
        <f>AY5</f>
        <v>45971</v>
      </c>
      <c r="AZ4" s="220"/>
      <c r="BA4" s="220"/>
      <c r="BB4" s="220"/>
      <c r="BC4" s="220"/>
      <c r="BD4" s="220"/>
      <c r="BE4" s="221"/>
      <c r="BF4" s="219">
        <f>BF5</f>
        <v>45978</v>
      </c>
      <c r="BG4" s="220"/>
      <c r="BH4" s="220"/>
      <c r="BI4" s="220"/>
      <c r="BJ4" s="220"/>
      <c r="BK4" s="220"/>
      <c r="BL4" s="221"/>
      <c r="BM4" s="219">
        <f>BM5</f>
        <v>45985</v>
      </c>
      <c r="BN4" s="220"/>
      <c r="BO4" s="220"/>
      <c r="BP4" s="220"/>
      <c r="BQ4" s="220"/>
      <c r="BR4" s="220"/>
      <c r="BS4" s="221"/>
      <c r="BT4" s="219">
        <f>BT5</f>
        <v>45992</v>
      </c>
      <c r="BU4" s="220"/>
      <c r="BV4" s="220"/>
      <c r="BW4" s="220"/>
      <c r="BX4" s="220"/>
      <c r="BY4" s="220"/>
      <c r="BZ4" s="221"/>
      <c r="CA4" s="219">
        <f>CA5</f>
        <v>45999</v>
      </c>
      <c r="CB4" s="220"/>
      <c r="CC4" s="220"/>
      <c r="CD4" s="220"/>
      <c r="CE4" s="220"/>
      <c r="CF4" s="220"/>
      <c r="CG4" s="221"/>
      <c r="CH4" s="219">
        <f>CH5</f>
        <v>46006</v>
      </c>
      <c r="CI4" s="220"/>
      <c r="CJ4" s="220"/>
      <c r="CK4" s="220"/>
      <c r="CL4" s="220"/>
      <c r="CM4" s="220"/>
      <c r="CN4" s="221"/>
      <c r="CO4" s="219">
        <f>CO5</f>
        <v>46013</v>
      </c>
      <c r="CP4" s="220"/>
      <c r="CQ4" s="220"/>
      <c r="CR4" s="220"/>
      <c r="CS4" s="220"/>
      <c r="CT4" s="220"/>
      <c r="CU4" s="221"/>
      <c r="CV4" s="219">
        <f>CV5</f>
        <v>46020</v>
      </c>
      <c r="CW4" s="220"/>
      <c r="CX4" s="220"/>
      <c r="CY4" s="220"/>
      <c r="CZ4" s="220"/>
      <c r="DA4" s="220"/>
      <c r="DB4" s="221"/>
      <c r="DC4" s="219">
        <f>DC5</f>
        <v>46027</v>
      </c>
      <c r="DD4" s="220"/>
      <c r="DE4" s="220"/>
      <c r="DF4" s="220"/>
      <c r="DG4" s="220"/>
      <c r="DH4" s="220"/>
      <c r="DI4" s="221"/>
      <c r="DJ4" s="219">
        <f>DJ5</f>
        <v>46034</v>
      </c>
      <c r="DK4" s="220"/>
      <c r="DL4" s="220"/>
      <c r="DM4" s="220"/>
      <c r="DN4" s="220"/>
      <c r="DO4" s="220"/>
      <c r="DP4" s="221"/>
      <c r="DQ4" s="219">
        <f>DQ5</f>
        <v>46041</v>
      </c>
      <c r="DR4" s="220"/>
      <c r="DS4" s="220"/>
      <c r="DT4" s="220"/>
      <c r="DU4" s="220"/>
      <c r="DV4" s="220"/>
      <c r="DW4" s="221"/>
      <c r="DX4" s="219">
        <f>DX5</f>
        <v>46048</v>
      </c>
      <c r="DY4" s="220"/>
      <c r="DZ4" s="220"/>
      <c r="EA4" s="220"/>
      <c r="EB4" s="220"/>
      <c r="EC4" s="220"/>
      <c r="ED4" s="221"/>
      <c r="EE4" s="219">
        <f t="shared" ref="EE4" si="0">EE5</f>
        <v>46055</v>
      </c>
      <c r="EF4" s="220"/>
      <c r="EG4" s="220"/>
      <c r="EH4" s="220"/>
      <c r="EI4" s="220"/>
      <c r="EJ4" s="220"/>
      <c r="EK4" s="221"/>
      <c r="EL4" s="219">
        <f t="shared" ref="EL4" si="1">EL5</f>
        <v>46062</v>
      </c>
      <c r="EM4" s="220"/>
      <c r="EN4" s="220"/>
      <c r="EO4" s="220"/>
      <c r="EP4" s="220"/>
      <c r="EQ4" s="220"/>
      <c r="ER4" s="221"/>
      <c r="ES4" s="219">
        <f t="shared" ref="ES4" si="2">ES5</f>
        <v>46069</v>
      </c>
      <c r="ET4" s="220"/>
      <c r="EU4" s="220"/>
      <c r="EV4" s="220"/>
      <c r="EW4" s="220"/>
      <c r="EX4" s="220"/>
      <c r="EY4" s="221"/>
      <c r="EZ4" s="219">
        <f t="shared" ref="EZ4" si="3">EZ5</f>
        <v>46076</v>
      </c>
      <c r="FA4" s="220"/>
      <c r="FB4" s="220"/>
      <c r="FC4" s="220"/>
      <c r="FD4" s="220"/>
      <c r="FE4" s="220"/>
      <c r="FF4" s="221"/>
      <c r="FG4" s="219">
        <f t="shared" ref="FG4" si="4">FG5</f>
        <v>46083</v>
      </c>
      <c r="FH4" s="220"/>
      <c r="FI4" s="220"/>
      <c r="FJ4" s="220"/>
      <c r="FK4" s="220"/>
      <c r="FL4" s="220"/>
      <c r="FM4" s="221"/>
      <c r="FN4" s="219">
        <f t="shared" ref="FN4" si="5">FN5</f>
        <v>46090</v>
      </c>
      <c r="FO4" s="220"/>
      <c r="FP4" s="220"/>
      <c r="FQ4" s="220"/>
      <c r="FR4" s="220"/>
      <c r="FS4" s="220"/>
      <c r="FT4" s="221"/>
      <c r="FU4" s="219">
        <f t="shared" ref="FU4" si="6">FU5</f>
        <v>46097</v>
      </c>
      <c r="FV4" s="220"/>
      <c r="FW4" s="220"/>
      <c r="FX4" s="220"/>
      <c r="FY4" s="220"/>
      <c r="FZ4" s="220"/>
      <c r="GA4" s="221"/>
      <c r="GB4" s="219">
        <f t="shared" ref="GB4" si="7">GB5</f>
        <v>46104</v>
      </c>
      <c r="GC4" s="220"/>
      <c r="GD4" s="220"/>
      <c r="GE4" s="220"/>
      <c r="GF4" s="220"/>
      <c r="GG4" s="220"/>
      <c r="GH4" s="221"/>
      <c r="GI4" s="219">
        <f t="shared" ref="GI4" si="8">GI5</f>
        <v>46111</v>
      </c>
      <c r="GJ4" s="220"/>
      <c r="GK4" s="220"/>
      <c r="GL4" s="220"/>
      <c r="GM4" s="220"/>
      <c r="GN4" s="220"/>
      <c r="GO4" s="221"/>
      <c r="GP4" s="219">
        <f t="shared" ref="GP4" si="9">GP5</f>
        <v>46118</v>
      </c>
      <c r="GQ4" s="220"/>
      <c r="GR4" s="220"/>
      <c r="GS4" s="220"/>
      <c r="GT4" s="220"/>
      <c r="GU4" s="220"/>
      <c r="GV4" s="221"/>
      <c r="GW4" s="219">
        <f t="shared" ref="GW4" si="10">GW5</f>
        <v>46125</v>
      </c>
      <c r="GX4" s="220"/>
      <c r="GY4" s="220"/>
      <c r="GZ4" s="220"/>
      <c r="HA4" s="220"/>
      <c r="HB4" s="220"/>
      <c r="HC4" s="221"/>
      <c r="HD4" s="219">
        <f t="shared" ref="HD4" si="11">HD5</f>
        <v>46132</v>
      </c>
      <c r="HE4" s="220"/>
      <c r="HF4" s="220"/>
      <c r="HG4" s="220"/>
      <c r="HH4" s="220"/>
      <c r="HI4" s="220"/>
      <c r="HJ4" s="221"/>
      <c r="HK4" s="219">
        <f t="shared" ref="HK4" si="12">HK5</f>
        <v>46139</v>
      </c>
      <c r="HL4" s="220"/>
      <c r="HM4" s="220"/>
      <c r="HN4" s="220"/>
      <c r="HO4" s="220"/>
      <c r="HP4" s="220"/>
      <c r="HQ4" s="221"/>
      <c r="HR4" s="219">
        <f t="shared" ref="HR4" si="13">HR5</f>
        <v>46146</v>
      </c>
      <c r="HS4" s="220"/>
      <c r="HT4" s="220"/>
      <c r="HU4" s="220"/>
      <c r="HV4" s="220"/>
      <c r="HW4" s="220"/>
      <c r="HX4" s="221"/>
      <c r="HY4" s="219">
        <f t="shared" ref="HY4" si="14">HY5</f>
        <v>46153</v>
      </c>
      <c r="HZ4" s="220"/>
      <c r="IA4" s="220"/>
      <c r="IB4" s="220"/>
      <c r="IC4" s="220"/>
      <c r="ID4" s="220"/>
      <c r="IE4" s="221"/>
    </row>
    <row r="5" spans="1:239" ht="15" customHeight="1" x14ac:dyDescent="0.35">
      <c r="A5" s="34" t="s">
        <v>198</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199</v>
      </c>
      <c r="B6" s="8" t="s">
        <v>200</v>
      </c>
      <c r="C6" s="9" t="s">
        <v>201</v>
      </c>
      <c r="D6" s="9" t="s">
        <v>274</v>
      </c>
      <c r="E6" s="9" t="s">
        <v>202</v>
      </c>
      <c r="F6" s="9" t="s">
        <v>203</v>
      </c>
      <c r="G6" s="9"/>
      <c r="H6" s="9" t="s">
        <v>204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205</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207</v>
      </c>
      <c r="B8" s="15" t="s">
        <v>275</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208</v>
      </c>
      <c r="B9" s="46" t="s">
        <v>276</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209</v>
      </c>
      <c r="B10" s="46" t="s">
        <v>277</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278</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279</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277</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280</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277</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213</v>
      </c>
      <c r="B16" s="18" t="s">
        <v>281</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276</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277</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279</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277</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280</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277</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221</v>
      </c>
      <c r="B23" s="21" t="s">
        <v>282</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276</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277</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279</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277</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280</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277</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268</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269</v>
      </c>
      <c r="B31" s="25" t="s">
        <v>270</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13" priority="4">
      <formula>AND(TODAY()&gt;=I$5,TODAY()&lt;J$5)</formula>
    </cfRule>
  </conditionalFormatting>
  <conditionalFormatting sqref="I7:BL31 BM8:IE31">
    <cfRule type="expression" dxfId="12" priority="2">
      <formula>AND(Início_da_tarefa&lt;=I$5,ROUNDDOWN((Término_da_tarefa-Início_da_tarefa+1)*Progresso_da_tarefa,0)+Início_da_tarefa-1&gt;=I$5)</formula>
    </cfRule>
    <cfRule type="expression" dxfId="11"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6B8910-5FE7-40EE-B620-3AA397DFA0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2026-01-30T16:43:18Z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