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filterPrivacy="1" codeName="EstaPastaDeTrabalho"/>
  <xr:revisionPtr revIDLastSave="2155" documentId="101_S{B73360A1-8A99-5EFE-B3D7-B4540AB28558}" xr6:coauthVersionLast="47" xr6:coauthVersionMax="47" xr10:uidLastSave="{046C8CEA-F9C3-4AD3-BE20-5049052CC45E}"/>
  <bookViews>
    <workbookView xWindow="28680" yWindow="-120" windowWidth="29040" windowHeight="15720" firstSheet="1" activeTab="1" xr2:uid="{00000000-000D-0000-FFFF-FFFF00000000}"/>
  </bookViews>
  <sheets>
    <sheet name="Equipe" sheetId="14" r:id="rId1"/>
    <sheet name="Planejamento IED" sheetId="11" r:id="rId2"/>
    <sheet name="3 Pessoas" sheetId="13" state="hidden" r:id="rId3"/>
  </sheets>
  <definedNames>
    <definedName name="_xlnm._FilterDatabase" localSheetId="0" hidden="1">Equipe!$A$1:$J$56</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0" i="11" l="1"/>
  <c r="D166" i="11"/>
  <c r="E86" i="11" l="1"/>
  <c r="E170" i="11" l="1"/>
  <c r="D173" i="11" s="1"/>
  <c r="E173" i="11" s="1"/>
  <c r="D176" i="11" s="1"/>
  <c r="E176" i="11" s="1"/>
  <c r="E178" i="11"/>
  <c r="D180" i="11" s="1"/>
  <c r="E62" i="11"/>
  <c r="E63" i="11"/>
  <c r="E85" i="11"/>
  <c r="E84" i="11"/>
  <c r="E83" i="11"/>
  <c r="E82" i="11"/>
  <c r="E115" i="11" l="1"/>
  <c r="D118" i="11" s="1"/>
  <c r="E196" i="11"/>
  <c r="E125" i="11" l="1"/>
  <c r="D126" i="11" s="1"/>
  <c r="E126" i="11" s="1"/>
  <c r="D127" i="11" s="1"/>
  <c r="E127" i="11" s="1"/>
  <c r="E61" i="11"/>
  <c r="E60" i="11"/>
  <c r="E59" i="11"/>
  <c r="E109" i="11"/>
  <c r="D112" i="11" s="1"/>
  <c r="E112" i="11" s="1"/>
  <c r="E74" i="11"/>
  <c r="E75" i="11"/>
  <c r="E76" i="11"/>
  <c r="E77" i="11"/>
  <c r="E78" i="11"/>
  <c r="E79" i="11"/>
  <c r="E80" i="11"/>
  <c r="E58" i="11"/>
  <c r="E195" i="11"/>
  <c r="E160" i="11"/>
  <c r="E159" i="11"/>
  <c r="E158" i="11"/>
  <c r="E57" i="11"/>
  <c r="E56" i="11"/>
  <c r="E55" i="11"/>
  <c r="G103" i="11" l="1"/>
  <c r="G100" i="11"/>
  <c r="E193" i="11"/>
  <c r="E194" i="11" s="1"/>
  <c r="D192" i="11" l="1"/>
  <c r="G192" i="11" s="1"/>
  <c r="G157" i="11"/>
  <c r="G98" i="11" l="1"/>
  <c r="G159" i="11"/>
  <c r="G194" i="11"/>
  <c r="G193" i="11"/>
  <c r="G158" i="11"/>
  <c r="G195" i="11" l="1"/>
  <c r="G160" i="11"/>
  <c r="E107" i="11"/>
  <c r="D110" i="11" s="1"/>
  <c r="E71" i="11"/>
  <c r="E53" i="11" l="1"/>
  <c r="E54" i="11"/>
  <c r="E72" i="11" l="1"/>
  <c r="E51" i="11"/>
  <c r="E50" i="11"/>
  <c r="E49" i="11"/>
  <c r="E48" i="11"/>
  <c r="E108" i="11" l="1"/>
  <c r="E106" i="11"/>
  <c r="E111" i="11" l="1"/>
  <c r="E45" i="11"/>
  <c r="E46" i="11"/>
  <c r="E44" i="11"/>
  <c r="E150" i="11" l="1"/>
  <c r="E149" i="11"/>
  <c r="E148" i="11"/>
  <c r="E147" i="11"/>
  <c r="E146" i="11"/>
  <c r="G95" i="11"/>
  <c r="G96" i="11"/>
  <c r="G97" i="11"/>
  <c r="G94" i="11"/>
  <c r="E145" i="11"/>
  <c r="E144" i="11"/>
  <c r="E141" i="11"/>
  <c r="E142" i="11"/>
  <c r="E139" i="11"/>
  <c r="E138" i="11"/>
  <c r="D182" i="11"/>
  <c r="G181" i="11"/>
  <c r="E73" i="11"/>
  <c r="E105" i="11"/>
  <c r="E110" i="11" s="1"/>
  <c r="E102" i="11"/>
  <c r="E135" i="11"/>
  <c r="E134" i="11"/>
  <c r="E89" i="11"/>
  <c r="G88" i="11"/>
  <c r="D136" i="11"/>
  <c r="D137" i="11" s="1"/>
  <c r="E164" i="11"/>
  <c r="E163" i="11"/>
  <c r="G162" i="11"/>
  <c r="C3" i="11"/>
  <c r="D14" i="11"/>
  <c r="E14" i="11" s="1"/>
  <c r="E13" i="11"/>
  <c r="E11" i="11"/>
  <c r="E10" i="11"/>
  <c r="E66" i="11"/>
  <c r="E114" i="11" l="1"/>
  <c r="E113" i="11"/>
  <c r="D117" i="11" s="1"/>
  <c r="D104" i="11"/>
  <c r="E104" i="11" s="1"/>
  <c r="E136" i="11"/>
  <c r="E143" i="11"/>
  <c r="E140" i="11"/>
  <c r="E137" i="11"/>
  <c r="E165" i="11"/>
  <c r="E168" i="11" s="1"/>
  <c r="D16" i="11"/>
  <c r="D15" i="11" s="1"/>
  <c r="D12" i="11"/>
  <c r="D171" i="11" l="1"/>
  <c r="E171" i="11" s="1"/>
  <c r="E118" i="11"/>
  <c r="D121" i="11" s="1"/>
  <c r="E117" i="11"/>
  <c r="D120" i="11" s="1"/>
  <c r="E15" i="11"/>
  <c r="D17" i="11"/>
  <c r="E17" i="11" s="1"/>
  <c r="E166" i="11"/>
  <c r="D169" i="11" s="1"/>
  <c r="E169" i="11" s="1"/>
  <c r="D116" i="11"/>
  <c r="D18" i="11"/>
  <c r="E18" i="11" s="1"/>
  <c r="E69" i="11"/>
  <c r="E16" i="11"/>
  <c r="E12" i="11"/>
  <c r="G153" i="11"/>
  <c r="F11" i="13"/>
  <c r="E11" i="13"/>
  <c r="H31" i="13"/>
  <c r="H30" i="13"/>
  <c r="H23" i="13"/>
  <c r="H16" i="13"/>
  <c r="E9" i="13"/>
  <c r="F9" i="13" s="1"/>
  <c r="H8" i="13"/>
  <c r="H7" i="13"/>
  <c r="I5" i="13"/>
  <c r="J5" i="13" s="1"/>
  <c r="K5" i="13" s="1"/>
  <c r="C3" i="13"/>
  <c r="G7" i="11"/>
  <c r="D174" i="11" l="1"/>
  <c r="E174" i="11" s="1"/>
  <c r="D177" i="11" s="1"/>
  <c r="E177" i="11"/>
  <c r="D179" i="11" s="1"/>
  <c r="D172" i="11"/>
  <c r="E172" i="11" s="1"/>
  <c r="D175" i="11" s="1"/>
  <c r="E175" i="11" s="1"/>
  <c r="E116" i="11"/>
  <c r="D119" i="11" s="1"/>
  <c r="E121" i="11"/>
  <c r="E120" i="11"/>
  <c r="D123" i="11" s="1"/>
  <c r="D19" i="11"/>
  <c r="E19" i="11" s="1"/>
  <c r="E70" i="11"/>
  <c r="I4" i="13"/>
  <c r="I6" i="13"/>
  <c r="J6" i="13"/>
  <c r="L5" i="13"/>
  <c r="K6" i="13"/>
  <c r="E180" i="11" l="1"/>
  <c r="E179" i="11"/>
  <c r="D124" i="11"/>
  <c r="E124" i="11" s="1"/>
  <c r="E119" i="11"/>
  <c r="D122" i="11" s="1"/>
  <c r="E123" i="11"/>
  <c r="D20" i="11"/>
  <c r="D21" i="11" s="1"/>
  <c r="E10" i="13"/>
  <c r="F10" i="13" s="1"/>
  <c r="E12" i="13" s="1"/>
  <c r="M5" i="13"/>
  <c r="L6" i="13"/>
  <c r="H9" i="13"/>
  <c r="H5" i="11"/>
  <c r="G200" i="11"/>
  <c r="G93" i="11"/>
  <c r="G90" i="11"/>
  <c r="G65" i="11"/>
  <c r="G9" i="11"/>
  <c r="E12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<sst xmlns="http://schemas.openxmlformats.org/spreadsheetml/2006/main" count="810" uniqueCount="300">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</sst>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2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43" fillId="0" borderId="17" xfId="53" applyFont="1" applyBorder="1" applyAlignment="1">
      <alignment horizontal="center" vertical="center"/>
    </xf>
    <xf numFmtId="0" fontId="43" fillId="48" borderId="17" xfId="53"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0" fillId="45" borderId="2" xfId="11" applyFont="1" applyFill="1">
      <alignment horizontal="left" vertical="center" indent="2"/>
    </xf>
    <xf numFmtId="0" fontId="0" fillId="45" borderId="2" xfId="10" applyFont="1" applyFill="1">
      <alignment horizontal="center" vertical="center"/>
    </xf>
    <xf numFmtId="14" fontId="0" fillId="45" borderId="2" xfId="9" applyNumberFormat="1" applyFont="1" applyFill="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9"/>
      <tableStyleElement type="headerRow" dxfId="108"/>
      <tableStyleElement type="totalRow" dxfId="107"/>
      <tableStyleElement type="firstColumn" dxfId="106"/>
      <tableStyleElement type="lastColumn" dxfId="105"/>
      <tableStyleElement type="firstRowStripe" dxfId="104"/>
      <tableStyleElement type="secondRowStripe" dxfId="103"/>
      <tableStyleElement type="firstColumnStripe" dxfId="102"/>
      <tableStyleElement type="secondColumnStripe" dxfId="101"/>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6"/>
  <sheetViews>
    <sheetView showGridLines="0" zoomScale="85" zoomScaleNormal="85" workbookViewId="0">
      <pane ySplit="1" topLeftCell="A2" activePane="bottomLeft" state="frozen"/>
      <selection pane="bottomLeft" activeCell="F23" sqref="F23"/>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42578125" bestFit="1" customWidth="1"/>
    <col min="7" max="7" width="39.42578125" customWidth="1"/>
    <col min="8" max="8" width="44.42578125"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hidden="1">
      <c r="A2" s="79" t="s">
        <v>10</v>
      </c>
      <c r="B2" s="91">
        <v>4612171</v>
      </c>
      <c r="C2" s="91" t="s">
        <v>11</v>
      </c>
      <c r="D2" s="92" t="s">
        <v>12</v>
      </c>
      <c r="E2" s="93" t="s">
        <v>13</v>
      </c>
      <c r="F2" s="93" t="s">
        <v>14</v>
      </c>
      <c r="G2" s="168" t="s">
        <v>15</v>
      </c>
      <c r="H2" s="93" t="s">
        <v>16</v>
      </c>
      <c r="I2" s="154" t="s">
        <v>17</v>
      </c>
      <c r="J2" s="156"/>
    </row>
    <row r="3" spans="1:10" hidden="1">
      <c r="A3" s="79" t="s">
        <v>10</v>
      </c>
      <c r="B3" s="94">
        <v>4612050</v>
      </c>
      <c r="C3" s="94" t="s">
        <v>18</v>
      </c>
      <c r="D3" s="95" t="s">
        <v>12</v>
      </c>
      <c r="E3" s="93" t="s">
        <v>19</v>
      </c>
      <c r="F3" s="96" t="s">
        <v>14</v>
      </c>
      <c r="G3" s="169" t="s">
        <v>20</v>
      </c>
      <c r="H3" s="96" t="s">
        <v>21</v>
      </c>
      <c r="I3" s="154" t="s">
        <v>22</v>
      </c>
      <c r="J3" s="156"/>
    </row>
    <row r="4" spans="1:10">
      <c r="A4" s="79" t="s">
        <v>10</v>
      </c>
      <c r="B4" s="91">
        <v>4612140</v>
      </c>
      <c r="C4" s="91" t="s">
        <v>23</v>
      </c>
      <c r="D4" s="92" t="s">
        <v>12</v>
      </c>
      <c r="E4" s="99" t="s">
        <v>24</v>
      </c>
      <c r="F4" s="93" t="s">
        <v>14</v>
      </c>
      <c r="G4" s="168" t="s">
        <v>25</v>
      </c>
      <c r="H4" s="93" t="s">
        <v>26</v>
      </c>
      <c r="I4" s="154" t="s">
        <v>17</v>
      </c>
      <c r="J4" s="156"/>
    </row>
    <row r="5" spans="1:10" hidden="1">
      <c r="A5" s="79" t="s">
        <v>10</v>
      </c>
      <c r="B5" s="94">
        <v>9842940</v>
      </c>
      <c r="C5" s="94" t="s">
        <v>27</v>
      </c>
      <c r="D5" s="95" t="s">
        <v>12</v>
      </c>
      <c r="E5" s="96" t="s">
        <v>13</v>
      </c>
      <c r="F5" s="96" t="s">
        <v>14</v>
      </c>
      <c r="G5" s="169" t="s">
        <v>28</v>
      </c>
      <c r="H5" s="96" t="s">
        <v>29</v>
      </c>
      <c r="I5" s="154" t="s">
        <v>30</v>
      </c>
      <c r="J5" s="157"/>
    </row>
    <row r="6" spans="1:10" hidden="1">
      <c r="A6" s="79" t="s">
        <v>31</v>
      </c>
      <c r="B6" s="91">
        <v>9886449</v>
      </c>
      <c r="C6" s="91" t="s">
        <v>32</v>
      </c>
      <c r="D6" s="92" t="s">
        <v>12</v>
      </c>
      <c r="E6" s="93" t="s">
        <v>13</v>
      </c>
      <c r="F6" s="93" t="s">
        <v>33</v>
      </c>
      <c r="G6" s="168" t="s">
        <v>34</v>
      </c>
      <c r="H6" s="93" t="s">
        <v>35</v>
      </c>
      <c r="I6" s="154" t="s">
        <v>22</v>
      </c>
      <c r="J6" s="157" t="s">
        <v>36</v>
      </c>
    </row>
    <row r="7" spans="1:10" hidden="1">
      <c r="A7" s="97" t="s">
        <v>31</v>
      </c>
      <c r="B7" s="94">
        <v>4608721</v>
      </c>
      <c r="C7" s="94" t="s">
        <v>37</v>
      </c>
      <c r="D7" s="98" t="s">
        <v>12</v>
      </c>
      <c r="E7" s="99" t="s">
        <v>13</v>
      </c>
      <c r="F7" s="99" t="s">
        <v>14</v>
      </c>
      <c r="G7" s="158" t="s">
        <v>38</v>
      </c>
      <c r="H7" s="99" t="s">
        <v>39</v>
      </c>
      <c r="I7" s="154" t="s">
        <v>22</v>
      </c>
      <c r="J7" s="157"/>
    </row>
    <row r="8" spans="1:10" hidden="1">
      <c r="A8" s="97" t="s">
        <v>31</v>
      </c>
      <c r="B8" s="91">
        <v>1385894</v>
      </c>
      <c r="C8" s="91" t="s">
        <v>40</v>
      </c>
      <c r="D8" s="100" t="s">
        <v>12</v>
      </c>
      <c r="E8" s="101" t="s">
        <v>13</v>
      </c>
      <c r="F8" s="101" t="s">
        <v>33</v>
      </c>
      <c r="G8" s="170" t="s">
        <v>41</v>
      </c>
      <c r="H8" s="101" t="s">
        <v>42</v>
      </c>
      <c r="I8" s="154" t="s">
        <v>22</v>
      </c>
      <c r="J8" s="157" t="s">
        <v>43</v>
      </c>
    </row>
    <row r="9" spans="1:10" hidden="1">
      <c r="A9" s="97" t="s">
        <v>31</v>
      </c>
      <c r="B9" s="94">
        <v>4608685</v>
      </c>
      <c r="C9" s="94" t="s">
        <v>44</v>
      </c>
      <c r="D9" s="98" t="s">
        <v>12</v>
      </c>
      <c r="E9" s="99" t="s">
        <v>13</v>
      </c>
      <c r="F9" s="99" t="s">
        <v>14</v>
      </c>
      <c r="G9" s="158" t="s">
        <v>45</v>
      </c>
      <c r="H9" s="99" t="s">
        <v>46</v>
      </c>
      <c r="I9" s="154" t="s">
        <v>22</v>
      </c>
      <c r="J9" s="157"/>
    </row>
    <row r="10" spans="1:10" ht="43.15" hidden="1">
      <c r="A10" s="97" t="s">
        <v>47</v>
      </c>
      <c r="B10" s="91">
        <v>9762281</v>
      </c>
      <c r="C10" s="91" t="s">
        <v>48</v>
      </c>
      <c r="D10" s="100" t="s">
        <v>12</v>
      </c>
      <c r="E10" s="101" t="s">
        <v>13</v>
      </c>
      <c r="F10" s="101" t="s">
        <v>33</v>
      </c>
      <c r="G10" s="170" t="s">
        <v>49</v>
      </c>
      <c r="H10" s="101" t="s">
        <v>50</v>
      </c>
      <c r="I10" s="154" t="s">
        <v>22</v>
      </c>
      <c r="J10" s="159" t="s">
        <v>51</v>
      </c>
    </row>
    <row r="11" spans="1:10" hidden="1">
      <c r="A11" s="97" t="s">
        <v>47</v>
      </c>
      <c r="B11" s="94">
        <v>9683150</v>
      </c>
      <c r="C11" s="94" t="s">
        <v>52</v>
      </c>
      <c r="D11" s="98" t="s">
        <v>12</v>
      </c>
      <c r="E11" s="99" t="s">
        <v>13</v>
      </c>
      <c r="F11" s="99" t="s">
        <v>33</v>
      </c>
      <c r="G11" s="158" t="s">
        <v>53</v>
      </c>
      <c r="H11" s="99" t="s">
        <v>54</v>
      </c>
      <c r="I11" s="154" t="s">
        <v>22</v>
      </c>
      <c r="J11" s="157" t="s">
        <v>55</v>
      </c>
    </row>
    <row r="12" spans="1:10" hidden="1">
      <c r="A12" s="79" t="s">
        <v>47</v>
      </c>
      <c r="B12" s="91">
        <v>2440812</v>
      </c>
      <c r="C12" s="91" t="s">
        <v>56</v>
      </c>
      <c r="D12" s="92" t="s">
        <v>57</v>
      </c>
      <c r="E12" s="93" t="s">
        <v>13</v>
      </c>
      <c r="F12" s="93" t="s">
        <v>33</v>
      </c>
      <c r="G12" s="168" t="s">
        <v>58</v>
      </c>
      <c r="H12" s="93" t="s">
        <v>59</v>
      </c>
      <c r="I12" s="154" t="s">
        <v>22</v>
      </c>
      <c r="J12" s="157"/>
    </row>
    <row r="13" spans="1:10" hidden="1">
      <c r="A13" s="97" t="s">
        <v>47</v>
      </c>
      <c r="B13" s="94">
        <v>1381625</v>
      </c>
      <c r="C13" s="94" t="s">
        <v>60</v>
      </c>
      <c r="D13" s="95" t="s">
        <v>12</v>
      </c>
      <c r="E13" s="96" t="s">
        <v>13</v>
      </c>
      <c r="F13" s="96" t="s">
        <v>33</v>
      </c>
      <c r="G13" s="169" t="s">
        <v>61</v>
      </c>
      <c r="H13" s="96" t="s">
        <v>62</v>
      </c>
      <c r="I13" s="154" t="s">
        <v>22</v>
      </c>
      <c r="J13" s="157"/>
    </row>
    <row r="14" spans="1:10" hidden="1">
      <c r="A14" s="79" t="s">
        <v>47</v>
      </c>
      <c r="B14" s="91">
        <v>4608389</v>
      </c>
      <c r="C14" s="91" t="s">
        <v>63</v>
      </c>
      <c r="D14" s="92" t="s">
        <v>12</v>
      </c>
      <c r="E14" s="93" t="s">
        <v>13</v>
      </c>
      <c r="F14" s="93" t="s">
        <v>14</v>
      </c>
      <c r="G14" s="168" t="s">
        <v>64</v>
      </c>
      <c r="H14" s="93" t="s">
        <v>65</v>
      </c>
      <c r="I14" s="154" t="s">
        <v>22</v>
      </c>
      <c r="J14" s="157"/>
    </row>
    <row r="15" spans="1:10" hidden="1">
      <c r="A15" s="97" t="s">
        <v>10</v>
      </c>
      <c r="B15" s="94">
        <v>4608544</v>
      </c>
      <c r="C15" s="94" t="s">
        <v>66</v>
      </c>
      <c r="D15" s="95" t="s">
        <v>12</v>
      </c>
      <c r="E15" s="96" t="s">
        <v>19</v>
      </c>
      <c r="F15" s="96" t="s">
        <v>14</v>
      </c>
      <c r="G15" s="169" t="s">
        <v>67</v>
      </c>
      <c r="H15" s="96" t="s">
        <v>68</v>
      </c>
      <c r="I15" s="154" t="s">
        <v>22</v>
      </c>
      <c r="J15" s="157"/>
    </row>
    <row r="16" spans="1:10" hidden="1">
      <c r="A16" s="97" t="s">
        <v>31</v>
      </c>
      <c r="B16" s="91">
        <v>4608474</v>
      </c>
      <c r="C16" s="91" t="s">
        <v>69</v>
      </c>
      <c r="D16" s="92" t="s">
        <v>12</v>
      </c>
      <c r="E16" s="93" t="s">
        <v>19</v>
      </c>
      <c r="F16" s="101" t="s">
        <v>14</v>
      </c>
      <c r="G16" s="170" t="s">
        <v>70</v>
      </c>
      <c r="H16" s="101" t="s">
        <v>71</v>
      </c>
      <c r="I16" s="154" t="s">
        <v>22</v>
      </c>
      <c r="J16" s="157"/>
    </row>
    <row r="17" spans="1:10" hidden="1">
      <c r="A17" s="79" t="s">
        <v>31</v>
      </c>
      <c r="B17" s="94">
        <v>1386344</v>
      </c>
      <c r="C17" s="94" t="s">
        <v>72</v>
      </c>
      <c r="D17" s="98" t="s">
        <v>12</v>
      </c>
      <c r="E17" s="99" t="s">
        <v>19</v>
      </c>
      <c r="F17" s="99" t="s">
        <v>33</v>
      </c>
      <c r="G17" s="158" t="s">
        <v>73</v>
      </c>
      <c r="H17" s="99" t="s">
        <v>74</v>
      </c>
      <c r="I17" s="154" t="s">
        <v>22</v>
      </c>
      <c r="J17" s="157" t="s">
        <v>55</v>
      </c>
    </row>
    <row r="18" spans="1:10" hidden="1">
      <c r="A18" s="79" t="s">
        <v>31</v>
      </c>
      <c r="B18" s="91">
        <v>4608684</v>
      </c>
      <c r="C18" s="91" t="s">
        <v>75</v>
      </c>
      <c r="D18" s="100" t="s">
        <v>12</v>
      </c>
      <c r="E18" s="101" t="s">
        <v>19</v>
      </c>
      <c r="F18" s="101" t="s">
        <v>14</v>
      </c>
      <c r="G18" s="170" t="s">
        <v>76</v>
      </c>
      <c r="H18" s="93" t="s">
        <v>77</v>
      </c>
      <c r="I18" s="154" t="s">
        <v>22</v>
      </c>
      <c r="J18" s="157"/>
    </row>
    <row r="19" spans="1:10" hidden="1">
      <c r="A19" s="79" t="s">
        <v>47</v>
      </c>
      <c r="B19" s="94">
        <v>9612082</v>
      </c>
      <c r="C19" s="94" t="s">
        <v>78</v>
      </c>
      <c r="D19" s="98" t="s">
        <v>12</v>
      </c>
      <c r="E19" s="99" t="s">
        <v>19</v>
      </c>
      <c r="F19" s="96" t="s">
        <v>33</v>
      </c>
      <c r="G19" s="158" t="s">
        <v>79</v>
      </c>
      <c r="H19" s="99" t="s">
        <v>80</v>
      </c>
      <c r="I19" s="154" t="s">
        <v>22</v>
      </c>
      <c r="J19" s="157"/>
    </row>
    <row r="20" spans="1:10" hidden="1">
      <c r="A20" s="79" t="s">
        <v>47</v>
      </c>
      <c r="B20" s="91">
        <v>9618720</v>
      </c>
      <c r="C20" s="91" t="s">
        <v>81</v>
      </c>
      <c r="D20" s="100" t="s">
        <v>12</v>
      </c>
      <c r="E20" s="101" t="s">
        <v>19</v>
      </c>
      <c r="F20" s="93" t="s">
        <v>33</v>
      </c>
      <c r="G20" s="170" t="s">
        <v>82</v>
      </c>
      <c r="H20" s="101" t="s">
        <v>83</v>
      </c>
      <c r="I20" s="154" t="s">
        <v>22</v>
      </c>
      <c r="J20" s="157" t="s">
        <v>43</v>
      </c>
    </row>
    <row r="21" spans="1:10" hidden="1">
      <c r="A21" s="79" t="s">
        <v>47</v>
      </c>
      <c r="B21" s="94">
        <v>9724817</v>
      </c>
      <c r="C21" s="94" t="s">
        <v>84</v>
      </c>
      <c r="D21" s="98" t="s">
        <v>12</v>
      </c>
      <c r="E21" s="99" t="s">
        <v>19</v>
      </c>
      <c r="F21" s="96" t="s">
        <v>33</v>
      </c>
      <c r="G21" s="158" t="s">
        <v>85</v>
      </c>
      <c r="H21" s="99" t="s">
        <v>86</v>
      </c>
      <c r="I21" s="154" t="s">
        <v>22</v>
      </c>
      <c r="J21" s="157"/>
    </row>
    <row r="22" spans="1:10" hidden="1">
      <c r="A22" s="79" t="s">
        <v>47</v>
      </c>
      <c r="B22" s="91">
        <v>2460800</v>
      </c>
      <c r="C22" s="91" t="s">
        <v>87</v>
      </c>
      <c r="D22" s="100" t="s">
        <v>57</v>
      </c>
      <c r="E22" s="101" t="s">
        <v>19</v>
      </c>
      <c r="F22" s="93" t="s">
        <v>33</v>
      </c>
      <c r="G22" s="168"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0" t="s">
        <v>94</v>
      </c>
      <c r="H24" s="101" t="s">
        <v>95</v>
      </c>
      <c r="I24" s="154" t="s">
        <v>22</v>
      </c>
      <c r="J24" s="156"/>
    </row>
    <row r="25" spans="1:10">
      <c r="A25" s="79" t="s">
        <v>31</v>
      </c>
      <c r="B25" s="94">
        <v>9634180</v>
      </c>
      <c r="C25" s="94" t="s">
        <v>96</v>
      </c>
      <c r="D25" s="95" t="s">
        <v>12</v>
      </c>
      <c r="E25" s="96" t="s">
        <v>24</v>
      </c>
      <c r="F25" s="96" t="s">
        <v>33</v>
      </c>
      <c r="G25" s="169" t="s">
        <v>97</v>
      </c>
      <c r="H25" s="96" t="s">
        <v>98</v>
      </c>
      <c r="I25" s="154" t="s">
        <v>22</v>
      </c>
      <c r="J25" s="156"/>
    </row>
    <row r="26" spans="1:10">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0" t="s">
        <v>107</v>
      </c>
      <c r="H28" s="101" t="s">
        <v>108</v>
      </c>
      <c r="I28" s="154" t="s">
        <v>22</v>
      </c>
      <c r="J28" s="156"/>
    </row>
    <row r="29" spans="1:10" hidden="1">
      <c r="A29" s="79" t="s">
        <v>10</v>
      </c>
      <c r="B29" s="94">
        <v>4606246</v>
      </c>
      <c r="C29" s="94" t="s">
        <v>109</v>
      </c>
      <c r="D29" s="95" t="s">
        <v>110</v>
      </c>
      <c r="E29" s="99" t="s">
        <v>111</v>
      </c>
      <c r="F29" s="96" t="s">
        <v>14</v>
      </c>
      <c r="G29" s="158" t="s">
        <v>112</v>
      </c>
      <c r="H29" s="99" t="s">
        <v>113</v>
      </c>
      <c r="I29" s="154" t="s">
        <v>22</v>
      </c>
      <c r="J29" s="157"/>
    </row>
    <row r="30" spans="1:10" hidden="1">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hidden="1">
      <c r="A32" s="79" t="s">
        <v>31</v>
      </c>
      <c r="B32" s="91">
        <v>229316</v>
      </c>
      <c r="C32" s="91" t="s">
        <v>120</v>
      </c>
      <c r="D32" s="91" t="s">
        <v>110</v>
      </c>
      <c r="E32" s="81" t="s">
        <v>111</v>
      </c>
      <c r="F32" s="81" t="s">
        <v>33</v>
      </c>
      <c r="G32" s="171" t="s">
        <v>121</v>
      </c>
      <c r="H32" s="81" t="s">
        <v>122</v>
      </c>
      <c r="I32" s="154" t="s">
        <v>22</v>
      </c>
      <c r="J32" s="157"/>
    </row>
    <row r="33" spans="1:10" hidden="1">
      <c r="A33" s="79" t="s">
        <v>47</v>
      </c>
      <c r="B33" s="94">
        <v>2493288</v>
      </c>
      <c r="C33" s="94" t="s">
        <v>123</v>
      </c>
      <c r="D33" s="94" t="s">
        <v>110</v>
      </c>
      <c r="E33" s="80" t="s">
        <v>111</v>
      </c>
      <c r="F33" s="96" t="s">
        <v>33</v>
      </c>
      <c r="G33" s="172" t="s">
        <v>124</v>
      </c>
      <c r="H33" s="80" t="s">
        <v>125</v>
      </c>
      <c r="I33" s="154" t="s">
        <v>22</v>
      </c>
      <c r="J33" s="157"/>
    </row>
    <row r="34" spans="1:10" hidden="1">
      <c r="A34" s="79" t="s">
        <v>47</v>
      </c>
      <c r="B34" s="91">
        <v>214272</v>
      </c>
      <c r="C34" s="91" t="s">
        <v>126</v>
      </c>
      <c r="D34" s="91" t="s">
        <v>110</v>
      </c>
      <c r="E34" s="81" t="s">
        <v>111</v>
      </c>
      <c r="F34" s="93" t="s">
        <v>33</v>
      </c>
      <c r="G34" s="171" t="s">
        <v>127</v>
      </c>
      <c r="H34" s="81" t="s">
        <v>128</v>
      </c>
      <c r="I34" s="154" t="s">
        <v>22</v>
      </c>
      <c r="J34" s="157"/>
    </row>
    <row r="35" spans="1:10" hidden="1">
      <c r="A35" s="79" t="s">
        <v>47</v>
      </c>
      <c r="B35" s="94">
        <v>4606694</v>
      </c>
      <c r="C35" s="94" t="s">
        <v>129</v>
      </c>
      <c r="D35" s="95" t="s">
        <v>110</v>
      </c>
      <c r="E35" s="80" t="s">
        <v>111</v>
      </c>
      <c r="F35" s="80" t="s">
        <v>14</v>
      </c>
      <c r="G35" s="172" t="s">
        <v>130</v>
      </c>
      <c r="H35" s="80" t="s">
        <v>131</v>
      </c>
      <c r="I35" s="154" t="s">
        <v>30</v>
      </c>
      <c r="J35" s="157"/>
    </row>
    <row r="36" spans="1:10" hidden="1">
      <c r="A36" s="79" t="s">
        <v>47</v>
      </c>
      <c r="B36" s="91">
        <v>2430855</v>
      </c>
      <c r="C36" s="91" t="s">
        <v>132</v>
      </c>
      <c r="D36" s="92" t="s">
        <v>12</v>
      </c>
      <c r="E36" s="81" t="s">
        <v>111</v>
      </c>
      <c r="F36" s="81" t="s">
        <v>33</v>
      </c>
      <c r="G36" s="171" t="s">
        <v>133</v>
      </c>
      <c r="H36" s="81" t="s">
        <v>134</v>
      </c>
      <c r="I36" s="154" t="s">
        <v>22</v>
      </c>
      <c r="J36" s="157"/>
    </row>
    <row r="37" spans="1:10" hidden="1">
      <c r="A37" s="79" t="s">
        <v>47</v>
      </c>
      <c r="B37" s="94">
        <v>4604625</v>
      </c>
      <c r="C37" s="94" t="s">
        <v>135</v>
      </c>
      <c r="D37" s="95" t="s">
        <v>136</v>
      </c>
      <c r="E37" s="80" t="s">
        <v>111</v>
      </c>
      <c r="F37" s="80" t="s">
        <v>14</v>
      </c>
      <c r="G37" s="172" t="s">
        <v>137</v>
      </c>
      <c r="H37" s="80" t="s">
        <v>138</v>
      </c>
      <c r="I37" s="154" t="s">
        <v>22</v>
      </c>
      <c r="J37" s="157"/>
    </row>
    <row r="38" spans="1:10" hidden="1">
      <c r="A38" s="79" t="s">
        <v>47</v>
      </c>
      <c r="B38" s="91">
        <v>4612098</v>
      </c>
      <c r="C38" s="91" t="s">
        <v>139</v>
      </c>
      <c r="D38" s="92" t="s">
        <v>12</v>
      </c>
      <c r="E38" s="93" t="s">
        <v>13</v>
      </c>
      <c r="F38" s="81" t="s">
        <v>14</v>
      </c>
      <c r="G38" s="171" t="s">
        <v>140</v>
      </c>
      <c r="H38" s="81" t="s">
        <v>141</v>
      </c>
      <c r="I38" s="154" t="s">
        <v>22</v>
      </c>
      <c r="J38" s="156"/>
    </row>
    <row r="39" spans="1:10" hidden="1">
      <c r="A39" s="97" t="s">
        <v>47</v>
      </c>
      <c r="B39" s="94">
        <v>4612126</v>
      </c>
      <c r="C39" s="94" t="s">
        <v>142</v>
      </c>
      <c r="D39" s="95" t="s">
        <v>12</v>
      </c>
      <c r="E39" s="93" t="s">
        <v>19</v>
      </c>
      <c r="F39" s="80" t="s">
        <v>14</v>
      </c>
      <c r="G39" s="172" t="s">
        <v>143</v>
      </c>
      <c r="H39" s="80" t="s">
        <v>144</v>
      </c>
      <c r="I39" s="154" t="s">
        <v>22</v>
      </c>
      <c r="J39" s="156"/>
    </row>
    <row r="40" spans="1:10">
      <c r="A40" s="79" t="s">
        <v>47</v>
      </c>
      <c r="B40" s="91">
        <v>2550195</v>
      </c>
      <c r="C40" s="91" t="s">
        <v>145</v>
      </c>
      <c r="D40" s="91" t="s">
        <v>57</v>
      </c>
      <c r="E40" s="81" t="s">
        <v>24</v>
      </c>
      <c r="F40" s="81" t="s">
        <v>33</v>
      </c>
      <c r="G40" s="171" t="s">
        <v>146</v>
      </c>
      <c r="H40" s="81" t="s">
        <v>147</v>
      </c>
      <c r="I40" s="154" t="s">
        <v>30</v>
      </c>
      <c r="J40" s="156"/>
    </row>
    <row r="41" spans="1:10" hidden="1">
      <c r="A41" s="79" t="s">
        <v>47</v>
      </c>
      <c r="B41" s="94">
        <v>4613176</v>
      </c>
      <c r="C41" s="94" t="s">
        <v>148</v>
      </c>
      <c r="D41" s="95" t="s">
        <v>12</v>
      </c>
      <c r="E41" s="96" t="s">
        <v>19</v>
      </c>
      <c r="F41" s="80" t="s">
        <v>14</v>
      </c>
      <c r="G41" s="187" t="s">
        <v>149</v>
      </c>
      <c r="H41" s="80" t="s">
        <v>150</v>
      </c>
      <c r="I41" s="154"/>
      <c r="J41" s="156"/>
    </row>
    <row r="42" spans="1:10">
      <c r="A42" s="79" t="s">
        <v>47</v>
      </c>
      <c r="B42" s="91">
        <v>4613186</v>
      </c>
      <c r="C42" s="91" t="s">
        <v>151</v>
      </c>
      <c r="D42" s="92" t="s">
        <v>12</v>
      </c>
      <c r="E42" s="93" t="s">
        <v>24</v>
      </c>
      <c r="F42" s="81" t="s">
        <v>14</v>
      </c>
      <c r="G42" s="188" t="s">
        <v>152</v>
      </c>
      <c r="H42" s="81" t="s">
        <v>153</v>
      </c>
      <c r="I42" s="154"/>
      <c r="J42" s="156"/>
    </row>
    <row r="43" spans="1:10" hidden="1">
      <c r="A43" s="79" t="s">
        <v>31</v>
      </c>
      <c r="B43" s="94">
        <v>4612243</v>
      </c>
      <c r="C43" s="94" t="s">
        <v>154</v>
      </c>
      <c r="D43" s="95" t="s">
        <v>12</v>
      </c>
      <c r="E43" s="96" t="s">
        <v>13</v>
      </c>
      <c r="F43" s="80" t="s">
        <v>14</v>
      </c>
      <c r="G43" s="172" t="s">
        <v>155</v>
      </c>
      <c r="H43" s="80" t="s">
        <v>156</v>
      </c>
      <c r="I43" s="154" t="s">
        <v>22</v>
      </c>
      <c r="J43" s="156"/>
    </row>
    <row r="44" spans="1:10" hidden="1">
      <c r="A44" s="79" t="s">
        <v>31</v>
      </c>
      <c r="B44" s="91">
        <v>4612389</v>
      </c>
      <c r="C44" s="91" t="s">
        <v>157</v>
      </c>
      <c r="D44" s="92" t="s">
        <v>12</v>
      </c>
      <c r="E44" s="96" t="s">
        <v>13</v>
      </c>
      <c r="F44" s="81" t="s">
        <v>14</v>
      </c>
      <c r="G44" s="171" t="s">
        <v>158</v>
      </c>
      <c r="H44" s="81" t="s">
        <v>159</v>
      </c>
      <c r="I44" s="154" t="s">
        <v>22</v>
      </c>
      <c r="J44" s="156"/>
    </row>
    <row r="45" spans="1:10" hidden="1">
      <c r="A45" s="79" t="s">
        <v>31</v>
      </c>
      <c r="B45" s="94">
        <v>4612192</v>
      </c>
      <c r="C45" s="94" t="s">
        <v>160</v>
      </c>
      <c r="D45" s="95" t="s">
        <v>12</v>
      </c>
      <c r="E45" s="93" t="s">
        <v>19</v>
      </c>
      <c r="F45" s="80" t="s">
        <v>14</v>
      </c>
      <c r="G45" s="172" t="s">
        <v>161</v>
      </c>
      <c r="H45" s="80" t="s">
        <v>162</v>
      </c>
      <c r="I45" s="154" t="s">
        <v>30</v>
      </c>
      <c r="J45" s="156"/>
    </row>
    <row r="46" spans="1:10">
      <c r="A46" s="79" t="s">
        <v>31</v>
      </c>
      <c r="B46" s="91">
        <v>4612393</v>
      </c>
      <c r="C46" s="91" t="s">
        <v>163</v>
      </c>
      <c r="D46" s="92" t="s">
        <v>12</v>
      </c>
      <c r="E46" s="99" t="s">
        <v>24</v>
      </c>
      <c r="F46" s="81" t="s">
        <v>14</v>
      </c>
      <c r="G46" s="171" t="s">
        <v>164</v>
      </c>
      <c r="H46" s="81" t="s">
        <v>165</v>
      </c>
      <c r="I46" s="154" t="s">
        <v>17</v>
      </c>
      <c r="J46" s="156"/>
    </row>
    <row r="47" spans="1:10" hidden="1">
      <c r="A47" s="79" t="s">
        <v>31</v>
      </c>
      <c r="B47" s="94">
        <v>4612228</v>
      </c>
      <c r="C47" s="94" t="s">
        <v>166</v>
      </c>
      <c r="D47" s="95" t="s">
        <v>12</v>
      </c>
      <c r="E47" s="93" t="s">
        <v>19</v>
      </c>
      <c r="F47" s="80" t="s">
        <v>14</v>
      </c>
      <c r="G47" s="172" t="s">
        <v>167</v>
      </c>
      <c r="H47" s="80" t="s">
        <v>168</v>
      </c>
      <c r="I47" s="154" t="s">
        <v>22</v>
      </c>
      <c r="J47" s="156"/>
    </row>
    <row r="48" spans="1:10">
      <c r="A48" s="79" t="s">
        <v>31</v>
      </c>
      <c r="B48" s="91">
        <v>4612247</v>
      </c>
      <c r="C48" s="91" t="s">
        <v>169</v>
      </c>
      <c r="D48" s="92" t="s">
        <v>12</v>
      </c>
      <c r="E48" s="99" t="s">
        <v>24</v>
      </c>
      <c r="F48" s="81" t="s">
        <v>14</v>
      </c>
      <c r="G48" s="171" t="s">
        <v>170</v>
      </c>
      <c r="H48" s="81" t="s">
        <v>171</v>
      </c>
      <c r="I48" s="154" t="s">
        <v>17</v>
      </c>
      <c r="J48" s="156"/>
    </row>
    <row r="49" spans="1:10" hidden="1">
      <c r="A49" s="79" t="s">
        <v>31</v>
      </c>
      <c r="B49" s="94">
        <v>1385950</v>
      </c>
      <c r="C49" s="94" t="s">
        <v>172</v>
      </c>
      <c r="D49" s="95" t="s">
        <v>12</v>
      </c>
      <c r="E49" s="93" t="s">
        <v>19</v>
      </c>
      <c r="F49" s="80" t="s">
        <v>33</v>
      </c>
      <c r="G49" s="164" t="s">
        <v>173</v>
      </c>
      <c r="H49" s="80" t="s">
        <v>174</v>
      </c>
      <c r="I49" s="154"/>
      <c r="J49" s="156"/>
    </row>
    <row r="50" spans="1:10" hidden="1">
      <c r="A50" s="79" t="s">
        <v>31</v>
      </c>
      <c r="B50" s="91">
        <v>1387328</v>
      </c>
      <c r="C50" s="91" t="s">
        <v>175</v>
      </c>
      <c r="D50" s="92" t="s">
        <v>12</v>
      </c>
      <c r="E50" s="93" t="s">
        <v>19</v>
      </c>
      <c r="F50" s="81" t="s">
        <v>33</v>
      </c>
      <c r="G50" s="165" t="s">
        <v>176</v>
      </c>
      <c r="H50" s="81" t="s">
        <v>177</v>
      </c>
      <c r="I50" s="154"/>
      <c r="J50" s="156"/>
    </row>
    <row r="51" spans="1:10">
      <c r="A51" s="189" t="s">
        <v>31</v>
      </c>
      <c r="B51" s="190">
        <v>1385870</v>
      </c>
      <c r="C51" s="190" t="s">
        <v>178</v>
      </c>
      <c r="D51" s="191" t="s">
        <v>12</v>
      </c>
      <c r="E51" s="192" t="s">
        <v>24</v>
      </c>
      <c r="F51" s="193" t="s">
        <v>33</v>
      </c>
      <c r="G51" s="194" t="s">
        <v>179</v>
      </c>
      <c r="H51" s="193" t="s">
        <v>180</v>
      </c>
      <c r="I51" s="195"/>
      <c r="J51" s="196"/>
    </row>
    <row r="52" spans="1:10">
      <c r="A52" s="197" t="s">
        <v>31</v>
      </c>
      <c r="B52" s="198">
        <v>1386288</v>
      </c>
      <c r="C52" s="198" t="s">
        <v>181</v>
      </c>
      <c r="D52" s="198" t="s">
        <v>12</v>
      </c>
      <c r="E52" s="199" t="s">
        <v>24</v>
      </c>
      <c r="F52" s="200" t="s">
        <v>33</v>
      </c>
      <c r="G52" s="201" t="s">
        <v>182</v>
      </c>
      <c r="H52" s="200" t="s">
        <v>183</v>
      </c>
      <c r="I52" s="157"/>
      <c r="J52" s="156"/>
    </row>
    <row r="53" spans="1:10" hidden="1">
      <c r="A53" s="197" t="s">
        <v>31</v>
      </c>
      <c r="B53" s="202">
        <v>9678697</v>
      </c>
      <c r="C53" s="202" t="s">
        <v>184</v>
      </c>
      <c r="D53" s="202" t="s">
        <v>12</v>
      </c>
      <c r="E53" s="199" t="s">
        <v>13</v>
      </c>
      <c r="F53" s="199" t="s">
        <v>33</v>
      </c>
      <c r="G53" s="203" t="s">
        <v>185</v>
      </c>
      <c r="H53" s="199" t="s">
        <v>186</v>
      </c>
      <c r="I53" s="157"/>
      <c r="J53" s="156"/>
    </row>
    <row r="54" spans="1:10" hidden="1">
      <c r="A54" s="197" t="s">
        <v>10</v>
      </c>
      <c r="B54" s="198">
        <v>9921954</v>
      </c>
      <c r="C54" s="198" t="s">
        <v>187</v>
      </c>
      <c r="D54" s="198" t="s">
        <v>12</v>
      </c>
      <c r="E54" s="200" t="s">
        <v>19</v>
      </c>
      <c r="F54" s="200" t="s">
        <v>33</v>
      </c>
      <c r="G54" s="201" t="s">
        <v>188</v>
      </c>
      <c r="H54" s="200" t="s">
        <v>189</v>
      </c>
      <c r="I54" s="157"/>
      <c r="J54" s="156"/>
    </row>
    <row r="55" spans="1:10" hidden="1">
      <c r="A55" s="197" t="s">
        <v>10</v>
      </c>
      <c r="B55" s="202">
        <v>2448533</v>
      </c>
      <c r="C55" s="202" t="s">
        <v>190</v>
      </c>
      <c r="D55" s="202" t="s">
        <v>12</v>
      </c>
      <c r="E55" s="199" t="s">
        <v>13</v>
      </c>
      <c r="F55" s="199" t="s">
        <v>33</v>
      </c>
      <c r="G55" s="203" t="s">
        <v>191</v>
      </c>
      <c r="H55" s="199" t="s">
        <v>192</v>
      </c>
      <c r="I55" s="157"/>
      <c r="J55" s="156"/>
    </row>
    <row r="56" spans="1:10" hidden="1">
      <c r="A56" s="197" t="s">
        <v>10</v>
      </c>
      <c r="B56" s="202">
        <v>4606426</v>
      </c>
      <c r="C56" s="202" t="s">
        <v>193</v>
      </c>
      <c r="D56" s="198" t="s">
        <v>110</v>
      </c>
      <c r="E56" s="199" t="s">
        <v>194</v>
      </c>
      <c r="F56" s="199"/>
      <c r="G56" s="203" t="s">
        <v>195</v>
      </c>
      <c r="H56" s="200" t="s">
        <v>196</v>
      </c>
      <c r="I56" s="156"/>
      <c r="J56" s="157"/>
    </row>
  </sheetData>
  <autoFilter ref="A1:J56" xr:uid="{CCFC853D-4B89-47CE-AA8F-BD4EA9CD1EC0}">
    <filterColumn colId="4">
      <filters>
        <filter val="P83"/>
      </filters>
    </filterColumn>
  </autoFilter>
  <phoneticPr fontId="30" type="noConversion"/>
  <conditionalFormatting sqref="A38:A56">
    <cfRule type="containsText" dxfId="100" priority="17" operator="containsText" text="INST">
      <formula>NOT(ISERROR(SEARCH("INST",A38)))</formula>
    </cfRule>
    <cfRule type="containsText" dxfId="99" priority="16" operator="containsText" text="ELET">
      <formula>NOT(ISERROR(SEARCH("ELET",A38)))</formula>
    </cfRule>
    <cfRule type="containsText" dxfId="98" priority="18" operator="containsText" text="MEC">
      <formula>NOT(ISERROR(SEARCH("MEC",A38)))</formula>
    </cfRule>
  </conditionalFormatting>
  <conditionalFormatting sqref="A56">
    <cfRule type="containsText" dxfId="97" priority="2" operator="containsText" text="INST">
      <formula>NOT(ISERROR(SEARCH("INST",A56)))</formula>
    </cfRule>
    <cfRule type="containsText" dxfId="96" priority="3" operator="containsText" text="MEC">
      <formula>NOT(ISERROR(SEARCH("MEC",A56)))</formula>
    </cfRule>
    <cfRule type="containsText" dxfId="95" priority="1" operator="containsText" text="ELET">
      <formula>NOT(ISERROR(SEARCH("ELET",A56)))</formula>
    </cfRule>
  </conditionalFormatting>
  <conditionalFormatting sqref="A1:G55 B56:G56">
    <cfRule type="containsText" dxfId="94" priority="28" operator="containsText" text="ELET">
      <formula>NOT(ISERROR(SEARCH("ELET",A1)))</formula>
    </cfRule>
    <cfRule type="containsText" dxfId="93" priority="29" operator="containsText" text="INST">
      <formula>NOT(ISERROR(SEARCH("INST",A1)))</formula>
    </cfRule>
    <cfRule type="containsText" dxfId="92" priority="30" operator="containsText" text="MEC">
      <formula>NOT(ISERROR(SEARCH("MEC",A1)))</formula>
    </cfRule>
  </conditionalFormatting>
  <conditionalFormatting sqref="D25:D31">
    <cfRule type="containsText" dxfId="91" priority="19" operator="containsText" text="ELET">
      <formula>NOT(ISERROR(SEARCH("ELET",D25)))</formula>
    </cfRule>
    <cfRule type="containsText" dxfId="90" priority="20" operator="containsText" text="INST">
      <formula>NOT(ISERROR(SEARCH("INST",D25)))</formula>
    </cfRule>
    <cfRule type="containsText" dxfId="89" priority="21" operator="containsText" text="MEC">
      <formula>NOT(ISERROR(SEARCH("MEC",D25)))</formula>
    </cfRule>
  </conditionalFormatting>
  <conditionalFormatting sqref="D35:D56">
    <cfRule type="containsText" dxfId="88" priority="13" operator="containsText" text="ELET">
      <formula>NOT(ISERROR(SEARCH("ELET",D35)))</formula>
    </cfRule>
    <cfRule type="containsText" dxfId="87" priority="14" operator="containsText" text="INST">
      <formula>NOT(ISERROR(SEARCH("INST",D35)))</formula>
    </cfRule>
    <cfRule type="containsText" dxfId="86" priority="15" operator="containsText" text="MEC">
      <formula>NOT(ISERROR(SEARCH("MEC",D35)))</formula>
    </cfRule>
  </conditionalFormatting>
  <conditionalFormatting sqref="E4">
    <cfRule type="containsText" dxfId="85" priority="7" operator="containsText" text="ELET">
      <formula>NOT(ISERROR(SEARCH("ELET",E4)))</formula>
    </cfRule>
    <cfRule type="containsText" dxfId="84" priority="8" operator="containsText" text="INST">
      <formula>NOT(ISERROR(SEARCH("INST",E4)))</formula>
    </cfRule>
    <cfRule type="containsText" dxfId="83" priority="9" operator="containsText" text="MEC">
      <formula>NOT(ISERROR(SEARCH("MEC",E4)))</formula>
    </cfRule>
  </conditionalFormatting>
  <conditionalFormatting sqref="E18:E22">
    <cfRule type="containsText" dxfId="82" priority="25" operator="containsText" text="ELET">
      <formula>NOT(ISERROR(SEARCH("ELET",E18)))</formula>
    </cfRule>
    <cfRule type="containsText" dxfId="81" priority="26" operator="containsText" text="INST">
      <formula>NOT(ISERROR(SEARCH("INST",E18)))</formula>
    </cfRule>
    <cfRule type="containsText" dxfId="80" priority="27" operator="containsText" text="MEC">
      <formula>NOT(ISERROR(SEARCH("MEC",E18)))</formula>
    </cfRule>
  </conditionalFormatting>
  <conditionalFormatting sqref="E22:E28">
    <cfRule type="containsText" dxfId="79" priority="22" operator="containsText" text="ELET">
      <formula>NOT(ISERROR(SEARCH("ELET",E22)))</formula>
    </cfRule>
    <cfRule type="containsText" dxfId="78" priority="23" operator="containsText" text="INST">
      <formula>NOT(ISERROR(SEARCH("INST",E22)))</formula>
    </cfRule>
    <cfRule type="containsText" dxfId="77" priority="24" operator="containsText" text="MEC">
      <formula>NOT(ISERROR(SEARCH("MEC",E22)))</formula>
    </cfRule>
  </conditionalFormatting>
  <conditionalFormatting sqref="E46">
    <cfRule type="containsText" dxfId="76" priority="4" operator="containsText" text="ELET">
      <formula>NOT(ISERROR(SEARCH("ELET",E46)))</formula>
    </cfRule>
    <cfRule type="containsText" dxfId="75" priority="5" operator="containsText" text="INST">
      <formula>NOT(ISERROR(SEARCH("INST",E46)))</formula>
    </cfRule>
    <cfRule type="containsText" dxfId="74" priority="6" operator="containsText" text="MEC">
      <formula>NOT(ISERROR(SEARCH("MEC",E46)))</formula>
    </cfRule>
  </conditionalFormatting>
  <conditionalFormatting sqref="E48:E56">
    <cfRule type="containsText" dxfId="73" priority="10" operator="containsText" text="ELET">
      <formula>NOT(ISERROR(SEARCH("ELET",E48)))</formula>
    </cfRule>
    <cfRule type="containsText" dxfId="72" priority="11" operator="containsText" text="INST">
      <formula>NOT(ISERROR(SEARCH("INST",E48)))</formula>
    </cfRule>
    <cfRule type="containsText" dxfId="71" priority="12" operator="containsText" text="MEC">
      <formula>NOT(ISERROR(SEARCH("MEC",E48)))</formula>
    </cfRule>
  </conditionalFormatting>
  <conditionalFormatting sqref="I1:J1">
    <cfRule type="containsText" dxfId="70" priority="61" operator="containsText" text="ELET">
      <formula>NOT(ISERROR(SEARCH("ELET",I1)))</formula>
    </cfRule>
    <cfRule type="containsText" dxfId="69" priority="62" operator="containsText" text="INST">
      <formula>NOT(ISERROR(SEARCH("INST",I1)))</formula>
    </cfRule>
    <cfRule type="containsText" dxfId="68" priority="63"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1"/>
  <sheetViews>
    <sheetView showGridLines="0" tabSelected="1" showRuler="0" zoomScale="115" zoomScaleNormal="115" zoomScalePageLayoutView="70" workbookViewId="0">
      <pane xSplit="7" ySplit="6" topLeftCell="H7" activePane="bottomRight" state="frozen"/>
      <selection pane="bottomRight" activeCell="D79" sqref="D79"/>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85546875" style="5" bestFit="1" customWidth="1"/>
    <col min="4" max="4" width="21" style="111" bestFit="1" customWidth="1"/>
    <col min="5" max="5" width="12.140625" style="111" bestFit="1" customWidth="1"/>
    <col min="6" max="7" width="4.42578125" customWidth="1"/>
    <col min="8" max="9" width="0.42578125" customWidth="1"/>
    <col min="10" max="10" width="2.5703125" bestFit="1" customWidth="1"/>
    <col min="11" max="19" width="2" bestFit="1" customWidth="1"/>
    <col min="20" max="24" width="2.5703125" bestFit="1" customWidth="1"/>
    <col min="25" max="25" width="6.8554687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197</v>
      </c>
      <c r="B1" s="37" t="s">
        <v>198</v>
      </c>
      <c r="C1" s="134"/>
      <c r="D1" s="110"/>
      <c r="E1" s="110"/>
      <c r="G1" s="2"/>
      <c r="H1" s="51"/>
      <c r="I1" s="51"/>
      <c r="BT1" s="221" t="s">
        <v>199</v>
      </c>
      <c r="BU1" s="221"/>
      <c r="BV1" s="221"/>
      <c r="CQ1" s="219"/>
      <c r="CR1" s="219"/>
      <c r="CX1" s="218"/>
      <c r="CY1" s="218"/>
      <c r="EK1" s="219"/>
    </row>
    <row r="2" spans="1:617" ht="9.6" customHeight="1">
      <c r="A2" s="33" t="s">
        <v>200</v>
      </c>
      <c r="B2" s="38"/>
      <c r="BT2" s="221"/>
      <c r="BU2" s="221"/>
      <c r="BV2" s="221"/>
      <c r="CQ2" s="219"/>
      <c r="CR2" s="219"/>
      <c r="CX2" s="218"/>
      <c r="CY2" s="218"/>
      <c r="EK2" s="219"/>
    </row>
    <row r="3" spans="1:617" ht="9.6" customHeight="1">
      <c r="A3" s="33" t="s">
        <v>201</v>
      </c>
      <c r="B3" s="70" t="s">
        <v>202</v>
      </c>
      <c r="C3" s="135">
        <f>Início_do_projeto+660</f>
        <v>46318</v>
      </c>
      <c r="D3" s="112" t="s">
        <v>203</v>
      </c>
      <c r="E3" s="225">
        <v>45658</v>
      </c>
      <c r="F3" s="225"/>
      <c r="BT3" s="221"/>
      <c r="BU3" s="221"/>
      <c r="BV3" s="221"/>
      <c r="CQ3" s="219"/>
      <c r="CR3" s="219"/>
      <c r="CX3" s="218"/>
      <c r="CY3" s="218"/>
      <c r="EK3" s="219"/>
    </row>
    <row r="4" spans="1:617" ht="9.6" customHeight="1">
      <c r="A4" s="34" t="s">
        <v>204</v>
      </c>
      <c r="D4" s="113" t="s">
        <v>205</v>
      </c>
      <c r="F4" s="7">
        <v>1</v>
      </c>
      <c r="H4" s="207">
        <f>H5</f>
        <v>45656</v>
      </c>
      <c r="I4" s="208"/>
      <c r="J4" s="208"/>
      <c r="K4" s="208"/>
      <c r="L4" s="208"/>
      <c r="M4" s="208"/>
      <c r="N4" s="208"/>
      <c r="O4" s="209"/>
      <c r="P4" s="207">
        <f>P5</f>
        <v>45663</v>
      </c>
      <c r="Q4" s="208"/>
      <c r="R4" s="208"/>
      <c r="S4" s="208"/>
      <c r="T4" s="208"/>
      <c r="U4" s="208"/>
      <c r="V4" s="209"/>
      <c r="W4" s="207">
        <f>W5</f>
        <v>45670</v>
      </c>
      <c r="X4" s="208"/>
      <c r="Y4" s="208"/>
      <c r="Z4" s="208"/>
      <c r="AA4" s="208"/>
      <c r="AB4" s="208"/>
      <c r="AC4" s="209"/>
      <c r="AD4" s="207">
        <f>AD5</f>
        <v>45677</v>
      </c>
      <c r="AE4" s="208"/>
      <c r="AF4" s="208"/>
      <c r="AG4" s="208"/>
      <c r="AH4" s="208"/>
      <c r="AI4" s="208"/>
      <c r="AJ4" s="209"/>
      <c r="AK4" s="207">
        <f>AK5</f>
        <v>45684</v>
      </c>
      <c r="AL4" s="208"/>
      <c r="AM4" s="208"/>
      <c r="AN4" s="208"/>
      <c r="AO4" s="208"/>
      <c r="AP4" s="208"/>
      <c r="AQ4" s="209"/>
      <c r="AR4" s="207">
        <f>AR5</f>
        <v>45691</v>
      </c>
      <c r="AS4" s="208"/>
      <c r="AT4" s="208"/>
      <c r="AU4" s="208"/>
      <c r="AV4" s="208"/>
      <c r="AW4" s="208"/>
      <c r="AX4" s="209"/>
      <c r="AY4" s="207">
        <f>AY5</f>
        <v>45698</v>
      </c>
      <c r="AZ4" s="208"/>
      <c r="BA4" s="208"/>
      <c r="BB4" s="208"/>
      <c r="BC4" s="208"/>
      <c r="BD4" s="208"/>
      <c r="BE4" s="209"/>
      <c r="BF4" s="207">
        <f>BF5</f>
        <v>45705</v>
      </c>
      <c r="BG4" s="208"/>
      <c r="BH4" s="208"/>
      <c r="BI4" s="208"/>
      <c r="BJ4" s="208"/>
      <c r="BK4" s="208"/>
      <c r="BL4" s="209"/>
      <c r="BM4" s="207">
        <f>BM5</f>
        <v>45712</v>
      </c>
      <c r="BN4" s="208"/>
      <c r="BO4" s="208"/>
      <c r="BP4" s="208"/>
      <c r="BQ4" s="208"/>
      <c r="BR4" s="208"/>
      <c r="BS4" s="209"/>
      <c r="BT4" s="207">
        <f>BT5</f>
        <v>45719</v>
      </c>
      <c r="BU4" s="208"/>
      <c r="BV4" s="208"/>
      <c r="BW4" s="208"/>
      <c r="BX4" s="208"/>
      <c r="BY4" s="208"/>
      <c r="BZ4" s="209"/>
      <c r="CA4" s="207">
        <f>CA5</f>
        <v>45726</v>
      </c>
      <c r="CB4" s="208"/>
      <c r="CC4" s="208"/>
      <c r="CD4" s="208"/>
      <c r="CE4" s="208"/>
      <c r="CF4" s="208"/>
      <c r="CG4" s="209"/>
      <c r="CH4" s="207">
        <f>CH5</f>
        <v>45733</v>
      </c>
      <c r="CI4" s="208"/>
      <c r="CJ4" s="208"/>
      <c r="CK4" s="208"/>
      <c r="CL4" s="208"/>
      <c r="CM4" s="208"/>
      <c r="CN4" s="209"/>
      <c r="CO4" s="207">
        <f>CO5</f>
        <v>45740</v>
      </c>
      <c r="CP4" s="208"/>
      <c r="CQ4" s="208"/>
      <c r="CR4" s="208"/>
      <c r="CS4" s="208"/>
      <c r="CT4" s="208"/>
      <c r="CU4" s="209"/>
      <c r="CV4" s="207">
        <f>CV5</f>
        <v>45747</v>
      </c>
      <c r="CW4" s="208"/>
      <c r="CX4" s="208"/>
      <c r="CY4" s="208"/>
      <c r="CZ4" s="208"/>
      <c r="DA4" s="208"/>
      <c r="DB4" s="209"/>
      <c r="DC4" s="207">
        <f>DC5</f>
        <v>45754</v>
      </c>
      <c r="DD4" s="208"/>
      <c r="DE4" s="208"/>
      <c r="DF4" s="208"/>
      <c r="DG4" s="208"/>
      <c r="DH4" s="208"/>
      <c r="DI4" s="209"/>
      <c r="DJ4" s="207">
        <f>DJ5</f>
        <v>45761</v>
      </c>
      <c r="DK4" s="208"/>
      <c r="DL4" s="208"/>
      <c r="DM4" s="208"/>
      <c r="DN4" s="208"/>
      <c r="DO4" s="208"/>
      <c r="DP4" s="209"/>
      <c r="DQ4" s="207">
        <f>DQ5</f>
        <v>45768</v>
      </c>
      <c r="DR4" s="208"/>
      <c r="DS4" s="208"/>
      <c r="DT4" s="208"/>
      <c r="DU4" s="208"/>
      <c r="DV4" s="208"/>
      <c r="DW4" s="209"/>
      <c r="DX4" s="207">
        <f>DX5</f>
        <v>45775</v>
      </c>
      <c r="DY4" s="208"/>
      <c r="DZ4" s="208"/>
      <c r="EA4" s="208"/>
      <c r="EB4" s="208"/>
      <c r="EC4" s="208"/>
      <c r="ED4" s="209"/>
      <c r="EE4" s="207">
        <f t="shared" ref="EE4" si="0">EE5</f>
        <v>45782</v>
      </c>
      <c r="EF4" s="208"/>
      <c r="EG4" s="208"/>
      <c r="EH4" s="208"/>
      <c r="EI4" s="208"/>
      <c r="EJ4" s="208"/>
      <c r="EK4" s="209"/>
      <c r="EL4" s="207">
        <f t="shared" ref="EL4" si="1">EL5</f>
        <v>45789</v>
      </c>
      <c r="EM4" s="208"/>
      <c r="EN4" s="208"/>
      <c r="EO4" s="208"/>
      <c r="EP4" s="208"/>
      <c r="EQ4" s="208"/>
      <c r="ER4" s="209"/>
      <c r="ES4" s="207">
        <f t="shared" ref="ES4" si="2">ES5</f>
        <v>45796</v>
      </c>
      <c r="ET4" s="208"/>
      <c r="EU4" s="208"/>
      <c r="EV4" s="208"/>
      <c r="EW4" s="208"/>
      <c r="EX4" s="208"/>
      <c r="EY4" s="209"/>
      <c r="EZ4" s="207">
        <f t="shared" ref="EZ4" si="3">EZ5</f>
        <v>45803</v>
      </c>
      <c r="FA4" s="208"/>
      <c r="FB4" s="208"/>
      <c r="FC4" s="208"/>
      <c r="FD4" s="208"/>
      <c r="FE4" s="208"/>
      <c r="FF4" s="209"/>
      <c r="FG4" s="207">
        <f t="shared" ref="FG4" si="4">FG5</f>
        <v>45810</v>
      </c>
      <c r="FH4" s="208"/>
      <c r="FI4" s="208"/>
      <c r="FJ4" s="208"/>
      <c r="FK4" s="208"/>
      <c r="FL4" s="208"/>
      <c r="FM4" s="209"/>
      <c r="FN4" s="207">
        <f t="shared" ref="FN4" si="5">FN5</f>
        <v>45817</v>
      </c>
      <c r="FO4" s="208"/>
      <c r="FP4" s="208"/>
      <c r="FQ4" s="208"/>
      <c r="FR4" s="208"/>
      <c r="FS4" s="208"/>
      <c r="FT4" s="209"/>
      <c r="FU4" s="207">
        <f t="shared" ref="FU4" si="6">FU5</f>
        <v>45824</v>
      </c>
      <c r="FV4" s="208"/>
      <c r="FW4" s="208"/>
      <c r="FX4" s="208"/>
      <c r="FY4" s="208"/>
      <c r="FZ4" s="208"/>
      <c r="GA4" s="209"/>
      <c r="GB4" s="207">
        <f t="shared" ref="GB4" si="7">GB5</f>
        <v>45831</v>
      </c>
      <c r="GC4" s="208"/>
      <c r="GD4" s="208"/>
      <c r="GE4" s="208"/>
      <c r="GF4" s="208"/>
      <c r="GG4" s="208"/>
      <c r="GH4" s="209"/>
      <c r="GI4" s="207">
        <f t="shared" ref="GI4" si="8">GI5</f>
        <v>45838</v>
      </c>
      <c r="GJ4" s="208"/>
      <c r="GK4" s="208"/>
      <c r="GL4" s="208"/>
      <c r="GM4" s="208"/>
      <c r="GN4" s="208"/>
      <c r="GO4" s="209"/>
      <c r="GP4" s="207">
        <f t="shared" ref="GP4" si="9">GP5</f>
        <v>45845</v>
      </c>
      <c r="GQ4" s="208"/>
      <c r="GR4" s="208"/>
      <c r="GS4" s="208"/>
      <c r="GT4" s="208"/>
      <c r="GU4" s="208"/>
      <c r="GV4" s="209"/>
      <c r="GW4" s="207">
        <f t="shared" ref="GW4" si="10">GW5</f>
        <v>45852</v>
      </c>
      <c r="GX4" s="208"/>
      <c r="GY4" s="208"/>
      <c r="GZ4" s="208"/>
      <c r="HA4" s="208"/>
      <c r="HB4" s="208"/>
      <c r="HC4" s="209"/>
      <c r="HD4" s="207">
        <f t="shared" ref="HD4" si="11">HD5</f>
        <v>45859</v>
      </c>
      <c r="HE4" s="208"/>
      <c r="HF4" s="208"/>
      <c r="HG4" s="208"/>
      <c r="HH4" s="208"/>
      <c r="HI4" s="208"/>
      <c r="HJ4" s="209"/>
      <c r="HK4" s="207">
        <f t="shared" ref="HK4" si="12">HK5</f>
        <v>45866</v>
      </c>
      <c r="HL4" s="208"/>
      <c r="HM4" s="208"/>
      <c r="HN4" s="208"/>
      <c r="HO4" s="208"/>
      <c r="HP4" s="208"/>
      <c r="HQ4" s="209"/>
      <c r="HR4" s="207">
        <f t="shared" ref="HR4" si="13">HR5</f>
        <v>45873</v>
      </c>
      <c r="HS4" s="208"/>
      <c r="HT4" s="208"/>
      <c r="HU4" s="208"/>
      <c r="HV4" s="208"/>
      <c r="HW4" s="208"/>
      <c r="HX4" s="209"/>
      <c r="HY4" s="207">
        <f t="shared" ref="HY4" si="14">HY5</f>
        <v>45880</v>
      </c>
      <c r="HZ4" s="208"/>
      <c r="IA4" s="208"/>
      <c r="IB4" s="208"/>
      <c r="IC4" s="208"/>
      <c r="ID4" s="208"/>
      <c r="IE4" s="209"/>
      <c r="IF4" s="207">
        <f t="shared" ref="IF4" si="15">IF5</f>
        <v>45887</v>
      </c>
      <c r="IG4" s="208"/>
      <c r="IH4" s="208"/>
      <c r="II4" s="208"/>
      <c r="IJ4" s="208"/>
      <c r="IK4" s="208"/>
      <c r="IL4" s="209"/>
      <c r="IM4" s="207">
        <f t="shared" ref="IM4" si="16">IM5</f>
        <v>45894</v>
      </c>
      <c r="IN4" s="208"/>
      <c r="IO4" s="208"/>
      <c r="IP4" s="208"/>
      <c r="IQ4" s="208"/>
      <c r="IR4" s="208"/>
      <c r="IS4" s="209"/>
      <c r="IT4" s="207">
        <f t="shared" ref="IT4" si="17">IT5</f>
        <v>45901</v>
      </c>
      <c r="IU4" s="208"/>
      <c r="IV4" s="208"/>
      <c r="IW4" s="208"/>
      <c r="IX4" s="208"/>
      <c r="IY4" s="208"/>
      <c r="IZ4" s="209"/>
      <c r="JA4" s="207">
        <f t="shared" ref="JA4" si="18">JA5</f>
        <v>45908</v>
      </c>
      <c r="JB4" s="208"/>
      <c r="JC4" s="208"/>
      <c r="JD4" s="208"/>
      <c r="JE4" s="208"/>
      <c r="JF4" s="208"/>
      <c r="JG4" s="209"/>
      <c r="JH4" s="207">
        <f t="shared" ref="JH4" si="19">JH5</f>
        <v>45915</v>
      </c>
      <c r="JI4" s="208"/>
      <c r="JJ4" s="208"/>
      <c r="JK4" s="208"/>
      <c r="JL4" s="208"/>
      <c r="JM4" s="208"/>
      <c r="JN4" s="209"/>
      <c r="JO4" s="207">
        <f t="shared" ref="JO4" si="20">JO5</f>
        <v>45922</v>
      </c>
      <c r="JP4" s="208"/>
      <c r="JQ4" s="208"/>
      <c r="JR4" s="208"/>
      <c r="JS4" s="208"/>
      <c r="JT4" s="208"/>
      <c r="JU4" s="209"/>
      <c r="JV4" s="207">
        <f t="shared" ref="JV4" si="21">JV5</f>
        <v>45929</v>
      </c>
      <c r="JW4" s="208"/>
      <c r="JX4" s="208"/>
      <c r="JY4" s="208"/>
      <c r="JZ4" s="208"/>
      <c r="KA4" s="208"/>
      <c r="KB4" s="209"/>
      <c r="KC4" s="207">
        <f t="shared" ref="KC4" si="22">KC5</f>
        <v>45936</v>
      </c>
      <c r="KD4" s="208"/>
      <c r="KE4" s="208"/>
      <c r="KF4" s="208"/>
      <c r="KG4" s="208"/>
      <c r="KH4" s="208"/>
      <c r="KI4" s="209"/>
      <c r="KJ4" s="207">
        <f t="shared" ref="KJ4" si="23">KJ5</f>
        <v>45943</v>
      </c>
      <c r="KK4" s="208"/>
      <c r="KL4" s="208"/>
      <c r="KM4" s="208"/>
      <c r="KN4" s="208"/>
      <c r="KO4" s="208"/>
      <c r="KP4" s="209"/>
      <c r="KQ4" s="207">
        <f t="shared" ref="KQ4" si="24">KQ5</f>
        <v>45950</v>
      </c>
      <c r="KR4" s="208"/>
      <c r="KS4" s="208"/>
      <c r="KT4" s="208"/>
      <c r="KU4" s="208"/>
      <c r="KV4" s="208"/>
      <c r="KW4" s="209"/>
      <c r="KX4" s="207">
        <f t="shared" ref="KX4" si="25">KX5</f>
        <v>45957</v>
      </c>
      <c r="KY4" s="208"/>
      <c r="KZ4" s="208"/>
      <c r="LA4" s="208"/>
      <c r="LB4" s="208"/>
      <c r="LC4" s="208"/>
      <c r="LD4" s="209"/>
      <c r="LE4" s="207">
        <f t="shared" ref="LE4" si="26">LE5</f>
        <v>45964</v>
      </c>
      <c r="LF4" s="208"/>
      <c r="LG4" s="208"/>
      <c r="LH4" s="208"/>
      <c r="LI4" s="208"/>
      <c r="LJ4" s="208"/>
      <c r="LK4" s="209"/>
      <c r="LL4" s="207">
        <f t="shared" ref="LL4" si="27">LL5</f>
        <v>45971</v>
      </c>
      <c r="LM4" s="208"/>
      <c r="LN4" s="208"/>
      <c r="LO4" s="208"/>
      <c r="LP4" s="208"/>
      <c r="LQ4" s="208"/>
      <c r="LR4" s="209"/>
      <c r="LS4" s="207">
        <f t="shared" ref="LS4" si="28">LS5</f>
        <v>45978</v>
      </c>
      <c r="LT4" s="207"/>
      <c r="LU4" s="207"/>
      <c r="LV4" s="207"/>
      <c r="LW4" s="207"/>
      <c r="LX4" s="207"/>
      <c r="LY4" s="207"/>
      <c r="LZ4" s="207">
        <f t="shared" ref="LZ4" si="29">LZ5</f>
        <v>45985</v>
      </c>
      <c r="MA4" s="208"/>
      <c r="MB4" s="208"/>
      <c r="MC4" s="208"/>
      <c r="MD4" s="208"/>
      <c r="ME4" s="208"/>
      <c r="MF4" s="209"/>
      <c r="MG4" s="207">
        <f t="shared" ref="MG4" si="30">MG5</f>
        <v>45992</v>
      </c>
      <c r="MH4" s="208"/>
      <c r="MI4" s="208"/>
      <c r="MJ4" s="208"/>
      <c r="MK4" s="208"/>
      <c r="ML4" s="208"/>
      <c r="MM4" s="209"/>
      <c r="MN4" s="207">
        <f t="shared" ref="MN4:OY4" si="31">MN5</f>
        <v>45999</v>
      </c>
      <c r="MO4" s="208"/>
      <c r="MP4" s="208"/>
      <c r="MQ4" s="208"/>
      <c r="MR4" s="208"/>
      <c r="MS4" s="208"/>
      <c r="MT4" s="209"/>
      <c r="MU4" s="207">
        <f t="shared" si="31"/>
        <v>46006</v>
      </c>
      <c r="MV4" s="208"/>
      <c r="MW4" s="208"/>
      <c r="MX4" s="208"/>
      <c r="MY4" s="208"/>
      <c r="MZ4" s="208"/>
      <c r="NA4" s="209"/>
      <c r="NB4" s="207">
        <f t="shared" si="31"/>
        <v>46013</v>
      </c>
      <c r="NC4" s="208"/>
      <c r="ND4" s="208"/>
      <c r="NE4" s="208"/>
      <c r="NF4" s="208"/>
      <c r="NG4" s="208"/>
      <c r="NH4" s="209"/>
      <c r="NI4" s="207">
        <f t="shared" si="31"/>
        <v>46020</v>
      </c>
      <c r="NJ4" s="208"/>
      <c r="NK4" s="208"/>
      <c r="NL4" s="208"/>
      <c r="NM4" s="208"/>
      <c r="NN4" s="208"/>
      <c r="NO4" s="209"/>
      <c r="NP4" s="207">
        <f t="shared" si="31"/>
        <v>46027</v>
      </c>
      <c r="NQ4" s="208"/>
      <c r="NR4" s="208"/>
      <c r="NS4" s="208"/>
      <c r="NT4" s="208"/>
      <c r="NU4" s="208"/>
      <c r="NV4" s="209"/>
      <c r="NW4" s="183">
        <f t="shared" si="31"/>
        <v>46034</v>
      </c>
      <c r="NX4" s="184"/>
      <c r="NY4" s="184"/>
      <c r="NZ4" s="184"/>
      <c r="OA4" s="184"/>
      <c r="OB4" s="207"/>
      <c r="OC4" s="208"/>
      <c r="OD4" s="208">
        <f t="shared" si="31"/>
        <v>46041</v>
      </c>
      <c r="OE4" s="208"/>
      <c r="OF4" s="208"/>
      <c r="OG4" s="208"/>
      <c r="OH4" s="209"/>
      <c r="OI4" s="184"/>
      <c r="OJ4" s="185"/>
      <c r="OK4" s="183">
        <f t="shared" si="31"/>
        <v>46048</v>
      </c>
      <c r="OL4" s="184"/>
      <c r="OM4" s="184"/>
      <c r="ON4" s="207"/>
      <c r="OO4" s="208"/>
      <c r="OP4" s="208"/>
      <c r="OQ4" s="208"/>
      <c r="OR4" s="208">
        <f t="shared" si="31"/>
        <v>46055</v>
      </c>
      <c r="OS4" s="208"/>
      <c r="OT4" s="209"/>
      <c r="OU4" s="184"/>
      <c r="OV4" s="184"/>
      <c r="OW4" s="184"/>
      <c r="OX4" s="185"/>
      <c r="OY4" s="183">
        <f t="shared" si="31"/>
        <v>46062</v>
      </c>
      <c r="OZ4" s="207"/>
      <c r="PA4" s="208"/>
      <c r="PB4" s="208"/>
      <c r="PC4" s="208"/>
      <c r="PD4" s="208"/>
      <c r="PE4" s="208"/>
      <c r="PF4" s="209">
        <f t="shared" ref="PF4:RQ4" si="32">PF5</f>
        <v>46069</v>
      </c>
      <c r="PG4" s="184"/>
      <c r="PH4" s="184"/>
      <c r="PI4" s="184"/>
      <c r="PJ4" s="184"/>
      <c r="PK4" s="184"/>
      <c r="PL4" s="207"/>
      <c r="PM4" s="208">
        <f t="shared" si="32"/>
        <v>46076</v>
      </c>
      <c r="PN4" s="208"/>
      <c r="PO4" s="208"/>
      <c r="PP4" s="208"/>
      <c r="PQ4" s="208"/>
      <c r="PR4" s="209"/>
      <c r="PS4" s="185"/>
      <c r="PT4" s="183">
        <f t="shared" si="32"/>
        <v>46083</v>
      </c>
      <c r="PU4" s="184"/>
      <c r="PV4" s="184"/>
      <c r="PW4" s="184"/>
      <c r="PX4" s="207"/>
      <c r="PY4" s="208"/>
      <c r="PZ4" s="208"/>
      <c r="QA4" s="208">
        <f t="shared" si="32"/>
        <v>46090</v>
      </c>
      <c r="QB4" s="208"/>
      <c r="QC4" s="208"/>
      <c r="QD4" s="209"/>
      <c r="QE4" s="184"/>
      <c r="QF4" s="184"/>
      <c r="QG4" s="185"/>
      <c r="QH4" s="183">
        <f t="shared" si="32"/>
        <v>46097</v>
      </c>
      <c r="QI4" s="184"/>
      <c r="QJ4" s="207"/>
      <c r="QK4" s="208"/>
      <c r="QL4" s="208"/>
      <c r="QM4" s="208"/>
      <c r="QN4" s="208"/>
      <c r="QO4" s="208">
        <f t="shared" si="32"/>
        <v>46104</v>
      </c>
      <c r="QP4" s="209"/>
      <c r="QQ4" s="184"/>
      <c r="QR4" s="184"/>
      <c r="QS4" s="184"/>
      <c r="QT4" s="184"/>
      <c r="QU4" s="185"/>
      <c r="QV4" s="207">
        <f t="shared" si="32"/>
        <v>46111</v>
      </c>
      <c r="QW4" s="208"/>
      <c r="QX4" s="208"/>
      <c r="QY4" s="208"/>
      <c r="QZ4" s="208"/>
      <c r="RA4" s="208"/>
      <c r="RB4" s="209"/>
      <c r="RC4" s="183">
        <f t="shared" si="32"/>
        <v>46118</v>
      </c>
      <c r="RD4" s="184"/>
      <c r="RE4" s="184"/>
      <c r="RF4" s="184"/>
      <c r="RG4" s="184"/>
      <c r="RH4" s="207"/>
      <c r="RI4" s="208"/>
      <c r="RJ4" s="208">
        <f t="shared" si="32"/>
        <v>46125</v>
      </c>
      <c r="RK4" s="208"/>
      <c r="RL4" s="208"/>
      <c r="RM4" s="208"/>
      <c r="RN4" s="209"/>
      <c r="RO4" s="184"/>
      <c r="RP4" s="185"/>
      <c r="RQ4" s="183">
        <f t="shared" si="32"/>
        <v>46132</v>
      </c>
      <c r="RR4" s="184"/>
      <c r="RS4" s="184"/>
      <c r="RT4" s="207"/>
      <c r="RU4" s="208"/>
      <c r="RV4" s="208"/>
      <c r="RW4" s="208"/>
      <c r="RX4" s="208">
        <f t="shared" ref="RX4:UI4" si="33">RX5</f>
        <v>46139</v>
      </c>
      <c r="RY4" s="208"/>
      <c r="RZ4" s="209"/>
      <c r="SA4" s="184"/>
      <c r="SB4" s="184"/>
      <c r="SC4" s="184"/>
      <c r="SD4" s="185"/>
      <c r="SE4" s="183">
        <f t="shared" si="33"/>
        <v>46146</v>
      </c>
      <c r="SF4" s="207"/>
      <c r="SG4" s="208"/>
      <c r="SH4" s="208"/>
      <c r="SI4" s="208"/>
      <c r="SJ4" s="208"/>
      <c r="SK4" s="208"/>
      <c r="SL4" s="209">
        <f t="shared" si="33"/>
        <v>46153</v>
      </c>
      <c r="SM4" s="184"/>
      <c r="SN4" s="184"/>
      <c r="SO4" s="184"/>
      <c r="SP4" s="184"/>
      <c r="SQ4" s="184"/>
      <c r="SR4" s="207"/>
      <c r="SS4" s="208">
        <f t="shared" si="33"/>
        <v>46160</v>
      </c>
      <c r="ST4" s="208"/>
      <c r="SU4" s="208"/>
      <c r="SV4" s="208"/>
      <c r="SW4" s="208"/>
      <c r="SX4" s="209"/>
      <c r="SY4" s="185"/>
      <c r="SZ4" s="183">
        <f t="shared" si="33"/>
        <v>46167</v>
      </c>
      <c r="TA4" s="184"/>
      <c r="TB4" s="184"/>
      <c r="TC4" s="184"/>
      <c r="TD4" s="207"/>
      <c r="TE4" s="208"/>
      <c r="TF4" s="208"/>
      <c r="TG4" s="208">
        <f t="shared" si="33"/>
        <v>46174</v>
      </c>
      <c r="TH4" s="208"/>
      <c r="TI4" s="208"/>
      <c r="TJ4" s="209"/>
      <c r="TK4" s="184"/>
      <c r="TL4" s="184"/>
      <c r="TM4" s="185"/>
      <c r="TN4" s="183">
        <f t="shared" si="33"/>
        <v>46181</v>
      </c>
      <c r="TO4" s="184"/>
      <c r="TP4" s="207"/>
      <c r="TQ4" s="208"/>
      <c r="TR4" s="208"/>
      <c r="TS4" s="208"/>
      <c r="TT4" s="208"/>
      <c r="TU4" s="208">
        <f t="shared" si="33"/>
        <v>46188</v>
      </c>
      <c r="TV4" s="209"/>
      <c r="TW4" s="184"/>
      <c r="TX4" s="184"/>
      <c r="TY4" s="184"/>
      <c r="TZ4" s="184"/>
      <c r="UA4" s="185"/>
      <c r="UB4" s="207">
        <f t="shared" si="33"/>
        <v>46195</v>
      </c>
      <c r="UC4" s="208"/>
      <c r="UD4" s="208"/>
      <c r="UE4" s="208"/>
      <c r="UF4" s="208"/>
      <c r="UG4" s="208"/>
      <c r="UH4" s="209"/>
      <c r="UI4" s="183">
        <f t="shared" si="33"/>
        <v>46202</v>
      </c>
      <c r="UJ4" s="184"/>
      <c r="UK4" s="184"/>
      <c r="UL4" s="184"/>
      <c r="UM4" s="184"/>
      <c r="UN4" s="207"/>
      <c r="UO4" s="208"/>
      <c r="UP4" s="208">
        <f t="shared" ref="UP4:WM4" si="34">UP5</f>
        <v>46209</v>
      </c>
      <c r="UQ4" s="208"/>
      <c r="UR4" s="208"/>
      <c r="US4" s="208"/>
      <c r="UT4" s="209"/>
      <c r="UU4" s="184"/>
      <c r="UV4" s="185"/>
      <c r="UW4" s="183">
        <f t="shared" si="34"/>
        <v>46216</v>
      </c>
      <c r="UX4" s="184"/>
      <c r="UY4" s="184"/>
      <c r="UZ4" s="207"/>
      <c r="VA4" s="208"/>
      <c r="VB4" s="208"/>
      <c r="VC4" s="208"/>
      <c r="VD4" s="208">
        <f t="shared" si="34"/>
        <v>46223</v>
      </c>
      <c r="VE4" s="208"/>
      <c r="VF4" s="209"/>
      <c r="VG4" s="184"/>
      <c r="VH4" s="184"/>
      <c r="VI4" s="184"/>
      <c r="VJ4" s="185"/>
      <c r="VK4" s="183">
        <f t="shared" si="34"/>
        <v>46230</v>
      </c>
      <c r="VL4" s="207"/>
      <c r="VM4" s="208"/>
      <c r="VN4" s="208"/>
      <c r="VO4" s="208"/>
      <c r="VP4" s="208"/>
      <c r="VQ4" s="208"/>
      <c r="VR4" s="209">
        <f t="shared" si="34"/>
        <v>46237</v>
      </c>
      <c r="VS4" s="184"/>
      <c r="VT4" s="184"/>
      <c r="VU4" s="184"/>
      <c r="VV4" s="184"/>
      <c r="VW4" s="184"/>
      <c r="VX4" s="207"/>
      <c r="VY4" s="208">
        <f t="shared" si="34"/>
        <v>46244</v>
      </c>
      <c r="VZ4" s="208"/>
      <c r="WA4" s="208"/>
      <c r="WB4" s="208"/>
      <c r="WC4" s="208"/>
      <c r="WD4" s="209"/>
      <c r="WE4" s="185"/>
      <c r="WF4" s="183">
        <f t="shared" si="34"/>
        <v>46251</v>
      </c>
      <c r="WG4" s="184"/>
      <c r="WH4" s="184"/>
      <c r="WI4" s="184"/>
      <c r="WJ4" s="207"/>
      <c r="WK4" s="208"/>
      <c r="WL4" s="208"/>
      <c r="WM4" s="208">
        <f t="shared" si="34"/>
        <v>46258</v>
      </c>
      <c r="WN4" s="208"/>
      <c r="WO4" s="208"/>
      <c r="WP4" s="209"/>
      <c r="WQ4" s="184"/>
      <c r="WR4" s="184"/>
      <c r="WS4" s="185"/>
    </row>
    <row r="5" spans="1:617" ht="9.6" customHeight="1">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213</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149999999999999" thickBot="1">
      <c r="A8" s="33"/>
      <c r="B8" s="220" t="s">
        <v>214</v>
      </c>
      <c r="C8" s="220"/>
      <c r="D8" s="220"/>
      <c r="E8" s="220"/>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c r="A9" s="34" t="s">
        <v>215</v>
      </c>
      <c r="B9" s="217" t="s">
        <v>216</v>
      </c>
      <c r="C9" s="217"/>
      <c r="D9" s="217"/>
      <c r="E9" s="217"/>
      <c r="F9" s="14"/>
      <c r="G9" s="14" t="str">
        <f t="shared" ref="G9:G200"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hidden="1" customHeight="1" outlineLevel="1" thickBot="1">
      <c r="A10" s="34" t="s">
        <v>217</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hidden="1" customHeight="1" outlineLevel="1" thickBot="1">
      <c r="A12" s="34" t="s">
        <v>218</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c r="A13" s="33"/>
      <c r="B13" s="177"/>
      <c r="C13" s="178" t="s">
        <v>219</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c r="A14" s="33"/>
      <c r="B14" s="180"/>
      <c r="C14" s="178" t="s">
        <v>220</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c r="A56" s="33"/>
      <c r="B56" s="178" t="s">
        <v>221</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c r="A57" s="33"/>
      <c r="B57" s="178" t="s">
        <v>221</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c r="A58" s="33"/>
      <c r="B58" s="178" t="s">
        <v>221</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c r="A59" s="33"/>
      <c r="B59" s="178" t="s">
        <v>222</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221</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223</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221</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223</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224</v>
      </c>
      <c r="B65" s="211" t="s">
        <v>225</v>
      </c>
      <c r="C65" s="211"/>
      <c r="D65" s="211"/>
      <c r="E65" s="211"/>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hidden="1" outlineLevel="1" thickBot="1">
      <c r="A66" s="33"/>
      <c r="B66" s="47" t="s">
        <v>226</v>
      </c>
      <c r="C66" s="42" t="s">
        <v>227</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hidden="1" outlineLevel="1" thickBot="1">
      <c r="A67" s="33"/>
      <c r="B67" s="47" t="s">
        <v>228</v>
      </c>
      <c r="C67" s="42" t="s">
        <v>229</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hidden="1" outlineLevel="1" thickBot="1">
      <c r="A68" s="33"/>
      <c r="B68" s="47" t="s">
        <v>226</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hidden="1" outlineLevel="1" thickBot="1">
      <c r="A69" s="33"/>
      <c r="B69" s="47" t="s">
        <v>226</v>
      </c>
      <c r="C69" s="42" t="s">
        <v>230</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hidden="1" outlineLevel="1" thickBot="1">
      <c r="A70" s="33"/>
      <c r="B70" s="47" t="s">
        <v>228</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hidden="1" outlineLevel="1" thickBot="1">
      <c r="A71" s="33"/>
      <c r="B71" s="47" t="s">
        <v>226</v>
      </c>
      <c r="C71" s="42" t="s">
        <v>227</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hidden="1" outlineLevel="1" thickBot="1">
      <c r="A72" s="33"/>
      <c r="B72" s="47" t="s">
        <v>228</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226</v>
      </c>
      <c r="C73" s="42" t="s">
        <v>230</v>
      </c>
      <c r="D73" s="116">
        <v>46089</v>
      </c>
      <c r="E73" s="116">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228</v>
      </c>
      <c r="C74" s="42" t="s">
        <v>35</v>
      </c>
      <c r="D74" s="116">
        <v>46097</v>
      </c>
      <c r="E74" s="116">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226</v>
      </c>
      <c r="C75" s="42" t="s">
        <v>227</v>
      </c>
      <c r="D75" s="116">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228</v>
      </c>
      <c r="C76" s="42" t="s">
        <v>42</v>
      </c>
      <c r="D76" s="116">
        <v>46155</v>
      </c>
      <c r="E76" s="116">
        <f t="shared" si="594"/>
        <v>46234</v>
      </c>
      <c r="F76" s="14"/>
      <c r="G76" s="14">
        <v>79</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226</v>
      </c>
      <c r="C77" s="42" t="s">
        <v>230</v>
      </c>
      <c r="D77" s="116">
        <v>46211</v>
      </c>
      <c r="E77" s="116">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228</v>
      </c>
      <c r="C78" s="42" t="s">
        <v>35</v>
      </c>
      <c r="D78" s="116">
        <v>46229</v>
      </c>
      <c r="E78" s="116">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226</v>
      </c>
      <c r="C79" s="42" t="s">
        <v>227</v>
      </c>
      <c r="D79" s="116">
        <v>46273</v>
      </c>
      <c r="E79" s="116">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228</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12" t="s">
        <v>231</v>
      </c>
      <c r="C81" s="212"/>
      <c r="D81" s="212"/>
      <c r="E81" s="212"/>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c r="A82" s="33"/>
      <c r="B82" s="47" t="s">
        <v>232</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c r="A83" s="33"/>
      <c r="B83" s="47" t="s">
        <v>233</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c r="A84" s="33"/>
      <c r="B84" s="47" t="s">
        <v>233</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234</v>
      </c>
      <c r="C85" s="42" t="s">
        <v>134</v>
      </c>
      <c r="D85" s="116">
        <v>46107</v>
      </c>
      <c r="E85" s="116">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234</v>
      </c>
      <c r="C86" s="42" t="s">
        <v>131</v>
      </c>
      <c r="D86" s="116">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212" t="s">
        <v>235</v>
      </c>
      <c r="C88" s="212"/>
      <c r="D88" s="212"/>
      <c r="E88" s="212"/>
      <c r="F88" s="14"/>
      <c r="G88" s="14" t="str">
        <f t="shared" ca="1"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t="s">
        <v>236</v>
      </c>
      <c r="B89" s="84" t="s">
        <v>226</v>
      </c>
      <c r="C89" s="137" t="s">
        <v>230</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13" t="s">
        <v>237</v>
      </c>
      <c r="C90" s="213"/>
      <c r="D90" s="213"/>
      <c r="E90" s="213"/>
      <c r="F90" s="14"/>
      <c r="G90" s="14" t="str">
        <f t="shared" ca="1"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236</v>
      </c>
      <c r="B91" s="48" t="s">
        <v>238</v>
      </c>
      <c r="C91" s="44" t="s">
        <v>239</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82" t="s">
        <v>238</v>
      </c>
      <c r="C92" s="138" t="s">
        <v>240</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c r="B93" s="214" t="s">
        <v>241</v>
      </c>
      <c r="C93" s="214"/>
      <c r="D93" s="214"/>
      <c r="E93" s="214"/>
      <c r="F93" s="14"/>
      <c r="G93" s="14" t="str">
        <f t="shared" ca="1"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hidden="1" outlineLevel="1" thickBot="1">
      <c r="A94" s="33" t="s">
        <v>236</v>
      </c>
      <c r="B94" s="85" t="s">
        <v>242</v>
      </c>
      <c r="C94" s="139" t="s">
        <v>243</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hidden="1" outlineLevel="1" thickBot="1">
      <c r="A95" s="33"/>
      <c r="B95" s="85" t="s">
        <v>242</v>
      </c>
      <c r="C95" s="139" t="s">
        <v>244</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hidden="1" outlineLevel="1" thickBot="1">
      <c r="A96" s="33"/>
      <c r="B96" s="85" t="s">
        <v>245</v>
      </c>
      <c r="C96" s="145" t="s">
        <v>240</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246</v>
      </c>
      <c r="C97" s="139" t="s">
        <v>247</v>
      </c>
      <c r="D97" s="120">
        <v>46104</v>
      </c>
      <c r="E97" s="120">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242</v>
      </c>
      <c r="C98" s="139" t="s">
        <v>248</v>
      </c>
      <c r="D98" s="120">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6.149999999999999" outlineLevel="1" thickBot="1">
      <c r="A99" s="33"/>
      <c r="B99" s="215" t="s">
        <v>249</v>
      </c>
      <c r="C99" s="215"/>
      <c r="D99" s="215"/>
      <c r="E99" s="215"/>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thickBot="1">
      <c r="A100" s="33"/>
      <c r="B100" s="210" t="s">
        <v>250</v>
      </c>
      <c r="C100" s="210"/>
      <c r="D100" s="210"/>
      <c r="E100" s="210"/>
      <c r="F100" s="14"/>
      <c r="G100" s="14" t="str">
        <f t="shared" ca="1"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customHeight="1" outlineLevel="1" thickBot="1">
      <c r="A101" s="34" t="s">
        <v>224</v>
      </c>
      <c r="B101" s="47" t="s">
        <v>251</v>
      </c>
      <c r="C101" s="42" t="s">
        <v>119</v>
      </c>
      <c r="D101" s="116">
        <v>45820</v>
      </c>
      <c r="E101" s="116">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hidden="1" outlineLevel="1" thickBot="1">
      <c r="A102" s="33"/>
      <c r="B102" s="47" t="s">
        <v>252</v>
      </c>
      <c r="C102" s="42" t="s">
        <v>83</v>
      </c>
      <c r="D102" s="116">
        <v>45855</v>
      </c>
      <c r="E102" s="116">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hidden="1" outlineLevel="1" thickBot="1">
      <c r="A103" s="33"/>
      <c r="B103" s="47" t="s">
        <v>251</v>
      </c>
      <c r="C103" s="42" t="s">
        <v>42</v>
      </c>
      <c r="D103" s="116">
        <v>45876</v>
      </c>
      <c r="E103" s="116">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hidden="1" outlineLevel="1" thickBot="1">
      <c r="A104" s="33"/>
      <c r="B104" s="47" t="s">
        <v>252</v>
      </c>
      <c r="C104" s="42" t="s">
        <v>134</v>
      </c>
      <c r="D104" s="116">
        <f>E102</f>
        <v>45911</v>
      </c>
      <c r="E104" s="116">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outlineLevel="1" thickBot="1">
      <c r="A105" s="33"/>
      <c r="B105" s="47" t="s">
        <v>251</v>
      </c>
      <c r="C105" s="42" t="s">
        <v>39</v>
      </c>
      <c r="D105" s="116">
        <v>45932</v>
      </c>
      <c r="E105" s="116">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c r="A106" s="33"/>
      <c r="B106" s="47" t="s">
        <v>252</v>
      </c>
      <c r="C106" s="42" t="s">
        <v>62</v>
      </c>
      <c r="D106" s="116">
        <v>45974</v>
      </c>
      <c r="E106" s="116">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c r="A107" s="33"/>
      <c r="B107" s="47" t="s">
        <v>251</v>
      </c>
      <c r="C107" s="42" t="s">
        <v>229</v>
      </c>
      <c r="D107" s="116">
        <v>45996</v>
      </c>
      <c r="E107" s="116">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c r="A108" s="33"/>
      <c r="B108" s="146" t="s">
        <v>253</v>
      </c>
      <c r="C108" s="147" t="s">
        <v>122</v>
      </c>
      <c r="D108" s="148">
        <v>45988</v>
      </c>
      <c r="E108" s="148">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c r="A109" s="33"/>
      <c r="B109" s="47" t="s">
        <v>252</v>
      </c>
      <c r="C109" s="42" t="s">
        <v>83</v>
      </c>
      <c r="D109" s="116">
        <v>46034</v>
      </c>
      <c r="E109" s="116">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c r="A110" s="33"/>
      <c r="B110" s="47" t="s">
        <v>251</v>
      </c>
      <c r="C110" s="42" t="s">
        <v>95</v>
      </c>
      <c r="D110" s="116">
        <f>E107</f>
        <v>46051</v>
      </c>
      <c r="E110" s="116">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146" t="s">
        <v>253</v>
      </c>
      <c r="C111" s="147" t="s">
        <v>254</v>
      </c>
      <c r="D111" s="148">
        <v>46058</v>
      </c>
      <c r="E111" s="148">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47" t="s">
        <v>252</v>
      </c>
      <c r="C112" s="42" t="s">
        <v>86</v>
      </c>
      <c r="D112" s="116">
        <f>E109+8</f>
        <v>46093</v>
      </c>
      <c r="E112" s="116">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251</v>
      </c>
      <c r="C113" s="42" t="s">
        <v>229</v>
      </c>
      <c r="D113" s="116">
        <v>46114</v>
      </c>
      <c r="E113" s="116">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146" t="s">
        <v>253</v>
      </c>
      <c r="C114" s="147" t="s">
        <v>113</v>
      </c>
      <c r="D114" s="148">
        <v>46065</v>
      </c>
      <c r="E114" s="148">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253</v>
      </c>
      <c r="C115" s="147" t="s">
        <v>116</v>
      </c>
      <c r="D115" s="148">
        <v>46121</v>
      </c>
      <c r="E115" s="148">
        <f>D115+G115-1</f>
        <v>46176</v>
      </c>
      <c r="F115" s="14"/>
      <c r="G115" s="14">
        <v>56</v>
      </c>
      <c r="H115" s="14"/>
      <c r="I115" s="14"/>
      <c r="J115" s="29"/>
      <c r="K115" s="29"/>
      <c r="L115" s="29"/>
      <c r="M115" s="29"/>
      <c r="N115" s="29"/>
      <c r="O115" s="29"/>
      <c r="P115" s="29"/>
      <c r="Q115" s="29"/>
      <c r="R115" s="29"/>
      <c r="S115" s="29"/>
      <c r="T115" s="29"/>
      <c r="U115" s="29"/>
      <c r="V115" s="29"/>
      <c r="W115" s="29"/>
      <c r="X115" s="29"/>
      <c r="Y115" s="176"/>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252</v>
      </c>
      <c r="C116" s="42" t="s">
        <v>83</v>
      </c>
      <c r="D116" s="116">
        <f>E112+1</f>
        <v>46149</v>
      </c>
      <c r="E116" s="116">
        <f>D116+G116-1</f>
        <v>46232</v>
      </c>
      <c r="F116" s="14"/>
      <c r="G116" s="14">
        <v>84</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251</v>
      </c>
      <c r="C117" s="42" t="s">
        <v>174</v>
      </c>
      <c r="D117" s="116">
        <f>E113+1</f>
        <v>46170</v>
      </c>
      <c r="E117" s="116">
        <f t="shared" si="598"/>
        <v>46225</v>
      </c>
      <c r="F117" s="14"/>
      <c r="G117" s="14">
        <v>56</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253</v>
      </c>
      <c r="C118" s="147" t="s">
        <v>122</v>
      </c>
      <c r="D118" s="148">
        <f>E115+1</f>
        <v>46177</v>
      </c>
      <c r="E118" s="148">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47" t="s">
        <v>252</v>
      </c>
      <c r="C119" s="42" t="s">
        <v>86</v>
      </c>
      <c r="D119" s="116">
        <f t="shared" ref="D119:D124" si="599">E116+1</f>
        <v>46233</v>
      </c>
      <c r="E119" s="116">
        <f t="shared" si="598"/>
        <v>46318</v>
      </c>
      <c r="F119" s="14"/>
      <c r="G119" s="14">
        <v>86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251</v>
      </c>
      <c r="C120" s="42" t="s">
        <v>229</v>
      </c>
      <c r="D120" s="116">
        <f t="shared" si="599"/>
        <v>46226</v>
      </c>
      <c r="E120" s="116">
        <f t="shared" si="598"/>
        <v>46311</v>
      </c>
      <c r="F120" s="14"/>
      <c r="G120" s="14">
        <v>86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t="s">
        <v>255</v>
      </c>
      <c r="B121" s="146" t="s">
        <v>253</v>
      </c>
      <c r="C121" s="147" t="s">
        <v>256</v>
      </c>
      <c r="D121" s="148">
        <f t="shared" si="599"/>
        <v>46233</v>
      </c>
      <c r="E121" s="148">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47" t="s">
        <v>252</v>
      </c>
      <c r="C122" s="42" t="s">
        <v>83</v>
      </c>
      <c r="D122" s="116">
        <f t="shared" si="599"/>
        <v>46319</v>
      </c>
      <c r="E122" s="116">
        <f t="shared" si="598"/>
        <v>46374</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251</v>
      </c>
      <c r="C123" s="42"/>
      <c r="D123" s="116">
        <f t="shared" si="599"/>
        <v>46312</v>
      </c>
      <c r="E123" s="116">
        <f t="shared" si="598"/>
        <v>46367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146" t="s">
        <v>253</v>
      </c>
      <c r="C124" s="147" t="s">
        <v>256</v>
      </c>
      <c r="D124" s="148">
        <f t="shared" si="599"/>
        <v>46289</v>
      </c>
      <c r="E124" s="148">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c r="B125" s="173" t="s">
        <v>257</v>
      </c>
      <c r="C125" s="174" t="s">
        <v>258</v>
      </c>
      <c r="D125" s="175">
        <v>46114</v>
      </c>
      <c r="E125" s="175">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173" t="s">
        <v>257</v>
      </c>
      <c r="C126" s="174" t="s">
        <v>258</v>
      </c>
      <c r="D126" s="175">
        <f>E125+1</f>
        <v>46170</v>
      </c>
      <c r="E126" s="175">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173" t="s">
        <v>257</v>
      </c>
      <c r="C127" s="174" t="s">
        <v>258</v>
      </c>
      <c r="D127" s="175">
        <f t="shared" ref="D127" si="601">E126+1</f>
        <v>46226</v>
      </c>
      <c r="E127" s="175">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73"/>
      <c r="C128" s="174"/>
      <c r="D128" s="175"/>
      <c r="E128" s="175"/>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24" t="s">
        <v>259</v>
      </c>
      <c r="C133" s="140"/>
      <c r="D133" s="121"/>
      <c r="E133" s="122"/>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85" t="s">
        <v>260</v>
      </c>
      <c r="C134" s="102" t="s">
        <v>89</v>
      </c>
      <c r="D134" s="123">
        <v>45754</v>
      </c>
      <c r="E134" s="123">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85" t="s">
        <v>221</v>
      </c>
      <c r="C135" s="102" t="s">
        <v>229</v>
      </c>
      <c r="D135" s="123">
        <v>45782</v>
      </c>
      <c r="E135" s="123">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85" t="s">
        <v>261</v>
      </c>
      <c r="C136" s="102" t="s">
        <v>86</v>
      </c>
      <c r="D136" s="123">
        <f>D135+35</f>
        <v>45817</v>
      </c>
      <c r="E136" s="123">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85" t="s">
        <v>221</v>
      </c>
      <c r="C137" s="102" t="s">
        <v>35</v>
      </c>
      <c r="D137" s="123">
        <f t="shared" ref="D137" si="603">D136+35</f>
        <v>45852</v>
      </c>
      <c r="E137" s="123">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221</v>
      </c>
      <c r="C138" s="102" t="s">
        <v>165</v>
      </c>
      <c r="D138" s="123">
        <v>45852</v>
      </c>
      <c r="E138" s="123">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221</v>
      </c>
      <c r="C139" s="102" t="s">
        <v>168</v>
      </c>
      <c r="D139" s="123">
        <v>45859</v>
      </c>
      <c r="E139" s="123">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261</v>
      </c>
      <c r="C140" s="102" t="s">
        <v>80</v>
      </c>
      <c r="D140" s="123">
        <v>45894</v>
      </c>
      <c r="E140" s="123">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261</v>
      </c>
      <c r="C141" s="102" t="s">
        <v>144</v>
      </c>
      <c r="D141" s="123">
        <v>45901</v>
      </c>
      <c r="E141" s="123">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223</v>
      </c>
      <c r="C142" s="102" t="s">
        <v>21</v>
      </c>
      <c r="D142" s="123">
        <v>45894</v>
      </c>
      <c r="E142" s="123">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261</v>
      </c>
      <c r="C143" s="102" t="s">
        <v>101</v>
      </c>
      <c r="D143" s="123">
        <v>45929</v>
      </c>
      <c r="E143" s="123">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223</v>
      </c>
      <c r="C144" s="102" t="s">
        <v>26</v>
      </c>
      <c r="D144" s="123">
        <v>45929</v>
      </c>
      <c r="E144" s="123">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221</v>
      </c>
      <c r="C145" s="102" t="s">
        <v>162</v>
      </c>
      <c r="D145" s="123">
        <v>45936</v>
      </c>
      <c r="E145" s="123">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149" t="s">
        <v>221</v>
      </c>
      <c r="C146" s="150"/>
      <c r="D146" s="151">
        <v>45964</v>
      </c>
      <c r="E146" s="151">
        <f t="shared" ref="E146:E150" si="604">D146+G146-1</f>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149" t="s">
        <v>223</v>
      </c>
      <c r="C147" s="150"/>
      <c r="D147" s="151">
        <v>45964</v>
      </c>
      <c r="E147" s="151">
        <f t="shared" si="604"/>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149" t="s">
        <v>261</v>
      </c>
      <c r="C148" s="150"/>
      <c r="D148" s="151">
        <v>45957</v>
      </c>
      <c r="E148" s="151">
        <f t="shared" si="604"/>
        <v>45961</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149" t="s">
        <v>221</v>
      </c>
      <c r="C149" s="150"/>
      <c r="D149" s="151">
        <v>45964</v>
      </c>
      <c r="E149" s="151">
        <f t="shared" si="604"/>
        <v>45968</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221</v>
      </c>
      <c r="C150" s="150"/>
      <c r="D150" s="151">
        <v>45971</v>
      </c>
      <c r="E150" s="151">
        <f t="shared" si="604"/>
        <v>45975</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83" t="s">
        <v>262</v>
      </c>
      <c r="C153" s="141"/>
      <c r="D153" s="124"/>
      <c r="E153" s="125"/>
      <c r="F153" s="14"/>
      <c r="G153" s="14" t="str">
        <f t="shared" ca="1"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t="s">
        <v>236</v>
      </c>
      <c r="B154" s="84" t="s">
        <v>242</v>
      </c>
      <c r="C154" s="142" t="s">
        <v>263</v>
      </c>
      <c r="D154" s="117">
        <v>45769</v>
      </c>
      <c r="E154" s="117">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6" t="s">
        <v>245</v>
      </c>
      <c r="C155" s="142" t="s">
        <v>264</v>
      </c>
      <c r="D155" s="117">
        <v>45838</v>
      </c>
      <c r="E155" s="117">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216" t="s">
        <v>265</v>
      </c>
      <c r="C156" s="216"/>
      <c r="D156" s="216"/>
      <c r="E156" s="216"/>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161" t="s">
        <v>242</v>
      </c>
      <c r="C157" s="162" t="s">
        <v>266</v>
      </c>
      <c r="D157" s="163">
        <v>45971</v>
      </c>
      <c r="E157" s="163">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c r="B158" s="87" t="s">
        <v>267</v>
      </c>
      <c r="C158" s="41" t="s">
        <v>263</v>
      </c>
      <c r="D158" s="126">
        <v>46034</v>
      </c>
      <c r="E158" s="126">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7" t="s">
        <v>245</v>
      </c>
      <c r="C159" s="41" t="s">
        <v>268</v>
      </c>
      <c r="D159" s="126">
        <v>46104</v>
      </c>
      <c r="E159" s="126">
        <f>D159+53</f>
        <v>46157</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87" t="s">
        <v>246</v>
      </c>
      <c r="C160" s="41" t="s">
        <v>269</v>
      </c>
      <c r="D160" s="126">
        <v>46160</v>
      </c>
      <c r="E160" s="126">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6.149999999999999" outlineLevel="1" thickBot="1">
      <c r="A161" s="33"/>
      <c r="B161" s="215" t="s">
        <v>214</v>
      </c>
      <c r="C161" s="215"/>
      <c r="D161" s="215"/>
      <c r="E161" s="215"/>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thickBot="1">
      <c r="A162" s="33"/>
      <c r="B162" s="210" t="s">
        <v>270</v>
      </c>
      <c r="C162" s="210"/>
      <c r="D162" s="210"/>
      <c r="E162" s="210"/>
      <c r="F162" s="14"/>
      <c r="G162" s="14" t="str">
        <f t="shared" ca="1"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2.6" hidden="1" customHeight="1" outlineLevel="1" thickBot="1">
      <c r="A163" s="34" t="s">
        <v>224</v>
      </c>
      <c r="B163" s="47" t="s">
        <v>271</v>
      </c>
      <c r="C163" s="42" t="s">
        <v>104</v>
      </c>
      <c r="D163" s="116">
        <v>45964</v>
      </c>
      <c r="E163" s="116">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47" t="s">
        <v>272</v>
      </c>
      <c r="C164" s="42" t="s">
        <v>119</v>
      </c>
      <c r="D164" s="116">
        <v>46037</v>
      </c>
      <c r="E164" s="116">
        <f t="shared" si="605"/>
        <v>46204</v>
      </c>
      <c r="F164" s="14"/>
      <c r="G164" s="186">
        <v>167</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47" t="s">
        <v>271</v>
      </c>
      <c r="C165" s="42" t="s">
        <v>108</v>
      </c>
      <c r="D165" s="116">
        <v>46058</v>
      </c>
      <c r="E165" s="116">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47" t="s">
        <v>272</v>
      </c>
      <c r="C166" s="42" t="s">
        <v>273</v>
      </c>
      <c r="D166" s="116">
        <f>E164</f>
        <v>46204</v>
      </c>
      <c r="E166" s="116">
        <f t="shared" si="605"/>
        <v>46290</v>
      </c>
      <c r="F166" s="14"/>
      <c r="G166" s="14">
        <v>86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c r="A167" s="33"/>
      <c r="B167" s="146" t="s">
        <v>253</v>
      </c>
      <c r="C167" s="147" t="s">
        <v>274</v>
      </c>
      <c r="D167" s="148">
        <v>46132</v>
      </c>
      <c r="E167" s="148">
        <v>46192</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c r="A168" s="33"/>
      <c r="B168" s="47" t="s">
        <v>271</v>
      </c>
      <c r="C168" s="42" t="s">
        <v>104</v>
      </c>
      <c r="D168" s="116">
        <v>46118</v>
      </c>
      <c r="E168" s="116">
        <f>D168+G168</f>
        <v>46204</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c r="A169" s="33"/>
      <c r="B169" s="47" t="s">
        <v>272</v>
      </c>
      <c r="C169" s="42" t="s">
        <v>180</v>
      </c>
      <c r="D169" s="116">
        <f t="shared" ref="D169:D177" si="606">E166</f>
        <v>46290</v>
      </c>
      <c r="E169" s="116">
        <f t="shared" si="605"/>
        <v>46376</v>
      </c>
      <c r="F169" s="14"/>
      <c r="G169" s="14">
        <v>86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146" t="s">
        <v>253</v>
      </c>
      <c r="C170" s="147" t="s">
        <v>196</v>
      </c>
      <c r="D170" s="148">
        <f t="shared" si="606"/>
        <v>46192</v>
      </c>
      <c r="E170" s="148">
        <f t="shared" ref="E170" si="607">D170+G170-1</f>
        <v>46247</v>
      </c>
      <c r="F170" s="14"/>
      <c r="G170" s="14">
        <v>56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c r="A171" s="33"/>
      <c r="B171" s="47" t="s">
        <v>271</v>
      </c>
      <c r="C171" s="42" t="s">
        <v>108</v>
      </c>
      <c r="D171" s="116">
        <f t="shared" si="606"/>
        <v>46204</v>
      </c>
      <c r="E171" s="116">
        <f>D171+G171</f>
        <v>46290</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47" t="s">
        <v>272</v>
      </c>
      <c r="C172" s="42" t="s">
        <v>183</v>
      </c>
      <c r="D172" s="116">
        <f t="shared" si="606"/>
        <v>46376</v>
      </c>
      <c r="E172" s="116">
        <f t="shared" ref="E172" si="608">D172+G172</f>
        <v>46462</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146" t="s">
        <v>253</v>
      </c>
      <c r="C173" s="147"/>
      <c r="D173" s="148">
        <f t="shared" si="606"/>
        <v>46247</v>
      </c>
      <c r="E173" s="148">
        <f t="shared" ref="E173" si="609">D173+G173-1</f>
        <v>46302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271</v>
      </c>
      <c r="C174" s="42"/>
      <c r="D174" s="116">
        <f t="shared" si="606"/>
        <v>46290</v>
      </c>
      <c r="E174" s="116">
        <f>D174+G174</f>
        <v>46346</v>
      </c>
      <c r="F174" s="14"/>
      <c r="G174" s="14">
        <v>56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47" t="s">
        <v>272</v>
      </c>
      <c r="C175" s="42"/>
      <c r="D175" s="116">
        <f t="shared" si="606"/>
        <v>46462</v>
      </c>
      <c r="E175" s="116">
        <f t="shared" ref="E175" si="610">D175+G175</f>
        <v>46518</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204" t="s">
        <v>253</v>
      </c>
      <c r="C176" s="205" t="s">
        <v>119</v>
      </c>
      <c r="D176" s="206">
        <f t="shared" si="606"/>
        <v>46302</v>
      </c>
      <c r="E176" s="206">
        <f>D176+G176-1</f>
        <v>46387</v>
      </c>
      <c r="F176" s="14"/>
      <c r="G176" s="14">
        <v>86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271</v>
      </c>
      <c r="C177" s="42"/>
      <c r="D177" s="116">
        <f t="shared" si="606"/>
        <v>46346</v>
      </c>
      <c r="E177" s="116">
        <f>D177+G177</f>
        <v>46402</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272</v>
      </c>
      <c r="C178" s="42"/>
      <c r="D178" s="116">
        <v>46374</v>
      </c>
      <c r="E178" s="116">
        <f t="shared" ref="E178" si="611">D178+G178</f>
        <v>46430</v>
      </c>
      <c r="F178" s="14"/>
      <c r="G178" s="14">
        <v>56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c r="B179" s="47" t="s">
        <v>271</v>
      </c>
      <c r="C179" s="42"/>
      <c r="D179" s="116">
        <f>E177</f>
        <v>46402</v>
      </c>
      <c r="E179" s="116">
        <f>D179+G179</f>
        <v>46458</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47" t="s">
        <v>272</v>
      </c>
      <c r="C180" s="42"/>
      <c r="D180" s="116">
        <f>E178</f>
        <v>46430</v>
      </c>
      <c r="E180" s="116">
        <f t="shared" ref="E180" si="612">D180+G180</f>
        <v>46486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83" t="s">
        <v>275</v>
      </c>
      <c r="C181" s="141"/>
      <c r="D181" s="124"/>
      <c r="E181" s="125"/>
      <c r="F181" s="14"/>
      <c r="G181" s="14" t="str">
        <f t="shared" ca="1" si="586"/>
        <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t="s">
        <v>236</v>
      </c>
      <c r="B182" s="84" t="s">
        <v>271</v>
      </c>
      <c r="C182" s="137" t="s">
        <v>62</v>
      </c>
      <c r="D182" s="117">
        <f>E182-G182</f>
        <v>45853</v>
      </c>
      <c r="E182" s="117">
        <v>45898</v>
      </c>
      <c r="F182" s="14"/>
      <c r="G182" s="14">
        <v>45</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21" t="s">
        <v>276</v>
      </c>
      <c r="C183" s="143"/>
      <c r="D183" s="127"/>
      <c r="E183" s="128"/>
      <c r="F183" s="14"/>
      <c r="G183" s="14"/>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82" t="s">
        <v>246</v>
      </c>
      <c r="C184" s="138" t="s">
        <v>277</v>
      </c>
      <c r="D184" s="119">
        <v>45735</v>
      </c>
      <c r="E184" s="119">
        <v>45814</v>
      </c>
      <c r="F184" s="14"/>
      <c r="G184" s="14">
        <v>79</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82" t="s">
        <v>246</v>
      </c>
      <c r="C185" s="138" t="s">
        <v>269</v>
      </c>
      <c r="D185" s="119">
        <v>45817</v>
      </c>
      <c r="E185" s="119">
        <v>45870</v>
      </c>
      <c r="F185" s="14"/>
      <c r="G185" s="14">
        <v>53</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c r="A186" s="33"/>
      <c r="B186" s="82" t="s">
        <v>242</v>
      </c>
      <c r="C186" s="138" t="s">
        <v>278</v>
      </c>
      <c r="D186" s="119">
        <v>45873</v>
      </c>
      <c r="E186" s="119">
        <v>45898</v>
      </c>
      <c r="F186" s="14"/>
      <c r="G186" s="14">
        <v>25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c r="A187" s="33"/>
      <c r="B187" s="82"/>
      <c r="C187" s="138"/>
      <c r="D187" s="119"/>
      <c r="E187" s="119"/>
      <c r="F187" s="14"/>
      <c r="G187" s="14">
        <v>25</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c r="A188" s="33"/>
      <c r="B188" s="103" t="s">
        <v>279</v>
      </c>
      <c r="C188" s="108"/>
      <c r="D188" s="129"/>
      <c r="E188" s="130"/>
      <c r="F188" s="104" t="s">
        <v>280</v>
      </c>
      <c r="G188" s="104" t="s">
        <v>280</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c r="A189" s="33"/>
      <c r="B189" s="105" t="s">
        <v>245</v>
      </c>
      <c r="C189" s="144" t="s">
        <v>281</v>
      </c>
      <c r="D189" s="109">
        <v>45818</v>
      </c>
      <c r="E189" s="109">
        <v>45870</v>
      </c>
      <c r="F189" s="106" t="s">
        <v>280</v>
      </c>
      <c r="G189" s="106">
        <v>52</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c r="A190" s="33"/>
      <c r="B190" s="105" t="s">
        <v>245</v>
      </c>
      <c r="C190" s="144" t="s">
        <v>240</v>
      </c>
      <c r="D190" s="109">
        <v>45873</v>
      </c>
      <c r="E190" s="109">
        <v>45929</v>
      </c>
      <c r="F190" s="106" t="s">
        <v>280</v>
      </c>
      <c r="G190" s="106">
        <v>56</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c r="A191" s="33"/>
      <c r="B191" s="24" t="s">
        <v>282</v>
      </c>
      <c r="C191" s="140"/>
      <c r="D191" s="121"/>
      <c r="E191" s="122"/>
      <c r="F191" s="14"/>
      <c r="G191" s="14"/>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c r="A192" s="33"/>
      <c r="B192" s="85" t="s">
        <v>242</v>
      </c>
      <c r="C192" s="145" t="s">
        <v>266</v>
      </c>
      <c r="D192" s="123">
        <f>E157+3</f>
        <v>45999</v>
      </c>
      <c r="E192" s="123">
        <v>46028</v>
      </c>
      <c r="F192" s="14"/>
      <c r="G192" s="14">
        <f>E192-D192</f>
        <v>29</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c r="A193" s="33"/>
      <c r="B193" s="85" t="s">
        <v>246</v>
      </c>
      <c r="C193" s="145" t="s">
        <v>277</v>
      </c>
      <c r="D193" s="123">
        <v>46048</v>
      </c>
      <c r="E193" s="123">
        <f>D193+53</f>
        <v>46101</v>
      </c>
      <c r="F193" s="14"/>
      <c r="G193" s="14">
        <f>E193-D193</f>
        <v>53</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c r="A194" s="33"/>
      <c r="B194" s="85" t="s">
        <v>242</v>
      </c>
      <c r="C194" s="145" t="s">
        <v>283</v>
      </c>
      <c r="D194" s="123">
        <v>46090</v>
      </c>
      <c r="E194" s="123">
        <f>D194+53</f>
        <v>46143</v>
      </c>
      <c r="F194" s="14"/>
      <c r="G194" s="14">
        <f>E194-D194</f>
        <v>53</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85" t="s">
        <v>245</v>
      </c>
      <c r="C195" s="145" t="s">
        <v>281</v>
      </c>
      <c r="D195" s="123">
        <v>46153</v>
      </c>
      <c r="E195" s="123">
        <f>D195+53</f>
        <v>46206</v>
      </c>
      <c r="F195" s="14"/>
      <c r="G195" s="14">
        <f>E195-D195</f>
        <v>53</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c r="A196" s="33"/>
      <c r="B196" s="85"/>
      <c r="C196" s="145"/>
      <c r="D196" s="123"/>
      <c r="E196" s="123">
        <f>D196+G196</f>
        <v>0</v>
      </c>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c r="A197" s="33"/>
      <c r="B197" s="85"/>
      <c r="C197" s="145"/>
      <c r="D197" s="123"/>
      <c r="E197" s="123"/>
      <c r="F197" s="14"/>
      <c r="G197" s="14"/>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c r="A198" s="33"/>
      <c r="B198" s="85"/>
      <c r="C198" s="145"/>
      <c r="D198" s="123"/>
      <c r="E198" s="123"/>
      <c r="F198" s="14"/>
      <c r="G198" s="14"/>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c r="A199" s="33"/>
      <c r="B199" s="49"/>
      <c r="C199" s="45"/>
      <c r="D199" s="131"/>
      <c r="E199" s="131"/>
      <c r="F199" s="14"/>
      <c r="G199" s="14">
        <v>111</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thickBot="1">
      <c r="A200" s="33" t="s">
        <v>284</v>
      </c>
      <c r="B200" s="25" t="s">
        <v>285</v>
      </c>
      <c r="C200" s="26"/>
      <c r="D200" s="132"/>
      <c r="E200" s="133"/>
      <c r="F200" s="28"/>
      <c r="G200" s="28" t="str">
        <f t="shared" ca="1" si="586"/>
        <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409.6" thickBot="1">
      <c r="A201" s="34" t="s">
        <v>286</v>
      </c>
      <c r="B201"/>
      <c r="C201" s="5"/>
      <c r="D201" s="111"/>
      <c r="E201" s="111"/>
      <c r="F201"/>
      <c r="G20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1"/>
      <c r="AN201" s="31"/>
      <c r="AO201" s="31"/>
      <c r="AP201" s="31"/>
      <c r="AQ201" s="31"/>
      <c r="AR201" s="31"/>
      <c r="AS201" s="31"/>
      <c r="AT201" s="31"/>
      <c r="AU201" s="31"/>
      <c r="AV201" s="31"/>
      <c r="AW201" s="31"/>
      <c r="AX201" s="31"/>
      <c r="AY201" s="31"/>
      <c r="AZ201" s="31"/>
      <c r="BA201" s="31"/>
      <c r="BB201" s="31"/>
      <c r="BC201" s="31"/>
      <c r="BD201" s="31"/>
      <c r="BE201" s="31"/>
      <c r="BF201" s="31"/>
      <c r="BG201" s="31"/>
      <c r="BH201" s="31"/>
      <c r="BI201" s="31"/>
      <c r="BJ201" s="31"/>
      <c r="BK201" s="31"/>
      <c r="BL201" s="31"/>
      <c r="BM201" s="31"/>
      <c r="BN201" s="31"/>
      <c r="BO201" s="31"/>
      <c r="BP201" s="31"/>
      <c r="BQ201" s="31"/>
      <c r="BR201" s="31"/>
      <c r="BS201" s="31"/>
      <c r="BT201" s="31"/>
      <c r="BU201" s="31"/>
      <c r="BV201" s="31"/>
      <c r="BW201" s="31"/>
      <c r="BX201" s="31"/>
      <c r="BY201" s="31"/>
      <c r="BZ201" s="31"/>
      <c r="CA201" s="31"/>
      <c r="CB201" s="31"/>
      <c r="CC201" s="31"/>
      <c r="CD201" s="31"/>
      <c r="CE201" s="31"/>
      <c r="CF201" s="31"/>
      <c r="CG201" s="31"/>
      <c r="CH201" s="31"/>
      <c r="CI201" s="31"/>
      <c r="CJ201" s="31"/>
      <c r="CK201" s="31"/>
      <c r="CL201" s="31"/>
      <c r="CM201" s="31"/>
      <c r="CN201" s="31"/>
      <c r="CO201" s="31"/>
      <c r="CP201" s="31"/>
      <c r="CQ201" s="31"/>
      <c r="CR201" s="31"/>
      <c r="CS201" s="31"/>
      <c r="CT201" s="31"/>
      <c r="CU201" s="31"/>
      <c r="CV201" s="31"/>
      <c r="CW201" s="31"/>
      <c r="CX201" s="31"/>
      <c r="CY201" s="31"/>
      <c r="CZ201" s="31"/>
      <c r="DA201" s="31"/>
      <c r="DB201" s="31"/>
      <c r="DC201" s="31"/>
      <c r="DD201" s="31"/>
      <c r="DE201" s="31"/>
      <c r="DF201" s="31"/>
      <c r="DG201" s="31"/>
      <c r="DH201" s="31"/>
      <c r="DI201" s="31"/>
      <c r="DJ201" s="31"/>
      <c r="DK201" s="31"/>
      <c r="DL201" s="31"/>
      <c r="DM201" s="31"/>
      <c r="DN201" s="31"/>
      <c r="DO201" s="31"/>
      <c r="DP201" s="31"/>
      <c r="DQ201" s="31"/>
      <c r="DR201" s="31"/>
      <c r="DS201" s="31"/>
      <c r="DT201" s="31"/>
      <c r="DU201" s="31"/>
      <c r="DV201" s="31"/>
      <c r="DW201" s="31"/>
      <c r="DX201" s="31"/>
      <c r="DY201" s="31"/>
      <c r="DZ201" s="31"/>
      <c r="EA201" s="31"/>
      <c r="EB201" s="31"/>
      <c r="EC201" s="31"/>
      <c r="ED201" s="31"/>
      <c r="EE201" s="31"/>
      <c r="EF201" s="31"/>
      <c r="EG201" s="31"/>
      <c r="EH201" s="31"/>
      <c r="EI201" s="31"/>
      <c r="EJ201" s="31"/>
      <c r="EK201" s="31"/>
      <c r="EL201" s="31"/>
      <c r="EM201" s="31"/>
      <c r="EN201" s="31"/>
      <c r="EO201" s="31"/>
      <c r="EP201" s="31"/>
      <c r="EQ201" s="31"/>
      <c r="ER201" s="31"/>
      <c r="ES201" s="31"/>
      <c r="ET201" s="31"/>
      <c r="EU201" s="31"/>
      <c r="EV201" s="31"/>
      <c r="EW201" s="31"/>
      <c r="EX201" s="31"/>
      <c r="EY201" s="31"/>
      <c r="EZ201" s="31"/>
      <c r="FA201" s="31"/>
      <c r="FB201" s="31"/>
      <c r="FC201" s="31"/>
      <c r="FD201" s="31"/>
      <c r="FE201" s="31"/>
      <c r="FF201" s="31"/>
      <c r="FG201" s="31"/>
      <c r="FH201" s="31"/>
      <c r="FI201" s="31"/>
      <c r="FJ201" s="31"/>
      <c r="FK201" s="31"/>
      <c r="FL201" s="31"/>
      <c r="FM201" s="31"/>
      <c r="FN201" s="31"/>
      <c r="FO201" s="31"/>
      <c r="FP201" s="31"/>
      <c r="FQ201" s="31"/>
      <c r="FR201" s="31"/>
      <c r="FS201" s="31"/>
      <c r="FT201" s="31"/>
      <c r="FU201" s="31"/>
      <c r="FV201" s="31"/>
      <c r="FW201" s="31"/>
      <c r="FX201" s="31"/>
      <c r="FY201" s="31"/>
      <c r="FZ201" s="31"/>
      <c r="GA201" s="31"/>
      <c r="GB201" s="31"/>
      <c r="GC201" s="31"/>
      <c r="GD201" s="31"/>
      <c r="GE201" s="31"/>
      <c r="GF201" s="31"/>
      <c r="GG201" s="31"/>
      <c r="GH201" s="31"/>
      <c r="GI201" s="31"/>
      <c r="GJ201" s="31"/>
      <c r="GK201" s="31"/>
      <c r="GL201" s="31"/>
      <c r="GM201" s="31"/>
      <c r="GN201" s="31"/>
      <c r="GO201" s="31"/>
      <c r="GP201" s="31"/>
      <c r="GQ201" s="31"/>
      <c r="GR201" s="31"/>
      <c r="GS201" s="31"/>
      <c r="GT201" s="31"/>
      <c r="GU201" s="31"/>
      <c r="GV201" s="31"/>
      <c r="GW201" s="31"/>
      <c r="GX201" s="31"/>
      <c r="GY201" s="31"/>
      <c r="GZ201" s="31"/>
      <c r="HA201" s="31"/>
      <c r="HB201" s="31"/>
      <c r="HC201" s="31"/>
      <c r="HD201" s="31"/>
      <c r="HE201" s="31"/>
      <c r="HF201" s="31"/>
      <c r="HG201" s="31"/>
      <c r="HH201" s="31"/>
      <c r="HI201" s="31"/>
      <c r="HJ201" s="31"/>
      <c r="HK201" s="31"/>
      <c r="HL201" s="31"/>
      <c r="HM201" s="31"/>
      <c r="HN201" s="31"/>
      <c r="HO201" s="31"/>
      <c r="HP201" s="31"/>
      <c r="HQ201" s="31"/>
      <c r="HR201" s="31"/>
      <c r="HS201" s="31"/>
      <c r="HT201" s="31"/>
      <c r="HU201" s="31"/>
      <c r="HV201" s="31"/>
      <c r="HW201" s="31"/>
      <c r="HX201" s="31"/>
      <c r="HY201" s="31"/>
      <c r="HZ201" s="31"/>
      <c r="IA201" s="31"/>
      <c r="IB201" s="31"/>
      <c r="IC201" s="31"/>
      <c r="ID201" s="31"/>
      <c r="IE201" s="31"/>
      <c r="IF201" s="31"/>
      <c r="IG201" s="31"/>
      <c r="IH201" s="31"/>
      <c r="II201" s="31"/>
      <c r="IJ201" s="31"/>
      <c r="IK201" s="31"/>
      <c r="IL201" s="31"/>
      <c r="IM201" s="31"/>
      <c r="IN201" s="31"/>
      <c r="IO201" s="31"/>
      <c r="IP201" s="31"/>
      <c r="IQ201" s="31"/>
      <c r="IR201" s="31"/>
      <c r="IS201" s="31"/>
      <c r="IT201" s="31"/>
      <c r="IU201" s="31"/>
      <c r="IV201" s="31"/>
      <c r="IW201" s="31"/>
      <c r="IX201" s="31"/>
      <c r="IY201" s="31"/>
      <c r="IZ201" s="31"/>
      <c r="JA201" s="31"/>
      <c r="JB201" s="31"/>
      <c r="JC201" s="31"/>
      <c r="JD201" s="31"/>
      <c r="JE201" s="31"/>
      <c r="JF201" s="31"/>
      <c r="JG201" s="31"/>
      <c r="JH201" s="31"/>
      <c r="JI201" s="31"/>
      <c r="JJ201" s="31"/>
      <c r="JK201" s="31"/>
      <c r="JL201" s="31"/>
      <c r="JM201" s="31"/>
      <c r="JN201" s="31"/>
      <c r="JO201" s="31"/>
      <c r="JP201" s="31"/>
      <c r="JQ201" s="31"/>
      <c r="JR201" s="31"/>
      <c r="JS201" s="31"/>
      <c r="JT201" s="31"/>
      <c r="JU201" s="31"/>
      <c r="JV201" s="31"/>
      <c r="JW201" s="31"/>
      <c r="JX201" s="31"/>
      <c r="JY201" s="31"/>
      <c r="JZ201" s="31"/>
      <c r="KA201" s="31"/>
      <c r="KB201" s="31"/>
      <c r="KC201" s="31"/>
      <c r="KD201" s="31"/>
      <c r="KE201" s="31"/>
      <c r="KF201" s="31"/>
      <c r="KG201" s="31"/>
      <c r="KH201" s="31"/>
      <c r="KI201" s="31"/>
      <c r="KJ201" s="31"/>
      <c r="KK201" s="31"/>
      <c r="KL201" s="31"/>
      <c r="KM201" s="31"/>
      <c r="KN201" s="31"/>
      <c r="KO201" s="31"/>
      <c r="KP201" s="31"/>
      <c r="KQ201" s="31"/>
      <c r="KR201" s="31"/>
      <c r="KS201" s="31"/>
      <c r="KT201" s="31"/>
      <c r="KU201" s="31"/>
      <c r="KV201" s="31"/>
      <c r="KW201" s="31"/>
      <c r="KX201" s="31"/>
      <c r="KY201" s="31"/>
      <c r="KZ201" s="31"/>
      <c r="LA201" s="31"/>
      <c r="LB201" s="31"/>
      <c r="LC201" s="31"/>
      <c r="LD201" s="31"/>
      <c r="LE201" s="31"/>
      <c r="LF201" s="31"/>
      <c r="LG201" s="31"/>
      <c r="LH201" s="31"/>
      <c r="LI201" s="31"/>
      <c r="LJ201" s="31"/>
      <c r="LK201" s="31"/>
      <c r="LL201" s="31"/>
      <c r="LM201" s="31"/>
      <c r="LN201" s="31"/>
      <c r="LO201" s="31"/>
      <c r="LP201" s="31"/>
      <c r="LQ201" s="31"/>
      <c r="LR201" s="31"/>
      <c r="LS201" s="31"/>
      <c r="LT201" s="31"/>
      <c r="LU201" s="31"/>
      <c r="LV201" s="31"/>
      <c r="LW201" s="31"/>
      <c r="LX201" s="31"/>
      <c r="LY201" s="31"/>
      <c r="LZ201" s="31"/>
      <c r="MA201" s="31"/>
      <c r="MB201" s="31"/>
      <c r="MC201" s="31"/>
      <c r="MD201" s="31"/>
      <c r="ME201" s="31"/>
      <c r="MF201" s="31"/>
      <c r="MG201" s="31"/>
      <c r="MH201" s="31"/>
      <c r="MI201" s="31"/>
      <c r="MJ201" s="31"/>
      <c r="MK201" s="31"/>
      <c r="ML201" s="31"/>
      <c r="MM201" s="31"/>
      <c r="MN201" s="31"/>
      <c r="MO201" s="31"/>
      <c r="MP201" s="31"/>
      <c r="MQ201" s="31"/>
      <c r="MR201" s="31"/>
      <c r="MS201" s="31"/>
      <c r="MT201" s="31"/>
      <c r="MU201" s="31"/>
      <c r="MV201" s="31"/>
      <c r="MW201" s="31"/>
      <c r="MX201" s="31"/>
      <c r="MY201" s="31"/>
      <c r="MZ201" s="31"/>
      <c r="NA201" s="31"/>
      <c r="NB201" s="31"/>
      <c r="NC201" s="31"/>
      <c r="ND201" s="31"/>
      <c r="NE201" s="31"/>
      <c r="NF201" s="31"/>
      <c r="NG201" s="31"/>
      <c r="NH201" s="31"/>
      <c r="NI201" s="31"/>
      <c r="NJ201" s="31"/>
      <c r="NK201" s="31"/>
      <c r="NL201" s="31"/>
      <c r="NM201" s="31"/>
      <c r="NN201" s="31"/>
      <c r="NO201" s="31"/>
      <c r="NP201" s="31"/>
      <c r="NQ201" s="31"/>
      <c r="NR201" s="31"/>
      <c r="NS201" s="31"/>
      <c r="NT201" s="31"/>
      <c r="NU201" s="31"/>
      <c r="NV201" s="31"/>
      <c r="NW201" s="31"/>
      <c r="NX201" s="31"/>
      <c r="NY201" s="31"/>
      <c r="NZ201" s="31"/>
      <c r="OA201" s="31"/>
      <c r="OB201" s="31"/>
      <c r="OC201" s="31"/>
      <c r="OD201" s="31"/>
      <c r="OE201" s="31"/>
      <c r="OF201" s="31"/>
      <c r="OG201" s="31"/>
      <c r="OH201" s="31"/>
      <c r="OI201" s="31"/>
      <c r="OJ201" s="31"/>
      <c r="OK201" s="31"/>
      <c r="OL201" s="31"/>
      <c r="OM201" s="31"/>
      <c r="ON201" s="31"/>
      <c r="OO201" s="31"/>
      <c r="OP201" s="31"/>
      <c r="OQ201" s="31"/>
      <c r="OR201" s="31"/>
      <c r="OS201" s="31"/>
      <c r="OT201" s="31"/>
      <c r="OU201" s="31"/>
      <c r="OV201" s="31"/>
      <c r="OW201" s="31"/>
      <c r="OX201" s="31"/>
      <c r="OY201" s="31"/>
      <c r="OZ201" s="31"/>
      <c r="PA201" s="31"/>
      <c r="PB201" s="31"/>
      <c r="PC201" s="31"/>
      <c r="PD201" s="31"/>
      <c r="PE201" s="31"/>
      <c r="PF201" s="31"/>
      <c r="PG201" s="31"/>
      <c r="PH201" s="31"/>
      <c r="PI201" s="31"/>
      <c r="PJ201" s="31"/>
      <c r="PK201" s="31"/>
      <c r="PL201" s="31"/>
      <c r="PM201" s="31"/>
      <c r="PN201" s="31"/>
      <c r="PO201" s="31"/>
      <c r="PP201" s="31"/>
      <c r="PQ201" s="31"/>
      <c r="PR201" s="31"/>
      <c r="PS201" s="31"/>
      <c r="PT201" s="31"/>
      <c r="PU201" s="31"/>
      <c r="PV201" s="31"/>
      <c r="PW201" s="31"/>
      <c r="PX201" s="31"/>
      <c r="PY201" s="31"/>
      <c r="PZ201" s="31"/>
      <c r="QA201" s="31"/>
      <c r="QB201" s="31"/>
      <c r="QC201" s="31"/>
      <c r="QD201" s="31"/>
      <c r="QE201" s="31"/>
      <c r="QF201" s="31"/>
      <c r="QG201" s="31"/>
      <c r="QH201" s="31"/>
      <c r="QI201" s="31"/>
      <c r="QJ201" s="31"/>
      <c r="QK201" s="31"/>
      <c r="QL201" s="31"/>
      <c r="QM201" s="31"/>
      <c r="QN201" s="31"/>
      <c r="QO201" s="31"/>
      <c r="QP201" s="31"/>
      <c r="QQ201" s="31"/>
      <c r="QR201" s="31"/>
      <c r="QS201" s="31"/>
      <c r="QT201" s="31"/>
      <c r="QU201" s="31"/>
      <c r="QV201" s="31"/>
      <c r="QW201" s="31"/>
      <c r="QX201" s="31"/>
      <c r="QY201" s="31"/>
      <c r="QZ201" s="31"/>
      <c r="RA201" s="31"/>
      <c r="RB201" s="31"/>
      <c r="RC201" s="31"/>
      <c r="RD201" s="31"/>
      <c r="RE201" s="31"/>
      <c r="RF201" s="31"/>
      <c r="RG201" s="31"/>
      <c r="RH201" s="31"/>
      <c r="RI201" s="31"/>
      <c r="RJ201" s="31"/>
      <c r="RK201" s="31"/>
      <c r="RL201" s="31"/>
      <c r="RM201" s="31"/>
      <c r="RN201" s="31"/>
      <c r="RO201" s="31"/>
      <c r="RP201" s="31"/>
      <c r="RQ201" s="31"/>
      <c r="RR201" s="31"/>
      <c r="RS201" s="31"/>
      <c r="RT201" s="31"/>
      <c r="RU201" s="31"/>
      <c r="RV201" s="31"/>
      <c r="RW201" s="31"/>
      <c r="RX201" s="31"/>
      <c r="RY201" s="31"/>
      <c r="RZ201" s="31"/>
      <c r="SA201" s="31"/>
      <c r="SB201" s="31"/>
      <c r="SC201" s="31"/>
      <c r="SD201" s="31"/>
      <c r="SE201" s="31"/>
      <c r="SF201" s="31"/>
      <c r="SG201" s="31"/>
      <c r="SH201" s="31"/>
      <c r="SI201" s="31"/>
      <c r="SJ201" s="31"/>
      <c r="SK201" s="31"/>
      <c r="SL201" s="31"/>
      <c r="SM201" s="31"/>
      <c r="SN201" s="31"/>
      <c r="SO201" s="31"/>
      <c r="SP201" s="31"/>
      <c r="SQ201" s="31"/>
      <c r="SR201" s="31"/>
      <c r="SS201" s="31"/>
      <c r="ST201" s="31"/>
      <c r="SU201" s="31"/>
      <c r="SV201" s="31"/>
      <c r="SW201" s="31"/>
      <c r="SX201" s="31"/>
      <c r="SY201" s="31"/>
      <c r="SZ201" s="31"/>
      <c r="TA201" s="31"/>
      <c r="TB201" s="31"/>
      <c r="TC201" s="31"/>
      <c r="TD201" s="31"/>
      <c r="TE201" s="31"/>
      <c r="TF201" s="31"/>
      <c r="TG201" s="31"/>
      <c r="TH201" s="31"/>
      <c r="TI201" s="31"/>
      <c r="TJ201" s="31"/>
      <c r="TK201" s="31"/>
      <c r="TL201" s="31"/>
      <c r="TM201" s="31"/>
      <c r="TN201" s="31"/>
      <c r="TO201" s="31"/>
      <c r="TP201" s="31"/>
      <c r="TQ201" s="31"/>
      <c r="TR201" s="31"/>
      <c r="TS201" s="31"/>
      <c r="TT201" s="31"/>
      <c r="TU201" s="31"/>
      <c r="TV201" s="31"/>
      <c r="TW201" s="31"/>
      <c r="TX201" s="31"/>
      <c r="TY201" s="31"/>
      <c r="TZ201" s="31"/>
      <c r="UA201" s="31"/>
      <c r="UB201" s="31"/>
      <c r="UC201" s="31"/>
      <c r="UD201" s="31"/>
      <c r="UE201" s="31"/>
      <c r="UF201" s="31"/>
      <c r="UG201" s="31"/>
      <c r="UH201" s="31"/>
      <c r="UI201" s="31"/>
      <c r="UJ201" s="31"/>
      <c r="UK201" s="31"/>
      <c r="UL201" s="31"/>
      <c r="UM201" s="31"/>
      <c r="UN201" s="31"/>
      <c r="UO201" s="31"/>
      <c r="UP201" s="31"/>
      <c r="UQ201" s="31"/>
      <c r="UR201" s="31"/>
      <c r="US201" s="31"/>
      <c r="UT201" s="31"/>
      <c r="UU201" s="31"/>
      <c r="UV201" s="31"/>
      <c r="UW201" s="31"/>
      <c r="UX201" s="31"/>
      <c r="UY201" s="31"/>
      <c r="UZ201" s="31"/>
      <c r="VA201" s="31"/>
      <c r="VB201" s="31"/>
      <c r="VC201" s="31"/>
      <c r="VD201" s="31"/>
      <c r="VE201" s="31"/>
      <c r="VF201" s="31"/>
      <c r="VG201" s="31"/>
      <c r="VH201" s="31"/>
      <c r="VI201" s="31"/>
      <c r="VJ201" s="31"/>
      <c r="VK201" s="31"/>
      <c r="VL201" s="31"/>
      <c r="VM201" s="31"/>
      <c r="VN201" s="31"/>
      <c r="VO201" s="31"/>
      <c r="VP201" s="31"/>
      <c r="VQ201" s="31"/>
      <c r="VR201" s="31"/>
      <c r="VS201" s="31"/>
      <c r="VT201" s="31"/>
      <c r="VU201" s="31"/>
      <c r="VV201" s="31"/>
      <c r="VW201" s="31"/>
      <c r="VX201" s="31"/>
      <c r="VY201" s="31"/>
      <c r="VZ201" s="31"/>
      <c r="WA201" s="31"/>
      <c r="WB201" s="31"/>
      <c r="WC201" s="31"/>
      <c r="WD201" s="31"/>
      <c r="WE201" s="31"/>
      <c r="WF201" s="31"/>
      <c r="WG201" s="31"/>
      <c r="WH201" s="31"/>
      <c r="WI201" s="31"/>
      <c r="WJ201" s="31"/>
      <c r="WK201" s="31"/>
      <c r="WL201" s="31"/>
      <c r="WM201" s="31"/>
      <c r="WN201" s="31"/>
      <c r="WO201" s="31"/>
      <c r="WP201" s="31"/>
      <c r="WQ201" s="31"/>
      <c r="WR201" s="31"/>
      <c r="WS201"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2:E162"/>
    <mergeCell ref="B65:E65"/>
    <mergeCell ref="B88:E88"/>
    <mergeCell ref="B90:E90"/>
    <mergeCell ref="B93:E93"/>
    <mergeCell ref="B161:E161"/>
    <mergeCell ref="B99:E99"/>
    <mergeCell ref="B100:E100"/>
    <mergeCell ref="B156:E156"/>
    <mergeCell ref="B81:E81"/>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5:I102 H134:I201">
    <cfRule type="expression" dxfId="67" priority="212">
      <formula>AND(TODAY()&gt;=H$5,TODAY()&lt;J$5)</formula>
    </cfRule>
  </conditionalFormatting>
  <conditionalFormatting sqref="H7:I102 H134:I201">
    <cfRule type="expression" dxfId="66" priority="220" stopIfTrue="1">
      <formula>AND(Término_da_tarefa&gt;=H$5,Início_da_tarefa&lt;J$5)</formula>
    </cfRule>
  </conditionalFormatting>
  <conditionalFormatting sqref="H48:WS102 H7:BL13 BM9:FZ13 GA9:WS47 H14:FZ47 LE75:LF170 J103:WS133 H134:WS201 LE181:LF248">
    <cfRule type="expression" dxfId="65" priority="203">
      <formula>AND(Início_da_tarefa&lt;=H$5,ROUNDDOWN((Término_da_tarefa-Início_da_tarefa+1)*Progresso_da_tarefa,0)+Início_da_tarefa-1&gt;=H$5)</formula>
    </cfRule>
  </conditionalFormatting>
  <conditionalFormatting sqref="J5:BL13 BM9:FZ13 GA9:WS47 J14:FZ47 J48:WS201 LE181:LF248 BM5:GN6">
    <cfRule type="expression" dxfId="64" priority="209">
      <formula>AND(TODAY()&gt;=J$5,TODAY()&lt;K$5)</formula>
    </cfRule>
  </conditionalFormatting>
  <conditionalFormatting sqref="J7:BL13 BM9:FZ13 GA9:WS47 J14:FZ47 J48:WS201 LE181:LF248">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C182 C10:C64 C66:C80 C82:C87 C101:C132 C134:C152 C163:C180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287</v>
      </c>
      <c r="B1" s="37" t="s">
        <v>288</v>
      </c>
      <c r="C1" s="1"/>
      <c r="D1" s="2"/>
      <c r="E1" s="4"/>
      <c r="F1" s="32"/>
      <c r="H1" s="2"/>
      <c r="I1" s="51" t="s">
        <v>289</v>
      </c>
    </row>
    <row r="2" spans="1:239" ht="30" customHeight="1">
      <c r="A2" s="33" t="s">
        <v>200</v>
      </c>
      <c r="B2" s="38" t="s">
        <v>290</v>
      </c>
      <c r="I2" s="160"/>
    </row>
    <row r="3" spans="1:239" ht="33" customHeight="1">
      <c r="A3" s="33" t="s">
        <v>201</v>
      </c>
      <c r="B3" s="70" t="s">
        <v>202</v>
      </c>
      <c r="C3" s="69">
        <f>Início_do_projeto+120</f>
        <v>46051</v>
      </c>
      <c r="D3" s="68" t="s">
        <v>203</v>
      </c>
      <c r="E3" s="226">
        <v>45931</v>
      </c>
      <c r="F3" s="226"/>
      <c r="G3" s="64"/>
    </row>
    <row r="4" spans="1:239" ht="30" customHeight="1">
      <c r="A4" s="34" t="s">
        <v>204</v>
      </c>
      <c r="C4" s="227" t="s">
        <v>205</v>
      </c>
      <c r="D4" s="228"/>
      <c r="E4" s="7">
        <v>1</v>
      </c>
      <c r="I4" s="222">
        <f>I5</f>
        <v>45929</v>
      </c>
      <c r="J4" s="223"/>
      <c r="K4" s="223"/>
      <c r="L4" s="223"/>
      <c r="M4" s="223"/>
      <c r="N4" s="223"/>
      <c r="O4" s="224"/>
      <c r="P4" s="222">
        <f>P5</f>
        <v>45936</v>
      </c>
      <c r="Q4" s="223"/>
      <c r="R4" s="223"/>
      <c r="S4" s="223"/>
      <c r="T4" s="223"/>
      <c r="U4" s="223"/>
      <c r="V4" s="224"/>
      <c r="W4" s="222">
        <f>W5</f>
        <v>45943</v>
      </c>
      <c r="X4" s="223"/>
      <c r="Y4" s="223"/>
      <c r="Z4" s="223"/>
      <c r="AA4" s="223"/>
      <c r="AB4" s="223"/>
      <c r="AC4" s="224"/>
      <c r="AD4" s="222">
        <f>AD5</f>
        <v>45950</v>
      </c>
      <c r="AE4" s="223"/>
      <c r="AF4" s="223"/>
      <c r="AG4" s="223"/>
      <c r="AH4" s="223"/>
      <c r="AI4" s="223"/>
      <c r="AJ4" s="224"/>
      <c r="AK4" s="222">
        <f>AK5</f>
        <v>45957</v>
      </c>
      <c r="AL4" s="223"/>
      <c r="AM4" s="223"/>
      <c r="AN4" s="223"/>
      <c r="AO4" s="223"/>
      <c r="AP4" s="223"/>
      <c r="AQ4" s="224"/>
      <c r="AR4" s="222">
        <f>AR5</f>
        <v>45964</v>
      </c>
      <c r="AS4" s="223"/>
      <c r="AT4" s="223"/>
      <c r="AU4" s="223"/>
      <c r="AV4" s="223"/>
      <c r="AW4" s="223"/>
      <c r="AX4" s="224"/>
      <c r="AY4" s="222">
        <f>AY5</f>
        <v>45971</v>
      </c>
      <c r="AZ4" s="223"/>
      <c r="BA4" s="223"/>
      <c r="BB4" s="223"/>
      <c r="BC4" s="223"/>
      <c r="BD4" s="223"/>
      <c r="BE4" s="224"/>
      <c r="BF4" s="222">
        <f>BF5</f>
        <v>45978</v>
      </c>
      <c r="BG4" s="223"/>
      <c r="BH4" s="223"/>
      <c r="BI4" s="223"/>
      <c r="BJ4" s="223"/>
      <c r="BK4" s="223"/>
      <c r="BL4" s="224"/>
      <c r="BM4" s="222">
        <f>BM5</f>
        <v>45985</v>
      </c>
      <c r="BN4" s="223"/>
      <c r="BO4" s="223"/>
      <c r="BP4" s="223"/>
      <c r="BQ4" s="223"/>
      <c r="BR4" s="223"/>
      <c r="BS4" s="224"/>
      <c r="BT4" s="222">
        <f>BT5</f>
        <v>45992</v>
      </c>
      <c r="BU4" s="223"/>
      <c r="BV4" s="223"/>
      <c r="BW4" s="223"/>
      <c r="BX4" s="223"/>
      <c r="BY4" s="223"/>
      <c r="BZ4" s="224"/>
      <c r="CA4" s="222">
        <f>CA5</f>
        <v>45999</v>
      </c>
      <c r="CB4" s="223"/>
      <c r="CC4" s="223"/>
      <c r="CD4" s="223"/>
      <c r="CE4" s="223"/>
      <c r="CF4" s="223"/>
      <c r="CG4" s="224"/>
      <c r="CH4" s="222">
        <f>CH5</f>
        <v>46006</v>
      </c>
      <c r="CI4" s="223"/>
      <c r="CJ4" s="223"/>
      <c r="CK4" s="223"/>
      <c r="CL4" s="223"/>
      <c r="CM4" s="223"/>
      <c r="CN4" s="224"/>
      <c r="CO4" s="222">
        <f>CO5</f>
        <v>46013</v>
      </c>
      <c r="CP4" s="223"/>
      <c r="CQ4" s="223"/>
      <c r="CR4" s="223"/>
      <c r="CS4" s="223"/>
      <c r="CT4" s="223"/>
      <c r="CU4" s="224"/>
      <c r="CV4" s="222">
        <f>CV5</f>
        <v>46020</v>
      </c>
      <c r="CW4" s="223"/>
      <c r="CX4" s="223"/>
      <c r="CY4" s="223"/>
      <c r="CZ4" s="223"/>
      <c r="DA4" s="223"/>
      <c r="DB4" s="224"/>
      <c r="DC4" s="222">
        <f>DC5</f>
        <v>46027</v>
      </c>
      <c r="DD4" s="223"/>
      <c r="DE4" s="223"/>
      <c r="DF4" s="223"/>
      <c r="DG4" s="223"/>
      <c r="DH4" s="223"/>
      <c r="DI4" s="224"/>
      <c r="DJ4" s="222">
        <f>DJ5</f>
        <v>46034</v>
      </c>
      <c r="DK4" s="223"/>
      <c r="DL4" s="223"/>
      <c r="DM4" s="223"/>
      <c r="DN4" s="223"/>
      <c r="DO4" s="223"/>
      <c r="DP4" s="224"/>
      <c r="DQ4" s="222">
        <f>DQ5</f>
        <v>46041</v>
      </c>
      <c r="DR4" s="223"/>
      <c r="DS4" s="223"/>
      <c r="DT4" s="223"/>
      <c r="DU4" s="223"/>
      <c r="DV4" s="223"/>
      <c r="DW4" s="224"/>
      <c r="DX4" s="222">
        <f>DX5</f>
        <v>46048</v>
      </c>
      <c r="DY4" s="223"/>
      <c r="DZ4" s="223"/>
      <c r="EA4" s="223"/>
      <c r="EB4" s="223"/>
      <c r="EC4" s="223"/>
      <c r="ED4" s="224"/>
      <c r="EE4" s="222">
        <f t="shared" ref="EE4" si="0">EE5</f>
        <v>46055</v>
      </c>
      <c r="EF4" s="223"/>
      <c r="EG4" s="223"/>
      <c r="EH4" s="223"/>
      <c r="EI4" s="223"/>
      <c r="EJ4" s="223"/>
      <c r="EK4" s="224"/>
      <c r="EL4" s="222">
        <f t="shared" ref="EL4" si="1">EL5</f>
        <v>46062</v>
      </c>
      <c r="EM4" s="223"/>
      <c r="EN4" s="223"/>
      <c r="EO4" s="223"/>
      <c r="EP4" s="223"/>
      <c r="EQ4" s="223"/>
      <c r="ER4" s="224"/>
      <c r="ES4" s="222">
        <f t="shared" ref="ES4" si="2">ES5</f>
        <v>46069</v>
      </c>
      <c r="ET4" s="223"/>
      <c r="EU4" s="223"/>
      <c r="EV4" s="223"/>
      <c r="EW4" s="223"/>
      <c r="EX4" s="223"/>
      <c r="EY4" s="224"/>
      <c r="EZ4" s="222">
        <f t="shared" ref="EZ4" si="3">EZ5</f>
        <v>46076</v>
      </c>
      <c r="FA4" s="223"/>
      <c r="FB4" s="223"/>
      <c r="FC4" s="223"/>
      <c r="FD4" s="223"/>
      <c r="FE4" s="223"/>
      <c r="FF4" s="224"/>
      <c r="FG4" s="222">
        <f t="shared" ref="FG4" si="4">FG5</f>
        <v>46083</v>
      </c>
      <c r="FH4" s="223"/>
      <c r="FI4" s="223"/>
      <c r="FJ4" s="223"/>
      <c r="FK4" s="223"/>
      <c r="FL4" s="223"/>
      <c r="FM4" s="224"/>
      <c r="FN4" s="222">
        <f t="shared" ref="FN4" si="5">FN5</f>
        <v>46090</v>
      </c>
      <c r="FO4" s="223"/>
      <c r="FP4" s="223"/>
      <c r="FQ4" s="223"/>
      <c r="FR4" s="223"/>
      <c r="FS4" s="223"/>
      <c r="FT4" s="224"/>
      <c r="FU4" s="222">
        <f t="shared" ref="FU4" si="6">FU5</f>
        <v>46097</v>
      </c>
      <c r="FV4" s="223"/>
      <c r="FW4" s="223"/>
      <c r="FX4" s="223"/>
      <c r="FY4" s="223"/>
      <c r="FZ4" s="223"/>
      <c r="GA4" s="224"/>
      <c r="GB4" s="222">
        <f t="shared" ref="GB4" si="7">GB5</f>
        <v>46104</v>
      </c>
      <c r="GC4" s="223"/>
      <c r="GD4" s="223"/>
      <c r="GE4" s="223"/>
      <c r="GF4" s="223"/>
      <c r="GG4" s="223"/>
      <c r="GH4" s="224"/>
      <c r="GI4" s="222">
        <f t="shared" ref="GI4" si="8">GI5</f>
        <v>46111</v>
      </c>
      <c r="GJ4" s="223"/>
      <c r="GK4" s="223"/>
      <c r="GL4" s="223"/>
      <c r="GM4" s="223"/>
      <c r="GN4" s="223"/>
      <c r="GO4" s="224"/>
      <c r="GP4" s="222">
        <f t="shared" ref="GP4" si="9">GP5</f>
        <v>46118</v>
      </c>
      <c r="GQ4" s="223"/>
      <c r="GR4" s="223"/>
      <c r="GS4" s="223"/>
      <c r="GT4" s="223"/>
      <c r="GU4" s="223"/>
      <c r="GV4" s="224"/>
      <c r="GW4" s="222">
        <f t="shared" ref="GW4" si="10">GW5</f>
        <v>46125</v>
      </c>
      <c r="GX4" s="223"/>
      <c r="GY4" s="223"/>
      <c r="GZ4" s="223"/>
      <c r="HA4" s="223"/>
      <c r="HB4" s="223"/>
      <c r="HC4" s="224"/>
      <c r="HD4" s="222">
        <f t="shared" ref="HD4" si="11">HD5</f>
        <v>46132</v>
      </c>
      <c r="HE4" s="223"/>
      <c r="HF4" s="223"/>
      <c r="HG4" s="223"/>
      <c r="HH4" s="223"/>
      <c r="HI4" s="223"/>
      <c r="HJ4" s="224"/>
      <c r="HK4" s="222">
        <f t="shared" ref="HK4" si="12">HK5</f>
        <v>46139</v>
      </c>
      <c r="HL4" s="223"/>
      <c r="HM4" s="223"/>
      <c r="HN4" s="223"/>
      <c r="HO4" s="223"/>
      <c r="HP4" s="223"/>
      <c r="HQ4" s="224"/>
      <c r="HR4" s="222">
        <f t="shared" ref="HR4" si="13">HR5</f>
        <v>46146</v>
      </c>
      <c r="HS4" s="223"/>
      <c r="HT4" s="223"/>
      <c r="HU4" s="223"/>
      <c r="HV4" s="223"/>
      <c r="HW4" s="223"/>
      <c r="HX4" s="224"/>
      <c r="HY4" s="222">
        <f t="shared" ref="HY4" si="14">HY5</f>
        <v>46153</v>
      </c>
      <c r="HZ4" s="223"/>
      <c r="IA4" s="223"/>
      <c r="IB4" s="223"/>
      <c r="IC4" s="223"/>
      <c r="ID4" s="223"/>
      <c r="IE4" s="224"/>
    </row>
    <row r="5" spans="1:239" ht="15" customHeight="1">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207</v>
      </c>
      <c r="B6" s="8" t="s">
        <v>208</v>
      </c>
      <c r="C6" s="9" t="s">
        <v>209</v>
      </c>
      <c r="D6" s="9" t="s">
        <v>291</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213</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215</v>
      </c>
      <c r="B8" s="15" t="s">
        <v>292</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217</v>
      </c>
      <c r="B9" s="46" t="s">
        <v>293</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218</v>
      </c>
      <c r="B10" s="46" t="s">
        <v>294</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295</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296</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294</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297</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294</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224</v>
      </c>
      <c r="B16" s="18" t="s">
        <v>298</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293</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294</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296</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294</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297</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294</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236</v>
      </c>
      <c r="B23" s="21" t="s">
        <v>299</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293</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294</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296</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294</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297</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294</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284</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286</v>
      </c>
      <c r="B31" s="25" t="s">
        <v>285</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986B8910-5FE7-40EE-B620-3AA397DFA074}"/>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Igor Teixeira da Silva</cp:lastModifiedBy>
  <cp:revision/>
  <dcterms:created xsi:type="dcterms:W3CDTF">2021-12-14T20:18:50Z</dcterms:created>
  <dcterms:modified xsi:type="dcterms:W3CDTF">2026-04-11T10:04:45Z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