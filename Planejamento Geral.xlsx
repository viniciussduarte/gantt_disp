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filterPrivacy="1" updateLinks="always" codeName="EstaPastaDeTrabalho"/>
  <xr:revisionPtr revIDLastSave="0" documentId="8_{E118911F-C69A-4784-8B51-540931032ABE}" xr6:coauthVersionLast="47" xr6:coauthVersionMax="47" xr10:uidLastSave="{00000000-0000-0000-0000-000000000000}"/>
  <bookViews>
    <workbookView minimized="1" xWindow="5770" yWindow="1800" windowWidth="14400" windowHeight="7280" tabRatio="565" firstSheet="2" activeTab="2" xr2:uid="{00000000-000D-0000-FFFF-FFFF00000000}"/>
  </bookViews>
  <sheets>
    <sheet name="Planejamento IED" sheetId="11" r:id="rId1"/>
    <sheet name="Homero" sheetId="16" r:id="rId2"/>
    <sheet name="Equipe" sheetId="14" r:id="rId3"/>
    <sheet name="Embarques Vivenciais" sheetId="15" r:id="rId4"/>
    <sheet name="3 Pessoas" sheetId="13" state="hidden" r:id="rId5"/>
  </sheets>
  <definedNames>
    <definedName name="_xlnm._FilterDatabase" localSheetId="3" hidden="1">'Embarques Vivenciais'!$AD$3:$AK$26</definedName>
    <definedName name="_xlnm._FilterDatabase" localSheetId="2" hidden="1">Equipe!$A$1:$J$63</definedName>
    <definedName name="_xlnm._FilterDatabase" localSheetId="1" hidden="1">Homero!$A$1:$J$25</definedName>
    <definedName name="_xlnm._FilterDatabase" localSheetId="0" hidden="1">'Planejamento IED'!$A$921:$I$973</definedName>
    <definedName name="Hoje" localSheetId="4">TODAY()</definedName>
    <definedName name="Hoje" localSheetId="0">TODAY()</definedName>
    <definedName name="Início_da_tarefa" localSheetId="4">'3 Pessoas'!$E1</definedName>
    <definedName name="Início_da_tarefa" localSheetId="0">'Planejamento IED'!$C1</definedName>
    <definedName name="Início_do_projeto" localSheetId="4">'3 Pessoas'!$E$3</definedName>
    <definedName name="Início_do_projeto">'Planejamento IED'!#REF!</definedName>
    <definedName name="Progresso_da_tarefa" localSheetId="4">'3 Pessoas'!$D1</definedName>
    <definedName name="Progresso_da_tarefa" localSheetId="0">'Planejamento IED'!#REF!</definedName>
    <definedName name="Semana_de_exibição" localSheetId="4">'3 Pessoas'!$E$4</definedName>
    <definedName name="Semana_de_exibição">'Planejamento IED'!#REF!</definedName>
    <definedName name="Término_da_tarefa" localSheetId="4">'3 Pessoas'!$F1</definedName>
    <definedName name="Término_da_tarefa" localSheetId="0">'Planejamento IED'!$D1</definedName>
    <definedName name="_xlnm.Print_Titles" localSheetId="4">'3 Pessoas'!$4:$6</definedName>
    <definedName name="_xlnm.Print_Titles" localSheetId="0">'Planejamento IED'!$1:$1</definedName>
  </definedNames>
  <calcPr calcId="191028"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92" i="11" l="1"/>
  <c r="B984" i="11"/>
  <c r="B985" i="11"/>
  <c r="D963" i="11"/>
  <c r="D981" i="11"/>
  <c r="B981" i="11"/>
  <c r="I981" i="11" s="1"/>
  <c r="B2006" i="11"/>
  <c r="H2006" i="11" s="1"/>
  <c r="D974" i="11"/>
  <c r="B973" i="11"/>
  <c r="H981" i="11" l="1"/>
  <c r="I2006" i="11"/>
  <c r="B970" i="11"/>
  <c r="D969" i="11"/>
  <c r="B969" i="11"/>
  <c r="B2005" i="11"/>
  <c r="H2005" i="11" s="1"/>
  <c r="B963" i="11"/>
  <c r="D960" i="11"/>
  <c r="B960" i="11"/>
  <c r="I960" i="11" s="1"/>
  <c r="AM26" i="15"/>
  <c r="AL26" i="15"/>
  <c r="AJ26" i="15"/>
  <c r="AM25" i="15"/>
  <c r="AL25" i="15"/>
  <c r="AJ25" i="15"/>
  <c r="AM24" i="15"/>
  <c r="AL24" i="15"/>
  <c r="AJ24" i="15"/>
  <c r="AM23" i="15"/>
  <c r="AL23" i="15"/>
  <c r="AJ23" i="15"/>
  <c r="AM22" i="15"/>
  <c r="AL22" i="15"/>
  <c r="AJ22" i="15"/>
  <c r="AM21" i="15"/>
  <c r="AL21" i="15"/>
  <c r="AJ21" i="15"/>
  <c r="AM20" i="15"/>
  <c r="AL20" i="15"/>
  <c r="AJ20" i="15"/>
  <c r="AM19" i="15"/>
  <c r="AL19" i="15"/>
  <c r="AJ19" i="15"/>
  <c r="AM18" i="15"/>
  <c r="AL18" i="15"/>
  <c r="AJ18" i="15"/>
  <c r="AM17" i="15"/>
  <c r="AL17" i="15"/>
  <c r="AJ17" i="15"/>
  <c r="AM16" i="15"/>
  <c r="AL16" i="15"/>
  <c r="AJ16" i="15"/>
  <c r="AM15" i="15"/>
  <c r="AL15" i="15"/>
  <c r="AJ15" i="15"/>
  <c r="AM14" i="15"/>
  <c r="AL14" i="15"/>
  <c r="AJ14" i="15"/>
  <c r="AM13" i="15"/>
  <c r="AL13" i="15"/>
  <c r="AJ13" i="15"/>
  <c r="AM12" i="15"/>
  <c r="AL12" i="15"/>
  <c r="AJ12" i="15"/>
  <c r="AM11" i="15"/>
  <c r="AL11" i="15"/>
  <c r="AJ11" i="15"/>
  <c r="AM10" i="15"/>
  <c r="AL10" i="15"/>
  <c r="AJ10" i="15"/>
  <c r="AM9" i="15"/>
  <c r="AL9" i="15"/>
  <c r="AJ9" i="15"/>
  <c r="AM8" i="15"/>
  <c r="AL8" i="15"/>
  <c r="AK8" i="15"/>
  <c r="AJ8" i="15"/>
  <c r="AM7" i="15"/>
  <c r="AL7" i="15"/>
  <c r="AJ7" i="15"/>
  <c r="AM6" i="15"/>
  <c r="AL6" i="15"/>
  <c r="AJ6" i="15"/>
  <c r="AM5" i="15"/>
  <c r="AL5" i="15"/>
  <c r="AJ5" i="15"/>
  <c r="AM4" i="15"/>
  <c r="AL4" i="15"/>
  <c r="AJ4" i="15"/>
  <c r="D957" i="11"/>
  <c r="I2005" i="11" l="1"/>
  <c r="I969" i="11"/>
  <c r="H969" i="11"/>
  <c r="I970" i="11"/>
  <c r="H970" i="11"/>
  <c r="H960" i="11"/>
  <c r="B951" i="11"/>
  <c r="I951" i="11" s="1"/>
  <c r="D951" i="11"/>
  <c r="D949" i="11"/>
  <c r="B949" i="11"/>
  <c r="I949" i="11" s="1"/>
  <c r="H951" i="11" l="1"/>
  <c r="H949" i="11"/>
  <c r="B942" i="11" l="1"/>
  <c r="D975" i="11"/>
  <c r="D976" i="11"/>
  <c r="D977" i="11"/>
  <c r="D978" i="11"/>
  <c r="D979" i="11"/>
  <c r="D980" i="11"/>
  <c r="D982" i="11"/>
  <c r="D983" i="11"/>
  <c r="D984" i="11"/>
  <c r="D985" i="11"/>
  <c r="D986" i="11"/>
  <c r="D987" i="11"/>
  <c r="D988" i="11"/>
  <c r="D989" i="11"/>
  <c r="D990" i="11"/>
  <c r="D993" i="11"/>
  <c r="D999" i="11"/>
  <c r="D1000" i="11"/>
  <c r="D1001" i="11"/>
  <c r="D1002" i="11"/>
  <c r="D1003" i="11"/>
  <c r="D1004" i="11"/>
  <c r="D1005" i="11"/>
  <c r="D1006" i="11"/>
  <c r="D1007" i="11"/>
  <c r="D1008" i="11"/>
  <c r="D1009" i="11"/>
  <c r="D1010" i="11"/>
  <c r="D1011" i="11"/>
  <c r="D1012" i="11"/>
  <c r="D1013" i="11"/>
  <c r="D1014" i="11"/>
  <c r="D1015" i="11"/>
  <c r="D1016" i="11"/>
  <c r="D1017" i="11"/>
  <c r="D1018" i="11"/>
  <c r="D1019" i="11"/>
  <c r="D1020" i="11"/>
  <c r="D1021" i="11"/>
  <c r="D1022" i="11"/>
  <c r="D1023" i="11"/>
  <c r="D1024" i="11"/>
  <c r="D1025" i="11"/>
  <c r="D1026" i="11"/>
  <c r="D1027" i="11"/>
  <c r="D1028" i="11"/>
  <c r="D1029" i="11"/>
  <c r="D1030" i="11"/>
  <c r="D1031" i="11"/>
  <c r="D1032" i="11"/>
  <c r="D1033" i="11"/>
  <c r="D1034" i="11"/>
  <c r="D1035" i="11"/>
  <c r="D1036" i="11"/>
  <c r="D1037" i="11"/>
  <c r="D1038" i="11"/>
  <c r="D1039" i="11"/>
  <c r="D1040" i="11"/>
  <c r="D1041" i="11"/>
  <c r="D1042" i="11"/>
  <c r="D1043" i="11"/>
  <c r="D1044" i="11"/>
  <c r="D1045" i="11"/>
  <c r="D1046" i="11"/>
  <c r="D1047" i="11"/>
  <c r="D1048" i="11"/>
  <c r="D1049" i="11"/>
  <c r="D1050" i="11"/>
  <c r="D1051" i="11"/>
  <c r="D1052" i="11"/>
  <c r="D1053" i="11"/>
  <c r="D1054" i="11"/>
  <c r="D1055" i="11"/>
  <c r="D1056" i="11"/>
  <c r="D1057" i="11"/>
  <c r="D1058" i="11"/>
  <c r="D1059" i="11"/>
  <c r="D1060" i="11"/>
  <c r="D1061" i="11"/>
  <c r="D1062" i="11"/>
  <c r="D1063" i="11"/>
  <c r="D1064" i="11"/>
  <c r="D1065" i="11"/>
  <c r="D1066" i="11"/>
  <c r="D1067" i="11"/>
  <c r="D1068" i="11"/>
  <c r="D1069" i="11"/>
  <c r="D1070" i="11"/>
  <c r="D1071" i="11"/>
  <c r="D1072" i="11"/>
  <c r="D1073" i="11"/>
  <c r="D1074" i="11"/>
  <c r="D1075" i="11"/>
  <c r="D1076" i="11"/>
  <c r="D1077" i="11"/>
  <c r="D1078" i="11"/>
  <c r="D1079" i="11"/>
  <c r="D1080" i="11"/>
  <c r="D1081" i="11"/>
  <c r="D1082" i="11"/>
  <c r="D1083" i="11"/>
  <c r="D1084" i="11"/>
  <c r="D1085" i="11"/>
  <c r="D1086" i="11"/>
  <c r="D1087" i="11"/>
  <c r="D1088" i="11"/>
  <c r="D1089" i="11"/>
  <c r="D1090" i="11"/>
  <c r="D1091" i="11"/>
  <c r="D1092" i="11"/>
  <c r="D1093" i="11"/>
  <c r="D1094" i="11"/>
  <c r="D1095" i="11"/>
  <c r="D1096" i="11"/>
  <c r="D1097" i="11"/>
  <c r="D1098" i="11"/>
  <c r="D1099" i="11"/>
  <c r="D1100" i="11"/>
  <c r="D1101" i="11"/>
  <c r="D1102" i="11"/>
  <c r="D1103" i="11"/>
  <c r="D1104" i="11"/>
  <c r="D1105" i="11"/>
  <c r="D1106" i="11"/>
  <c r="D1107" i="11"/>
  <c r="D1108" i="11"/>
  <c r="D1109" i="11"/>
  <c r="D1110" i="11"/>
  <c r="D1111" i="11"/>
  <c r="D1112" i="11"/>
  <c r="D1113" i="11"/>
  <c r="D1114" i="11"/>
  <c r="D1115" i="11"/>
  <c r="D1116" i="11"/>
  <c r="D1117" i="11"/>
  <c r="D1118" i="11"/>
  <c r="D1119" i="11"/>
  <c r="D1120" i="11"/>
  <c r="D1121" i="11"/>
  <c r="D1122" i="11"/>
  <c r="D1123" i="11"/>
  <c r="D1124" i="11"/>
  <c r="D1125" i="11"/>
  <c r="D1126" i="11"/>
  <c r="D1127" i="11"/>
  <c r="D1128" i="11"/>
  <c r="D1129" i="11"/>
  <c r="D1130" i="11"/>
  <c r="D1131" i="11"/>
  <c r="D1132" i="11"/>
  <c r="D1133" i="11"/>
  <c r="D1134" i="11"/>
  <c r="D1135" i="11"/>
  <c r="D1136" i="11"/>
  <c r="D1137" i="11"/>
  <c r="D1138" i="11"/>
  <c r="D1139" i="11"/>
  <c r="D1140" i="11"/>
  <c r="D1141" i="11"/>
  <c r="D1142" i="11"/>
  <c r="D1143" i="11"/>
  <c r="D1144" i="11"/>
  <c r="D1145" i="11"/>
  <c r="D1146" i="11"/>
  <c r="D1147" i="11"/>
  <c r="D1148" i="11"/>
  <c r="D1149" i="11"/>
  <c r="D1150" i="11"/>
  <c r="D1151" i="11"/>
  <c r="D1152" i="11"/>
  <c r="D1153" i="11"/>
  <c r="D1154" i="11"/>
  <c r="D1155" i="11"/>
  <c r="D1156" i="11"/>
  <c r="D1157" i="11"/>
  <c r="D1158" i="11"/>
  <c r="D1159" i="11"/>
  <c r="D1160" i="11"/>
  <c r="D1161" i="11"/>
  <c r="D1162" i="11"/>
  <c r="D1163" i="11"/>
  <c r="D1164" i="11"/>
  <c r="D1165" i="11"/>
  <c r="D1166" i="11"/>
  <c r="D1167" i="11"/>
  <c r="D1168" i="11"/>
  <c r="D1169" i="11"/>
  <c r="D1170" i="11"/>
  <c r="D1171" i="11"/>
  <c r="D1172" i="11"/>
  <c r="D1173" i="11"/>
  <c r="D1174" i="11"/>
  <c r="D1175" i="11"/>
  <c r="D1176" i="11"/>
  <c r="D1177" i="11"/>
  <c r="D1178" i="11"/>
  <c r="D1179" i="11"/>
  <c r="D1180" i="11"/>
  <c r="D1181" i="11"/>
  <c r="D1182" i="11"/>
  <c r="D1183" i="11"/>
  <c r="D1184" i="11"/>
  <c r="D1185" i="11"/>
  <c r="D1186" i="11"/>
  <c r="D1187" i="11"/>
  <c r="D1188" i="11"/>
  <c r="D1189" i="11"/>
  <c r="D1190" i="11"/>
  <c r="D1191" i="11"/>
  <c r="D1192" i="11"/>
  <c r="D1193" i="11"/>
  <c r="D1194" i="11"/>
  <c r="D1195" i="11"/>
  <c r="D1196" i="11"/>
  <c r="D1197" i="11"/>
  <c r="D1198" i="11"/>
  <c r="D1199" i="11"/>
  <c r="D1200" i="11"/>
  <c r="D1201" i="11"/>
  <c r="D1202" i="11"/>
  <c r="D1203" i="11"/>
  <c r="D1204" i="11"/>
  <c r="D1205" i="11"/>
  <c r="D1206" i="11"/>
  <c r="D1207" i="11"/>
  <c r="D1208" i="11"/>
  <c r="D1209" i="11"/>
  <c r="D1210" i="11"/>
  <c r="D1211" i="11"/>
  <c r="D1212" i="11"/>
  <c r="D1213" i="11"/>
  <c r="D1214" i="11"/>
  <c r="D1215" i="11"/>
  <c r="D1216" i="11"/>
  <c r="D1217" i="11"/>
  <c r="D1218" i="11"/>
  <c r="D1219" i="11"/>
  <c r="D1220" i="11"/>
  <c r="D1221" i="11"/>
  <c r="D1222" i="11"/>
  <c r="D1223" i="11"/>
  <c r="D1224" i="11"/>
  <c r="D1225" i="11"/>
  <c r="D1226" i="11"/>
  <c r="D1227" i="11"/>
  <c r="D1228" i="11"/>
  <c r="D1229" i="11"/>
  <c r="D1230" i="11"/>
  <c r="D1231" i="11"/>
  <c r="D1232" i="11"/>
  <c r="D1233" i="11"/>
  <c r="D1234" i="11"/>
  <c r="D1235" i="11"/>
  <c r="D1236" i="11"/>
  <c r="D1237" i="11"/>
  <c r="D1238" i="11"/>
  <c r="D1239" i="11"/>
  <c r="D1240" i="11"/>
  <c r="D1241" i="11"/>
  <c r="D1242" i="11"/>
  <c r="D1243" i="11"/>
  <c r="D1244" i="11"/>
  <c r="D1245" i="11"/>
  <c r="D1246" i="11"/>
  <c r="D1247" i="11"/>
  <c r="D1248" i="11"/>
  <c r="D1249" i="11"/>
  <c r="D1250" i="11"/>
  <c r="D1251" i="11"/>
  <c r="D1252" i="11"/>
  <c r="D1253" i="11"/>
  <c r="D1254" i="11"/>
  <c r="D1255" i="11"/>
  <c r="D1256" i="11"/>
  <c r="D1257" i="11"/>
  <c r="D1258" i="11"/>
  <c r="D1259" i="11"/>
  <c r="D1260" i="11"/>
  <c r="D1261" i="11"/>
  <c r="D1262" i="11"/>
  <c r="D1263" i="11"/>
  <c r="D1264" i="11"/>
  <c r="D1265" i="11"/>
  <c r="D1266" i="11"/>
  <c r="D1267" i="11"/>
  <c r="D1268" i="11"/>
  <c r="D1269" i="11"/>
  <c r="D1270" i="11"/>
  <c r="D1271" i="11"/>
  <c r="D1272" i="11"/>
  <c r="D1273" i="11"/>
  <c r="D1274" i="11"/>
  <c r="D1275" i="11"/>
  <c r="D1276" i="11"/>
  <c r="D1277" i="11"/>
  <c r="D1278" i="11"/>
  <c r="D1279" i="11"/>
  <c r="D1280" i="11"/>
  <c r="D1281" i="11"/>
  <c r="D1282" i="11"/>
  <c r="D1283" i="11"/>
  <c r="D1284" i="11"/>
  <c r="D1285" i="11"/>
  <c r="D1286" i="11"/>
  <c r="D1287" i="11"/>
  <c r="D1288" i="11"/>
  <c r="D1289" i="11"/>
  <c r="D1290" i="11"/>
  <c r="D1291" i="11"/>
  <c r="D1292" i="11"/>
  <c r="D1293" i="11"/>
  <c r="D1294" i="11"/>
  <c r="D1295" i="11"/>
  <c r="D1296" i="11"/>
  <c r="D1297" i="11"/>
  <c r="D1298" i="11"/>
  <c r="D1299" i="11"/>
  <c r="D1300" i="11"/>
  <c r="D1301" i="11"/>
  <c r="D1302" i="11"/>
  <c r="D1303" i="11"/>
  <c r="D1304" i="11"/>
  <c r="D1305" i="11"/>
  <c r="D1306" i="11"/>
  <c r="D1307" i="11"/>
  <c r="D1308" i="11"/>
  <c r="D1309" i="11"/>
  <c r="D1310" i="11"/>
  <c r="D1311" i="11"/>
  <c r="D1312" i="11"/>
  <c r="D1313" i="11"/>
  <c r="D1314" i="11"/>
  <c r="D1315" i="11"/>
  <c r="D1316" i="11"/>
  <c r="D1317" i="11"/>
  <c r="D1318" i="11"/>
  <c r="D1319" i="11"/>
  <c r="D1320" i="11"/>
  <c r="D1321" i="11"/>
  <c r="D1322" i="11"/>
  <c r="D1323" i="11"/>
  <c r="D1324" i="11"/>
  <c r="D1325" i="11"/>
  <c r="D1326" i="11"/>
  <c r="D1327" i="11"/>
  <c r="D1328" i="11"/>
  <c r="D1329" i="11"/>
  <c r="D1330" i="11"/>
  <c r="D1331" i="11"/>
  <c r="D1332" i="11"/>
  <c r="D1333" i="11"/>
  <c r="D1334" i="11"/>
  <c r="D1335" i="11"/>
  <c r="D1336" i="11"/>
  <c r="D1337" i="11"/>
  <c r="D1338" i="11"/>
  <c r="D1339" i="11"/>
  <c r="D1340" i="11"/>
  <c r="D1341" i="11"/>
  <c r="D1342" i="11"/>
  <c r="D1343" i="11"/>
  <c r="D1344" i="11"/>
  <c r="D1345" i="11"/>
  <c r="D1346" i="11"/>
  <c r="D1347" i="11"/>
  <c r="D1348" i="11"/>
  <c r="D1349" i="11"/>
  <c r="D1350" i="11"/>
  <c r="D1351" i="11"/>
  <c r="D1352" i="11"/>
  <c r="D1353" i="11"/>
  <c r="D1354" i="11"/>
  <c r="D1355" i="11"/>
  <c r="D1356" i="11"/>
  <c r="D1357" i="11"/>
  <c r="D1358" i="11"/>
  <c r="D1359" i="11"/>
  <c r="D1360" i="11"/>
  <c r="D1361" i="11"/>
  <c r="D1362" i="11"/>
  <c r="D1363" i="11"/>
  <c r="D1364" i="11"/>
  <c r="D1365" i="11"/>
  <c r="D1366" i="11"/>
  <c r="D1367" i="11"/>
  <c r="D1368" i="11"/>
  <c r="D1369" i="11"/>
  <c r="D1370" i="11"/>
  <c r="D1371" i="11"/>
  <c r="D1372" i="11"/>
  <c r="D1373" i="11"/>
  <c r="D1374" i="11"/>
  <c r="D1375" i="11"/>
  <c r="D1376" i="11"/>
  <c r="D1377" i="11"/>
  <c r="D1378" i="11"/>
  <c r="D1379" i="11"/>
  <c r="D1380" i="11"/>
  <c r="D1381" i="11"/>
  <c r="D1382" i="11"/>
  <c r="D1383" i="11"/>
  <c r="D1384" i="11"/>
  <c r="D1385" i="11"/>
  <c r="D1386" i="11"/>
  <c r="D1387" i="11"/>
  <c r="D1388" i="11"/>
  <c r="D1389" i="11"/>
  <c r="D1390" i="11"/>
  <c r="D1391" i="11"/>
  <c r="D1392" i="11"/>
  <c r="D1393" i="11"/>
  <c r="D1394" i="11"/>
  <c r="D1395" i="11"/>
  <c r="D1396" i="11"/>
  <c r="D1397" i="11"/>
  <c r="D1398" i="11"/>
  <c r="D1399" i="11"/>
  <c r="D1400" i="11"/>
  <c r="D1401" i="11"/>
  <c r="D1402" i="11"/>
  <c r="D1403" i="11"/>
  <c r="D1404" i="11"/>
  <c r="D1405" i="11"/>
  <c r="D1406" i="11"/>
  <c r="D1407" i="11"/>
  <c r="D1408" i="11"/>
  <c r="D1409" i="11"/>
  <c r="D1410" i="11"/>
  <c r="D1411" i="11"/>
  <c r="D1412" i="11"/>
  <c r="D1413" i="11"/>
  <c r="D1414" i="11"/>
  <c r="D1415" i="11"/>
  <c r="D1416" i="11"/>
  <c r="D1417" i="11"/>
  <c r="D1418" i="11"/>
  <c r="D1419" i="11"/>
  <c r="D1420" i="11"/>
  <c r="D1421" i="11"/>
  <c r="D1422" i="11"/>
  <c r="D1423" i="11"/>
  <c r="D1424" i="11"/>
  <c r="D1425" i="11"/>
  <c r="D1426" i="11"/>
  <c r="D1427" i="11"/>
  <c r="D1428" i="11"/>
  <c r="D1429" i="11"/>
  <c r="D1430" i="11"/>
  <c r="D1431" i="11"/>
  <c r="D1432" i="11"/>
  <c r="D1433" i="11"/>
  <c r="D1434" i="11"/>
  <c r="D1435" i="11"/>
  <c r="D1436" i="11"/>
  <c r="D1437" i="11"/>
  <c r="D1438" i="11"/>
  <c r="D1439" i="11"/>
  <c r="D1440" i="11"/>
  <c r="D1441" i="11"/>
  <c r="D1442" i="11"/>
  <c r="D1443" i="11"/>
  <c r="D1444" i="11"/>
  <c r="D1445" i="11"/>
  <c r="D1446" i="11"/>
  <c r="D1447" i="11"/>
  <c r="D1448" i="11"/>
  <c r="D1449" i="11"/>
  <c r="D1450" i="11"/>
  <c r="D1451" i="11"/>
  <c r="D1452" i="11"/>
  <c r="D1453" i="11"/>
  <c r="D1454" i="11"/>
  <c r="D1455" i="11"/>
  <c r="D1456" i="11"/>
  <c r="D1457" i="11"/>
  <c r="D1458" i="11"/>
  <c r="D1459" i="11"/>
  <c r="D1460" i="11"/>
  <c r="D1461" i="11"/>
  <c r="D1462" i="11"/>
  <c r="D1463" i="11"/>
  <c r="D1464" i="11"/>
  <c r="D1465" i="11"/>
  <c r="D1466" i="11"/>
  <c r="D1467" i="11"/>
  <c r="D1468" i="11"/>
  <c r="D1469" i="11"/>
  <c r="D1470" i="11"/>
  <c r="D1471" i="11"/>
  <c r="D1472" i="11"/>
  <c r="D1473" i="11"/>
  <c r="D1474" i="11"/>
  <c r="D1475" i="11"/>
  <c r="D1476" i="11"/>
  <c r="D1477" i="11"/>
  <c r="D1478" i="11"/>
  <c r="D1479" i="11"/>
  <c r="D1480" i="11"/>
  <c r="D1481" i="11"/>
  <c r="D1482" i="11"/>
  <c r="D1483" i="11"/>
  <c r="D1484" i="11"/>
  <c r="D1485" i="11"/>
  <c r="D1486" i="11"/>
  <c r="D1487" i="11"/>
  <c r="D1488" i="11"/>
  <c r="D1489" i="11"/>
  <c r="D1490" i="11"/>
  <c r="D1491" i="11"/>
  <c r="D1492" i="11"/>
  <c r="D1493" i="11"/>
  <c r="D1494" i="11"/>
  <c r="D1495" i="11"/>
  <c r="D1496" i="11"/>
  <c r="D1497" i="11"/>
  <c r="D1498" i="11"/>
  <c r="D1499" i="11"/>
  <c r="D1500" i="11"/>
  <c r="D1501" i="11"/>
  <c r="D1502" i="11"/>
  <c r="D1503" i="11"/>
  <c r="D1504" i="11"/>
  <c r="D1505" i="11"/>
  <c r="D1506" i="11"/>
  <c r="D1507" i="11"/>
  <c r="D1508" i="11"/>
  <c r="D1509" i="11"/>
  <c r="D1510" i="11"/>
  <c r="D1511" i="11"/>
  <c r="D1512" i="11"/>
  <c r="D1513" i="11"/>
  <c r="D1514" i="11"/>
  <c r="D1515" i="11"/>
  <c r="D1516" i="11"/>
  <c r="D1517" i="11"/>
  <c r="D1518" i="11"/>
  <c r="D1519" i="11"/>
  <c r="D1520" i="11"/>
  <c r="D1521" i="11"/>
  <c r="D1522" i="11"/>
  <c r="D1523" i="11"/>
  <c r="D1524" i="11"/>
  <c r="D1525" i="11"/>
  <c r="D1526" i="11"/>
  <c r="D1527" i="11"/>
  <c r="D1528" i="11"/>
  <c r="D1529" i="11"/>
  <c r="D1530" i="11"/>
  <c r="D1531" i="11"/>
  <c r="D1532" i="11"/>
  <c r="D1533" i="11"/>
  <c r="D1534" i="11"/>
  <c r="D1535" i="11"/>
  <c r="D1536" i="11"/>
  <c r="D1537" i="11"/>
  <c r="D1538" i="11"/>
  <c r="D1539" i="11"/>
  <c r="D1540" i="11"/>
  <c r="D1541" i="11"/>
  <c r="D1542" i="11"/>
  <c r="D1543" i="11"/>
  <c r="D1544" i="11"/>
  <c r="D1545" i="11"/>
  <c r="D1546" i="11"/>
  <c r="D1547" i="11"/>
  <c r="D1548" i="11"/>
  <c r="D1549" i="11"/>
  <c r="D1550" i="11"/>
  <c r="D1551" i="11"/>
  <c r="D1552" i="11"/>
  <c r="D1553" i="11"/>
  <c r="D1554" i="11"/>
  <c r="D1555" i="11"/>
  <c r="D1556" i="11"/>
  <c r="D1557" i="11"/>
  <c r="D1558" i="11"/>
  <c r="D1559" i="11"/>
  <c r="D1560" i="11"/>
  <c r="D1561" i="11"/>
  <c r="D1562" i="11"/>
  <c r="D1563" i="11"/>
  <c r="D1564" i="11"/>
  <c r="D1565" i="11"/>
  <c r="D1566" i="11"/>
  <c r="D1567" i="11"/>
  <c r="D1568" i="11"/>
  <c r="D1569" i="11"/>
  <c r="D1570" i="11"/>
  <c r="D1571" i="11"/>
  <c r="D1572" i="11"/>
  <c r="D1573" i="11"/>
  <c r="D1574" i="11"/>
  <c r="D1575" i="11"/>
  <c r="D1576" i="11"/>
  <c r="D1577" i="11"/>
  <c r="D1578" i="11"/>
  <c r="D1579" i="11"/>
  <c r="D1580" i="11"/>
  <c r="D1581" i="11"/>
  <c r="D1582" i="11"/>
  <c r="D1583" i="11"/>
  <c r="D1584" i="11"/>
  <c r="D1585" i="11"/>
  <c r="D1586" i="11"/>
  <c r="D1587" i="11"/>
  <c r="D1588" i="11"/>
  <c r="D1589" i="11"/>
  <c r="D1590" i="11"/>
  <c r="D1591" i="11"/>
  <c r="D1592" i="11"/>
  <c r="D1593" i="11"/>
  <c r="D1594" i="11"/>
  <c r="D1595" i="11"/>
  <c r="D1596" i="11"/>
  <c r="D1597" i="11"/>
  <c r="D1598" i="11"/>
  <c r="D1599" i="11"/>
  <c r="D1600" i="11"/>
  <c r="D1601" i="11"/>
  <c r="D1602" i="11"/>
  <c r="D1603" i="11"/>
  <c r="D1604" i="11"/>
  <c r="D1605" i="11"/>
  <c r="D1606" i="11"/>
  <c r="D1607" i="11"/>
  <c r="D1608" i="11"/>
  <c r="D1609" i="11"/>
  <c r="D1610" i="11"/>
  <c r="D1611" i="11"/>
  <c r="D1612" i="11"/>
  <c r="D1613" i="11"/>
  <c r="D1614" i="11"/>
  <c r="D1615" i="11"/>
  <c r="D1616" i="11"/>
  <c r="D1617" i="11"/>
  <c r="D1618" i="11"/>
  <c r="D1619" i="11"/>
  <c r="D1620" i="11"/>
  <c r="D1621" i="11"/>
  <c r="D1622" i="11"/>
  <c r="D1623" i="11"/>
  <c r="D1624" i="11"/>
  <c r="D1625" i="11"/>
  <c r="D1626" i="11"/>
  <c r="D1627" i="11"/>
  <c r="D1628" i="11"/>
  <c r="D1629" i="11"/>
  <c r="D1630" i="11"/>
  <c r="D1631" i="11"/>
  <c r="D1632" i="11"/>
  <c r="D1633" i="11"/>
  <c r="D1634" i="11"/>
  <c r="D1635" i="11"/>
  <c r="D1636" i="11"/>
  <c r="D1637" i="11"/>
  <c r="D1638" i="11"/>
  <c r="D1639" i="11"/>
  <c r="D1640" i="11"/>
  <c r="D1641" i="11"/>
  <c r="D1642" i="11"/>
  <c r="D1643" i="11"/>
  <c r="D1644" i="11"/>
  <c r="D1645" i="11"/>
  <c r="D1646" i="11"/>
  <c r="D1647" i="11"/>
  <c r="D1648" i="11"/>
  <c r="D1649" i="11"/>
  <c r="D1650" i="11"/>
  <c r="D1651" i="11"/>
  <c r="D1652" i="11"/>
  <c r="D1653" i="11"/>
  <c r="D1654" i="11"/>
  <c r="D1655" i="11"/>
  <c r="D1656" i="11"/>
  <c r="D1657" i="11"/>
  <c r="D1658" i="11"/>
  <c r="D1659" i="11"/>
  <c r="D1660" i="11"/>
  <c r="D1661" i="11"/>
  <c r="D1662" i="11"/>
  <c r="D1663" i="11"/>
  <c r="D1664" i="11"/>
  <c r="D1665" i="11"/>
  <c r="D1666" i="11"/>
  <c r="D1667" i="11"/>
  <c r="D1668" i="11"/>
  <c r="D1669" i="11"/>
  <c r="D1670" i="11"/>
  <c r="D1671" i="11"/>
  <c r="D1672" i="11"/>
  <c r="D1673" i="11"/>
  <c r="D1674" i="11"/>
  <c r="D1675" i="11"/>
  <c r="D1676" i="11"/>
  <c r="D1677" i="11"/>
  <c r="D1678" i="11"/>
  <c r="D1679" i="11"/>
  <c r="D1680" i="11"/>
  <c r="D1681" i="11"/>
  <c r="D1682" i="11"/>
  <c r="D1683" i="11"/>
  <c r="D1684" i="11"/>
  <c r="D1685" i="11"/>
  <c r="D1686" i="11"/>
  <c r="D1687" i="11"/>
  <c r="D1688" i="11"/>
  <c r="D1689" i="11"/>
  <c r="D1690" i="11"/>
  <c r="D1691" i="11"/>
  <c r="D1692" i="11"/>
  <c r="D1693" i="11"/>
  <c r="D1694" i="11"/>
  <c r="D1695" i="11"/>
  <c r="D1696" i="11"/>
  <c r="D1697" i="11"/>
  <c r="D1698" i="11"/>
  <c r="D1699" i="11"/>
  <c r="D1700" i="11"/>
  <c r="D1701" i="11"/>
  <c r="D1702" i="11"/>
  <c r="D1703" i="11"/>
  <c r="D1704" i="11"/>
  <c r="D1705" i="11"/>
  <c r="D1706" i="11"/>
  <c r="D1707" i="11"/>
  <c r="D1708" i="11"/>
  <c r="D1709" i="11"/>
  <c r="D1710" i="11"/>
  <c r="D1711" i="11"/>
  <c r="D1712" i="11"/>
  <c r="D1713" i="11"/>
  <c r="D1714" i="11"/>
  <c r="D1715" i="11"/>
  <c r="D1716" i="11"/>
  <c r="D1717" i="11"/>
  <c r="D1718" i="11"/>
  <c r="D1719" i="11"/>
  <c r="D1720" i="11"/>
  <c r="D1721" i="11"/>
  <c r="D1722" i="11"/>
  <c r="D1723" i="11"/>
  <c r="D1724" i="11"/>
  <c r="D1725" i="11"/>
  <c r="D1726" i="11"/>
  <c r="D1727" i="11"/>
  <c r="D1728" i="11"/>
  <c r="D1729" i="11"/>
  <c r="D1730" i="11"/>
  <c r="D1731" i="11"/>
  <c r="D1732" i="11"/>
  <c r="D1733" i="11"/>
  <c r="D1734" i="11"/>
  <c r="D1735" i="11"/>
  <c r="D1736" i="11"/>
  <c r="D1737" i="11"/>
  <c r="D1738" i="11"/>
  <c r="D1739" i="11"/>
  <c r="D1740" i="11"/>
  <c r="D1741" i="11"/>
  <c r="D1742" i="11"/>
  <c r="D1743" i="11"/>
  <c r="D1744" i="11"/>
  <c r="D1745" i="11"/>
  <c r="D1746" i="11"/>
  <c r="D1747" i="11"/>
  <c r="D1748" i="11"/>
  <c r="D1749" i="11"/>
  <c r="D1750" i="11"/>
  <c r="D1751" i="11"/>
  <c r="D1752" i="11"/>
  <c r="D1753" i="11"/>
  <c r="D1754" i="11"/>
  <c r="D1755" i="11"/>
  <c r="D1756" i="11"/>
  <c r="D1757" i="11"/>
  <c r="D1758" i="11"/>
  <c r="D1759" i="11"/>
  <c r="D1760" i="11"/>
  <c r="D1761" i="11"/>
  <c r="D1762" i="11"/>
  <c r="D1763" i="11"/>
  <c r="D1764" i="11"/>
  <c r="D1765" i="11"/>
  <c r="D1766" i="11"/>
  <c r="D1767" i="11"/>
  <c r="D1768" i="11"/>
  <c r="D1769" i="11"/>
  <c r="D1770" i="11"/>
  <c r="D1771" i="11"/>
  <c r="D1772" i="11"/>
  <c r="D1773" i="11"/>
  <c r="D1774" i="11"/>
  <c r="D1775" i="11"/>
  <c r="D1776" i="11"/>
  <c r="D1777" i="11"/>
  <c r="D1778" i="11"/>
  <c r="D1779" i="11"/>
  <c r="D1780" i="11"/>
  <c r="D1781" i="11"/>
  <c r="D1782" i="11"/>
  <c r="D1783" i="11"/>
  <c r="D1784" i="11"/>
  <c r="D1785" i="11"/>
  <c r="D1786" i="11"/>
  <c r="D1787" i="11"/>
  <c r="D1788" i="11"/>
  <c r="D1789" i="11"/>
  <c r="D1790" i="11"/>
  <c r="D1791" i="11"/>
  <c r="D1792" i="11"/>
  <c r="D1793" i="11"/>
  <c r="D1794" i="11"/>
  <c r="D1795" i="11"/>
  <c r="D1796" i="11"/>
  <c r="D1797" i="11"/>
  <c r="D1798" i="11"/>
  <c r="D1799" i="11"/>
  <c r="D1800" i="11"/>
  <c r="D1801" i="11"/>
  <c r="D1802" i="11"/>
  <c r="D1803" i="11"/>
  <c r="D1804" i="11"/>
  <c r="D1805" i="11"/>
  <c r="D1806" i="11"/>
  <c r="D1807" i="11"/>
  <c r="D1808" i="11"/>
  <c r="D1809" i="11"/>
  <c r="D1810" i="11"/>
  <c r="D1811" i="11"/>
  <c r="D1812" i="11"/>
  <c r="D1813" i="11"/>
  <c r="D1814" i="11"/>
  <c r="D1815" i="11"/>
  <c r="D1816" i="11"/>
  <c r="D1817" i="11"/>
  <c r="D1818" i="11"/>
  <c r="D1819" i="11"/>
  <c r="D1820" i="11"/>
  <c r="D1821" i="11"/>
  <c r="D1822" i="11"/>
  <c r="D1823" i="11"/>
  <c r="D1824" i="11"/>
  <c r="D1825" i="11"/>
  <c r="D1826" i="11"/>
  <c r="D1827" i="11"/>
  <c r="D1828" i="11"/>
  <c r="D1829" i="11"/>
  <c r="D1830" i="11"/>
  <c r="D1831" i="11"/>
  <c r="D1832" i="11"/>
  <c r="D1833" i="11"/>
  <c r="D1834" i="11"/>
  <c r="D1835" i="11"/>
  <c r="D1836" i="11"/>
  <c r="D1837" i="11"/>
  <c r="D1838" i="11"/>
  <c r="D1839" i="11"/>
  <c r="D1840" i="11"/>
  <c r="D1841" i="11"/>
  <c r="D1842" i="11"/>
  <c r="D1843" i="11"/>
  <c r="D1844" i="11"/>
  <c r="D1845" i="11"/>
  <c r="D1846" i="11"/>
  <c r="D1847" i="11"/>
  <c r="D1848" i="11"/>
  <c r="D1849" i="11"/>
  <c r="D1850" i="11"/>
  <c r="D1851" i="11"/>
  <c r="D1852" i="11"/>
  <c r="D1853" i="11"/>
  <c r="D1854" i="11"/>
  <c r="D1855" i="11"/>
  <c r="D1856" i="11"/>
  <c r="D1857" i="11"/>
  <c r="D1858" i="11"/>
  <c r="D1859" i="11"/>
  <c r="D1860" i="11"/>
  <c r="D1861" i="11"/>
  <c r="D1862" i="11"/>
  <c r="D1863" i="11"/>
  <c r="D1864" i="11"/>
  <c r="D1865" i="11"/>
  <c r="D1866" i="11"/>
  <c r="D1867" i="11"/>
  <c r="D1868" i="11"/>
  <c r="D1869" i="11"/>
  <c r="D1870" i="11"/>
  <c r="D1871" i="11"/>
  <c r="D1872" i="11"/>
  <c r="D1873" i="11"/>
  <c r="D1874" i="11"/>
  <c r="D1875" i="11"/>
  <c r="D1876" i="11"/>
  <c r="D1877" i="11"/>
  <c r="D1878" i="11"/>
  <c r="D1879" i="11"/>
  <c r="D1880" i="11"/>
  <c r="D1881" i="11"/>
  <c r="D1882" i="11"/>
  <c r="D1883" i="11"/>
  <c r="D1884" i="11"/>
  <c r="D1885" i="11"/>
  <c r="D1886" i="11"/>
  <c r="D1887" i="11"/>
  <c r="D1888" i="11"/>
  <c r="D1889" i="11"/>
  <c r="D1890" i="11"/>
  <c r="D1891" i="11"/>
  <c r="D1892" i="11"/>
  <c r="D1893" i="11"/>
  <c r="D1894" i="11"/>
  <c r="D1895" i="11"/>
  <c r="D1896" i="11"/>
  <c r="D1897" i="11"/>
  <c r="D1898" i="11"/>
  <c r="D1899" i="11"/>
  <c r="D1900" i="11"/>
  <c r="D1901" i="11"/>
  <c r="D1902" i="11"/>
  <c r="D1903" i="11"/>
  <c r="D1904" i="11"/>
  <c r="D1905" i="11"/>
  <c r="D1906" i="11"/>
  <c r="D1907" i="11"/>
  <c r="D1908" i="11"/>
  <c r="D1909" i="11"/>
  <c r="D1910" i="11"/>
  <c r="D1911" i="11"/>
  <c r="D1912" i="11"/>
  <c r="D1913" i="11"/>
  <c r="D1914" i="11"/>
  <c r="D1915" i="11"/>
  <c r="D1916" i="11"/>
  <c r="D1917" i="11"/>
  <c r="D1918" i="11"/>
  <c r="D1919" i="11"/>
  <c r="D1920" i="11"/>
  <c r="D1921" i="11"/>
  <c r="D1922" i="11"/>
  <c r="D1923" i="11"/>
  <c r="D1924" i="11"/>
  <c r="D1925" i="11"/>
  <c r="D1926" i="11"/>
  <c r="D1927" i="11"/>
  <c r="D1928" i="11"/>
  <c r="D1929" i="11"/>
  <c r="D1930" i="11"/>
  <c r="D1931" i="11"/>
  <c r="D1932" i="11"/>
  <c r="D1933" i="11"/>
  <c r="D1934" i="11"/>
  <c r="D1935" i="11"/>
  <c r="D1936" i="11"/>
  <c r="D1937" i="11"/>
  <c r="D1938" i="11"/>
  <c r="D1939" i="11"/>
  <c r="D1940" i="11"/>
  <c r="D1941" i="11"/>
  <c r="D1942" i="11"/>
  <c r="D1943" i="11"/>
  <c r="D1944" i="11"/>
  <c r="D1945" i="11"/>
  <c r="D1946" i="11"/>
  <c r="D1947" i="11"/>
  <c r="D1948" i="11"/>
  <c r="D1949" i="11"/>
  <c r="D1950" i="11"/>
  <c r="D1951" i="11"/>
  <c r="D1952" i="11"/>
  <c r="D1953" i="11"/>
  <c r="D1954" i="11"/>
  <c r="D1955" i="11"/>
  <c r="D1956" i="11"/>
  <c r="D1957" i="11"/>
  <c r="D1958" i="11"/>
  <c r="D1959" i="11"/>
  <c r="D1960" i="11"/>
  <c r="D1961" i="11"/>
  <c r="D1962" i="11"/>
  <c r="D1963" i="11"/>
  <c r="D1964" i="11"/>
  <c r="D1965" i="11"/>
  <c r="D1966" i="11"/>
  <c r="D1967" i="11"/>
  <c r="D1968" i="11"/>
  <c r="D1969" i="11"/>
  <c r="D1970" i="11"/>
  <c r="D1971" i="11"/>
  <c r="D1972" i="11"/>
  <c r="D1973" i="11"/>
  <c r="D1974" i="11"/>
  <c r="D1975" i="11"/>
  <c r="D1976" i="11"/>
  <c r="D1977" i="11"/>
  <c r="D1978" i="11"/>
  <c r="D1979" i="11"/>
  <c r="D1980" i="11"/>
  <c r="D1981" i="11"/>
  <c r="D1982" i="11"/>
  <c r="D1983" i="11"/>
  <c r="D1984" i="11"/>
  <c r="D1985" i="11"/>
  <c r="D1986" i="11"/>
  <c r="D1987" i="11"/>
  <c r="D1988" i="11"/>
  <c r="D1989" i="11"/>
  <c r="D1990" i="11"/>
  <c r="D1991" i="11"/>
  <c r="D1992" i="11"/>
  <c r="D1993" i="11"/>
  <c r="D1994" i="11"/>
  <c r="D1995" i="11"/>
  <c r="D1996" i="11"/>
  <c r="D1997" i="11"/>
  <c r="D1998" i="11"/>
  <c r="D1999" i="11"/>
  <c r="D2000" i="11"/>
  <c r="D2001" i="11"/>
  <c r="D2002" i="11"/>
  <c r="D2003" i="11"/>
  <c r="D2004" i="11"/>
  <c r="B2004" i="11"/>
  <c r="I2004" i="11" s="1"/>
  <c r="I939" i="11"/>
  <c r="D891" i="11"/>
  <c r="D890" i="11"/>
  <c r="B890" i="11"/>
  <c r="I890" i="11" s="1"/>
  <c r="B891" i="11"/>
  <c r="H891" i="11" s="1"/>
  <c r="H890" i="11" l="1"/>
  <c r="I891" i="11"/>
  <c r="I935" i="11" l="1"/>
  <c r="B936" i="11"/>
  <c r="I940" i="11"/>
  <c r="B872" i="11"/>
  <c r="B943" i="11"/>
  <c r="B944" i="11"/>
  <c r="B945" i="11"/>
  <c r="B946" i="11"/>
  <c r="B947" i="11"/>
  <c r="I947" i="11" s="1"/>
  <c r="B948" i="11"/>
  <c r="B950" i="11"/>
  <c r="B952" i="11"/>
  <c r="B953" i="11"/>
  <c r="B954" i="11"/>
  <c r="B955" i="11"/>
  <c r="B961" i="11"/>
  <c r="B964" i="11"/>
  <c r="B965" i="11"/>
  <c r="I965" i="11" s="1"/>
  <c r="B966" i="11"/>
  <c r="B967" i="11"/>
  <c r="B968" i="11"/>
  <c r="B971" i="11"/>
  <c r="B972" i="11"/>
  <c r="I972" i="11" s="1"/>
  <c r="B975" i="11"/>
  <c r="B976" i="11"/>
  <c r="B977" i="11"/>
  <c r="B978" i="11"/>
  <c r="B979" i="11"/>
  <c r="B982" i="11"/>
  <c r="B983" i="11"/>
  <c r="B986" i="11"/>
  <c r="B987" i="11"/>
  <c r="B988" i="11"/>
  <c r="B989" i="11"/>
  <c r="I989" i="11" s="1"/>
  <c r="B990" i="11"/>
  <c r="I996" i="11"/>
  <c r="B999" i="11"/>
  <c r="B1000" i="11"/>
  <c r="B1001" i="11"/>
  <c r="B1002" i="11"/>
  <c r="B1003" i="11"/>
  <c r="B1004" i="11"/>
  <c r="B1005" i="11"/>
  <c r="B1006" i="11"/>
  <c r="B1007" i="11"/>
  <c r="B1008" i="11"/>
  <c r="B1009" i="11"/>
  <c r="B1010" i="11"/>
  <c r="B1011" i="11"/>
  <c r="B1012" i="11"/>
  <c r="B1013" i="11"/>
  <c r="I1013" i="11" s="1"/>
  <c r="B1014" i="11"/>
  <c r="B1015" i="11"/>
  <c r="B1016" i="11"/>
  <c r="B1017" i="11"/>
  <c r="B1018" i="11"/>
  <c r="B1019" i="11"/>
  <c r="B1020" i="11"/>
  <c r="I1020" i="11" s="1"/>
  <c r="B1021" i="11"/>
  <c r="B1022" i="11"/>
  <c r="B1023" i="11"/>
  <c r="B1024" i="11"/>
  <c r="B1025" i="11"/>
  <c r="B1026" i="11"/>
  <c r="B1027" i="11"/>
  <c r="B1028" i="11"/>
  <c r="B1029" i="11"/>
  <c r="B1030" i="11"/>
  <c r="B1031" i="11"/>
  <c r="B1032" i="11"/>
  <c r="B1033" i="11"/>
  <c r="B1034" i="11"/>
  <c r="B1035" i="11"/>
  <c r="B1036" i="11"/>
  <c r="H1036" i="11" s="1"/>
  <c r="B1037" i="11"/>
  <c r="I1037" i="11" s="1"/>
  <c r="B1038" i="11"/>
  <c r="B1039" i="11"/>
  <c r="B1040" i="11"/>
  <c r="B1041" i="11"/>
  <c r="B1042" i="11"/>
  <c r="B1043" i="11"/>
  <c r="B1044" i="11"/>
  <c r="I1044" i="11" s="1"/>
  <c r="B1045" i="11"/>
  <c r="B1046" i="11"/>
  <c r="B1047" i="11"/>
  <c r="B1048" i="11"/>
  <c r="B1049" i="11"/>
  <c r="B1050" i="11"/>
  <c r="B1051" i="11"/>
  <c r="B1052" i="11"/>
  <c r="B1053" i="11"/>
  <c r="B1054" i="11"/>
  <c r="B1055" i="11"/>
  <c r="B1056" i="11"/>
  <c r="B1057" i="11"/>
  <c r="B1058" i="11"/>
  <c r="B1059" i="11"/>
  <c r="B1060" i="11"/>
  <c r="B1061" i="11"/>
  <c r="I1061" i="11" s="1"/>
  <c r="B1062" i="11"/>
  <c r="B1063" i="11"/>
  <c r="B1064" i="11"/>
  <c r="B1065" i="11"/>
  <c r="B1066" i="11"/>
  <c r="B1067" i="11"/>
  <c r="B1068" i="11"/>
  <c r="I1068" i="11" s="1"/>
  <c r="B1069" i="11"/>
  <c r="B1070" i="11"/>
  <c r="B1071" i="11"/>
  <c r="B1072" i="11"/>
  <c r="B1073" i="11"/>
  <c r="B1074" i="11"/>
  <c r="B1075" i="11"/>
  <c r="B1076" i="11"/>
  <c r="B1077" i="11"/>
  <c r="B1078" i="11"/>
  <c r="B1079" i="11"/>
  <c r="B1080" i="11"/>
  <c r="I1080" i="11" s="1"/>
  <c r="B1081" i="11"/>
  <c r="B1082" i="11"/>
  <c r="B1083" i="11"/>
  <c r="B1084" i="11"/>
  <c r="B1085" i="11"/>
  <c r="B1086" i="11"/>
  <c r="B1087" i="11"/>
  <c r="B1088" i="11"/>
  <c r="B1089" i="11"/>
  <c r="B1090" i="11"/>
  <c r="I1090" i="11" s="1"/>
  <c r="B1091" i="11"/>
  <c r="B1092" i="11"/>
  <c r="B1093" i="11"/>
  <c r="B1094" i="11"/>
  <c r="B1095" i="11"/>
  <c r="B1096" i="11"/>
  <c r="B1097" i="11"/>
  <c r="B1098" i="11"/>
  <c r="B1099" i="11"/>
  <c r="B1100" i="11"/>
  <c r="B1101" i="11"/>
  <c r="B1102" i="11"/>
  <c r="I1102" i="11" s="1"/>
  <c r="B1103" i="11"/>
  <c r="B1104" i="11"/>
  <c r="B1105" i="11"/>
  <c r="B1106" i="11"/>
  <c r="B1107" i="11"/>
  <c r="B1108" i="11"/>
  <c r="B1109" i="11"/>
  <c r="B1110" i="11"/>
  <c r="B1111" i="11"/>
  <c r="I1111" i="11" s="1"/>
  <c r="B1112" i="11"/>
  <c r="B1113" i="11"/>
  <c r="B1114" i="11"/>
  <c r="B1115" i="11"/>
  <c r="B1116" i="11"/>
  <c r="B1117" i="11"/>
  <c r="B1118" i="11"/>
  <c r="B1119" i="11"/>
  <c r="B1120" i="11"/>
  <c r="B1121" i="11"/>
  <c r="B1122" i="11"/>
  <c r="B1123" i="11"/>
  <c r="I1123" i="11" s="1"/>
  <c r="B1124" i="11"/>
  <c r="B1125" i="11"/>
  <c r="B1126" i="11"/>
  <c r="B1127" i="11"/>
  <c r="B1128" i="11"/>
  <c r="B1129" i="11"/>
  <c r="B1130" i="11"/>
  <c r="B1131" i="11"/>
  <c r="B1132" i="11"/>
  <c r="B1133" i="11"/>
  <c r="I1133" i="11" s="1"/>
  <c r="B1134" i="11"/>
  <c r="B1135" i="11"/>
  <c r="B1136" i="11"/>
  <c r="B1137" i="11"/>
  <c r="B1138" i="11"/>
  <c r="B1139" i="11"/>
  <c r="B1140" i="11"/>
  <c r="B1141" i="11"/>
  <c r="B1142" i="11"/>
  <c r="B1143" i="11"/>
  <c r="B1144" i="11"/>
  <c r="B1145" i="11"/>
  <c r="I1145" i="11" s="1"/>
  <c r="B1146" i="11"/>
  <c r="B1147" i="11"/>
  <c r="B1148" i="11"/>
  <c r="B1149" i="11"/>
  <c r="H1149" i="11" s="1"/>
  <c r="B1150" i="11"/>
  <c r="B1151" i="11"/>
  <c r="I1151" i="11" s="1"/>
  <c r="B1152" i="11"/>
  <c r="B1153" i="11"/>
  <c r="B1154" i="11"/>
  <c r="B1155" i="11"/>
  <c r="B1156" i="11"/>
  <c r="B1157" i="11"/>
  <c r="B1158" i="11"/>
  <c r="B1159" i="11"/>
  <c r="B1160" i="11"/>
  <c r="B1161" i="11"/>
  <c r="B1162" i="11"/>
  <c r="B1163" i="11"/>
  <c r="I1163" i="11" s="1"/>
  <c r="B1164" i="11"/>
  <c r="B1165" i="11"/>
  <c r="B1166" i="11"/>
  <c r="B1167" i="11"/>
  <c r="B1168" i="11"/>
  <c r="B1169" i="11"/>
  <c r="B1170" i="11"/>
  <c r="B1171" i="11"/>
  <c r="B1172" i="11"/>
  <c r="B1173" i="11"/>
  <c r="I1173" i="11" s="1"/>
  <c r="B1174" i="11"/>
  <c r="B1175" i="11"/>
  <c r="B1176" i="11"/>
  <c r="B1177" i="11"/>
  <c r="B1178" i="11"/>
  <c r="B1179" i="11"/>
  <c r="B1180" i="11"/>
  <c r="B1181" i="11"/>
  <c r="B1182" i="11"/>
  <c r="B1183" i="11"/>
  <c r="B1184" i="11"/>
  <c r="B1185" i="11"/>
  <c r="I1185" i="11" s="1"/>
  <c r="B1186" i="11"/>
  <c r="B1187" i="11"/>
  <c r="B1188" i="11"/>
  <c r="B1189" i="11"/>
  <c r="B1190" i="11"/>
  <c r="B1191" i="11"/>
  <c r="B1192" i="11"/>
  <c r="B1193" i="11"/>
  <c r="B1194" i="11"/>
  <c r="I1194" i="11" s="1"/>
  <c r="B1195" i="11"/>
  <c r="B1196" i="11"/>
  <c r="B1197" i="11"/>
  <c r="B1198" i="11"/>
  <c r="B1199" i="11"/>
  <c r="B1200" i="11"/>
  <c r="B1201" i="11"/>
  <c r="B1202" i="11"/>
  <c r="I1202" i="11" s="1"/>
  <c r="B1203" i="11"/>
  <c r="B1204" i="11"/>
  <c r="B1205" i="11"/>
  <c r="B1206" i="11"/>
  <c r="B1207" i="11"/>
  <c r="B1208" i="11"/>
  <c r="B1209" i="11"/>
  <c r="I1209" i="11" s="1"/>
  <c r="B1210" i="11"/>
  <c r="B1211" i="11"/>
  <c r="B1212" i="11"/>
  <c r="B1213" i="11"/>
  <c r="B1214" i="11"/>
  <c r="B1215" i="11"/>
  <c r="B1216" i="11"/>
  <c r="B1217" i="11"/>
  <c r="B1218" i="11"/>
  <c r="B1219" i="11"/>
  <c r="I1219" i="11" s="1"/>
  <c r="B1220" i="11"/>
  <c r="B1221" i="11"/>
  <c r="B1222" i="11"/>
  <c r="I1222" i="11" s="1"/>
  <c r="B1223" i="11"/>
  <c r="B1224" i="11"/>
  <c r="I1224" i="11" s="1"/>
  <c r="B1225" i="11"/>
  <c r="B1226" i="11"/>
  <c r="B1227" i="11"/>
  <c r="B1228" i="11"/>
  <c r="B1229" i="11"/>
  <c r="B1230" i="11"/>
  <c r="B1231" i="11"/>
  <c r="B1232" i="11"/>
  <c r="B1233" i="11"/>
  <c r="I1233" i="11" s="1"/>
  <c r="B1234" i="11"/>
  <c r="B1235" i="11"/>
  <c r="B1236" i="11"/>
  <c r="I1236" i="11" s="1"/>
  <c r="B1237" i="11"/>
  <c r="B1238" i="11"/>
  <c r="I1238" i="11" s="1"/>
  <c r="B1239" i="11"/>
  <c r="B1240" i="11"/>
  <c r="B1241" i="11"/>
  <c r="B1242" i="11"/>
  <c r="B1243" i="11"/>
  <c r="B1244" i="11"/>
  <c r="B1245" i="11"/>
  <c r="B1246" i="11"/>
  <c r="B1247" i="11"/>
  <c r="I1247" i="11" s="1"/>
  <c r="B1248" i="11"/>
  <c r="B1249" i="11"/>
  <c r="I1249" i="11" s="1"/>
  <c r="B1250" i="11"/>
  <c r="I1250" i="11" s="1"/>
  <c r="B1251" i="11"/>
  <c r="B1252" i="11"/>
  <c r="B1253" i="11"/>
  <c r="B1254" i="11"/>
  <c r="I1254" i="11" s="1"/>
  <c r="B1255" i="11"/>
  <c r="B1256" i="11"/>
  <c r="B1257" i="11"/>
  <c r="B1258" i="11"/>
  <c r="B1259" i="11"/>
  <c r="I1259" i="11" s="1"/>
  <c r="B1260" i="11"/>
  <c r="B1261" i="11"/>
  <c r="I1261" i="11" s="1"/>
  <c r="B1262" i="11"/>
  <c r="B1263" i="11"/>
  <c r="B1264" i="11"/>
  <c r="B1265" i="11"/>
  <c r="I1265" i="11" s="1"/>
  <c r="B1266" i="11"/>
  <c r="I1266" i="11" s="1"/>
  <c r="B1267" i="11"/>
  <c r="B1268" i="11"/>
  <c r="I1268" i="11" s="1"/>
  <c r="B1269" i="11"/>
  <c r="B1270" i="11"/>
  <c r="B1271" i="11"/>
  <c r="B1272" i="11"/>
  <c r="B1273" i="11"/>
  <c r="I1273" i="11" s="1"/>
  <c r="B1274" i="11"/>
  <c r="B1275" i="11"/>
  <c r="I1275" i="11" s="1"/>
  <c r="B1276" i="11"/>
  <c r="B1277" i="11"/>
  <c r="B1278" i="11"/>
  <c r="I1278" i="11" s="1"/>
  <c r="B1279" i="11"/>
  <c r="I1279" i="11" s="1"/>
  <c r="B1280" i="11"/>
  <c r="B1281" i="11"/>
  <c r="I1281" i="11" s="1"/>
  <c r="B1282" i="11"/>
  <c r="B1283" i="11"/>
  <c r="B1284" i="11"/>
  <c r="B1285" i="11"/>
  <c r="B1286" i="11"/>
  <c r="I1286" i="11" s="1"/>
  <c r="B1287" i="11"/>
  <c r="B1288" i="11"/>
  <c r="B1289" i="11"/>
  <c r="I1289" i="11" s="1"/>
  <c r="B1290" i="11"/>
  <c r="B1291" i="11"/>
  <c r="I1291" i="11" s="1"/>
  <c r="B1292" i="11"/>
  <c r="I1292" i="11" s="1"/>
  <c r="B1293" i="11"/>
  <c r="B1294" i="11"/>
  <c r="I1294" i="11" s="1"/>
  <c r="B1295" i="11"/>
  <c r="B1296" i="11"/>
  <c r="B1297" i="11"/>
  <c r="B1298" i="11"/>
  <c r="B1299" i="11"/>
  <c r="I1299" i="11" s="1"/>
  <c r="B1300" i="11"/>
  <c r="B1301" i="11"/>
  <c r="B1302" i="11"/>
  <c r="I1302" i="11" s="1"/>
  <c r="B1303" i="11"/>
  <c r="B1304" i="11"/>
  <c r="I1304" i="11" s="1"/>
  <c r="B1305" i="11"/>
  <c r="I1305" i="11" s="1"/>
  <c r="B1306" i="11"/>
  <c r="B1307" i="11"/>
  <c r="I1307" i="11" s="1"/>
  <c r="B1308" i="11"/>
  <c r="B1309" i="11"/>
  <c r="B1310" i="11"/>
  <c r="B1311" i="11"/>
  <c r="B1312" i="11"/>
  <c r="B1313" i="11"/>
  <c r="I1313" i="11" s="1"/>
  <c r="B1314" i="11"/>
  <c r="B1315" i="11"/>
  <c r="I1315" i="11" s="1"/>
  <c r="B1316" i="11"/>
  <c r="B1317" i="11"/>
  <c r="I1317" i="11" s="1"/>
  <c r="B1318" i="11"/>
  <c r="I1318" i="11" s="1"/>
  <c r="B1319" i="11"/>
  <c r="H1319" i="11" s="1"/>
  <c r="B1320" i="11"/>
  <c r="I1320" i="11" s="1"/>
  <c r="B1321" i="11"/>
  <c r="B1322" i="11"/>
  <c r="B1323" i="11"/>
  <c r="B1324" i="11"/>
  <c r="B1325" i="11"/>
  <c r="B1326" i="11"/>
  <c r="I1326" i="11" s="1"/>
  <c r="B1327" i="11"/>
  <c r="B1328" i="11"/>
  <c r="I1328" i="11" s="1"/>
  <c r="B1329" i="11"/>
  <c r="B1330" i="11"/>
  <c r="I1330" i="11" s="1"/>
  <c r="B1331" i="11"/>
  <c r="I1331" i="11" s="1"/>
  <c r="B1332" i="11"/>
  <c r="B1333" i="11"/>
  <c r="I1333" i="11" s="1"/>
  <c r="B1334" i="11"/>
  <c r="B1335" i="11"/>
  <c r="B1336" i="11"/>
  <c r="B1337" i="11"/>
  <c r="B1338" i="11"/>
  <c r="B1339" i="11"/>
  <c r="I1339" i="11" s="1"/>
  <c r="B1340" i="11"/>
  <c r="B1341" i="11"/>
  <c r="I1341" i="11" s="1"/>
  <c r="B1342" i="11"/>
  <c r="B1343" i="11"/>
  <c r="I1343" i="11" s="1"/>
  <c r="B1344" i="11"/>
  <c r="I1344" i="11" s="1"/>
  <c r="B1345" i="11"/>
  <c r="B1346" i="11"/>
  <c r="I1346" i="11" s="1"/>
  <c r="B1347" i="11"/>
  <c r="B1348" i="11"/>
  <c r="B1349" i="11"/>
  <c r="B1350" i="11"/>
  <c r="B1351" i="11"/>
  <c r="B1352" i="11"/>
  <c r="I1352" i="11" s="1"/>
  <c r="B1353" i="11"/>
  <c r="B1354" i="11"/>
  <c r="I1354" i="11" s="1"/>
  <c r="B1355" i="11"/>
  <c r="B1356" i="11"/>
  <c r="I1356" i="11" s="1"/>
  <c r="B1357" i="11"/>
  <c r="I1357" i="11" s="1"/>
  <c r="B1358" i="11"/>
  <c r="B1359" i="11"/>
  <c r="I1359" i="11" s="1"/>
  <c r="B1360" i="11"/>
  <c r="B1361" i="11"/>
  <c r="B1362" i="11"/>
  <c r="B1363" i="11"/>
  <c r="B1364" i="11"/>
  <c r="B1365" i="11"/>
  <c r="I1365" i="11" s="1"/>
  <c r="B1366" i="11"/>
  <c r="B1367" i="11"/>
  <c r="I1367" i="11" s="1"/>
  <c r="B1368" i="11"/>
  <c r="B1369" i="11"/>
  <c r="I1369" i="11" s="1"/>
  <c r="B1370" i="11"/>
  <c r="I1370" i="11" s="1"/>
  <c r="B1371" i="11"/>
  <c r="B1372" i="11"/>
  <c r="B1373" i="11"/>
  <c r="I1373" i="11" s="1"/>
  <c r="B1374" i="11"/>
  <c r="B1375" i="11"/>
  <c r="B1376" i="11"/>
  <c r="B1377" i="11"/>
  <c r="B1378" i="11"/>
  <c r="I1378" i="11" s="1"/>
  <c r="B1379" i="11"/>
  <c r="H1379" i="11" s="1"/>
  <c r="B1380" i="11"/>
  <c r="I1380" i="11" s="1"/>
  <c r="B1381" i="11"/>
  <c r="B1382" i="11"/>
  <c r="I1382" i="11" s="1"/>
  <c r="B1383" i="11"/>
  <c r="I1383" i="11" s="1"/>
  <c r="B1384" i="11"/>
  <c r="B1385" i="11"/>
  <c r="B1386" i="11"/>
  <c r="I1386" i="11" s="1"/>
  <c r="B1387" i="11"/>
  <c r="B1388" i="11"/>
  <c r="B1389" i="11"/>
  <c r="B1390" i="11"/>
  <c r="B1391" i="11"/>
  <c r="I1391" i="11" s="1"/>
  <c r="B1392" i="11"/>
  <c r="B1393" i="11"/>
  <c r="I1393" i="11" s="1"/>
  <c r="B1394" i="11"/>
  <c r="B1395" i="11"/>
  <c r="I1395" i="11" s="1"/>
  <c r="B1396" i="11"/>
  <c r="B1397" i="11"/>
  <c r="I1397" i="11" s="1"/>
  <c r="B1398" i="11"/>
  <c r="B1399" i="11"/>
  <c r="I1399" i="11" s="1"/>
  <c r="B1400" i="11"/>
  <c r="B1401" i="11"/>
  <c r="B1402" i="11"/>
  <c r="B1403" i="11"/>
  <c r="H1403" i="11" s="1"/>
  <c r="B1404" i="11"/>
  <c r="I1404" i="11" s="1"/>
  <c r="B1405" i="11"/>
  <c r="B1406" i="11"/>
  <c r="I1406" i="11" s="1"/>
  <c r="B1407" i="11"/>
  <c r="B1408" i="11"/>
  <c r="B1409" i="11"/>
  <c r="I1409" i="11" s="1"/>
  <c r="B1410" i="11"/>
  <c r="I1410" i="11" s="1"/>
  <c r="B1411" i="11"/>
  <c r="B1412" i="11"/>
  <c r="I1412" i="11" s="1"/>
  <c r="B1413" i="11"/>
  <c r="B1414" i="11"/>
  <c r="B1415" i="11"/>
  <c r="B1416" i="11"/>
  <c r="B1417" i="11"/>
  <c r="I1417" i="11" s="1"/>
  <c r="B1418" i="11"/>
  <c r="B1419" i="11"/>
  <c r="I1419" i="11" s="1"/>
  <c r="B1420" i="11"/>
  <c r="B1421" i="11"/>
  <c r="I1421" i="11" s="1"/>
  <c r="B1422" i="11"/>
  <c r="I1422" i="11" s="1"/>
  <c r="B1423" i="11"/>
  <c r="B1424" i="11"/>
  <c r="I1424" i="11" s="1"/>
  <c r="B1425" i="11"/>
  <c r="B1426" i="11"/>
  <c r="B1427" i="11"/>
  <c r="B1428" i="11"/>
  <c r="B1429" i="11"/>
  <c r="I1429" i="11" s="1"/>
  <c r="B1430" i="11"/>
  <c r="B1431" i="11"/>
  <c r="I1431" i="11" s="1"/>
  <c r="B1432" i="11"/>
  <c r="B1433" i="11"/>
  <c r="I1433" i="11" s="1"/>
  <c r="B1434" i="11"/>
  <c r="I1434" i="11" s="1"/>
  <c r="B1435" i="11"/>
  <c r="B1436" i="11"/>
  <c r="H1436" i="11" s="1"/>
  <c r="B1437" i="11"/>
  <c r="B1438" i="11"/>
  <c r="B1439" i="11"/>
  <c r="B1440" i="11"/>
  <c r="B1441" i="11"/>
  <c r="I1441" i="11" s="1"/>
  <c r="B1442" i="11"/>
  <c r="B1443" i="11"/>
  <c r="I1443" i="11" s="1"/>
  <c r="B1444" i="11"/>
  <c r="B1445" i="11"/>
  <c r="I1445" i="11" s="1"/>
  <c r="B1446" i="11"/>
  <c r="I1446" i="11" s="1"/>
  <c r="B1447" i="11"/>
  <c r="B1448" i="11"/>
  <c r="I1448" i="11" s="1"/>
  <c r="B1449" i="11"/>
  <c r="B1450" i="11"/>
  <c r="B1451" i="11"/>
  <c r="B1452" i="11"/>
  <c r="B1453" i="11"/>
  <c r="I1453" i="11" s="1"/>
  <c r="B1454" i="11"/>
  <c r="I1454" i="11" s="1"/>
  <c r="B1455" i="11"/>
  <c r="I1455" i="11" s="1"/>
  <c r="B1456" i="11"/>
  <c r="B1457" i="11"/>
  <c r="I1457" i="11" s="1"/>
  <c r="B1458" i="11"/>
  <c r="I1458" i="11" s="1"/>
  <c r="B1459" i="11"/>
  <c r="B1460" i="11"/>
  <c r="H1460" i="11" s="1"/>
  <c r="B1461" i="11"/>
  <c r="B1462" i="11"/>
  <c r="B1463" i="11"/>
  <c r="B1464" i="11"/>
  <c r="B1465" i="11"/>
  <c r="I1465" i="11" s="1"/>
  <c r="B1466" i="11"/>
  <c r="I1466" i="11" s="1"/>
  <c r="B1467" i="11"/>
  <c r="I1467" i="11" s="1"/>
  <c r="B1468" i="11"/>
  <c r="B1469" i="11"/>
  <c r="I1469" i="11" s="1"/>
  <c r="B1470" i="11"/>
  <c r="I1470" i="11" s="1"/>
  <c r="B1471" i="11"/>
  <c r="B1472" i="11"/>
  <c r="I1472" i="11" s="1"/>
  <c r="B1473" i="11"/>
  <c r="B1474" i="11"/>
  <c r="B1475" i="11"/>
  <c r="B1476" i="11"/>
  <c r="B1477" i="11"/>
  <c r="I1477" i="11" s="1"/>
  <c r="B1478" i="11"/>
  <c r="I1478" i="11" s="1"/>
  <c r="B1479" i="11"/>
  <c r="I1479" i="11" s="1"/>
  <c r="B1480" i="11"/>
  <c r="B1481" i="11"/>
  <c r="I1481" i="11" s="1"/>
  <c r="B1482" i="11"/>
  <c r="I1482" i="11" s="1"/>
  <c r="B1483" i="11"/>
  <c r="B1484" i="11"/>
  <c r="I1484" i="11" s="1"/>
  <c r="B1485" i="11"/>
  <c r="B1486" i="11"/>
  <c r="B1487" i="11"/>
  <c r="B1488" i="11"/>
  <c r="B1489" i="11"/>
  <c r="I1489" i="11" s="1"/>
  <c r="B1490" i="11"/>
  <c r="I1490" i="11" s="1"/>
  <c r="B1491" i="11"/>
  <c r="I1491" i="11" s="1"/>
  <c r="B1492" i="11"/>
  <c r="B1493" i="11"/>
  <c r="I1493" i="11" s="1"/>
  <c r="B1494" i="11"/>
  <c r="I1494" i="11" s="1"/>
  <c r="B1495" i="11"/>
  <c r="B1496" i="11"/>
  <c r="I1496" i="11" s="1"/>
  <c r="B1497" i="11"/>
  <c r="H1497" i="11" s="1"/>
  <c r="B1498" i="11"/>
  <c r="B1499" i="11"/>
  <c r="B1500" i="11"/>
  <c r="B1501" i="11"/>
  <c r="I1501" i="11" s="1"/>
  <c r="B1502" i="11"/>
  <c r="I1502" i="11" s="1"/>
  <c r="B1503" i="11"/>
  <c r="I1503" i="11" s="1"/>
  <c r="B1504" i="11"/>
  <c r="B1505" i="11"/>
  <c r="I1505" i="11" s="1"/>
  <c r="B1506" i="11"/>
  <c r="I1506" i="11" s="1"/>
  <c r="B1507" i="11"/>
  <c r="B1508" i="11"/>
  <c r="I1508" i="11" s="1"/>
  <c r="B1509" i="11"/>
  <c r="B1510" i="11"/>
  <c r="B1511" i="11"/>
  <c r="B1512" i="11"/>
  <c r="B1513" i="11"/>
  <c r="I1513" i="11" s="1"/>
  <c r="B1514" i="11"/>
  <c r="I1514" i="11" s="1"/>
  <c r="B1515" i="11"/>
  <c r="I1515" i="11" s="1"/>
  <c r="B1516" i="11"/>
  <c r="B1517" i="11"/>
  <c r="I1517" i="11" s="1"/>
  <c r="B1518" i="11"/>
  <c r="I1518" i="11" s="1"/>
  <c r="B1519" i="11"/>
  <c r="B1520" i="11"/>
  <c r="I1520" i="11" s="1"/>
  <c r="B1521" i="11"/>
  <c r="H1521" i="11" s="1"/>
  <c r="B1522" i="11"/>
  <c r="B1523" i="11"/>
  <c r="B1524" i="11"/>
  <c r="B1525" i="11"/>
  <c r="I1525" i="11" s="1"/>
  <c r="B1526" i="11"/>
  <c r="I1526" i="11" s="1"/>
  <c r="B1527" i="11"/>
  <c r="I1527" i="11" s="1"/>
  <c r="B1528" i="11"/>
  <c r="B1529" i="11"/>
  <c r="I1529" i="11" s="1"/>
  <c r="B1530" i="11"/>
  <c r="I1530" i="11" s="1"/>
  <c r="B1531" i="11"/>
  <c r="B1532" i="11"/>
  <c r="I1532" i="11" s="1"/>
  <c r="B1533" i="11"/>
  <c r="B1534" i="11"/>
  <c r="B1535" i="11"/>
  <c r="B1536" i="11"/>
  <c r="B1537" i="11"/>
  <c r="I1537" i="11" s="1"/>
  <c r="B1538" i="11"/>
  <c r="I1538" i="11" s="1"/>
  <c r="B1539" i="11"/>
  <c r="I1539" i="11" s="1"/>
  <c r="B1540" i="11"/>
  <c r="B1541" i="11"/>
  <c r="I1541" i="11" s="1"/>
  <c r="B1542" i="11"/>
  <c r="I1542" i="11" s="1"/>
  <c r="B1543" i="11"/>
  <c r="B1544" i="11"/>
  <c r="I1544" i="11" s="1"/>
  <c r="B1545" i="11"/>
  <c r="B1546" i="11"/>
  <c r="B1547" i="11"/>
  <c r="B1548" i="11"/>
  <c r="B1549" i="11"/>
  <c r="I1549" i="11" s="1"/>
  <c r="B1550" i="11"/>
  <c r="I1550" i="11" s="1"/>
  <c r="B1551" i="11"/>
  <c r="I1551" i="11" s="1"/>
  <c r="B1552" i="11"/>
  <c r="H1552" i="11" s="1"/>
  <c r="B1553" i="11"/>
  <c r="I1553" i="11" s="1"/>
  <c r="B1554" i="11"/>
  <c r="I1554" i="11" s="1"/>
  <c r="B1555" i="11"/>
  <c r="B1556" i="11"/>
  <c r="I1556" i="11" s="1"/>
  <c r="B1557" i="11"/>
  <c r="B1558" i="11"/>
  <c r="B1559" i="11"/>
  <c r="B1560" i="11"/>
  <c r="B1561" i="11"/>
  <c r="I1561" i="11" s="1"/>
  <c r="B1562" i="11"/>
  <c r="I1562" i="11" s="1"/>
  <c r="B1563" i="11"/>
  <c r="I1563" i="11" s="1"/>
  <c r="B1564" i="11"/>
  <c r="B1565" i="11"/>
  <c r="I1565" i="11" s="1"/>
  <c r="B1566" i="11"/>
  <c r="I1566" i="11" s="1"/>
  <c r="B1567" i="11"/>
  <c r="B1568" i="11"/>
  <c r="I1568" i="11" s="1"/>
  <c r="B1569" i="11"/>
  <c r="B1570" i="11"/>
  <c r="B1571" i="11"/>
  <c r="B1572" i="11"/>
  <c r="B1573" i="11"/>
  <c r="I1573" i="11" s="1"/>
  <c r="B1574" i="11"/>
  <c r="I1574" i="11" s="1"/>
  <c r="B1575" i="11"/>
  <c r="I1575" i="11" s="1"/>
  <c r="B1576" i="11"/>
  <c r="H1576" i="11" s="1"/>
  <c r="B1577" i="11"/>
  <c r="I1577" i="11" s="1"/>
  <c r="B1578" i="11"/>
  <c r="I1578" i="11" s="1"/>
  <c r="B1579" i="11"/>
  <c r="B1580" i="11"/>
  <c r="I1580" i="11" s="1"/>
  <c r="B1581" i="11"/>
  <c r="B1582" i="11"/>
  <c r="B1583" i="11"/>
  <c r="B1584" i="11"/>
  <c r="B1585" i="11"/>
  <c r="I1585" i="11" s="1"/>
  <c r="B1586" i="11"/>
  <c r="I1586" i="11" s="1"/>
  <c r="B1587" i="11"/>
  <c r="I1587" i="11" s="1"/>
  <c r="B1588" i="11"/>
  <c r="B1589" i="11"/>
  <c r="I1589" i="11" s="1"/>
  <c r="B1590" i="11"/>
  <c r="I1590" i="11" s="1"/>
  <c r="B1591" i="11"/>
  <c r="B1592" i="11"/>
  <c r="I1592" i="11" s="1"/>
  <c r="B1593" i="11"/>
  <c r="B1594" i="11"/>
  <c r="B1595" i="11"/>
  <c r="B1596" i="11"/>
  <c r="B1597" i="11"/>
  <c r="I1597" i="11" s="1"/>
  <c r="B1598" i="11"/>
  <c r="I1598" i="11" s="1"/>
  <c r="B1599" i="11"/>
  <c r="I1599" i="11" s="1"/>
  <c r="B1600" i="11"/>
  <c r="B1601" i="11"/>
  <c r="I1601" i="11" s="1"/>
  <c r="B1602" i="11"/>
  <c r="I1602" i="11" s="1"/>
  <c r="B1603" i="11"/>
  <c r="B1604" i="11"/>
  <c r="I1604" i="11" s="1"/>
  <c r="B1605" i="11"/>
  <c r="B1606" i="11"/>
  <c r="B1607" i="11"/>
  <c r="H1607" i="11" s="1"/>
  <c r="B1608" i="11"/>
  <c r="B1609" i="11"/>
  <c r="I1609" i="11" s="1"/>
  <c r="B1610" i="11"/>
  <c r="I1610" i="11" s="1"/>
  <c r="B1611" i="11"/>
  <c r="I1611" i="11" s="1"/>
  <c r="B1612" i="11"/>
  <c r="B1613" i="11"/>
  <c r="I1613" i="11" s="1"/>
  <c r="B1614" i="11"/>
  <c r="I1614" i="11" s="1"/>
  <c r="B1615" i="11"/>
  <c r="B1616" i="11"/>
  <c r="I1616" i="11" s="1"/>
  <c r="B1617" i="11"/>
  <c r="B1618" i="11"/>
  <c r="B1619" i="11"/>
  <c r="B1620" i="11"/>
  <c r="B1621" i="11"/>
  <c r="I1621" i="11" s="1"/>
  <c r="B1622" i="11"/>
  <c r="I1622" i="11" s="1"/>
  <c r="B1623" i="11"/>
  <c r="I1623" i="11" s="1"/>
  <c r="B1624" i="11"/>
  <c r="B1625" i="11"/>
  <c r="I1625" i="11" s="1"/>
  <c r="B1626" i="11"/>
  <c r="I1626" i="11" s="1"/>
  <c r="B1627" i="11"/>
  <c r="B1628" i="11"/>
  <c r="I1628" i="11" s="1"/>
  <c r="B1629" i="11"/>
  <c r="B1630" i="11"/>
  <c r="B1631" i="11"/>
  <c r="H1631" i="11" s="1"/>
  <c r="B1632" i="11"/>
  <c r="B1633" i="11"/>
  <c r="I1633" i="11" s="1"/>
  <c r="B1634" i="11"/>
  <c r="I1634" i="11" s="1"/>
  <c r="B1635" i="11"/>
  <c r="I1635" i="11" s="1"/>
  <c r="B1636" i="11"/>
  <c r="B1637" i="11"/>
  <c r="I1637" i="11" s="1"/>
  <c r="B1638" i="11"/>
  <c r="I1638" i="11" s="1"/>
  <c r="B1639" i="11"/>
  <c r="B1640" i="11"/>
  <c r="I1640" i="11" s="1"/>
  <c r="B1641" i="11"/>
  <c r="B1642" i="11"/>
  <c r="B1643" i="11"/>
  <c r="B1644" i="11"/>
  <c r="B1645" i="11"/>
  <c r="I1645" i="11" s="1"/>
  <c r="B1646" i="11"/>
  <c r="I1646" i="11" s="1"/>
  <c r="B1647" i="11"/>
  <c r="I1647" i="11" s="1"/>
  <c r="B1648" i="11"/>
  <c r="B1649" i="11"/>
  <c r="I1649" i="11" s="1"/>
  <c r="B1650" i="11"/>
  <c r="I1650" i="11" s="1"/>
  <c r="B1651" i="11"/>
  <c r="B1652" i="11"/>
  <c r="I1652" i="11" s="1"/>
  <c r="B1653" i="11"/>
  <c r="B1654" i="11"/>
  <c r="B1655" i="11"/>
  <c r="B1656" i="11"/>
  <c r="B1657" i="11"/>
  <c r="I1657" i="11" s="1"/>
  <c r="B1658" i="11"/>
  <c r="I1658" i="11" s="1"/>
  <c r="B1659" i="11"/>
  <c r="I1659" i="11" s="1"/>
  <c r="B1660" i="11"/>
  <c r="B1661" i="11"/>
  <c r="I1661" i="11" s="1"/>
  <c r="B1662" i="11"/>
  <c r="I1662" i="11" s="1"/>
  <c r="B1663" i="11"/>
  <c r="B1664" i="11"/>
  <c r="I1664" i="11" s="1"/>
  <c r="B1665" i="11"/>
  <c r="H1665" i="11" s="1"/>
  <c r="B1666" i="11"/>
  <c r="B1667" i="11"/>
  <c r="B1668" i="11"/>
  <c r="B1669" i="11"/>
  <c r="I1669" i="11" s="1"/>
  <c r="B1670" i="11"/>
  <c r="I1670" i="11" s="1"/>
  <c r="B1671" i="11"/>
  <c r="I1671" i="11" s="1"/>
  <c r="B1672" i="11"/>
  <c r="B1673" i="11"/>
  <c r="I1673" i="11" s="1"/>
  <c r="B1674" i="11"/>
  <c r="I1674" i="11" s="1"/>
  <c r="B1675" i="11"/>
  <c r="B1676" i="11"/>
  <c r="I1676" i="11" s="1"/>
  <c r="B1677" i="11"/>
  <c r="B1678" i="11"/>
  <c r="B1679" i="11"/>
  <c r="H1679" i="11" s="1"/>
  <c r="B1680" i="11"/>
  <c r="B1681" i="11"/>
  <c r="I1681" i="11" s="1"/>
  <c r="B1682" i="11"/>
  <c r="I1682" i="11" s="1"/>
  <c r="B1683" i="11"/>
  <c r="I1683" i="11" s="1"/>
  <c r="B1684" i="11"/>
  <c r="B1685" i="11"/>
  <c r="I1685" i="11" s="1"/>
  <c r="B1686" i="11"/>
  <c r="I1686" i="11" s="1"/>
  <c r="B1687" i="11"/>
  <c r="B1688" i="11"/>
  <c r="I1688" i="11" s="1"/>
  <c r="B1689" i="11"/>
  <c r="B1690" i="11"/>
  <c r="B1691" i="11"/>
  <c r="B1692" i="11"/>
  <c r="B1693" i="11"/>
  <c r="I1693" i="11" s="1"/>
  <c r="B1694" i="11"/>
  <c r="I1694" i="11" s="1"/>
  <c r="B1695" i="11"/>
  <c r="I1695" i="11" s="1"/>
  <c r="B1696" i="11"/>
  <c r="B1697" i="11"/>
  <c r="I1697" i="11" s="1"/>
  <c r="B1698" i="11"/>
  <c r="I1698" i="11" s="1"/>
  <c r="B1699" i="11"/>
  <c r="B1700" i="11"/>
  <c r="I1700" i="11" s="1"/>
  <c r="B1701" i="11"/>
  <c r="B1702" i="11"/>
  <c r="B1703" i="11"/>
  <c r="B1704" i="11"/>
  <c r="B1705" i="11"/>
  <c r="I1705" i="11" s="1"/>
  <c r="B1706" i="11"/>
  <c r="I1706" i="11" s="1"/>
  <c r="B1707" i="11"/>
  <c r="I1707" i="11" s="1"/>
  <c r="B1708" i="11"/>
  <c r="B1709" i="11"/>
  <c r="I1709" i="11" s="1"/>
  <c r="B1710" i="11"/>
  <c r="I1710" i="11" s="1"/>
  <c r="B1711" i="11"/>
  <c r="I1711" i="11" s="1"/>
  <c r="B1712" i="11"/>
  <c r="I1712" i="11" s="1"/>
  <c r="B1713" i="11"/>
  <c r="H1713" i="11" s="1"/>
  <c r="B1714" i="11"/>
  <c r="B1715" i="11"/>
  <c r="B1716" i="11"/>
  <c r="B1717" i="11"/>
  <c r="I1717" i="11" s="1"/>
  <c r="B1718" i="11"/>
  <c r="I1718" i="11" s="1"/>
  <c r="B1719" i="11"/>
  <c r="I1719" i="11" s="1"/>
  <c r="B1720" i="11"/>
  <c r="B1721" i="11"/>
  <c r="I1721" i="11" s="1"/>
  <c r="B1722" i="11"/>
  <c r="I1722" i="11" s="1"/>
  <c r="B1723" i="11"/>
  <c r="I1723" i="11" s="1"/>
  <c r="B1724" i="11"/>
  <c r="I1724" i="11" s="1"/>
  <c r="B1725" i="11"/>
  <c r="B1726" i="11"/>
  <c r="B1727" i="11"/>
  <c r="H1727" i="11" s="1"/>
  <c r="B1728" i="11"/>
  <c r="B1729" i="11"/>
  <c r="I1729" i="11" s="1"/>
  <c r="B1730" i="11"/>
  <c r="I1730" i="11" s="1"/>
  <c r="B1731" i="11"/>
  <c r="I1731" i="11" s="1"/>
  <c r="B1732" i="11"/>
  <c r="B1733" i="11"/>
  <c r="I1733" i="11" s="1"/>
  <c r="B1734" i="11"/>
  <c r="I1734" i="11" s="1"/>
  <c r="B1735" i="11"/>
  <c r="I1735" i="11" s="1"/>
  <c r="B1736" i="11"/>
  <c r="I1736" i="11" s="1"/>
  <c r="B1737" i="11"/>
  <c r="B1738" i="11"/>
  <c r="B1739" i="11"/>
  <c r="B1740" i="11"/>
  <c r="B1741" i="11"/>
  <c r="I1741" i="11" s="1"/>
  <c r="B1742" i="11"/>
  <c r="I1742" i="11" s="1"/>
  <c r="B1743" i="11"/>
  <c r="I1743" i="11" s="1"/>
  <c r="B1744" i="11"/>
  <c r="B1745" i="11"/>
  <c r="I1745" i="11" s="1"/>
  <c r="B1746" i="11"/>
  <c r="I1746" i="11" s="1"/>
  <c r="B1747" i="11"/>
  <c r="I1747" i="11" s="1"/>
  <c r="B1748" i="11"/>
  <c r="I1748" i="11" s="1"/>
  <c r="B1749" i="11"/>
  <c r="B1750" i="11"/>
  <c r="B1751" i="11"/>
  <c r="B1752" i="11"/>
  <c r="B1753" i="11"/>
  <c r="I1753" i="11" s="1"/>
  <c r="B1754" i="11"/>
  <c r="I1754" i="11" s="1"/>
  <c r="B1755" i="11"/>
  <c r="I1755" i="11" s="1"/>
  <c r="B1756" i="11"/>
  <c r="B1757" i="11"/>
  <c r="I1757" i="11" s="1"/>
  <c r="B1758" i="11"/>
  <c r="I1758" i="11" s="1"/>
  <c r="B1759" i="11"/>
  <c r="I1759" i="11" s="1"/>
  <c r="B1760" i="11"/>
  <c r="I1760" i="11" s="1"/>
  <c r="B1761" i="11"/>
  <c r="H1761" i="11" s="1"/>
  <c r="B1762" i="11"/>
  <c r="B1763" i="11"/>
  <c r="B1764" i="11"/>
  <c r="B1765" i="11"/>
  <c r="I1765" i="11" s="1"/>
  <c r="B1766" i="11"/>
  <c r="I1766" i="11" s="1"/>
  <c r="B1767" i="11"/>
  <c r="I1767" i="11" s="1"/>
  <c r="B1768" i="11"/>
  <c r="B1769" i="11"/>
  <c r="I1769" i="11" s="1"/>
  <c r="B1770" i="11"/>
  <c r="I1770" i="11" s="1"/>
  <c r="B1771" i="11"/>
  <c r="I1771" i="11" s="1"/>
  <c r="B1772" i="11"/>
  <c r="I1772" i="11" s="1"/>
  <c r="B1773" i="11"/>
  <c r="B1774" i="11"/>
  <c r="B1775" i="11"/>
  <c r="H1775" i="11" s="1"/>
  <c r="B1776" i="11"/>
  <c r="B1777" i="11"/>
  <c r="I1777" i="11" s="1"/>
  <c r="B1778" i="11"/>
  <c r="I1778" i="11" s="1"/>
  <c r="B1779" i="11"/>
  <c r="I1779" i="11" s="1"/>
  <c r="B1780" i="11"/>
  <c r="B1781" i="11"/>
  <c r="I1781" i="11" s="1"/>
  <c r="B1782" i="11"/>
  <c r="I1782" i="11" s="1"/>
  <c r="B1783" i="11"/>
  <c r="I1783" i="11" s="1"/>
  <c r="B1784" i="11"/>
  <c r="I1784" i="11" s="1"/>
  <c r="B1785" i="11"/>
  <c r="B1786" i="11"/>
  <c r="B1787" i="11"/>
  <c r="B1788" i="11"/>
  <c r="B1789" i="11"/>
  <c r="I1789" i="11" s="1"/>
  <c r="B1790" i="11"/>
  <c r="I1790" i="11" s="1"/>
  <c r="B1791" i="11"/>
  <c r="I1791" i="11" s="1"/>
  <c r="B1792" i="11"/>
  <c r="B1793" i="11"/>
  <c r="I1793" i="11" s="1"/>
  <c r="B1794" i="11"/>
  <c r="I1794" i="11" s="1"/>
  <c r="B1795" i="11"/>
  <c r="I1795" i="11" s="1"/>
  <c r="B1796" i="11"/>
  <c r="I1796" i="11" s="1"/>
  <c r="B1797" i="11"/>
  <c r="B1798" i="11"/>
  <c r="B1799" i="11"/>
  <c r="B1800" i="11"/>
  <c r="B1801" i="11"/>
  <c r="I1801" i="11" s="1"/>
  <c r="B1802" i="11"/>
  <c r="I1802" i="11" s="1"/>
  <c r="B1803" i="11"/>
  <c r="I1803" i="11" s="1"/>
  <c r="B1804" i="11"/>
  <c r="B1805" i="11"/>
  <c r="I1805" i="11" s="1"/>
  <c r="B1806" i="11"/>
  <c r="I1806" i="11" s="1"/>
  <c r="B1807" i="11"/>
  <c r="I1807" i="11" s="1"/>
  <c r="B1808" i="11"/>
  <c r="I1808" i="11" s="1"/>
  <c r="B1809" i="11"/>
  <c r="H1809" i="11" s="1"/>
  <c r="B1810" i="11"/>
  <c r="B1811" i="11"/>
  <c r="B1812" i="11"/>
  <c r="B1813" i="11"/>
  <c r="I1813" i="11" s="1"/>
  <c r="B1814" i="11"/>
  <c r="I1814" i="11" s="1"/>
  <c r="B1815" i="11"/>
  <c r="I1815" i="11" s="1"/>
  <c r="B1816" i="11"/>
  <c r="B1817" i="11"/>
  <c r="I1817" i="11" s="1"/>
  <c r="B1818" i="11"/>
  <c r="I1818" i="11" s="1"/>
  <c r="B1819" i="11"/>
  <c r="I1819" i="11" s="1"/>
  <c r="B1820" i="11"/>
  <c r="I1820" i="11" s="1"/>
  <c r="B1821" i="11"/>
  <c r="B1822" i="11"/>
  <c r="B1823" i="11"/>
  <c r="H1823" i="11" s="1"/>
  <c r="B1824" i="11"/>
  <c r="B1825" i="11"/>
  <c r="I1825" i="11" s="1"/>
  <c r="B1826" i="11"/>
  <c r="I1826" i="11" s="1"/>
  <c r="B1827" i="11"/>
  <c r="I1827" i="11" s="1"/>
  <c r="B1828" i="11"/>
  <c r="B1829" i="11"/>
  <c r="I1829" i="11" s="1"/>
  <c r="B1830" i="11"/>
  <c r="I1830" i="11" s="1"/>
  <c r="B1831" i="11"/>
  <c r="I1831" i="11" s="1"/>
  <c r="B1832" i="11"/>
  <c r="I1832" i="11" s="1"/>
  <c r="B1833" i="11"/>
  <c r="B1834" i="11"/>
  <c r="B1835" i="11"/>
  <c r="B1836" i="11"/>
  <c r="B1837" i="11"/>
  <c r="I1837" i="11" s="1"/>
  <c r="B1838" i="11"/>
  <c r="I1838" i="11" s="1"/>
  <c r="B1839" i="11"/>
  <c r="I1839" i="11" s="1"/>
  <c r="B1840" i="11"/>
  <c r="B1841" i="11"/>
  <c r="I1841" i="11" s="1"/>
  <c r="B1842" i="11"/>
  <c r="I1842" i="11" s="1"/>
  <c r="B1843" i="11"/>
  <c r="I1843" i="11" s="1"/>
  <c r="B1844" i="11"/>
  <c r="I1844" i="11" s="1"/>
  <c r="B1845" i="11"/>
  <c r="B1846" i="11"/>
  <c r="B1847" i="11"/>
  <c r="B1848" i="11"/>
  <c r="B1849" i="11"/>
  <c r="I1849" i="11" s="1"/>
  <c r="B1850" i="11"/>
  <c r="I1850" i="11" s="1"/>
  <c r="B1851" i="11"/>
  <c r="I1851" i="11" s="1"/>
  <c r="B1852" i="11"/>
  <c r="I1852" i="11" s="1"/>
  <c r="B1853" i="11"/>
  <c r="I1853" i="11" s="1"/>
  <c r="B1854" i="11"/>
  <c r="I1854" i="11" s="1"/>
  <c r="B1855" i="11"/>
  <c r="I1855" i="11" s="1"/>
  <c r="B1856" i="11"/>
  <c r="I1856" i="11" s="1"/>
  <c r="B1857" i="11"/>
  <c r="H1857" i="11" s="1"/>
  <c r="B1858" i="11"/>
  <c r="B1859" i="11"/>
  <c r="B1860" i="11"/>
  <c r="B1861" i="11"/>
  <c r="I1861" i="11" s="1"/>
  <c r="B1862" i="11"/>
  <c r="I1862" i="11" s="1"/>
  <c r="B1863" i="11"/>
  <c r="I1863" i="11" s="1"/>
  <c r="B1864" i="11"/>
  <c r="I1864" i="11" s="1"/>
  <c r="B1865" i="11"/>
  <c r="I1865" i="11" s="1"/>
  <c r="B1866" i="11"/>
  <c r="I1866" i="11" s="1"/>
  <c r="B1867" i="11"/>
  <c r="I1867" i="11" s="1"/>
  <c r="B1868" i="11"/>
  <c r="I1868" i="11" s="1"/>
  <c r="B1869" i="11"/>
  <c r="B1870" i="11"/>
  <c r="B1871" i="11"/>
  <c r="H1871" i="11" s="1"/>
  <c r="B1872" i="11"/>
  <c r="B1873" i="11"/>
  <c r="I1873" i="11" s="1"/>
  <c r="B1874" i="11"/>
  <c r="I1874" i="11" s="1"/>
  <c r="B1875" i="11"/>
  <c r="I1875" i="11" s="1"/>
  <c r="B1876" i="11"/>
  <c r="I1876" i="11" s="1"/>
  <c r="B1877" i="11"/>
  <c r="I1877" i="11" s="1"/>
  <c r="B1878" i="11"/>
  <c r="I1878" i="11" s="1"/>
  <c r="B1879" i="11"/>
  <c r="I1879" i="11" s="1"/>
  <c r="B1880" i="11"/>
  <c r="I1880" i="11" s="1"/>
  <c r="B1881" i="11"/>
  <c r="I1881" i="11" s="1"/>
  <c r="B1882" i="11"/>
  <c r="B1883" i="11"/>
  <c r="B1884" i="11"/>
  <c r="B1885" i="11"/>
  <c r="I1885" i="11" s="1"/>
  <c r="B1886" i="11"/>
  <c r="I1886" i="11" s="1"/>
  <c r="B1887" i="11"/>
  <c r="I1887" i="11" s="1"/>
  <c r="B1888" i="11"/>
  <c r="I1888" i="11" s="1"/>
  <c r="B1889" i="11"/>
  <c r="I1889" i="11" s="1"/>
  <c r="B1890" i="11"/>
  <c r="I1890" i="11" s="1"/>
  <c r="B1891" i="11"/>
  <c r="I1891" i="11" s="1"/>
  <c r="B1892" i="11"/>
  <c r="I1892" i="11" s="1"/>
  <c r="B1893" i="11"/>
  <c r="I1893" i="11" s="1"/>
  <c r="B1894" i="11"/>
  <c r="I1894" i="11" s="1"/>
  <c r="B1895" i="11"/>
  <c r="B1896" i="11"/>
  <c r="B1897" i="11"/>
  <c r="I1897" i="11" s="1"/>
  <c r="B1898" i="11"/>
  <c r="I1898" i="11" s="1"/>
  <c r="B1899" i="11"/>
  <c r="I1899" i="11" s="1"/>
  <c r="B1900" i="11"/>
  <c r="I1900" i="11" s="1"/>
  <c r="B1901" i="11"/>
  <c r="I1901" i="11" s="1"/>
  <c r="B1902" i="11"/>
  <c r="I1902" i="11" s="1"/>
  <c r="B1903" i="11"/>
  <c r="I1903" i="11" s="1"/>
  <c r="B1904" i="11"/>
  <c r="I1904" i="11" s="1"/>
  <c r="B1905" i="11"/>
  <c r="I1905" i="11" s="1"/>
  <c r="B1906" i="11"/>
  <c r="I1906" i="11" s="1"/>
  <c r="B1907" i="11"/>
  <c r="B1908" i="11"/>
  <c r="H1908" i="11" s="1"/>
  <c r="B1909" i="11"/>
  <c r="I1909" i="11" s="1"/>
  <c r="B1910" i="11"/>
  <c r="I1910" i="11" s="1"/>
  <c r="B1911" i="11"/>
  <c r="I1911" i="11" s="1"/>
  <c r="B1912" i="11"/>
  <c r="I1912" i="11" s="1"/>
  <c r="B1913" i="11"/>
  <c r="I1913" i="11" s="1"/>
  <c r="B1914" i="11"/>
  <c r="I1914" i="11" s="1"/>
  <c r="B1915" i="11"/>
  <c r="I1915" i="11" s="1"/>
  <c r="B1916" i="11"/>
  <c r="I1916" i="11" s="1"/>
  <c r="B1917" i="11"/>
  <c r="I1917" i="11" s="1"/>
  <c r="B1918" i="11"/>
  <c r="I1918" i="11" s="1"/>
  <c r="B1919" i="11"/>
  <c r="I1919" i="11" s="1"/>
  <c r="B1920" i="11"/>
  <c r="B1921" i="11"/>
  <c r="I1921" i="11" s="1"/>
  <c r="B1922" i="11"/>
  <c r="I1922" i="11" s="1"/>
  <c r="B1923" i="11"/>
  <c r="I1923" i="11" s="1"/>
  <c r="B1924" i="11"/>
  <c r="I1924" i="11" s="1"/>
  <c r="B1925" i="11"/>
  <c r="I1925" i="11" s="1"/>
  <c r="B1926" i="11"/>
  <c r="I1926" i="11" s="1"/>
  <c r="B1927" i="11"/>
  <c r="I1927" i="11" s="1"/>
  <c r="B1928" i="11"/>
  <c r="I1928" i="11" s="1"/>
  <c r="B1929" i="11"/>
  <c r="I1929" i="11" s="1"/>
  <c r="B1930" i="11"/>
  <c r="I1930" i="11" s="1"/>
  <c r="B1931" i="11"/>
  <c r="H1931" i="11" s="1"/>
  <c r="B1932" i="11"/>
  <c r="B1933" i="11"/>
  <c r="I1933" i="11" s="1"/>
  <c r="B1934" i="11"/>
  <c r="I1934" i="11" s="1"/>
  <c r="B1935" i="11"/>
  <c r="I1935" i="11" s="1"/>
  <c r="B1936" i="11"/>
  <c r="I1936" i="11" s="1"/>
  <c r="B1937" i="11"/>
  <c r="I1937" i="11" s="1"/>
  <c r="B1938" i="11"/>
  <c r="I1938" i="11" s="1"/>
  <c r="B1939" i="11"/>
  <c r="I1939" i="11" s="1"/>
  <c r="B1940" i="11"/>
  <c r="I1940" i="11" s="1"/>
  <c r="B1941" i="11"/>
  <c r="I1941" i="11" s="1"/>
  <c r="B1942" i="11"/>
  <c r="I1942" i="11" s="1"/>
  <c r="B1943" i="11"/>
  <c r="I1943" i="11" s="1"/>
  <c r="B1944" i="11"/>
  <c r="B1945" i="11"/>
  <c r="I1945" i="11" s="1"/>
  <c r="B1946" i="11"/>
  <c r="I1946" i="11" s="1"/>
  <c r="B1947" i="11"/>
  <c r="I1947" i="11" s="1"/>
  <c r="B1948" i="11"/>
  <c r="I1948" i="11" s="1"/>
  <c r="B1949" i="11"/>
  <c r="I1949" i="11" s="1"/>
  <c r="B1950" i="11"/>
  <c r="I1950" i="11" s="1"/>
  <c r="B1951" i="11"/>
  <c r="I1951" i="11" s="1"/>
  <c r="B1952" i="11"/>
  <c r="I1952" i="11" s="1"/>
  <c r="B1953" i="11"/>
  <c r="I1953" i="11" s="1"/>
  <c r="B1954" i="11"/>
  <c r="I1954" i="11" s="1"/>
  <c r="B1955" i="11"/>
  <c r="I1955" i="11" s="1"/>
  <c r="B1956" i="11"/>
  <c r="B1957" i="11"/>
  <c r="I1957" i="11" s="1"/>
  <c r="B1958" i="11"/>
  <c r="I1958" i="11" s="1"/>
  <c r="B1959" i="11"/>
  <c r="I1959" i="11" s="1"/>
  <c r="B1960" i="11"/>
  <c r="I1960" i="11" s="1"/>
  <c r="B1961" i="11"/>
  <c r="H1961" i="11" s="1"/>
  <c r="B1962" i="11"/>
  <c r="I1962" i="11" s="1"/>
  <c r="B1963" i="11"/>
  <c r="I1963" i="11" s="1"/>
  <c r="B1964" i="11"/>
  <c r="I1964" i="11" s="1"/>
  <c r="B1965" i="11"/>
  <c r="I1965" i="11" s="1"/>
  <c r="B1966" i="11"/>
  <c r="I1966" i="11" s="1"/>
  <c r="B1967" i="11"/>
  <c r="I1967" i="11" s="1"/>
  <c r="B1968" i="11"/>
  <c r="H1968" i="11" s="1"/>
  <c r="B1969" i="11"/>
  <c r="I1969" i="11" s="1"/>
  <c r="B1970" i="11"/>
  <c r="I1970" i="11" s="1"/>
  <c r="B1971" i="11"/>
  <c r="I1971" i="11" s="1"/>
  <c r="B1972" i="11"/>
  <c r="I1972" i="11" s="1"/>
  <c r="B1973" i="11"/>
  <c r="I1973" i="11" s="1"/>
  <c r="B1974" i="11"/>
  <c r="I1974" i="11" s="1"/>
  <c r="B1975" i="11"/>
  <c r="I1975" i="11" s="1"/>
  <c r="B1976" i="11"/>
  <c r="I1976" i="11" s="1"/>
  <c r="B1977" i="11"/>
  <c r="I1977" i="11" s="1"/>
  <c r="B1978" i="11"/>
  <c r="I1978" i="11" s="1"/>
  <c r="B1979" i="11"/>
  <c r="I1979" i="11" s="1"/>
  <c r="B1980" i="11"/>
  <c r="B1981" i="11"/>
  <c r="I1981" i="11" s="1"/>
  <c r="B1982" i="11"/>
  <c r="I1982" i="11" s="1"/>
  <c r="B1983" i="11"/>
  <c r="I1983" i="11" s="1"/>
  <c r="B1984" i="11"/>
  <c r="I1984" i="11" s="1"/>
  <c r="B1985" i="11"/>
  <c r="H1985" i="11" s="1"/>
  <c r="B1986" i="11"/>
  <c r="I1986" i="11" s="1"/>
  <c r="B1987" i="11"/>
  <c r="I1987" i="11" s="1"/>
  <c r="B1988" i="11"/>
  <c r="I1988" i="11" s="1"/>
  <c r="B1989" i="11"/>
  <c r="I1989" i="11" s="1"/>
  <c r="B1990" i="11"/>
  <c r="I1990" i="11" s="1"/>
  <c r="B1991" i="11"/>
  <c r="I1991" i="11" s="1"/>
  <c r="B1992" i="11"/>
  <c r="H1992" i="11" s="1"/>
  <c r="B1993" i="11"/>
  <c r="I1993" i="11" s="1"/>
  <c r="B1994" i="11"/>
  <c r="I1994" i="11" s="1"/>
  <c r="B1995" i="11"/>
  <c r="I1995" i="11" s="1"/>
  <c r="B1996" i="11"/>
  <c r="I1996" i="11" s="1"/>
  <c r="B1997" i="11"/>
  <c r="I1997" i="11" s="1"/>
  <c r="B1998" i="11"/>
  <c r="I1998" i="11" s="1"/>
  <c r="B1999" i="11"/>
  <c r="I1999" i="11" s="1"/>
  <c r="B2000" i="11"/>
  <c r="I2000" i="11" s="1"/>
  <c r="B2001" i="11"/>
  <c r="I2001" i="11" s="1"/>
  <c r="B2002" i="11"/>
  <c r="I2002" i="11" s="1"/>
  <c r="B2003" i="11"/>
  <c r="I2003" i="11" s="1"/>
  <c r="B934" i="11"/>
  <c r="D973" i="11"/>
  <c r="D972" i="11"/>
  <c r="D971" i="11"/>
  <c r="D968" i="11"/>
  <c r="D967" i="11"/>
  <c r="D966" i="11"/>
  <c r="D965" i="11"/>
  <c r="D964" i="11"/>
  <c r="D962" i="11"/>
  <c r="D961" i="11"/>
  <c r="D959" i="11"/>
  <c r="D958" i="11"/>
  <c r="D956" i="11"/>
  <c r="D955" i="11"/>
  <c r="D954" i="11"/>
  <c r="D953" i="11"/>
  <c r="D952" i="11"/>
  <c r="D950" i="11"/>
  <c r="D948" i="11"/>
  <c r="D947" i="11"/>
  <c r="D946" i="11"/>
  <c r="D945" i="11"/>
  <c r="D944" i="11"/>
  <c r="D943" i="11"/>
  <c r="D942" i="11"/>
  <c r="D938" i="11"/>
  <c r="D937" i="11"/>
  <c r="D936" i="11"/>
  <c r="D935" i="11"/>
  <c r="H1813" i="11" l="1"/>
  <c r="H1517" i="11"/>
  <c r="H1981" i="11"/>
  <c r="H1791" i="11"/>
  <c r="H1493" i="11"/>
  <c r="H1967" i="11"/>
  <c r="H1770" i="11"/>
  <c r="H1469" i="11"/>
  <c r="H1954" i="11"/>
  <c r="H1748" i="11"/>
  <c r="H1445" i="11"/>
  <c r="H1941" i="11"/>
  <c r="H1709" i="11"/>
  <c r="H1417" i="11"/>
  <c r="H1928" i="11"/>
  <c r="H1685" i="11"/>
  <c r="H1383" i="11"/>
  <c r="H1915" i="11"/>
  <c r="H1661" i="11"/>
  <c r="H1354" i="11"/>
  <c r="H1901" i="11"/>
  <c r="H1637" i="11"/>
  <c r="H1320" i="11"/>
  <c r="H1887" i="11"/>
  <c r="H1613" i="11"/>
  <c r="H1291" i="11"/>
  <c r="H1868" i="11"/>
  <c r="H1589" i="11"/>
  <c r="H1259" i="11"/>
  <c r="H1852" i="11"/>
  <c r="H1565" i="11"/>
  <c r="H1080" i="11"/>
  <c r="H1831" i="11"/>
  <c r="H1541" i="11"/>
  <c r="H940" i="11"/>
  <c r="H1202" i="11"/>
  <c r="I1809" i="11"/>
  <c r="I1497" i="11"/>
  <c r="H1730" i="11"/>
  <c r="I1405" i="11"/>
  <c r="H1405" i="11"/>
  <c r="I1381" i="11"/>
  <c r="H1381" i="11"/>
  <c r="I1345" i="11"/>
  <c r="H1345" i="11"/>
  <c r="I1321" i="11"/>
  <c r="H1321" i="11"/>
  <c r="I1309" i="11"/>
  <c r="H1309" i="11"/>
  <c r="I1297" i="11"/>
  <c r="H1297" i="11"/>
  <c r="I1285" i="11"/>
  <c r="H1285" i="11"/>
  <c r="I1237" i="11"/>
  <c r="H1237" i="11"/>
  <c r="I1225" i="11"/>
  <c r="H1225" i="11"/>
  <c r="I1213" i="11"/>
  <c r="H1213" i="11"/>
  <c r="I1201" i="11"/>
  <c r="H1201" i="11"/>
  <c r="I1189" i="11"/>
  <c r="H1189" i="11"/>
  <c r="I1177" i="11"/>
  <c r="H1177" i="11"/>
  <c r="I1165" i="11"/>
  <c r="H1165" i="11"/>
  <c r="I1153" i="11"/>
  <c r="H1153" i="11"/>
  <c r="I1141" i="11"/>
  <c r="H1141" i="11"/>
  <c r="I1129" i="11"/>
  <c r="H1129" i="11"/>
  <c r="I1117" i="11"/>
  <c r="H1117" i="11"/>
  <c r="I1105" i="11"/>
  <c r="H1105" i="11"/>
  <c r="I1093" i="11"/>
  <c r="H1093" i="11"/>
  <c r="I1081" i="11"/>
  <c r="H1081" i="11"/>
  <c r="I1069" i="11"/>
  <c r="H1069" i="11"/>
  <c r="I1057" i="11"/>
  <c r="H1057" i="11"/>
  <c r="I1045" i="11"/>
  <c r="H1045" i="11"/>
  <c r="I1033" i="11"/>
  <c r="H1033" i="11"/>
  <c r="I1021" i="11"/>
  <c r="H1021" i="11"/>
  <c r="I1009" i="11"/>
  <c r="H1009" i="11"/>
  <c r="I997" i="11"/>
  <c r="H997" i="11"/>
  <c r="I985" i="11"/>
  <c r="H985" i="11"/>
  <c r="I973" i="11"/>
  <c r="H973" i="11"/>
  <c r="I961" i="11"/>
  <c r="H961" i="11"/>
  <c r="I948" i="11"/>
  <c r="H948" i="11"/>
  <c r="I936" i="11"/>
  <c r="H936" i="11"/>
  <c r="H1993" i="11"/>
  <c r="H1979" i="11"/>
  <c r="H1966" i="11"/>
  <c r="H1953" i="11"/>
  <c r="H1940" i="11"/>
  <c r="H1927" i="11"/>
  <c r="H1914" i="11"/>
  <c r="H1900" i="11"/>
  <c r="H1886" i="11"/>
  <c r="H1867" i="11"/>
  <c r="H1851" i="11"/>
  <c r="H1830" i="11"/>
  <c r="H1808" i="11"/>
  <c r="H1790" i="11"/>
  <c r="H1769" i="11"/>
  <c r="H1747" i="11"/>
  <c r="H1729" i="11"/>
  <c r="H1707" i="11"/>
  <c r="H1683" i="11"/>
  <c r="H1659" i="11"/>
  <c r="H1635" i="11"/>
  <c r="H1611" i="11"/>
  <c r="H1587" i="11"/>
  <c r="H1563" i="11"/>
  <c r="H1539" i="11"/>
  <c r="H1515" i="11"/>
  <c r="H1491" i="11"/>
  <c r="H1467" i="11"/>
  <c r="H1443" i="11"/>
  <c r="H1412" i="11"/>
  <c r="H1382" i="11"/>
  <c r="H1352" i="11"/>
  <c r="H1318" i="11"/>
  <c r="H1289" i="11"/>
  <c r="H1254" i="11"/>
  <c r="H1194" i="11"/>
  <c r="H1068" i="11"/>
  <c r="I1992" i="11"/>
  <c r="I1775" i="11"/>
  <c r="I1460" i="11"/>
  <c r="H1980" i="11"/>
  <c r="I1980" i="11"/>
  <c r="H1956" i="11"/>
  <c r="I1956" i="11"/>
  <c r="I1944" i="11"/>
  <c r="H1944" i="11"/>
  <c r="H1932" i="11"/>
  <c r="I1932" i="11"/>
  <c r="I1920" i="11"/>
  <c r="H1920" i="11"/>
  <c r="I1896" i="11"/>
  <c r="H1896" i="11"/>
  <c r="I1884" i="11"/>
  <c r="H1884" i="11"/>
  <c r="I1872" i="11"/>
  <c r="H1872" i="11"/>
  <c r="I1860" i="11"/>
  <c r="H1860" i="11"/>
  <c r="I1848" i="11"/>
  <c r="H1848" i="11"/>
  <c r="I1836" i="11"/>
  <c r="H1836" i="11"/>
  <c r="I1824" i="11"/>
  <c r="H1824" i="11"/>
  <c r="I1812" i="11"/>
  <c r="H1812" i="11"/>
  <c r="I1800" i="11"/>
  <c r="H1800" i="11"/>
  <c r="I1788" i="11"/>
  <c r="H1788" i="11"/>
  <c r="I1776" i="11"/>
  <c r="H1776" i="11"/>
  <c r="I1764" i="11"/>
  <c r="H1764" i="11"/>
  <c r="I1752" i="11"/>
  <c r="H1752" i="11"/>
  <c r="I1740" i="11"/>
  <c r="H1740" i="11"/>
  <c r="I1728" i="11"/>
  <c r="H1728" i="11"/>
  <c r="I1716" i="11"/>
  <c r="H1716" i="11"/>
  <c r="I1704" i="11"/>
  <c r="H1704" i="11"/>
  <c r="I1692" i="11"/>
  <c r="H1692" i="11"/>
  <c r="I1680" i="11"/>
  <c r="H1680" i="11"/>
  <c r="I1668" i="11"/>
  <c r="H1668" i="11"/>
  <c r="I1656" i="11"/>
  <c r="H1656" i="11"/>
  <c r="I1644" i="11"/>
  <c r="H1644" i="11"/>
  <c r="I1632" i="11"/>
  <c r="H1632" i="11"/>
  <c r="I1620" i="11"/>
  <c r="H1620" i="11"/>
  <c r="I1608" i="11"/>
  <c r="H1608" i="11"/>
  <c r="I1596" i="11"/>
  <c r="H1596" i="11"/>
  <c r="I1584" i="11"/>
  <c r="H1584" i="11"/>
  <c r="I1572" i="11"/>
  <c r="H1572" i="11"/>
  <c r="I1560" i="11"/>
  <c r="H1560" i="11"/>
  <c r="I1548" i="11"/>
  <c r="H1548" i="11"/>
  <c r="I1536" i="11"/>
  <c r="H1536" i="11"/>
  <c r="I1524" i="11"/>
  <c r="H1524" i="11"/>
  <c r="I1512" i="11"/>
  <c r="H1512" i="11"/>
  <c r="I1500" i="11"/>
  <c r="H1500" i="11"/>
  <c r="I1488" i="11"/>
  <c r="H1488" i="11"/>
  <c r="I1476" i="11"/>
  <c r="H1476" i="11"/>
  <c r="I1464" i="11"/>
  <c r="H1464" i="11"/>
  <c r="I1452" i="11"/>
  <c r="H1452" i="11"/>
  <c r="I1440" i="11"/>
  <c r="H1440" i="11"/>
  <c r="I1428" i="11"/>
  <c r="H1428" i="11"/>
  <c r="I1416" i="11"/>
  <c r="H1416" i="11"/>
  <c r="I1392" i="11"/>
  <c r="H1392" i="11"/>
  <c r="I1368" i="11"/>
  <c r="H1368" i="11"/>
  <c r="I1332" i="11"/>
  <c r="H1332" i="11"/>
  <c r="I1308" i="11"/>
  <c r="H1308" i="11"/>
  <c r="I1296" i="11"/>
  <c r="H1296" i="11"/>
  <c r="I1284" i="11"/>
  <c r="H1284" i="11"/>
  <c r="I1272" i="11"/>
  <c r="H1272" i="11"/>
  <c r="I1260" i="11"/>
  <c r="H1260" i="11"/>
  <c r="I1248" i="11"/>
  <c r="H1248" i="11"/>
  <c r="I1212" i="11"/>
  <c r="H1212" i="11"/>
  <c r="I1200" i="11"/>
  <c r="H1200" i="11"/>
  <c r="I1188" i="11"/>
  <c r="H1188" i="11"/>
  <c r="I1176" i="11"/>
  <c r="H1176" i="11"/>
  <c r="I1164" i="11"/>
  <c r="H1164" i="11"/>
  <c r="I1152" i="11"/>
  <c r="H1152" i="11"/>
  <c r="I1140" i="11"/>
  <c r="H1140" i="11"/>
  <c r="I1128" i="11"/>
  <c r="H1128" i="11"/>
  <c r="I1116" i="11"/>
  <c r="H1116" i="11"/>
  <c r="I1104" i="11"/>
  <c r="H1104" i="11"/>
  <c r="I1092" i="11"/>
  <c r="H1092" i="11"/>
  <c r="I1056" i="11"/>
  <c r="H1056" i="11"/>
  <c r="I1032" i="11"/>
  <c r="H1032" i="11"/>
  <c r="I1008" i="11"/>
  <c r="H1008" i="11"/>
  <c r="I984" i="11"/>
  <c r="H984" i="11"/>
  <c r="H1991" i="11"/>
  <c r="H1978" i="11"/>
  <c r="H1965" i="11"/>
  <c r="H1952" i="11"/>
  <c r="H1939" i="11"/>
  <c r="H1926" i="11"/>
  <c r="H1913" i="11"/>
  <c r="H1899" i="11"/>
  <c r="H1885" i="11"/>
  <c r="H1866" i="11"/>
  <c r="H1850" i="11"/>
  <c r="H1829" i="11"/>
  <c r="H1807" i="11"/>
  <c r="H1789" i="11"/>
  <c r="H1767" i="11"/>
  <c r="H1746" i="11"/>
  <c r="H1724" i="11"/>
  <c r="H1706" i="11"/>
  <c r="H1682" i="11"/>
  <c r="H1658" i="11"/>
  <c r="H1634" i="11"/>
  <c r="H1610" i="11"/>
  <c r="H1586" i="11"/>
  <c r="H1562" i="11"/>
  <c r="H1538" i="11"/>
  <c r="H1514" i="11"/>
  <c r="H1490" i="11"/>
  <c r="H1466" i="11"/>
  <c r="H1441" i="11"/>
  <c r="H1410" i="11"/>
  <c r="H1380" i="11"/>
  <c r="H1346" i="11"/>
  <c r="H1317" i="11"/>
  <c r="H1286" i="11"/>
  <c r="H1250" i="11"/>
  <c r="H1185" i="11"/>
  <c r="H1061" i="11"/>
  <c r="I1985" i="11"/>
  <c r="I1761" i="11"/>
  <c r="I1436" i="11"/>
  <c r="H1859" i="11"/>
  <c r="I1859" i="11"/>
  <c r="H1847" i="11"/>
  <c r="I1847" i="11"/>
  <c r="I1835" i="11"/>
  <c r="H1835" i="11"/>
  <c r="I1295" i="11"/>
  <c r="H1295" i="11"/>
  <c r="I1283" i="11"/>
  <c r="H1283" i="11"/>
  <c r="I1271" i="11"/>
  <c r="H1271" i="11"/>
  <c r="I1235" i="11"/>
  <c r="H1235" i="11"/>
  <c r="I1223" i="11"/>
  <c r="H1223" i="11"/>
  <c r="I1211" i="11"/>
  <c r="H1211" i="11"/>
  <c r="I1199" i="11"/>
  <c r="H1199" i="11"/>
  <c r="I1187" i="11"/>
  <c r="H1187" i="11"/>
  <c r="I1175" i="11"/>
  <c r="H1175" i="11"/>
  <c r="I1139" i="11"/>
  <c r="H1139" i="11"/>
  <c r="I1127" i="11"/>
  <c r="H1127" i="11"/>
  <c r="I1115" i="11"/>
  <c r="H1115" i="11"/>
  <c r="I1103" i="11"/>
  <c r="H1103" i="11"/>
  <c r="I1091" i="11"/>
  <c r="H1091" i="11"/>
  <c r="H1079" i="11"/>
  <c r="I1079" i="11"/>
  <c r="I1067" i="11"/>
  <c r="H1067" i="11"/>
  <c r="I1055" i="11"/>
  <c r="H1055" i="11"/>
  <c r="I1043" i="11"/>
  <c r="H1043" i="11"/>
  <c r="I1031" i="11"/>
  <c r="H1031" i="11"/>
  <c r="I1019" i="11"/>
  <c r="H1019" i="11"/>
  <c r="I1007" i="11"/>
  <c r="H1007" i="11"/>
  <c r="I995" i="11"/>
  <c r="H995" i="11"/>
  <c r="I983" i="11"/>
  <c r="H983" i="11"/>
  <c r="I971" i="11"/>
  <c r="H971" i="11"/>
  <c r="H959" i="11"/>
  <c r="I959" i="11"/>
  <c r="I946" i="11"/>
  <c r="H946" i="11"/>
  <c r="H2003" i="11"/>
  <c r="H1990" i="11"/>
  <c r="H1977" i="11"/>
  <c r="H1964" i="11"/>
  <c r="H1951" i="11"/>
  <c r="H1938" i="11"/>
  <c r="H1925" i="11"/>
  <c r="H1912" i="11"/>
  <c r="H1898" i="11"/>
  <c r="H1881" i="11"/>
  <c r="H1865" i="11"/>
  <c r="H1849" i="11"/>
  <c r="H1827" i="11"/>
  <c r="H1806" i="11"/>
  <c r="H1784" i="11"/>
  <c r="H1766" i="11"/>
  <c r="H1745" i="11"/>
  <c r="H1723" i="11"/>
  <c r="H1705" i="11"/>
  <c r="H1681" i="11"/>
  <c r="H1657" i="11"/>
  <c r="H1633" i="11"/>
  <c r="H1609" i="11"/>
  <c r="H1585" i="11"/>
  <c r="H1561" i="11"/>
  <c r="H1537" i="11"/>
  <c r="H1513" i="11"/>
  <c r="H1489" i="11"/>
  <c r="H1465" i="11"/>
  <c r="H1409" i="11"/>
  <c r="H1378" i="11"/>
  <c r="H1344" i="11"/>
  <c r="H1315" i="11"/>
  <c r="H1281" i="11"/>
  <c r="H1249" i="11"/>
  <c r="H1173" i="11"/>
  <c r="H1044" i="11"/>
  <c r="I1968" i="11"/>
  <c r="I1727" i="11"/>
  <c r="I1403" i="11"/>
  <c r="I1907" i="11"/>
  <c r="H1907" i="11"/>
  <c r="I1895" i="11"/>
  <c r="H1895" i="11"/>
  <c r="I1883" i="11"/>
  <c r="H1883" i="11"/>
  <c r="H1595" i="11"/>
  <c r="I1595" i="11"/>
  <c r="I1583" i="11"/>
  <c r="H1583" i="11"/>
  <c r="H1571" i="11"/>
  <c r="I1571" i="11"/>
  <c r="H1559" i="11"/>
  <c r="I1559" i="11"/>
  <c r="H1547" i="11"/>
  <c r="I1547" i="11"/>
  <c r="H1535" i="11"/>
  <c r="I1535" i="11"/>
  <c r="I1523" i="11"/>
  <c r="H1523" i="11"/>
  <c r="H1511" i="11"/>
  <c r="I1511" i="11"/>
  <c r="H1499" i="11"/>
  <c r="I1499" i="11"/>
  <c r="H1487" i="11"/>
  <c r="I1487" i="11"/>
  <c r="I1475" i="11"/>
  <c r="H1475" i="11"/>
  <c r="I1463" i="11"/>
  <c r="H1463" i="11"/>
  <c r="H1451" i="11"/>
  <c r="I1451" i="11"/>
  <c r="H1439" i="11"/>
  <c r="I1439" i="11"/>
  <c r="H1427" i="11"/>
  <c r="I1427" i="11"/>
  <c r="I1415" i="11"/>
  <c r="H1415" i="11"/>
  <c r="I1355" i="11"/>
  <c r="H1355" i="11"/>
  <c r="I1882" i="11"/>
  <c r="H1882" i="11"/>
  <c r="I1870" i="11"/>
  <c r="H1870" i="11"/>
  <c r="I1858" i="11"/>
  <c r="H1858" i="11"/>
  <c r="I1846" i="11"/>
  <c r="H1846" i="11"/>
  <c r="I1834" i="11"/>
  <c r="H1834" i="11"/>
  <c r="I1822" i="11"/>
  <c r="H1822" i="11"/>
  <c r="I1810" i="11"/>
  <c r="H1810" i="11"/>
  <c r="I1798" i="11"/>
  <c r="H1798" i="11"/>
  <c r="I1786" i="11"/>
  <c r="H1786" i="11"/>
  <c r="I1774" i="11"/>
  <c r="H1774" i="11"/>
  <c r="I1762" i="11"/>
  <c r="H1762" i="11"/>
  <c r="I1750" i="11"/>
  <c r="H1750" i="11"/>
  <c r="I1738" i="11"/>
  <c r="H1738" i="11"/>
  <c r="I1726" i="11"/>
  <c r="H1726" i="11"/>
  <c r="I1714" i="11"/>
  <c r="H1714" i="11"/>
  <c r="I1702" i="11"/>
  <c r="H1702" i="11"/>
  <c r="I1690" i="11"/>
  <c r="H1690" i="11"/>
  <c r="I1678" i="11"/>
  <c r="H1678" i="11"/>
  <c r="I1666" i="11"/>
  <c r="H1666" i="11"/>
  <c r="I1654" i="11"/>
  <c r="H1654" i="11"/>
  <c r="I1642" i="11"/>
  <c r="H1642" i="11"/>
  <c r="I1630" i="11"/>
  <c r="H1630" i="11"/>
  <c r="I1618" i="11"/>
  <c r="H1618" i="11"/>
  <c r="I1606" i="11"/>
  <c r="H1606" i="11"/>
  <c r="I1594" i="11"/>
  <c r="H1594" i="11"/>
  <c r="I1582" i="11"/>
  <c r="H1582" i="11"/>
  <c r="I1570" i="11"/>
  <c r="H1570" i="11"/>
  <c r="I1558" i="11"/>
  <c r="H1558" i="11"/>
  <c r="I1546" i="11"/>
  <c r="H1546" i="11"/>
  <c r="I1534" i="11"/>
  <c r="H1534" i="11"/>
  <c r="I1522" i="11"/>
  <c r="H1522" i="11"/>
  <c r="I1510" i="11"/>
  <c r="H1510" i="11"/>
  <c r="I1498" i="11"/>
  <c r="H1498" i="11"/>
  <c r="I1486" i="11"/>
  <c r="H1486" i="11"/>
  <c r="I1474" i="11"/>
  <c r="H1474" i="11"/>
  <c r="I1462" i="11"/>
  <c r="H1462" i="11"/>
  <c r="I1450" i="11"/>
  <c r="H1450" i="11"/>
  <c r="I1438" i="11"/>
  <c r="H1438" i="11"/>
  <c r="I1426" i="11"/>
  <c r="H1426" i="11"/>
  <c r="I1414" i="11"/>
  <c r="H1414" i="11"/>
  <c r="I1402" i="11"/>
  <c r="H1402" i="11"/>
  <c r="I1390" i="11"/>
  <c r="H1390" i="11"/>
  <c r="I1366" i="11"/>
  <c r="H1366" i="11"/>
  <c r="I1342" i="11"/>
  <c r="H1342" i="11"/>
  <c r="I1306" i="11"/>
  <c r="H1306" i="11"/>
  <c r="I1282" i="11"/>
  <c r="H1282" i="11"/>
  <c r="I1270" i="11"/>
  <c r="H1270" i="11"/>
  <c r="I1258" i="11"/>
  <c r="H1258" i="11"/>
  <c r="I1246" i="11"/>
  <c r="H1246" i="11"/>
  <c r="I1234" i="11"/>
  <c r="H1234" i="11"/>
  <c r="I1210" i="11"/>
  <c r="H1210" i="11"/>
  <c r="I1198" i="11"/>
  <c r="H1198" i="11"/>
  <c r="I1186" i="11"/>
  <c r="H1186" i="11"/>
  <c r="I1174" i="11"/>
  <c r="H1174" i="11"/>
  <c r="I1162" i="11"/>
  <c r="H1162" i="11"/>
  <c r="I1150" i="11"/>
  <c r="H1150" i="11"/>
  <c r="I1138" i="11"/>
  <c r="H1138" i="11"/>
  <c r="I1126" i="11"/>
  <c r="H1126" i="11"/>
  <c r="I1114" i="11"/>
  <c r="H1114" i="11"/>
  <c r="I1078" i="11"/>
  <c r="H1078" i="11"/>
  <c r="I1066" i="11"/>
  <c r="H1066" i="11"/>
  <c r="I1054" i="11"/>
  <c r="H1054" i="11"/>
  <c r="I1042" i="11"/>
  <c r="H1042" i="11"/>
  <c r="I1030" i="11"/>
  <c r="H1030" i="11"/>
  <c r="I1018" i="11"/>
  <c r="H1018" i="11"/>
  <c r="I1006" i="11"/>
  <c r="H1006" i="11"/>
  <c r="I994" i="11"/>
  <c r="H994" i="11"/>
  <c r="I982" i="11"/>
  <c r="H982" i="11"/>
  <c r="I958" i="11"/>
  <c r="H958" i="11"/>
  <c r="I945" i="11"/>
  <c r="H945" i="11"/>
  <c r="H2002" i="11"/>
  <c r="H1989" i="11"/>
  <c r="H1976" i="11"/>
  <c r="H1963" i="11"/>
  <c r="H1950" i="11"/>
  <c r="H1937" i="11"/>
  <c r="H1924" i="11"/>
  <c r="H1911" i="11"/>
  <c r="H1897" i="11"/>
  <c r="H1880" i="11"/>
  <c r="H1864" i="11"/>
  <c r="H1844" i="11"/>
  <c r="H1826" i="11"/>
  <c r="H1805" i="11"/>
  <c r="H1783" i="11"/>
  <c r="H1765" i="11"/>
  <c r="H1743" i="11"/>
  <c r="H1722" i="11"/>
  <c r="H1700" i="11"/>
  <c r="H1676" i="11"/>
  <c r="H1652" i="11"/>
  <c r="H1628" i="11"/>
  <c r="H1604" i="11"/>
  <c r="H1580" i="11"/>
  <c r="H1556" i="11"/>
  <c r="H1532" i="11"/>
  <c r="H1508" i="11"/>
  <c r="H1484" i="11"/>
  <c r="H1434" i="11"/>
  <c r="H1406" i="11"/>
  <c r="H1373" i="11"/>
  <c r="H1343" i="11"/>
  <c r="H1313" i="11"/>
  <c r="H1279" i="11"/>
  <c r="H1247" i="11"/>
  <c r="H1163" i="11"/>
  <c r="H1037" i="11"/>
  <c r="I1961" i="11"/>
  <c r="I1713" i="11"/>
  <c r="I1379" i="11"/>
  <c r="H1811" i="11"/>
  <c r="I1811" i="11"/>
  <c r="H1799" i="11"/>
  <c r="I1799" i="11"/>
  <c r="I1787" i="11"/>
  <c r="H1787" i="11"/>
  <c r="I1749" i="11"/>
  <c r="H1749" i="11"/>
  <c r="I1737" i="11"/>
  <c r="H1737" i="11"/>
  <c r="I1725" i="11"/>
  <c r="H1725" i="11"/>
  <c r="H1137" i="11"/>
  <c r="I1137" i="11"/>
  <c r="I1125" i="11"/>
  <c r="H1125" i="11"/>
  <c r="I1113" i="11"/>
  <c r="H1113" i="11"/>
  <c r="I1101" i="11"/>
  <c r="H1101" i="11"/>
  <c r="I1089" i="11"/>
  <c r="H1089" i="11"/>
  <c r="I1077" i="11"/>
  <c r="H1077" i="11"/>
  <c r="I1065" i="11"/>
  <c r="H1065" i="11"/>
  <c r="I1053" i="11"/>
  <c r="H1053" i="11"/>
  <c r="I1041" i="11"/>
  <c r="H1041" i="11"/>
  <c r="H1029" i="11"/>
  <c r="I1029" i="11"/>
  <c r="I1017" i="11"/>
  <c r="H1017" i="11"/>
  <c r="I1005" i="11"/>
  <c r="H1005" i="11"/>
  <c r="I993" i="11"/>
  <c r="H993" i="11"/>
  <c r="I957" i="11"/>
  <c r="H957" i="11"/>
  <c r="I944" i="11"/>
  <c r="H944" i="11"/>
  <c r="H2001" i="11"/>
  <c r="H1988" i="11"/>
  <c r="H1975" i="11"/>
  <c r="H1962" i="11"/>
  <c r="H1949" i="11"/>
  <c r="H1936" i="11"/>
  <c r="H1923" i="11"/>
  <c r="H1910" i="11"/>
  <c r="H1894" i="11"/>
  <c r="H1879" i="11"/>
  <c r="H1863" i="11"/>
  <c r="H1843" i="11"/>
  <c r="H1825" i="11"/>
  <c r="H1803" i="11"/>
  <c r="H1782" i="11"/>
  <c r="H1760" i="11"/>
  <c r="H1742" i="11"/>
  <c r="H1721" i="11"/>
  <c r="H1698" i="11"/>
  <c r="H1674" i="11"/>
  <c r="H1650" i="11"/>
  <c r="H1626" i="11"/>
  <c r="H1602" i="11"/>
  <c r="H1578" i="11"/>
  <c r="H1554" i="11"/>
  <c r="H1530" i="11"/>
  <c r="H1506" i="11"/>
  <c r="H1482" i="11"/>
  <c r="H1458" i="11"/>
  <c r="H1433" i="11"/>
  <c r="H1404" i="11"/>
  <c r="H1370" i="11"/>
  <c r="H1341" i="11"/>
  <c r="H1307" i="11"/>
  <c r="H1278" i="11"/>
  <c r="H1238" i="11"/>
  <c r="H1151" i="11"/>
  <c r="H1020" i="11"/>
  <c r="I1679" i="11"/>
  <c r="I1797" i="11"/>
  <c r="H1797" i="11"/>
  <c r="I1785" i="11"/>
  <c r="H1785" i="11"/>
  <c r="I1773" i="11"/>
  <c r="H1773" i="11"/>
  <c r="I1485" i="11"/>
  <c r="H1485" i="11"/>
  <c r="H1473" i="11"/>
  <c r="I1473" i="11"/>
  <c r="I1461" i="11"/>
  <c r="H1461" i="11"/>
  <c r="H1449" i="11"/>
  <c r="I1449" i="11"/>
  <c r="I1437" i="11"/>
  <c r="H1437" i="11"/>
  <c r="H1425" i="11"/>
  <c r="I1425" i="11"/>
  <c r="I1413" i="11"/>
  <c r="H1413" i="11"/>
  <c r="H1401" i="11"/>
  <c r="I1401" i="11"/>
  <c r="I1389" i="11"/>
  <c r="H1389" i="11"/>
  <c r="H1377" i="11"/>
  <c r="I1377" i="11"/>
  <c r="I1353" i="11"/>
  <c r="H1353" i="11"/>
  <c r="I1329" i="11"/>
  <c r="H1329" i="11"/>
  <c r="I1293" i="11"/>
  <c r="H1293" i="11"/>
  <c r="I1269" i="11"/>
  <c r="H1269" i="11"/>
  <c r="I1257" i="11"/>
  <c r="H1257" i="11"/>
  <c r="I1245" i="11"/>
  <c r="H1245" i="11"/>
  <c r="I1221" i="11"/>
  <c r="H1221" i="11"/>
  <c r="I1197" i="11"/>
  <c r="H1197" i="11"/>
  <c r="I1161" i="11"/>
  <c r="H1161" i="11"/>
  <c r="I1400" i="11"/>
  <c r="H1400" i="11"/>
  <c r="H1388" i="11"/>
  <c r="I1388" i="11"/>
  <c r="I1376" i="11"/>
  <c r="H1376" i="11"/>
  <c r="I1364" i="11"/>
  <c r="H1364" i="11"/>
  <c r="H1340" i="11"/>
  <c r="I1340" i="11"/>
  <c r="I1316" i="11"/>
  <c r="H1316" i="11"/>
  <c r="I1280" i="11"/>
  <c r="H1280" i="11"/>
  <c r="I1256" i="11"/>
  <c r="H1256" i="11"/>
  <c r="I1244" i="11"/>
  <c r="H1244" i="11"/>
  <c r="I1232" i="11"/>
  <c r="H1232" i="11"/>
  <c r="I1220" i="11"/>
  <c r="H1220" i="11"/>
  <c r="I1208" i="11"/>
  <c r="H1208" i="11"/>
  <c r="I1196" i="11"/>
  <c r="H1196" i="11"/>
  <c r="I1184" i="11"/>
  <c r="H1184" i="11"/>
  <c r="I1172" i="11"/>
  <c r="H1172" i="11"/>
  <c r="I1160" i="11"/>
  <c r="H1160" i="11"/>
  <c r="I1148" i="11"/>
  <c r="H1148" i="11"/>
  <c r="I1136" i="11"/>
  <c r="H1136" i="11"/>
  <c r="I1124" i="11"/>
  <c r="H1124" i="11"/>
  <c r="I1112" i="11"/>
  <c r="H1112" i="11"/>
  <c r="I1100" i="11"/>
  <c r="H1100" i="11"/>
  <c r="I1088" i="11"/>
  <c r="H1088" i="11"/>
  <c r="I1076" i="11"/>
  <c r="H1076" i="11"/>
  <c r="I1064" i="11"/>
  <c r="H1064" i="11"/>
  <c r="I1052" i="11"/>
  <c r="H1052" i="11"/>
  <c r="I1040" i="11"/>
  <c r="H1040" i="11"/>
  <c r="I1028" i="11"/>
  <c r="H1028" i="11"/>
  <c r="I1016" i="11"/>
  <c r="H1016" i="11"/>
  <c r="I1004" i="11"/>
  <c r="H1004" i="11"/>
  <c r="I992" i="11"/>
  <c r="H992" i="11"/>
  <c r="I980" i="11"/>
  <c r="H980" i="11"/>
  <c r="I968" i="11"/>
  <c r="H968" i="11"/>
  <c r="I956" i="11"/>
  <c r="H956" i="11"/>
  <c r="I943" i="11"/>
  <c r="H943" i="11"/>
  <c r="H2000" i="11"/>
  <c r="H1987" i="11"/>
  <c r="H1974" i="11"/>
  <c r="H1948" i="11"/>
  <c r="H1935" i="11"/>
  <c r="H1922" i="11"/>
  <c r="H1909" i="11"/>
  <c r="H1893" i="11"/>
  <c r="H1878" i="11"/>
  <c r="H1862" i="11"/>
  <c r="H1842" i="11"/>
  <c r="H1820" i="11"/>
  <c r="H1802" i="11"/>
  <c r="H1781" i="11"/>
  <c r="H1759" i="11"/>
  <c r="H1741" i="11"/>
  <c r="H1719" i="11"/>
  <c r="H1697" i="11"/>
  <c r="H1673" i="11"/>
  <c r="H1649" i="11"/>
  <c r="H1625" i="11"/>
  <c r="H1601" i="11"/>
  <c r="H1577" i="11"/>
  <c r="H1553" i="11"/>
  <c r="H1529" i="11"/>
  <c r="H1505" i="11"/>
  <c r="H1481" i="11"/>
  <c r="H1457" i="11"/>
  <c r="H1431" i="11"/>
  <c r="H1399" i="11"/>
  <c r="H1369" i="11"/>
  <c r="H1339" i="11"/>
  <c r="H1305" i="11"/>
  <c r="H1275" i="11"/>
  <c r="H1236" i="11"/>
  <c r="H1145" i="11"/>
  <c r="H1013" i="11"/>
  <c r="I1931" i="11"/>
  <c r="I1665" i="11"/>
  <c r="I1319" i="11"/>
  <c r="I1845" i="11"/>
  <c r="H1845" i="11"/>
  <c r="I1833" i="11"/>
  <c r="H1833" i="11"/>
  <c r="I1821" i="11"/>
  <c r="H1821" i="11"/>
  <c r="I1509" i="11"/>
  <c r="H1509" i="11"/>
  <c r="I1699" i="11"/>
  <c r="H1699" i="11"/>
  <c r="I1687" i="11"/>
  <c r="H1687" i="11"/>
  <c r="I1675" i="11"/>
  <c r="H1675" i="11"/>
  <c r="I1663" i="11"/>
  <c r="H1663" i="11"/>
  <c r="I1651" i="11"/>
  <c r="H1651" i="11"/>
  <c r="I1639" i="11"/>
  <c r="H1639" i="11"/>
  <c r="I1627" i="11"/>
  <c r="H1627" i="11"/>
  <c r="I1615" i="11"/>
  <c r="H1615" i="11"/>
  <c r="I1603" i="11"/>
  <c r="H1603" i="11"/>
  <c r="I1591" i="11"/>
  <c r="H1591" i="11"/>
  <c r="I1579" i="11"/>
  <c r="H1579" i="11"/>
  <c r="I1567" i="11"/>
  <c r="H1567" i="11"/>
  <c r="I1555" i="11"/>
  <c r="H1555" i="11"/>
  <c r="I1543" i="11"/>
  <c r="H1543" i="11"/>
  <c r="I1531" i="11"/>
  <c r="H1531" i="11"/>
  <c r="I1519" i="11"/>
  <c r="H1519" i="11"/>
  <c r="I1507" i="11"/>
  <c r="H1507" i="11"/>
  <c r="I1495" i="11"/>
  <c r="H1495" i="11"/>
  <c r="I1483" i="11"/>
  <c r="H1483" i="11"/>
  <c r="I1471" i="11"/>
  <c r="H1471" i="11"/>
  <c r="I1459" i="11"/>
  <c r="H1459" i="11"/>
  <c r="I1447" i="11"/>
  <c r="H1447" i="11"/>
  <c r="I1435" i="11"/>
  <c r="H1435" i="11"/>
  <c r="I1423" i="11"/>
  <c r="H1423" i="11"/>
  <c r="I1411" i="11"/>
  <c r="H1411" i="11"/>
  <c r="I1387" i="11"/>
  <c r="H1387" i="11"/>
  <c r="I1375" i="11"/>
  <c r="H1375" i="11"/>
  <c r="I1363" i="11"/>
  <c r="H1363" i="11"/>
  <c r="I1351" i="11"/>
  <c r="H1351" i="11"/>
  <c r="I1327" i="11"/>
  <c r="H1327" i="11"/>
  <c r="I1303" i="11"/>
  <c r="H1303" i="11"/>
  <c r="I1267" i="11"/>
  <c r="H1267" i="11"/>
  <c r="I1255" i="11"/>
  <c r="H1255" i="11"/>
  <c r="I1243" i="11"/>
  <c r="H1243" i="11"/>
  <c r="I1231" i="11"/>
  <c r="H1231" i="11"/>
  <c r="I1207" i="11"/>
  <c r="H1207" i="11"/>
  <c r="I1195" i="11"/>
  <c r="H1195" i="11"/>
  <c r="I1183" i="11"/>
  <c r="H1183" i="11"/>
  <c r="I1171" i="11"/>
  <c r="H1171" i="11"/>
  <c r="I1159" i="11"/>
  <c r="H1159" i="11"/>
  <c r="I1147" i="11"/>
  <c r="H1147" i="11"/>
  <c r="I1135" i="11"/>
  <c r="H1135" i="11"/>
  <c r="I1099" i="11"/>
  <c r="H1099" i="11"/>
  <c r="I1087" i="11"/>
  <c r="H1087" i="11"/>
  <c r="I1075" i="11"/>
  <c r="H1075" i="11"/>
  <c r="I1063" i="11"/>
  <c r="H1063" i="11"/>
  <c r="I1051" i="11"/>
  <c r="H1051" i="11"/>
  <c r="I1039" i="11"/>
  <c r="H1039" i="11"/>
  <c r="I1027" i="11"/>
  <c r="H1027" i="11"/>
  <c r="I1015" i="11"/>
  <c r="H1015" i="11"/>
  <c r="I1003" i="11"/>
  <c r="H1003" i="11"/>
  <c r="I991" i="11"/>
  <c r="H991" i="11"/>
  <c r="I979" i="11"/>
  <c r="H979" i="11"/>
  <c r="I967" i="11"/>
  <c r="H967" i="11"/>
  <c r="I955" i="11"/>
  <c r="H955" i="11"/>
  <c r="I942" i="11"/>
  <c r="H942" i="11"/>
  <c r="H1999" i="11"/>
  <c r="H1986" i="11"/>
  <c r="H1973" i="11"/>
  <c r="H1960" i="11"/>
  <c r="H1947" i="11"/>
  <c r="H1934" i="11"/>
  <c r="H1921" i="11"/>
  <c r="H1906" i="11"/>
  <c r="H1892" i="11"/>
  <c r="H1877" i="11"/>
  <c r="H1861" i="11"/>
  <c r="H1841" i="11"/>
  <c r="H1819" i="11"/>
  <c r="H1801" i="11"/>
  <c r="H1779" i="11"/>
  <c r="H1758" i="11"/>
  <c r="H1736" i="11"/>
  <c r="H1718" i="11"/>
  <c r="H1695" i="11"/>
  <c r="H1671" i="11"/>
  <c r="H1647" i="11"/>
  <c r="H1623" i="11"/>
  <c r="H1599" i="11"/>
  <c r="H1575" i="11"/>
  <c r="H1551" i="11"/>
  <c r="H1527" i="11"/>
  <c r="H1503" i="11"/>
  <c r="H1479" i="11"/>
  <c r="H1455" i="11"/>
  <c r="H1429" i="11"/>
  <c r="H1397" i="11"/>
  <c r="H1367" i="11"/>
  <c r="H1333" i="11"/>
  <c r="H1304" i="11"/>
  <c r="H1273" i="11"/>
  <c r="H1233" i="11"/>
  <c r="H1133" i="11"/>
  <c r="H996" i="11"/>
  <c r="I1908" i="11"/>
  <c r="I1631" i="11"/>
  <c r="I1442" i="11"/>
  <c r="H1442" i="11"/>
  <c r="I1430" i="11"/>
  <c r="H1430" i="11"/>
  <c r="I1418" i="11"/>
  <c r="H1418" i="11"/>
  <c r="I1394" i="11"/>
  <c r="H1394" i="11"/>
  <c r="I1358" i="11"/>
  <c r="H1358" i="11"/>
  <c r="I1334" i="11"/>
  <c r="H1334" i="11"/>
  <c r="I1322" i="11"/>
  <c r="H1322" i="11"/>
  <c r="I1310" i="11"/>
  <c r="H1310" i="11"/>
  <c r="I1298" i="11"/>
  <c r="H1298" i="11"/>
  <c r="I1274" i="11"/>
  <c r="H1274" i="11"/>
  <c r="I1262" i="11"/>
  <c r="H1262" i="11"/>
  <c r="I1226" i="11"/>
  <c r="H1226" i="11"/>
  <c r="I1214" i="11"/>
  <c r="H1214" i="11"/>
  <c r="I1190" i="11"/>
  <c r="H1190" i="11"/>
  <c r="I1178" i="11"/>
  <c r="H1178" i="11"/>
  <c r="I1166" i="11"/>
  <c r="H1166" i="11"/>
  <c r="I1154" i="11"/>
  <c r="H1154" i="11"/>
  <c r="I1142" i="11"/>
  <c r="H1142" i="11"/>
  <c r="I1130" i="11"/>
  <c r="H1130" i="11"/>
  <c r="I1118" i="11"/>
  <c r="H1118" i="11"/>
  <c r="I1106" i="11"/>
  <c r="H1106" i="11"/>
  <c r="I1094" i="11"/>
  <c r="H1094" i="11"/>
  <c r="I1082" i="11"/>
  <c r="H1082" i="11"/>
  <c r="I1070" i="11"/>
  <c r="H1070" i="11"/>
  <c r="I1058" i="11"/>
  <c r="H1058" i="11"/>
  <c r="I1046" i="11"/>
  <c r="H1046" i="11"/>
  <c r="I1034" i="11"/>
  <c r="H1034" i="11"/>
  <c r="I1022" i="11"/>
  <c r="H1022" i="11"/>
  <c r="I1010" i="11"/>
  <c r="H1010" i="11"/>
  <c r="I998" i="11"/>
  <c r="H998" i="11"/>
  <c r="I986" i="11"/>
  <c r="H986" i="11"/>
  <c r="I974" i="11"/>
  <c r="H974" i="11"/>
  <c r="I962" i="11"/>
  <c r="H962" i="11"/>
  <c r="I950" i="11"/>
  <c r="H950" i="11"/>
  <c r="I937" i="11"/>
  <c r="H937" i="11"/>
  <c r="H1994" i="11"/>
  <c r="H1667" i="11"/>
  <c r="I1667" i="11"/>
  <c r="H1655" i="11"/>
  <c r="I1655" i="11"/>
  <c r="I1643" i="11"/>
  <c r="H1643" i="11"/>
  <c r="I1653" i="11"/>
  <c r="H1653" i="11"/>
  <c r="I1641" i="11"/>
  <c r="H1641" i="11"/>
  <c r="I1629" i="11"/>
  <c r="H1629" i="11"/>
  <c r="H1617" i="11"/>
  <c r="I1617" i="11"/>
  <c r="I1605" i="11"/>
  <c r="H1605" i="11"/>
  <c r="H1593" i="11"/>
  <c r="I1593" i="11"/>
  <c r="I1581" i="11"/>
  <c r="H1581" i="11"/>
  <c r="H1569" i="11"/>
  <c r="I1569" i="11"/>
  <c r="I1557" i="11"/>
  <c r="H1557" i="11"/>
  <c r="H1545" i="11"/>
  <c r="I1545" i="11"/>
  <c r="I1533" i="11"/>
  <c r="H1533" i="11"/>
  <c r="I1398" i="11"/>
  <c r="H1398" i="11"/>
  <c r="I1374" i="11"/>
  <c r="H1374" i="11"/>
  <c r="I1362" i="11"/>
  <c r="H1362" i="11"/>
  <c r="I1350" i="11"/>
  <c r="H1350" i="11"/>
  <c r="I1338" i="11"/>
  <c r="H1338" i="11"/>
  <c r="I1314" i="11"/>
  <c r="H1314" i="11"/>
  <c r="I1290" i="11"/>
  <c r="H1290" i="11"/>
  <c r="I1242" i="11"/>
  <c r="H1242" i="11"/>
  <c r="H1230" i="11"/>
  <c r="I1230" i="11"/>
  <c r="I1218" i="11"/>
  <c r="H1218" i="11"/>
  <c r="I1206" i="11"/>
  <c r="H1206" i="11"/>
  <c r="I1182" i="11"/>
  <c r="H1182" i="11"/>
  <c r="I1170" i="11"/>
  <c r="H1170" i="11"/>
  <c r="I1158" i="11"/>
  <c r="H1158" i="11"/>
  <c r="I1146" i="11"/>
  <c r="H1146" i="11"/>
  <c r="I1134" i="11"/>
  <c r="H1134" i="11"/>
  <c r="I1122" i="11"/>
  <c r="H1122" i="11"/>
  <c r="I1110" i="11"/>
  <c r="H1110" i="11"/>
  <c r="I1098" i="11"/>
  <c r="H1098" i="11"/>
  <c r="H1086" i="11"/>
  <c r="I1086" i="11"/>
  <c r="I1074" i="11"/>
  <c r="H1074" i="11"/>
  <c r="H1062" i="11"/>
  <c r="I1062" i="11"/>
  <c r="H1050" i="11"/>
  <c r="I1050" i="11"/>
  <c r="I1038" i="11"/>
  <c r="H1038" i="11"/>
  <c r="I1026" i="11"/>
  <c r="H1026" i="11"/>
  <c r="I1014" i="11"/>
  <c r="H1014" i="11"/>
  <c r="I1002" i="11"/>
  <c r="H1002" i="11"/>
  <c r="I990" i="11"/>
  <c r="H990" i="11"/>
  <c r="I978" i="11"/>
  <c r="H978" i="11"/>
  <c r="I966" i="11"/>
  <c r="H966" i="11"/>
  <c r="I954" i="11"/>
  <c r="H954" i="11"/>
  <c r="I872" i="11"/>
  <c r="H872" i="11"/>
  <c r="H1998" i="11"/>
  <c r="H1972" i="11"/>
  <c r="H1959" i="11"/>
  <c r="H1946" i="11"/>
  <c r="H1933" i="11"/>
  <c r="H1919" i="11"/>
  <c r="H1905" i="11"/>
  <c r="H1891" i="11"/>
  <c r="H1876" i="11"/>
  <c r="H1856" i="11"/>
  <c r="H1839" i="11"/>
  <c r="H1818" i="11"/>
  <c r="H1796" i="11"/>
  <c r="H1778" i="11"/>
  <c r="H1757" i="11"/>
  <c r="H1735" i="11"/>
  <c r="H1717" i="11"/>
  <c r="H1694" i="11"/>
  <c r="H1670" i="11"/>
  <c r="H1646" i="11"/>
  <c r="H1622" i="11"/>
  <c r="H1598" i="11"/>
  <c r="H1574" i="11"/>
  <c r="H1550" i="11"/>
  <c r="H1526" i="11"/>
  <c r="H1502" i="11"/>
  <c r="H1478" i="11"/>
  <c r="H1454" i="11"/>
  <c r="H1424" i="11"/>
  <c r="H1395" i="11"/>
  <c r="H1365" i="11"/>
  <c r="H1331" i="11"/>
  <c r="H1302" i="11"/>
  <c r="H1268" i="11"/>
  <c r="H1224" i="11"/>
  <c r="H1123" i="11"/>
  <c r="H989" i="11"/>
  <c r="I1607" i="11"/>
  <c r="H1619" i="11"/>
  <c r="I1619" i="11"/>
  <c r="I1869" i="11"/>
  <c r="H1869" i="11"/>
  <c r="I1701" i="11"/>
  <c r="H1701" i="11"/>
  <c r="I1689" i="11"/>
  <c r="H1689" i="11"/>
  <c r="I1677" i="11"/>
  <c r="H1677" i="11"/>
  <c r="I1385" i="11"/>
  <c r="H1385" i="11"/>
  <c r="I1361" i="11"/>
  <c r="H1361" i="11"/>
  <c r="I1349" i="11"/>
  <c r="H1349" i="11"/>
  <c r="I1337" i="11"/>
  <c r="H1337" i="11"/>
  <c r="I1325" i="11"/>
  <c r="H1325" i="11"/>
  <c r="I1301" i="11"/>
  <c r="H1301" i="11"/>
  <c r="H1277" i="11"/>
  <c r="I1277" i="11"/>
  <c r="I1253" i="11"/>
  <c r="H1253" i="11"/>
  <c r="I1241" i="11"/>
  <c r="H1241" i="11"/>
  <c r="I1229" i="11"/>
  <c r="H1229" i="11"/>
  <c r="I1217" i="11"/>
  <c r="H1217" i="11"/>
  <c r="I1205" i="11"/>
  <c r="H1205" i="11"/>
  <c r="I1193" i="11"/>
  <c r="H1193" i="11"/>
  <c r="I1181" i="11"/>
  <c r="H1181" i="11"/>
  <c r="I1169" i="11"/>
  <c r="H1169" i="11"/>
  <c r="I1157" i="11"/>
  <c r="H1157" i="11"/>
  <c r="I1121" i="11"/>
  <c r="H1121" i="11"/>
  <c r="I1109" i="11"/>
  <c r="H1109" i="11"/>
  <c r="I1097" i="11"/>
  <c r="H1097" i="11"/>
  <c r="I1085" i="11"/>
  <c r="H1085" i="11"/>
  <c r="I1073" i="11"/>
  <c r="H1073" i="11"/>
  <c r="I1049" i="11"/>
  <c r="H1049" i="11"/>
  <c r="I1025" i="11"/>
  <c r="H1025" i="11"/>
  <c r="I1001" i="11"/>
  <c r="H1001" i="11"/>
  <c r="I977" i="11"/>
  <c r="H977" i="11"/>
  <c r="I953" i="11"/>
  <c r="H953" i="11"/>
  <c r="H1997" i="11"/>
  <c r="H1984" i="11"/>
  <c r="H1971" i="11"/>
  <c r="H1958" i="11"/>
  <c r="H1945" i="11"/>
  <c r="H1918" i="11"/>
  <c r="H1904" i="11"/>
  <c r="H1890" i="11"/>
  <c r="H1875" i="11"/>
  <c r="H1855" i="11"/>
  <c r="H1838" i="11"/>
  <c r="H1817" i="11"/>
  <c r="H1795" i="11"/>
  <c r="H1777" i="11"/>
  <c r="H1755" i="11"/>
  <c r="H1734" i="11"/>
  <c r="H1712" i="11"/>
  <c r="H1693" i="11"/>
  <c r="H1669" i="11"/>
  <c r="H1645" i="11"/>
  <c r="H1621" i="11"/>
  <c r="H1597" i="11"/>
  <c r="H1573" i="11"/>
  <c r="H1549" i="11"/>
  <c r="H1525" i="11"/>
  <c r="H1501" i="11"/>
  <c r="H1477" i="11"/>
  <c r="H1453" i="11"/>
  <c r="H1422" i="11"/>
  <c r="H1393" i="11"/>
  <c r="H1359" i="11"/>
  <c r="H1330" i="11"/>
  <c r="H1299" i="11"/>
  <c r="H1266" i="11"/>
  <c r="H1222" i="11"/>
  <c r="H1111" i="11"/>
  <c r="H972" i="11"/>
  <c r="I1871" i="11"/>
  <c r="I1576" i="11"/>
  <c r="H1763" i="11"/>
  <c r="I1763" i="11"/>
  <c r="H1751" i="11"/>
  <c r="I1751" i="11"/>
  <c r="I1739" i="11"/>
  <c r="H1739" i="11"/>
  <c r="I1564" i="11"/>
  <c r="H1564" i="11"/>
  <c r="H1024" i="11"/>
  <c r="I1024" i="11"/>
  <c r="I1012" i="11"/>
  <c r="H1012" i="11"/>
  <c r="H1000" i="11"/>
  <c r="I1000" i="11"/>
  <c r="I988" i="11"/>
  <c r="H988" i="11"/>
  <c r="H976" i="11"/>
  <c r="I976" i="11"/>
  <c r="H964" i="11"/>
  <c r="I964" i="11"/>
  <c r="I952" i="11"/>
  <c r="H952" i="11"/>
  <c r="H1996" i="11"/>
  <c r="H1983" i="11"/>
  <c r="H1970" i="11"/>
  <c r="H1957" i="11"/>
  <c r="H1943" i="11"/>
  <c r="H1930" i="11"/>
  <c r="H1917" i="11"/>
  <c r="H1903" i="11"/>
  <c r="H1889" i="11"/>
  <c r="H1874" i="11"/>
  <c r="H1854" i="11"/>
  <c r="H1837" i="11"/>
  <c r="H1815" i="11"/>
  <c r="H1794" i="11"/>
  <c r="H1772" i="11"/>
  <c r="H1754" i="11"/>
  <c r="H1733" i="11"/>
  <c r="H1711" i="11"/>
  <c r="H1688" i="11"/>
  <c r="H1664" i="11"/>
  <c r="H1640" i="11"/>
  <c r="H1616" i="11"/>
  <c r="H1592" i="11"/>
  <c r="H1568" i="11"/>
  <c r="H1544" i="11"/>
  <c r="H1520" i="11"/>
  <c r="H1496" i="11"/>
  <c r="H1472" i="11"/>
  <c r="H1448" i="11"/>
  <c r="H1421" i="11"/>
  <c r="H1391" i="11"/>
  <c r="H1357" i="11"/>
  <c r="H1328" i="11"/>
  <c r="H1294" i="11"/>
  <c r="H1265" i="11"/>
  <c r="H1219" i="11"/>
  <c r="H1102" i="11"/>
  <c r="H965" i="11"/>
  <c r="I1857" i="11"/>
  <c r="I1552" i="11"/>
  <c r="I1149" i="11"/>
  <c r="H1715" i="11"/>
  <c r="I1715" i="11"/>
  <c r="H1703" i="11"/>
  <c r="I1703" i="11"/>
  <c r="I1691" i="11"/>
  <c r="H1691" i="11"/>
  <c r="I1840" i="11"/>
  <c r="H1840" i="11"/>
  <c r="I1828" i="11"/>
  <c r="H1828" i="11"/>
  <c r="H1816" i="11"/>
  <c r="I1816" i="11"/>
  <c r="I1804" i="11"/>
  <c r="H1804" i="11"/>
  <c r="I1792" i="11"/>
  <c r="H1792" i="11"/>
  <c r="I1780" i="11"/>
  <c r="H1780" i="11"/>
  <c r="H1768" i="11"/>
  <c r="I1768" i="11"/>
  <c r="I1756" i="11"/>
  <c r="H1756" i="11"/>
  <c r="I1744" i="11"/>
  <c r="H1744" i="11"/>
  <c r="I1732" i="11"/>
  <c r="H1732" i="11"/>
  <c r="H1720" i="11"/>
  <c r="I1720" i="11"/>
  <c r="I1708" i="11"/>
  <c r="H1708" i="11"/>
  <c r="I1696" i="11"/>
  <c r="H1696" i="11"/>
  <c r="I1684" i="11"/>
  <c r="H1684" i="11"/>
  <c r="H1672" i="11"/>
  <c r="I1672" i="11"/>
  <c r="I1660" i="11"/>
  <c r="H1660" i="11"/>
  <c r="I1648" i="11"/>
  <c r="H1648" i="11"/>
  <c r="I1636" i="11"/>
  <c r="H1636" i="11"/>
  <c r="H1624" i="11"/>
  <c r="I1624" i="11"/>
  <c r="I1612" i="11"/>
  <c r="H1612" i="11"/>
  <c r="I1600" i="11"/>
  <c r="H1600" i="11"/>
  <c r="I1588" i="11"/>
  <c r="H1588" i="11"/>
  <c r="I1540" i="11"/>
  <c r="H1540" i="11"/>
  <c r="I1528" i="11"/>
  <c r="H1528" i="11"/>
  <c r="I1516" i="11"/>
  <c r="H1516" i="11"/>
  <c r="H1504" i="11"/>
  <c r="I1504" i="11"/>
  <c r="I1492" i="11"/>
  <c r="H1492" i="11"/>
  <c r="I1480" i="11"/>
  <c r="H1480" i="11"/>
  <c r="I1468" i="11"/>
  <c r="H1468" i="11"/>
  <c r="H1456" i="11"/>
  <c r="I1456" i="11"/>
  <c r="I1444" i="11"/>
  <c r="H1444" i="11"/>
  <c r="I1432" i="11"/>
  <c r="H1432" i="11"/>
  <c r="I1420" i="11"/>
  <c r="H1420" i="11"/>
  <c r="H1408" i="11"/>
  <c r="I1408" i="11"/>
  <c r="I1396" i="11"/>
  <c r="H1396" i="11"/>
  <c r="H1384" i="11"/>
  <c r="I1384" i="11"/>
  <c r="I1372" i="11"/>
  <c r="H1372" i="11"/>
  <c r="H1360" i="11"/>
  <c r="I1360" i="11"/>
  <c r="I1348" i="11"/>
  <c r="H1348" i="11"/>
  <c r="H1336" i="11"/>
  <c r="I1336" i="11"/>
  <c r="I1324" i="11"/>
  <c r="H1324" i="11"/>
  <c r="H1312" i="11"/>
  <c r="I1312" i="11"/>
  <c r="I1300" i="11"/>
  <c r="H1300" i="11"/>
  <c r="H1288" i="11"/>
  <c r="I1288" i="11"/>
  <c r="I1276" i="11"/>
  <c r="H1276" i="11"/>
  <c r="H1264" i="11"/>
  <c r="I1264" i="11"/>
  <c r="H1252" i="11"/>
  <c r="I1252" i="11"/>
  <c r="I1240" i="11"/>
  <c r="H1240" i="11"/>
  <c r="H1228" i="11"/>
  <c r="I1228" i="11"/>
  <c r="I1216" i="11"/>
  <c r="H1216" i="11"/>
  <c r="H1204" i="11"/>
  <c r="I1204" i="11"/>
  <c r="H1192" i="11"/>
  <c r="I1192" i="11"/>
  <c r="H1180" i="11"/>
  <c r="I1180" i="11"/>
  <c r="H1168" i="11"/>
  <c r="I1168" i="11"/>
  <c r="I1156" i="11"/>
  <c r="H1156" i="11"/>
  <c r="H1144" i="11"/>
  <c r="I1144" i="11"/>
  <c r="I1132" i="11"/>
  <c r="H1132" i="11"/>
  <c r="H1120" i="11"/>
  <c r="I1120" i="11"/>
  <c r="H1108" i="11"/>
  <c r="I1108" i="11"/>
  <c r="I1096" i="11"/>
  <c r="H1096" i="11"/>
  <c r="H1084" i="11"/>
  <c r="I1084" i="11"/>
  <c r="I1072" i="11"/>
  <c r="H1072" i="11"/>
  <c r="H1060" i="11"/>
  <c r="I1060" i="11"/>
  <c r="H1048" i="11"/>
  <c r="I1048" i="11"/>
  <c r="I1407" i="11"/>
  <c r="H1407" i="11"/>
  <c r="I1371" i="11"/>
  <c r="H1371" i="11"/>
  <c r="I1347" i="11"/>
  <c r="H1347" i="11"/>
  <c r="I1335" i="11"/>
  <c r="H1335" i="11"/>
  <c r="I1323" i="11"/>
  <c r="H1323" i="11"/>
  <c r="I1311" i="11"/>
  <c r="H1311" i="11"/>
  <c r="I1287" i="11"/>
  <c r="H1287" i="11"/>
  <c r="I1263" i="11"/>
  <c r="H1263" i="11"/>
  <c r="I1251" i="11"/>
  <c r="H1251" i="11"/>
  <c r="I1239" i="11"/>
  <c r="H1239" i="11"/>
  <c r="I1227" i="11"/>
  <c r="H1227" i="11"/>
  <c r="I1215" i="11"/>
  <c r="H1215" i="11"/>
  <c r="I1203" i="11"/>
  <c r="H1203" i="11"/>
  <c r="I1191" i="11"/>
  <c r="H1191" i="11"/>
  <c r="I1179" i="11"/>
  <c r="H1179" i="11"/>
  <c r="I1167" i="11"/>
  <c r="H1167" i="11"/>
  <c r="I1155" i="11"/>
  <c r="H1155" i="11"/>
  <c r="I1143" i="11"/>
  <c r="H1143" i="11"/>
  <c r="I1131" i="11"/>
  <c r="H1131" i="11"/>
  <c r="I1119" i="11"/>
  <c r="H1119" i="11"/>
  <c r="I1107" i="11"/>
  <c r="H1107" i="11"/>
  <c r="I1095" i="11"/>
  <c r="H1095" i="11"/>
  <c r="I1083" i="11"/>
  <c r="H1083" i="11"/>
  <c r="I1071" i="11"/>
  <c r="H1071" i="11"/>
  <c r="I1059" i="11"/>
  <c r="H1059" i="11"/>
  <c r="I1047" i="11"/>
  <c r="H1047" i="11"/>
  <c r="I1035" i="11"/>
  <c r="H1035" i="11"/>
  <c r="I1023" i="11"/>
  <c r="H1023" i="11"/>
  <c r="I1011" i="11"/>
  <c r="H1011" i="11"/>
  <c r="I999" i="11"/>
  <c r="H999" i="11"/>
  <c r="I987" i="11"/>
  <c r="H987" i="11"/>
  <c r="I975" i="11"/>
  <c r="H975" i="11"/>
  <c r="I963" i="11"/>
  <c r="H963" i="11"/>
  <c r="I938" i="11"/>
  <c r="H938" i="11"/>
  <c r="H1995" i="11"/>
  <c r="H1982" i="11"/>
  <c r="H1969" i="11"/>
  <c r="H1955" i="11"/>
  <c r="H1942" i="11"/>
  <c r="H1929" i="11"/>
  <c r="H1916" i="11"/>
  <c r="H1902" i="11"/>
  <c r="H1888" i="11"/>
  <c r="H1873" i="11"/>
  <c r="H1853" i="11"/>
  <c r="H1832" i="11"/>
  <c r="H1814" i="11"/>
  <c r="H1793" i="11"/>
  <c r="H1771" i="11"/>
  <c r="H1753" i="11"/>
  <c r="H1731" i="11"/>
  <c r="H1710" i="11"/>
  <c r="H1686" i="11"/>
  <c r="H1662" i="11"/>
  <c r="H1638" i="11"/>
  <c r="H1614" i="11"/>
  <c r="H1590" i="11"/>
  <c r="H1566" i="11"/>
  <c r="H1542" i="11"/>
  <c r="H1518" i="11"/>
  <c r="H1494" i="11"/>
  <c r="H1470" i="11"/>
  <c r="H1446" i="11"/>
  <c r="H1419" i="11"/>
  <c r="H1386" i="11"/>
  <c r="H1356" i="11"/>
  <c r="H1326" i="11"/>
  <c r="H1292" i="11"/>
  <c r="H1261" i="11"/>
  <c r="H1209" i="11"/>
  <c r="H1090" i="11"/>
  <c r="H947" i="11"/>
  <c r="I1823" i="11"/>
  <c r="I1521" i="11"/>
  <c r="I1036" i="11"/>
  <c r="H935" i="11"/>
  <c r="B929" i="11" l="1"/>
  <c r="B928" i="11"/>
  <c r="B927" i="11" l="1"/>
  <c r="B852" i="11" l="1"/>
  <c r="I852" i="11" s="1"/>
  <c r="B926" i="11"/>
  <c r="H852" i="11" l="1"/>
  <c r="B925" i="11" l="1"/>
  <c r="B924" i="11"/>
  <c r="I858" i="11" l="1"/>
  <c r="H858" i="11"/>
  <c r="B923" i="11" l="1"/>
  <c r="I844" i="11" l="1"/>
  <c r="H844" i="11"/>
  <c r="B920" i="11" l="1"/>
  <c r="I920" i="11" s="1"/>
  <c r="B919" i="11"/>
  <c r="I919" i="11" s="1"/>
  <c r="B918" i="11"/>
  <c r="H918" i="11" s="1"/>
  <c r="H920" i="11" l="1"/>
  <c r="H919" i="11"/>
  <c r="I918" i="11"/>
  <c r="B921" i="11" l="1"/>
  <c r="B917" i="11" l="1"/>
  <c r="H917" i="11" s="1"/>
  <c r="D916" i="11"/>
  <c r="B916" i="11"/>
  <c r="I916" i="11" s="1"/>
  <c r="D915" i="11"/>
  <c r="B915" i="11"/>
  <c r="H915" i="11" s="1"/>
  <c r="B3" i="11"/>
  <c r="I917" i="11" l="1"/>
  <c r="H916" i="11"/>
  <c r="I915" i="11"/>
  <c r="B912" i="11"/>
  <c r="I912" i="11" s="1"/>
  <c r="D912" i="11"/>
  <c r="D909" i="11"/>
  <c r="H912" i="11" l="1"/>
  <c r="B786" i="11"/>
  <c r="I786" i="11" s="1"/>
  <c r="B911" i="11"/>
  <c r="H911" i="11" s="1"/>
  <c r="B909" i="11"/>
  <c r="H909" i="11" s="1"/>
  <c r="D910" i="11"/>
  <c r="B910" i="11"/>
  <c r="H910" i="11" s="1"/>
  <c r="D880" i="11"/>
  <c r="B880" i="11"/>
  <c r="B878" i="11"/>
  <c r="D908" i="11"/>
  <c r="B908" i="11"/>
  <c r="H908" i="11" s="1"/>
  <c r="D907" i="11"/>
  <c r="B907" i="11"/>
  <c r="I907" i="11" s="1"/>
  <c r="B906" i="11"/>
  <c r="H906" i="11" s="1"/>
  <c r="D905" i="11"/>
  <c r="B905" i="11"/>
  <c r="I905" i="11" s="1"/>
  <c r="H786" i="11" l="1"/>
  <c r="I911" i="11"/>
  <c r="I909" i="11"/>
  <c r="I910" i="11"/>
  <c r="I880" i="11"/>
  <c r="H880" i="11"/>
  <c r="H907" i="11"/>
  <c r="I908" i="11"/>
  <c r="H905" i="11"/>
  <c r="I906" i="11"/>
  <c r="D904" i="11" l="1"/>
  <c r="B904" i="11"/>
  <c r="I904" i="11" s="1"/>
  <c r="H904" i="11" l="1"/>
  <c r="D415" i="11" l="1"/>
  <c r="D822" i="11"/>
  <c r="B822" i="11"/>
  <c r="I822" i="11" s="1"/>
  <c r="D782" i="11"/>
  <c r="B782" i="11"/>
  <c r="I782" i="11" s="1"/>
  <c r="B762" i="11"/>
  <c r="H762" i="11" s="1"/>
  <c r="D835" i="11"/>
  <c r="B835" i="11"/>
  <c r="D848" i="11"/>
  <c r="B848" i="11"/>
  <c r="B759" i="11"/>
  <c r="H759" i="11" s="1"/>
  <c r="D759" i="11"/>
  <c r="B825" i="11"/>
  <c r="I825" i="11" s="1"/>
  <c r="D825" i="11"/>
  <c r="D798" i="11"/>
  <c r="B798" i="11"/>
  <c r="I798" i="11" s="1"/>
  <c r="D745" i="11"/>
  <c r="B745" i="11"/>
  <c r="I745" i="11" s="1"/>
  <c r="H822" i="11" l="1"/>
  <c r="I762" i="11"/>
  <c r="H782" i="11"/>
  <c r="I835" i="11"/>
  <c r="H835" i="11"/>
  <c r="I848" i="11"/>
  <c r="H848" i="11"/>
  <c r="I759" i="11"/>
  <c r="H825" i="11"/>
  <c r="H745" i="11"/>
  <c r="H798" i="11"/>
  <c r="D768" i="11"/>
  <c r="B899" i="11"/>
  <c r="H888" i="11"/>
  <c r="I888" i="11"/>
  <c r="B851" i="11"/>
  <c r="D854" i="11"/>
  <c r="B867" i="11"/>
  <c r="D878" i="11"/>
  <c r="B814" i="11"/>
  <c r="B809" i="11"/>
  <c r="B797" i="11"/>
  <c r="B761" i="11"/>
  <c r="B831" i="11"/>
  <c r="B857" i="11"/>
  <c r="B785" i="11"/>
  <c r="I814" i="11" l="1"/>
  <c r="I867" i="11"/>
  <c r="I797" i="11"/>
  <c r="I809" i="11"/>
  <c r="I851" i="11"/>
  <c r="I761" i="11"/>
  <c r="I899" i="11"/>
  <c r="H785" i="11"/>
  <c r="I857" i="11"/>
  <c r="I831" i="11"/>
  <c r="H851" i="11"/>
  <c r="H899" i="11"/>
  <c r="H867" i="11"/>
  <c r="H814" i="11"/>
  <c r="H809" i="11"/>
  <c r="H797" i="11"/>
  <c r="H761" i="11"/>
  <c r="H831" i="11"/>
  <c r="H857" i="11"/>
  <c r="I785" i="11"/>
  <c r="D879" i="11" l="1"/>
  <c r="B747" i="11"/>
  <c r="B832" i="11" l="1"/>
  <c r="I832" i="11" l="1"/>
  <c r="H832" i="11"/>
  <c r="D865" i="11"/>
  <c r="B715" i="11"/>
  <c r="D715" i="11"/>
  <c r="B700" i="11"/>
  <c r="B658" i="11"/>
  <c r="B690" i="11"/>
  <c r="D687" i="11"/>
  <c r="D676" i="11"/>
  <c r="B676" i="11"/>
  <c r="D706" i="11"/>
  <c r="B706" i="11"/>
  <c r="H700" i="11" l="1"/>
  <c r="H658" i="11"/>
  <c r="I706" i="11"/>
  <c r="I690" i="11"/>
  <c r="I700" i="11"/>
  <c r="I658" i="11"/>
  <c r="H690" i="11"/>
  <c r="I676" i="11"/>
  <c r="H676" i="11"/>
  <c r="H706" i="11"/>
  <c r="B723" i="11"/>
  <c r="B893" i="11"/>
  <c r="B866" i="11"/>
  <c r="B751" i="11"/>
  <c r="B775" i="11"/>
  <c r="B687" i="11"/>
  <c r="B737" i="11"/>
  <c r="B730" i="11"/>
  <c r="B655" i="11"/>
  <c r="B704" i="11"/>
  <c r="D708" i="11"/>
  <c r="D644" i="11"/>
  <c r="B873" i="11"/>
  <c r="I775" i="11" l="1"/>
  <c r="I737" i="11"/>
  <c r="I687" i="11"/>
  <c r="I751" i="11"/>
  <c r="I866" i="11"/>
  <c r="I893" i="11"/>
  <c r="H723" i="11"/>
  <c r="I723" i="11"/>
  <c r="H893" i="11"/>
  <c r="H866" i="11"/>
  <c r="H751" i="11"/>
  <c r="H775" i="11"/>
  <c r="H737" i="11"/>
  <c r="H687" i="11"/>
  <c r="H704" i="11"/>
  <c r="I704" i="11"/>
  <c r="H655" i="11"/>
  <c r="I655" i="11"/>
  <c r="H730" i="11"/>
  <c r="I730" i="11"/>
  <c r="D649" i="11"/>
  <c r="D659" i="11"/>
  <c r="B659" i="11"/>
  <c r="D626" i="11"/>
  <c r="B626" i="11"/>
  <c r="D634" i="11"/>
  <c r="B634" i="11"/>
  <c r="D671" i="11"/>
  <c r="B384" i="11"/>
  <c r="I603" i="11"/>
  <c r="H599" i="11"/>
  <c r="H501" i="11"/>
  <c r="D828" i="11"/>
  <c r="D820" i="11"/>
  <c r="D841" i="11"/>
  <c r="D829" i="11"/>
  <c r="D808" i="11"/>
  <c r="D813" i="11"/>
  <c r="D902" i="11"/>
  <c r="D877" i="11"/>
  <c r="D721" i="11"/>
  <c r="D807" i="11"/>
  <c r="D774" i="11"/>
  <c r="D836" i="11"/>
  <c r="D806" i="11"/>
  <c r="D901" i="11"/>
  <c r="D815" i="11"/>
  <c r="D796" i="11"/>
  <c r="D830" i="11"/>
  <c r="D812" i="11"/>
  <c r="D821" i="11"/>
  <c r="D783" i="11"/>
  <c r="D781" i="11"/>
  <c r="D780" i="11"/>
  <c r="D773" i="11"/>
  <c r="D772" i="11"/>
  <c r="D805" i="11"/>
  <c r="D771" i="11"/>
  <c r="D697" i="11"/>
  <c r="D804" i="11"/>
  <c r="D758" i="11"/>
  <c r="D799" i="11"/>
  <c r="D757" i="11"/>
  <c r="D793" i="11"/>
  <c r="D792" i="11"/>
  <c r="D791" i="11"/>
  <c r="D770" i="11"/>
  <c r="D810" i="11"/>
  <c r="D765" i="11"/>
  <c r="D779" i="11"/>
  <c r="D769" i="11"/>
  <c r="D819" i="11"/>
  <c r="D790" i="11"/>
  <c r="D824" i="11"/>
  <c r="D789" i="11"/>
  <c r="D787" i="11"/>
  <c r="D755" i="11"/>
  <c r="D850" i="11"/>
  <c r="D855" i="11"/>
  <c r="D767" i="11"/>
  <c r="D750" i="11"/>
  <c r="D843" i="11"/>
  <c r="D749" i="11"/>
  <c r="D729" i="11"/>
  <c r="D728" i="11"/>
  <c r="D720" i="11"/>
  <c r="D748" i="11"/>
  <c r="D727" i="11"/>
  <c r="D881" i="11"/>
  <c r="D747" i="11"/>
  <c r="D726" i="11"/>
  <c r="D840" i="11"/>
  <c r="D778" i="11"/>
  <c r="D744" i="11"/>
  <c r="D717" i="11"/>
  <c r="D699" i="11"/>
  <c r="D764" i="11"/>
  <c r="D703" i="11"/>
  <c r="D716" i="11"/>
  <c r="D900" i="11"/>
  <c r="D897" i="11"/>
  <c r="D886" i="11"/>
  <c r="D834" i="11"/>
  <c r="D837" i="11"/>
  <c r="D696" i="11"/>
  <c r="D695" i="11"/>
  <c r="D823" i="11"/>
  <c r="D713" i="11"/>
  <c r="D722" i="11"/>
  <c r="D705" i="11"/>
  <c r="D801" i="11"/>
  <c r="D685" i="11"/>
  <c r="D870" i="11"/>
  <c r="D777" i="11"/>
  <c r="D712" i="11"/>
  <c r="D711" i="11"/>
  <c r="D693" i="11"/>
  <c r="D692" i="11"/>
  <c r="D694" i="11"/>
  <c r="D684" i="11"/>
  <c r="D689" i="11"/>
  <c r="D802" i="11"/>
  <c r="D731" i="11"/>
  <c r="D652" i="11"/>
  <c r="D651" i="11"/>
  <c r="D643" i="11"/>
  <c r="D753" i="11"/>
  <c r="D734" i="11"/>
  <c r="D894" i="11"/>
  <c r="D784" i="11"/>
  <c r="D760" i="11"/>
  <c r="D672" i="11"/>
  <c r="D650" i="11"/>
  <c r="D662" i="11"/>
  <c r="D873" i="11"/>
  <c r="D800" i="11"/>
  <c r="D661" i="11"/>
  <c r="D648" i="11"/>
  <c r="D647" i="11"/>
  <c r="D625" i="11"/>
  <c r="D646" i="11"/>
  <c r="D818" i="11"/>
  <c r="D674" i="11"/>
  <c r="D677" i="11"/>
  <c r="D673" i="11"/>
  <c r="D667" i="11"/>
  <c r="D859" i="11"/>
  <c r="D887" i="11"/>
  <c r="D660" i="11"/>
  <c r="D627" i="11"/>
  <c r="D838" i="11"/>
  <c r="D612" i="11"/>
  <c r="D669" i="11"/>
  <c r="D681" i="11"/>
  <c r="D615" i="11"/>
  <c r="D613" i="11"/>
  <c r="D633" i="11"/>
  <c r="D725" i="11"/>
  <c r="D623" i="11"/>
  <c r="D675" i="11"/>
  <c r="D670" i="11"/>
  <c r="D733" i="11"/>
  <c r="D637" i="11"/>
  <c r="D585" i="11"/>
  <c r="D740" i="11"/>
  <c r="D869" i="11"/>
  <c r="D847" i="11"/>
  <c r="D732" i="11"/>
  <c r="D664" i="11"/>
  <c r="D631" i="11"/>
  <c r="D642" i="11"/>
  <c r="D624" i="11"/>
  <c r="D641" i="11"/>
  <c r="D611" i="11"/>
  <c r="D578" i="11"/>
  <c r="D592" i="11"/>
  <c r="D583" i="11"/>
  <c r="D738" i="11"/>
  <c r="D678" i="11"/>
  <c r="D653" i="11"/>
  <c r="D605" i="11"/>
  <c r="D621" i="11"/>
  <c r="D594" i="11"/>
  <c r="D558" i="11"/>
  <c r="D645" i="11"/>
  <c r="D616" i="11"/>
  <c r="D766" i="11"/>
  <c r="D686" i="11"/>
  <c r="D559" i="11"/>
  <c r="D560" i="11"/>
  <c r="D636" i="11"/>
  <c r="D614" i="11"/>
  <c r="D826" i="11"/>
  <c r="D817" i="11"/>
  <c r="D816" i="11"/>
  <c r="D795" i="11"/>
  <c r="D763" i="11"/>
  <c r="D743" i="11"/>
  <c r="D839" i="11"/>
  <c r="D552" i="11"/>
  <c r="D656" i="11"/>
  <c r="D574" i="11"/>
  <c r="D581" i="11"/>
  <c r="D568" i="11"/>
  <c r="D620" i="11"/>
  <c r="D565" i="11"/>
  <c r="D657" i="11"/>
  <c r="D604" i="11"/>
  <c r="D903" i="11"/>
  <c r="D601" i="11"/>
  <c r="D679" i="11"/>
  <c r="D577" i="11"/>
  <c r="D666" i="11"/>
  <c r="D557" i="11"/>
  <c r="D682" i="11"/>
  <c r="D561" i="11"/>
  <c r="D553" i="11"/>
  <c r="D556" i="11"/>
  <c r="D570" i="11"/>
  <c r="D640" i="11"/>
  <c r="D860" i="11"/>
  <c r="D735" i="11"/>
  <c r="D861" i="11"/>
  <c r="D593" i="11"/>
  <c r="D571" i="11"/>
  <c r="D541" i="11"/>
  <c r="D833" i="11"/>
  <c r="D741" i="11"/>
  <c r="D665" i="11"/>
  <c r="D524" i="11"/>
  <c r="D892" i="11"/>
  <c r="D742" i="11"/>
  <c r="D610" i="11"/>
  <c r="D680" i="11"/>
  <c r="D547" i="11"/>
  <c r="D535" i="11"/>
  <c r="D545" i="11"/>
  <c r="D533" i="11"/>
  <c r="D523" i="11"/>
  <c r="D588" i="11"/>
  <c r="D543" i="11"/>
  <c r="D521" i="11"/>
  <c r="D597" i="11"/>
  <c r="D510" i="11"/>
  <c r="D507" i="11"/>
  <c r="D514" i="11"/>
  <c r="D567" i="11"/>
  <c r="D506" i="11"/>
  <c r="D498" i="11"/>
  <c r="D617" i="11"/>
  <c r="D509" i="11"/>
  <c r="D575" i="11"/>
  <c r="D505" i="11"/>
  <c r="D485" i="11"/>
  <c r="D538" i="11"/>
  <c r="D530" i="11"/>
  <c r="D519" i="11"/>
  <c r="D500" i="11"/>
  <c r="D492" i="11"/>
  <c r="D619" i="11"/>
  <c r="D564" i="11"/>
  <c r="D586" i="11"/>
  <c r="D502" i="11"/>
  <c r="D635" i="11"/>
  <c r="D632" i="11"/>
  <c r="D590" i="11"/>
  <c r="D512" i="11"/>
  <c r="D479" i="11"/>
  <c r="D445" i="11"/>
  <c r="D638" i="11"/>
  <c r="D607" i="11"/>
  <c r="D539" i="11"/>
  <c r="D511" i="11"/>
  <c r="D508" i="11"/>
  <c r="D863" i="11"/>
  <c r="D608" i="11"/>
  <c r="D602" i="11"/>
  <c r="D600" i="11"/>
  <c r="D587" i="11"/>
  <c r="D598" i="11"/>
  <c r="D569" i="11"/>
  <c r="D515" i="11"/>
  <c r="D589" i="11"/>
  <c r="D566" i="11"/>
  <c r="D609" i="11"/>
  <c r="D576" i="11"/>
  <c r="D572" i="11"/>
  <c r="D542" i="11"/>
  <c r="D495" i="11"/>
  <c r="D584" i="11"/>
  <c r="D481" i="11"/>
  <c r="D478" i="11"/>
  <c r="D596" i="11"/>
  <c r="D595" i="11"/>
  <c r="D591" i="11"/>
  <c r="D403" i="11"/>
  <c r="D573" i="11"/>
  <c r="D491" i="11"/>
  <c r="D868" i="11"/>
  <c r="D862" i="11"/>
  <c r="D513" i="11"/>
  <c r="D476" i="11"/>
  <c r="D474" i="11"/>
  <c r="D546" i="11"/>
  <c r="D534" i="11"/>
  <c r="D525" i="11"/>
  <c r="D518" i="11"/>
  <c r="D453" i="11"/>
  <c r="D421" i="11"/>
  <c r="D430" i="11"/>
  <c r="D460" i="11"/>
  <c r="D448" i="11"/>
  <c r="D549" i="11"/>
  <c r="D537" i="11"/>
  <c r="D526" i="11"/>
  <c r="D482" i="11"/>
  <c r="D472" i="11"/>
  <c r="D550" i="11"/>
  <c r="D555" i="11"/>
  <c r="D527" i="11"/>
  <c r="D499" i="11"/>
  <c r="D639" i="11"/>
  <c r="D459" i="11"/>
  <c r="D497" i="11"/>
  <c r="D454" i="11"/>
  <c r="D458" i="11"/>
  <c r="D483" i="11"/>
  <c r="D465" i="11"/>
  <c r="D464" i="11"/>
  <c r="D462" i="11"/>
  <c r="D540" i="11"/>
  <c r="D531" i="11"/>
  <c r="D520" i="11"/>
  <c r="D456" i="11"/>
  <c r="D444" i="11"/>
  <c r="D450" i="11"/>
  <c r="D463" i="11"/>
  <c r="D471" i="11"/>
  <c r="D432" i="11"/>
  <c r="D383" i="11"/>
  <c r="D446" i="11"/>
  <c r="D548" i="11"/>
  <c r="D536" i="11"/>
  <c r="D466" i="11"/>
  <c r="D439" i="11"/>
  <c r="D426" i="11"/>
  <c r="D724" i="11"/>
  <c r="D710" i="11"/>
  <c r="D702" i="11"/>
  <c r="D494" i="11"/>
  <c r="D544" i="11"/>
  <c r="D532" i="11"/>
  <c r="D522" i="11"/>
  <c r="D480" i="11"/>
  <c r="D473" i="11"/>
  <c r="D452" i="11"/>
  <c r="D419" i="11"/>
  <c r="D811" i="11"/>
  <c r="D467" i="11"/>
  <c r="D455" i="11"/>
  <c r="D440" i="11"/>
  <c r="D457" i="11"/>
  <c r="D628" i="11"/>
  <c r="D849" i="11"/>
  <c r="D469" i="11"/>
  <c r="D883" i="11"/>
  <c r="D871" i="11"/>
  <c r="D582" i="11"/>
  <c r="D529" i="11"/>
  <c r="D477" i="11"/>
  <c r="D441" i="11"/>
  <c r="D433" i="11"/>
  <c r="D442" i="11"/>
  <c r="D422" i="11"/>
  <c r="D443" i="11"/>
  <c r="D437" i="11"/>
  <c r="D447" i="11"/>
  <c r="D435" i="11"/>
  <c r="D449" i="11"/>
  <c r="D424" i="11"/>
  <c r="D461" i="11"/>
  <c r="D436" i="11"/>
  <c r="D451" i="11"/>
  <c r="D417" i="11"/>
  <c r="D416" i="11"/>
  <c r="D406" i="11"/>
  <c r="D468" i="11"/>
  <c r="D413" i="11"/>
  <c r="D409" i="11"/>
  <c r="D423" i="11"/>
  <c r="D414" i="11"/>
  <c r="D707" i="11"/>
  <c r="D698" i="11"/>
  <c r="D691" i="11"/>
  <c r="D397" i="11"/>
  <c r="D363" i="11"/>
  <c r="D411" i="11"/>
  <c r="D412" i="11"/>
  <c r="D418" i="11"/>
  <c r="D405" i="11"/>
  <c r="D428" i="11"/>
  <c r="D407" i="11"/>
  <c r="D399" i="11"/>
  <c r="D408" i="11"/>
  <c r="D400" i="11"/>
  <c r="D386" i="11"/>
  <c r="D394" i="11"/>
  <c r="D389" i="11"/>
  <c r="D475" i="11"/>
  <c r="D393" i="11"/>
  <c r="D410" i="11"/>
  <c r="D366" i="11"/>
  <c r="D392" i="11"/>
  <c r="D420" i="11"/>
  <c r="D388" i="11"/>
  <c r="D390" i="11"/>
  <c r="D349" i="11"/>
  <c r="D370" i="11"/>
  <c r="D378" i="11"/>
  <c r="D376" i="11"/>
  <c r="D367" i="11"/>
  <c r="D368" i="11"/>
  <c r="D377" i="11"/>
  <c r="D372" i="11"/>
  <c r="D375" i="11"/>
  <c r="D371" i="11"/>
  <c r="D385" i="11"/>
  <c r="D353" i="11"/>
  <c r="D387" i="11"/>
  <c r="D365" i="11"/>
  <c r="D362" i="11"/>
  <c r="D374" i="11"/>
  <c r="D364" i="11"/>
  <c r="D382" i="11"/>
  <c r="D345" i="11"/>
  <c r="D391" i="11"/>
  <c r="D346" i="11"/>
  <c r="D332" i="11"/>
  <c r="D896" i="11"/>
  <c r="D875" i="11"/>
  <c r="D488" i="11"/>
  <c r="D350" i="11"/>
  <c r="D333" i="11"/>
  <c r="D434" i="11"/>
  <c r="D357" i="11"/>
  <c r="D381" i="11"/>
  <c r="D302" i="11"/>
  <c r="D427" i="11"/>
  <c r="D398" i="11"/>
  <c r="D347" i="11"/>
  <c r="D327" i="11"/>
  <c r="D384" i="11"/>
  <c r="D344" i="11"/>
  <c r="D324" i="11"/>
  <c r="AK12" i="15" s="1"/>
  <c r="D348" i="11"/>
  <c r="D326" i="11"/>
  <c r="D379" i="11"/>
  <c r="D343" i="11"/>
  <c r="D321" i="11"/>
  <c r="D318" i="11"/>
  <c r="D330" i="11"/>
  <c r="D884" i="11"/>
  <c r="D486" i="11"/>
  <c r="D668" i="11"/>
  <c r="D351" i="11"/>
  <c r="D322" i="11"/>
  <c r="D11" i="11"/>
  <c r="D12" i="11"/>
  <c r="D864" i="11"/>
  <c r="D579" i="11"/>
  <c r="D827" i="11"/>
  <c r="D395" i="11"/>
  <c r="D361" i="11"/>
  <c r="D331" i="11"/>
  <c r="D325" i="11"/>
  <c r="D876" i="11"/>
  <c r="D856" i="11"/>
  <c r="D358" i="11"/>
  <c r="D317" i="11"/>
  <c r="D313" i="11"/>
  <c r="D369" i="11"/>
  <c r="D484" i="11"/>
  <c r="D329" i="11"/>
  <c r="D300" i="11"/>
  <c r="D746" i="11"/>
  <c r="D359" i="11"/>
  <c r="D885" i="11"/>
  <c r="D489" i="11"/>
  <c r="D776" i="11"/>
  <c r="D315" i="11"/>
  <c r="D320" i="11"/>
  <c r="D889" i="11"/>
  <c r="D487" i="11"/>
  <c r="D314" i="11"/>
  <c r="D898" i="11"/>
  <c r="D401" i="11"/>
  <c r="D352" i="11"/>
  <c r="D490" i="11"/>
  <c r="D303" i="11"/>
  <c r="D311" i="11"/>
  <c r="D306" i="11"/>
  <c r="D307" i="11"/>
  <c r="D304" i="11"/>
  <c r="D298" i="11"/>
  <c r="D299" i="11"/>
  <c r="D297" i="11"/>
  <c r="D294" i="11"/>
  <c r="D295" i="11"/>
  <c r="D292" i="11"/>
  <c r="D291" i="11"/>
  <c r="D290" i="11"/>
  <c r="D289" i="11"/>
  <c r="D288" i="11"/>
  <c r="D285" i="11"/>
  <c r="D286" i="11"/>
  <c r="D287" i="11"/>
  <c r="D283" i="11"/>
  <c r="D282" i="11"/>
  <c r="D319" i="11"/>
  <c r="D281" i="11"/>
  <c r="D278" i="11"/>
  <c r="D280" i="11"/>
  <c r="D279" i="11"/>
  <c r="D277" i="11"/>
  <c r="D276" i="11"/>
  <c r="D272" i="11"/>
  <c r="D274" i="11"/>
  <c r="D271" i="11"/>
  <c r="D270" i="11"/>
  <c r="D269" i="11"/>
  <c r="D268" i="11"/>
  <c r="D267" i="11"/>
  <c r="D266" i="11"/>
  <c r="D293" i="11"/>
  <c r="D264" i="11"/>
  <c r="D263" i="11"/>
  <c r="D262" i="11"/>
  <c r="D261" i="11"/>
  <c r="D259" i="11"/>
  <c r="D260" i="11"/>
  <c r="D258" i="11"/>
  <c r="D256" i="11"/>
  <c r="D255" i="11"/>
  <c r="D253" i="11"/>
  <c r="D254" i="11"/>
  <c r="D252" i="11"/>
  <c r="D251" i="11"/>
  <c r="D249" i="11"/>
  <c r="D250" i="11"/>
  <c r="D247" i="11"/>
  <c r="D245" i="11"/>
  <c r="D246" i="11"/>
  <c r="D244" i="11"/>
  <c r="D243" i="11"/>
  <c r="D240" i="11"/>
  <c r="D242" i="11"/>
  <c r="D241" i="11"/>
  <c r="D239" i="11"/>
  <c r="D237" i="11"/>
  <c r="D238" i="11"/>
  <c r="D233" i="11"/>
  <c r="D236" i="11"/>
  <c r="D235" i="11"/>
  <c r="D234" i="11"/>
  <c r="D231" i="11"/>
  <c r="D232" i="11"/>
  <c r="D230" i="11"/>
  <c r="D229" i="11"/>
  <c r="D226" i="11"/>
  <c r="D227" i="11"/>
  <c r="D224" i="11"/>
  <c r="D225" i="11"/>
  <c r="D223" i="11"/>
  <c r="D220" i="11"/>
  <c r="D221" i="11"/>
  <c r="D219" i="11"/>
  <c r="D218" i="11"/>
  <c r="D217" i="11"/>
  <c r="D216" i="11"/>
  <c r="D214" i="11"/>
  <c r="D215" i="11"/>
  <c r="D213" i="11"/>
  <c r="D212" i="11"/>
  <c r="D211" i="11"/>
  <c r="D210" i="11"/>
  <c r="D209" i="11"/>
  <c r="D205" i="11"/>
  <c r="D206" i="11"/>
  <c r="D207" i="11"/>
  <c r="D208" i="11"/>
  <c r="D203" i="11"/>
  <c r="D204" i="11"/>
  <c r="D201" i="11"/>
  <c r="D199" i="11"/>
  <c r="D200" i="11"/>
  <c r="D198" i="11"/>
  <c r="D197" i="11"/>
  <c r="D196" i="11"/>
  <c r="D195" i="11"/>
  <c r="D194" i="11"/>
  <c r="D193" i="11"/>
  <c r="D192" i="11"/>
  <c r="D191" i="11"/>
  <c r="D189" i="11"/>
  <c r="D190" i="11"/>
  <c r="D188" i="11"/>
  <c r="D187" i="11"/>
  <c r="D186" i="11"/>
  <c r="D184" i="11"/>
  <c r="D185" i="11"/>
  <c r="D183" i="11"/>
  <c r="D182" i="11"/>
  <c r="D181" i="11"/>
  <c r="D180" i="11"/>
  <c r="D178" i="11"/>
  <c r="D176" i="11"/>
  <c r="D177" i="11"/>
  <c r="D175" i="11"/>
  <c r="D174" i="11"/>
  <c r="D173" i="11"/>
  <c r="D172" i="11"/>
  <c r="D171" i="11"/>
  <c r="D170" i="11"/>
  <c r="AK13" i="15" s="1"/>
  <c r="D169" i="11"/>
  <c r="D168" i="11"/>
  <c r="D167" i="11"/>
  <c r="D165" i="11"/>
  <c r="D164" i="11"/>
  <c r="D166" i="11"/>
  <c r="D163" i="11"/>
  <c r="D162" i="11"/>
  <c r="D161" i="11"/>
  <c r="D160" i="11"/>
  <c r="D159" i="11"/>
  <c r="D158" i="11"/>
  <c r="D156" i="11"/>
  <c r="D157" i="11"/>
  <c r="D155" i="11"/>
  <c r="D151" i="11"/>
  <c r="D154" i="11"/>
  <c r="D150" i="11"/>
  <c r="D149" i="11"/>
  <c r="D144" i="11"/>
  <c r="D146" i="11"/>
  <c r="D145" i="11"/>
  <c r="D148" i="11"/>
  <c r="D139" i="11"/>
  <c r="D137" i="11"/>
  <c r="D140" i="11"/>
  <c r="D138" i="11"/>
  <c r="D141" i="11"/>
  <c r="D143" i="11"/>
  <c r="D135" i="11"/>
  <c r="D133" i="11"/>
  <c r="D129" i="11"/>
  <c r="D127" i="11"/>
  <c r="D125" i="11"/>
  <c r="D126" i="11"/>
  <c r="D121" i="11"/>
  <c r="D122" i="11"/>
  <c r="D123" i="11"/>
  <c r="D120" i="11"/>
  <c r="D119" i="11"/>
  <c r="D114" i="11"/>
  <c r="D118" i="11"/>
  <c r="D115" i="11"/>
  <c r="D112" i="11"/>
  <c r="D111" i="11"/>
  <c r="D110" i="11"/>
  <c r="D108" i="11"/>
  <c r="D109" i="11"/>
  <c r="D107" i="11"/>
  <c r="D105" i="11"/>
  <c r="D106" i="11"/>
  <c r="D104" i="11"/>
  <c r="D102" i="11"/>
  <c r="D99" i="11"/>
  <c r="D98" i="11"/>
  <c r="D97" i="11"/>
  <c r="D95" i="11"/>
  <c r="D96" i="11"/>
  <c r="D94" i="11"/>
  <c r="D91" i="11"/>
  <c r="D90" i="11"/>
  <c r="D92" i="11"/>
  <c r="D89" i="11"/>
  <c r="D87" i="11"/>
  <c r="D88" i="11"/>
  <c r="D86" i="11"/>
  <c r="D85" i="11"/>
  <c r="D83" i="11"/>
  <c r="D84" i="11"/>
  <c r="D82" i="11"/>
  <c r="D79" i="11"/>
  <c r="D77" i="11"/>
  <c r="D81" i="11"/>
  <c r="D78" i="11"/>
  <c r="D80" i="11"/>
  <c r="D76" i="11"/>
  <c r="D74" i="11"/>
  <c r="D72" i="11"/>
  <c r="D75" i="11"/>
  <c r="D73" i="11"/>
  <c r="D70" i="11"/>
  <c r="D66" i="11"/>
  <c r="D69" i="11"/>
  <c r="D68" i="11"/>
  <c r="D67" i="11"/>
  <c r="D64" i="11"/>
  <c r="D65" i="11"/>
  <c r="D61" i="11"/>
  <c r="D60" i="11"/>
  <c r="D63" i="11"/>
  <c r="D58" i="11"/>
  <c r="D57" i="11"/>
  <c r="D62" i="11"/>
  <c r="D56" i="11"/>
  <c r="D59" i="11"/>
  <c r="D55" i="11"/>
  <c r="D49" i="11"/>
  <c r="AK20" i="15" s="1"/>
  <c r="D54" i="11"/>
  <c r="D53" i="11"/>
  <c r="D51" i="11"/>
  <c r="D50" i="11"/>
  <c r="D52" i="11"/>
  <c r="D48" i="11"/>
  <c r="D46" i="11"/>
  <c r="D47" i="11"/>
  <c r="D44" i="11"/>
  <c r="D45" i="11"/>
  <c r="D40" i="11"/>
  <c r="D41" i="11"/>
  <c r="D42" i="11"/>
  <c r="D43" i="11"/>
  <c r="D39" i="11"/>
  <c r="D38" i="11"/>
  <c r="D37" i="11"/>
  <c r="D36" i="11"/>
  <c r="D33" i="11"/>
  <c r="D31" i="11"/>
  <c r="D35" i="11"/>
  <c r="D34" i="11"/>
  <c r="D32" i="11"/>
  <c r="D30" i="11"/>
  <c r="D29" i="11"/>
  <c r="D28" i="11"/>
  <c r="D24" i="11"/>
  <c r="D26" i="11"/>
  <c r="D25" i="11"/>
  <c r="D23" i="11"/>
  <c r="D22" i="11"/>
  <c r="D20" i="11"/>
  <c r="D18" i="11"/>
  <c r="D21" i="11"/>
  <c r="D19" i="11"/>
  <c r="D17" i="11"/>
  <c r="D16" i="11"/>
  <c r="D14" i="11"/>
  <c r="D15" i="11"/>
  <c r="D13" i="11"/>
  <c r="D10" i="11"/>
  <c r="D9" i="11"/>
  <c r="D8" i="11"/>
  <c r="D7" i="11"/>
  <c r="D6" i="11"/>
  <c r="D5" i="11"/>
  <c r="D4" i="11"/>
  <c r="B602" i="11"/>
  <c r="B600" i="11"/>
  <c r="B562" i="11"/>
  <c r="B680" i="11"/>
  <c r="B610" i="11"/>
  <c r="B742" i="11"/>
  <c r="AK21" i="15" l="1"/>
  <c r="AK9" i="15"/>
  <c r="AK25" i="15"/>
  <c r="AK14" i="15"/>
  <c r="AK11" i="15"/>
  <c r="AK17" i="15"/>
  <c r="AK24" i="15"/>
  <c r="AK16" i="15"/>
  <c r="AK19" i="15"/>
  <c r="AK18" i="15"/>
  <c r="AK22" i="15"/>
  <c r="AK23" i="15"/>
  <c r="AK6" i="15"/>
  <c r="AK7" i="15"/>
  <c r="AK26" i="15"/>
  <c r="AK10" i="15"/>
  <c r="AK4" i="15"/>
  <c r="AK15" i="15"/>
  <c r="AK5" i="15"/>
  <c r="I742" i="11"/>
  <c r="H610" i="11"/>
  <c r="I600" i="11"/>
  <c r="H602" i="11"/>
  <c r="H634" i="11"/>
  <c r="H3" i="11"/>
  <c r="H626" i="11"/>
  <c r="H659" i="11"/>
  <c r="H680" i="11"/>
  <c r="I562" i="11"/>
  <c r="I659" i="11"/>
  <c r="I626" i="11"/>
  <c r="I634" i="11"/>
  <c r="I599" i="11"/>
  <c r="I501" i="11"/>
  <c r="I3" i="11"/>
  <c r="I602" i="11"/>
  <c r="H600" i="11"/>
  <c r="H562" i="11"/>
  <c r="I680" i="11"/>
  <c r="I610" i="11"/>
  <c r="H742" i="11"/>
  <c r="B514" i="11" l="1"/>
  <c r="B863" i="11" l="1"/>
  <c r="I101" i="11" l="1"/>
  <c r="I169" i="11"/>
  <c r="I172" i="11"/>
  <c r="I200" i="11"/>
  <c r="I214" i="11"/>
  <c r="I249" i="11"/>
  <c r="I274" i="11"/>
  <c r="I294" i="11"/>
  <c r="I11" i="11"/>
  <c r="I360" i="11"/>
  <c r="I404" i="11"/>
  <c r="I446" i="11"/>
  <c r="I383" i="11"/>
  <c r="I432" i="11"/>
  <c r="I471" i="11"/>
  <c r="I431" i="11"/>
  <c r="I465" i="11"/>
  <c r="B591" i="11"/>
  <c r="B595" i="11"/>
  <c r="B596" i="11"/>
  <c r="B478" i="11"/>
  <c r="B481" i="11"/>
  <c r="B584" i="11"/>
  <c r="B495" i="11"/>
  <c r="B542" i="11"/>
  <c r="B572" i="11"/>
  <c r="B576" i="11"/>
  <c r="B609" i="11"/>
  <c r="B566" i="11"/>
  <c r="B589" i="11"/>
  <c r="B515" i="11"/>
  <c r="B569" i="11"/>
  <c r="B598" i="11"/>
  <c r="B587" i="11"/>
  <c r="B608" i="11"/>
  <c r="B508" i="11"/>
  <c r="B511" i="11"/>
  <c r="B539" i="11"/>
  <c r="B607" i="11"/>
  <c r="B517" i="11"/>
  <c r="B638" i="11"/>
  <c r="B445" i="11"/>
  <c r="B479" i="11"/>
  <c r="B512" i="11"/>
  <c r="B590" i="11"/>
  <c r="B632" i="11"/>
  <c r="B635" i="11"/>
  <c r="B496" i="11"/>
  <c r="B502" i="11"/>
  <c r="B586" i="11"/>
  <c r="B564" i="11"/>
  <c r="B619" i="11"/>
  <c r="B504" i="11"/>
  <c r="B492" i="11"/>
  <c r="B500" i="11"/>
  <c r="B519" i="11"/>
  <c r="B530" i="11"/>
  <c r="B538" i="11"/>
  <c r="B485" i="11"/>
  <c r="B505" i="11"/>
  <c r="B575" i="11"/>
  <c r="B509" i="11"/>
  <c r="B617" i="11"/>
  <c r="B498" i="11"/>
  <c r="B506" i="11"/>
  <c r="B528" i="11"/>
  <c r="B580" i="11"/>
  <c r="B567" i="11"/>
  <c r="H514" i="11"/>
  <c r="B507" i="11"/>
  <c r="B503" i="11"/>
  <c r="B551" i="11"/>
  <c r="B618" i="11"/>
  <c r="B629" i="11"/>
  <c r="B510" i="11"/>
  <c r="B597" i="11"/>
  <c r="B521" i="11"/>
  <c r="B543" i="11"/>
  <c r="B588" i="11"/>
  <c r="B523" i="11"/>
  <c r="B533" i="11"/>
  <c r="B545" i="11"/>
  <c r="B535" i="11"/>
  <c r="B547" i="11"/>
  <c r="B892" i="11"/>
  <c r="B524" i="11"/>
  <c r="B665" i="11"/>
  <c r="B741" i="11"/>
  <c r="B833" i="11"/>
  <c r="B541" i="11"/>
  <c r="B554" i="11"/>
  <c r="B571" i="11"/>
  <c r="B593" i="11"/>
  <c r="I861" i="11"/>
  <c r="I735" i="11"/>
  <c r="I860" i="11"/>
  <c r="B640" i="11"/>
  <c r="B570" i="11"/>
  <c r="B556" i="11"/>
  <c r="B553" i="11"/>
  <c r="B561" i="11"/>
  <c r="B682" i="11"/>
  <c r="B557" i="11"/>
  <c r="B666" i="11"/>
  <c r="B577" i="11"/>
  <c r="B679" i="11"/>
  <c r="B601" i="11"/>
  <c r="B903" i="11"/>
  <c r="B604" i="11"/>
  <c r="B657" i="11"/>
  <c r="B565" i="11"/>
  <c r="B620" i="11"/>
  <c r="B568" i="11"/>
  <c r="B581" i="11"/>
  <c r="B574" i="11"/>
  <c r="B656" i="11"/>
  <c r="B552" i="11"/>
  <c r="B493" i="11"/>
  <c r="B516" i="11"/>
  <c r="B563" i="11"/>
  <c r="B839" i="11"/>
  <c r="B743" i="11"/>
  <c r="B763" i="11"/>
  <c r="B795" i="11"/>
  <c r="B816" i="11"/>
  <c r="B817" i="11"/>
  <c r="B826" i="11"/>
  <c r="B614" i="11"/>
  <c r="B636" i="11"/>
  <c r="B560" i="11"/>
  <c r="B559" i="11"/>
  <c r="B686" i="11"/>
  <c r="B766" i="11"/>
  <c r="B616" i="11"/>
  <c r="B645" i="11"/>
  <c r="B558" i="11"/>
  <c r="B594" i="11"/>
  <c r="B621" i="11"/>
  <c r="B605" i="11"/>
  <c r="B653" i="11"/>
  <c r="B678" i="11"/>
  <c r="B738" i="11"/>
  <c r="B583" i="11"/>
  <c r="B845" i="11"/>
  <c r="B846" i="11"/>
  <c r="B853" i="11"/>
  <c r="B592" i="11"/>
  <c r="B578" i="11"/>
  <c r="B611" i="11"/>
  <c r="B641" i="11"/>
  <c r="B624" i="11"/>
  <c r="B642" i="11"/>
  <c r="I631" i="11"/>
  <c r="B664" i="11"/>
  <c r="B732" i="11"/>
  <c r="B847" i="11"/>
  <c r="B869" i="11"/>
  <c r="B740" i="11"/>
  <c r="B585" i="11"/>
  <c r="B637" i="11"/>
  <c r="B733" i="11"/>
  <c r="B670" i="11"/>
  <c r="B675" i="11"/>
  <c r="B623" i="11"/>
  <c r="B725" i="11"/>
  <c r="B633" i="11"/>
  <c r="B613" i="11"/>
  <c r="B615" i="11"/>
  <c r="B681" i="11"/>
  <c r="B669" i="11"/>
  <c r="B612" i="11"/>
  <c r="B838" i="11"/>
  <c r="B627" i="11"/>
  <c r="B660" i="11"/>
  <c r="B895" i="11"/>
  <c r="B887" i="11"/>
  <c r="B859" i="11"/>
  <c r="B606" i="11"/>
  <c r="B622" i="11"/>
  <c r="B630" i="11"/>
  <c r="B654" i="11"/>
  <c r="B663" i="11"/>
  <c r="B683" i="11"/>
  <c r="B701" i="11"/>
  <c r="B709" i="11"/>
  <c r="B739" i="11"/>
  <c r="B667" i="11"/>
  <c r="B671" i="11"/>
  <c r="B673" i="11"/>
  <c r="B677" i="11"/>
  <c r="B674" i="11"/>
  <c r="B818" i="11"/>
  <c r="B646" i="11"/>
  <c r="B649" i="11"/>
  <c r="B625" i="11"/>
  <c r="B647" i="11"/>
  <c r="B648" i="11"/>
  <c r="B661" i="11"/>
  <c r="B800" i="11"/>
  <c r="I873" i="11"/>
  <c r="B662" i="11"/>
  <c r="B650" i="11"/>
  <c r="B672" i="11"/>
  <c r="B760" i="11"/>
  <c r="B784" i="11"/>
  <c r="B894" i="11"/>
  <c r="B644" i="11"/>
  <c r="B708" i="11"/>
  <c r="B734" i="11"/>
  <c r="B753" i="11"/>
  <c r="B643" i="11"/>
  <c r="B651" i="11"/>
  <c r="B652" i="11"/>
  <c r="B731" i="11"/>
  <c r="B802" i="11"/>
  <c r="B689" i="11"/>
  <c r="B684" i="11"/>
  <c r="B694" i="11"/>
  <c r="B692" i="11"/>
  <c r="B693" i="11"/>
  <c r="B711" i="11"/>
  <c r="B712" i="11"/>
  <c r="B777" i="11"/>
  <c r="B870" i="11"/>
  <c r="B685" i="11"/>
  <c r="B801" i="11"/>
  <c r="B688" i="11"/>
  <c r="B705" i="11"/>
  <c r="B722" i="11"/>
  <c r="B713" i="11"/>
  <c r="B823" i="11"/>
  <c r="B695" i="11"/>
  <c r="B803" i="11"/>
  <c r="B714" i="11"/>
  <c r="I719" i="11"/>
  <c r="I715" i="11"/>
  <c r="B696" i="11"/>
  <c r="B736" i="11"/>
  <c r="B837" i="11"/>
  <c r="B834" i="11"/>
  <c r="B886" i="11"/>
  <c r="B865" i="11"/>
  <c r="B897" i="11"/>
  <c r="B900" i="11"/>
  <c r="B716" i="11"/>
  <c r="B703" i="11"/>
  <c r="B764" i="11"/>
  <c r="B699" i="11"/>
  <c r="B717" i="11"/>
  <c r="B744" i="11"/>
  <c r="B778" i="11"/>
  <c r="B840" i="11"/>
  <c r="B726" i="11"/>
  <c r="B718" i="11"/>
  <c r="B879" i="11"/>
  <c r="I747" i="11"/>
  <c r="B881" i="11"/>
  <c r="B727" i="11"/>
  <c r="B748" i="11"/>
  <c r="B720" i="11"/>
  <c r="B728" i="11"/>
  <c r="B729" i="11"/>
  <c r="B749" i="11"/>
  <c r="B843" i="11"/>
  <c r="B750" i="11"/>
  <c r="B854" i="11"/>
  <c r="B754" i="11"/>
  <c r="B767" i="11"/>
  <c r="B855" i="11"/>
  <c r="B850" i="11"/>
  <c r="B755" i="11"/>
  <c r="B768" i="11"/>
  <c r="B787" i="11"/>
  <c r="B788" i="11"/>
  <c r="B789" i="11"/>
  <c r="B824" i="11"/>
  <c r="B790" i="11"/>
  <c r="B819" i="11"/>
  <c r="B769" i="11"/>
  <c r="B779" i="11"/>
  <c r="B756" i="11"/>
  <c r="B765" i="11"/>
  <c r="B810" i="11"/>
  <c r="B770" i="11"/>
  <c r="B791" i="11"/>
  <c r="B792" i="11"/>
  <c r="B793" i="11"/>
  <c r="B757" i="11"/>
  <c r="B799" i="11"/>
  <c r="B758" i="11"/>
  <c r="B804" i="11"/>
  <c r="B697" i="11"/>
  <c r="B771" i="11"/>
  <c r="B805" i="11"/>
  <c r="B772" i="11"/>
  <c r="B773" i="11"/>
  <c r="B780" i="11"/>
  <c r="B781" i="11"/>
  <c r="B783" i="11"/>
  <c r="B821" i="11"/>
  <c r="B812" i="11"/>
  <c r="B830" i="11"/>
  <c r="B794" i="11"/>
  <c r="B796" i="11"/>
  <c r="B815" i="11"/>
  <c r="B901" i="11"/>
  <c r="B806" i="11"/>
  <c r="B836" i="11"/>
  <c r="B774" i="11"/>
  <c r="B807" i="11"/>
  <c r="B721" i="11"/>
  <c r="B415" i="11"/>
  <c r="B877" i="11"/>
  <c r="B902" i="11"/>
  <c r="B813" i="11"/>
  <c r="B808" i="11"/>
  <c r="B829" i="11"/>
  <c r="B841" i="11"/>
  <c r="B820" i="11"/>
  <c r="B828" i="11"/>
  <c r="I567" i="11" l="1"/>
  <c r="I689" i="11"/>
  <c r="I743" i="11"/>
  <c r="I517" i="11"/>
  <c r="I828" i="11"/>
  <c r="I901" i="11"/>
  <c r="H772" i="11"/>
  <c r="I765" i="11"/>
  <c r="I767" i="11"/>
  <c r="I881" i="11"/>
  <c r="H897" i="11"/>
  <c r="I722" i="11"/>
  <c r="I802" i="11"/>
  <c r="H650" i="11"/>
  <c r="I671" i="11"/>
  <c r="I895" i="11"/>
  <c r="H733" i="11"/>
  <c r="I578" i="11"/>
  <c r="I839" i="11"/>
  <c r="I601" i="11"/>
  <c r="I593" i="11"/>
  <c r="I523" i="11"/>
  <c r="I528" i="11"/>
  <c r="I504" i="11"/>
  <c r="I607" i="11"/>
  <c r="I542" i="11"/>
  <c r="I760" i="11"/>
  <c r="I604" i="11"/>
  <c r="I670" i="11"/>
  <c r="I533" i="11"/>
  <c r="I492" i="11"/>
  <c r="I572" i="11"/>
  <c r="I820" i="11"/>
  <c r="H815" i="11"/>
  <c r="H805" i="11"/>
  <c r="H756" i="11"/>
  <c r="I754" i="11"/>
  <c r="H865" i="11"/>
  <c r="I705" i="11"/>
  <c r="I731" i="11"/>
  <c r="I662" i="11"/>
  <c r="I667" i="11"/>
  <c r="I660" i="11"/>
  <c r="H637" i="11"/>
  <c r="I592" i="11"/>
  <c r="I616" i="11"/>
  <c r="I563" i="11"/>
  <c r="I679" i="11"/>
  <c r="I571" i="11"/>
  <c r="I588" i="11"/>
  <c r="I506" i="11"/>
  <c r="I619" i="11"/>
  <c r="H539" i="11"/>
  <c r="I495" i="11"/>
  <c r="I850" i="11"/>
  <c r="I641" i="11"/>
  <c r="I855" i="11"/>
  <c r="I645" i="11"/>
  <c r="I841" i="11"/>
  <c r="H796" i="11"/>
  <c r="I771" i="11"/>
  <c r="H779" i="11"/>
  <c r="I854" i="11"/>
  <c r="H879" i="11"/>
  <c r="I886" i="11"/>
  <c r="I688" i="11"/>
  <c r="I739" i="11"/>
  <c r="I627" i="11"/>
  <c r="I853" i="11"/>
  <c r="I766" i="11"/>
  <c r="I516" i="11"/>
  <c r="I577" i="11"/>
  <c r="I554" i="11"/>
  <c r="I543" i="11"/>
  <c r="I498" i="11"/>
  <c r="I564" i="11"/>
  <c r="I511" i="11"/>
  <c r="I584" i="11"/>
  <c r="I763" i="11"/>
  <c r="I887" i="11"/>
  <c r="I834" i="11"/>
  <c r="I846" i="11"/>
  <c r="I508" i="11"/>
  <c r="I481" i="11"/>
  <c r="I808" i="11"/>
  <c r="I830" i="11"/>
  <c r="I697" i="11"/>
  <c r="I819" i="11"/>
  <c r="I750" i="11"/>
  <c r="I726" i="11"/>
  <c r="I837" i="11"/>
  <c r="I685" i="11"/>
  <c r="I651" i="11"/>
  <c r="I661" i="11"/>
  <c r="I701" i="11"/>
  <c r="I612" i="11"/>
  <c r="I740" i="11"/>
  <c r="I845" i="11"/>
  <c r="I559" i="11"/>
  <c r="I552" i="11"/>
  <c r="I557" i="11"/>
  <c r="I833" i="11"/>
  <c r="I597" i="11"/>
  <c r="I509" i="11"/>
  <c r="I502" i="11"/>
  <c r="H478" i="11"/>
  <c r="H823" i="11"/>
  <c r="I859" i="11"/>
  <c r="I545" i="11"/>
  <c r="H806" i="11"/>
  <c r="H713" i="11"/>
  <c r="I611" i="11"/>
  <c r="I829" i="11"/>
  <c r="I878" i="11"/>
  <c r="I652" i="11"/>
  <c r="I709" i="11"/>
  <c r="I585" i="11"/>
  <c r="I686" i="11"/>
  <c r="I521" i="11"/>
  <c r="I804" i="11"/>
  <c r="I790" i="11"/>
  <c r="I843" i="11"/>
  <c r="I840" i="11"/>
  <c r="I736" i="11"/>
  <c r="I870" i="11"/>
  <c r="I643" i="11"/>
  <c r="H648" i="11"/>
  <c r="I683" i="11"/>
  <c r="I669" i="11"/>
  <c r="I869" i="11"/>
  <c r="I583" i="11"/>
  <c r="I560" i="11"/>
  <c r="H656" i="11"/>
  <c r="I682" i="11"/>
  <c r="I741" i="11"/>
  <c r="I510" i="11"/>
  <c r="I575" i="11"/>
  <c r="H496" i="11"/>
  <c r="I596" i="11"/>
  <c r="I677" i="11"/>
  <c r="I576" i="11"/>
  <c r="I810" i="11"/>
  <c r="I903" i="11"/>
  <c r="I769" i="11"/>
  <c r="I800" i="11"/>
  <c r="I493" i="11"/>
  <c r="H813" i="11"/>
  <c r="I902" i="11"/>
  <c r="I758" i="11"/>
  <c r="I824" i="11"/>
  <c r="I749" i="11"/>
  <c r="I778" i="11"/>
  <c r="I696" i="11"/>
  <c r="I777" i="11"/>
  <c r="I753" i="11"/>
  <c r="I647" i="11"/>
  <c r="I663" i="11"/>
  <c r="I681" i="11"/>
  <c r="I847" i="11"/>
  <c r="I738" i="11"/>
  <c r="I636" i="11"/>
  <c r="H574" i="11"/>
  <c r="I561" i="11"/>
  <c r="I665" i="11"/>
  <c r="I629" i="11"/>
  <c r="I635" i="11"/>
  <c r="I598" i="11"/>
  <c r="I595" i="11"/>
  <c r="I770" i="11"/>
  <c r="I684" i="11"/>
  <c r="I558" i="11"/>
  <c r="I500" i="11"/>
  <c r="I727" i="11"/>
  <c r="I672" i="11"/>
  <c r="H794" i="11"/>
  <c r="H718" i="11"/>
  <c r="I801" i="11"/>
  <c r="I838" i="11"/>
  <c r="I541" i="11"/>
  <c r="I617" i="11"/>
  <c r="I812" i="11"/>
  <c r="I877" i="11"/>
  <c r="I821" i="11"/>
  <c r="I799" i="11"/>
  <c r="H789" i="11"/>
  <c r="I744" i="11"/>
  <c r="I712" i="11"/>
  <c r="I734" i="11"/>
  <c r="I625" i="11"/>
  <c r="I654" i="11"/>
  <c r="I615" i="11"/>
  <c r="I732" i="11"/>
  <c r="I678" i="11"/>
  <c r="I614" i="11"/>
  <c r="I581" i="11"/>
  <c r="I553" i="11"/>
  <c r="I618" i="11"/>
  <c r="I505" i="11"/>
  <c r="I632" i="11"/>
  <c r="I591" i="11"/>
  <c r="I836" i="11"/>
  <c r="I716" i="11"/>
  <c r="I675" i="11"/>
  <c r="I638" i="11"/>
  <c r="I900" i="11"/>
  <c r="I673" i="11"/>
  <c r="I666" i="11"/>
  <c r="I415" i="11"/>
  <c r="H783" i="11"/>
  <c r="I757" i="11"/>
  <c r="H788" i="11"/>
  <c r="I729" i="11"/>
  <c r="I717" i="11"/>
  <c r="I711" i="11"/>
  <c r="I708" i="11"/>
  <c r="I649" i="11"/>
  <c r="I630" i="11"/>
  <c r="I613" i="11"/>
  <c r="I664" i="11"/>
  <c r="I653" i="11"/>
  <c r="I826" i="11"/>
  <c r="I568" i="11"/>
  <c r="I556" i="11"/>
  <c r="I524" i="11"/>
  <c r="I551" i="11"/>
  <c r="I485" i="11"/>
  <c r="I590" i="11"/>
  <c r="H515" i="11"/>
  <c r="I781" i="11"/>
  <c r="I787" i="11"/>
  <c r="I728" i="11"/>
  <c r="I714" i="11"/>
  <c r="H693" i="11"/>
  <c r="I644" i="11"/>
  <c r="I622" i="11"/>
  <c r="I620" i="11"/>
  <c r="I503" i="11"/>
  <c r="I512" i="11"/>
  <c r="I807" i="11"/>
  <c r="I780" i="11"/>
  <c r="I792" i="11"/>
  <c r="I768" i="11"/>
  <c r="I720" i="11"/>
  <c r="I764" i="11"/>
  <c r="I803" i="11"/>
  <c r="I692" i="11"/>
  <c r="I894" i="11"/>
  <c r="I818" i="11"/>
  <c r="I606" i="11"/>
  <c r="I725" i="11"/>
  <c r="I642" i="11"/>
  <c r="I621" i="11"/>
  <c r="I816" i="11"/>
  <c r="I565" i="11"/>
  <c r="I640" i="11"/>
  <c r="I547" i="11"/>
  <c r="H507" i="11"/>
  <c r="I530" i="11"/>
  <c r="I479" i="11"/>
  <c r="I721" i="11"/>
  <c r="I793" i="11"/>
  <c r="I699" i="11"/>
  <c r="I646" i="11"/>
  <c r="I633" i="11"/>
  <c r="I605" i="11"/>
  <c r="I817" i="11"/>
  <c r="I570" i="11"/>
  <c r="I892" i="11"/>
  <c r="I538" i="11"/>
  <c r="I589" i="11"/>
  <c r="I774" i="11"/>
  <c r="H773" i="11"/>
  <c r="I791" i="11"/>
  <c r="I755" i="11"/>
  <c r="H748" i="11"/>
  <c r="I703" i="11"/>
  <c r="I695" i="11"/>
  <c r="I694" i="11"/>
  <c r="I784" i="11"/>
  <c r="I674" i="11"/>
  <c r="I623" i="11"/>
  <c r="I624" i="11"/>
  <c r="I594" i="11"/>
  <c r="I795" i="11"/>
  <c r="I657" i="11"/>
  <c r="I535" i="11"/>
  <c r="I519" i="11"/>
  <c r="I445" i="11"/>
  <c r="I609" i="11"/>
  <c r="H644" i="11"/>
  <c r="I586" i="11"/>
  <c r="H586" i="11"/>
  <c r="I580" i="11"/>
  <c r="H580" i="11"/>
  <c r="H850" i="11"/>
  <c r="H605" i="11"/>
  <c r="H765" i="11"/>
  <c r="H624" i="11"/>
  <c r="H720" i="11"/>
  <c r="H614" i="11"/>
  <c r="I748" i="11"/>
  <c r="H744" i="11"/>
  <c r="H552" i="11"/>
  <c r="I733" i="11"/>
  <c r="H736" i="11"/>
  <c r="H577" i="11"/>
  <c r="I656" i="11"/>
  <c r="H593" i="11"/>
  <c r="I507" i="11"/>
  <c r="H802" i="11"/>
  <c r="H545" i="11"/>
  <c r="H760" i="11"/>
  <c r="H415" i="11"/>
  <c r="H683" i="11"/>
  <c r="H502" i="11"/>
  <c r="H517" i="11"/>
  <c r="H697" i="11"/>
  <c r="H670" i="11"/>
  <c r="H607" i="11"/>
  <c r="H902" i="11"/>
  <c r="H830" i="11"/>
  <c r="H771" i="11"/>
  <c r="H770" i="11"/>
  <c r="H768" i="11"/>
  <c r="H729" i="11"/>
  <c r="H840" i="11"/>
  <c r="H834" i="11"/>
  <c r="H705" i="11"/>
  <c r="H684" i="11"/>
  <c r="H894" i="11"/>
  <c r="H625" i="11"/>
  <c r="H709" i="11"/>
  <c r="H660" i="11"/>
  <c r="H623" i="11"/>
  <c r="H631" i="11"/>
  <c r="H678" i="11"/>
  <c r="H560" i="11"/>
  <c r="H516" i="11"/>
  <c r="H601" i="11"/>
  <c r="H735" i="11"/>
  <c r="H547" i="11"/>
  <c r="H551" i="11"/>
  <c r="H564" i="11"/>
  <c r="H638" i="11"/>
  <c r="I813" i="11"/>
  <c r="I783" i="11"/>
  <c r="I823" i="11"/>
  <c r="I650" i="11"/>
  <c r="H877" i="11"/>
  <c r="H812" i="11"/>
  <c r="H810" i="11"/>
  <c r="H755" i="11"/>
  <c r="H728" i="11"/>
  <c r="H778" i="11"/>
  <c r="H837" i="11"/>
  <c r="H688" i="11"/>
  <c r="H689" i="11"/>
  <c r="H784" i="11"/>
  <c r="H649" i="11"/>
  <c r="H701" i="11"/>
  <c r="H627" i="11"/>
  <c r="H675" i="11"/>
  <c r="H642" i="11"/>
  <c r="H653" i="11"/>
  <c r="H636" i="11"/>
  <c r="H493" i="11"/>
  <c r="H679" i="11"/>
  <c r="H861" i="11"/>
  <c r="H535" i="11"/>
  <c r="H503" i="11"/>
  <c r="H575" i="11"/>
  <c r="I773" i="11"/>
  <c r="I713" i="11"/>
  <c r="I648" i="11"/>
  <c r="I637" i="11"/>
  <c r="I574" i="11"/>
  <c r="I514" i="11"/>
  <c r="I756" i="11"/>
  <c r="I879" i="11"/>
  <c r="H721" i="11"/>
  <c r="H821" i="11"/>
  <c r="H804" i="11"/>
  <c r="H855" i="11"/>
  <c r="H717" i="11"/>
  <c r="H696" i="11"/>
  <c r="H801" i="11"/>
  <c r="H731" i="11"/>
  <c r="H672" i="11"/>
  <c r="H663" i="11"/>
  <c r="H838" i="11"/>
  <c r="H641" i="11"/>
  <c r="H621" i="11"/>
  <c r="H666" i="11"/>
  <c r="H571" i="11"/>
  <c r="H533" i="11"/>
  <c r="H505" i="11"/>
  <c r="H511" i="11"/>
  <c r="I772" i="11"/>
  <c r="I779" i="11"/>
  <c r="I718" i="11"/>
  <c r="I566" i="11"/>
  <c r="H566" i="11"/>
  <c r="H807" i="11"/>
  <c r="H758" i="11"/>
  <c r="H767" i="11"/>
  <c r="H699" i="11"/>
  <c r="H715" i="11"/>
  <c r="H685" i="11"/>
  <c r="H646" i="11"/>
  <c r="H654" i="11"/>
  <c r="H612" i="11"/>
  <c r="H611" i="11"/>
  <c r="H594" i="11"/>
  <c r="H826" i="11"/>
  <c r="H557" i="11"/>
  <c r="H554" i="11"/>
  <c r="H523" i="11"/>
  <c r="H485" i="11"/>
  <c r="H635" i="11"/>
  <c r="H508" i="11"/>
  <c r="I805" i="11"/>
  <c r="I789" i="11"/>
  <c r="H774" i="11"/>
  <c r="H781" i="11"/>
  <c r="H799" i="11"/>
  <c r="H769" i="11"/>
  <c r="H754" i="11"/>
  <c r="H727" i="11"/>
  <c r="H764" i="11"/>
  <c r="H719" i="11"/>
  <c r="H870" i="11"/>
  <c r="H652" i="11"/>
  <c r="H662" i="11"/>
  <c r="H818" i="11"/>
  <c r="H630" i="11"/>
  <c r="H669" i="11"/>
  <c r="H578" i="11"/>
  <c r="H558" i="11"/>
  <c r="H817" i="11"/>
  <c r="H581" i="11"/>
  <c r="H682" i="11"/>
  <c r="H541" i="11"/>
  <c r="H588" i="11"/>
  <c r="H567" i="11"/>
  <c r="H538" i="11"/>
  <c r="H632" i="11"/>
  <c r="H609" i="11"/>
  <c r="I806" i="11"/>
  <c r="I788" i="11"/>
  <c r="I693" i="11"/>
  <c r="H828" i="11"/>
  <c r="H836" i="11"/>
  <c r="H780" i="11"/>
  <c r="H757" i="11"/>
  <c r="H819" i="11"/>
  <c r="H854" i="11"/>
  <c r="H881" i="11"/>
  <c r="H703" i="11"/>
  <c r="H714" i="11"/>
  <c r="H777" i="11"/>
  <c r="H651" i="11"/>
  <c r="H873" i="11"/>
  <c r="H674" i="11"/>
  <c r="H622" i="11"/>
  <c r="H681" i="11"/>
  <c r="H585" i="11"/>
  <c r="H592" i="11"/>
  <c r="H645" i="11"/>
  <c r="H816" i="11"/>
  <c r="H568" i="11"/>
  <c r="H561" i="11"/>
  <c r="H833" i="11"/>
  <c r="H543" i="11"/>
  <c r="H530" i="11"/>
  <c r="H576" i="11"/>
  <c r="I815" i="11"/>
  <c r="H820" i="11"/>
  <c r="H790" i="11"/>
  <c r="H878" i="11"/>
  <c r="H716" i="11"/>
  <c r="H803" i="11"/>
  <c r="H712" i="11"/>
  <c r="H643" i="11"/>
  <c r="H800" i="11"/>
  <c r="H677" i="11"/>
  <c r="H606" i="11"/>
  <c r="H615" i="11"/>
  <c r="H740" i="11"/>
  <c r="H853" i="11"/>
  <c r="H795" i="11"/>
  <c r="H620" i="11"/>
  <c r="H553" i="11"/>
  <c r="H741" i="11"/>
  <c r="H521" i="11"/>
  <c r="H528" i="11"/>
  <c r="H519" i="11"/>
  <c r="H590" i="11"/>
  <c r="H572" i="11"/>
  <c r="I796" i="11"/>
  <c r="I897" i="11"/>
  <c r="I496" i="11"/>
  <c r="H841" i="11"/>
  <c r="H901" i="11"/>
  <c r="H824" i="11"/>
  <c r="H750" i="11"/>
  <c r="H747" i="11"/>
  <c r="H900" i="11"/>
  <c r="H695" i="11"/>
  <c r="H711" i="11"/>
  <c r="H753" i="11"/>
  <c r="H661" i="11"/>
  <c r="H673" i="11"/>
  <c r="H613" i="11"/>
  <c r="H869" i="11"/>
  <c r="H846" i="11"/>
  <c r="H616" i="11"/>
  <c r="H763" i="11"/>
  <c r="H565" i="11"/>
  <c r="H556" i="11"/>
  <c r="H665" i="11"/>
  <c r="H597" i="11"/>
  <c r="H506" i="11"/>
  <c r="H500" i="11"/>
  <c r="H512" i="11"/>
  <c r="H481" i="11"/>
  <c r="I794" i="11"/>
  <c r="I865" i="11"/>
  <c r="H829" i="11"/>
  <c r="H793" i="11"/>
  <c r="H843" i="11"/>
  <c r="H734" i="11"/>
  <c r="H671" i="11"/>
  <c r="H859" i="11"/>
  <c r="H847" i="11"/>
  <c r="H845" i="11"/>
  <c r="H766" i="11"/>
  <c r="H743" i="11"/>
  <c r="H657" i="11"/>
  <c r="H570" i="11"/>
  <c r="H510" i="11"/>
  <c r="H498" i="11"/>
  <c r="H492" i="11"/>
  <c r="H479" i="11"/>
  <c r="H596" i="11"/>
  <c r="H808" i="11"/>
  <c r="H792" i="11"/>
  <c r="H749" i="11"/>
  <c r="H692" i="11"/>
  <c r="H708" i="11"/>
  <c r="H647" i="11"/>
  <c r="H667" i="11"/>
  <c r="H887" i="11"/>
  <c r="H633" i="11"/>
  <c r="H732" i="11"/>
  <c r="H583" i="11"/>
  <c r="H686" i="11"/>
  <c r="H839" i="11"/>
  <c r="H604" i="11"/>
  <c r="H640" i="11"/>
  <c r="H524" i="11"/>
  <c r="H629" i="11"/>
  <c r="H617" i="11"/>
  <c r="H504" i="11"/>
  <c r="H445" i="11"/>
  <c r="H595" i="11"/>
  <c r="I539" i="11"/>
  <c r="I569" i="11"/>
  <c r="H569" i="11"/>
  <c r="H791" i="11"/>
  <c r="H787" i="11"/>
  <c r="H726" i="11"/>
  <c r="H886" i="11"/>
  <c r="H722" i="11"/>
  <c r="H694" i="11"/>
  <c r="H739" i="11"/>
  <c r="H895" i="11"/>
  <c r="H725" i="11"/>
  <c r="H664" i="11"/>
  <c r="H738" i="11"/>
  <c r="H559" i="11"/>
  <c r="H563" i="11"/>
  <c r="H903" i="11"/>
  <c r="H860" i="11"/>
  <c r="H892" i="11"/>
  <c r="H618" i="11"/>
  <c r="H509" i="11"/>
  <c r="H619" i="11"/>
  <c r="H591" i="11"/>
  <c r="I863" i="11"/>
  <c r="H863" i="11"/>
  <c r="I608" i="11"/>
  <c r="H608" i="11"/>
  <c r="I587" i="11"/>
  <c r="H587" i="11"/>
  <c r="H598" i="11"/>
  <c r="I515" i="11"/>
  <c r="H589" i="11"/>
  <c r="H542" i="11"/>
  <c r="H495" i="11"/>
  <c r="H584" i="11"/>
  <c r="I478" i="11"/>
  <c r="B573" i="11" l="1"/>
  <c r="H573" i="11" l="1"/>
  <c r="I573" i="11"/>
  <c r="B474" i="11"/>
  <c r="H474" i="11" l="1"/>
  <c r="I474" i="11"/>
  <c r="B546" i="11"/>
  <c r="B534" i="11"/>
  <c r="B525" i="11"/>
  <c r="B518" i="11"/>
  <c r="B453" i="11"/>
  <c r="B430" i="11"/>
  <c r="B460" i="11"/>
  <c r="B448" i="11"/>
  <c r="I448" i="11" l="1"/>
  <c r="I430" i="11"/>
  <c r="I534" i="11"/>
  <c r="H525" i="11"/>
  <c r="I525" i="11"/>
  <c r="H453" i="11"/>
  <c r="I453" i="11"/>
  <c r="H518" i="11"/>
  <c r="I518" i="11"/>
  <c r="H460" i="11"/>
  <c r="I460" i="11"/>
  <c r="H546" i="11"/>
  <c r="I546" i="11"/>
  <c r="H534" i="11"/>
  <c r="H430" i="11"/>
  <c r="H448" i="11"/>
  <c r="B457" i="11"/>
  <c r="H457" i="11" l="1"/>
  <c r="I457" i="11"/>
  <c r="B450" i="11"/>
  <c r="I450" i="11" l="1"/>
  <c r="H450" i="11"/>
  <c r="B461" i="11" l="1"/>
  <c r="I461" i="11" l="1"/>
  <c r="B403" i="11"/>
  <c r="I403" i="11" l="1"/>
  <c r="H403" i="11"/>
  <c r="B707" i="11" l="1"/>
  <c r="B698" i="11"/>
  <c r="B691" i="11"/>
  <c r="I698" i="11" l="1"/>
  <c r="I707" i="11"/>
  <c r="H691" i="11"/>
  <c r="I691" i="11"/>
  <c r="H707" i="11"/>
  <c r="B319" i="11" l="1"/>
  <c r="B302" i="11"/>
  <c r="B382" i="11"/>
  <c r="B434" i="11"/>
  <c r="B357" i="11"/>
  <c r="I382" i="11" l="1"/>
  <c r="I434" i="11"/>
  <c r="I319" i="11"/>
  <c r="H357" i="11"/>
  <c r="I357" i="11"/>
  <c r="H302" i="11"/>
  <c r="I302" i="11"/>
  <c r="H319" i="11"/>
  <c r="H382" i="11"/>
  <c r="H434" i="11"/>
  <c r="B427" i="11" l="1"/>
  <c r="B398" i="11"/>
  <c r="I398" i="11" l="1"/>
  <c r="I427" i="11"/>
  <c r="B884" i="11"/>
  <c r="B486" i="11"/>
  <c r="B668" i="11"/>
  <c r="B330" i="11"/>
  <c r="B318" i="11"/>
  <c r="B321" i="11"/>
  <c r="B328" i="11"/>
  <c r="B373" i="11"/>
  <c r="B355" i="11"/>
  <c r="B343" i="11"/>
  <c r="B379" i="11"/>
  <c r="B326" i="11"/>
  <c r="I326" i="11" l="1"/>
  <c r="I328" i="11"/>
  <c r="I321" i="11"/>
  <c r="I318" i="11"/>
  <c r="I373" i="11"/>
  <c r="I330" i="11"/>
  <c r="I668" i="11"/>
  <c r="I486" i="11"/>
  <c r="I343" i="11"/>
  <c r="I884" i="11"/>
  <c r="I355" i="11"/>
  <c r="I379" i="11"/>
  <c r="B335" i="11"/>
  <c r="B337" i="11"/>
  <c r="B339" i="11"/>
  <c r="B336" i="11"/>
  <c r="I336" i="11" s="1"/>
  <c r="B338" i="11"/>
  <c r="B342" i="11"/>
  <c r="B341" i="11"/>
  <c r="B334" i="11"/>
  <c r="B340" i="11"/>
  <c r="I335" i="11" l="1"/>
  <c r="I339" i="11"/>
  <c r="I337" i="11"/>
  <c r="I334" i="11"/>
  <c r="I340" i="11"/>
  <c r="I341" i="11"/>
  <c r="I342" i="11"/>
  <c r="I338" i="11"/>
  <c r="B827" i="11"/>
  <c r="B395" i="11"/>
  <c r="I395" i="11" l="1"/>
  <c r="H827" i="11"/>
  <c r="I827" i="11"/>
  <c r="H395" i="11"/>
  <c r="B776" i="11" l="1"/>
  <c r="B315" i="11"/>
  <c r="B320" i="11"/>
  <c r="B889" i="11"/>
  <c r="B487" i="11"/>
  <c r="B314" i="11"/>
  <c r="B898" i="11"/>
  <c r="B305" i="11"/>
  <c r="B296" i="11"/>
  <c r="B401" i="11"/>
  <c r="B155" i="11"/>
  <c r="B352" i="11"/>
  <c r="I296" i="11" l="1"/>
  <c r="I401" i="11"/>
  <c r="I305" i="11"/>
  <c r="I155" i="11"/>
  <c r="I898" i="11"/>
  <c r="I314" i="11"/>
  <c r="I889" i="11"/>
  <c r="I487" i="11"/>
  <c r="I315" i="11"/>
  <c r="I776" i="11"/>
  <c r="I352" i="11"/>
  <c r="I320" i="11"/>
  <c r="H155" i="11"/>
  <c r="B272" i="11"/>
  <c r="B288" i="11"/>
  <c r="B304" i="11"/>
  <c r="I272" i="11" l="1"/>
  <c r="I304" i="11"/>
  <c r="I288" i="11"/>
  <c r="B260" i="11"/>
  <c r="B264" i="11"/>
  <c r="B259" i="11"/>
  <c r="B307" i="11"/>
  <c r="I307" i="11" l="1"/>
  <c r="I264" i="11"/>
  <c r="I259" i="11"/>
  <c r="H260" i="11"/>
  <c r="I260" i="11"/>
  <c r="H259" i="11"/>
  <c r="B203" i="11"/>
  <c r="B247" i="11"/>
  <c r="B226" i="11"/>
  <c r="B303" i="11"/>
  <c r="B248" i="11"/>
  <c r="I226" i="11" l="1"/>
  <c r="I303" i="11"/>
  <c r="I247" i="11"/>
  <c r="H203" i="11"/>
  <c r="I203" i="11"/>
  <c r="H248" i="11"/>
  <c r="I248" i="11"/>
  <c r="H247" i="11"/>
  <c r="H226" i="11"/>
  <c r="H303" i="11"/>
  <c r="B62" i="11"/>
  <c r="B245" i="11"/>
  <c r="B244" i="11"/>
  <c r="B103" i="11"/>
  <c r="B130" i="11"/>
  <c r="B131" i="11"/>
  <c r="I131" i="11" l="1"/>
  <c r="I62" i="11"/>
  <c r="I130" i="11"/>
  <c r="I103" i="11"/>
  <c r="I244" i="11"/>
  <c r="I245" i="11"/>
  <c r="B184" i="11"/>
  <c r="B211" i="11"/>
  <c r="B175" i="11"/>
  <c r="B192" i="11"/>
  <c r="B177" i="11"/>
  <c r="B185" i="11"/>
  <c r="B216" i="11"/>
  <c r="H169" i="11"/>
  <c r="B174" i="11"/>
  <c r="B293" i="11"/>
  <c r="B188" i="11"/>
  <c r="B167" i="11"/>
  <c r="B180" i="11"/>
  <c r="I184" i="11" l="1"/>
  <c r="I180" i="11"/>
  <c r="I167" i="11"/>
  <c r="H175" i="11"/>
  <c r="I175" i="11"/>
  <c r="H188" i="11"/>
  <c r="I188" i="11"/>
  <c r="H216" i="11"/>
  <c r="I216" i="11"/>
  <c r="H185" i="11"/>
  <c r="I185" i="11"/>
  <c r="H293" i="11"/>
  <c r="I293" i="11"/>
  <c r="H174" i="11"/>
  <c r="I174" i="11"/>
  <c r="H177" i="11"/>
  <c r="I177" i="11"/>
  <c r="H192" i="11"/>
  <c r="I192" i="11"/>
  <c r="H211" i="11"/>
  <c r="I211" i="11"/>
  <c r="B24" i="11"/>
  <c r="B4" i="11"/>
  <c r="B27" i="11"/>
  <c r="L33" i="15"/>
  <c r="N33" i="15" s="1"/>
  <c r="B45" i="11"/>
  <c r="B83" i="11"/>
  <c r="B7" i="11"/>
  <c r="B10" i="11"/>
  <c r="B9" i="11"/>
  <c r="B61" i="11"/>
  <c r="I61" i="11" l="1"/>
  <c r="I4" i="11"/>
  <c r="I9" i="11"/>
  <c r="I45" i="11"/>
  <c r="H7" i="11"/>
  <c r="I7" i="11"/>
  <c r="H27" i="11"/>
  <c r="I27" i="11"/>
  <c r="H83" i="11"/>
  <c r="I83" i="11"/>
  <c r="H10" i="11"/>
  <c r="I10" i="11"/>
  <c r="H24" i="11"/>
  <c r="I24" i="11"/>
  <c r="H4" i="11"/>
  <c r="H45" i="11"/>
  <c r="H9" i="11"/>
  <c r="H61" i="11"/>
  <c r="B149" i="11"/>
  <c r="B82" i="11"/>
  <c r="B42" i="11"/>
  <c r="B44" i="11"/>
  <c r="B84" i="11"/>
  <c r="B22" i="11"/>
  <c r="B60" i="11"/>
  <c r="B213" i="11"/>
  <c r="I22" i="11" l="1"/>
  <c r="I84" i="11"/>
  <c r="I42" i="11"/>
  <c r="I44" i="11"/>
  <c r="I149" i="11"/>
  <c r="I213" i="11"/>
  <c r="I60" i="11"/>
  <c r="H82" i="11"/>
  <c r="I82" i="11"/>
  <c r="H149" i="11"/>
  <c r="H42" i="11"/>
  <c r="H44" i="11"/>
  <c r="H84" i="11"/>
  <c r="H22" i="11"/>
  <c r="H60" i="11"/>
  <c r="H213" i="11"/>
  <c r="B162" i="11" l="1"/>
  <c r="B129" i="11"/>
  <c r="B127" i="11"/>
  <c r="Z5" i="15"/>
  <c r="AB5" i="15" s="1"/>
  <c r="Z6" i="15"/>
  <c r="AB6" i="15" s="1"/>
  <c r="Z7" i="15"/>
  <c r="AB7" i="15" s="1"/>
  <c r="Z8" i="15"/>
  <c r="AB8" i="15" s="1"/>
  <c r="Z9" i="15"/>
  <c r="AB9" i="15" s="1"/>
  <c r="Z10" i="15"/>
  <c r="AB10" i="15" s="1"/>
  <c r="Z11" i="15"/>
  <c r="AB11" i="15" s="1"/>
  <c r="Z12" i="15"/>
  <c r="AB12" i="15" s="1"/>
  <c r="Z13" i="15"/>
  <c r="AB13" i="15" s="1"/>
  <c r="Z14" i="15"/>
  <c r="AB14" i="15" s="1"/>
  <c r="Z15" i="15"/>
  <c r="AB15" i="15" s="1"/>
  <c r="Z16" i="15"/>
  <c r="AB16" i="15" s="1"/>
  <c r="Z17" i="15"/>
  <c r="AB17" i="15" s="1"/>
  <c r="Z18" i="15"/>
  <c r="AB18" i="15" s="1"/>
  <c r="Z19" i="15"/>
  <c r="AB19" i="15" s="1"/>
  <c r="Z20" i="15"/>
  <c r="AB20" i="15" s="1"/>
  <c r="Z21" i="15"/>
  <c r="AB21" i="15" s="1"/>
  <c r="Z22" i="15"/>
  <c r="AB22" i="15" s="1"/>
  <c r="Z23" i="15"/>
  <c r="AB23" i="15" s="1"/>
  <c r="Z24" i="15"/>
  <c r="AB24" i="15" s="1"/>
  <c r="Z25" i="15"/>
  <c r="AB25" i="15" s="1"/>
  <c r="Z26" i="15"/>
  <c r="AB26" i="15" s="1"/>
  <c r="Z27" i="15"/>
  <c r="AB27" i="15" s="1"/>
  <c r="Z28" i="15"/>
  <c r="AB28" i="15" s="1"/>
  <c r="Z29" i="15"/>
  <c r="AB29" i="15" s="1"/>
  <c r="Z30" i="15"/>
  <c r="AB30" i="15" s="1"/>
  <c r="Z31" i="15"/>
  <c r="AB31" i="15" s="1"/>
  <c r="Z32" i="15"/>
  <c r="AB32" i="15" s="1"/>
  <c r="Z33" i="15"/>
  <c r="AB33" i="15" s="1"/>
  <c r="S5" i="15"/>
  <c r="U5" i="15" s="1"/>
  <c r="S6" i="15"/>
  <c r="U6" i="15" s="1"/>
  <c r="S7" i="15"/>
  <c r="U7" i="15" s="1"/>
  <c r="S8" i="15"/>
  <c r="U8" i="15" s="1"/>
  <c r="S9" i="15"/>
  <c r="U9" i="15" s="1"/>
  <c r="S10" i="15"/>
  <c r="U10" i="15" s="1"/>
  <c r="S11" i="15"/>
  <c r="U11" i="15" s="1"/>
  <c r="S12" i="15"/>
  <c r="U12" i="15" s="1"/>
  <c r="S13" i="15"/>
  <c r="U13" i="15" s="1"/>
  <c r="S14" i="15"/>
  <c r="U14" i="15" s="1"/>
  <c r="S15" i="15"/>
  <c r="U15" i="15" s="1"/>
  <c r="S16" i="15"/>
  <c r="U16" i="15" s="1"/>
  <c r="S17" i="15"/>
  <c r="U17" i="15" s="1"/>
  <c r="S18" i="15"/>
  <c r="U18" i="15" s="1"/>
  <c r="S19" i="15"/>
  <c r="U19" i="15" s="1"/>
  <c r="S20" i="15"/>
  <c r="U20" i="15" s="1"/>
  <c r="S21" i="15"/>
  <c r="U21" i="15" s="1"/>
  <c r="S22" i="15"/>
  <c r="U22" i="15" s="1"/>
  <c r="S23" i="15"/>
  <c r="U23" i="15" s="1"/>
  <c r="S24" i="15"/>
  <c r="U24" i="15" s="1"/>
  <c r="S25" i="15"/>
  <c r="U25" i="15" s="1"/>
  <c r="S26" i="15"/>
  <c r="U26" i="15" s="1"/>
  <c r="S27" i="15"/>
  <c r="U27" i="15" s="1"/>
  <c r="S28" i="15"/>
  <c r="U28" i="15" s="1"/>
  <c r="S29" i="15"/>
  <c r="U29" i="15" s="1"/>
  <c r="S30" i="15"/>
  <c r="U30" i="15" s="1"/>
  <c r="S31" i="15"/>
  <c r="U31" i="15" s="1"/>
  <c r="S32" i="15"/>
  <c r="U32" i="15" s="1"/>
  <c r="S33" i="15"/>
  <c r="U33" i="15" s="1"/>
  <c r="Z4" i="15"/>
  <c r="AB4" i="15" s="1"/>
  <c r="S4" i="15"/>
  <c r="U4" i="15" s="1"/>
  <c r="L5" i="15"/>
  <c r="N5" i="15" s="1"/>
  <c r="L6" i="15"/>
  <c r="N6" i="15" s="1"/>
  <c r="L7" i="15"/>
  <c r="N7" i="15" s="1"/>
  <c r="L8" i="15"/>
  <c r="N8" i="15" s="1"/>
  <c r="L9" i="15"/>
  <c r="N9" i="15" s="1"/>
  <c r="L10" i="15"/>
  <c r="N10" i="15" s="1"/>
  <c r="L11" i="15"/>
  <c r="N11" i="15" s="1"/>
  <c r="L12" i="15"/>
  <c r="N12" i="15" s="1"/>
  <c r="L13" i="15"/>
  <c r="N13" i="15" s="1"/>
  <c r="L14" i="15"/>
  <c r="N14" i="15" s="1"/>
  <c r="L15" i="15"/>
  <c r="N15" i="15" s="1"/>
  <c r="L16" i="15"/>
  <c r="N16" i="15" s="1"/>
  <c r="L17" i="15"/>
  <c r="N17" i="15" s="1"/>
  <c r="L18" i="15"/>
  <c r="N18" i="15" s="1"/>
  <c r="L19" i="15"/>
  <c r="N19" i="15" s="1"/>
  <c r="L20" i="15"/>
  <c r="N20" i="15" s="1"/>
  <c r="L21" i="15"/>
  <c r="N21" i="15" s="1"/>
  <c r="L22" i="15"/>
  <c r="N22" i="15" s="1"/>
  <c r="L23" i="15"/>
  <c r="N23" i="15" s="1"/>
  <c r="L24" i="15"/>
  <c r="N24" i="15" s="1"/>
  <c r="L25" i="15"/>
  <c r="N25" i="15" s="1"/>
  <c r="L26" i="15"/>
  <c r="N26" i="15" s="1"/>
  <c r="L27" i="15"/>
  <c r="N27" i="15" s="1"/>
  <c r="L28" i="15"/>
  <c r="N28" i="15" s="1"/>
  <c r="L29" i="15"/>
  <c r="N29" i="15" s="1"/>
  <c r="L30" i="15"/>
  <c r="N30" i="15" s="1"/>
  <c r="L31" i="15"/>
  <c r="N31" i="15" s="1"/>
  <c r="L32" i="15"/>
  <c r="N32" i="15" s="1"/>
  <c r="L4" i="15"/>
  <c r="N4" i="15" s="1"/>
  <c r="E5" i="15"/>
  <c r="G5" i="15" s="1"/>
  <c r="E6" i="15"/>
  <c r="G6" i="15" s="1"/>
  <c r="E7" i="15"/>
  <c r="G7" i="15" s="1"/>
  <c r="E8" i="15"/>
  <c r="G8" i="15" s="1"/>
  <c r="E9" i="15"/>
  <c r="G9" i="15" s="1"/>
  <c r="E10" i="15"/>
  <c r="G10" i="15" s="1"/>
  <c r="E11" i="15"/>
  <c r="G11" i="15" s="1"/>
  <c r="E12" i="15"/>
  <c r="G12" i="15" s="1"/>
  <c r="E13" i="15"/>
  <c r="G13" i="15" s="1"/>
  <c r="E14" i="15"/>
  <c r="G14" i="15" s="1"/>
  <c r="E15" i="15"/>
  <c r="G15" i="15" s="1"/>
  <c r="E16" i="15"/>
  <c r="G16" i="15" s="1"/>
  <c r="E17" i="15"/>
  <c r="G17" i="15" s="1"/>
  <c r="E18" i="15"/>
  <c r="G18" i="15" s="1"/>
  <c r="E19" i="15"/>
  <c r="G19" i="15" s="1"/>
  <c r="E20" i="15"/>
  <c r="G20" i="15" s="1"/>
  <c r="E21" i="15"/>
  <c r="G21" i="15" s="1"/>
  <c r="E22" i="15"/>
  <c r="G22" i="15" s="1"/>
  <c r="E23" i="15"/>
  <c r="G23" i="15" s="1"/>
  <c r="E24" i="15"/>
  <c r="G24" i="15" s="1"/>
  <c r="E25" i="15"/>
  <c r="G25" i="15" s="1"/>
  <c r="E26" i="15"/>
  <c r="G26" i="15" s="1"/>
  <c r="E27" i="15"/>
  <c r="G27" i="15" s="1"/>
  <c r="E28" i="15"/>
  <c r="G28" i="15" s="1"/>
  <c r="E29" i="15"/>
  <c r="G29" i="15" s="1"/>
  <c r="E30" i="15"/>
  <c r="G30" i="15" s="1"/>
  <c r="E31" i="15"/>
  <c r="G31" i="15" s="1"/>
  <c r="E32" i="15"/>
  <c r="G32" i="15" s="1"/>
  <c r="E33" i="15"/>
  <c r="G33" i="15" s="1"/>
  <c r="E4" i="15"/>
  <c r="G4" i="15" s="1"/>
  <c r="H244" i="11"/>
  <c r="H103" i="11"/>
  <c r="H101" i="11"/>
  <c r="H130" i="11"/>
  <c r="H131" i="11"/>
  <c r="B124" i="11"/>
  <c r="B113" i="11"/>
  <c r="B102" i="11"/>
  <c r="B108" i="11"/>
  <c r="B120" i="11"/>
  <c r="B145" i="11"/>
  <c r="I145" i="11" l="1"/>
  <c r="I113" i="11"/>
  <c r="I120" i="11"/>
  <c r="I108" i="11"/>
  <c r="I102" i="11"/>
  <c r="I127" i="11"/>
  <c r="I124" i="11"/>
  <c r="I129" i="11"/>
  <c r="H162" i="11"/>
  <c r="I162" i="11"/>
  <c r="H129" i="11"/>
  <c r="H145" i="11"/>
  <c r="H120" i="11"/>
  <c r="H108" i="11"/>
  <c r="H102" i="11"/>
  <c r="H113" i="11"/>
  <c r="H124" i="11"/>
  <c r="B99" i="11"/>
  <c r="B133" i="11"/>
  <c r="B89" i="11"/>
  <c r="I133" i="11" l="1"/>
  <c r="I99" i="11"/>
  <c r="I89" i="11"/>
  <c r="H89" i="11"/>
  <c r="H133" i="11"/>
  <c r="H99" i="11"/>
  <c r="B76" i="11"/>
  <c r="B95" i="11"/>
  <c r="I76" i="11" l="1"/>
  <c r="I95" i="11"/>
  <c r="H95" i="11"/>
  <c r="H76" i="11"/>
  <c r="B8" i="11"/>
  <c r="B13" i="11"/>
  <c r="B14" i="11"/>
  <c r="B15" i="11"/>
  <c r="B16" i="11"/>
  <c r="B17" i="11"/>
  <c r="B19" i="11"/>
  <c r="B21" i="11"/>
  <c r="B18" i="11"/>
  <c r="B20" i="11"/>
  <c r="B23" i="11"/>
  <c r="B25" i="11"/>
  <c r="B26" i="11"/>
  <c r="B28" i="11"/>
  <c r="B29" i="11"/>
  <c r="B30" i="11"/>
  <c r="B32" i="11"/>
  <c r="B34" i="11"/>
  <c r="B35" i="11"/>
  <c r="B73" i="11"/>
  <c r="B31" i="11"/>
  <c r="B33" i="11"/>
  <c r="B36" i="11"/>
  <c r="B37" i="11"/>
  <c r="B38" i="11"/>
  <c r="B39" i="11"/>
  <c r="B43" i="11"/>
  <c r="B47" i="11"/>
  <c r="B46" i="11"/>
  <c r="B52" i="11"/>
  <c r="B75" i="11"/>
  <c r="B59" i="11"/>
  <c r="B56" i="11"/>
  <c r="B40" i="11"/>
  <c r="B72" i="11"/>
  <c r="B57" i="11"/>
  <c r="B67" i="11"/>
  <c r="B74" i="11"/>
  <c r="B68" i="11"/>
  <c r="B69" i="11"/>
  <c r="B80" i="11"/>
  <c r="B78" i="11"/>
  <c r="B81" i="11"/>
  <c r="B41" i="11"/>
  <c r="B50" i="11"/>
  <c r="B64" i="11"/>
  <c r="B51" i="11"/>
  <c r="B53" i="11"/>
  <c r="B58" i="11"/>
  <c r="B63" i="11"/>
  <c r="B54" i="11"/>
  <c r="B77" i="11"/>
  <c r="B48" i="11"/>
  <c r="B49" i="11"/>
  <c r="B55" i="11"/>
  <c r="B65" i="11"/>
  <c r="B186" i="11"/>
  <c r="B70" i="11"/>
  <c r="B66" i="11"/>
  <c r="B246" i="11"/>
  <c r="B178" i="11"/>
  <c r="B71" i="11"/>
  <c r="B179" i="11"/>
  <c r="B112" i="11"/>
  <c r="B97" i="11"/>
  <c r="B79" i="11"/>
  <c r="B126" i="11"/>
  <c r="B85" i="11"/>
  <c r="B125" i="11"/>
  <c r="B146" i="11"/>
  <c r="B86" i="11"/>
  <c r="B88" i="11"/>
  <c r="B92" i="11"/>
  <c r="B90" i="11"/>
  <c r="B91" i="11"/>
  <c r="B98" i="11"/>
  <c r="B144" i="11"/>
  <c r="B138" i="11"/>
  <c r="B196" i="11"/>
  <c r="B100" i="11"/>
  <c r="B93" i="11"/>
  <c r="B123" i="11"/>
  <c r="B122" i="11"/>
  <c r="B143" i="11"/>
  <c r="B142" i="11"/>
  <c r="B121" i="11"/>
  <c r="B141" i="11"/>
  <c r="B148" i="11"/>
  <c r="B154" i="11"/>
  <c r="B134" i="11"/>
  <c r="B107" i="11"/>
  <c r="B104" i="11"/>
  <c r="B106" i="11"/>
  <c r="B151" i="11"/>
  <c r="B105" i="11"/>
  <c r="B153" i="11"/>
  <c r="B128" i="11"/>
  <c r="B132" i="11"/>
  <c r="B115" i="11"/>
  <c r="B118" i="11"/>
  <c r="B117" i="11"/>
  <c r="B114" i="11"/>
  <c r="B109" i="11"/>
  <c r="B111" i="11"/>
  <c r="B116" i="11"/>
  <c r="B147" i="11"/>
  <c r="B152" i="11"/>
  <c r="B119" i="11"/>
  <c r="B135" i="11"/>
  <c r="B140" i="11"/>
  <c r="B136" i="11"/>
  <c r="B137" i="11"/>
  <c r="B139" i="11"/>
  <c r="B163" i="11"/>
  <c r="B158" i="11"/>
  <c r="B87" i="11"/>
  <c r="B94" i="11"/>
  <c r="B6" i="11"/>
  <c r="B96" i="11"/>
  <c r="B150" i="11"/>
  <c r="B157" i="11"/>
  <c r="B156" i="11"/>
  <c r="B164" i="11"/>
  <c r="B160" i="11"/>
  <c r="B159" i="11"/>
  <c r="B161" i="11"/>
  <c r="B173" i="11"/>
  <c r="B165" i="11"/>
  <c r="B166" i="11"/>
  <c r="B170" i="11"/>
  <c r="B176" i="11"/>
  <c r="B168" i="11"/>
  <c r="B171" i="11"/>
  <c r="B207" i="11"/>
  <c r="B221" i="11"/>
  <c r="B204" i="11"/>
  <c r="B182" i="11"/>
  <c r="B181" i="11"/>
  <c r="B183" i="11"/>
  <c r="B190" i="11"/>
  <c r="B205" i="11"/>
  <c r="B189" i="11"/>
  <c r="B210" i="11"/>
  <c r="B191" i="11"/>
  <c r="B209" i="11"/>
  <c r="B234" i="11"/>
  <c r="B187" i="11"/>
  <c r="B252" i="11"/>
  <c r="B195" i="11"/>
  <c r="B199" i="11"/>
  <c r="B193" i="11"/>
  <c r="B194" i="11"/>
  <c r="B201" i="11"/>
  <c r="B218" i="11"/>
  <c r="B198" i="11"/>
  <c r="B202" i="11"/>
  <c r="B208" i="11"/>
  <c r="B223" i="11"/>
  <c r="B224" i="11"/>
  <c r="B197" i="11"/>
  <c r="B206" i="11"/>
  <c r="B215" i="11"/>
  <c r="B212" i="11"/>
  <c r="B277" i="11"/>
  <c r="B295" i="11"/>
  <c r="B228" i="11"/>
  <c r="B312" i="11"/>
  <c r="B323" i="11"/>
  <c r="B222" i="11"/>
  <c r="B233" i="11"/>
  <c r="B217" i="11"/>
  <c r="B229" i="11"/>
  <c r="B220" i="11"/>
  <c r="B219" i="11"/>
  <c r="B232" i="11"/>
  <c r="B227" i="11"/>
  <c r="B230" i="11"/>
  <c r="B256" i="11"/>
  <c r="B225" i="11"/>
  <c r="B235" i="11"/>
  <c r="B241" i="11"/>
  <c r="B231" i="11"/>
  <c r="B243" i="11"/>
  <c r="B242" i="11"/>
  <c r="B250" i="11"/>
  <c r="B299" i="11"/>
  <c r="B240" i="11"/>
  <c r="B238" i="11"/>
  <c r="B287" i="11"/>
  <c r="B237" i="11"/>
  <c r="B286" i="11"/>
  <c r="B490" i="11"/>
  <c r="B254" i="11"/>
  <c r="B279" i="11"/>
  <c r="B253" i="11"/>
  <c r="B236" i="11"/>
  <c r="B262" i="11"/>
  <c r="B110" i="11"/>
  <c r="B255" i="11"/>
  <c r="B258" i="11"/>
  <c r="B268" i="11"/>
  <c r="B281" i="11"/>
  <c r="B239" i="11"/>
  <c r="B251" i="11"/>
  <c r="B269" i="11"/>
  <c r="B263" i="11"/>
  <c r="B257" i="11"/>
  <c r="B275" i="11"/>
  <c r="B261" i="11"/>
  <c r="B273" i="11"/>
  <c r="B265" i="11"/>
  <c r="B270" i="11"/>
  <c r="B282" i="11"/>
  <c r="B290" i="11"/>
  <c r="B298" i="11"/>
  <c r="B306" i="11"/>
  <c r="B266" i="11"/>
  <c r="B271" i="11"/>
  <c r="B283" i="11"/>
  <c r="B280" i="11"/>
  <c r="B276" i="11"/>
  <c r="B278" i="11"/>
  <c r="B267" i="11"/>
  <c r="B289" i="11"/>
  <c r="B285" i="11"/>
  <c r="B311" i="11"/>
  <c r="B291" i="11"/>
  <c r="B292" i="11"/>
  <c r="B284" i="11"/>
  <c r="B301" i="11"/>
  <c r="B297" i="11"/>
  <c r="B309" i="11"/>
  <c r="B308" i="11"/>
  <c r="B310" i="11"/>
  <c r="B354" i="11"/>
  <c r="B489" i="11"/>
  <c r="B885" i="11"/>
  <c r="B359" i="11"/>
  <c r="B746" i="11"/>
  <c r="B300" i="11"/>
  <c r="B329" i="11"/>
  <c r="B484" i="11"/>
  <c r="B316" i="11"/>
  <c r="B922" i="11"/>
  <c r="B941" i="11"/>
  <c r="B369" i="11"/>
  <c r="B313" i="11"/>
  <c r="B317" i="11"/>
  <c r="B358" i="11"/>
  <c r="B856" i="11"/>
  <c r="B876" i="11"/>
  <c r="B356" i="11"/>
  <c r="B752" i="11"/>
  <c r="B325" i="11"/>
  <c r="B331" i="11"/>
  <c r="B361" i="11"/>
  <c r="B579" i="11"/>
  <c r="B864" i="11"/>
  <c r="B12" i="11"/>
  <c r="B322" i="11"/>
  <c r="B351" i="11"/>
  <c r="B348" i="11"/>
  <c r="B324" i="11"/>
  <c r="B344" i="11"/>
  <c r="I384" i="11"/>
  <c r="B327" i="11"/>
  <c r="B347" i="11"/>
  <c r="B381" i="11"/>
  <c r="B333" i="11"/>
  <c r="B350" i="11"/>
  <c r="B488" i="11"/>
  <c r="B875" i="11"/>
  <c r="B896" i="11"/>
  <c r="B332" i="11"/>
  <c r="B346" i="11"/>
  <c r="B391" i="11"/>
  <c r="B345" i="11"/>
  <c r="B364" i="11"/>
  <c r="B374" i="11"/>
  <c r="B362" i="11"/>
  <c r="B365" i="11"/>
  <c r="B387" i="11"/>
  <c r="B353" i="11"/>
  <c r="B385" i="11"/>
  <c r="B371" i="11"/>
  <c r="B375" i="11"/>
  <c r="B372" i="11"/>
  <c r="B377" i="11"/>
  <c r="B368" i="11"/>
  <c r="B367" i="11"/>
  <c r="B376" i="11"/>
  <c r="B378" i="11"/>
  <c r="B370" i="11"/>
  <c r="B349" i="11"/>
  <c r="B390" i="11"/>
  <c r="B388" i="11"/>
  <c r="B420" i="11"/>
  <c r="B392" i="11"/>
  <c r="B366" i="11"/>
  <c r="B410" i="11"/>
  <c r="B393" i="11"/>
  <c r="B874" i="11"/>
  <c r="B882" i="11"/>
  <c r="B475" i="11"/>
  <c r="B389" i="11"/>
  <c r="B394" i="11"/>
  <c r="B386" i="11"/>
  <c r="B400" i="11"/>
  <c r="B408" i="11"/>
  <c r="B399" i="11"/>
  <c r="B407" i="11"/>
  <c r="B428" i="11"/>
  <c r="B405" i="11"/>
  <c r="B418" i="11"/>
  <c r="B429" i="11"/>
  <c r="B412" i="11"/>
  <c r="B411" i="11"/>
  <c r="B363" i="11"/>
  <c r="B397" i="11"/>
  <c r="B414" i="11"/>
  <c r="B423" i="11"/>
  <c r="B409" i="11"/>
  <c r="B380" i="11"/>
  <c r="B402" i="11"/>
  <c r="B413" i="11"/>
  <c r="B468" i="11"/>
  <c r="B406" i="11"/>
  <c r="B416" i="11"/>
  <c r="B417" i="11"/>
  <c r="B451" i="11"/>
  <c r="B436" i="11"/>
  <c r="B424" i="11"/>
  <c r="B449" i="11"/>
  <c r="B425" i="11"/>
  <c r="B438" i="11"/>
  <c r="B435" i="11"/>
  <c r="B447" i="11"/>
  <c r="B437" i="11"/>
  <c r="B443" i="11"/>
  <c r="B422" i="11"/>
  <c r="B442" i="11"/>
  <c r="B396" i="11"/>
  <c r="B433" i="11"/>
  <c r="B441" i="11"/>
  <c r="B477" i="11"/>
  <c r="B529" i="11"/>
  <c r="B582" i="11"/>
  <c r="B871" i="11"/>
  <c r="B883" i="11"/>
  <c r="B469" i="11"/>
  <c r="B849" i="11"/>
  <c r="B628" i="11"/>
  <c r="B440" i="11"/>
  <c r="B455" i="11"/>
  <c r="B467" i="11"/>
  <c r="B811" i="11"/>
  <c r="B419" i="11"/>
  <c r="B452" i="11"/>
  <c r="B473" i="11"/>
  <c r="B480" i="11"/>
  <c r="B522" i="11"/>
  <c r="B532" i="11"/>
  <c r="B544" i="11"/>
  <c r="B494" i="11"/>
  <c r="B702" i="11"/>
  <c r="B710" i="11"/>
  <c r="B724" i="11"/>
  <c r="B426" i="11"/>
  <c r="B439" i="11"/>
  <c r="B466" i="11"/>
  <c r="B536" i="11"/>
  <c r="B548" i="11"/>
  <c r="B463" i="11"/>
  <c r="B444" i="11"/>
  <c r="B456" i="11"/>
  <c r="B520" i="11"/>
  <c r="B531" i="11"/>
  <c r="B540" i="11"/>
  <c r="B470" i="11"/>
  <c r="B462" i="11"/>
  <c r="B464" i="11"/>
  <c r="B483" i="11"/>
  <c r="B458" i="11"/>
  <c r="B454" i="11"/>
  <c r="B497" i="11"/>
  <c r="B459" i="11"/>
  <c r="B639" i="11"/>
  <c r="B499" i="11"/>
  <c r="B527" i="11"/>
  <c r="B555" i="11"/>
  <c r="B550" i="11"/>
  <c r="B472" i="11"/>
  <c r="B482" i="11"/>
  <c r="B526" i="11"/>
  <c r="B537" i="11"/>
  <c r="B549" i="11"/>
  <c r="B421" i="11"/>
  <c r="B476" i="11"/>
  <c r="B513" i="11"/>
  <c r="B862" i="11"/>
  <c r="B868" i="11"/>
  <c r="B491" i="11"/>
  <c r="B5" i="11"/>
  <c r="X33" i="15"/>
  <c r="Q33" i="15"/>
  <c r="J33" i="15"/>
  <c r="C33" i="15"/>
  <c r="X32" i="15"/>
  <c r="Q32" i="15"/>
  <c r="J32" i="15"/>
  <c r="C32" i="15"/>
  <c r="X31" i="15"/>
  <c r="Q31" i="15"/>
  <c r="J31" i="15"/>
  <c r="C31" i="15"/>
  <c r="X30" i="15"/>
  <c r="Q30" i="15"/>
  <c r="J30" i="15"/>
  <c r="C30" i="15"/>
  <c r="X29" i="15"/>
  <c r="Q29" i="15"/>
  <c r="J29" i="15"/>
  <c r="C29" i="15"/>
  <c r="X28" i="15"/>
  <c r="Q28" i="15"/>
  <c r="J28" i="15"/>
  <c r="C28" i="15"/>
  <c r="X27" i="15"/>
  <c r="Q27" i="15"/>
  <c r="J27" i="15"/>
  <c r="C27" i="15"/>
  <c r="X26" i="15"/>
  <c r="Q26" i="15"/>
  <c r="J26" i="15"/>
  <c r="C26" i="15"/>
  <c r="X25" i="15"/>
  <c r="Q25" i="15"/>
  <c r="J25" i="15"/>
  <c r="C25" i="15"/>
  <c r="X24" i="15"/>
  <c r="Q24" i="15"/>
  <c r="J24" i="15"/>
  <c r="C24" i="15"/>
  <c r="X23" i="15"/>
  <c r="Q23" i="15"/>
  <c r="J23" i="15"/>
  <c r="C23" i="15"/>
  <c r="X22" i="15"/>
  <c r="Q22" i="15"/>
  <c r="J22" i="15"/>
  <c r="C22" i="15"/>
  <c r="X21" i="15"/>
  <c r="Q21" i="15"/>
  <c r="J21" i="15"/>
  <c r="C21" i="15"/>
  <c r="X20" i="15"/>
  <c r="Q20" i="15"/>
  <c r="J20" i="15"/>
  <c r="C20" i="15"/>
  <c r="X19" i="15"/>
  <c r="Q19" i="15"/>
  <c r="J19" i="15"/>
  <c r="C19" i="15"/>
  <c r="X18" i="15"/>
  <c r="Q18" i="15"/>
  <c r="J18" i="15"/>
  <c r="C18" i="15"/>
  <c r="X17" i="15"/>
  <c r="Q17" i="15"/>
  <c r="J17" i="15"/>
  <c r="C17" i="15"/>
  <c r="X16" i="15"/>
  <c r="Q16" i="15"/>
  <c r="J16" i="15"/>
  <c r="C16" i="15"/>
  <c r="X15" i="15"/>
  <c r="Q15" i="15"/>
  <c r="J15" i="15"/>
  <c r="C15" i="15"/>
  <c r="X14" i="15"/>
  <c r="Q14" i="15"/>
  <c r="J14" i="15"/>
  <c r="C14" i="15"/>
  <c r="X13" i="15"/>
  <c r="Q13" i="15"/>
  <c r="J13" i="15"/>
  <c r="C13" i="15"/>
  <c r="X12" i="15"/>
  <c r="Q12" i="15"/>
  <c r="J12" i="15"/>
  <c r="C12" i="15"/>
  <c r="X11" i="15"/>
  <c r="Q11" i="15"/>
  <c r="J11" i="15"/>
  <c r="C11" i="15"/>
  <c r="X10" i="15"/>
  <c r="Q10" i="15"/>
  <c r="J10" i="15"/>
  <c r="C10" i="15"/>
  <c r="X9" i="15"/>
  <c r="Q9" i="15"/>
  <c r="J9" i="15"/>
  <c r="C9" i="15"/>
  <c r="X8" i="15"/>
  <c r="Q8" i="15"/>
  <c r="J8" i="15"/>
  <c r="C8" i="15"/>
  <c r="X7" i="15"/>
  <c r="Q7" i="15"/>
  <c r="J7" i="15"/>
  <c r="C7" i="15"/>
  <c r="X6" i="15"/>
  <c r="Q6" i="15"/>
  <c r="J6" i="15"/>
  <c r="C6" i="15"/>
  <c r="X5" i="15"/>
  <c r="Q5" i="15"/>
  <c r="J5" i="15"/>
  <c r="C5" i="15"/>
  <c r="X4" i="15"/>
  <c r="Q4" i="15"/>
  <c r="J4" i="15"/>
  <c r="C4" i="15"/>
  <c r="I388" i="11" l="1"/>
  <c r="I387" i="11"/>
  <c r="I381" i="11"/>
  <c r="I361" i="11"/>
  <c r="I316" i="11"/>
  <c r="I284" i="11"/>
  <c r="I298" i="11"/>
  <c r="I268" i="11"/>
  <c r="I240" i="11"/>
  <c r="I220" i="11"/>
  <c r="I224" i="11"/>
  <c r="I209" i="11"/>
  <c r="I176" i="11"/>
  <c r="I94" i="11"/>
  <c r="I109" i="11"/>
  <c r="I154" i="11"/>
  <c r="I91" i="11"/>
  <c r="I178" i="11"/>
  <c r="I51" i="11"/>
  <c r="I56" i="11"/>
  <c r="I35" i="11"/>
  <c r="I16" i="11"/>
  <c r="I420" i="11"/>
  <c r="I579" i="11"/>
  <c r="I306" i="11"/>
  <c r="I219" i="11"/>
  <c r="I168" i="11"/>
  <c r="I134" i="11"/>
  <c r="I53" i="11"/>
  <c r="I17" i="11"/>
  <c r="I527" i="11"/>
  <c r="I532" i="11"/>
  <c r="I491" i="11"/>
  <c r="I456" i="11"/>
  <c r="I871" i="11"/>
  <c r="I438" i="11"/>
  <c r="I423" i="11"/>
  <c r="I408" i="11"/>
  <c r="I390" i="11"/>
  <c r="I365" i="11"/>
  <c r="I347" i="11"/>
  <c r="I331" i="11"/>
  <c r="I484" i="11"/>
  <c r="I292" i="11"/>
  <c r="I290" i="11"/>
  <c r="I258" i="11"/>
  <c r="I299" i="11"/>
  <c r="I229" i="11"/>
  <c r="I223" i="11"/>
  <c r="I170" i="11"/>
  <c r="I87" i="11"/>
  <c r="I114" i="11"/>
  <c r="I148" i="11"/>
  <c r="I90" i="11"/>
  <c r="I246" i="11"/>
  <c r="I64" i="11"/>
  <c r="I59" i="11"/>
  <c r="I34" i="11"/>
  <c r="I15" i="11"/>
  <c r="I710" i="11"/>
  <c r="I468" i="11"/>
  <c r="I410" i="11"/>
  <c r="I369" i="11"/>
  <c r="I269" i="11"/>
  <c r="I212" i="11"/>
  <c r="I157" i="11"/>
  <c r="I196" i="11"/>
  <c r="I702" i="11"/>
  <c r="I443" i="11"/>
  <c r="I405" i="11"/>
  <c r="I488" i="11"/>
  <c r="I941" i="11"/>
  <c r="I271" i="11"/>
  <c r="I251" i="11"/>
  <c r="I227" i="11"/>
  <c r="I252" i="11"/>
  <c r="I147" i="11"/>
  <c r="I104" i="11"/>
  <c r="I112" i="11"/>
  <c r="I63" i="11"/>
  <c r="I33" i="11"/>
  <c r="I550" i="11"/>
  <c r="I540" i="11"/>
  <c r="I469" i="11"/>
  <c r="I402" i="11"/>
  <c r="I392" i="11"/>
  <c r="I350" i="11"/>
  <c r="I922" i="11"/>
  <c r="I266" i="11"/>
  <c r="I287" i="11"/>
  <c r="I206" i="11"/>
  <c r="I171" i="11"/>
  <c r="I96" i="11"/>
  <c r="I107" i="11"/>
  <c r="I144" i="11"/>
  <c r="I58" i="11"/>
  <c r="I72" i="11"/>
  <c r="I31" i="11"/>
  <c r="I555" i="11"/>
  <c r="I544" i="11"/>
  <c r="I447" i="11"/>
  <c r="I407" i="11"/>
  <c r="I333" i="11"/>
  <c r="I281" i="11"/>
  <c r="I238" i="11"/>
  <c r="I197" i="11"/>
  <c r="I234" i="11"/>
  <c r="I6" i="11"/>
  <c r="I111" i="11"/>
  <c r="I98" i="11"/>
  <c r="I71" i="11"/>
  <c r="I40" i="11"/>
  <c r="I73" i="11"/>
  <c r="I5" i="11"/>
  <c r="I520" i="11"/>
  <c r="I435" i="11"/>
  <c r="I409" i="11"/>
  <c r="I499" i="11"/>
  <c r="I522" i="11"/>
  <c r="I868" i="11"/>
  <c r="I639" i="11"/>
  <c r="I444" i="11"/>
  <c r="I480" i="11"/>
  <c r="I425" i="11"/>
  <c r="I414" i="11"/>
  <c r="I400" i="11"/>
  <c r="I349" i="11"/>
  <c r="I362" i="11"/>
  <c r="I327" i="11"/>
  <c r="I325" i="11"/>
  <c r="I329" i="11"/>
  <c r="I291" i="11"/>
  <c r="I282" i="11"/>
  <c r="I255" i="11"/>
  <c r="I250" i="11"/>
  <c r="I217" i="11"/>
  <c r="I208" i="11"/>
  <c r="I210" i="11"/>
  <c r="I166" i="11"/>
  <c r="I158" i="11"/>
  <c r="I117" i="11"/>
  <c r="I141" i="11"/>
  <c r="I92" i="11"/>
  <c r="I66" i="11"/>
  <c r="I50" i="11"/>
  <c r="I75" i="11"/>
  <c r="I32" i="11"/>
  <c r="I14" i="11"/>
  <c r="I883" i="11"/>
  <c r="I399" i="11"/>
  <c r="I862" i="11"/>
  <c r="I459" i="11"/>
  <c r="I463" i="11"/>
  <c r="I473" i="11"/>
  <c r="I582" i="11"/>
  <c r="I449" i="11"/>
  <c r="I386" i="11"/>
  <c r="I370" i="11"/>
  <c r="I374" i="11"/>
  <c r="I752" i="11"/>
  <c r="I300" i="11"/>
  <c r="I311" i="11"/>
  <c r="I270" i="11"/>
  <c r="I110" i="11"/>
  <c r="I242" i="11"/>
  <c r="I233" i="11"/>
  <c r="I202" i="11"/>
  <c r="I189" i="11"/>
  <c r="I165" i="11"/>
  <c r="I163" i="11"/>
  <c r="I118" i="11"/>
  <c r="I121" i="11"/>
  <c r="I88" i="11"/>
  <c r="I70" i="11"/>
  <c r="I41" i="11"/>
  <c r="I52" i="11"/>
  <c r="I30" i="11"/>
  <c r="I13" i="11"/>
  <c r="I12" i="11"/>
  <c r="I309" i="11"/>
  <c r="I237" i="11"/>
  <c r="I215" i="11"/>
  <c r="I207" i="11"/>
  <c r="I150" i="11"/>
  <c r="I138" i="11"/>
  <c r="I57" i="11"/>
  <c r="I21" i="11"/>
  <c r="I494" i="11"/>
  <c r="I437" i="11"/>
  <c r="I428" i="11"/>
  <c r="I385" i="11"/>
  <c r="I864" i="11"/>
  <c r="I297" i="11"/>
  <c r="I239" i="11"/>
  <c r="I232" i="11"/>
  <c r="I187" i="11"/>
  <c r="I116" i="11"/>
  <c r="I179" i="11"/>
  <c r="I19" i="11"/>
  <c r="I531" i="11"/>
  <c r="I380" i="11"/>
  <c r="I353" i="11"/>
  <c r="I301" i="11"/>
  <c r="I513" i="11"/>
  <c r="I497" i="11"/>
  <c r="I548" i="11"/>
  <c r="I452" i="11"/>
  <c r="I529" i="11"/>
  <c r="I424" i="11"/>
  <c r="I397" i="11"/>
  <c r="I394" i="11"/>
  <c r="I378" i="11"/>
  <c r="I364" i="11"/>
  <c r="I344" i="11"/>
  <c r="I356" i="11"/>
  <c r="I746" i="11"/>
  <c r="I285" i="11"/>
  <c r="I265" i="11"/>
  <c r="I262" i="11"/>
  <c r="I243" i="11"/>
  <c r="I222" i="11"/>
  <c r="I198" i="11"/>
  <c r="I205" i="11"/>
  <c r="I173" i="11"/>
  <c r="I139" i="11"/>
  <c r="I115" i="11"/>
  <c r="I142" i="11"/>
  <c r="I86" i="11"/>
  <c r="I186" i="11"/>
  <c r="I81" i="11"/>
  <c r="I46" i="11"/>
  <c r="I29" i="11"/>
  <c r="I8" i="11"/>
  <c r="I80" i="11"/>
  <c r="I43" i="11"/>
  <c r="I26" i="11"/>
  <c r="I482" i="11"/>
  <c r="I462" i="11"/>
  <c r="I628" i="11"/>
  <c r="I418" i="11"/>
  <c r="I375" i="11"/>
  <c r="I875" i="11"/>
  <c r="I308" i="11"/>
  <c r="I283" i="11"/>
  <c r="I230" i="11"/>
  <c r="I195" i="11"/>
  <c r="I152" i="11"/>
  <c r="I97" i="11"/>
  <c r="I472" i="11"/>
  <c r="I849" i="11"/>
  <c r="I413" i="11"/>
  <c r="I371" i="11"/>
  <c r="I454" i="11"/>
  <c r="I419" i="11"/>
  <c r="I436" i="11"/>
  <c r="I363" i="11"/>
  <c r="I389" i="11"/>
  <c r="I345" i="11"/>
  <c r="I324" i="11"/>
  <c r="I359" i="11"/>
  <c r="I289" i="11"/>
  <c r="I236" i="11"/>
  <c r="I231" i="11"/>
  <c r="I218" i="11"/>
  <c r="I161" i="11"/>
  <c r="I137" i="11"/>
  <c r="I143" i="11"/>
  <c r="I146" i="11"/>
  <c r="I78" i="11"/>
  <c r="I28" i="11"/>
  <c r="I458" i="11"/>
  <c r="I811" i="11"/>
  <c r="I441" i="11"/>
  <c r="I411" i="11"/>
  <c r="I367" i="11"/>
  <c r="I348" i="11"/>
  <c r="I856" i="11"/>
  <c r="I885" i="11"/>
  <c r="I261" i="11"/>
  <c r="I253" i="11"/>
  <c r="I241" i="11"/>
  <c r="I201" i="11"/>
  <c r="I183" i="11"/>
  <c r="I159" i="11"/>
  <c r="I136" i="11"/>
  <c r="I128" i="11"/>
  <c r="I122" i="11"/>
  <c r="I125" i="11"/>
  <c r="I55" i="11"/>
  <c r="I549" i="11"/>
  <c r="I483" i="11"/>
  <c r="I439" i="11"/>
  <c r="I467" i="11"/>
  <c r="I433" i="11"/>
  <c r="I417" i="11"/>
  <c r="I412" i="11"/>
  <c r="I368" i="11"/>
  <c r="I346" i="11"/>
  <c r="I351" i="11"/>
  <c r="I358" i="11"/>
  <c r="I489" i="11"/>
  <c r="I278" i="11"/>
  <c r="I275" i="11"/>
  <c r="I279" i="11"/>
  <c r="I235" i="11"/>
  <c r="I228" i="11"/>
  <c r="I194" i="11"/>
  <c r="I181" i="11"/>
  <c r="I160" i="11"/>
  <c r="I140" i="11"/>
  <c r="I153" i="11"/>
  <c r="I123" i="11"/>
  <c r="I85" i="11"/>
  <c r="I49" i="11"/>
  <c r="I69" i="11"/>
  <c r="I39" i="11"/>
  <c r="I25" i="11"/>
  <c r="I377" i="11"/>
  <c r="I332" i="11"/>
  <c r="I317" i="11"/>
  <c r="I354" i="11"/>
  <c r="I276" i="11"/>
  <c r="I257" i="11"/>
  <c r="I254" i="11"/>
  <c r="I225" i="11"/>
  <c r="I295" i="11"/>
  <c r="I193" i="11"/>
  <c r="I182" i="11"/>
  <c r="I164" i="11"/>
  <c r="I135" i="11"/>
  <c r="I105" i="11"/>
  <c r="I93" i="11"/>
  <c r="I126" i="11"/>
  <c r="I48" i="11"/>
  <c r="I68" i="11"/>
  <c r="I38" i="11"/>
  <c r="I23" i="11"/>
  <c r="I422" i="11"/>
  <c r="I286" i="11"/>
  <c r="I221" i="11"/>
  <c r="I106" i="11"/>
  <c r="I470" i="11"/>
  <c r="I366" i="11"/>
  <c r="I476" i="11"/>
  <c r="I536" i="11"/>
  <c r="I477" i="11"/>
  <c r="I376" i="11"/>
  <c r="I876" i="11"/>
  <c r="I273" i="11"/>
  <c r="I323" i="11"/>
  <c r="I190" i="11"/>
  <c r="I132" i="11"/>
  <c r="I65" i="11"/>
  <c r="I47" i="11"/>
  <c r="I421" i="11"/>
  <c r="I466" i="11"/>
  <c r="I451" i="11"/>
  <c r="I475" i="11"/>
  <c r="I391" i="11"/>
  <c r="I267" i="11"/>
  <c r="I312" i="11"/>
  <c r="I537" i="11"/>
  <c r="I464" i="11"/>
  <c r="I426" i="11"/>
  <c r="I455" i="11"/>
  <c r="I396" i="11"/>
  <c r="I416" i="11"/>
  <c r="I429" i="11"/>
  <c r="I526" i="11"/>
  <c r="I724" i="11"/>
  <c r="I440" i="11"/>
  <c r="I442" i="11"/>
  <c r="I406" i="11"/>
  <c r="I393" i="11"/>
  <c r="I372" i="11"/>
  <c r="I896" i="11"/>
  <c r="I322" i="11"/>
  <c r="I313" i="11"/>
  <c r="I310" i="11"/>
  <c r="I280" i="11"/>
  <c r="I263" i="11"/>
  <c r="I490" i="11"/>
  <c r="I256" i="11"/>
  <c r="I277" i="11"/>
  <c r="I199" i="11"/>
  <c r="I204" i="11"/>
  <c r="I156" i="11"/>
  <c r="I119" i="11"/>
  <c r="I151" i="11"/>
  <c r="I100" i="11"/>
  <c r="I79" i="11"/>
  <c r="I77" i="11"/>
  <c r="I74" i="11"/>
  <c r="I37" i="11"/>
  <c r="I20" i="11"/>
  <c r="I54" i="11"/>
  <c r="I67" i="11"/>
  <c r="I36" i="11"/>
  <c r="I18" i="11"/>
  <c r="H191" i="11"/>
  <c r="I191" i="11"/>
  <c r="H874" i="11"/>
  <c r="I874" i="11"/>
  <c r="H882" i="11"/>
  <c r="I882" i="11"/>
  <c r="H5" i="11"/>
  <c r="H491" i="11"/>
  <c r="H868" i="11"/>
  <c r="H862" i="11"/>
  <c r="H513" i="11"/>
  <c r="H476" i="11"/>
  <c r="H421" i="11"/>
  <c r="H549" i="11"/>
  <c r="H537" i="11"/>
  <c r="H526" i="11"/>
  <c r="H482" i="11"/>
  <c r="H472" i="11"/>
  <c r="H550" i="11"/>
  <c r="H555" i="11"/>
  <c r="H527" i="11"/>
  <c r="H499" i="11"/>
  <c r="H639" i="11"/>
  <c r="H459" i="11"/>
  <c r="H497" i="11"/>
  <c r="H454" i="11"/>
  <c r="H458" i="11"/>
  <c r="H483" i="11"/>
  <c r="H465" i="11"/>
  <c r="H464" i="11"/>
  <c r="H462" i="11"/>
  <c r="H470" i="11"/>
  <c r="H431" i="11"/>
  <c r="H540" i="11"/>
  <c r="H531" i="11"/>
  <c r="H520" i="11"/>
  <c r="H456" i="11"/>
  <c r="H444" i="11"/>
  <c r="H463" i="11"/>
  <c r="H548" i="11"/>
  <c r="H536" i="11"/>
  <c r="H466" i="11"/>
  <c r="H439" i="11"/>
  <c r="H426" i="11"/>
  <c r="H724" i="11"/>
  <c r="H710" i="11"/>
  <c r="H702" i="11"/>
  <c r="H494" i="11"/>
  <c r="H544" i="11"/>
  <c r="H532" i="11"/>
  <c r="H522" i="11"/>
  <c r="H480" i="11"/>
  <c r="H473" i="11"/>
  <c r="H452" i="11"/>
  <c r="H419" i="11"/>
  <c r="H811" i="11"/>
  <c r="H467" i="11"/>
  <c r="H455" i="11"/>
  <c r="H440" i="11"/>
  <c r="H628" i="11"/>
  <c r="H849" i="11"/>
  <c r="H469" i="11"/>
  <c r="H883" i="11"/>
  <c r="H871" i="11"/>
  <c r="H582" i="11"/>
  <c r="H529" i="11"/>
  <c r="H477" i="11"/>
  <c r="H441" i="11"/>
  <c r="H433" i="11"/>
  <c r="H396" i="11"/>
  <c r="H442" i="11"/>
  <c r="H422" i="11"/>
  <c r="H443" i="11"/>
  <c r="H437" i="11"/>
  <c r="H447" i="11"/>
  <c r="H435" i="11"/>
  <c r="H438" i="11"/>
  <c r="H425" i="11"/>
  <c r="H449" i="11"/>
  <c r="H424" i="11"/>
  <c r="H461" i="11"/>
  <c r="H436" i="11"/>
  <c r="H451" i="11"/>
  <c r="H417" i="11"/>
  <c r="H416" i="11"/>
  <c r="H406" i="11"/>
  <c r="H468" i="11"/>
  <c r="H413" i="11"/>
  <c r="H402" i="11"/>
  <c r="H380" i="11"/>
  <c r="H409" i="11"/>
  <c r="H423" i="11"/>
  <c r="H414" i="11"/>
  <c r="H698" i="11"/>
  <c r="H397" i="11"/>
  <c r="H363" i="11"/>
  <c r="H411" i="11"/>
  <c r="H412" i="11"/>
  <c r="H429" i="11"/>
  <c r="H418" i="11"/>
  <c r="H405" i="11"/>
  <c r="H428" i="11"/>
  <c r="H407" i="11"/>
  <c r="H399" i="11"/>
  <c r="H408" i="11"/>
  <c r="H400" i="11"/>
  <c r="H386" i="11"/>
  <c r="H394" i="11"/>
  <c r="H389" i="11"/>
  <c r="H475" i="11"/>
  <c r="H393" i="11"/>
  <c r="H410" i="11"/>
  <c r="H366" i="11"/>
  <c r="H392" i="11"/>
  <c r="H420" i="11"/>
  <c r="H388" i="11"/>
  <c r="H390" i="11"/>
  <c r="H349" i="11"/>
  <c r="H370" i="11"/>
  <c r="H378" i="11"/>
  <c r="H376" i="11"/>
  <c r="H367" i="11"/>
  <c r="H368" i="11"/>
  <c r="H377" i="11"/>
  <c r="H372" i="11"/>
  <c r="H375" i="11"/>
  <c r="H371" i="11"/>
  <c r="H385" i="11"/>
  <c r="H353" i="11"/>
  <c r="H387" i="11"/>
  <c r="H365" i="11"/>
  <c r="H362" i="11"/>
  <c r="H374" i="11"/>
  <c r="H364" i="11"/>
  <c r="H345" i="11"/>
  <c r="H391" i="11"/>
  <c r="H346" i="11"/>
  <c r="H332" i="11"/>
  <c r="H896" i="11"/>
  <c r="H875" i="11"/>
  <c r="H488" i="11"/>
  <c r="H350" i="11"/>
  <c r="H333" i="11"/>
  <c r="H381" i="11"/>
  <c r="H427" i="11"/>
  <c r="H398" i="11"/>
  <c r="H347" i="11"/>
  <c r="H327" i="11"/>
  <c r="H384" i="11"/>
  <c r="H344" i="11"/>
  <c r="H324" i="11"/>
  <c r="H348" i="11"/>
  <c r="H326" i="11"/>
  <c r="H379" i="11"/>
  <c r="H343" i="11"/>
  <c r="H355" i="11"/>
  <c r="H373" i="11"/>
  <c r="H328" i="11"/>
  <c r="H321" i="11"/>
  <c r="H318" i="11"/>
  <c r="H330" i="11"/>
  <c r="H884" i="11"/>
  <c r="H486" i="11"/>
  <c r="H668" i="11"/>
  <c r="H351" i="11"/>
  <c r="H335" i="11"/>
  <c r="H337" i="11"/>
  <c r="H339" i="11"/>
  <c r="H336" i="11"/>
  <c r="H338" i="11"/>
  <c r="H342" i="11"/>
  <c r="H341" i="11"/>
  <c r="H334" i="11"/>
  <c r="H340" i="11"/>
  <c r="H322" i="11"/>
  <c r="H11" i="11"/>
  <c r="H12" i="11"/>
  <c r="H864" i="11"/>
  <c r="H579" i="11"/>
  <c r="H361" i="11"/>
  <c r="H331" i="11"/>
  <c r="H325" i="11"/>
  <c r="H752" i="11"/>
  <c r="H356" i="11"/>
  <c r="H876" i="11"/>
  <c r="H856" i="11"/>
  <c r="H358" i="11"/>
  <c r="H317" i="11"/>
  <c r="H313" i="11"/>
  <c r="H369" i="11"/>
  <c r="H941" i="11"/>
  <c r="H922" i="11"/>
  <c r="H316" i="11"/>
  <c r="H484" i="11"/>
  <c r="H329" i="11"/>
  <c r="H300" i="11"/>
  <c r="H746" i="11"/>
  <c r="H359" i="11"/>
  <c r="H885" i="11"/>
  <c r="H489" i="11"/>
  <c r="H354" i="11"/>
  <c r="H310" i="11"/>
  <c r="H308" i="11"/>
  <c r="H309" i="11"/>
  <c r="H776" i="11"/>
  <c r="H315" i="11"/>
  <c r="H320" i="11"/>
  <c r="H889" i="11"/>
  <c r="H487" i="11"/>
  <c r="H314" i="11"/>
  <c r="H898" i="11"/>
  <c r="H305" i="11"/>
  <c r="H296" i="11"/>
  <c r="H401" i="11"/>
  <c r="H294" i="11"/>
  <c r="H297" i="11"/>
  <c r="H301" i="11"/>
  <c r="H284" i="11"/>
  <c r="H292" i="11"/>
  <c r="H291" i="11"/>
  <c r="H311" i="11"/>
  <c r="H285" i="11"/>
  <c r="H289" i="11"/>
  <c r="H352" i="11"/>
  <c r="H272" i="11"/>
  <c r="H267" i="11"/>
  <c r="H278" i="11"/>
  <c r="H276" i="11"/>
  <c r="H280" i="11"/>
  <c r="H274" i="11"/>
  <c r="H304" i="11"/>
  <c r="H288" i="11"/>
  <c r="H283" i="11"/>
  <c r="H271" i="11"/>
  <c r="H266" i="11"/>
  <c r="H306" i="11"/>
  <c r="H298" i="11"/>
  <c r="H290" i="11"/>
  <c r="H282" i="11"/>
  <c r="H270" i="11"/>
  <c r="H265" i="11"/>
  <c r="H273" i="11"/>
  <c r="H261" i="11"/>
  <c r="H275" i="11"/>
  <c r="H257" i="11"/>
  <c r="H264" i="11"/>
  <c r="H263" i="11"/>
  <c r="H269" i="11"/>
  <c r="H251" i="11"/>
  <c r="H239" i="11"/>
  <c r="H281" i="11"/>
  <c r="H268" i="11"/>
  <c r="H258" i="11"/>
  <c r="H255" i="11"/>
  <c r="H110" i="11"/>
  <c r="H262" i="11"/>
  <c r="H236" i="11"/>
  <c r="H253" i="11"/>
  <c r="H279" i="11"/>
  <c r="H254" i="11"/>
  <c r="H490" i="11"/>
  <c r="H307" i="11"/>
  <c r="H249" i="11"/>
  <c r="H286" i="11"/>
  <c r="H237" i="11"/>
  <c r="H287" i="11"/>
  <c r="H238" i="11"/>
  <c r="H240" i="11"/>
  <c r="H299" i="11"/>
  <c r="H250" i="11"/>
  <c r="H242" i="11"/>
  <c r="H243" i="11"/>
  <c r="H231" i="11"/>
  <c r="H241" i="11"/>
  <c r="H235" i="11"/>
  <c r="H225" i="11"/>
  <c r="H256" i="11"/>
  <c r="H230" i="11"/>
  <c r="H227" i="11"/>
  <c r="H232" i="11"/>
  <c r="H219" i="11"/>
  <c r="H220" i="11"/>
  <c r="H229" i="11"/>
  <c r="H217" i="11"/>
  <c r="H233" i="11"/>
  <c r="H222" i="11"/>
  <c r="H323" i="11"/>
  <c r="H312" i="11"/>
  <c r="H214" i="11"/>
  <c r="H228" i="11"/>
  <c r="H295" i="11"/>
  <c r="H277" i="11"/>
  <c r="H212" i="11"/>
  <c r="H215" i="11"/>
  <c r="H206" i="11"/>
  <c r="H197" i="11"/>
  <c r="H224" i="11"/>
  <c r="H223" i="11"/>
  <c r="H208" i="11"/>
  <c r="H202" i="11"/>
  <c r="H245" i="11"/>
  <c r="H198" i="11"/>
  <c r="H218" i="11"/>
  <c r="H201" i="11"/>
  <c r="H194" i="11"/>
  <c r="H193" i="11"/>
  <c r="H199" i="11"/>
  <c r="H195" i="11"/>
  <c r="H252" i="11"/>
  <c r="H187" i="11"/>
  <c r="H234" i="11"/>
  <c r="H209" i="11"/>
  <c r="H200" i="11"/>
  <c r="H184" i="11"/>
  <c r="H210" i="11"/>
  <c r="H189" i="11"/>
  <c r="H205" i="11"/>
  <c r="H190" i="11"/>
  <c r="H183" i="11"/>
  <c r="H181" i="11"/>
  <c r="H182" i="11"/>
  <c r="H204" i="11"/>
  <c r="H221" i="11"/>
  <c r="H207" i="11"/>
  <c r="H171" i="11"/>
  <c r="H168" i="11"/>
  <c r="H172" i="11"/>
  <c r="H176" i="11"/>
  <c r="H170" i="11"/>
  <c r="H180" i="11"/>
  <c r="H167" i="11"/>
  <c r="H166" i="11"/>
  <c r="H165" i="11"/>
  <c r="H173" i="11"/>
  <c r="H161" i="11"/>
  <c r="H159" i="11"/>
  <c r="H160" i="11"/>
  <c r="H164" i="11"/>
  <c r="H156" i="11"/>
  <c r="H157" i="11"/>
  <c r="H150" i="11"/>
  <c r="H96" i="11"/>
  <c r="H6" i="11"/>
  <c r="H94" i="11"/>
  <c r="H87" i="11"/>
  <c r="H158" i="11"/>
  <c r="H163" i="11"/>
  <c r="H139" i="11"/>
  <c r="H137" i="11"/>
  <c r="H136" i="11"/>
  <c r="H140" i="11"/>
  <c r="H135" i="11"/>
  <c r="H127" i="11"/>
  <c r="H119" i="11"/>
  <c r="H152" i="11"/>
  <c r="H147" i="11"/>
  <c r="H116" i="11"/>
  <c r="H111" i="11"/>
  <c r="H109" i="11"/>
  <c r="H114" i="11"/>
  <c r="H117" i="11"/>
  <c r="H118" i="11"/>
  <c r="H115" i="11"/>
  <c r="H132" i="11"/>
  <c r="H128" i="11"/>
  <c r="H153" i="11"/>
  <c r="H105" i="11"/>
  <c r="H151" i="11"/>
  <c r="H106" i="11"/>
  <c r="H104" i="11"/>
  <c r="H107" i="11"/>
  <c r="H134" i="11"/>
  <c r="H154" i="11"/>
  <c r="H148" i="11"/>
  <c r="H141" i="11"/>
  <c r="H121" i="11"/>
  <c r="H142" i="11"/>
  <c r="H143" i="11"/>
  <c r="H122" i="11"/>
  <c r="H123" i="11"/>
  <c r="H93" i="11"/>
  <c r="H100" i="11"/>
  <c r="H196" i="11"/>
  <c r="H138" i="11"/>
  <c r="H144" i="11"/>
  <c r="H98" i="11"/>
  <c r="H91" i="11"/>
  <c r="H90" i="11"/>
  <c r="H92" i="11"/>
  <c r="H88" i="11"/>
  <c r="H86" i="11"/>
  <c r="H146" i="11"/>
  <c r="H125" i="11"/>
  <c r="H85" i="11"/>
  <c r="H126" i="11"/>
  <c r="H79" i="11"/>
  <c r="H97" i="11"/>
  <c r="H112" i="11"/>
  <c r="H179" i="11"/>
  <c r="H71" i="11"/>
  <c r="H178" i="11"/>
  <c r="H246" i="11"/>
  <c r="H66" i="11"/>
  <c r="H70" i="11"/>
  <c r="H186" i="11"/>
  <c r="H65" i="11"/>
  <c r="H55" i="11"/>
  <c r="H49" i="11"/>
  <c r="H48" i="11"/>
  <c r="H77" i="11"/>
  <c r="H54" i="11"/>
  <c r="H63" i="11"/>
  <c r="H58" i="11"/>
  <c r="H53" i="11"/>
  <c r="H51" i="11"/>
  <c r="H64" i="11"/>
  <c r="H50" i="11"/>
  <c r="H41" i="11"/>
  <c r="H81" i="11"/>
  <c r="H78" i="11"/>
  <c r="H80" i="11"/>
  <c r="H69" i="11"/>
  <c r="H68" i="11"/>
  <c r="H74" i="11"/>
  <c r="H67" i="11"/>
  <c r="H57" i="11"/>
  <c r="H62" i="11"/>
  <c r="H72" i="11"/>
  <c r="H40" i="11"/>
  <c r="H56" i="11"/>
  <c r="H59" i="11"/>
  <c r="H75" i="11"/>
  <c r="H52" i="11"/>
  <c r="H46" i="11"/>
  <c r="H47" i="11"/>
  <c r="H43" i="11"/>
  <c r="H39" i="11"/>
  <c r="H38" i="11"/>
  <c r="H37" i="11"/>
  <c r="H36" i="11"/>
  <c r="H33" i="11"/>
  <c r="H31" i="11"/>
  <c r="H73" i="11"/>
  <c r="H35" i="11"/>
  <c r="H34" i="11"/>
  <c r="H32" i="11"/>
  <c r="H30" i="11"/>
  <c r="H29" i="11"/>
  <c r="H28" i="11"/>
  <c r="H26" i="11"/>
  <c r="H25" i="11"/>
  <c r="H23" i="11"/>
  <c r="H20" i="11"/>
  <c r="H18" i="11"/>
  <c r="H21" i="11"/>
  <c r="H19" i="11"/>
  <c r="H17" i="11"/>
  <c r="H16" i="11"/>
  <c r="H15" i="11"/>
  <c r="H14" i="11"/>
  <c r="H13" i="11"/>
  <c r="H8" i="11"/>
  <c r="H31" i="13"/>
  <c r="H30" i="13"/>
  <c r="H23" i="13"/>
  <c r="H16" i="13"/>
  <c r="E9" i="13"/>
  <c r="F9" i="13" s="1"/>
  <c r="H8" i="13"/>
  <c r="H7" i="13"/>
  <c r="I5" i="13"/>
  <c r="J5" i="13" s="1"/>
  <c r="K5" i="13" s="1"/>
  <c r="C3" i="13"/>
  <c r="AA33" i="15" l="1"/>
  <c r="Y33" i="15"/>
  <c r="AA32" i="15"/>
  <c r="Y32" i="15"/>
  <c r="AA31" i="15"/>
  <c r="Y31" i="15"/>
  <c r="AA30" i="15"/>
  <c r="Y30" i="15"/>
  <c r="AA29" i="15"/>
  <c r="Y29" i="15"/>
  <c r="AA28" i="15"/>
  <c r="Y28" i="15"/>
  <c r="AA27" i="15"/>
  <c r="Y27" i="15"/>
  <c r="AA26" i="15"/>
  <c r="Y26" i="15"/>
  <c r="AA25" i="15"/>
  <c r="Y25" i="15"/>
  <c r="AA24" i="15"/>
  <c r="Y24" i="15"/>
  <c r="AA23" i="15"/>
  <c r="Y23" i="15"/>
  <c r="AA22" i="15"/>
  <c r="Y22" i="15"/>
  <c r="AA21" i="15"/>
  <c r="Y21" i="15"/>
  <c r="AA20" i="15"/>
  <c r="Y20" i="15"/>
  <c r="AA19" i="15"/>
  <c r="Y19" i="15"/>
  <c r="AA18" i="15"/>
  <c r="Y18" i="15"/>
  <c r="AA17" i="15"/>
  <c r="Y17" i="15"/>
  <c r="AA16" i="15"/>
  <c r="Y16" i="15"/>
  <c r="AA15" i="15"/>
  <c r="Y15" i="15"/>
  <c r="AA14" i="15"/>
  <c r="Y14" i="15"/>
  <c r="AA13" i="15"/>
  <c r="Y13" i="15"/>
  <c r="AA12" i="15"/>
  <c r="Y12" i="15"/>
  <c r="AA11" i="15"/>
  <c r="Y11" i="15"/>
  <c r="AA10" i="15"/>
  <c r="Y10" i="15"/>
  <c r="AA9" i="15"/>
  <c r="Y9" i="15"/>
  <c r="AA8" i="15"/>
  <c r="Y8" i="15"/>
  <c r="AA7" i="15"/>
  <c r="Y7" i="15"/>
  <c r="AA6" i="15"/>
  <c r="Y6" i="15"/>
  <c r="AA5" i="15"/>
  <c r="Y5" i="15"/>
  <c r="AA4" i="15"/>
  <c r="Y4" i="15"/>
  <c r="T33" i="15"/>
  <c r="R33" i="15"/>
  <c r="T32" i="15"/>
  <c r="R32" i="15"/>
  <c r="T31" i="15"/>
  <c r="R31" i="15"/>
  <c r="T30" i="15"/>
  <c r="R30" i="15"/>
  <c r="T29" i="15"/>
  <c r="R29" i="15"/>
  <c r="T28" i="15"/>
  <c r="R28" i="15"/>
  <c r="T27" i="15"/>
  <c r="R27" i="15"/>
  <c r="T26" i="15"/>
  <c r="R26" i="15"/>
  <c r="T25" i="15"/>
  <c r="R25" i="15"/>
  <c r="T24" i="15"/>
  <c r="R24" i="15"/>
  <c r="T23" i="15"/>
  <c r="R23" i="15"/>
  <c r="T22" i="15"/>
  <c r="R22" i="15"/>
  <c r="T21" i="15"/>
  <c r="R21" i="15"/>
  <c r="T20" i="15"/>
  <c r="R20" i="15"/>
  <c r="T19" i="15"/>
  <c r="R19" i="15"/>
  <c r="T18" i="15"/>
  <c r="R18" i="15"/>
  <c r="T17" i="15"/>
  <c r="R17" i="15"/>
  <c r="T16" i="15"/>
  <c r="R16" i="15"/>
  <c r="T15" i="15"/>
  <c r="R15" i="15"/>
  <c r="T14" i="15"/>
  <c r="R14" i="15"/>
  <c r="T13" i="15"/>
  <c r="R13" i="15"/>
  <c r="T12" i="15"/>
  <c r="R12" i="15"/>
  <c r="T11" i="15"/>
  <c r="R11" i="15"/>
  <c r="T10" i="15"/>
  <c r="R10" i="15"/>
  <c r="T9" i="15"/>
  <c r="R9" i="15"/>
  <c r="T8" i="15"/>
  <c r="R8" i="15"/>
  <c r="T7" i="15"/>
  <c r="R7" i="15"/>
  <c r="T6" i="15"/>
  <c r="R6" i="15"/>
  <c r="T5" i="15"/>
  <c r="R5" i="15"/>
  <c r="T4" i="15"/>
  <c r="R4" i="15"/>
  <c r="M33" i="15"/>
  <c r="K33" i="15"/>
  <c r="M32" i="15"/>
  <c r="K32" i="15"/>
  <c r="M31" i="15"/>
  <c r="K31" i="15"/>
  <c r="M30" i="15"/>
  <c r="K30" i="15"/>
  <c r="M29" i="15"/>
  <c r="K29" i="15"/>
  <c r="M28" i="15"/>
  <c r="K28" i="15"/>
  <c r="M27" i="15"/>
  <c r="K27" i="15"/>
  <c r="M26" i="15"/>
  <c r="K26" i="15"/>
  <c r="M25" i="15"/>
  <c r="K25" i="15"/>
  <c r="M24" i="15"/>
  <c r="K24" i="15"/>
  <c r="M23" i="15"/>
  <c r="K23" i="15"/>
  <c r="M22" i="15"/>
  <c r="K22" i="15"/>
  <c r="M21" i="15"/>
  <c r="K21" i="15"/>
  <c r="M20" i="15"/>
  <c r="K20" i="15"/>
  <c r="M19" i="15"/>
  <c r="K19" i="15"/>
  <c r="M18" i="15"/>
  <c r="K18" i="15"/>
  <c r="M17" i="15"/>
  <c r="K17" i="15"/>
  <c r="M16" i="15"/>
  <c r="K16" i="15"/>
  <c r="M15" i="15"/>
  <c r="K15" i="15"/>
  <c r="M14" i="15"/>
  <c r="K14" i="15"/>
  <c r="M13" i="15"/>
  <c r="K13" i="15"/>
  <c r="M12" i="15"/>
  <c r="K12" i="15"/>
  <c r="M11" i="15"/>
  <c r="K11" i="15"/>
  <c r="M10" i="15"/>
  <c r="K10" i="15"/>
  <c r="M9" i="15"/>
  <c r="K9" i="15"/>
  <c r="M8" i="15"/>
  <c r="K8" i="15"/>
  <c r="M7" i="15"/>
  <c r="K7" i="15"/>
  <c r="M6" i="15"/>
  <c r="K6" i="15"/>
  <c r="M5" i="15"/>
  <c r="K5" i="15"/>
  <c r="M4" i="15"/>
  <c r="K4" i="15"/>
  <c r="I4" i="13"/>
  <c r="I6" i="13"/>
  <c r="J6" i="13"/>
  <c r="L5" i="13"/>
  <c r="K6" i="13"/>
  <c r="F13" i="15" l="1"/>
  <c r="F22" i="15"/>
  <c r="F14" i="15"/>
  <c r="F7" i="15"/>
  <c r="F31" i="15"/>
  <c r="F25" i="15"/>
  <c r="F10" i="15"/>
  <c r="F16" i="15"/>
  <c r="F28" i="15"/>
  <c r="F27" i="15"/>
  <c r="F9" i="15"/>
  <c r="F11" i="15"/>
  <c r="F21" i="15"/>
  <c r="F32" i="15"/>
  <c r="F8" i="15"/>
  <c r="F18" i="15"/>
  <c r="F24" i="15"/>
  <c r="F6" i="15"/>
  <c r="F4" i="15"/>
  <c r="F20" i="15"/>
  <c r="F23" i="15"/>
  <c r="F29" i="15"/>
  <c r="F17" i="15"/>
  <c r="F33" i="15"/>
  <c r="F15" i="15"/>
  <c r="F19" i="15"/>
  <c r="F26" i="15"/>
  <c r="F30" i="15"/>
  <c r="F12" i="15"/>
  <c r="F5" i="15"/>
  <c r="D23" i="15"/>
  <c r="D11" i="15"/>
  <c r="D28" i="15"/>
  <c r="D16" i="15"/>
  <c r="D15" i="15"/>
  <c r="D24" i="15"/>
  <c r="D12" i="15"/>
  <c r="D33" i="15"/>
  <c r="D8" i="15"/>
  <c r="D31" i="15"/>
  <c r="D19" i="15"/>
  <c r="D7" i="15"/>
  <c r="D20" i="15"/>
  <c r="D27" i="15"/>
  <c r="D32" i="15"/>
  <c r="D29" i="15"/>
  <c r="D4" i="15"/>
  <c r="D30" i="15"/>
  <c r="D26" i="15"/>
  <c r="D22" i="15"/>
  <c r="D18" i="15"/>
  <c r="D14" i="15"/>
  <c r="D10" i="15"/>
  <c r="D6" i="15"/>
  <c r="D25" i="15"/>
  <c r="D21" i="15"/>
  <c r="D17" i="15"/>
  <c r="D13" i="15"/>
  <c r="D9" i="15"/>
  <c r="D5" i="15"/>
  <c r="E10" i="13"/>
  <c r="M5" i="13"/>
  <c r="L6" i="13"/>
  <c r="H9" i="13"/>
  <c r="F10" i="13" l="1"/>
  <c r="E12" i="13" s="1"/>
  <c r="E11" i="13"/>
  <c r="F11" i="13" s="1"/>
  <c r="H10" i="13"/>
  <c r="E17" i="13"/>
  <c r="F17" i="13" s="1"/>
  <c r="N5" i="13"/>
  <c r="M6" i="13"/>
  <c r="O5" i="13" l="1"/>
  <c r="N6" i="13"/>
  <c r="H17" i="13"/>
  <c r="E18" i="13" l="1"/>
  <c r="F18" i="13" s="1"/>
  <c r="O6" i="13"/>
  <c r="P5" i="13"/>
  <c r="P6" i="13" l="1"/>
  <c r="P4" i="13"/>
  <c r="Q5" i="13"/>
  <c r="E24" i="13"/>
  <c r="F24" i="13" s="1"/>
  <c r="H18" i="13"/>
  <c r="H24" i="13" l="1"/>
  <c r="Q6" i="13"/>
  <c r="R5" i="13"/>
  <c r="R6" i="13" l="1"/>
  <c r="S5" i="13"/>
  <c r="E25" i="13"/>
  <c r="F25" i="13" s="1"/>
  <c r="F12" i="13" l="1"/>
  <c r="H25" i="13"/>
  <c r="T5" i="13"/>
  <c r="S6" i="13"/>
  <c r="U5" i="13" l="1"/>
  <c r="T6" i="13"/>
  <c r="V5" i="13" l="1"/>
  <c r="U6" i="13"/>
  <c r="W5" i="13" l="1"/>
  <c r="V6" i="13"/>
  <c r="W6" i="13" l="1"/>
  <c r="X5" i="13"/>
  <c r="W4" i="13"/>
  <c r="X6" i="13" l="1"/>
  <c r="Y5" i="13"/>
  <c r="Y6" i="13" l="1"/>
  <c r="Z5" i="13"/>
  <c r="Z6" i="13" l="1"/>
  <c r="AA5" i="13"/>
  <c r="AA6" i="13" l="1"/>
  <c r="AB5" i="13"/>
  <c r="AB6" i="13" l="1"/>
  <c r="AC5" i="13"/>
  <c r="AD5" i="13" l="1"/>
  <c r="AC6" i="13"/>
  <c r="AE5" i="13" l="1"/>
  <c r="AD4" i="13"/>
  <c r="AD6" i="13"/>
  <c r="AE6" i="13" l="1"/>
  <c r="AF5" i="13"/>
  <c r="AF6" i="13" l="1"/>
  <c r="AG5" i="13"/>
  <c r="AH5" i="13" l="1"/>
  <c r="AG6" i="13"/>
  <c r="AI5" i="13" l="1"/>
  <c r="AH6" i="13"/>
  <c r="AI6" i="13" l="1"/>
  <c r="AJ5" i="13"/>
  <c r="AJ6" i="13" l="1"/>
  <c r="AK5" i="13"/>
  <c r="AL5" i="13" l="1"/>
  <c r="AK6" i="13"/>
  <c r="AK4" i="13"/>
  <c r="AM5" i="13" l="1"/>
  <c r="AL6" i="13"/>
  <c r="AM6" i="13" l="1"/>
  <c r="AN5" i="13"/>
  <c r="AN6" i="13" l="1"/>
  <c r="AO5" i="13"/>
  <c r="AP5" i="13" l="1"/>
  <c r="AO6" i="13"/>
  <c r="AQ5" i="13" l="1"/>
  <c r="AP6" i="13"/>
  <c r="AR5" i="13" l="1"/>
  <c r="AQ6" i="13"/>
  <c r="AS5" i="13" l="1"/>
  <c r="AR4" i="13"/>
  <c r="AR6" i="13"/>
  <c r="AT5" i="13" l="1"/>
  <c r="AS6" i="13"/>
  <c r="AU5" i="13" l="1"/>
  <c r="AT6" i="13"/>
  <c r="AU6" i="13" l="1"/>
  <c r="AV5" i="13"/>
  <c r="AV6" i="13" l="1"/>
  <c r="AW5" i="13"/>
  <c r="AX5" i="13" l="1"/>
  <c r="AW6" i="13"/>
  <c r="AX6" i="13" l="1"/>
  <c r="AY5" i="13"/>
  <c r="AY4" i="13" l="1"/>
  <c r="AZ5" i="13"/>
  <c r="AY6" i="13"/>
  <c r="BA5" i="13" l="1"/>
  <c r="AZ6" i="13"/>
  <c r="BB5" i="13" l="1"/>
  <c r="BA6" i="13"/>
  <c r="BC5" i="13" l="1"/>
  <c r="BB6" i="13"/>
  <c r="BC6" i="13" l="1"/>
  <c r="BD5" i="13"/>
  <c r="BD6" i="13" l="1"/>
  <c r="BE5" i="13"/>
  <c r="BE6" i="13" l="1"/>
  <c r="BF5" i="13"/>
  <c r="BF4" i="13" l="1"/>
  <c r="BF6" i="13"/>
  <c r="BG5" i="13"/>
  <c r="BG6" i="13" l="1"/>
  <c r="BH5" i="13"/>
  <c r="BH6" i="13" l="1"/>
  <c r="BI5" i="13"/>
  <c r="BJ5" i="13" l="1"/>
  <c r="BI6" i="13"/>
  <c r="BK5" i="13" l="1"/>
  <c r="BJ6" i="13"/>
  <c r="BK6" i="13" l="1"/>
  <c r="BL5" i="13"/>
  <c r="BL6" i="13" l="1"/>
  <c r="BM5" i="13"/>
  <c r="BN5" i="13" l="1"/>
  <c r="BM6" i="13"/>
  <c r="BM4" i="13"/>
  <c r="BO5" i="13" l="1"/>
  <c r="BN6" i="13"/>
  <c r="BO6" i="13" l="1"/>
  <c r="BP5" i="13"/>
  <c r="BP6" i="13" l="1"/>
  <c r="BQ5" i="13"/>
  <c r="BR5" i="13" l="1"/>
  <c r="BQ6" i="13"/>
  <c r="BS5" i="13" l="1"/>
  <c r="BR6" i="13"/>
  <c r="BS6" i="13" l="1"/>
  <c r="BT5" i="13"/>
  <c r="BT6" i="13" l="1"/>
  <c r="BU5" i="13"/>
  <c r="BT4" i="13"/>
  <c r="BV5" i="13" l="1"/>
  <c r="BU6" i="13"/>
  <c r="BW5" i="13" l="1"/>
  <c r="BV6" i="13"/>
  <c r="BX5" i="13" l="1"/>
  <c r="BW6" i="13"/>
  <c r="BY5" i="13" l="1"/>
  <c r="BX6" i="13"/>
  <c r="BZ5" i="13" l="1"/>
  <c r="BY6" i="13"/>
  <c r="CA5" i="13" l="1"/>
  <c r="BZ6" i="13"/>
  <c r="CA6" i="13" l="1"/>
  <c r="CA4" i="13"/>
  <c r="CB5" i="13"/>
  <c r="CB6" i="13" l="1"/>
  <c r="CC5" i="13"/>
  <c r="CC6" i="13" l="1"/>
  <c r="CD5" i="13"/>
  <c r="CD6" i="13" l="1"/>
  <c r="CE5" i="13"/>
  <c r="CF5" i="13" l="1"/>
  <c r="CE6" i="13"/>
  <c r="CG5" i="13" l="1"/>
  <c r="CF6" i="13"/>
  <c r="CH5" i="13" l="1"/>
  <c r="CG6" i="13"/>
  <c r="CI5" i="13" l="1"/>
  <c r="CH6" i="13"/>
  <c r="CH4" i="13"/>
  <c r="CI6" i="13" l="1"/>
  <c r="CJ5" i="13"/>
  <c r="CJ6" i="13" l="1"/>
  <c r="CK5" i="13"/>
  <c r="CK6" i="13" l="1"/>
  <c r="CL5" i="13"/>
  <c r="CL6" i="13" l="1"/>
  <c r="CM5" i="13"/>
  <c r="CN5" i="13" l="1"/>
  <c r="CM6" i="13"/>
  <c r="CN6" i="13" l="1"/>
  <c r="CO5" i="13"/>
  <c r="CP5" i="13" l="1"/>
  <c r="CO4" i="13"/>
  <c r="CO6" i="13"/>
  <c r="CQ5" i="13" l="1"/>
  <c r="CP6" i="13"/>
  <c r="CQ6" i="13" l="1"/>
  <c r="CR5" i="13"/>
  <c r="CR6" i="13" l="1"/>
  <c r="CS5" i="13"/>
  <c r="CS6" i="13" l="1"/>
  <c r="CT5" i="13"/>
  <c r="CU5" i="13" l="1"/>
  <c r="CT6" i="13"/>
  <c r="CU6" i="13" l="1"/>
  <c r="CV5" i="13"/>
  <c r="CV4" i="13" l="1"/>
  <c r="CV6" i="13"/>
  <c r="CW5" i="13"/>
  <c r="CX5" i="13" l="1"/>
  <c r="CW6" i="13"/>
  <c r="CY5" i="13" l="1"/>
  <c r="CX6" i="13"/>
  <c r="CY6" i="13" l="1"/>
  <c r="CZ5" i="13"/>
  <c r="CZ6" i="13" l="1"/>
  <c r="DA5" i="13"/>
  <c r="DB5" i="13" l="1"/>
  <c r="DA6" i="13"/>
  <c r="DC5" i="13" l="1"/>
  <c r="DB6" i="13"/>
  <c r="DC4" i="13" l="1"/>
  <c r="DD5" i="13"/>
  <c r="DC6" i="13"/>
  <c r="DE5" i="13" l="1"/>
  <c r="DD6" i="13"/>
  <c r="DF5" i="13" l="1"/>
  <c r="DE6" i="13"/>
  <c r="DG5" i="13" l="1"/>
  <c r="DF6" i="13"/>
  <c r="DG6" i="13" l="1"/>
  <c r="DH5" i="13"/>
  <c r="DH6" i="13" l="1"/>
  <c r="DI5" i="13"/>
  <c r="DI6" i="13" l="1"/>
  <c r="DJ5" i="13"/>
  <c r="DJ4" i="13" l="1"/>
  <c r="DJ6" i="13"/>
  <c r="DK5" i="13"/>
  <c r="DL5" i="13" l="1"/>
  <c r="DK6" i="13"/>
  <c r="DM5" i="13" l="1"/>
  <c r="DL6" i="13"/>
  <c r="DN5" i="13" l="1"/>
  <c r="DM6" i="13"/>
  <c r="DO5" i="13" l="1"/>
  <c r="DN6" i="13"/>
  <c r="DO6" i="13" l="1"/>
  <c r="DP5" i="13"/>
  <c r="DP6" i="13" l="1"/>
  <c r="DQ5" i="13"/>
  <c r="DQ4" i="13" l="1"/>
  <c r="DQ6" i="13"/>
  <c r="DR5" i="13"/>
  <c r="DR6" i="13" l="1"/>
  <c r="DS5" i="13"/>
  <c r="DS6" i="13" l="1"/>
  <c r="DT5" i="13"/>
  <c r="DT6" i="13" l="1"/>
  <c r="DU5" i="13"/>
  <c r="DV5" i="13" l="1"/>
  <c r="DU6" i="13"/>
  <c r="DW5" i="13" l="1"/>
  <c r="DV6" i="13"/>
  <c r="DW6" i="13" l="1"/>
  <c r="DX5" i="13"/>
  <c r="DX6" i="13" l="1"/>
  <c r="DX4" i="13"/>
  <c r="DY5" i="13"/>
  <c r="DZ5" i="13" l="1"/>
  <c r="DY6" i="13"/>
  <c r="EA5" i="13" l="1"/>
  <c r="DZ6" i="13"/>
  <c r="EA6" i="13" l="1"/>
  <c r="EB5" i="13"/>
  <c r="EB6" i="13" l="1"/>
  <c r="EC5" i="13"/>
  <c r="ED5" i="13" l="1"/>
  <c r="EC6" i="13"/>
  <c r="EE5" i="13" l="1"/>
  <c r="ED6" i="13"/>
  <c r="EE6" i="13" l="1"/>
  <c r="EF5" i="13"/>
  <c r="EE4" i="13"/>
  <c r="EF6" i="13" l="1"/>
  <c r="EG5" i="13"/>
  <c r="EH5" i="13" l="1"/>
  <c r="EG6" i="13"/>
  <c r="EI5" i="13" l="1"/>
  <c r="EH6" i="13"/>
  <c r="EJ5" i="13" l="1"/>
  <c r="EI6" i="13"/>
  <c r="EK5" i="13" l="1"/>
  <c r="EJ6" i="13"/>
  <c r="EL5" i="13" l="1"/>
  <c r="EK6" i="13"/>
  <c r="EM5" i="13" l="1"/>
  <c r="EL6" i="13"/>
  <c r="EL4" i="13"/>
  <c r="EM6" i="13" l="1"/>
  <c r="EN5" i="13"/>
  <c r="EN6" i="13" l="1"/>
  <c r="EO5" i="13"/>
  <c r="EO6" i="13" l="1"/>
  <c r="EP5" i="13"/>
  <c r="EP6" i="13" l="1"/>
  <c r="EQ5" i="13"/>
  <c r="ER5" i="13" l="1"/>
  <c r="EQ6" i="13"/>
  <c r="ES5" i="13" l="1"/>
  <c r="ER6" i="13"/>
  <c r="ET5" i="13" l="1"/>
  <c r="ES6" i="13"/>
  <c r="ES4" i="13"/>
  <c r="EU5" i="13" l="1"/>
  <c r="ET6" i="13"/>
  <c r="EU6" i="13" l="1"/>
  <c r="EV5" i="13"/>
  <c r="EV6" i="13" l="1"/>
  <c r="EW5" i="13"/>
  <c r="EW6" i="13" l="1"/>
  <c r="EX5" i="13"/>
  <c r="EX6" i="13" l="1"/>
  <c r="EY5" i="13"/>
  <c r="EY6" i="13" l="1"/>
  <c r="EZ5" i="13"/>
  <c r="EZ6" i="13" l="1"/>
  <c r="FA5" i="13"/>
  <c r="EZ4" i="13"/>
  <c r="FB5" i="13" l="1"/>
  <c r="FA6" i="13"/>
  <c r="FC5" i="13" l="1"/>
  <c r="FB6" i="13"/>
  <c r="FC6" i="13" l="1"/>
  <c r="FD5" i="13"/>
  <c r="FD6" i="13" l="1"/>
  <c r="FE5" i="13"/>
  <c r="FF5" i="13" l="1"/>
  <c r="FE6" i="13"/>
  <c r="FG5" i="13" l="1"/>
  <c r="FF6" i="13"/>
  <c r="FG4" i="13" l="1"/>
  <c r="FG6" i="13"/>
  <c r="FH5" i="13"/>
  <c r="FH6" i="13" l="1"/>
  <c r="FI5" i="13"/>
  <c r="FJ5" i="13" l="1"/>
  <c r="FI6" i="13"/>
  <c r="FK5" i="13" l="1"/>
  <c r="FJ6" i="13"/>
  <c r="FK6" i="13" l="1"/>
  <c r="FL5" i="13"/>
  <c r="FL6" i="13" l="1"/>
  <c r="FM5" i="13"/>
  <c r="FN5" i="13" l="1"/>
  <c r="FM6" i="13"/>
  <c r="FN4" i="13" l="1"/>
  <c r="FO5" i="13"/>
  <c r="FN6" i="13"/>
  <c r="FP5" i="13" l="1"/>
  <c r="FO6" i="13"/>
  <c r="FQ5" i="13" l="1"/>
  <c r="FP6" i="13"/>
  <c r="FR5" i="13" l="1"/>
  <c r="FQ6" i="13"/>
  <c r="FS5" i="13" l="1"/>
  <c r="FR6" i="13"/>
  <c r="FS6" i="13" l="1"/>
  <c r="FT5" i="13"/>
  <c r="FT6" i="13" l="1"/>
  <c r="FU5" i="13"/>
  <c r="FU6" i="13" l="1"/>
  <c r="FU4" i="13"/>
  <c r="FV5" i="13"/>
  <c r="FV6" i="13" l="1"/>
  <c r="FW5" i="13"/>
  <c r="FX5" i="13" l="1"/>
  <c r="FW6" i="13"/>
  <c r="FY5" i="13" l="1"/>
  <c r="FX6" i="13"/>
  <c r="FZ5" i="13" l="1"/>
  <c r="FY6" i="13"/>
  <c r="GA5" i="13" l="1"/>
  <c r="FZ6" i="13"/>
  <c r="GA6" i="13" l="1"/>
  <c r="GB5" i="13"/>
  <c r="GB6" i="13" l="1"/>
  <c r="GC5" i="13"/>
  <c r="GB4" i="13"/>
  <c r="GC6" i="13" l="1"/>
  <c r="GD5" i="13"/>
  <c r="GD6" i="13" l="1"/>
  <c r="GE5" i="13"/>
  <c r="GF5" i="13" l="1"/>
  <c r="GE6" i="13"/>
  <c r="GF6" i="13" l="1"/>
  <c r="GG5" i="13"/>
  <c r="GH5" i="13" l="1"/>
  <c r="GG6" i="13"/>
  <c r="GI5" i="13" l="1"/>
  <c r="GH6" i="13"/>
  <c r="GI6" i="13" l="1"/>
  <c r="GI4" i="13"/>
  <c r="GJ5" i="13"/>
  <c r="GJ6" i="13" l="1"/>
  <c r="GK5" i="13"/>
  <c r="GL5" i="13" l="1"/>
  <c r="GK6" i="13"/>
  <c r="GM5" i="13" l="1"/>
  <c r="GL6" i="13"/>
  <c r="GM6" i="13" l="1"/>
  <c r="GN5" i="13"/>
  <c r="GN6" i="13" l="1"/>
  <c r="GO5" i="13"/>
  <c r="GP5" i="13" l="1"/>
  <c r="GO6" i="13"/>
  <c r="GQ5" i="13" l="1"/>
  <c r="GP6" i="13"/>
  <c r="GP4" i="13"/>
  <c r="GQ6" i="13" l="1"/>
  <c r="GR5" i="13"/>
  <c r="GR6" i="13" l="1"/>
  <c r="GS5" i="13"/>
  <c r="GS6" i="13" l="1"/>
  <c r="GT5" i="13"/>
  <c r="GU5" i="13" l="1"/>
  <c r="GT6" i="13"/>
  <c r="GV5" i="13" l="1"/>
  <c r="GU6" i="13"/>
  <c r="GW5" i="13" l="1"/>
  <c r="GV6" i="13"/>
  <c r="GX5" i="13" l="1"/>
  <c r="GW6" i="13"/>
  <c r="GW4" i="13"/>
  <c r="GY5" i="13" l="1"/>
  <c r="GX6" i="13"/>
  <c r="GY6" i="13" l="1"/>
  <c r="GZ5" i="13"/>
  <c r="GZ6" i="13" l="1"/>
  <c r="HA5" i="13"/>
  <c r="HB5" i="13" l="1"/>
  <c r="HA6" i="13"/>
  <c r="HB6" i="13" l="1"/>
  <c r="HC5" i="13"/>
  <c r="HC6" i="13" l="1"/>
  <c r="HD5" i="13"/>
  <c r="HD6" i="13" l="1"/>
  <c r="HE5" i="13"/>
  <c r="HD4" i="13"/>
  <c r="HF5" i="13" l="1"/>
  <c r="HE6" i="13"/>
  <c r="HG5" i="13" l="1"/>
  <c r="HF6" i="13"/>
  <c r="HG6" i="13" l="1"/>
  <c r="HH5" i="13"/>
  <c r="HH6" i="13" l="1"/>
  <c r="HI5" i="13"/>
  <c r="HJ5" i="13" l="1"/>
  <c r="HI6" i="13"/>
  <c r="HJ6" i="13" l="1"/>
  <c r="HK5" i="13"/>
  <c r="HK4" i="13" l="1"/>
  <c r="HL5" i="13"/>
  <c r="HK6" i="13"/>
  <c r="HL6" i="13" l="1"/>
  <c r="HM5" i="13"/>
  <c r="HN5" i="13" l="1"/>
  <c r="HM6" i="13"/>
  <c r="HO5" i="13" l="1"/>
  <c r="HN6" i="13"/>
  <c r="HO6" i="13" l="1"/>
  <c r="HP5" i="13"/>
  <c r="HP6" i="13" l="1"/>
  <c r="HQ5" i="13"/>
  <c r="HQ6" i="13" l="1"/>
  <c r="HR5" i="13"/>
  <c r="HR4" i="13" l="1"/>
  <c r="HR6" i="13"/>
  <c r="HS5" i="13"/>
  <c r="HT5" i="13" l="1"/>
  <c r="HS6" i="13"/>
  <c r="HT6" i="13" l="1"/>
  <c r="HU5" i="13"/>
  <c r="HV5" i="13" l="1"/>
  <c r="HU6" i="13"/>
  <c r="HW5" i="13" l="1"/>
  <c r="HV6" i="13"/>
  <c r="HW6" i="13" l="1"/>
  <c r="HX5" i="13"/>
  <c r="HX6" i="13" l="1"/>
  <c r="HY5" i="13"/>
  <c r="HY4" i="13" l="1"/>
  <c r="HZ5" i="13"/>
  <c r="HY6" i="13"/>
  <c r="IA5" i="13" l="1"/>
  <c r="HZ6" i="13"/>
  <c r="IB5" i="13" l="1"/>
  <c r="IA6" i="13"/>
  <c r="IC5" i="13" l="1"/>
  <c r="IB6" i="13"/>
  <c r="ID5" i="13" l="1"/>
  <c r="IC6" i="13"/>
  <c r="IE5" i="13" l="1"/>
  <c r="IE6" i="13" s="1"/>
  <c r="ID6" i="13"/>
  <c r="H12" i="13"/>
  <c r="E13" i="13" l="1"/>
  <c r="F13" i="13" s="1"/>
  <c r="E19" i="13" l="1"/>
  <c r="F19" i="13" s="1"/>
  <c r="E20" i="13" l="1"/>
  <c r="F20" i="13" s="1"/>
  <c r="H19" i="13"/>
  <c r="E26" i="13" l="1"/>
  <c r="F26" i="13" s="1"/>
  <c r="E27" i="13" l="1"/>
  <c r="F27" i="13" s="1"/>
  <c r="E14" i="13" l="1"/>
  <c r="H27" i="13"/>
  <c r="F14" i="13" l="1"/>
  <c r="E15" i="13" s="1"/>
  <c r="F15" i="13" s="1"/>
  <c r="E21" i="13" l="1"/>
  <c r="F21" i="13" l="1"/>
  <c r="E22" i="13" s="1"/>
  <c r="F22" i="13" s="1"/>
  <c r="E28" i="13" l="1"/>
  <c r="F28" i="13" l="1"/>
  <c r="E29" i="13" s="1"/>
  <c r="F29" i="13" s="1"/>
</calcChain>
</file>

<file path=xl/sharedStrings.xml><?xml version="1.0" encoding="utf-8"?>
<sst xmlns="http://schemas.openxmlformats.org/spreadsheetml/2006/main" count="3917" uniqueCount="802">
  <si>
    <t>Nome</t>
  </si>
  <si>
    <t>Matrícula</t>
  </si>
  <si>
    <t>Início</t>
  </si>
  <si>
    <t>Término</t>
  </si>
  <si>
    <t>DIAS</t>
  </si>
  <si>
    <t>Atividade</t>
  </si>
  <si>
    <t>Detalhamento</t>
  </si>
  <si>
    <t>Plataforma</t>
  </si>
  <si>
    <t>Experiência</t>
  </si>
  <si>
    <t>Campos</t>
  </si>
  <si>
    <t>JAILTON CONCEIÇÃO</t>
  </si>
  <si>
    <t>Treinamento</t>
  </si>
  <si>
    <t>Mark Vie GT, Operation &amp; Maintenance</t>
  </si>
  <si>
    <t>MARCELO RODRIGUES</t>
  </si>
  <si>
    <t>Folga</t>
  </si>
  <si>
    <t>Folga projetada</t>
  </si>
  <si>
    <t>KEVIN RODRIGUES</t>
  </si>
  <si>
    <t>Embarque</t>
  </si>
  <si>
    <t>Embarque P-48</t>
  </si>
  <si>
    <t>Folga de Embarque</t>
  </si>
  <si>
    <t>MARIA CLARA</t>
  </si>
  <si>
    <t>Embarque P-68</t>
  </si>
  <si>
    <t>ANDRE STHEL</t>
  </si>
  <si>
    <t>Embarque P-74</t>
  </si>
  <si>
    <t>ANTONIO DANTAS</t>
  </si>
  <si>
    <t>FOLGA NEGOCIADA</t>
  </si>
  <si>
    <t xml:space="preserve">JOSE LUIS </t>
  </si>
  <si>
    <t>JUNIO AGOSTINHO</t>
  </si>
  <si>
    <t>THIAGO GOMES</t>
  </si>
  <si>
    <t>Visita Técnica</t>
  </si>
  <si>
    <t>VICTOR LÊDO</t>
  </si>
  <si>
    <t>ÁUREO JUNIOR</t>
  </si>
  <si>
    <t>Embarque P-77</t>
  </si>
  <si>
    <t>LM2500 na oficina de turbomáquinas</t>
  </si>
  <si>
    <t>ÉDER DOS REIS</t>
  </si>
  <si>
    <t>JORGE HENRIQUE</t>
  </si>
  <si>
    <t>REINALDO MERENDAZ</t>
  </si>
  <si>
    <t>FELIPE CAHET</t>
  </si>
  <si>
    <t>IGOR TEIXEIRA</t>
  </si>
  <si>
    <t>Redução MB</t>
  </si>
  <si>
    <t>ANDRÉ LARANGEIRA</t>
  </si>
  <si>
    <t>Embarque P-75 + compra da folga projetada CC CGM MIED BÚZIOS ER69SMMA45</t>
  </si>
  <si>
    <t>RAFAEL LUSQUINOS</t>
  </si>
  <si>
    <t>CBSP</t>
  </si>
  <si>
    <t>TADEU MENEGUSSI</t>
  </si>
  <si>
    <t>Embarque P-77 ,compra da folga projetada CC: CGM MIED BÚZIOS ER69SMMA45</t>
  </si>
  <si>
    <t>ANTONIO RAFAEL</t>
  </si>
  <si>
    <t>Workshop</t>
  </si>
  <si>
    <t>Apresentação SLO - Injection</t>
  </si>
  <si>
    <t>Apresentação Gás de processo - MAIN PBAC</t>
  </si>
  <si>
    <t>FABIO CAMILO</t>
  </si>
  <si>
    <t>Requisitante PT</t>
  </si>
  <si>
    <t>Apresentação sobre o Processo do GAS INJECTION (1252) no PBAC</t>
  </si>
  <si>
    <t>RAFAEL VENTURINI</t>
  </si>
  <si>
    <t>Apresentação Main - WO &amp; LO</t>
  </si>
  <si>
    <t>Necessidade pessoal</t>
  </si>
  <si>
    <t>ALEXSANDRO VIANA</t>
  </si>
  <si>
    <t>JULIO CESAR FASSARELA</t>
  </si>
  <si>
    <t>ANDERSON JOSÉ</t>
  </si>
  <si>
    <t>Apoi técnico de execução na parada VRU, TC e TG, na P-76</t>
  </si>
  <si>
    <t>Embarque P-76 + Folga projetada</t>
  </si>
  <si>
    <t>Embarque P-76</t>
  </si>
  <si>
    <t>EDUARDO RIBEIRO</t>
  </si>
  <si>
    <t>Curso: Condições Operacionais Elétricas e Térmicas de Motores Elétricos de Indução</t>
  </si>
  <si>
    <t>Ponte feriado</t>
  </si>
  <si>
    <t>JULIO CESAR BENTO</t>
  </si>
  <si>
    <t>MARCIO ALVES</t>
  </si>
  <si>
    <t>Baixar saldo MB</t>
  </si>
  <si>
    <t>Cancelado</t>
  </si>
  <si>
    <t>Termomacaé</t>
  </si>
  <si>
    <t>DIOGO FRAZÃO</t>
  </si>
  <si>
    <t>Apresentação VRU</t>
  </si>
  <si>
    <t>Atestado médico - cirurgia</t>
  </si>
  <si>
    <t>GE Users Conference</t>
  </si>
  <si>
    <t>Treinamento: Práticas e técnicas recomendadas para instalação de DGS Flowserv em São Caetano do Sul - SP</t>
  </si>
  <si>
    <t>Sistema de Partida TC Injection 1252</t>
  </si>
  <si>
    <t>WS - Injection / Ar de admissão e ventilação</t>
  </si>
  <si>
    <t>Sistema de lubrificação VRU e Gear box</t>
  </si>
  <si>
    <t>Apresentação Compressores PBAC</t>
  </si>
  <si>
    <t>Sistema de Selagem VRU</t>
  </si>
  <si>
    <t>Folga para redução de MB</t>
  </si>
  <si>
    <t>Manutenção de Turbinas a Gás e Análise de Falhas</t>
  </si>
  <si>
    <t>Manutenção TGs e Análise de Falhas</t>
  </si>
  <si>
    <t>Embarque na P-74</t>
  </si>
  <si>
    <t>Treinamento A65</t>
  </si>
  <si>
    <t>NR-35 RELYON MACAÉ</t>
  </si>
  <si>
    <t>Treinamento A35</t>
  </si>
  <si>
    <t>RAUL ALENDE</t>
  </si>
  <si>
    <t>Apoio técnico - Montagem Tubina BUZ</t>
  </si>
  <si>
    <t>Treinamento A35 (8h às 13h)</t>
  </si>
  <si>
    <t>FLÁVIO MARINHO</t>
  </si>
  <si>
    <t>Folga alinhada com Supervisor Marcio</t>
  </si>
  <si>
    <t>Folga Projetada</t>
  </si>
  <si>
    <t>Oratória e Apresentação em Público</t>
  </si>
  <si>
    <t>Folga alinhada com o supervisor Wellington</t>
  </si>
  <si>
    <t>Folga alinhada com Supervisor Wellington</t>
  </si>
  <si>
    <t>Requisitante de PT do E&amp;P - Capacitação inicial</t>
  </si>
  <si>
    <t>Integra Buzios</t>
  </si>
  <si>
    <t>PLAN360</t>
  </si>
  <si>
    <t>NR-35 prática</t>
  </si>
  <si>
    <t>Visita Termomacaé</t>
  </si>
  <si>
    <t>Visita Técnica à Termoelétrica de Macaé</t>
  </si>
  <si>
    <t>Curso externo NR-33</t>
  </si>
  <si>
    <t>Treinamento BN - Campinas SP</t>
  </si>
  <si>
    <t>ANDRE SILVA</t>
  </si>
  <si>
    <t>Curso requisitante de PT</t>
  </si>
  <si>
    <t>LUIZ FERNANDO</t>
  </si>
  <si>
    <t>Treinamento NR 35</t>
  </si>
  <si>
    <t>PABLO ALMEIDA</t>
  </si>
  <si>
    <t>RONALD QUARESMA</t>
  </si>
  <si>
    <t>Requisitante PT (EDIHB)</t>
  </si>
  <si>
    <t>THIELLES GUSTAVO</t>
  </si>
  <si>
    <t>Requisitante de PT do E&amp;P - EDIHB</t>
  </si>
  <si>
    <t>VICTOR CAMPOS</t>
  </si>
  <si>
    <t>BRENO CARVALHO</t>
  </si>
  <si>
    <t>Apoio técnico de execução na P-75</t>
  </si>
  <si>
    <t>TONICLER KUTZ</t>
  </si>
  <si>
    <t>Apresentação - Sistema de Selagem</t>
  </si>
  <si>
    <t>Processo TC-CO2</t>
  </si>
  <si>
    <t>Sistema de partida TC-CO2</t>
  </si>
  <si>
    <t>Thuet</t>
  </si>
  <si>
    <t>Treinamento Bently Performance</t>
  </si>
  <si>
    <t>System One Performance - Bently Nevada</t>
  </si>
  <si>
    <t>Using System 1 Bently Performance</t>
  </si>
  <si>
    <t>T-HUET RelyOn Nutec RJ Barra</t>
  </si>
  <si>
    <t>Embarque P-75 + compra da folga projetada</t>
  </si>
  <si>
    <t>Sistema de lubrificação e Gear box</t>
  </si>
  <si>
    <t>Sistemas de lubrificação com óleo sintético</t>
  </si>
  <si>
    <t>LEANDRO ELOY</t>
  </si>
  <si>
    <t>System 1 - BN Performance (turma 2)</t>
  </si>
  <si>
    <t>NR35</t>
  </si>
  <si>
    <t>Folga alinhada com o Vinicius</t>
  </si>
  <si>
    <t>Termografia - EDIHB</t>
  </si>
  <si>
    <t>Sistema de Combustivel Gás</t>
  </si>
  <si>
    <t>Sistema de Combustivel Diesel</t>
  </si>
  <si>
    <t>Admissão de Ar e Ventilação do TC-CO2</t>
  </si>
  <si>
    <t>Embarque P-75</t>
  </si>
  <si>
    <t>Lista de espera - Aprendendo a Usar o System 1 Evolution</t>
  </si>
  <si>
    <t>Embarque na P-70</t>
  </si>
  <si>
    <t>CBSP - Shelter Cursos</t>
  </si>
  <si>
    <t>RICARDO UEMA</t>
  </si>
  <si>
    <t>Folga alinhada</t>
  </si>
  <si>
    <t>LUIZ SERPA</t>
  </si>
  <si>
    <t>Embarque na P 76</t>
  </si>
  <si>
    <t xml:space="preserve">Treinamento ModBus RTU EAD - manhãs </t>
  </si>
  <si>
    <t>Treinamento presencial termografia Edihb</t>
  </si>
  <si>
    <t>Folga projetada após embarque na P75</t>
  </si>
  <si>
    <t>Folga de 11 dias úteis pós-embarque na P-74</t>
  </si>
  <si>
    <t>Folga projetada após embarque na P76</t>
  </si>
  <si>
    <t>Folga alinhada com supervisor Marcio</t>
  </si>
  <si>
    <t>Selagem a gás de compressores centrífugos</t>
  </si>
  <si>
    <t>Automação Pneumática - Fundamentos</t>
  </si>
  <si>
    <t>Partida de Grandes Máquinas e Testes Antecipados no Campo</t>
  </si>
  <si>
    <t>Partida de Grandes Máquinas</t>
  </si>
  <si>
    <t>Folga de 21 dias úteis pós-embarque na P-70.</t>
  </si>
  <si>
    <t>Registro de Falhas e Manutenções no SAP - ID: 52426984</t>
  </si>
  <si>
    <t>Registro de Falhas e Manutenções no SAP - ID: 52426984 - EDIHB</t>
  </si>
  <si>
    <t>Plan360 EAD - manhã</t>
  </si>
  <si>
    <t>Embarque em P-77</t>
  </si>
  <si>
    <t>Workshop de Boroscopia</t>
  </si>
  <si>
    <t>Folga alinhada com supervisor Marcio Amaral</t>
  </si>
  <si>
    <t>Proteção de S. Elétricos Industriais - EDIHB</t>
  </si>
  <si>
    <t>Embarque na P77</t>
  </si>
  <si>
    <t>Folga alinhada Supervisor Márcio. Abatimento folgas missão exterior.</t>
  </si>
  <si>
    <t>Apresentação Compressores de Anel Liquido - TGRU</t>
  </si>
  <si>
    <t>Folga projetada do embarque</t>
  </si>
  <si>
    <t>Folga de 10 dias úteis pós embarque na P-74</t>
  </si>
  <si>
    <t>Folga de embarque</t>
  </si>
  <si>
    <t>MARCIO AMARAL</t>
  </si>
  <si>
    <t>Folga para abater saldo MB</t>
  </si>
  <si>
    <t>Folga projetada pós embarque - 21 dias úteis</t>
  </si>
  <si>
    <t>T. 156512 - Válvulas de Controle e Válvulas on-off</t>
  </si>
  <si>
    <t>Folga projetada de embarque P-77</t>
  </si>
  <si>
    <t>Treinamento "Princípios de Comissionamento" EAD - Manhãs</t>
  </si>
  <si>
    <t>EDIHB REQUISITANTE DE PT</t>
  </si>
  <si>
    <t>Folga projetada para 21 dias úteis</t>
  </si>
  <si>
    <t>T. 150800 - SELEÇÃO E ESPECIFICAÇÃO DE MATERIAIS - INSTRUMENTAÇÃO</t>
  </si>
  <si>
    <t>Treinamento "SELEÇÃO E ESPECIFICAÇÃO DE MATERIAIS - INSTRUMENTAÇÃO" EAD - Manhãs</t>
  </si>
  <si>
    <t>Embarque na P-77</t>
  </si>
  <si>
    <t>Folga de 11 dias úteis pós-embarque na P-77</t>
  </si>
  <si>
    <t>Treinamento "Tubing para Instrumentação" EAD - Manhãs</t>
  </si>
  <si>
    <t>Embarque P-78</t>
  </si>
  <si>
    <t>Embarque na P-76</t>
  </si>
  <si>
    <t>Folga 19,5 dias uteis embarque P-70</t>
  </si>
  <si>
    <t>Folga Embarque P-78</t>
  </si>
  <si>
    <t>Folga alinhada Supervisor Wellington</t>
  </si>
  <si>
    <t>Folga para abater MB alinhada com sup. Wellington</t>
  </si>
  <si>
    <t>Folga 21 dias uteis embarque P-75</t>
  </si>
  <si>
    <t>Plan360 - Manhã</t>
  </si>
  <si>
    <t>Aula | T.156530 - CLP - Programação em Texto Estruturado</t>
  </si>
  <si>
    <t>Folga alinhada para abatimento de margem de balanço</t>
  </si>
  <si>
    <t>NR33 - RelyOn Nutec Barra da Tijuca</t>
  </si>
  <si>
    <t>Workshop técnico Baker Hughes</t>
  </si>
  <si>
    <t>Mecânica e Manutenção de Turbocompressores</t>
  </si>
  <si>
    <t>Treinamento 143511 - Mecanica e Manutenção de Turbocompressores</t>
  </si>
  <si>
    <t>Folga 21 dias embarque P-75</t>
  </si>
  <si>
    <t>Folga 21 dias uteis embarque P-76</t>
  </si>
  <si>
    <t>Workshop técnico Voith</t>
  </si>
  <si>
    <t>Treinamento "Planejamento de Comissionamento de FPSOs" EAD - Manhãs</t>
  </si>
  <si>
    <t>Treinamento "Planejamento de Comissionamento de FPSOs" (08:00 - 12:00)</t>
  </si>
  <si>
    <t>Treinamento - Planejamento de Comissionamento de FPSOs (manhã)</t>
  </si>
  <si>
    <t>Embarque na P-54</t>
  </si>
  <si>
    <t>Vivencial oficina de turbomáquinas MTBM - Macaé</t>
  </si>
  <si>
    <t>139407 - Metrologia Industrial</t>
  </si>
  <si>
    <t>Folga alinhada com Supervisor Dimitri</t>
  </si>
  <si>
    <t>ALEXANDRE MARTINS</t>
  </si>
  <si>
    <t>Folga negociada com o Supervisor Dimitri (Banco de horas).</t>
  </si>
  <si>
    <t>AURELIO RODRIGUES</t>
  </si>
  <si>
    <t>Folga negociada com o Supervisor Márcio (Banco de horas).</t>
  </si>
  <si>
    <t>Folga alinhada (Margem de balanço)</t>
  </si>
  <si>
    <t>Folga projetada pós embarque - 18 dias úteis</t>
  </si>
  <si>
    <t>139981 - PI-AF - Fundamentos, Padrões e Aplicações na Petrobras - (08:00 - 12:00)</t>
  </si>
  <si>
    <t>Treinamento "PLAN 360" EAD - Manhã</t>
  </si>
  <si>
    <t>Treinamento "Plan 360" (09:00 - 12:00)</t>
  </si>
  <si>
    <t>Treinamento "Plan 360" (08:00 - 12:00)</t>
  </si>
  <si>
    <t>Folga projetada antes da viagem p/ Singapura</t>
  </si>
  <si>
    <t>UP| T. 148841 - Tubing para Instrumentação (08:00 - 12:00)</t>
  </si>
  <si>
    <t>Treinamento "Tubing para Instrumentação." (08:00 - 12:00)</t>
  </si>
  <si>
    <t>Treinamento - requisitante de PT (EDIHB)</t>
  </si>
  <si>
    <t xml:space="preserve">Folga negociada com o supervisor Wellington. Abatimento folgas missão exterior. </t>
  </si>
  <si>
    <t>Folga para abatimento de Banco de Horas</t>
  </si>
  <si>
    <t>Embarque na P-75.</t>
  </si>
  <si>
    <t>Folha negociada com supervisor Márcio</t>
  </si>
  <si>
    <t>Embarque na P-56</t>
  </si>
  <si>
    <t xml:space="preserve">Folga negociada com o Supervisor Wellington. </t>
  </si>
  <si>
    <t>RODRIGO SCORALICK</t>
  </si>
  <si>
    <t>Folga de 7,5 dias úteis pós embarque na P-56, considerando Natal (dias 24/12 e 25/12).</t>
  </si>
  <si>
    <t>Familiarização e Manutenção de LM6000</t>
  </si>
  <si>
    <t>Folga de 9 dias úteis. Embarque P-75</t>
  </si>
  <si>
    <t>FREDERICO AUGUSTO</t>
  </si>
  <si>
    <t>Treinamento NR-33 Relyon Nutec</t>
  </si>
  <si>
    <t>DIMITRI ARAUJO</t>
  </si>
  <si>
    <t>Férias</t>
  </si>
  <si>
    <t>Folga acumulada estaleiro (negociado com sup. Marcio)</t>
  </si>
  <si>
    <t>Folga pós-embarque na P-75.</t>
  </si>
  <si>
    <t>T.169675 - Treinamento da Nova Versão da Ferramenta ARQMED – Arquivos de Medição: O que Mudou e como Usar (09:00 - 12:00)</t>
  </si>
  <si>
    <t>Embarquem em P-77</t>
  </si>
  <si>
    <t>Workshop Boroscopia INOVAR</t>
  </si>
  <si>
    <t>Embarque em 75</t>
  </si>
  <si>
    <t>ANDERSON COUTINHO</t>
  </si>
  <si>
    <t>Folga negociada com Supervisor Wellington (banco de horas)</t>
  </si>
  <si>
    <t>Realização de periodico negociado com Marcio</t>
  </si>
  <si>
    <t>Embarque na P-75</t>
  </si>
  <si>
    <t>Folga negociada</t>
  </si>
  <si>
    <t>Folga de estaleiro</t>
  </si>
  <si>
    <t>Treinamento Vendor: Aero Derivative Gas Turbine, Operation &amp; Maintenance LM6000</t>
  </si>
  <si>
    <t>Jose Luis Oliveira Cruz</t>
  </si>
  <si>
    <t>Folga de embarque em P-77</t>
  </si>
  <si>
    <t>Abater saldo MB</t>
  </si>
  <si>
    <t>Treinamento - THUET - Treinamento em Escape de Helicópteros Submersos em Águas Tropicais.</t>
  </si>
  <si>
    <t>Folga Embarque em 75</t>
  </si>
  <si>
    <t>Baixar saldo estaleito</t>
  </si>
  <si>
    <t>Férias de 30 dias</t>
  </si>
  <si>
    <t xml:space="preserve">Folga de 13 dias uteis pendentes do embarque de nov/25 para P-74 </t>
  </si>
  <si>
    <t>FREDERICO PACHECO</t>
  </si>
  <si>
    <t>NR-37 (Serviços em Instalações Elétricas de Alta Tensão) - Seg e Saúde em Plataformas de Petróleo</t>
  </si>
  <si>
    <t>1° periodo concessivo de férias - 12 dias</t>
  </si>
  <si>
    <t>1ª parcela das férias</t>
  </si>
  <si>
    <t>1° período concessivo de férias - 12 dias</t>
  </si>
  <si>
    <t>1° período concessivo de férias - 15 dias</t>
  </si>
  <si>
    <t>VINICIUS DUARTE</t>
  </si>
  <si>
    <t>PBAC</t>
  </si>
  <si>
    <t>Folga projetada de embarque P-75 - 21 dias úteis</t>
  </si>
  <si>
    <t>Folga meio período</t>
  </si>
  <si>
    <t>JOSE LUIS</t>
  </si>
  <si>
    <t>Folga negociada auto permuta</t>
  </si>
  <si>
    <t>Folga de embarque P-76</t>
  </si>
  <si>
    <t>Treinamento vendor: Aero Derivative Gas Turbine, Operation &amp; Maintenance LM2500+ (EDIBH)</t>
  </si>
  <si>
    <t>Treinamento - Proteção de Sistemas Elétricos Industriais - Unidades Offshore - EDIBH</t>
  </si>
  <si>
    <t>P-77 e P-76</t>
  </si>
  <si>
    <t>Trabalho no estaleiro Brasfells para engenharia</t>
  </si>
  <si>
    <t>Folga Negociada com o Supervisor Márcio.</t>
  </si>
  <si>
    <t>Licença casamento</t>
  </si>
  <si>
    <t>Treinamento em Pacotes de Turbo Geração - B3 08:00 - 17:00</t>
  </si>
  <si>
    <t>Treinamento do Vendor.
Tema: Power Generator, Operation &amp; Maintenance - BHGE.
ID do Treinamento no SIRH: 172160
Local de Realização: CENPES
Horário: 08:00:00 - 17:00:00</t>
  </si>
  <si>
    <t>Pacotes de Turbogeração - Presencial - EDIVIT</t>
  </si>
  <si>
    <t>Workshop de Compressores de Anel Líquido Garo</t>
  </si>
  <si>
    <t>Treinamento presencial: Compressores de Anel Líquido GARO - EDIHB</t>
  </si>
  <si>
    <t>Folga embarque</t>
  </si>
  <si>
    <t>Comita Gerencial PBAC</t>
  </si>
  <si>
    <t>Embarque P77</t>
  </si>
  <si>
    <t>Treinamento Vendor:Mark Vie GT</t>
  </si>
  <si>
    <t>T. 172704 - Mark Vie GT, Operation &amp; Maintenance</t>
  </si>
  <si>
    <t>Férias referentes a Set/24 a Set/25.</t>
  </si>
  <si>
    <t>Treinamento Vendor: Mark Vie GT</t>
  </si>
  <si>
    <t>Treinamento vendor: Mark Vie GT, Operation &amp; Maintenance
EDIHB</t>
  </si>
  <si>
    <t>PIETRO SERPA</t>
  </si>
  <si>
    <t>Aero Derivative Gas, Turbine Operation and Maintenance LM 2500+ - BHGE (EDIHB)</t>
  </si>
  <si>
    <t>Treinamento de vendor: LM2500+</t>
  </si>
  <si>
    <t>Aero Derivative Gas Turbine, Operation &amp; Maintenance LM2500</t>
  </si>
  <si>
    <t>Folga de Embarque na P-75</t>
  </si>
  <si>
    <t>Folga do embarque</t>
  </si>
  <si>
    <t>Folga negociada com o Sup. Dimitri</t>
  </si>
  <si>
    <t>Folga acordada com a supervisão de retorno de missão.</t>
  </si>
  <si>
    <t>P83</t>
  </si>
  <si>
    <t>Voith Vorecon: Operation and Maintenance - BHGE</t>
  </si>
  <si>
    <t>2ª parcela das férias</t>
  </si>
  <si>
    <t>CBSP Shelter</t>
  </si>
  <si>
    <t>Treinamento Voith Vorecon, Operation &amp; Maintenance</t>
  </si>
  <si>
    <r>
      <t>Voith Vorecon: Operation and Maintenance - BHGE</t>
    </r>
    <r>
      <rPr>
        <sz val="11"/>
        <color rgb="FF242424"/>
        <rFont val="Arial"/>
        <family val="2"/>
      </rPr>
      <t>.</t>
    </r>
  </si>
  <si>
    <t>Folga pós Embarque P-78</t>
  </si>
  <si>
    <t>Folga para débito de banco de hora SAP</t>
  </si>
  <si>
    <t>Aero Derivative Gas, Turbine Operation and Maintenance LM 6000 - BHGE</t>
  </si>
  <si>
    <t>Treinamento: LM 6000 - BHGE</t>
  </si>
  <si>
    <t>Treinamento: Compressores BH</t>
  </si>
  <si>
    <t>Centrifugal Compressor: Operation and Maintenance - BHGE</t>
  </si>
  <si>
    <t>Treinamento do Vendor.
Tema: Centrifugal Compressor: Operation and Maintenance - BHGE.
ID do Treinamento no SIRH: 173045
Local de Realização: EDIHB
Horário: 08:00:00 - 17:00:00</t>
  </si>
  <si>
    <t>Aero Derivative Gas Turbine, Operation &amp; Maintenance LM6000</t>
  </si>
  <si>
    <t>Aero Derivative Gas Turbine, Operation &amp; Maintenance LM6000- EDIBH</t>
  </si>
  <si>
    <t>Interface Homem Máquina para Sistemas de Automação de Processos (08:00 a 12:00)</t>
  </si>
  <si>
    <t>NR-33 - Espaço confinado 16h (Relyon Macaé)</t>
  </si>
  <si>
    <t>Folga de embarque na P-75</t>
  </si>
  <si>
    <t>Folga alinhada com a supervisão (desconto banco de horas)</t>
  </si>
  <si>
    <t>Folga de Embarque P-77</t>
  </si>
  <si>
    <t>Férias - 30 dias</t>
  </si>
  <si>
    <t>Férias de 20 dias</t>
  </si>
  <si>
    <t>férias</t>
  </si>
  <si>
    <t>Treinamento "PI-AF - Fundamentos, Padrões e Aplicações na Petrobras" EAD - Manhãs</t>
  </si>
  <si>
    <t>EDISON NOVAES</t>
  </si>
  <si>
    <t>Treinamento Requisitante de PT</t>
  </si>
  <si>
    <t>embarque P-76</t>
  </si>
  <si>
    <t>Folga auto permuta dos dias 23/03 e 24/03</t>
  </si>
  <si>
    <t>Folga de estaleiro ( negociado com sup. Marcio)</t>
  </si>
  <si>
    <t>Folga de viagem</t>
  </si>
  <si>
    <t>Felipe Cahet</t>
  </si>
  <si>
    <t>GE Users Conference 2026</t>
  </si>
  <si>
    <t>Evento Baker Hughes - Aero User Conference</t>
  </si>
  <si>
    <t>Centrifugal Compressor: Operation and Maintenance - BHGE - EDIBH</t>
  </si>
  <si>
    <t>Treinamento: Centrifugal Compressor, Operation &amp; Maintenance</t>
  </si>
  <si>
    <t>Folga negociada com a supervisão</t>
  </si>
  <si>
    <t>Treinamento NR-35</t>
  </si>
  <si>
    <t>FILIPI MARQUEZINE</t>
  </si>
  <si>
    <t>folga</t>
  </si>
  <si>
    <t>Embarque em plataforma P-77</t>
  </si>
  <si>
    <t>Folga acordada (débito de horas de estaleiro)</t>
  </si>
  <si>
    <t>Folga alinhada com a supervisão</t>
  </si>
  <si>
    <t>Folga auto permuta do dia 25/03</t>
  </si>
  <si>
    <t>Folga alinhada com a coordenação (desconto banco de horas)</t>
  </si>
  <si>
    <t>Folga (1038 - Exame Periódico)</t>
  </si>
  <si>
    <t>Embarque: P-78</t>
  </si>
  <si>
    <t>Folga auto permuta do dia 26/03</t>
  </si>
  <si>
    <t xml:space="preserve">Folga negociada com Supervisor Wellington </t>
  </si>
  <si>
    <t>Folga (Débito Margem de Balanço)</t>
  </si>
  <si>
    <t>Folga auto permuta do dia 27/03</t>
  </si>
  <si>
    <t>Folga embarque P-77</t>
  </si>
  <si>
    <t>Treinamento do Vendor.
Tema: VRU.
Local de Realização: Sede da MAN em Niterói.</t>
  </si>
  <si>
    <t>Treinamento do Vendor.
Tema: VRU.
Local de Realização: Sede da MAN em Niterói.
Horário: 08:00:00 - 17:00:00</t>
  </si>
  <si>
    <t>Folga Embarque P-77</t>
  </si>
  <si>
    <t>Treinamento VRU</t>
  </si>
  <si>
    <t>VRU - Everllence</t>
  </si>
  <si>
    <t>174404 - Workshop EagleBurgmann Technology Day for Pump Sealing Solutions in Oil and Gas Industry - EDIHB</t>
  </si>
  <si>
    <t>Condições Operacionais Elétricas eTérmicas de Motores Elétricos de Indução</t>
  </si>
  <si>
    <t>Embarque  P-78</t>
  </si>
  <si>
    <t>Treinamento: PRINCÍPIOS DE COMISSIONAMENTO
53599456
Local de Realização: EDIHB</t>
  </si>
  <si>
    <t xml:space="preserve"> Curso Condições Operacionais Elétricas e Térmicas de Motores Elétricos de Indução. EDIBH</t>
  </si>
  <si>
    <t>Folga pré viagem (débito de horas de estaleiro)</t>
  </si>
  <si>
    <t>Treinamento vendor: LM 2500 BH-GE</t>
  </si>
  <si>
    <t>Folga referente ao embarque P-78</t>
  </si>
  <si>
    <t>Folga de Embarque na P-77</t>
  </si>
  <si>
    <t>Workshop Swagelok</t>
  </si>
  <si>
    <t>Workshop Swagelok. Local de Realização: EDIHB - Sala 1208 Horário: 09:00:00 - 17:00:00</t>
  </si>
  <si>
    <t>Folga de embarque P-76 realizado em Dezembro 2025</t>
  </si>
  <si>
    <t xml:space="preserve"> workshop swagelok</t>
  </si>
  <si>
    <t>Folga negociada Supervisor Márcio</t>
  </si>
  <si>
    <t>Treinamento: Power BI com ANA</t>
  </si>
  <si>
    <t>Workshop Swagelok.
Local de Realização: EDIHB - Sala 1208
Horário: 09:00:00 - 17:00:00</t>
  </si>
  <si>
    <t>Treinamento Swagelok</t>
  </si>
  <si>
    <t>Folga alinhada com supervisão</t>
  </si>
  <si>
    <t>Folga Exame Médico Periódico Farol</t>
  </si>
  <si>
    <t>Treinamento LM2500 EDIHB</t>
  </si>
  <si>
    <t>Treinamento NR-35 Relyon Macaé</t>
  </si>
  <si>
    <t>Centrifugal Compressor: Operation and Maintenance - BHGE.
Instalação: EDIHB - RJ &gt; Rio de Janeiro &gt; EDIHB
Período: 11/5/2026 - 15/5/2026
Horário: 08:00:00 - 17:00:00 América/São Paulo</t>
  </si>
  <si>
    <t>Curso compressor centrífugo</t>
  </si>
  <si>
    <t>Treinamento Vendor - Aero Derivative Gas Turbine, Operation &amp; Maintenance LM2500. EDIBH</t>
  </si>
  <si>
    <t>Centrifugal Compressor, Operation &amp; Maintenance</t>
  </si>
  <si>
    <t>Simbologia em Projetos de Automação e Instrumentação</t>
  </si>
  <si>
    <t>Folga do embarque em P77</t>
  </si>
  <si>
    <t xml:space="preserve">Folga negociada  de embarque </t>
  </si>
  <si>
    <t>Registro De Falhas E Manutenções No Sap</t>
  </si>
  <si>
    <t>Mark Vie GT, Operation &amp; Maintenance.</t>
  </si>
  <si>
    <t>Treinamento do Vendor EDIHB</t>
  </si>
  <si>
    <t>REGISTRO DE FALHAS E MANUTENÇÕES NO SAP</t>
  </si>
  <si>
    <t>Treinamento vendor: Mark Vie GT, Operation &amp; Maintenance BH</t>
  </si>
  <si>
    <t>REGISTRO DE FALHAS E MANUTENÇÕES NO SAP - EDIBH - Presencial</t>
  </si>
  <si>
    <t xml:space="preserve">THUET </t>
  </si>
  <si>
    <t>Registro de Falhas e Manutenções no SAP - EDIHB - Horário: 08:30 - 16:30</t>
  </si>
  <si>
    <t>NR-35  (8h  Relyon Macaé)</t>
  </si>
  <si>
    <t>Mayekawa - SSOP - Hydrocarbon Dew Point</t>
  </si>
  <si>
    <t>Curso: NR-37 (Serviços em Instalações Elétricas de Alta Tensão) - Seg e Saúde em Plataformas de Petróleo.
ID da oferta: 179644.
Instalação: IMBETIBA - RJ &gt; Macaé &gt; Imbetiba
Período: 20/5/2026 - 21/5/2026
Horário: 08:00:00 - 17:00:00 América/São Paulo
Local principal: Sala C5, Prédio 108, 2º Andar
Professor: Helena Junia Diniz Costa</t>
  </si>
  <si>
    <t>Baixar saldo MB.</t>
  </si>
  <si>
    <t>Folga negociada para baixar saldo em estaleiro.</t>
  </si>
  <si>
    <t>Baixar saldo estaleiro</t>
  </si>
  <si>
    <t>Mecânica e Manutenção de Turbocompressores EDIBH</t>
  </si>
  <si>
    <t>Mecânica e Manutenção de compressores centrígugos - EDIHB ID 53088189</t>
  </si>
  <si>
    <t>Mecânica e Manutenção de Turbocompressores - EDIHB</t>
  </si>
  <si>
    <t>170602 - Mecânica e Manutenção de Turbocompressores</t>
  </si>
  <si>
    <t>Treinamento 170602 - Mecânica e Manutenção de Turbocompressores EDIHB</t>
  </si>
  <si>
    <t>Eletric Motor, Operation &amp; Maintenance</t>
  </si>
  <si>
    <t>Eletric Motor, Operation &amp; Maintenance BHGE.
ID da oferta: 174453.
Instalação: EDIHB - RJ &gt; Rio de Janeiro &gt; EDIHB
Período: 25/5/2026 - 26/5/2026
Horário: 08:00:00 - 17:00:00 América/São Paulo</t>
  </si>
  <si>
    <t>Treinamento do Vendor.
Tema: Eletric Motor, Operation &amp; Maintenance.</t>
  </si>
  <si>
    <t>Curso: Eletric Motor, Operation &amp; Maintenance BHGE.
ID da oferta: 174453.
Instalação: EDIHB - RJ &gt; Rio de Janeiro &gt; EDIHB.
Período: 25/5/2026 - 26/5/2026.
Horário: 08:00:00 - 17:00:00 América/São Paulo.</t>
  </si>
  <si>
    <t>Eletric Motor, Operation &amp; Maintenance BHGE</t>
  </si>
  <si>
    <t>Curso: Plan360.
ID da oferta: 173123.
Instalação: TEAMS - Teams
Período: 26/5/2026 - 26/5/2026
Horário: 09:00:00 - 12:00:00 América/São Paulo</t>
  </si>
  <si>
    <t>Curso: Eletric Motor, Operation &amp; Maintenance BHGE.
ID da oferta: 174453.
Instalação: EDIHB - RJ &gt; Rio de Janeiro &gt; EDIHB.
Período: 27/5/2026 - 28/5/2026.
Horário: 08:00:00 - 17:00:00 América/São Paulo.</t>
  </si>
  <si>
    <t>Embarque em P-78</t>
  </si>
  <si>
    <t>Folga alinhada com a supervisão (débito em margem de balanço)</t>
  </si>
  <si>
    <t>Treinamento de vendor:
Eletric Motor, Operation &amp; Maintenance</t>
  </si>
  <si>
    <t>NR-35 - Treinamento de Capacitação para Trabalho em Altura - 8h
RelyOn Nutec Macaé
MAEX
HRC1811186
OIE:  30217082</t>
  </si>
  <si>
    <t>Curso : NR-35 - Treinamento de Capacitação para Trabalho em Altura - 8h
Data: 29.05.2026  - 29.05.2026
Horário: 08:00  - 17:00
Local do curso: RelyOn Macaé - Alameda Jequitiba, 208 - Bairro: Granja dos Cavaleiros - 27930730 - Macaé/RJ</t>
  </si>
  <si>
    <t xml:space="preserve">Folga </t>
  </si>
  <si>
    <t>Mark Vie GT, Operation &amp; Maintenance. EDIHB.</t>
  </si>
  <si>
    <t xml:space="preserve">Exame periódico </t>
  </si>
  <si>
    <t>Folga de 01 dia pendente do embarque de fevereiro/26</t>
  </si>
  <si>
    <t>PMS Brush, Operation &amp; Maintenance - 01 a 03/06 - Presencial -EDIHB</t>
  </si>
  <si>
    <t>PMS Brush, Operation &amp; Maintenance - 01 a 03/06 - Presencial - EDIHB</t>
  </si>
  <si>
    <t>Treinamento "PMS Brush, Operation &amp; Maintenance"</t>
  </si>
  <si>
    <t>Treinamento de Mark VIe - EDIHB</t>
  </si>
  <si>
    <t>Realização de exames médicos</t>
  </si>
  <si>
    <t>Folga auto permuta do dia 30/03</t>
  </si>
  <si>
    <t>Folga negociada, desconto no banco de horas.</t>
  </si>
  <si>
    <t>Folga negociada.</t>
  </si>
  <si>
    <t>Folga auto permuta do dia 31/03</t>
  </si>
  <si>
    <t>Folga negociada com a supervisão, desconto no banco de horas.</t>
  </si>
  <si>
    <t>Folga alinhada com a supervisão (desconto horas de estaleiro)</t>
  </si>
  <si>
    <t>Folga negociada com a supervisão, desconto no banco de horas estaleiro.</t>
  </si>
  <si>
    <t>Folga negociada com a supervisão, desconto no banco de horas</t>
  </si>
  <si>
    <t>CBSP - Básico de Segurança de Plataforma - RJ</t>
  </si>
  <si>
    <t>Folga auto permuta do dia 01/04</t>
  </si>
  <si>
    <t>NR35 - EXTERNO</t>
  </si>
  <si>
    <t>Treinamento Centrifugal Compressor, Operation &amp; Maintenance</t>
  </si>
  <si>
    <t>Centrifugal Compressor: Operation and Maintenance - BHGE ( EDIBH)</t>
  </si>
  <si>
    <t xml:space="preserve">Folga do embarque </t>
  </si>
  <si>
    <t>Gestão da preservação de materiais e equipamentos</t>
  </si>
  <si>
    <t>Tema: Gestão da preservação de materiais e equipamentos
ID no SIRH: 9042
Período: Terça-feira 9/6/2026 08:00:00 a Quinta-feira 11/6/2026 12:00:00
Local: Teams</t>
  </si>
  <si>
    <t>Gestão da preservação de materiais e equipamentos - TEAMS - Horário: 08h-12h</t>
  </si>
  <si>
    <t>NR-35  (8h  Relyon Rio de Janeiro)</t>
  </si>
  <si>
    <t>Folga projetada de embarque P-78</t>
  </si>
  <si>
    <t>P-78</t>
  </si>
  <si>
    <t>Folga combinada com supervisor</t>
  </si>
  <si>
    <t>Treinamento Emitente de PT BUZIOS - EDIBH: Rua Gen. Canabarro, 500 - Maracanã, Rio de Janeiro - RJ, 20271-205</t>
  </si>
  <si>
    <t>Requisitante de PT</t>
  </si>
  <si>
    <t>Exame periódico agendado</t>
  </si>
  <si>
    <t>Embarque na P-79</t>
  </si>
  <si>
    <t>2° período concessivo de férias - 15 dias</t>
  </si>
  <si>
    <t>TREINAMENTO EM PACOTES DE TURBO GERAÇÃO - B3 - LM2500+ E HSPT - Macaé</t>
  </si>
  <si>
    <t>Treinamento Turbo Geração(Macaé)</t>
  </si>
  <si>
    <t>2° período concessivo de férias - 18 dias</t>
  </si>
  <si>
    <t>Plan360</t>
  </si>
  <si>
    <t>Treinamento de Vendor: CCC module series 3++</t>
  </si>
  <si>
    <t>NR-35 Treinamento de capacitação para trabalho em altura - 8h - Relyon RJ</t>
  </si>
  <si>
    <t>NR-35 TRABALHO EM ALTURA</t>
  </si>
  <si>
    <t>NR-33 (16h Relyon ario de Janeiro)</t>
  </si>
  <si>
    <t>NR-35  (8h ICN)</t>
  </si>
  <si>
    <t>Folga negociada com a supervisão (desconto banco de horas)</t>
  </si>
  <si>
    <t>Treinamento CCC module series 3++ - EDIHB</t>
  </si>
  <si>
    <t>Folga negociada com supervisor Marcio ( redução de banco de horas do estaleiro)</t>
  </si>
  <si>
    <t>NR-35 - Treinamento de Capacitação para Trabalho em Altura - 8h
RelyOn Nutec Macaé MAEX</t>
  </si>
  <si>
    <t>Treinamento NR35</t>
  </si>
  <si>
    <t>NR-35</t>
  </si>
  <si>
    <t>Emitente PT - EDIBH</t>
  </si>
  <si>
    <t>curso de PT presencial</t>
  </si>
  <si>
    <t>Princípios de Comissionamento</t>
  </si>
  <si>
    <t>Emitente de PT do E&amp;P - Capacitação inicial - EDIHB</t>
  </si>
  <si>
    <t>Embarque na P-78</t>
  </si>
  <si>
    <t>Emitente de PT do E&amp;P - Capacitação inicial.</t>
  </si>
  <si>
    <t>Planejador e Emitente de PT</t>
  </si>
  <si>
    <t>procedimento de endoscopia.</t>
  </si>
  <si>
    <t>Folga de Embarque na P-79</t>
  </si>
  <si>
    <t>1° parcela de férias (14 dias)</t>
  </si>
  <si>
    <t>Curso : NR-10 - Curso Básico - Segurança em Instalações e Serviços com Eletricidade - 40h
Data: 29.06.2026 - 03.07.2026
Horário: 08:00  - 17:00
Local do curso: RelyOn Macaé - Alameda Jequitiba, 208 - Bairro: Granja dos Cavaleiros - 27930730 - Macaé/RJ</t>
  </si>
  <si>
    <t xml:space="preserve">NR-10 </t>
  </si>
  <si>
    <t xml:space="preserve"> TREINAMENTO EM PACOTES DE TURBO GERAÇÃO - B3 - LM2500+ E HSPT - Macaé</t>
  </si>
  <si>
    <t>Treinamento Centrifugal Compressors - EDIHB</t>
  </si>
  <si>
    <t>Treinamento de Vendor: PMS Brush, Operation &amp; Maintenance</t>
  </si>
  <si>
    <t>Treinamento "PMS Brush, Operation &amp; Maintenance</t>
  </si>
  <si>
    <t>Prática CBSP</t>
  </si>
  <si>
    <t>Férias 20 dias restantes</t>
  </si>
  <si>
    <t>Folga de embarque P-77</t>
  </si>
  <si>
    <t>Curso de Emitente de PT</t>
  </si>
  <si>
    <t>Folga de Embarque na P-78</t>
  </si>
  <si>
    <t xml:space="preserve"> Emitente de PT do E&amp;P</t>
  </si>
  <si>
    <t>Folga de embarque P-78</t>
  </si>
  <si>
    <t>exame periódico EDISEN (8:00 @ 12h).</t>
  </si>
  <si>
    <t>Controle e Proteção de Turbocompressores I - Projetos de Sistemas - EDIHB</t>
  </si>
  <si>
    <t>Férias 6 dias</t>
  </si>
  <si>
    <t>Treinamento externo NR-35</t>
  </si>
  <si>
    <t>Férias  - 12 dias</t>
  </si>
  <si>
    <t xml:space="preserve">Gestão da preservação de materiais e equipamentos (TEAMS) - Horário: 08:00:00 - 12:00:00 </t>
  </si>
  <si>
    <t>Gestão da Preservação de Materiais e Equipamentos - ID:9042 - Teams</t>
  </si>
  <si>
    <t>P82</t>
  </si>
  <si>
    <t>Novo</t>
  </si>
  <si>
    <t>Treinamento PI para Usuários.</t>
  </si>
  <si>
    <t>Básico de Visualizador de Dados PI-Vision</t>
  </si>
  <si>
    <t>TRANSITÓRIOS ELETROMAGNÉTICOS INDUSTRIAIS</t>
  </si>
  <si>
    <t>Transitórios Eletromagnéticos Industriais</t>
  </si>
  <si>
    <t>WELLINGTON MARQUES</t>
  </si>
  <si>
    <t>Férias 10 dias</t>
  </si>
  <si>
    <t>NR-33 (16h)</t>
  </si>
  <si>
    <t>Treinamento Avançado em Turbina a Gás - Operação, manut e sist auxiliares</t>
  </si>
  <si>
    <t>Treinamento Interface Homem Máquina para Sistemas de Automação de Processos</t>
  </si>
  <si>
    <t>Treinamento em Pacotes de Turbo Geração - B3</t>
  </si>
  <si>
    <t>PI-AF- Fundamentos, padrões e Aplicações na Petrobrás.</t>
  </si>
  <si>
    <t>Gestão da preservação de materiais e equipamentos.</t>
  </si>
  <si>
    <t>Curso: PI-AF - Fundamentos, Padrões e Aplicações na Petrobras.
ID da oferta: 171779.
Instalação: TEAMS - Teams
Período: 24/8/2026 - 28/8/2026
Horário: 08:00:00 - 12:00:00 América/São Paulo
Local principal: 
Professor: Patricia Naomi Sakai</t>
  </si>
  <si>
    <t>PIAF - Fundamentos, Padrões e Aplicações na Petrobras - TEAMS - Horário: 08h-12h</t>
  </si>
  <si>
    <t>Condições operacionais elétricas e térmicas de motores elétricos de indução - TEAMS - Horário: 09h-12h</t>
  </si>
  <si>
    <t>Férias 30 dias</t>
  </si>
  <si>
    <t>Férias  - 18 dias</t>
  </si>
  <si>
    <t>LUBRIFICAÇÃO, TÉCNICAS E PLANO DE LUBRIFICAÇÃO</t>
  </si>
  <si>
    <t>Sintonia e Desempenho de Controladores PID no E&amp;P e Refino com Práticas Experimentais.</t>
  </si>
  <si>
    <t>Folga Embarque P-75</t>
  </si>
  <si>
    <t>PROTEÇÃO DE MOTORES ELÉTRICOS</t>
  </si>
  <si>
    <t>PROTEÇÃO DE MOTORES ELÉTRICOS - EDIBH - Presencial</t>
  </si>
  <si>
    <t xml:space="preserve"> 1°parcela de Férias 13 dias</t>
  </si>
  <si>
    <t>Gestão da preservação de materiais e equipamento</t>
  </si>
  <si>
    <t>2° parcela de férias (16 dias)</t>
  </si>
  <si>
    <t>1a parcela férias - 18 dias</t>
  </si>
  <si>
    <t>Treinamento em Pacotes de Turbo Geração - B3.</t>
  </si>
  <si>
    <t>Treinamento CCC</t>
  </si>
  <si>
    <t xml:space="preserve">Férias 17 dias </t>
  </si>
  <si>
    <t>Curso: Vibrações em Máquinas e Monitoramento da Condição
ID da oferta: 175866.
Instalação: EDIHB - RJ &gt; Rio de Janeiro &gt; EDIHB
Período: 10/11/2026 - 13/11/2026
Horário: 08:00:00 - 17:00:00 América/São Paulo
Local principal: Lab. Esp. 1515 - Vibração
Professor: Alcemir Miliavacca</t>
  </si>
  <si>
    <t>Embarque Vivencial P-75</t>
  </si>
  <si>
    <t>Folga Projetada de embarque P-75</t>
  </si>
  <si>
    <t>Operação E Manutenção Do Sistema 3500</t>
  </si>
  <si>
    <t>Manutenção em turbinas a gás e análise de falhas</t>
  </si>
  <si>
    <t>Manutenção de Turbinas a Gás e Análise de Falhas.</t>
  </si>
  <si>
    <t>Treinamento PI-AF - Fundamentos, Padrões e Aplicações na Petrobras</t>
  </si>
  <si>
    <t>Férias 15 dias</t>
  </si>
  <si>
    <t>Férias 5 dias</t>
  </si>
  <si>
    <t>Férias (30 dias)</t>
  </si>
  <si>
    <t>2a parcela férias - 12 dias</t>
  </si>
  <si>
    <t>Curso: Emitente de PT do E&amp;P - Capacitação inicial.
ID da oferta: 163478.
Instalação: EDIHB - RJ &gt; Rio de Janeiro &gt; EDIHB
Período: 22/7/2026 - 23/7/2026
Horário: 08:00:00 - 17:00:00 América/São Paulo
Professor: Alex da Silva Angeli</t>
  </si>
  <si>
    <t>Curso: Mark VIe.</t>
  </si>
  <si>
    <t>Curso: CCC.</t>
  </si>
  <si>
    <t>2a parcela férias - 18 dias</t>
  </si>
  <si>
    <t>Folga alinhada com supervisor</t>
  </si>
  <si>
    <t>Manutenção de Acumuladores e Cabos Elétricos</t>
  </si>
  <si>
    <t>Embarque em P-75</t>
  </si>
  <si>
    <t>Folga de embarque em P-75</t>
  </si>
  <si>
    <t>P80</t>
  </si>
  <si>
    <t>Experiente</t>
  </si>
  <si>
    <t>1° período concessivo de férias - 20 dias</t>
  </si>
  <si>
    <t>Curso NR-35</t>
  </si>
  <si>
    <t>Curso Emitente de PT</t>
  </si>
  <si>
    <t>Treinamento em Pacotes de Turbo Geração - B3 (Homero)</t>
  </si>
  <si>
    <t>Curso NR-33</t>
  </si>
  <si>
    <t>Treinamento CCC módulo series 3</t>
  </si>
  <si>
    <t>Embarque na P78</t>
  </si>
  <si>
    <t>1a parcela férias - 10 dias</t>
  </si>
  <si>
    <t>2a parcela férias - 20 dias</t>
  </si>
  <si>
    <t>Atestado</t>
  </si>
  <si>
    <t>Realização de cirurgia</t>
  </si>
  <si>
    <t>Folga negociada com a supervisão(débito de BH)</t>
  </si>
  <si>
    <t>Embarque na P75</t>
  </si>
  <si>
    <t>Folga de embarque P75</t>
  </si>
  <si>
    <t xml:space="preserve"> 2°parcela de Férias 17 dias</t>
  </si>
  <si>
    <t>2° período concessivo de férias - 10 dias</t>
  </si>
  <si>
    <t>Embarque em P-79 por solicitação do coordenador Marcio BUZII</t>
  </si>
  <si>
    <t>Folga de embarque na P79</t>
  </si>
  <si>
    <t>Treinamento 176035 - Requisitante de PT do E&amp;P - Capacitação inicial. Edibh</t>
  </si>
  <si>
    <t>Emitente de PT - ID da oferta: 163480.
Instalação: EDIHB - RJ &gt; Rio de Janeiro &gt; EDIHB
Período: 12/8/2026 - 13/8/2026
Horário: 08:00:00 - 17:00:00</t>
  </si>
  <si>
    <t>Requisitante de PT do E&amp;P - Capacitação inicial EDIHB</t>
  </si>
  <si>
    <t>NR-35 (Capacitação) - Trabalho em Altura (PRESENCIAL MAEX)</t>
  </si>
  <si>
    <t>Programa de Proteção Respiratória (PPR) - Capacitação Prática</t>
  </si>
  <si>
    <t>Treinamento PMS</t>
  </si>
  <si>
    <t>Curso: Programa de Proteção Respiratória (PPR) - Capacitação Prática. 
ID da oferta: 167580.
Instalação: EDISEN - RJ &gt; Rio de Janeiro &gt; EDISEN
Período: 10/9/2026 - 10/9/2026
Horário: 13:30:00 - 15:30:00 América/São Paulo
Local principal: 
Professor: RODRIGO NEPOMUCENO PIROLA</t>
  </si>
  <si>
    <t>Curso: Geração e Sistemas Elétricos de Plataformas Marítimas.
ID da oferta: 187196.
Instalação: TEAMS - Teams
Período: 15/9/2026 - 24/9/2026
Horário: 08:00:00 - 12:00:00 América/São Paulo
Professor: Rildo Reno Custodio</t>
  </si>
  <si>
    <t>Treinamento: CCC module series 3++ - EDIHB - 15° sala 1504</t>
  </si>
  <si>
    <t xml:space="preserve">JORGE </t>
  </si>
  <si>
    <t>PMS Brush, Operation &amp; Maintenance &gt; EDIHB</t>
  </si>
  <si>
    <t xml:space="preserve">Emitente de PT - ID da oferta: 163480.
Instalação: EDIHB - RJ </t>
  </si>
  <si>
    <t>Proteção de Sistemas Elétricos Industriais - Unidades Offshore.
ID da oferta: 189539.
Instalação: EDIHB - RJ &gt; Rio de Janeiro &gt; EDIHB</t>
  </si>
  <si>
    <t>Treinamento NR-15 Presencial  - ICN (8h)</t>
  </si>
  <si>
    <t xml:space="preserve">Emitente de PT do E&amp;P - Capacitação inicial
</t>
  </si>
  <si>
    <t>Treinamento NR-35 (Capacitação) - Trabalho em Altura  - ICN (8h)</t>
  </si>
  <si>
    <t>Treinamento NR-33 Presencial  - ICN (16h)</t>
  </si>
  <si>
    <t>Treinamento PMS Brush - EDIHB</t>
  </si>
  <si>
    <t>Treinamento Programa de Proteção Respiratória - CENPES</t>
  </si>
  <si>
    <t>NR-35 - Treinamento de Capacitação para Trabalho em Altura - 8h</t>
  </si>
  <si>
    <t>Treinamento Boroscopia ( INOVAR)</t>
  </si>
  <si>
    <t>LINCOLN AZEREDO</t>
  </si>
  <si>
    <t>Folga negociada com a supervisão (débito margem de balanço)</t>
  </si>
  <si>
    <t>Treinamento Fita Viscoelástica (PIB) das 14:00 às 17:00</t>
  </si>
  <si>
    <t>THUET - Treinamento em Escape de Helicópteros Submersos em Águas Tropicais.</t>
  </si>
  <si>
    <t>CBSP-Curso Básico de Segurança de Plataforma</t>
  </si>
  <si>
    <t>NR-35 - Treinamento de Capacitação para Trabalho em Altura - 8h ICN</t>
  </si>
  <si>
    <t>Treinamento Emitente/Requisitante de PT - EDIHB</t>
  </si>
  <si>
    <t>ANTHONY PIMENTA</t>
  </si>
  <si>
    <t>RONALDO SERAFIM</t>
  </si>
  <si>
    <t xml:space="preserve">Treinamento </t>
  </si>
  <si>
    <t>WELLINTON OLIVEIRA</t>
  </si>
  <si>
    <t>THUET - Treinamento em Escape de Helicópteros Submersos em Águas tropicas.</t>
  </si>
  <si>
    <t>CBSP- Curso Básico de Segurança de Pataforma</t>
  </si>
  <si>
    <t>RAFAEL MILTON</t>
  </si>
  <si>
    <t>Programa de proteção respiratória</t>
  </si>
  <si>
    <t>Programa de Proteção Respiratória (PPR) - Capacitação Prática (2h)</t>
  </si>
  <si>
    <t>Disciplina</t>
  </si>
  <si>
    <t>Chave</t>
  </si>
  <si>
    <t>Função</t>
  </si>
  <si>
    <t>Projeto</t>
  </si>
  <si>
    <t>Profissional</t>
  </si>
  <si>
    <t>E-mail</t>
  </si>
  <si>
    <t>Status</t>
  </si>
  <si>
    <t>Turma</t>
  </si>
  <si>
    <t>ELET</t>
  </si>
  <si>
    <t>FWB5</t>
  </si>
  <si>
    <t>Técnico</t>
  </si>
  <si>
    <t>tonicler.kutz@petrobras.com.br</t>
  </si>
  <si>
    <t>Pendente</t>
  </si>
  <si>
    <t>FW66</t>
  </si>
  <si>
    <t>luiz.ramos3@petrobras.com.br</t>
  </si>
  <si>
    <t>FVVS</t>
  </si>
  <si>
    <t>breno.batista@petrobras.com.br</t>
  </si>
  <si>
    <t>MEC</t>
  </si>
  <si>
    <t>F9U6</t>
  </si>
  <si>
    <t>andre.sthel@petrobras.com.br</t>
  </si>
  <si>
    <t>FW44</t>
  </si>
  <si>
    <t>andre.silva35@petrobras.com.br</t>
  </si>
  <si>
    <t>FW52</t>
  </si>
  <si>
    <t>thielles.gustavo@petrobras.com.br</t>
  </si>
  <si>
    <t>Realizado</t>
  </si>
  <si>
    <t>-</t>
  </si>
  <si>
    <t>G7OU</t>
  </si>
  <si>
    <t>filipi.pinto@petrobras.com.br</t>
  </si>
  <si>
    <t>G7PT</t>
  </si>
  <si>
    <t>edison.amaral@petrobras.com.br</t>
  </si>
  <si>
    <t>INST</t>
  </si>
  <si>
    <t>FWCC</t>
  </si>
  <si>
    <t>pablo.p.almeida@petrobras.com.br</t>
  </si>
  <si>
    <t>FVX0</t>
  </si>
  <si>
    <t>ronald.quaresma@petrobras.com.br</t>
  </si>
  <si>
    <t>FVV0</t>
  </si>
  <si>
    <t>victor.f.campos@petrobras.com.br</t>
  </si>
  <si>
    <t>FVWH</t>
  </si>
  <si>
    <t>jailton.conceicao@petrobras.com.br</t>
  </si>
  <si>
    <t>FWNL</t>
  </si>
  <si>
    <t>luiz.serpa@petrobras.com.br</t>
  </si>
  <si>
    <t>FW96</t>
  </si>
  <si>
    <t>ricardo.uema@petrobras.com.br</t>
  </si>
  <si>
    <t>URCQ</t>
  </si>
  <si>
    <t>alexandre.martins@petrobras.com.br</t>
  </si>
  <si>
    <t>Dispensado</t>
  </si>
  <si>
    <t>LMJ5</t>
  </si>
  <si>
    <t>acrodrig@petrobras.com.br</t>
  </si>
  <si>
    <t>URCU</t>
  </si>
  <si>
    <t>acdantas@petrobras.com.br</t>
  </si>
  <si>
    <t>UREM</t>
  </si>
  <si>
    <t>aureliorv@petrobras.com.br</t>
  </si>
  <si>
    <t>WUXI</t>
  </si>
  <si>
    <t>jluiscruz@petrobras.com.br</t>
  </si>
  <si>
    <t>RH5O</t>
  </si>
  <si>
    <t>fredericoaugusto@petrobras.com.br</t>
  </si>
  <si>
    <t>N7SC</t>
  </si>
  <si>
    <t>rodrigosfn@petrobras.com.br</t>
  </si>
  <si>
    <t>PL7T</t>
  </si>
  <si>
    <t>alexsandroviana@petrobras.com.br</t>
  </si>
  <si>
    <t>FRBT</t>
  </si>
  <si>
    <t>andi9@petrobras.com.br</t>
  </si>
  <si>
    <t>KI7N</t>
  </si>
  <si>
    <t>Supervisor</t>
  </si>
  <si>
    <t>marcioamaral@petrobras.com.br</t>
  </si>
  <si>
    <t>Escalado Angra?</t>
  </si>
  <si>
    <t>EP</t>
  </si>
  <si>
    <t>Planejar</t>
  </si>
  <si>
    <t>X</t>
  </si>
  <si>
    <t>HFO8</t>
  </si>
  <si>
    <t>jorge.mariano@petrobras.com.br</t>
  </si>
  <si>
    <t/>
  </si>
  <si>
    <t>APDZ</t>
  </si>
  <si>
    <t>er.amaral@petrobras.com.br</t>
  </si>
  <si>
    <t>EMITIDO 29/12/2025</t>
  </si>
  <si>
    <t>F9TE</t>
  </si>
  <si>
    <t>reinaldo.merendaz@petrobras.com.br</t>
  </si>
  <si>
    <t>URDD</t>
  </si>
  <si>
    <t>igorteixeira@petrobras.com.br</t>
  </si>
  <si>
    <t>PLANEJAR</t>
  </si>
  <si>
    <t>F9XJ</t>
  </si>
  <si>
    <t>junio.matos@petrobras.com.br</t>
  </si>
  <si>
    <t>MGKN</t>
  </si>
  <si>
    <t>marsantos@petrobras.com.br</t>
  </si>
  <si>
    <r>
      <t xml:space="preserve">MARCELO </t>
    </r>
    <r>
      <rPr>
        <sz val="9"/>
        <color theme="1"/>
        <rFont val="Calibri"/>
        <family val="2"/>
        <scheme val="minor"/>
      </rPr>
      <t>RODRIGUES</t>
    </r>
  </si>
  <si>
    <t>EMITIDO EM 09/01/2026 (1 ANO)</t>
  </si>
  <si>
    <t>JGYW</t>
  </si>
  <si>
    <t>flaviomarinho@petrobras.com.br</t>
  </si>
  <si>
    <r>
      <t xml:space="preserve">FLÁVIO </t>
    </r>
    <r>
      <rPr>
        <sz val="9"/>
        <color theme="1"/>
        <rFont val="Calibri"/>
        <family val="2"/>
        <scheme val="minor"/>
      </rPr>
      <t>MARINHO</t>
    </r>
  </si>
  <si>
    <t>PEDIDO</t>
  </si>
  <si>
    <t>URBI</t>
  </si>
  <si>
    <t>tmenegussi@petrobras.com.br</t>
  </si>
  <si>
    <t>F9TG</t>
  </si>
  <si>
    <t>kevin.cunha@petrobras.com.br</t>
  </si>
  <si>
    <t>F9NN</t>
  </si>
  <si>
    <t>eder.reis@petrobras.com.br</t>
  </si>
  <si>
    <t>URCX</t>
  </si>
  <si>
    <t>aureojr@petrobras.com.br</t>
  </si>
  <si>
    <r>
      <t xml:space="preserve">ÁUREO </t>
    </r>
    <r>
      <rPr>
        <sz val="9"/>
        <color theme="1"/>
        <rFont val="Calibri"/>
        <family val="2"/>
        <scheme val="minor"/>
      </rPr>
      <t>JUNIOR</t>
    </r>
  </si>
  <si>
    <t>F9YD</t>
  </si>
  <si>
    <t>julio.fassarela@petrobras.com.br</t>
  </si>
  <si>
    <t>URIY</t>
  </si>
  <si>
    <t>diogosouza@petrobras.com.br</t>
  </si>
  <si>
    <t>RTB3</t>
  </si>
  <si>
    <t>al.larangeira@petrobras.com.br</t>
  </si>
  <si>
    <t>N7G6</t>
  </si>
  <si>
    <t>wellingtonmarques@petrobras.com.br</t>
  </si>
  <si>
    <t>F9RL</t>
  </si>
  <si>
    <t>maria.santos8@petrobras.com.br</t>
  </si>
  <si>
    <t>F9N8</t>
  </si>
  <si>
    <t>antonio.r.cunha@petrobras.com.br</t>
  </si>
  <si>
    <t>URMC</t>
  </si>
  <si>
    <t>vledo@petrobras.com.br</t>
  </si>
  <si>
    <r>
      <t xml:space="preserve">VICTOR </t>
    </r>
    <r>
      <rPr>
        <sz val="9"/>
        <color theme="1"/>
        <rFont val="Calibri"/>
        <family val="2"/>
        <scheme val="minor"/>
      </rPr>
      <t>LÊDO</t>
    </r>
  </si>
  <si>
    <t>EMRV</t>
  </si>
  <si>
    <t>rafaelventurini@petrobras.com.br</t>
  </si>
  <si>
    <t>N6AT</t>
  </si>
  <si>
    <t>raulalende@petrobras.com.br</t>
  </si>
  <si>
    <t>EMITIDO 26/11/2025</t>
  </si>
  <si>
    <t>EVPY</t>
  </si>
  <si>
    <t>Engenheiro</t>
  </si>
  <si>
    <t>julio.bento@petrobras.com.br</t>
  </si>
  <si>
    <t>EVIY</t>
  </si>
  <si>
    <t>pietro.konzgen@petrobras.com.br</t>
  </si>
  <si>
    <t>URME</t>
  </si>
  <si>
    <t>rperez@petrobras.com.br</t>
  </si>
  <si>
    <t>CLWA</t>
  </si>
  <si>
    <t>leandro.eloy@petrobras.com.br</t>
  </si>
  <si>
    <t>HR64</t>
  </si>
  <si>
    <t>felipecahet@petrobras.com.br</t>
  </si>
  <si>
    <t>CTNR</t>
  </si>
  <si>
    <t>marcelo.vaqueiro@petrobras.com.br</t>
  </si>
  <si>
    <t>MARCELO VAQUEIRO</t>
  </si>
  <si>
    <t>F0I7</t>
  </si>
  <si>
    <t>fabio.unterman@petrobras.com.br</t>
  </si>
  <si>
    <t>R29L</t>
  </si>
  <si>
    <t>thiago_gomes@petrobras.com.br</t>
  </si>
  <si>
    <t>DVPX</t>
  </si>
  <si>
    <t>Coordenador</t>
  </si>
  <si>
    <t>vinicius.s.duarte@petrobras.com.br</t>
  </si>
  <si>
    <t>N70D</t>
  </si>
  <si>
    <t>dimitriaraujo@petrobras.com.br</t>
  </si>
  <si>
    <t>UB1N</t>
  </si>
  <si>
    <t>cesarsantana@petrobras.com.br</t>
  </si>
  <si>
    <t>CESAR SANTANA</t>
  </si>
  <si>
    <t>GFNA</t>
  </si>
  <si>
    <t>rafael.allocca@petrobras.com.br</t>
  </si>
  <si>
    <t>RAFAEL ALLOCA</t>
  </si>
  <si>
    <t>GF6Z</t>
  </si>
  <si>
    <t>lincoln.azeredo@petrobras.com.br</t>
  </si>
  <si>
    <t>GFE2</t>
  </si>
  <si>
    <t>anthony.pimenta@petrobras.com.br</t>
  </si>
  <si>
    <t>GF9H</t>
  </si>
  <si>
    <t>caio.rozario@petrobras.com.br</t>
  </si>
  <si>
    <t>CAIO ROZARIO</t>
  </si>
  <si>
    <t>GFGX</t>
  </si>
  <si>
    <t>ronaldo.serafim@petrobras.com.br</t>
  </si>
  <si>
    <t>GFBZ</t>
  </si>
  <si>
    <t>thiago.potasio@petrobras.com.br</t>
  </si>
  <si>
    <t>THIAGO POTASIO</t>
  </si>
  <si>
    <t>GF4Y</t>
  </si>
  <si>
    <t>wellinton.pablo@petrobras.com.br</t>
  </si>
  <si>
    <t>WELLINTON PABLO</t>
  </si>
  <si>
    <t>Geral</t>
  </si>
  <si>
    <t>Até hoje</t>
  </si>
  <si>
    <t>Hoje+Programados</t>
  </si>
  <si>
    <t>Data</t>
  </si>
  <si>
    <t>Embarques</t>
  </si>
  <si>
    <t>Necessidade</t>
  </si>
  <si>
    <t>Dias</t>
  </si>
  <si>
    <t>Meta</t>
  </si>
  <si>
    <t>Dias Emb.</t>
  </si>
  <si>
    <t xml:space="preserve">import pandas as pd
import matplotlib.pyplot as plt
from datetime import datetime
import numpy as np
# Ler dados do Excel (assumindo que A1:D seja o intervalo selecionado)
df = pd.DataFrame(data, columns=["Data", "Mês", "Embarques", "Necessidade"])
# Converter datas
df["Data"] = pd.to_datetime(df["Data"], dayfirst=True)
# Data de hoje
hoje = datetime.today()
# Separar dados
passado = df[df["Data"] &lt;= hoje]
futuro = df[df["Data"] &gt; hoje]
# Plotar
fig, ax = plt.subplots(figsize=(8,5))
# Série real
ax.plot(df["Data"], df["Embarques"], marker="o", label="Embarques", color="blue")
ax.plot(df["Data"], df["Necessidade"], linestyle="--", label="Necessidade", color="red")
# Linha de tendência para futuro
if len(futuro) &gt; 1:
    x_fut = np.arange(len(passado), len(passado) + len(futuro))
    y_fut = np.array(pd.concat([passado, futuro])["Embarques"])
    # Ajuste linear usando apenas os dados já existentes até hoje
    coef = np.polyfit(np.arange(len(passado)), passado["Embarques"], 1)
    trend = np.poly1d(coef)(x_fut)
    ax.plot(futuro["Data"], trend[-len(futuro):], linestyle=":", color="green", label="Tendência")
# Estilo
ax.set_title("Projeção de Embarques", fontsize=14)
ax.set_xlabel("Data")
ax.set_ylabel("Quantidade")
ax.legend()
ax.grid(True)
plt.tight_layout()
fig
</t>
  </si>
  <si>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</si>
  <si>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Embarques EENPP - Realocação</t>
  </si>
  <si>
    <t>GRÁFICO DE GANTT SIMPLES por Vertex42.com</t>
  </si>
  <si>
    <t>Insira o Nome da empresa na célula B2.</t>
  </si>
  <si>
    <t>Proposta 2 = Folga 27 dias corridos + BH restante (aprox. 3 ou 4dias)</t>
  </si>
  <si>
    <t>Insira o nome do Líder do projeto na célula B3. Insira a data de Início do projeto na célula E3. Início do projeto: o rótulo está na célula C3.</t>
  </si>
  <si>
    <t>Fim do projeto:</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</si>
  <si>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</si>
  <si>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</si>
  <si>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</si>
  <si>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</si>
  <si>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</si>
  <si>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</si>
  <si>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</si>
  <si>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</si>
  <si>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</si>
  <si>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</si>
  <si>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</si>
  <si>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</si>
  <si>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Petroleiro 1</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</si>
  <si>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</si>
  <si>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Embarque 1</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</si>
  <si>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</si>
  <si>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Permuta</t>
  </si>
  <si>
    <t>Embarque 2</t>
  </si>
  <si>
    <t>Embarque 3</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</si>
  <si>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</si>
  <si>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Petroleiro 2</t>
  </si>
  <si>
    <t>Bloco de título de fase de exemplo</t>
  </si>
  <si>
    <t>Petroleiro 3</t>
  </si>
  <si>
    <t>Esta é uma linha vazia</t>
  </si>
  <si>
    <t>Esta linha marca o final do Cronograma do projeto. NÃO insira nada nessa linha. 
Insira novas linhas ACIMA desta linha para continuar a construção do cronograma de projeto.</t>
  </si>
  <si>
    <t>Insira novas linhas ACIMA desta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</si>
</sst>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R$&quot;\ * #,##0_-;\-&quot;R$&quot;\ * #,##0_-;_-&quot;R$&quot;\ * &quot;-&quot;_-;_-@_-"/>
    <numFmt numFmtId="44" formatCode="_-&quot;R$&quot;\ * #,##0.00_-;\-&quot;R$&quot;\ * #,##0.00_-;_-&quot;R$&quot;\ * &quot;-&quot;??_-;_-@_-"/>
    <numFmt numFmtId="164" formatCode="_(* #,##0_);_(* \(#,##0\);_(* &quot;-&quot;_);_(@_)"/>
    <numFmt numFmtId="165" formatCode="d/m/yy;@"/>
    <numFmt numFmtId="166" formatCode="d\-mmm\-yyyy"/>
    <numFmt numFmtId="167" formatCode="d"/>
    <numFmt numFmtId="168" formatCode="ddd\,\ dd/mm/yyyy"/>
    <numFmt numFmtId="169" formatCode="mmm/yyyy"/>
  </numFmts>
  <fonts count="41">
    <font>
      <sz val="11"/>
      <color theme="1"/>
      <name val="Calibri"/>
      <family val="2"/>
      <scheme val="minor"/>
    </font>
    <font>
      <b/>
      <sz val="20"/>
      <color theme="4" tint="-0.249977111117893"/>
      <name val="Calibri"/>
      <family val="2"/>
      <scheme val="major"/>
    </font>
    <font>
      <sz val="10"/>
      <name val="Calibri"/>
      <family val="2"/>
      <scheme val="minor"/>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
      <sz val="8"/>
      <color theme="1"/>
      <name val="Calibri"/>
      <family val="2"/>
      <scheme val="minor"/>
    </font>
    <font>
      <b/>
      <sz val="9"/>
      <color theme="1"/>
      <name val="Calibri"/>
      <family val="2"/>
      <scheme val="minor"/>
    </font>
    <font>
      <u/>
      <sz val="11"/>
      <color theme="10"/>
      <name val="Calibri"/>
      <family val="2"/>
      <scheme val="minor"/>
    </font>
    <font>
      <sz val="9"/>
      <color theme="1"/>
      <name val="Calibri"/>
      <family val="2"/>
      <scheme val="minor"/>
    </font>
    <font>
      <sz val="8"/>
      <color rgb="FF242424"/>
      <name val="Calibri"/>
      <family val="2"/>
      <scheme val="minor"/>
    </font>
    <font>
      <sz val="11"/>
      <color rgb="FF000000"/>
      <name val="Calibri"/>
      <family val="2"/>
      <scheme val="minor"/>
    </font>
    <font>
      <sz val="11"/>
      <color rgb="FF000000"/>
      <name val="Calibri"/>
      <family val="2"/>
    </font>
    <font>
      <sz val="11"/>
      <color rgb="FF242424"/>
      <name val="Arial"/>
      <family val="2"/>
    </font>
    <font>
      <u/>
      <sz val="11"/>
      <color indexed="12"/>
      <name val="Arial"/>
      <family val="2"/>
    </font>
    <font>
      <sz val="11"/>
      <color rgb="FF242424"/>
      <name val="Aptos Narrow"/>
      <family val="2"/>
    </font>
    <font>
      <sz val="11"/>
      <color rgb="FF242424"/>
      <name val="Aptos Narrow"/>
      <charset val="1"/>
    </font>
  </fonts>
  <fills count="5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1"/>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0" tint="-0.34998626667073579"/>
        <bgColor indexed="64"/>
      </patternFill>
    </fill>
    <fill>
      <patternFill patternType="solid">
        <fgColor rgb="FF00B050"/>
        <bgColor indexed="64"/>
      </patternFill>
    </fill>
    <fill>
      <patternFill patternType="solid">
        <fgColor rgb="FFDCE6F1"/>
        <bgColor rgb="FF000000"/>
      </patternFill>
    </fill>
    <fill>
      <patternFill patternType="solid">
        <fgColor theme="0" tint="-0.34998626667073579"/>
        <bgColor rgb="FF000000"/>
      </patternFill>
    </fill>
    <fill>
      <patternFill patternType="solid">
        <fgColor theme="4" tint="0.79998168889431442"/>
        <bgColor rgb="FF000000"/>
      </patternFill>
    </fill>
    <fill>
      <patternFill patternType="solid">
        <fgColor theme="6"/>
        <bgColor indexed="64"/>
      </patternFill>
    </fill>
    <fill>
      <patternFill patternType="solid">
        <fgColor theme="4"/>
        <bgColor indexed="64"/>
      </patternFill>
    </fill>
    <fill>
      <patternFill patternType="solid">
        <fgColor rgb="FFFF0000"/>
        <bgColor indexed="64"/>
      </patternFill>
    </fill>
  </fills>
  <borders count="34">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right style="thin">
        <color theme="4" tint="0.39997558519241921"/>
      </right>
      <top style="thin">
        <color theme="0" tint="-0.34998626667073579"/>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theme="4" tint="0.39997558519241921"/>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theme="4" tint="0.39997558519241921"/>
      </bottom>
      <diagonal/>
    </border>
    <border>
      <left style="thin">
        <color indexed="64"/>
      </left>
      <right/>
      <top style="thin">
        <color indexed="64"/>
      </top>
      <bottom style="thin">
        <color theme="4" tint="0.39997558519241921"/>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s>
  <cellStyleXfs count="55">
    <xf numFmtId="0" fontId="0" fillId="0" borderId="0"/>
    <xf numFmtId="9" fontId="8" fillId="0" borderId="0" applyFont="0" applyFill="0" applyBorder="0" applyAlignment="0" applyProtection="0"/>
    <xf numFmtId="0" fontId="14" fillId="0" borderId="0"/>
    <xf numFmtId="9" fontId="8" fillId="0" borderId="3" applyFont="0" applyFill="0" applyAlignment="0" applyProtection="0"/>
    <xf numFmtId="0" fontId="11"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8" fillId="0" borderId="0" applyNumberFormat="0" applyFill="0" applyProtection="0">
      <alignment horizontal="right" indent="1"/>
    </xf>
    <xf numFmtId="168" fontId="8" fillId="0" borderId="3">
      <alignment horizontal="center" vertical="center"/>
    </xf>
    <xf numFmtId="165" fontId="8" fillId="0" borderId="2" applyFill="0">
      <alignment horizontal="center" vertical="center"/>
    </xf>
    <xf numFmtId="0" fontId="8" fillId="0" borderId="2" applyFill="0">
      <alignment horizontal="center" vertical="center"/>
    </xf>
    <xf numFmtId="0" fontId="8" fillId="0" borderId="2" applyFill="0">
      <alignment horizontal="left" vertical="center" indent="2"/>
    </xf>
    <xf numFmtId="0" fontId="17" fillId="0" borderId="0" applyNumberFormat="0" applyFill="0" applyBorder="0" applyAlignment="0" applyProtection="0"/>
    <xf numFmtId="164"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0" fontId="18" fillId="0" borderId="0" applyNumberFormat="0" applyFill="0" applyBorder="0" applyAlignment="0" applyProtection="0"/>
    <xf numFmtId="0" fontId="19" fillId="12" borderId="0" applyNumberFormat="0" applyBorder="0" applyAlignment="0" applyProtection="0"/>
    <xf numFmtId="0" fontId="20" fillId="13" borderId="0" applyNumberFormat="0" applyBorder="0" applyAlignment="0" applyProtection="0"/>
    <xf numFmtId="0" fontId="21" fillId="14" borderId="0" applyNumberFormat="0" applyBorder="0" applyAlignment="0" applyProtection="0"/>
    <xf numFmtId="0" fontId="22" fillId="15" borderId="11" applyNumberFormat="0" applyAlignment="0" applyProtection="0"/>
    <xf numFmtId="0" fontId="23" fillId="16" borderId="12" applyNumberFormat="0" applyAlignment="0" applyProtection="0"/>
    <xf numFmtId="0" fontId="24" fillId="16" borderId="11" applyNumberFormat="0" applyAlignment="0" applyProtection="0"/>
    <xf numFmtId="0" fontId="25" fillId="0" borderId="13" applyNumberFormat="0" applyFill="0" applyAlignment="0" applyProtection="0"/>
    <xf numFmtId="0" fontId="26" fillId="17" borderId="14" applyNumberFormat="0" applyAlignment="0" applyProtection="0"/>
    <xf numFmtId="0" fontId="27" fillId="0" borderId="0" applyNumberFormat="0" applyFill="0" applyBorder="0" applyAlignment="0" applyProtection="0"/>
    <xf numFmtId="0" fontId="8" fillId="18" borderId="15" applyNumberFormat="0" applyFont="0" applyAlignment="0" applyProtection="0"/>
    <xf numFmtId="0" fontId="28" fillId="0" borderId="0" applyNumberFormat="0" applyFill="0" applyBorder="0" applyAlignment="0" applyProtection="0"/>
    <xf numFmtId="0" fontId="5" fillId="0" borderId="16" applyNumberFormat="0" applyFill="0" applyAlignment="0" applyProtection="0"/>
    <xf numFmtId="0" fontId="14"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14"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14"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14"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14"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xf numFmtId="0" fontId="8" fillId="38" borderId="0" applyNumberFormat="0" applyBorder="0" applyAlignment="0" applyProtection="0"/>
    <xf numFmtId="0" fontId="14" fillId="39" borderId="0" applyNumberFormat="0" applyBorder="0" applyAlignment="0" applyProtection="0"/>
    <xf numFmtId="0" fontId="8" fillId="40" borderId="0" applyNumberFormat="0" applyBorder="0" applyAlignment="0" applyProtection="0"/>
    <xf numFmtId="0" fontId="8" fillId="41" borderId="0" applyNumberFormat="0" applyBorder="0" applyAlignment="0" applyProtection="0"/>
    <xf numFmtId="0" fontId="8" fillId="42" borderId="0" applyNumberFormat="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cellStyleXfs>
  <cellXfs count="196">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11" borderId="1" xfId="0" applyFont="1" applyFill="1" applyBorder="1" applyAlignment="1">
      <alignment horizontal="left" vertical="center" indent="1"/>
    </xf>
    <xf numFmtId="0" fontId="6" fillId="11" borderId="1" xfId="0" applyFont="1" applyFill="1" applyBorder="1" applyAlignment="1">
      <alignment horizontal="center" vertical="center" wrapText="1"/>
    </xf>
    <xf numFmtId="0" fontId="10" fillId="10" borderId="8" xfId="0" applyFont="1" applyFill="1" applyBorder="1" applyAlignment="1">
      <alignment horizontal="center" vertical="center" shrinkToFit="1"/>
    </xf>
    <xf numFmtId="0" fontId="12" fillId="0" borderId="0" xfId="0" applyFont="1"/>
    <xf numFmtId="0" fontId="13" fillId="0" borderId="0" xfId="53" applyFont="1" applyAlignment="1" applyProtection="1"/>
    <xf numFmtId="9" fontId="4" fillId="0" borderId="2" xfId="1" applyFont="1" applyBorder="1" applyAlignment="1">
      <alignment horizontal="center" vertical="center"/>
    </xf>
    <xf numFmtId="0" fontId="4" fillId="0" borderId="2" xfId="0" applyFont="1" applyBorder="1" applyAlignment="1">
      <alignment horizontal="center" vertical="center"/>
    </xf>
    <xf numFmtId="0" fontId="5" fillId="7" borderId="2" xfId="0" applyFont="1" applyFill="1" applyBorder="1" applyAlignment="1">
      <alignment horizontal="left" vertical="center" indent="1"/>
    </xf>
    <xf numFmtId="9" fontId="4" fillId="7" borderId="2" xfId="1" applyFont="1" applyFill="1" applyBorder="1" applyAlignment="1">
      <alignment horizontal="center" vertical="center"/>
    </xf>
    <xf numFmtId="9" fontId="4" fillId="3" borderId="2" xfId="1" applyFont="1" applyFill="1" applyBorder="1" applyAlignment="1">
      <alignment horizontal="center" vertical="center"/>
    </xf>
    <xf numFmtId="0" fontId="5" fillId="8" borderId="2" xfId="0" applyFont="1" applyFill="1" applyBorder="1" applyAlignment="1">
      <alignment horizontal="left" vertical="center" indent="1"/>
    </xf>
    <xf numFmtId="9" fontId="4" fillId="8" borderId="2" xfId="1" applyFont="1" applyFill="1" applyBorder="1" applyAlignment="1">
      <alignment horizontal="center" vertical="center"/>
    </xf>
    <xf numFmtId="9" fontId="4" fillId="4" borderId="2" xfId="1"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1" applyFont="1" applyFill="1" applyBorder="1" applyAlignment="1">
      <alignment horizontal="center" vertical="center"/>
    </xf>
    <xf numFmtId="9" fontId="4" fillId="9" borderId="2" xfId="1" applyFont="1" applyFill="1" applyBorder="1" applyAlignment="1">
      <alignment horizontal="center" vertical="center"/>
    </xf>
    <xf numFmtId="0" fontId="7" fillId="2" borderId="2" xfId="0" applyFont="1" applyFill="1" applyBorder="1" applyAlignment="1">
      <alignment horizontal="left" vertical="center" indent="1"/>
    </xf>
    <xf numFmtId="0" fontId="7" fillId="2" borderId="2" xfId="0" applyFont="1" applyFill="1" applyBorder="1" applyAlignment="1">
      <alignment horizontal="center" vertical="center"/>
    </xf>
    <xf numFmtId="9" fontId="4" fillId="2" borderId="2" xfId="1"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4" fillId="0" borderId="0" xfId="2"/>
    <xf numFmtId="0" fontId="14" fillId="0" borderId="0" xfId="2" applyAlignment="1">
      <alignment wrapText="1"/>
    </xf>
    <xf numFmtId="0" fontId="14" fillId="0" borderId="0" xfId="0" applyFont="1" applyAlignment="1">
      <alignment horizontal="center"/>
    </xf>
    <xf numFmtId="0" fontId="0" fillId="0" borderId="0" xfId="0" applyAlignment="1">
      <alignment wrapText="1"/>
    </xf>
    <xf numFmtId="0" fontId="11" fillId="0" borderId="0" xfId="4" applyAlignment="1">
      <alignment horizontal="left"/>
    </xf>
    <xf numFmtId="0" fontId="9" fillId="0" borderId="0" xfId="5"/>
    <xf numFmtId="0" fontId="8" fillId="7" borderId="2" xfId="10" applyFill="1">
      <alignment horizontal="center" vertical="center"/>
    </xf>
    <xf numFmtId="0" fontId="8" fillId="3" borderId="2" xfId="10" applyFill="1">
      <alignment horizontal="center" vertical="center"/>
    </xf>
    <xf numFmtId="0" fontId="8" fillId="8" borderId="2" xfId="10" applyFill="1">
      <alignment horizontal="center" vertical="center"/>
    </xf>
    <xf numFmtId="0" fontId="8" fillId="4" borderId="2" xfId="10" applyFill="1">
      <alignment horizontal="center" vertical="center"/>
    </xf>
    <xf numFmtId="0" fontId="8" fillId="5" borderId="2" xfId="10" applyFill="1">
      <alignment horizontal="center" vertical="center"/>
    </xf>
    <xf numFmtId="0" fontId="8" fillId="9" borderId="2" xfId="10" applyFill="1">
      <alignment horizontal="center" vertical="center"/>
    </xf>
    <xf numFmtId="0" fontId="8" fillId="0" borderId="2" xfId="10">
      <alignment horizontal="center" vertical="center"/>
    </xf>
    <xf numFmtId="0" fontId="8" fillId="3" borderId="2" xfId="11" applyFill="1">
      <alignment horizontal="left" vertical="center" indent="2"/>
    </xf>
    <xf numFmtId="0" fontId="8" fillId="4" borderId="2" xfId="11" applyFill="1">
      <alignment horizontal="left" vertical="center" indent="2"/>
    </xf>
    <xf numFmtId="0" fontId="8" fillId="9" borderId="2" xfId="11" applyFill="1">
      <alignment horizontal="left" vertical="center" indent="2"/>
    </xf>
    <xf numFmtId="0" fontId="8" fillId="0" borderId="2" xfId="11">
      <alignment horizontal="left" vertical="center" indent="2"/>
    </xf>
    <xf numFmtId="0" fontId="0" fillId="0" borderId="10" xfId="0" applyBorder="1"/>
    <xf numFmtId="0" fontId="15" fillId="0" borderId="0" xfId="0" applyFont="1"/>
    <xf numFmtId="0" fontId="16" fillId="0" borderId="0" xfId="53" applyFont="1" applyAlignment="1" applyProtection="1">
      <alignment vertical="top"/>
    </xf>
    <xf numFmtId="165" fontId="0" fillId="7" borderId="2" xfId="0" applyNumberFormat="1" applyFill="1" applyBorder="1" applyAlignment="1">
      <alignment horizontal="center" vertical="center"/>
    </xf>
    <xf numFmtId="165" fontId="4" fillId="7" borderId="2" xfId="0" applyNumberFormat="1" applyFont="1" applyFill="1" applyBorder="1" applyAlignment="1">
      <alignment horizontal="center" vertical="center"/>
    </xf>
    <xf numFmtId="165" fontId="8" fillId="3" borderId="2" xfId="9" applyFill="1">
      <alignment horizontal="center" vertical="center"/>
    </xf>
    <xf numFmtId="165" fontId="0" fillId="8" borderId="2" xfId="0" applyNumberFormat="1" applyFill="1" applyBorder="1" applyAlignment="1">
      <alignment horizontal="center" vertical="center"/>
    </xf>
    <xf numFmtId="165" fontId="4" fillId="8" borderId="2" xfId="0" applyNumberFormat="1" applyFont="1" applyFill="1" applyBorder="1" applyAlignment="1">
      <alignment horizontal="center" vertical="center"/>
    </xf>
    <xf numFmtId="165" fontId="8" fillId="4" borderId="2" xfId="9" applyFill="1">
      <alignment horizontal="center" vertical="center"/>
    </xf>
    <xf numFmtId="165" fontId="0" fillId="5" borderId="2" xfId="0" applyNumberFormat="1" applyFill="1" applyBorder="1" applyAlignment="1">
      <alignment horizontal="center" vertical="center"/>
    </xf>
    <xf numFmtId="165" fontId="4" fillId="5" borderId="2" xfId="0" applyNumberFormat="1" applyFont="1" applyFill="1" applyBorder="1" applyAlignment="1">
      <alignment horizontal="center" vertical="center"/>
    </xf>
    <xf numFmtId="165" fontId="8" fillId="9" borderId="2" xfId="9" applyFill="1">
      <alignment horizontal="center" vertical="center"/>
    </xf>
    <xf numFmtId="165" fontId="8" fillId="0" borderId="2" xfId="9">
      <alignment horizontal="center" vertical="center"/>
    </xf>
    <xf numFmtId="165" fontId="3" fillId="2" borderId="2" xfId="0" applyNumberFormat="1" applyFont="1" applyFill="1" applyBorder="1" applyAlignment="1">
      <alignment horizontal="left" vertical="center"/>
    </xf>
    <xf numFmtId="165" fontId="4" fillId="2" borderId="2" xfId="0" applyNumberFormat="1" applyFont="1" applyFill="1" applyBorder="1" applyAlignment="1">
      <alignment horizontal="center" vertical="center"/>
    </xf>
    <xf numFmtId="14" fontId="0" fillId="0" borderId="0" xfId="0" applyNumberFormat="1"/>
    <xf numFmtId="167" fontId="29" fillId="6" borderId="6" xfId="0" applyNumberFormat="1" applyFont="1" applyFill="1" applyBorder="1" applyAlignment="1">
      <alignment horizontal="center" vertical="center"/>
    </xf>
    <xf numFmtId="167" fontId="29" fillId="6" borderId="0" xfId="0" applyNumberFormat="1" applyFont="1" applyFill="1" applyAlignment="1">
      <alignment horizontal="center" vertical="center"/>
    </xf>
    <xf numFmtId="167" fontId="29" fillId="6" borderId="7" xfId="0" applyNumberFormat="1" applyFont="1" applyFill="1" applyBorder="1" applyAlignment="1">
      <alignment horizontal="center" vertical="center"/>
    </xf>
    <xf numFmtId="168" fontId="8" fillId="0" borderId="3" xfId="8" applyAlignment="1">
      <alignment vertical="center"/>
    </xf>
    <xf numFmtId="168" fontId="8" fillId="0" borderId="18" xfId="8" applyBorder="1" applyAlignment="1">
      <alignment vertical="center" wrapText="1"/>
    </xf>
    <xf numFmtId="0" fontId="8" fillId="0" borderId="17" xfId="7" applyBorder="1" applyAlignment="1">
      <alignment horizontal="left" vertical="center"/>
    </xf>
    <xf numFmtId="0" fontId="0" fillId="43" borderId="0" xfId="0" applyFill="1"/>
    <xf numFmtId="167" fontId="29" fillId="43" borderId="0" xfId="0" applyNumberFormat="1" applyFont="1" applyFill="1" applyAlignment="1">
      <alignment horizontal="center" vertical="center"/>
    </xf>
    <xf numFmtId="0" fontId="10" fillId="43" borderId="8" xfId="0" applyFont="1" applyFill="1" applyBorder="1" applyAlignment="1">
      <alignment horizontal="center" vertical="center" shrinkToFit="1"/>
    </xf>
    <xf numFmtId="0" fontId="0" fillId="43" borderId="9" xfId="0" applyFill="1" applyBorder="1" applyAlignment="1">
      <alignment vertical="center"/>
    </xf>
    <xf numFmtId="0" fontId="0" fillId="5" borderId="0" xfId="0" applyFill="1"/>
    <xf numFmtId="167" fontId="29" fillId="5" borderId="0" xfId="0" applyNumberFormat="1" applyFont="1" applyFill="1" applyAlignment="1">
      <alignment horizontal="center" vertical="center"/>
    </xf>
    <xf numFmtId="0" fontId="10" fillId="5" borderId="8" xfId="0" applyFont="1" applyFill="1" applyBorder="1" applyAlignment="1">
      <alignment horizontal="center" vertical="center" shrinkToFit="1"/>
    </xf>
    <xf numFmtId="0" fontId="0" fillId="5" borderId="9" xfId="0" applyFill="1" applyBorder="1" applyAlignment="1">
      <alignment vertical="center"/>
    </xf>
    <xf numFmtId="0" fontId="30" fillId="45" borderId="17" xfId="0" applyFont="1" applyFill="1" applyBorder="1" applyAlignment="1">
      <alignment horizontal="center" vertical="center"/>
    </xf>
    <xf numFmtId="0" fontId="31" fillId="0" borderId="17" xfId="0" applyFont="1" applyBorder="1" applyAlignment="1">
      <alignment horizontal="center" vertical="center"/>
    </xf>
    <xf numFmtId="0" fontId="31" fillId="46" borderId="17" xfId="0" applyFont="1" applyFill="1" applyBorder="1" applyAlignment="1">
      <alignment horizontal="center" vertical="center"/>
    </xf>
    <xf numFmtId="0" fontId="0" fillId="0" borderId="17" xfId="0" applyBorder="1" applyAlignment="1">
      <alignment horizontal="center"/>
    </xf>
    <xf numFmtId="0" fontId="8" fillId="3" borderId="17" xfId="10" applyFill="1" applyBorder="1">
      <alignment horizontal="center" vertical="center"/>
    </xf>
    <xf numFmtId="0" fontId="6" fillId="11" borderId="0" xfId="0" applyFont="1" applyFill="1" applyAlignment="1">
      <alignment horizontal="center" vertical="center" wrapText="1"/>
    </xf>
    <xf numFmtId="0" fontId="6" fillId="11" borderId="0" xfId="0" applyFont="1" applyFill="1" applyAlignment="1">
      <alignment horizontal="center" vertical="center"/>
    </xf>
    <xf numFmtId="0" fontId="6" fillId="11" borderId="20" xfId="0" applyFont="1" applyFill="1" applyBorder="1" applyAlignment="1">
      <alignment horizontal="center" vertical="center"/>
    </xf>
    <xf numFmtId="0" fontId="0" fillId="3" borderId="17" xfId="10" applyFont="1" applyFill="1" applyBorder="1">
      <alignment horizontal="center" vertical="center"/>
    </xf>
    <xf numFmtId="0" fontId="8" fillId="3" borderId="17" xfId="10" applyFill="1" applyBorder="1" applyAlignment="1">
      <alignment horizontal="center" vertical="center" wrapText="1"/>
    </xf>
    <xf numFmtId="14" fontId="0" fillId="0" borderId="17" xfId="0" applyNumberFormat="1" applyBorder="1" applyAlignment="1">
      <alignment horizontal="center"/>
    </xf>
    <xf numFmtId="0" fontId="5" fillId="0" borderId="17" xfId="0" applyFont="1" applyBorder="1" applyAlignment="1">
      <alignment horizontal="center"/>
    </xf>
    <xf numFmtId="169" fontId="0" fillId="0" borderId="17" xfId="0" applyNumberFormat="1" applyBorder="1" applyAlignment="1">
      <alignment horizontal="center"/>
    </xf>
    <xf numFmtId="0" fontId="8" fillId="47" borderId="17" xfId="10" applyFill="1" applyBorder="1">
      <alignment horizontal="center" vertical="center"/>
    </xf>
    <xf numFmtId="0" fontId="0" fillId="3" borderId="17" xfId="10" applyFont="1" applyFill="1" applyBorder="1" applyAlignment="1">
      <alignment horizontal="center" vertical="center" wrapText="1"/>
    </xf>
    <xf numFmtId="0" fontId="30" fillId="0" borderId="17" xfId="0" applyFont="1" applyBorder="1" applyAlignment="1">
      <alignment horizontal="center" vertical="center"/>
    </xf>
    <xf numFmtId="0" fontId="30" fillId="0" borderId="24" xfId="0" applyFont="1" applyBorder="1" applyAlignment="1">
      <alignment horizontal="center" vertical="center"/>
    </xf>
    <xf numFmtId="0" fontId="31" fillId="0" borderId="25" xfId="0" applyFont="1" applyBorder="1" applyAlignment="1">
      <alignment horizontal="center" vertical="center"/>
    </xf>
    <xf numFmtId="0" fontId="26" fillId="44" borderId="17" xfId="0" applyFont="1" applyFill="1" applyBorder="1" applyAlignment="1">
      <alignment horizontal="center"/>
    </xf>
    <xf numFmtId="0" fontId="26" fillId="44" borderId="24" xfId="0" applyFont="1" applyFill="1" applyBorder="1" applyAlignment="1">
      <alignment horizontal="center"/>
    </xf>
    <xf numFmtId="0" fontId="26" fillId="44" borderId="25" xfId="0" applyFont="1" applyFill="1" applyBorder="1" applyAlignment="1">
      <alignment horizontal="center"/>
    </xf>
    <xf numFmtId="0" fontId="30" fillId="46" borderId="17" xfId="0" applyFont="1" applyFill="1" applyBorder="1" applyAlignment="1">
      <alignment horizontal="center" vertical="center"/>
    </xf>
    <xf numFmtId="0" fontId="30" fillId="46" borderId="24" xfId="0" applyFont="1" applyFill="1" applyBorder="1" applyAlignment="1">
      <alignment horizontal="center" vertical="center"/>
    </xf>
    <xf numFmtId="0" fontId="31" fillId="46" borderId="25" xfId="0" applyFont="1" applyFill="1" applyBorder="1" applyAlignment="1">
      <alignment horizontal="center" vertical="center"/>
    </xf>
    <xf numFmtId="0" fontId="30" fillId="45" borderId="23" xfId="0" applyFont="1" applyFill="1" applyBorder="1" applyAlignment="1">
      <alignment horizontal="center" vertical="center"/>
    </xf>
    <xf numFmtId="0" fontId="30" fillId="0" borderId="26" xfId="0" applyFont="1" applyBorder="1" applyAlignment="1">
      <alignment horizontal="center" vertical="center"/>
    </xf>
    <xf numFmtId="0" fontId="31" fillId="0" borderId="27" xfId="0" applyFont="1" applyBorder="1" applyAlignment="1">
      <alignment horizontal="center" vertical="center"/>
    </xf>
    <xf numFmtId="0" fontId="30" fillId="46" borderId="26" xfId="0" applyFont="1" applyFill="1" applyBorder="1" applyAlignment="1">
      <alignment horizontal="center" vertical="center"/>
    </xf>
    <xf numFmtId="0" fontId="31" fillId="46" borderId="27" xfId="0" applyFont="1" applyFill="1" applyBorder="1" applyAlignment="1">
      <alignment horizontal="center" vertical="center"/>
    </xf>
    <xf numFmtId="0" fontId="34" fillId="0" borderId="17" xfId="0" applyFont="1" applyBorder="1" applyAlignment="1">
      <alignment horizontal="center" vertical="center"/>
    </xf>
    <xf numFmtId="0" fontId="0" fillId="47" borderId="17" xfId="10" applyFont="1" applyFill="1" applyBorder="1">
      <alignment horizontal="center" vertical="center"/>
    </xf>
    <xf numFmtId="0" fontId="5" fillId="0" borderId="21" xfId="0" applyFont="1" applyBorder="1" applyAlignment="1">
      <alignment horizontal="center"/>
    </xf>
    <xf numFmtId="0" fontId="26" fillId="44" borderId="22" xfId="0" applyFont="1" applyFill="1" applyBorder="1" applyAlignment="1">
      <alignment horizontal="center"/>
    </xf>
    <xf numFmtId="0" fontId="26" fillId="44" borderId="28" xfId="0" applyFont="1" applyFill="1" applyBorder="1" applyAlignment="1">
      <alignment horizontal="center"/>
    </xf>
    <xf numFmtId="0" fontId="0" fillId="0" borderId="25" xfId="0" applyBorder="1" applyAlignment="1">
      <alignment horizontal="center"/>
    </xf>
    <xf numFmtId="0" fontId="0" fillId="0" borderId="28" xfId="0" applyBorder="1"/>
    <xf numFmtId="0" fontId="0" fillId="0" borderId="28" xfId="0" applyBorder="1" applyAlignment="1">
      <alignment horizontal="center"/>
    </xf>
    <xf numFmtId="0" fontId="0" fillId="0" borderId="0" xfId="0" applyAlignment="1">
      <alignment horizontal="center" wrapText="1"/>
    </xf>
    <xf numFmtId="0" fontId="31" fillId="48" borderId="25" xfId="0" applyFont="1" applyFill="1" applyBorder="1" applyAlignment="1">
      <alignment horizontal="center" vertical="center"/>
    </xf>
    <xf numFmtId="0" fontId="35" fillId="3" borderId="17" xfId="10" applyFont="1" applyFill="1" applyBorder="1" applyAlignment="1">
      <alignment horizontal="center" vertical="center" wrapText="1"/>
    </xf>
    <xf numFmtId="0" fontId="36" fillId="49" borderId="17" xfId="0" applyFont="1" applyFill="1" applyBorder="1" applyAlignment="1">
      <alignment horizontal="center"/>
    </xf>
    <xf numFmtId="0" fontId="8" fillId="3" borderId="19" xfId="10" applyFill="1" applyBorder="1">
      <alignment horizontal="center" vertical="center"/>
    </xf>
    <xf numFmtId="0" fontId="8" fillId="3" borderId="19" xfId="10" applyFill="1" applyBorder="1" applyAlignment="1">
      <alignment horizontal="center" vertical="center" wrapText="1"/>
    </xf>
    <xf numFmtId="0" fontId="35" fillId="49" borderId="17" xfId="0" applyFont="1" applyFill="1" applyBorder="1" applyAlignment="1">
      <alignment horizontal="center" vertical="center"/>
    </xf>
    <xf numFmtId="0" fontId="0" fillId="0" borderId="28" xfId="0" applyBorder="1" applyAlignment="1">
      <alignment horizontal="center" wrapText="1" shrinkToFit="1"/>
    </xf>
    <xf numFmtId="0" fontId="5" fillId="0" borderId="28" xfId="0" applyFont="1" applyBorder="1" applyAlignment="1">
      <alignment horizontal="center"/>
    </xf>
    <xf numFmtId="0" fontId="5" fillId="0" borderId="29" xfId="0" applyFont="1" applyBorder="1" applyAlignment="1">
      <alignment horizontal="center"/>
    </xf>
    <xf numFmtId="0" fontId="0" fillId="0" borderId="0" xfId="0" quotePrefix="1" applyAlignment="1">
      <alignment horizontal="center"/>
    </xf>
    <xf numFmtId="0" fontId="35" fillId="50" borderId="17" xfId="0" applyFont="1" applyFill="1" applyBorder="1" applyAlignment="1">
      <alignment horizontal="center" vertical="center"/>
    </xf>
    <xf numFmtId="0" fontId="0" fillId="47" borderId="19" xfId="10" applyFont="1" applyFill="1" applyBorder="1">
      <alignment horizontal="center" vertical="center"/>
    </xf>
    <xf numFmtId="0" fontId="0" fillId="3" borderId="19" xfId="10" applyFont="1" applyFill="1" applyBorder="1">
      <alignment horizontal="center" vertical="center"/>
    </xf>
    <xf numFmtId="0" fontId="0" fillId="3" borderId="17" xfId="0" applyFill="1" applyBorder="1"/>
    <xf numFmtId="0" fontId="36" fillId="51" borderId="17" xfId="0" applyFont="1" applyFill="1" applyBorder="1" applyAlignment="1">
      <alignment horizontal="center"/>
    </xf>
    <xf numFmtId="0" fontId="36" fillId="51" borderId="17" xfId="0" applyFont="1" applyFill="1" applyBorder="1" applyAlignment="1">
      <alignment horizontal="center" wrapText="1"/>
    </xf>
    <xf numFmtId="0" fontId="35" fillId="51" borderId="17" xfId="0" applyFont="1" applyFill="1" applyBorder="1" applyAlignment="1">
      <alignment horizontal="center" vertical="center"/>
    </xf>
    <xf numFmtId="0" fontId="35" fillId="51" borderId="17" xfId="0" applyFont="1" applyFill="1" applyBorder="1" applyAlignment="1">
      <alignment horizontal="center" vertical="center" wrapText="1"/>
    </xf>
    <xf numFmtId="0" fontId="38" fillId="0" borderId="25" xfId="53" applyFont="1" applyFill="1" applyBorder="1" applyAlignment="1">
      <alignment horizontal="center" vertical="center"/>
    </xf>
    <xf numFmtId="0" fontId="38" fillId="0" borderId="27" xfId="53" applyFont="1" applyFill="1" applyBorder="1" applyAlignment="1">
      <alignment horizontal="center" vertical="center"/>
    </xf>
    <xf numFmtId="0" fontId="38" fillId="0" borderId="17" xfId="53" applyFont="1" applyFill="1" applyBorder="1" applyAlignment="1">
      <alignment horizontal="center" vertical="center"/>
    </xf>
    <xf numFmtId="0" fontId="32" fillId="0" borderId="17" xfId="53" applyFill="1" applyBorder="1" applyAlignment="1">
      <alignment horizontal="center" vertical="center"/>
    </xf>
    <xf numFmtId="0" fontId="26" fillId="44" borderId="0" xfId="0" applyFont="1" applyFill="1" applyAlignment="1">
      <alignment horizontal="center"/>
    </xf>
    <xf numFmtId="0" fontId="26" fillId="44" borderId="32" xfId="0" applyFont="1" applyFill="1" applyBorder="1" applyAlignment="1">
      <alignment horizontal="center"/>
    </xf>
    <xf numFmtId="0" fontId="26" fillId="44" borderId="33" xfId="0" applyFont="1" applyFill="1" applyBorder="1" applyAlignment="1">
      <alignment horizontal="center"/>
    </xf>
    <xf numFmtId="0" fontId="30" fillId="45" borderId="25" xfId="0" applyFont="1" applyFill="1" applyBorder="1" applyAlignment="1">
      <alignment horizontal="center" vertical="center"/>
    </xf>
    <xf numFmtId="0" fontId="30" fillId="45" borderId="27" xfId="0" applyFont="1" applyFill="1" applyBorder="1" applyAlignment="1">
      <alignment horizontal="center" vertical="center"/>
    </xf>
    <xf numFmtId="0" fontId="0" fillId="52" borderId="17" xfId="0" applyFill="1" applyBorder="1" applyAlignment="1">
      <alignment horizontal="center"/>
    </xf>
    <xf numFmtId="0" fontId="0" fillId="53" borderId="17" xfId="0" applyFill="1" applyBorder="1" applyAlignment="1">
      <alignment horizontal="center"/>
    </xf>
    <xf numFmtId="0" fontId="0" fillId="0" borderId="17" xfId="0" applyBorder="1"/>
    <xf numFmtId="0" fontId="39" fillId="0" borderId="17" xfId="0" applyFont="1" applyBorder="1"/>
    <xf numFmtId="0" fontId="0" fillId="0" borderId="17" xfId="0" applyBorder="1" applyAlignment="1">
      <alignment horizontal="center" vertical="top"/>
    </xf>
    <xf numFmtId="0" fontId="0" fillId="3" borderId="17" xfId="0" applyFill="1" applyBorder="1" applyAlignment="1">
      <alignment horizontal="center"/>
    </xf>
    <xf numFmtId="14" fontId="8" fillId="47" borderId="17" xfId="10" applyNumberFormat="1" applyFill="1" applyBorder="1">
      <alignment horizontal="center" vertical="center"/>
    </xf>
    <xf numFmtId="14" fontId="0" fillId="47" borderId="17" xfId="10" applyNumberFormat="1" applyFont="1" applyFill="1" applyBorder="1">
      <alignment horizontal="center" vertical="center"/>
    </xf>
    <xf numFmtId="14" fontId="0" fillId="0" borderId="17" xfId="0" applyNumberFormat="1" applyBorder="1" applyAlignment="1">
      <alignment horizontal="center" vertical="center"/>
    </xf>
    <xf numFmtId="14" fontId="8" fillId="47" borderId="19" xfId="10" applyNumberFormat="1" applyFill="1" applyBorder="1">
      <alignment horizontal="center" vertical="center"/>
    </xf>
    <xf numFmtId="14" fontId="8" fillId="3" borderId="17" xfId="10" applyNumberFormat="1" applyFill="1" applyBorder="1">
      <alignment horizontal="center" vertical="center"/>
    </xf>
    <xf numFmtId="14" fontId="0" fillId="3" borderId="17" xfId="10" applyNumberFormat="1" applyFont="1" applyFill="1" applyBorder="1">
      <alignment horizontal="center" vertical="center"/>
    </xf>
    <xf numFmtId="14" fontId="8" fillId="3" borderId="19" xfId="10" applyNumberFormat="1" applyFill="1" applyBorder="1">
      <alignment horizontal="center" vertical="center"/>
    </xf>
    <xf numFmtId="0" fontId="8" fillId="3" borderId="17" xfId="10" applyFill="1" applyBorder="1" applyAlignment="1">
      <alignment horizontal="left" vertical="center" wrapText="1"/>
    </xf>
    <xf numFmtId="14" fontId="0" fillId="0" borderId="17" xfId="0" applyNumberFormat="1" applyBorder="1" applyAlignment="1">
      <alignment horizontal="center" vertical="top"/>
    </xf>
    <xf numFmtId="0" fontId="0" fillId="43" borderId="25" xfId="0" applyFill="1" applyBorder="1" applyAlignment="1">
      <alignment horizontal="center"/>
    </xf>
    <xf numFmtId="0" fontId="38" fillId="0" borderId="31" xfId="53" applyFont="1" applyFill="1" applyBorder="1" applyAlignment="1">
      <alignment horizontal="center" vertical="center"/>
    </xf>
    <xf numFmtId="0" fontId="32" fillId="0" borderId="31" xfId="53" applyFill="1" applyBorder="1" applyAlignment="1">
      <alignment horizontal="center" vertical="center"/>
    </xf>
    <xf numFmtId="0" fontId="38" fillId="0" borderId="26" xfId="53" applyFont="1" applyBorder="1" applyAlignment="1">
      <alignment horizontal="center" vertical="center"/>
    </xf>
    <xf numFmtId="0" fontId="32" fillId="0" borderId="26" xfId="53" applyBorder="1" applyAlignment="1">
      <alignment horizontal="center" vertical="center"/>
    </xf>
    <xf numFmtId="0" fontId="38" fillId="0" borderId="24" xfId="53" applyFont="1" applyBorder="1" applyAlignment="1">
      <alignment horizontal="center" vertical="center"/>
    </xf>
    <xf numFmtId="0" fontId="0" fillId="3" borderId="21" xfId="10" applyFont="1" applyFill="1" applyBorder="1">
      <alignment horizontal="center" vertical="center"/>
    </xf>
    <xf numFmtId="17" fontId="0" fillId="0" borderId="17" xfId="0" applyNumberFormat="1" applyBorder="1" applyAlignment="1">
      <alignment horizontal="center"/>
    </xf>
    <xf numFmtId="0" fontId="36" fillId="3" borderId="17" xfId="0" applyFont="1" applyFill="1" applyBorder="1" applyAlignment="1">
      <alignment horizontal="center"/>
    </xf>
    <xf numFmtId="0" fontId="0" fillId="0" borderId="24" xfId="0" applyBorder="1" applyAlignment="1">
      <alignment horizontal="center"/>
    </xf>
    <xf numFmtId="0" fontId="30" fillId="45" borderId="19" xfId="0" applyFont="1" applyFill="1" applyBorder="1" applyAlignment="1">
      <alignment horizontal="center" vertical="center"/>
    </xf>
    <xf numFmtId="0" fontId="30" fillId="0" borderId="19" xfId="0" applyFont="1" applyBorder="1" applyAlignment="1">
      <alignment horizontal="center" vertical="center"/>
    </xf>
    <xf numFmtId="0" fontId="30" fillId="0" borderId="32" xfId="0" applyFont="1" applyBorder="1" applyAlignment="1">
      <alignment horizontal="center" vertical="center"/>
    </xf>
    <xf numFmtId="0" fontId="31" fillId="0" borderId="33" xfId="0" applyFont="1" applyBorder="1" applyAlignment="1">
      <alignment horizontal="center" vertical="center"/>
    </xf>
    <xf numFmtId="0" fontId="31" fillId="0" borderId="19" xfId="0" applyFont="1" applyBorder="1" applyAlignment="1">
      <alignment horizontal="center" vertical="center"/>
    </xf>
    <xf numFmtId="0" fontId="32" fillId="0" borderId="19" xfId="53" applyFill="1" applyBorder="1" applyAlignment="1">
      <alignment horizontal="center" vertical="center"/>
    </xf>
    <xf numFmtId="0" fontId="32" fillId="0" borderId="17" xfId="53" applyBorder="1" applyAlignment="1">
      <alignment horizontal="center"/>
    </xf>
    <xf numFmtId="0" fontId="36" fillId="50" borderId="17" xfId="0" applyFont="1" applyFill="1" applyBorder="1" applyAlignment="1">
      <alignment horizontal="center"/>
    </xf>
    <xf numFmtId="14" fontId="0" fillId="45" borderId="17" xfId="10" applyNumberFormat="1" applyFont="1" applyFill="1" applyBorder="1">
      <alignment horizontal="center" vertical="center"/>
    </xf>
    <xf numFmtId="14" fontId="35" fillId="49" borderId="17" xfId="0" applyNumberFormat="1" applyFont="1" applyFill="1" applyBorder="1" applyAlignment="1">
      <alignment horizontal="center" vertical="center"/>
    </xf>
    <xf numFmtId="14" fontId="8" fillId="45" borderId="17" xfId="10" applyNumberFormat="1" applyFill="1" applyBorder="1">
      <alignment horizontal="center" vertical="center"/>
    </xf>
    <xf numFmtId="14" fontId="0" fillId="47" borderId="17" xfId="0" applyNumberFormat="1" applyFill="1" applyBorder="1" applyAlignment="1">
      <alignment horizontal="center" vertical="center"/>
    </xf>
    <xf numFmtId="14" fontId="0" fillId="47" borderId="19" xfId="10" applyNumberFormat="1" applyFont="1" applyFill="1" applyBorder="1">
      <alignment horizontal="center" vertical="center"/>
    </xf>
    <xf numFmtId="0" fontId="0" fillId="0" borderId="17" xfId="0" applyBorder="1" applyAlignment="1">
      <alignment horizontal="center" vertical="center" wrapText="1"/>
    </xf>
    <xf numFmtId="0" fontId="0" fillId="0" borderId="30" xfId="0" applyBorder="1"/>
    <xf numFmtId="14" fontId="0" fillId="3" borderId="19" xfId="10" applyNumberFormat="1" applyFont="1" applyFill="1" applyBorder="1">
      <alignment horizontal="center" vertical="center"/>
    </xf>
    <xf numFmtId="0" fontId="31" fillId="54" borderId="25" xfId="0" applyFont="1" applyFill="1" applyBorder="1" applyAlignment="1">
      <alignment horizontal="center" vertical="center"/>
    </xf>
    <xf numFmtId="0" fontId="40" fillId="0" borderId="0" xfId="0" applyFont="1" applyAlignment="1">
      <alignment horizontal="center"/>
    </xf>
    <xf numFmtId="0" fontId="26" fillId="44" borderId="17" xfId="0" applyFont="1" applyFill="1" applyBorder="1" applyAlignment="1">
      <alignment horizontal="center"/>
    </xf>
    <xf numFmtId="0" fontId="5" fillId="0" borderId="28" xfId="0" applyFont="1" applyBorder="1" applyAlignment="1">
      <alignment horizontal="center"/>
    </xf>
    <xf numFmtId="0" fontId="5" fillId="0" borderId="30" xfId="0" applyFont="1" applyBorder="1" applyAlignment="1">
      <alignment horizontal="center"/>
    </xf>
    <xf numFmtId="166" fontId="0" fillId="6" borderId="4" xfId="0" applyNumberFormat="1" applyFill="1" applyBorder="1" applyAlignment="1">
      <alignment horizontal="left" vertical="center" wrapText="1" indent="1"/>
    </xf>
    <xf numFmtId="166" fontId="0" fillId="6" borderId="1" xfId="0" applyNumberFormat="1" applyFill="1" applyBorder="1" applyAlignment="1">
      <alignment horizontal="left" vertical="center" wrapText="1" indent="1"/>
    </xf>
    <xf numFmtId="166" fontId="0" fillId="6" borderId="5" xfId="0" applyNumberFormat="1" applyFill="1" applyBorder="1" applyAlignment="1">
      <alignment horizontal="left" vertical="center" wrapText="1" indent="1"/>
    </xf>
    <xf numFmtId="168" fontId="8" fillId="0" borderId="3" xfId="8" applyAlignment="1">
      <alignment horizontal="center" vertical="center"/>
    </xf>
    <xf numFmtId="0" fontId="8" fillId="0" borderId="0" xfId="7" applyAlignment="1">
      <alignment horizontal="right" indent="1"/>
    </xf>
    <xf numFmtId="0" fontId="8" fillId="0" borderId="7" xfId="7" applyBorder="1" applyAlignment="1">
      <alignment horizontal="right" indent="1"/>
    </xf>
  </cellXfs>
  <cellStyles count="55">
    <cellStyle name="20% - Ênfase1" xfId="30" builtinId="30" customBuiltin="1"/>
    <cellStyle name="20% - Ênfase2" xfId="34" builtinId="34" customBuiltin="1"/>
    <cellStyle name="20% - Ênfase3" xfId="38" builtinId="38" customBuiltin="1"/>
    <cellStyle name="20% - Ênfase4" xfId="42" builtinId="42" customBuiltin="1"/>
    <cellStyle name="20% - Ênfase5" xfId="46" builtinId="46" customBuiltin="1"/>
    <cellStyle name="20% - Ênfase6" xfId="50" builtinId="50" customBuiltin="1"/>
    <cellStyle name="40% - Ênfase1" xfId="31" builtinId="31" customBuiltin="1"/>
    <cellStyle name="40% - Ênfase2" xfId="35" builtinId="35" customBuiltin="1"/>
    <cellStyle name="40% - Ênfase3" xfId="39" builtinId="39" customBuiltin="1"/>
    <cellStyle name="40% - Ênfase4" xfId="43" builtinId="43" customBuiltin="1"/>
    <cellStyle name="40% - Ênfase5" xfId="47" builtinId="47" customBuiltin="1"/>
    <cellStyle name="40% - Ênfase6" xfId="51" builtinId="51" customBuiltin="1"/>
    <cellStyle name="60% - Ênfase1" xfId="32" builtinId="32" customBuiltin="1"/>
    <cellStyle name="60% - Ênfase2" xfId="36" builtinId="36" customBuiltin="1"/>
    <cellStyle name="60% - Ênfase3" xfId="40" builtinId="40" customBuiltin="1"/>
    <cellStyle name="60% - Ênfase4" xfId="44" builtinId="44" customBuiltin="1"/>
    <cellStyle name="60% - Ênfase5" xfId="48" builtinId="48" customBuiltin="1"/>
    <cellStyle name="60% - Ênfase6" xfId="52" builtinId="52" customBuiltin="1"/>
    <cellStyle name="Bom" xfId="17" builtinId="26" customBuiltin="1"/>
    <cellStyle name="Cálculo" xfId="22" builtinId="22" customBuiltin="1"/>
    <cellStyle name="Célula de Verificação" xfId="24" builtinId="23" customBuiltin="1"/>
    <cellStyle name="Célula Vinculada" xfId="23" builtinId="24" customBuiltin="1"/>
    <cellStyle name="Data" xfId="9" xr:uid="{229918B6-DD13-4F5A-97B9-305F7E002AA3}"/>
    <cellStyle name="Ênfase1" xfId="29" builtinId="29" customBuiltin="1"/>
    <cellStyle name="Ênfase2" xfId="33" builtinId="33" customBuiltin="1"/>
    <cellStyle name="Ênfase3" xfId="37" builtinId="37" customBuiltin="1"/>
    <cellStyle name="Ênfase4" xfId="41" builtinId="41" customBuiltin="1"/>
    <cellStyle name="Ênfase5" xfId="45" builtinId="45" customBuiltin="1"/>
    <cellStyle name="Ênfase6" xfId="49" builtinId="49" customBuiltin="1"/>
    <cellStyle name="Entrada" xfId="20" builtinId="20" customBuiltin="1"/>
    <cellStyle name="Hiperlink" xfId="53" builtinId="8" customBuiltin="1"/>
    <cellStyle name="Hiperlink Visitado" xfId="12" builtinId="9" customBuiltin="1"/>
    <cellStyle name="Hyperlink" xfId="54" xr:uid="{00000000-000B-0000-0000-000008000000}"/>
    <cellStyle name="Início do Projeto" xfId="8" xr:uid="{8EB8A09A-C31C-40A3-B2C1-9449520178B8}"/>
    <cellStyle name="Moeda" xfId="14" builtinId="4" customBuiltin="1"/>
    <cellStyle name="Moeda [0]" xfId="15" builtinId="7" customBuiltin="1"/>
    <cellStyle name="Neutro" xfId="19" builtinId="28" customBuiltin="1"/>
    <cellStyle name="Nome" xfId="10" xr:uid="{B2D3C1EE-6B41-4801-AAFC-C2274E49E503}"/>
    <cellStyle name="Normal" xfId="0" builtinId="0" customBuiltin="1"/>
    <cellStyle name="Nota" xfId="26" builtinId="10" customBuiltin="1"/>
    <cellStyle name="Porcentagem" xfId="1" builtinId="5" customBuiltin="1"/>
    <cellStyle name="Ruim" xfId="18" builtinId="27" customBuiltin="1"/>
    <cellStyle name="Saída" xfId="21" builtinId="21" customBuiltin="1"/>
    <cellStyle name="Separador de milhares [0]" xfId="13" builtinId="6" customBuiltin="1"/>
    <cellStyle name="Tarefa" xfId="11" xr:uid="{6391D789-272B-4DD2-9BF3-2CDCF610FA41}"/>
    <cellStyle name="Texto de Aviso" xfId="25" builtinId="11" customBuiltin="1"/>
    <cellStyle name="Texto Explicativo" xfId="27" builtinId="53" customBuiltin="1"/>
    <cellStyle name="Título" xfId="4" builtinId="15" customBuiltin="1"/>
    <cellStyle name="Título 1" xfId="5" builtinId="16" customBuiltin="1"/>
    <cellStyle name="Título 2" xfId="6" builtinId="17" customBuiltin="1"/>
    <cellStyle name="Título 3" xfId="7" builtinId="18" customBuiltin="1"/>
    <cellStyle name="Título 4" xfId="16" builtinId="19" customBuiltin="1"/>
    <cellStyle name="Total" xfId="28" builtinId="25" customBuiltin="1"/>
    <cellStyle name="Vírgula" xfId="3" builtinId="3" customBuiltin="1"/>
    <cellStyle name="zTextoOculto" xfId="2" xr:uid="{26E66EE6-E33F-4D77-BAE4-0FB4F5BBF673}"/>
  </cellStyles>
  <dxfs count="135">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ont>
        <color theme="4"/>
      </font>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fill>
        <patternFill>
          <bgColor rgb="FFB381D9"/>
        </patternFill>
      </fill>
    </dxf>
    <dxf>
      <fill>
        <patternFill>
          <bgColor theme="5" tint="0.79998168889431442"/>
        </patternFill>
      </fill>
    </dxf>
    <dxf>
      <fill>
        <patternFill>
          <bgColor theme="4" tint="0.79998168889431442"/>
        </patternFill>
      </fill>
    </dxf>
    <dxf>
      <fill>
        <patternFill>
          <bgColor rgb="FFB381D9"/>
        </patternFill>
      </fill>
    </dxf>
    <dxf>
      <numFmt numFmtId="0" formatCode="General"/>
      <fill>
        <patternFill patternType="solid">
          <fgColor indexed="64"/>
          <bgColor theme="4" tint="0.79998168889431442"/>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4" tint="0.7999816888943144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79998168889431442"/>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4" tint="0.7999816888943144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79998168889431442"/>
        </patternFill>
      </fill>
      <border diagonalUp="0" diagonalDown="0" outline="0">
        <left style="thin">
          <color indexed="64"/>
        </left>
        <right style="thin">
          <color indexed="64"/>
        </right>
        <top style="thin">
          <color indexed="64"/>
        </top>
        <bottom style="thin">
          <color indexed="64"/>
        </bottom>
      </border>
    </dxf>
    <dxf>
      <numFmt numFmtId="19" formatCode="dd/mm/yyyy"/>
      <fill>
        <patternFill patternType="solid">
          <fgColor indexed="64"/>
          <bgColor theme="0" tint="-0.34998626667073579"/>
        </patternFill>
      </fill>
      <alignment horizontal="center"/>
      <border diagonalUp="0" diagonalDown="0">
        <left style="thin">
          <color indexed="64"/>
        </left>
        <right style="thin">
          <color indexed="64"/>
        </right>
        <top style="thin">
          <color indexed="64"/>
        </top>
        <bottom style="thin">
          <color indexed="64"/>
        </bottom>
      </border>
    </dxf>
    <dxf>
      <numFmt numFmtId="19" formatCode="dd/mm/yyyy"/>
      <fill>
        <patternFill patternType="solid">
          <fgColor indexed="64"/>
          <bgColor theme="4" tint="0.79998168889431442"/>
        </patternFill>
      </fill>
      <alignment horizontal="center"/>
      <border diagonalUp="0" diagonalDown="0">
        <left style="thin">
          <color indexed="64"/>
        </left>
        <right style="thin">
          <color indexed="64"/>
        </right>
        <top style="thin">
          <color indexed="64"/>
        </top>
        <bottom style="thin">
          <color indexed="64"/>
        </bottom>
      </border>
    </dxf>
    <dxf>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theme="0" tint="-0.34998626667073579"/>
        </top>
        <bottom style="thin">
          <color indexed="64"/>
        </bottom>
      </border>
    </dxf>
    <dxf>
      <fill>
        <patternFill patternType="solid">
          <fgColor indexed="64"/>
          <bgColor theme="4" tint="0.79998168889431442"/>
        </patternFill>
      </fill>
    </dxf>
    <dxf>
      <font>
        <b/>
        <i val="0"/>
        <strike val="0"/>
        <condense val="0"/>
        <extend val="0"/>
        <outline val="0"/>
        <shadow val="0"/>
        <u val="none"/>
        <vertAlign val="baseline"/>
        <sz val="9"/>
        <color theme="0"/>
        <name val="Calibri"/>
        <family val="2"/>
        <scheme val="minor"/>
      </font>
      <fill>
        <patternFill patternType="solid">
          <fgColor theme="4"/>
          <bgColor theme="1" tint="0.34998626667073579"/>
        </patternFill>
      </fill>
      <alignment horizontal="center" vertical="center" textRotation="0" wrapText="1" indent="0" justifyLastLine="0" shrinkToFit="0" readingOrder="0"/>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font>
        <color theme="4"/>
      </font>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134"/>
      <tableStyleElement type="headerRow" dxfId="133"/>
      <tableStyleElement type="totalRow" dxfId="132"/>
      <tableStyleElement type="firstColumn" dxfId="131"/>
      <tableStyleElement type="lastColumn" dxfId="130"/>
      <tableStyleElement type="firstRowStripe" dxfId="129"/>
      <tableStyleElement type="secondRowStripe" dxfId="128"/>
      <tableStyleElement type="firstColumnStripe" dxfId="127"/>
      <tableStyleElement type="secondColumnStripe" dxfId="12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CD5B4"/>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Embarques - Geral</a:t>
            </a:r>
          </a:p>
        </c:rich>
      </c:tx>
      <c:layout>
        <c:manualLayout>
          <c:xMode val="edge"/>
          <c:yMode val="edge"/>
          <c:x val="0.35491929824561402"/>
          <c:y val="1.26146788990825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'Embarques Vivenciais'!$D$3</c:f>
              <c:strCache>
                <c:ptCount val="1"/>
                <c:pt idx="0">
                  <c:v>Embarques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Vivenciais'!$D$4:$D$33</c:f>
              <c:numCache>
                <c:formatCode>General</c:formatCode>
                <c:ptCount val="15"/>
                <c:pt idx="0">
                  <c:v>1</c:v>
                </c:pt>
                <c:pt idx="1">
                  <c:v>2</c:v>
                </c:pt>
                <c:pt idx="2">
                  <c:v>2</c:v>
                </c:pt>
                <c:pt idx="3">
                  <c:v>6</c:v>
                </c:pt>
                <c:pt idx="4">
                  <c:v>13</c:v>
                </c:pt>
                <c:pt idx="5">
                  <c:v>14</c:v>
                </c:pt>
                <c:pt idx="6">
                  <c:v>18</c:v>
                </c:pt>
                <c:pt idx="7">
                  <c:v>24</c:v>
                </c:pt>
                <c:pt idx="8">
                  <c:v>61</c:v>
                </c:pt>
                <c:pt idx="9">
                  <c:v>68</c:v>
                </c:pt>
                <c:pt idx="10">
                  <c:v>68</c:v>
                </c:pt>
                <c:pt idx="11">
                  <c:v>69</c:v>
                </c:pt>
                <c:pt idx="12">
                  <c:v>69</c:v>
                </c:pt>
                <c:pt idx="13">
                  <c:v>69</c:v>
                </c:pt>
                <c:pt idx="14">
                  <c:v>69</c:v>
                </c:pt>
              </c:numCache>
            </c:numRef>
          </c:val>
          <c:smooth val="0"/>
          <c:extLst>
            <c:ext xmlns:c16="http://schemas.microsoft.com/office/drawing/2014/chart" uri="{C3380CC4-5D6E-409C-BE32-E72D297353CC}">
              <c16:uniqueId val="{00000000-36E7-43B0-AC95-2A3CCB988ABC}"/>
            </c:ext>
          </c:extLst>
        </c:ser>
        <c:ser>
          <c:idx val="1"/>
          <c:order val="1"/>
          <c:tx>
            <c:strRef>
              <c:f>'Embarques Vivenciais'!$E$3</c:f>
              <c:strCache>
                <c:ptCount val="1"/>
                <c:pt idx="0">
                  <c:v>Necessidade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Vivenciais'!$E$4:$E$33</c:f>
              <c:numCache>
                <c:formatCode>General</c:formatCode>
                <c:ptCount val="15"/>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numCache>
            </c:numRef>
          </c:val>
          <c:smooth val="0"/>
          <c:extLst>
            <c:ext xmlns:c16="http://schemas.microsoft.com/office/drawing/2014/chart" uri="{C3380CC4-5D6E-409C-BE32-E72D297353CC}">
              <c16:uniqueId val="{00000001-36E7-43B0-AC95-2A3CCB988ABC}"/>
            </c:ext>
          </c:extLst>
        </c:ser>
        <c:dLbls>
          <c:showLegendKey val="0"/>
          <c:showVal val="0"/>
          <c:showCatName val="0"/>
          <c:showSerName val="0"/>
          <c:showPercent val="0"/>
          <c:showBubbleSize val="0"/>
        </c:dLbls>
        <c:marker val="1"/>
        <c:smooth val="0"/>
        <c:axId val="706840127"/>
        <c:axId val="706844927"/>
      </c:lineChart>
      <c:dateAx>
        <c:axId val="706840127"/>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6844927"/>
        <c:crosses val="autoZero"/>
        <c:auto val="1"/>
        <c:lblOffset val="100"/>
        <c:baseTimeUnit val="months"/>
      </c:dateAx>
      <c:valAx>
        <c:axId val="70684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6840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Embarques - P82</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'Embarques Vivenciais'!$R$3</c:f>
              <c:strCache>
                <c:ptCount val="1"/>
                <c:pt idx="0">
                  <c:v>Embarques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Vivenciais'!$R$4:$R$33</c:f>
              <c:numCache>
                <c:formatCode>General</c:formatCode>
                <c:ptCount val="15"/>
                <c:pt idx="0">
                  <c:v>1</c:v>
                </c:pt>
                <c:pt idx="1">
                  <c:v>1</c:v>
                </c:pt>
                <c:pt idx="2">
                  <c:v>1</c:v>
                </c:pt>
                <c:pt idx="3">
                  <c:v>1</c:v>
                </c:pt>
                <c:pt idx="4">
                  <c:v>4</c:v>
                </c:pt>
                <c:pt idx="5">
                  <c:v>4</c:v>
                </c:pt>
                <c:pt idx="6">
                  <c:v>4</c:v>
                </c:pt>
                <c:pt idx="7">
                  <c:v>7</c:v>
                </c:pt>
                <c:pt idx="8">
                  <c:v>21</c:v>
                </c:pt>
                <c:pt idx="9">
                  <c:v>24</c:v>
                </c:pt>
                <c:pt idx="10">
                  <c:v>24</c:v>
                </c:pt>
                <c:pt idx="11">
                  <c:v>24</c:v>
                </c:pt>
                <c:pt idx="12">
                  <c:v>24</c:v>
                </c:pt>
                <c:pt idx="13">
                  <c:v>24</c:v>
                </c:pt>
                <c:pt idx="14">
                  <c:v>24</c:v>
                </c:pt>
              </c:numCache>
            </c:numRef>
          </c:val>
          <c:smooth val="0"/>
          <c:extLst>
            <c:ext xmlns:c16="http://schemas.microsoft.com/office/drawing/2014/chart" uri="{C3380CC4-5D6E-409C-BE32-E72D297353CC}">
              <c16:uniqueId val="{00000000-D17D-4EEF-823F-D3CBAAA3863F}"/>
            </c:ext>
          </c:extLst>
        </c:ser>
        <c:ser>
          <c:idx val="1"/>
          <c:order val="1"/>
          <c:tx>
            <c:strRef>
              <c:f>'Embarques Vivenciais'!$S$3</c:f>
              <c:strCache>
                <c:ptCount val="1"/>
                <c:pt idx="0">
                  <c:v>Meta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Vivenciais'!$S$4:$S$33</c:f>
              <c:numCache>
                <c:formatCode>General</c:formatCode>
                <c:ptCount val="15"/>
                <c:pt idx="0">
                  <c:v>24</c:v>
                </c:pt>
                <c:pt idx="1">
                  <c:v>24</c:v>
                </c:pt>
                <c:pt idx="2">
                  <c:v>24</c:v>
                </c:pt>
                <c:pt idx="3">
                  <c:v>24</c:v>
                </c:pt>
                <c:pt idx="4">
                  <c:v>24</c:v>
                </c:pt>
                <c:pt idx="5">
                  <c:v>24</c:v>
                </c:pt>
                <c:pt idx="6">
                  <c:v>24</c:v>
                </c:pt>
                <c:pt idx="7">
                  <c:v>24</c:v>
                </c:pt>
                <c:pt idx="8">
                  <c:v>24</c:v>
                </c:pt>
                <c:pt idx="9">
                  <c:v>24</c:v>
                </c:pt>
                <c:pt idx="10">
                  <c:v>24</c:v>
                </c:pt>
                <c:pt idx="11">
                  <c:v>24</c:v>
                </c:pt>
                <c:pt idx="12">
                  <c:v>24</c:v>
                </c:pt>
                <c:pt idx="13">
                  <c:v>24</c:v>
                </c:pt>
                <c:pt idx="14">
                  <c:v>24</c:v>
                </c:pt>
              </c:numCache>
            </c:numRef>
          </c:val>
          <c:smooth val="0"/>
          <c:extLst>
            <c:ext xmlns:c16="http://schemas.microsoft.com/office/drawing/2014/chart" uri="{C3380CC4-5D6E-409C-BE32-E72D297353CC}">
              <c16:uniqueId val="{00000001-D17D-4EEF-823F-D3CBAAA3863F}"/>
            </c:ext>
          </c:extLst>
        </c:ser>
        <c:dLbls>
          <c:showLegendKey val="0"/>
          <c:showVal val="0"/>
          <c:showCatName val="0"/>
          <c:showSerName val="0"/>
          <c:showPercent val="0"/>
          <c:showBubbleSize val="0"/>
        </c:dLbls>
        <c:marker val="1"/>
        <c:smooth val="0"/>
        <c:axId val="706840127"/>
        <c:axId val="706844927"/>
      </c:lineChart>
      <c:dateAx>
        <c:axId val="706840127"/>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6844927"/>
        <c:crosses val="autoZero"/>
        <c:auto val="1"/>
        <c:lblOffset val="100"/>
        <c:baseTimeUnit val="months"/>
      </c:dateAx>
      <c:valAx>
        <c:axId val="70684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6840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Embarques - P83</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'Embarques Vivenciais'!$Y$3</c:f>
              <c:strCache>
                <c:ptCount val="1"/>
                <c:pt idx="0">
                  <c:v>Embarques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Vivenciais'!$Y$4:$Y$33</c:f>
              <c:numCache>
                <c:formatCode>General</c:formatCode>
                <c:ptCount val="15"/>
                <c:pt idx="0">
                  <c:v>0</c:v>
                </c:pt>
                <c:pt idx="1">
                  <c:v>1</c:v>
                </c:pt>
                <c:pt idx="2">
                  <c:v>1</c:v>
                </c:pt>
                <c:pt idx="3">
                  <c:v>2</c:v>
                </c:pt>
                <c:pt idx="4">
                  <c:v>3</c:v>
                </c:pt>
                <c:pt idx="5">
                  <c:v>3</c:v>
                </c:pt>
                <c:pt idx="6">
                  <c:v>5</c:v>
                </c:pt>
                <c:pt idx="7">
                  <c:v>6</c:v>
                </c:pt>
                <c:pt idx="8">
                  <c:v>19</c:v>
                </c:pt>
                <c:pt idx="9">
                  <c:v>22</c:v>
                </c:pt>
                <c:pt idx="10">
                  <c:v>22</c:v>
                </c:pt>
                <c:pt idx="11">
                  <c:v>22</c:v>
                </c:pt>
                <c:pt idx="12">
                  <c:v>22</c:v>
                </c:pt>
                <c:pt idx="13">
                  <c:v>22</c:v>
                </c:pt>
                <c:pt idx="14">
                  <c:v>22</c:v>
                </c:pt>
              </c:numCache>
            </c:numRef>
          </c:val>
          <c:smooth val="0"/>
          <c:extLst>
            <c:ext xmlns:c16="http://schemas.microsoft.com/office/drawing/2014/chart" uri="{C3380CC4-5D6E-409C-BE32-E72D297353CC}">
              <c16:uniqueId val="{00000000-434D-4D83-B7EB-E15A746CF4E4}"/>
            </c:ext>
          </c:extLst>
        </c:ser>
        <c:ser>
          <c:idx val="1"/>
          <c:order val="1"/>
          <c:tx>
            <c:strRef>
              <c:f>'Embarques Vivenciais'!$Z$3</c:f>
              <c:strCache>
                <c:ptCount val="1"/>
                <c:pt idx="0">
                  <c:v>Meta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Vivenciais'!$Z$4:$Z$33</c:f>
              <c:numCache>
                <c:formatCode>General</c:formatCode>
                <c:ptCount val="15"/>
                <c:pt idx="0">
                  <c:v>21</c:v>
                </c:pt>
                <c:pt idx="1">
                  <c:v>21</c:v>
                </c:pt>
                <c:pt idx="2">
                  <c:v>21</c:v>
                </c:pt>
                <c:pt idx="3">
                  <c:v>21</c:v>
                </c:pt>
                <c:pt idx="4">
                  <c:v>21</c:v>
                </c:pt>
                <c:pt idx="5">
                  <c:v>21</c:v>
                </c:pt>
                <c:pt idx="6">
                  <c:v>21</c:v>
                </c:pt>
                <c:pt idx="7">
                  <c:v>21</c:v>
                </c:pt>
                <c:pt idx="8">
                  <c:v>21</c:v>
                </c:pt>
                <c:pt idx="9">
                  <c:v>21</c:v>
                </c:pt>
                <c:pt idx="10">
                  <c:v>21</c:v>
                </c:pt>
                <c:pt idx="11">
                  <c:v>21</c:v>
                </c:pt>
                <c:pt idx="12">
                  <c:v>21</c:v>
                </c:pt>
                <c:pt idx="13">
                  <c:v>21</c:v>
                </c:pt>
                <c:pt idx="14">
                  <c:v>21</c:v>
                </c:pt>
              </c:numCache>
            </c:numRef>
          </c:val>
          <c:smooth val="0"/>
          <c:extLst>
            <c:ext xmlns:c16="http://schemas.microsoft.com/office/drawing/2014/chart" uri="{C3380CC4-5D6E-409C-BE32-E72D297353CC}">
              <c16:uniqueId val="{00000001-434D-4D83-B7EB-E15A746CF4E4}"/>
            </c:ext>
          </c:extLst>
        </c:ser>
        <c:dLbls>
          <c:showLegendKey val="0"/>
          <c:showVal val="0"/>
          <c:showCatName val="0"/>
          <c:showSerName val="0"/>
          <c:showPercent val="0"/>
          <c:showBubbleSize val="0"/>
        </c:dLbls>
        <c:marker val="1"/>
        <c:smooth val="0"/>
        <c:axId val="706840127"/>
        <c:axId val="706844927"/>
      </c:lineChart>
      <c:dateAx>
        <c:axId val="706840127"/>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6844927"/>
        <c:crosses val="autoZero"/>
        <c:auto val="1"/>
        <c:lblOffset val="100"/>
        <c:baseTimeUnit val="months"/>
      </c:dateAx>
      <c:valAx>
        <c:axId val="70684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6840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Embarques - Geral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'Embarques Vivenciais'!$D$3</c:f>
              <c:strCache>
                <c:ptCount val="1"/>
                <c:pt idx="0">
                  <c:v>Embarques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Vivenciais'!$D$4:$D$33</c:f>
              <c:numCache>
                <c:formatCode>General</c:formatCode>
                <c:ptCount val="15"/>
                <c:pt idx="0">
                  <c:v>1</c:v>
                </c:pt>
                <c:pt idx="1">
                  <c:v>2</c:v>
                </c:pt>
                <c:pt idx="2">
                  <c:v>2</c:v>
                </c:pt>
                <c:pt idx="3">
                  <c:v>6</c:v>
                </c:pt>
                <c:pt idx="4">
                  <c:v>13</c:v>
                </c:pt>
                <c:pt idx="5">
                  <c:v>14</c:v>
                </c:pt>
                <c:pt idx="6">
                  <c:v>18</c:v>
                </c:pt>
                <c:pt idx="7">
                  <c:v>24</c:v>
                </c:pt>
                <c:pt idx="8">
                  <c:v>61</c:v>
                </c:pt>
                <c:pt idx="9">
                  <c:v>68</c:v>
                </c:pt>
                <c:pt idx="10">
                  <c:v>68</c:v>
                </c:pt>
                <c:pt idx="11">
                  <c:v>69</c:v>
                </c:pt>
                <c:pt idx="12">
                  <c:v>69</c:v>
                </c:pt>
                <c:pt idx="13">
                  <c:v>69</c:v>
                </c:pt>
                <c:pt idx="14">
                  <c:v>69</c:v>
                </c:pt>
              </c:numCache>
            </c:numRef>
          </c:val>
          <c:smooth val="0"/>
          <c:extLst>
            <c:ext xmlns:c16="http://schemas.microsoft.com/office/drawing/2014/chart" uri="{C3380CC4-5D6E-409C-BE32-E72D297353CC}">
              <c16:uniqueId val="{00000000-7041-4C85-8710-134DB9B64CCE}"/>
            </c:ext>
          </c:extLst>
        </c:ser>
        <c:ser>
          <c:idx val="1"/>
          <c:order val="1"/>
          <c:tx>
            <c:strRef>
              <c:f>'Embarques Vivenciais'!$E$3</c:f>
              <c:strCache>
                <c:ptCount val="1"/>
                <c:pt idx="0">
                  <c:v>Necessidade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Vivenciais'!$E$4:$E$33</c:f>
              <c:numCache>
                <c:formatCode>General</c:formatCode>
                <c:ptCount val="15"/>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numCache>
            </c:numRef>
          </c:val>
          <c:smooth val="0"/>
          <c:extLst>
            <c:ext xmlns:c16="http://schemas.microsoft.com/office/drawing/2014/chart" uri="{C3380CC4-5D6E-409C-BE32-E72D297353CC}">
              <c16:uniqueId val="{00000001-7041-4C85-8710-134DB9B64CCE}"/>
            </c:ext>
          </c:extLst>
        </c:ser>
        <c:dLbls>
          <c:showLegendKey val="0"/>
          <c:showVal val="0"/>
          <c:showCatName val="0"/>
          <c:showSerName val="0"/>
          <c:showPercent val="0"/>
          <c:showBubbleSize val="0"/>
        </c:dLbls>
        <c:marker val="1"/>
        <c:smooth val="0"/>
        <c:axId val="706840127"/>
        <c:axId val="706844927"/>
      </c:lineChart>
      <c:lineChart>
        <c:grouping val="standard"/>
        <c:varyColors val="0"/>
        <c:ser>
          <c:idx val="2"/>
          <c:order val="2"/>
          <c:tx>
            <c:strRef>
              <c:f>'Embarques Vivenciais'!$F$3</c:f>
              <c:strCache>
                <c:ptCount val="1"/>
                <c:pt idx="0">
                  <c:v>Dias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Lbl>
              <c:idx val="7"/>
              <c:delete val="1"/>
              <c:extLst>
                <c:ext xmlns:c15="http://schemas.microsoft.com/office/drawing/2012/chart" uri="{CE6537A1-D6FC-4f65-9D91-7224C49458BB}"/>
                <c:ext xmlns:c16="http://schemas.microsoft.com/office/drawing/2014/chart" uri="{C3380CC4-5D6E-409C-BE32-E72D297353CC}">
                  <c16:uniqueId val="{00000000-DB4E-49E3-9313-70F5CA09B261}"/>
                </c:ext>
              </c:extLst>
            </c:dLbl>
            <c:dLbl>
              <c:idx val="8"/>
              <c:delete val="1"/>
              <c:extLst>
                <c:ext xmlns:c15="http://schemas.microsoft.com/office/drawing/2012/chart" uri="{CE6537A1-D6FC-4f65-9D91-7224C49458BB}"/>
                <c:ext xmlns:c16="http://schemas.microsoft.com/office/drawing/2014/chart" uri="{C3380CC4-5D6E-409C-BE32-E72D297353CC}">
                  <c16:uniqueId val="{00000001-DB4E-49E3-9313-70F5CA09B2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Vivenciais'!$F$4:$F$33</c:f>
              <c:numCache>
                <c:formatCode>General</c:formatCode>
                <c:ptCount val="15"/>
                <c:pt idx="0">
                  <c:v>12</c:v>
                </c:pt>
                <c:pt idx="1">
                  <c:v>24</c:v>
                </c:pt>
                <c:pt idx="2">
                  <c:v>24</c:v>
                </c:pt>
                <c:pt idx="3">
                  <c:v>51</c:v>
                </c:pt>
                <c:pt idx="4">
                  <c:v>114</c:v>
                </c:pt>
                <c:pt idx="5">
                  <c:v>128</c:v>
                </c:pt>
                <c:pt idx="6">
                  <c:v>162</c:v>
                </c:pt>
                <c:pt idx="7">
                  <c:v>226</c:v>
                </c:pt>
                <c:pt idx="8">
                  <c:v>641</c:v>
                </c:pt>
                <c:pt idx="9">
                  <c:v>727</c:v>
                </c:pt>
                <c:pt idx="10">
                  <c:v>727</c:v>
                </c:pt>
                <c:pt idx="11">
                  <c:v>741</c:v>
                </c:pt>
                <c:pt idx="12">
                  <c:v>741</c:v>
                </c:pt>
                <c:pt idx="13">
                  <c:v>741</c:v>
                </c:pt>
                <c:pt idx="14">
                  <c:v>741</c:v>
                </c:pt>
              </c:numCache>
            </c:numRef>
          </c:val>
          <c:smooth val="0"/>
          <c:extLst>
            <c:ext xmlns:c16="http://schemas.microsoft.com/office/drawing/2014/chart" uri="{C3380CC4-5D6E-409C-BE32-E72D297353CC}">
              <c16:uniqueId val="{00000001-2D44-4201-B9D6-402AB755FC2B}"/>
            </c:ext>
          </c:extLst>
        </c:ser>
        <c:ser>
          <c:idx val="3"/>
          <c:order val="3"/>
          <c:tx>
            <c:strRef>
              <c:f>'Embarques Vivenciais'!$G$3</c:f>
              <c:strCache>
                <c:ptCount val="1"/>
                <c:pt idx="0">
                  <c:v>Necessidade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Vivenciais'!$G$4:$G$33</c:f>
              <c:numCache>
                <c:formatCode>General</c:formatCode>
                <c:ptCount val="15"/>
                <c:pt idx="0">
                  <c:v>1260</c:v>
                </c:pt>
                <c:pt idx="1">
                  <c:v>1260</c:v>
                </c:pt>
                <c:pt idx="2">
                  <c:v>1260</c:v>
                </c:pt>
                <c:pt idx="3">
                  <c:v>1260</c:v>
                </c:pt>
                <c:pt idx="4">
                  <c:v>1260</c:v>
                </c:pt>
                <c:pt idx="5">
                  <c:v>1260</c:v>
                </c:pt>
                <c:pt idx="6">
                  <c:v>1260</c:v>
                </c:pt>
                <c:pt idx="7">
                  <c:v>1260</c:v>
                </c:pt>
                <c:pt idx="8">
                  <c:v>1260</c:v>
                </c:pt>
                <c:pt idx="9">
                  <c:v>1260</c:v>
                </c:pt>
                <c:pt idx="10">
                  <c:v>1260</c:v>
                </c:pt>
                <c:pt idx="11">
                  <c:v>1260</c:v>
                </c:pt>
                <c:pt idx="12">
                  <c:v>1260</c:v>
                </c:pt>
                <c:pt idx="13">
                  <c:v>1260</c:v>
                </c:pt>
                <c:pt idx="14">
                  <c:v>1260</c:v>
                </c:pt>
              </c:numCache>
            </c:numRef>
          </c:val>
          <c:smooth val="0"/>
          <c:extLst>
            <c:ext xmlns:c16="http://schemas.microsoft.com/office/drawing/2014/chart" uri="{C3380CC4-5D6E-409C-BE32-E72D297353CC}">
              <c16:uniqueId val="{00000002-2D44-4201-B9D6-402AB755FC2B}"/>
            </c:ext>
          </c:extLst>
        </c:ser>
        <c:dLbls>
          <c:showLegendKey val="0"/>
          <c:showVal val="0"/>
          <c:showCatName val="0"/>
          <c:showSerName val="0"/>
          <c:showPercent val="0"/>
          <c:showBubbleSize val="0"/>
        </c:dLbls>
        <c:marker val="1"/>
        <c:smooth val="0"/>
        <c:axId val="751201800"/>
        <c:axId val="751198728"/>
      </c:lineChart>
      <c:dateAx>
        <c:axId val="706840127"/>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6844927"/>
        <c:crosses val="autoZero"/>
        <c:auto val="1"/>
        <c:lblOffset val="100"/>
        <c:baseTimeUnit val="months"/>
      </c:dateAx>
      <c:valAx>
        <c:axId val="70684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6840127"/>
        <c:crosses val="autoZero"/>
        <c:crossBetween val="between"/>
      </c:valAx>
      <c:valAx>
        <c:axId val="751198728"/>
        <c:scaling>
          <c:orientation val="minMax"/>
          <c:max val="1120"/>
          <c:min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201800"/>
        <c:crosses val="max"/>
        <c:crossBetween val="between"/>
      </c:valAx>
      <c:dateAx>
        <c:axId val="751201800"/>
        <c:scaling>
          <c:orientation val="minMax"/>
        </c:scaling>
        <c:delete val="1"/>
        <c:axPos val="b"/>
        <c:numFmt formatCode="mmm/yyyy" sourceLinked="1"/>
        <c:majorTickMark val="out"/>
        <c:minorTickMark val="none"/>
        <c:tickLblPos val="nextTo"/>
        <c:crossAx val="751198728"/>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Embarques - P80</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'Embarques Vivenciais'!$K$3</c:f>
              <c:strCache>
                <c:ptCount val="1"/>
                <c:pt idx="0">
                  <c:v>Embarques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Vivenciais'!$K$4:$K$33</c:f>
              <c:numCache>
                <c:formatCode>General</c:formatCode>
                <c:ptCount val="15"/>
                <c:pt idx="0">
                  <c:v>0</c:v>
                </c:pt>
                <c:pt idx="1">
                  <c:v>0</c:v>
                </c:pt>
                <c:pt idx="2">
                  <c:v>0</c:v>
                </c:pt>
                <c:pt idx="3">
                  <c:v>3</c:v>
                </c:pt>
                <c:pt idx="4">
                  <c:v>6</c:v>
                </c:pt>
                <c:pt idx="5">
                  <c:v>7</c:v>
                </c:pt>
                <c:pt idx="6">
                  <c:v>9</c:v>
                </c:pt>
                <c:pt idx="7">
                  <c:v>11</c:v>
                </c:pt>
                <c:pt idx="8">
                  <c:v>21</c:v>
                </c:pt>
                <c:pt idx="9">
                  <c:v>22</c:v>
                </c:pt>
                <c:pt idx="10">
                  <c:v>22</c:v>
                </c:pt>
                <c:pt idx="11">
                  <c:v>23</c:v>
                </c:pt>
                <c:pt idx="12">
                  <c:v>23</c:v>
                </c:pt>
                <c:pt idx="13">
                  <c:v>23</c:v>
                </c:pt>
                <c:pt idx="14">
                  <c:v>23</c:v>
                </c:pt>
              </c:numCache>
            </c:numRef>
          </c:val>
          <c:smooth val="0"/>
          <c:extLst>
            <c:ext xmlns:c16="http://schemas.microsoft.com/office/drawing/2014/chart" uri="{C3380CC4-5D6E-409C-BE32-E72D297353CC}">
              <c16:uniqueId val="{00000000-CF87-41DC-87DA-F33FE2CBEAE6}"/>
            </c:ext>
          </c:extLst>
        </c:ser>
        <c:ser>
          <c:idx val="1"/>
          <c:order val="1"/>
          <c:tx>
            <c:strRef>
              <c:f>'Embarques Vivenciais'!$L$3</c:f>
              <c:strCache>
                <c:ptCount val="1"/>
                <c:pt idx="0">
                  <c:v>Meta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Vivenciais'!$L$4:$L$33</c:f>
              <c:numCache>
                <c:formatCode>General</c:formatCode>
                <c:ptCount val="15"/>
                <c:pt idx="0">
                  <c:v>24</c:v>
                </c:pt>
                <c:pt idx="1">
                  <c:v>24</c:v>
                </c:pt>
                <c:pt idx="2">
                  <c:v>24</c:v>
                </c:pt>
                <c:pt idx="3">
                  <c:v>24</c:v>
                </c:pt>
                <c:pt idx="4">
                  <c:v>24</c:v>
                </c:pt>
                <c:pt idx="5">
                  <c:v>24</c:v>
                </c:pt>
                <c:pt idx="6">
                  <c:v>24</c:v>
                </c:pt>
                <c:pt idx="7">
                  <c:v>24</c:v>
                </c:pt>
                <c:pt idx="8">
                  <c:v>24</c:v>
                </c:pt>
                <c:pt idx="9">
                  <c:v>24</c:v>
                </c:pt>
                <c:pt idx="10">
                  <c:v>24</c:v>
                </c:pt>
                <c:pt idx="11">
                  <c:v>24</c:v>
                </c:pt>
                <c:pt idx="12">
                  <c:v>24</c:v>
                </c:pt>
                <c:pt idx="13">
                  <c:v>24</c:v>
                </c:pt>
                <c:pt idx="14">
                  <c:v>24</c:v>
                </c:pt>
              </c:numCache>
            </c:numRef>
          </c:val>
          <c:smooth val="0"/>
          <c:extLst>
            <c:ext xmlns:c16="http://schemas.microsoft.com/office/drawing/2014/chart" uri="{C3380CC4-5D6E-409C-BE32-E72D297353CC}">
              <c16:uniqueId val="{00000001-CF87-41DC-87DA-F33FE2CBEAE6}"/>
            </c:ext>
          </c:extLst>
        </c:ser>
        <c:dLbls>
          <c:showLegendKey val="0"/>
          <c:showVal val="0"/>
          <c:showCatName val="0"/>
          <c:showSerName val="0"/>
          <c:showPercent val="0"/>
          <c:showBubbleSize val="0"/>
        </c:dLbls>
        <c:marker val="1"/>
        <c:smooth val="0"/>
        <c:axId val="706840127"/>
        <c:axId val="706844927"/>
      </c:lineChart>
      <c:dateAx>
        <c:axId val="706840127"/>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6844927"/>
        <c:crosses val="autoZero"/>
        <c:auto val="1"/>
        <c:lblOffset val="100"/>
        <c:baseTimeUnit val="months"/>
      </c:dateAx>
      <c:valAx>
        <c:axId val="70684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6840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Dias Embarque - Geral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'Embarques Vivenciais'!$F$3</c:f>
              <c:strCache>
                <c:ptCount val="1"/>
                <c:pt idx="0">
                  <c:v>Dias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7"/>
              <c:delete val="1"/>
              <c:extLst>
                <c:ext xmlns:c15="http://schemas.microsoft.com/office/drawing/2012/chart" uri="{CE6537A1-D6FC-4f65-9D91-7224C49458BB}"/>
                <c:ext xmlns:c16="http://schemas.microsoft.com/office/drawing/2014/chart" uri="{C3380CC4-5D6E-409C-BE32-E72D297353CC}">
                  <c16:uniqueId val="{00000000-AB1C-4732-BE02-C41CC921290F}"/>
                </c:ext>
              </c:extLst>
            </c:dLbl>
            <c:dLbl>
              <c:idx val="8"/>
              <c:delete val="1"/>
              <c:extLst>
                <c:ext xmlns:c15="http://schemas.microsoft.com/office/drawing/2012/chart" uri="{CE6537A1-D6FC-4f65-9D91-7224C49458BB}"/>
                <c:ext xmlns:c16="http://schemas.microsoft.com/office/drawing/2014/chart" uri="{C3380CC4-5D6E-409C-BE32-E72D297353CC}">
                  <c16:uniqueId val="{00000001-AB1C-4732-BE02-C41CC92129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Vivenciais'!$F$4:$F$33</c:f>
              <c:numCache>
                <c:formatCode>General</c:formatCode>
                <c:ptCount val="15"/>
                <c:pt idx="0">
                  <c:v>12</c:v>
                </c:pt>
                <c:pt idx="1">
                  <c:v>24</c:v>
                </c:pt>
                <c:pt idx="2">
                  <c:v>24</c:v>
                </c:pt>
                <c:pt idx="3">
                  <c:v>51</c:v>
                </c:pt>
                <c:pt idx="4">
                  <c:v>114</c:v>
                </c:pt>
                <c:pt idx="5">
                  <c:v>128</c:v>
                </c:pt>
                <c:pt idx="6">
                  <c:v>162</c:v>
                </c:pt>
                <c:pt idx="7">
                  <c:v>226</c:v>
                </c:pt>
                <c:pt idx="8">
                  <c:v>641</c:v>
                </c:pt>
                <c:pt idx="9">
                  <c:v>727</c:v>
                </c:pt>
                <c:pt idx="10">
                  <c:v>727</c:v>
                </c:pt>
                <c:pt idx="11">
                  <c:v>741</c:v>
                </c:pt>
                <c:pt idx="12">
                  <c:v>741</c:v>
                </c:pt>
                <c:pt idx="13">
                  <c:v>741</c:v>
                </c:pt>
                <c:pt idx="14">
                  <c:v>741</c:v>
                </c:pt>
              </c:numCache>
            </c:numRef>
          </c:val>
          <c:smooth val="0"/>
          <c:extLst>
            <c:ext xmlns:c16="http://schemas.microsoft.com/office/drawing/2014/chart" uri="{C3380CC4-5D6E-409C-BE32-E72D297353CC}">
              <c16:uniqueId val="{00000000-3E7D-46AD-A235-0D7DA3D57A68}"/>
            </c:ext>
          </c:extLst>
        </c:ser>
        <c:ser>
          <c:idx val="1"/>
          <c:order val="1"/>
          <c:tx>
            <c:strRef>
              <c:f>'Embarques Vivenciais'!$G$3</c:f>
              <c:strCache>
                <c:ptCount val="1"/>
                <c:pt idx="0">
                  <c:v>Necessidade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Vivenciais'!$G$4:$G$33</c:f>
              <c:numCache>
                <c:formatCode>General</c:formatCode>
                <c:ptCount val="15"/>
                <c:pt idx="0">
                  <c:v>1260</c:v>
                </c:pt>
                <c:pt idx="1">
                  <c:v>1260</c:v>
                </c:pt>
                <c:pt idx="2">
                  <c:v>1260</c:v>
                </c:pt>
                <c:pt idx="3">
                  <c:v>1260</c:v>
                </c:pt>
                <c:pt idx="4">
                  <c:v>1260</c:v>
                </c:pt>
                <c:pt idx="5">
                  <c:v>1260</c:v>
                </c:pt>
                <c:pt idx="6">
                  <c:v>1260</c:v>
                </c:pt>
                <c:pt idx="7">
                  <c:v>1260</c:v>
                </c:pt>
                <c:pt idx="8">
                  <c:v>1260</c:v>
                </c:pt>
                <c:pt idx="9">
                  <c:v>1260</c:v>
                </c:pt>
                <c:pt idx="10">
                  <c:v>1260</c:v>
                </c:pt>
                <c:pt idx="11">
                  <c:v>1260</c:v>
                </c:pt>
                <c:pt idx="12">
                  <c:v>1260</c:v>
                </c:pt>
                <c:pt idx="13">
                  <c:v>1260</c:v>
                </c:pt>
                <c:pt idx="14">
                  <c:v>1260</c:v>
                </c:pt>
              </c:numCache>
            </c:numRef>
          </c:val>
          <c:smooth val="0"/>
          <c:extLst>
            <c:ext xmlns:c16="http://schemas.microsoft.com/office/drawing/2014/chart" uri="{C3380CC4-5D6E-409C-BE32-E72D297353CC}">
              <c16:uniqueId val="{00000001-3E7D-46AD-A235-0D7DA3D57A68}"/>
            </c:ext>
          </c:extLst>
        </c:ser>
        <c:dLbls>
          <c:showLegendKey val="0"/>
          <c:showVal val="0"/>
          <c:showCatName val="0"/>
          <c:showSerName val="0"/>
          <c:showPercent val="0"/>
          <c:showBubbleSize val="0"/>
        </c:dLbls>
        <c:marker val="1"/>
        <c:smooth val="0"/>
        <c:axId val="706840127"/>
        <c:axId val="706844927"/>
      </c:lineChart>
      <c:dateAx>
        <c:axId val="706840127"/>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6844927"/>
        <c:crosses val="autoZero"/>
        <c:auto val="1"/>
        <c:lblOffset val="100"/>
        <c:baseTimeUnit val="months"/>
      </c:dateAx>
      <c:valAx>
        <c:axId val="70684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6840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Dias Embarque - P80</a:t>
            </a:r>
          </a:p>
        </c:rich>
      </c:tx>
      <c:layout>
        <c:manualLayout>
          <c:xMode val="edge"/>
          <c:yMode val="edge"/>
          <c:x val="0.35491929824561402"/>
          <c:y val="1.26146788990825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'Embarques Vivenciais'!$M$3</c:f>
              <c:strCache>
                <c:ptCount val="1"/>
                <c:pt idx="0">
                  <c:v>Dias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Vivenciais'!$M$4:$M$33</c:f>
              <c:numCache>
                <c:formatCode>General</c:formatCode>
                <c:ptCount val="15"/>
                <c:pt idx="0">
                  <c:v>0</c:v>
                </c:pt>
                <c:pt idx="1">
                  <c:v>0</c:v>
                </c:pt>
                <c:pt idx="2">
                  <c:v>0</c:v>
                </c:pt>
                <c:pt idx="3">
                  <c:v>24</c:v>
                </c:pt>
                <c:pt idx="4">
                  <c:v>57</c:v>
                </c:pt>
                <c:pt idx="5">
                  <c:v>71</c:v>
                </c:pt>
                <c:pt idx="6">
                  <c:v>95</c:v>
                </c:pt>
                <c:pt idx="7">
                  <c:v>110</c:v>
                </c:pt>
                <c:pt idx="8">
                  <c:v>229</c:v>
                </c:pt>
                <c:pt idx="9">
                  <c:v>236</c:v>
                </c:pt>
                <c:pt idx="10">
                  <c:v>236</c:v>
                </c:pt>
                <c:pt idx="11">
                  <c:v>250</c:v>
                </c:pt>
                <c:pt idx="12">
                  <c:v>250</c:v>
                </c:pt>
                <c:pt idx="13">
                  <c:v>250</c:v>
                </c:pt>
                <c:pt idx="14">
                  <c:v>250</c:v>
                </c:pt>
              </c:numCache>
            </c:numRef>
          </c:val>
          <c:smooth val="0"/>
          <c:extLst>
            <c:ext xmlns:c16="http://schemas.microsoft.com/office/drawing/2014/chart" uri="{C3380CC4-5D6E-409C-BE32-E72D297353CC}">
              <c16:uniqueId val="{00000000-7A87-4A39-9736-DF154F7C7C3F}"/>
            </c:ext>
          </c:extLst>
        </c:ser>
        <c:ser>
          <c:idx val="1"/>
          <c:order val="1"/>
          <c:tx>
            <c:strRef>
              <c:f>'Embarques Vivenciais'!$N$3</c:f>
              <c:strCache>
                <c:ptCount val="1"/>
                <c:pt idx="0">
                  <c:v>Necessidade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Vivenciais'!$N$4:$N$33</c:f>
              <c:numCache>
                <c:formatCode>General</c:formatCode>
                <c:ptCount val="15"/>
                <c:pt idx="0">
                  <c:v>336</c:v>
                </c:pt>
                <c:pt idx="1">
                  <c:v>336</c:v>
                </c:pt>
                <c:pt idx="2">
                  <c:v>336</c:v>
                </c:pt>
                <c:pt idx="3">
                  <c:v>336</c:v>
                </c:pt>
                <c:pt idx="4">
                  <c:v>336</c:v>
                </c:pt>
                <c:pt idx="5">
                  <c:v>336</c:v>
                </c:pt>
                <c:pt idx="6">
                  <c:v>336</c:v>
                </c:pt>
                <c:pt idx="7">
                  <c:v>336</c:v>
                </c:pt>
                <c:pt idx="8">
                  <c:v>336</c:v>
                </c:pt>
                <c:pt idx="9">
                  <c:v>336</c:v>
                </c:pt>
                <c:pt idx="10">
                  <c:v>336</c:v>
                </c:pt>
                <c:pt idx="11">
                  <c:v>336</c:v>
                </c:pt>
                <c:pt idx="12">
                  <c:v>336</c:v>
                </c:pt>
                <c:pt idx="13">
                  <c:v>336</c:v>
                </c:pt>
                <c:pt idx="14">
                  <c:v>336</c:v>
                </c:pt>
              </c:numCache>
            </c:numRef>
          </c:val>
          <c:smooth val="0"/>
          <c:extLst>
            <c:ext xmlns:c16="http://schemas.microsoft.com/office/drawing/2014/chart" uri="{C3380CC4-5D6E-409C-BE32-E72D297353CC}">
              <c16:uniqueId val="{00000001-7A87-4A39-9736-DF154F7C7C3F}"/>
            </c:ext>
          </c:extLst>
        </c:ser>
        <c:dLbls>
          <c:showLegendKey val="0"/>
          <c:showVal val="0"/>
          <c:showCatName val="0"/>
          <c:showSerName val="0"/>
          <c:showPercent val="0"/>
          <c:showBubbleSize val="0"/>
        </c:dLbls>
        <c:marker val="1"/>
        <c:smooth val="0"/>
        <c:axId val="706840127"/>
        <c:axId val="706844927"/>
      </c:lineChart>
      <c:dateAx>
        <c:axId val="706840127"/>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6844927"/>
        <c:crosses val="autoZero"/>
        <c:auto val="1"/>
        <c:lblOffset val="100"/>
        <c:baseTimeUnit val="months"/>
      </c:dateAx>
      <c:valAx>
        <c:axId val="7068449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6840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Dias Embarque - P82</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'Embarques Vivenciais'!$T$3</c:f>
              <c:strCache>
                <c:ptCount val="1"/>
                <c:pt idx="0">
                  <c:v>Dias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Vivenciais'!$T$4:$T$33</c:f>
              <c:numCache>
                <c:formatCode>General</c:formatCode>
                <c:ptCount val="15"/>
                <c:pt idx="0">
                  <c:v>12</c:v>
                </c:pt>
                <c:pt idx="1">
                  <c:v>12</c:v>
                </c:pt>
                <c:pt idx="2">
                  <c:v>12</c:v>
                </c:pt>
                <c:pt idx="3">
                  <c:v>12</c:v>
                </c:pt>
                <c:pt idx="4">
                  <c:v>29</c:v>
                </c:pt>
                <c:pt idx="5">
                  <c:v>29</c:v>
                </c:pt>
                <c:pt idx="6">
                  <c:v>29</c:v>
                </c:pt>
                <c:pt idx="7">
                  <c:v>71</c:v>
                </c:pt>
                <c:pt idx="8">
                  <c:v>233</c:v>
                </c:pt>
                <c:pt idx="9">
                  <c:v>270</c:v>
                </c:pt>
                <c:pt idx="10">
                  <c:v>270</c:v>
                </c:pt>
                <c:pt idx="11">
                  <c:v>270</c:v>
                </c:pt>
                <c:pt idx="12">
                  <c:v>270</c:v>
                </c:pt>
                <c:pt idx="13">
                  <c:v>270</c:v>
                </c:pt>
                <c:pt idx="14">
                  <c:v>270</c:v>
                </c:pt>
              </c:numCache>
            </c:numRef>
          </c:val>
          <c:smooth val="0"/>
          <c:extLst>
            <c:ext xmlns:c16="http://schemas.microsoft.com/office/drawing/2014/chart" uri="{C3380CC4-5D6E-409C-BE32-E72D297353CC}">
              <c16:uniqueId val="{00000000-8836-48D0-A4B9-E2AFC7403EA2}"/>
            </c:ext>
          </c:extLst>
        </c:ser>
        <c:ser>
          <c:idx val="1"/>
          <c:order val="1"/>
          <c:tx>
            <c:strRef>
              <c:f>'Embarques Vivenciais'!$U$3</c:f>
              <c:strCache>
                <c:ptCount val="1"/>
                <c:pt idx="0">
                  <c:v>Necessidade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Vivenciais'!$U$4:$U$33</c:f>
              <c:numCache>
                <c:formatCode>General</c:formatCode>
                <c:ptCount val="15"/>
                <c:pt idx="0">
                  <c:v>336</c:v>
                </c:pt>
                <c:pt idx="1">
                  <c:v>336</c:v>
                </c:pt>
                <c:pt idx="2">
                  <c:v>336</c:v>
                </c:pt>
                <c:pt idx="3">
                  <c:v>336</c:v>
                </c:pt>
                <c:pt idx="4">
                  <c:v>336</c:v>
                </c:pt>
                <c:pt idx="5">
                  <c:v>336</c:v>
                </c:pt>
                <c:pt idx="6">
                  <c:v>336</c:v>
                </c:pt>
                <c:pt idx="7">
                  <c:v>336</c:v>
                </c:pt>
                <c:pt idx="8">
                  <c:v>336</c:v>
                </c:pt>
                <c:pt idx="9">
                  <c:v>336</c:v>
                </c:pt>
                <c:pt idx="10">
                  <c:v>336</c:v>
                </c:pt>
                <c:pt idx="11">
                  <c:v>336</c:v>
                </c:pt>
                <c:pt idx="12">
                  <c:v>336</c:v>
                </c:pt>
                <c:pt idx="13">
                  <c:v>336</c:v>
                </c:pt>
                <c:pt idx="14">
                  <c:v>336</c:v>
                </c:pt>
              </c:numCache>
            </c:numRef>
          </c:val>
          <c:smooth val="0"/>
          <c:extLst>
            <c:ext xmlns:c16="http://schemas.microsoft.com/office/drawing/2014/chart" uri="{C3380CC4-5D6E-409C-BE32-E72D297353CC}">
              <c16:uniqueId val="{00000001-8836-48D0-A4B9-E2AFC7403EA2}"/>
            </c:ext>
          </c:extLst>
        </c:ser>
        <c:dLbls>
          <c:showLegendKey val="0"/>
          <c:showVal val="0"/>
          <c:showCatName val="0"/>
          <c:showSerName val="0"/>
          <c:showPercent val="0"/>
          <c:showBubbleSize val="0"/>
        </c:dLbls>
        <c:marker val="1"/>
        <c:smooth val="0"/>
        <c:axId val="706840127"/>
        <c:axId val="706844927"/>
      </c:lineChart>
      <c:dateAx>
        <c:axId val="706840127"/>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6844927"/>
        <c:crosses val="autoZero"/>
        <c:auto val="1"/>
        <c:lblOffset val="100"/>
        <c:baseTimeUnit val="months"/>
      </c:dateAx>
      <c:valAx>
        <c:axId val="70684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6840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Dias Embarque - P83</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'Embarques Vivenciais'!$AA$3</c:f>
              <c:strCache>
                <c:ptCount val="1"/>
                <c:pt idx="0">
                  <c:v>Dias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Vivenciais'!$AA$4:$AA$33</c:f>
              <c:numCache>
                <c:formatCode>General</c:formatCode>
                <c:ptCount val="15"/>
                <c:pt idx="0">
                  <c:v>0</c:v>
                </c:pt>
                <c:pt idx="1">
                  <c:v>12</c:v>
                </c:pt>
                <c:pt idx="2">
                  <c:v>12</c:v>
                </c:pt>
                <c:pt idx="3">
                  <c:v>15</c:v>
                </c:pt>
                <c:pt idx="4">
                  <c:v>28</c:v>
                </c:pt>
                <c:pt idx="5">
                  <c:v>28</c:v>
                </c:pt>
                <c:pt idx="6">
                  <c:v>38</c:v>
                </c:pt>
                <c:pt idx="7">
                  <c:v>45</c:v>
                </c:pt>
                <c:pt idx="8">
                  <c:v>179</c:v>
                </c:pt>
                <c:pt idx="9">
                  <c:v>221</c:v>
                </c:pt>
                <c:pt idx="10">
                  <c:v>221</c:v>
                </c:pt>
                <c:pt idx="11">
                  <c:v>221</c:v>
                </c:pt>
                <c:pt idx="12">
                  <c:v>221</c:v>
                </c:pt>
                <c:pt idx="13">
                  <c:v>221</c:v>
                </c:pt>
                <c:pt idx="14">
                  <c:v>221</c:v>
                </c:pt>
              </c:numCache>
            </c:numRef>
          </c:val>
          <c:smooth val="0"/>
          <c:extLst>
            <c:ext xmlns:c16="http://schemas.microsoft.com/office/drawing/2014/chart" uri="{C3380CC4-5D6E-409C-BE32-E72D297353CC}">
              <c16:uniqueId val="{00000000-B8B7-4CA2-A897-FD13F949A9BA}"/>
            </c:ext>
          </c:extLst>
        </c:ser>
        <c:ser>
          <c:idx val="1"/>
          <c:order val="1"/>
          <c:tx>
            <c:strRef>
              <c:f>'Embarques Vivenciais'!$AB$3</c:f>
              <c:strCache>
                <c:ptCount val="1"/>
                <c:pt idx="0">
                  <c:v>Necessidade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'Embarques Vivenciais'!$C$4:$C$33</c:f>
              <c:numCache>
                <c:formatCode>mmm/yyyy</c:formatCode>
                <c:ptCount val="15"/>
                <c:pt idx="0">
                  <c:v>45504</c:v>
                </c:pt>
                <c:pt idx="1">
                  <c:v>45596</c:v>
                </c:pt>
                <c:pt idx="2">
                  <c:v>45626</c:v>
                </c:pt>
                <c:pt idx="3">
                  <c:v>45777</c:v>
                </c:pt>
                <c:pt idx="4">
                  <c:v>45838</c:v>
                </c:pt>
                <c:pt idx="5">
                  <c:v>45869</c:v>
                </c:pt>
                <c:pt idx="6">
                  <c:v>45900</c:v>
                </c:pt>
                <c:pt idx="7">
                  <c:v>45930</c:v>
                </c:pt>
                <c:pt idx="8">
                  <c:v>46203</c:v>
                </c:pt>
                <c:pt idx="9">
                  <c:v>46234</c:v>
                </c:pt>
                <c:pt idx="10">
                  <c:v>46265</c:v>
                </c:pt>
                <c:pt idx="11">
                  <c:v>46295</c:v>
                </c:pt>
                <c:pt idx="12">
                  <c:v>46326</c:v>
                </c:pt>
                <c:pt idx="13">
                  <c:v>46356</c:v>
                </c:pt>
                <c:pt idx="14">
                  <c:v>46387</c:v>
                </c:pt>
              </c:numCache>
            </c:numRef>
          </c:cat>
          <c:val>
            <c:numRef>
              <c:f>'Embarques Vivenciais'!$AB$4:$AB$33</c:f>
              <c:numCache>
                <c:formatCode>General</c:formatCode>
                <c:ptCount val="15"/>
                <c:pt idx="0">
                  <c:v>294</c:v>
                </c:pt>
                <c:pt idx="1">
                  <c:v>294</c:v>
                </c:pt>
                <c:pt idx="2">
                  <c:v>294</c:v>
                </c:pt>
                <c:pt idx="3">
                  <c:v>294</c:v>
                </c:pt>
                <c:pt idx="4">
                  <c:v>294</c:v>
                </c:pt>
                <c:pt idx="5">
                  <c:v>294</c:v>
                </c:pt>
                <c:pt idx="6">
                  <c:v>294</c:v>
                </c:pt>
                <c:pt idx="7">
                  <c:v>294</c:v>
                </c:pt>
                <c:pt idx="8">
                  <c:v>294</c:v>
                </c:pt>
                <c:pt idx="9">
                  <c:v>294</c:v>
                </c:pt>
                <c:pt idx="10">
                  <c:v>294</c:v>
                </c:pt>
                <c:pt idx="11">
                  <c:v>294</c:v>
                </c:pt>
                <c:pt idx="12">
                  <c:v>294</c:v>
                </c:pt>
                <c:pt idx="13">
                  <c:v>294</c:v>
                </c:pt>
                <c:pt idx="14">
                  <c:v>294</c:v>
                </c:pt>
              </c:numCache>
            </c:numRef>
          </c:val>
          <c:smooth val="0"/>
          <c:extLst>
            <c:ext xmlns:c16="http://schemas.microsoft.com/office/drawing/2014/chart" uri="{C3380CC4-5D6E-409C-BE32-E72D297353CC}">
              <c16:uniqueId val="{00000001-B8B7-4CA2-A897-FD13F949A9BA}"/>
            </c:ext>
          </c:extLst>
        </c:ser>
        <c:dLbls>
          <c:showLegendKey val="0"/>
          <c:showVal val="0"/>
          <c:showCatName val="0"/>
          <c:showSerName val="0"/>
          <c:showPercent val="0"/>
          <c:showBubbleSize val="0"/>
        </c:dLbls>
        <c:marker val="1"/>
        <c:smooth val="0"/>
        <c:axId val="706840127"/>
        <c:axId val="706844927"/>
      </c:lineChart>
      <c:dateAx>
        <c:axId val="706840127"/>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6844927"/>
        <c:crosses val="autoZero"/>
        <c:auto val="1"/>
        <c:lblOffset val="100"/>
        <c:baseTimeUnit val="months"/>
      </c:dateAx>
      <c:valAx>
        <c:axId val="70684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06840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257175</xdr:colOff>
      <xdr:row>42</xdr:row>
      <xdr:rowOff>123825</xdr:rowOff>
    </xdr:from>
    <xdr:to>
      <xdr:col>6</xdr:col>
      <xdr:colOff>657225</xdr:colOff>
      <xdr:row>64</xdr:row>
      <xdr:rowOff>85725</xdr:rowOff>
    </xdr:to>
    <xdr:graphicFrame macro="">
      <xdr:nvGraphicFramePr>
        <xdr:cNvPr id="67" name="Gráfico 5">
          <a:extLst>
            <a:ext uri="{FF2B5EF4-FFF2-40B4-BE49-F238E27FC236}">
              <a16:creationId xmlns:a16="http://schemas.microsoft.com/office/drawing/2014/main" id="{97287875-E2B6-4EE0-8CB7-26A4254FE78D}"/>
            </a:ext>
            <a:ext uri="{147F2762-F138-4A5C-976F-8EAC2B608ADB}">
              <a16:predDERef xmlns:a16="http://schemas.microsoft.com/office/drawing/2014/main" pred="{9755C61C-D82C-44CD-B539-B48292012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142875</xdr:colOff>
      <xdr:row>42</xdr:row>
      <xdr:rowOff>114300</xdr:rowOff>
    </xdr:from>
    <xdr:to>
      <xdr:col>22</xdr:col>
      <xdr:colOff>790575</xdr:colOff>
      <xdr:row>64</xdr:row>
      <xdr:rowOff>76200</xdr:rowOff>
    </xdr:to>
    <xdr:graphicFrame macro="">
      <xdr:nvGraphicFramePr>
        <xdr:cNvPr id="106" name="Gráfico 6">
          <a:extLst>
            <a:ext uri="{FF2B5EF4-FFF2-40B4-BE49-F238E27FC236}">
              <a16:creationId xmlns:a16="http://schemas.microsoft.com/office/drawing/2014/main" id="{A78B59A9-4E96-45FE-9846-6F515FF7CA08}"/>
            </a:ext>
            <a:ext uri="{147F2762-F138-4A5C-976F-8EAC2B608ADB}">
              <a16:predDERef xmlns:a16="http://schemas.microsoft.com/office/drawing/2014/main" pred="{97287875-E2B6-4EE0-8CB7-26A4254FE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66675</xdr:colOff>
      <xdr:row>42</xdr:row>
      <xdr:rowOff>133350</xdr:rowOff>
    </xdr:from>
    <xdr:to>
      <xdr:col>30</xdr:col>
      <xdr:colOff>76200</xdr:colOff>
      <xdr:row>64</xdr:row>
      <xdr:rowOff>95250</xdr:rowOff>
    </xdr:to>
    <xdr:graphicFrame macro="">
      <xdr:nvGraphicFramePr>
        <xdr:cNvPr id="53" name="Gráfico 7">
          <a:extLst>
            <a:ext uri="{FF2B5EF4-FFF2-40B4-BE49-F238E27FC236}">
              <a16:creationId xmlns:a16="http://schemas.microsoft.com/office/drawing/2014/main" id="{C0EC4092-F680-4AA8-B12E-B198C38A0A27}"/>
            </a:ext>
            <a:ext uri="{147F2762-F138-4A5C-976F-8EAC2B608ADB}">
              <a16:predDERef xmlns:a16="http://schemas.microsoft.com/office/drawing/2014/main" pred="{A78B59A9-4E96-45FE-9846-6F515FF7C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257175</xdr:colOff>
      <xdr:row>88</xdr:row>
      <xdr:rowOff>38100</xdr:rowOff>
    </xdr:from>
    <xdr:to>
      <xdr:col>6</xdr:col>
      <xdr:colOff>657225</xdr:colOff>
      <xdr:row>110</xdr:row>
      <xdr:rowOff>0</xdr:rowOff>
    </xdr:to>
    <xdr:graphicFrame macro="">
      <xdr:nvGraphicFramePr>
        <xdr:cNvPr id="101" name="Gráfico 1">
          <a:extLst>
            <a:ext uri="{FF2B5EF4-FFF2-40B4-BE49-F238E27FC236}">
              <a16:creationId xmlns:a16="http://schemas.microsoft.com/office/drawing/2014/main" id="{07C4BC4D-B242-4320-ABF3-32B5266C3170}"/>
            </a:ext>
            <a:ext uri="{147F2762-F138-4A5C-976F-8EAC2B608ADB}">
              <a16:predDERef xmlns:a16="http://schemas.microsoft.com/office/drawing/2014/main" pred="{C0EC4092-F680-4AA8-B12E-B198C38A0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266700</xdr:colOff>
      <xdr:row>43</xdr:row>
      <xdr:rowOff>0</xdr:rowOff>
    </xdr:from>
    <xdr:to>
      <xdr:col>14</xdr:col>
      <xdr:colOff>9525</xdr:colOff>
      <xdr:row>64</xdr:row>
      <xdr:rowOff>152400</xdr:rowOff>
    </xdr:to>
    <xdr:graphicFrame macro="">
      <xdr:nvGraphicFramePr>
        <xdr:cNvPr id="49" name="Gráfico 2">
          <a:extLst>
            <a:ext uri="{FF2B5EF4-FFF2-40B4-BE49-F238E27FC236}">
              <a16:creationId xmlns:a16="http://schemas.microsoft.com/office/drawing/2014/main" id="{AA2D9A6F-8F42-4F4D-8419-AB7E426AD19F}"/>
            </a:ext>
            <a:ext uri="{147F2762-F138-4A5C-976F-8EAC2B608ADB}">
              <a16:predDERef xmlns:a16="http://schemas.microsoft.com/office/drawing/2014/main" pred="{07C4BC4D-B242-4320-ABF3-32B5266C3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228600</xdr:colOff>
      <xdr:row>65</xdr:row>
      <xdr:rowOff>47625</xdr:rowOff>
    </xdr:from>
    <xdr:to>
      <xdr:col>6</xdr:col>
      <xdr:colOff>628650</xdr:colOff>
      <xdr:row>87</xdr:row>
      <xdr:rowOff>9525</xdr:rowOff>
    </xdr:to>
    <xdr:graphicFrame macro="">
      <xdr:nvGraphicFramePr>
        <xdr:cNvPr id="105" name="Gráfico 3">
          <a:extLst>
            <a:ext uri="{FF2B5EF4-FFF2-40B4-BE49-F238E27FC236}">
              <a16:creationId xmlns:a16="http://schemas.microsoft.com/office/drawing/2014/main" id="{13B62811-0F3C-4BCD-93F4-00238CBAD679}"/>
            </a:ext>
            <a:ext uri="{147F2762-F138-4A5C-976F-8EAC2B608ADB}">
              <a16:predDERef xmlns:a16="http://schemas.microsoft.com/office/drawing/2014/main" pred="{AA2D9A6F-8F42-4F4D-8419-AB7E426AD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295275</xdr:colOff>
      <xdr:row>65</xdr:row>
      <xdr:rowOff>95250</xdr:rowOff>
    </xdr:from>
    <xdr:to>
      <xdr:col>14</xdr:col>
      <xdr:colOff>38100</xdr:colOff>
      <xdr:row>87</xdr:row>
      <xdr:rowOff>57150</xdr:rowOff>
    </xdr:to>
    <xdr:graphicFrame macro="">
      <xdr:nvGraphicFramePr>
        <xdr:cNvPr id="85" name="Gráfico 4">
          <a:extLst>
            <a:ext uri="{FF2B5EF4-FFF2-40B4-BE49-F238E27FC236}">
              <a16:creationId xmlns:a16="http://schemas.microsoft.com/office/drawing/2014/main" id="{FC62A75E-80FC-4A36-A286-5D74FA2F8453}"/>
            </a:ext>
            <a:ext uri="{147F2762-F138-4A5C-976F-8EAC2B608ADB}">
              <a16:predDERef xmlns:a16="http://schemas.microsoft.com/office/drawing/2014/main" pred="{13B62811-0F3C-4BCD-93F4-00238CBAD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66</xdr:row>
      <xdr:rowOff>0</xdr:rowOff>
    </xdr:from>
    <xdr:to>
      <xdr:col>23</xdr:col>
      <xdr:colOff>9525</xdr:colOff>
      <xdr:row>87</xdr:row>
      <xdr:rowOff>152400</xdr:rowOff>
    </xdr:to>
    <xdr:graphicFrame macro="">
      <xdr:nvGraphicFramePr>
        <xdr:cNvPr id="86" name="Gráfico 5">
          <a:extLst>
            <a:ext uri="{FF2B5EF4-FFF2-40B4-BE49-F238E27FC236}">
              <a16:creationId xmlns:a16="http://schemas.microsoft.com/office/drawing/2014/main" id="{F4AFD919-736F-430A-A06D-88085BF3C8F9}"/>
            </a:ext>
            <a:ext uri="{147F2762-F138-4A5C-976F-8EAC2B608ADB}">
              <a16:predDERef xmlns:a16="http://schemas.microsoft.com/office/drawing/2014/main" pred="{FC62A75E-80FC-4A36-A286-5D74FA2F8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361950</xdr:colOff>
      <xdr:row>66</xdr:row>
      <xdr:rowOff>76200</xdr:rowOff>
    </xdr:from>
    <xdr:to>
      <xdr:col>30</xdr:col>
      <xdr:colOff>371475</xdr:colOff>
      <xdr:row>88</xdr:row>
      <xdr:rowOff>38100</xdr:rowOff>
    </xdr:to>
    <xdr:graphicFrame macro="">
      <xdr:nvGraphicFramePr>
        <xdr:cNvPr id="87" name="Gráfico 6">
          <a:extLst>
            <a:ext uri="{FF2B5EF4-FFF2-40B4-BE49-F238E27FC236}">
              <a16:creationId xmlns:a16="http://schemas.microsoft.com/office/drawing/2014/main" id="{1993712A-9346-4FF3-952F-25B7AFD44715}"/>
            </a:ext>
            <a:ext uri="{147F2762-F138-4A5C-976F-8EAC2B608ADB}">
              <a16:predDERef xmlns:a16="http://schemas.microsoft.com/office/drawing/2014/main" pred="{F4AFD919-736F-430A-A06D-88085BF3C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0A62E3E7-E908-4A77-A82D-1CF3F57B2C1F}">
    <nsvFilter filterId="{D6AB63F5-01C4-4ED8-B3C5-D3AEB2DB48F3}" ref="A1:I2006" tableId="1">
      <columnFilter colId="0" id="{C8A8658B-B54C-47E5-A350-3E4123B94A55}">
        <filter colId="0">
          <x:filters>
            <x:filter val="JULIO CESAR BENTO"/>
          </x:filters>
        </filter>
      </columnFilter>
    </nsvFilter>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AB63F5-01C4-4ED8-B3C5-D3AEB2DB48F3}" name="Tabela1" displayName="Tabela1" ref="A1:I2006" totalsRowShown="0" headerRowDxfId="99" dataDxfId="98" tableBorderDxfId="97" dataCellStyle="Nome">
  <autoFilter ref="A1:I2006" xr:uid="{D6AB63F5-01C4-4ED8-B3C5-D3AEB2DB48F3}">
    <filterColumn colId="0">
      <customFilters>
        <customFilter operator="notEqual" val=" "/>
      </customFilters>
    </filterColumn>
    <filterColumn colId="7">
      <filters>
        <filter val="P80"/>
      </filters>
    </filterColumn>
  </autoFilter>
  <tableColumns count="9">
    <tableColumn id="1" xr3:uid="{C8A8658B-B54C-47E5-A350-3E4123B94A55}" name="Nome" dataDxfId="96" dataCellStyle="Nome"/>
    <tableColumn id="2" xr3:uid="{41F4E0E6-9B25-4120-B6CD-9E09A0162769}" name="Matrícula" dataDxfId="95" dataCellStyle="Nome">
      <calculatedColumnFormula>_xlfn.XLOOKUP(A2,Equipe!H:H,Equipe!B:B,"",0)</calculatedColumnFormula>
    </tableColumn>
    <tableColumn id="3" xr3:uid="{6D8CE048-A690-44AB-98A4-3D9090F60FCC}" name="Início" dataDxfId="94" dataCellStyle="Nome"/>
    <tableColumn id="4" xr3:uid="{0311E592-AD43-4A82-BABD-993F0A992157}" name="Término" dataDxfId="93" dataCellStyle="Nome"/>
    <tableColumn id="5" xr3:uid="{0725C576-3280-49B7-A694-4FE14D574464}" name="DIAS" dataDxfId="92" dataCellStyle="Nome"/>
    <tableColumn id="6" xr3:uid="{B338D826-23E6-4C77-80B3-A96E053F0A7C}" name="Atividade" dataDxfId="91" dataCellStyle="Nome"/>
    <tableColumn id="7" xr3:uid="{D5D2A029-FEE6-4FE4-888B-32B44A721791}" name="Detalhamento" dataDxfId="90" dataCellStyle="Nome"/>
    <tableColumn id="8" xr3:uid="{07C070EB-5644-4985-BE9D-E8F626409572}" name="Plataforma" dataDxfId="89" dataCellStyle="Nome">
      <calculatedColumnFormula>_xlfn.XLOOKUP(Tabela1[[#This Row],[Matrícula]],Equipe!B:B,Equipe!E:E,"ERRO",0)</calculatedColumnFormula>
    </tableColumn>
    <tableColumn id="9" xr3:uid="{FA1A80DC-0768-467C-9E9F-EAC4805F2836}" name="Experiência" dataDxfId="88" dataCellStyle="Nome">
      <calculatedColumnFormula>VLOOKUP(Tabela1[[#This Row],[Matrícula]],Equipe!B:F,5,0)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ronald.quaresma@petrobras.com.br" TargetMode="External"/><Relationship Id="rId13" Type="http://schemas.openxmlformats.org/officeDocument/2006/relationships/hyperlink" Target="mailto:alexandre.martins@petrobras.com.br" TargetMode="External"/><Relationship Id="rId18" Type="http://schemas.openxmlformats.org/officeDocument/2006/relationships/hyperlink" Target="mailto:fredericoaugusto@petrobras.com.br" TargetMode="External"/><Relationship Id="rId3" Type="http://schemas.openxmlformats.org/officeDocument/2006/relationships/hyperlink" Target="mailto:luiz.ramos3@petrobras.com.br" TargetMode="External"/><Relationship Id="rId21" Type="http://schemas.openxmlformats.org/officeDocument/2006/relationships/hyperlink" Target="mailto:alexsandroviana@petrobras.com.br" TargetMode="External"/><Relationship Id="rId7" Type="http://schemas.openxmlformats.org/officeDocument/2006/relationships/hyperlink" Target="mailto:pablo.p.almeida@petrobras.com.br" TargetMode="External"/><Relationship Id="rId12" Type="http://schemas.openxmlformats.org/officeDocument/2006/relationships/hyperlink" Target="mailto:ricardo.uema@petrobras.com.br" TargetMode="External"/><Relationship Id="rId17" Type="http://schemas.openxmlformats.org/officeDocument/2006/relationships/hyperlink" Target="mailto:jluiscruz@petrobras.com.br" TargetMode="External"/><Relationship Id="rId2" Type="http://schemas.openxmlformats.org/officeDocument/2006/relationships/hyperlink" Target="mailto:breno.batista@petrobras.com.br" TargetMode="External"/><Relationship Id="rId16" Type="http://schemas.openxmlformats.org/officeDocument/2006/relationships/hyperlink" Target="mailto:aureliorv@petrobras.com.br" TargetMode="External"/><Relationship Id="rId20" Type="http://schemas.openxmlformats.org/officeDocument/2006/relationships/hyperlink" Target="mailto:edison.amaral@petrobras.com.br" TargetMode="External"/><Relationship Id="rId1" Type="http://schemas.openxmlformats.org/officeDocument/2006/relationships/hyperlink" Target="mailto:tonicler.kutz@petrobras.com.br" TargetMode="External"/><Relationship Id="rId6" Type="http://schemas.openxmlformats.org/officeDocument/2006/relationships/hyperlink" Target="mailto:thielles.gustavo@petrobras.com.br" TargetMode="External"/><Relationship Id="rId11" Type="http://schemas.openxmlformats.org/officeDocument/2006/relationships/hyperlink" Target="mailto:luiz.serpa@petrobras.com.br" TargetMode="External"/><Relationship Id="rId24" Type="http://schemas.openxmlformats.org/officeDocument/2006/relationships/hyperlink" Target="mailto:filipi.pinto@petrobras.com.br" TargetMode="External"/><Relationship Id="rId5" Type="http://schemas.openxmlformats.org/officeDocument/2006/relationships/hyperlink" Target="mailto:andre.silva35@petrobras.com.br" TargetMode="External"/><Relationship Id="rId15" Type="http://schemas.openxmlformats.org/officeDocument/2006/relationships/hyperlink" Target="mailto:acdantas@petrobras.com.br" TargetMode="External"/><Relationship Id="rId23" Type="http://schemas.openxmlformats.org/officeDocument/2006/relationships/hyperlink" Target="mailto:marcioamaral@petrobras.com.br" TargetMode="External"/><Relationship Id="rId10" Type="http://schemas.openxmlformats.org/officeDocument/2006/relationships/hyperlink" Target="mailto:jailton.conceicao@petrobras.com.br" TargetMode="External"/><Relationship Id="rId19" Type="http://schemas.openxmlformats.org/officeDocument/2006/relationships/hyperlink" Target="mailto:rodrigosfn@petrobras.com.br" TargetMode="External"/><Relationship Id="rId4" Type="http://schemas.openxmlformats.org/officeDocument/2006/relationships/hyperlink" Target="mailto:andre.sthel@petrobras.com.br" TargetMode="External"/><Relationship Id="rId9" Type="http://schemas.openxmlformats.org/officeDocument/2006/relationships/hyperlink" Target="mailto:victor.f.campos@petrobras.com.br" TargetMode="External"/><Relationship Id="rId14" Type="http://schemas.openxmlformats.org/officeDocument/2006/relationships/hyperlink" Target="mailto:acrodrig@petrobras.com.br" TargetMode="External"/><Relationship Id="rId22" Type="http://schemas.openxmlformats.org/officeDocument/2006/relationships/hyperlink" Target="mailto:andi9@petrobras.com.br"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mailto:julio.bento@petrobras.com.br" TargetMode="External"/><Relationship Id="rId18" Type="http://schemas.openxmlformats.org/officeDocument/2006/relationships/hyperlink" Target="mailto:flaviomarinho@petrobras.com.br" TargetMode="External"/><Relationship Id="rId26" Type="http://schemas.openxmlformats.org/officeDocument/2006/relationships/hyperlink" Target="mailto:andi9@petrobras.com.br" TargetMode="External"/><Relationship Id="rId39" Type="http://schemas.openxmlformats.org/officeDocument/2006/relationships/hyperlink" Target="mailto:ronald.quaresma@petrobras.com.br" TargetMode="External"/><Relationship Id="rId21" Type="http://schemas.openxmlformats.org/officeDocument/2006/relationships/hyperlink" Target="mailto:marcelo.vaqueiro@petrobras.com.br" TargetMode="External"/><Relationship Id="rId34" Type="http://schemas.openxmlformats.org/officeDocument/2006/relationships/hyperlink" Target="mailto:marcioamaral@petrobras.com.br" TargetMode="External"/><Relationship Id="rId42" Type="http://schemas.openxmlformats.org/officeDocument/2006/relationships/hyperlink" Target="mailto:luiz.serpa@petrobras.com.br" TargetMode="External"/><Relationship Id="rId47" Type="http://schemas.openxmlformats.org/officeDocument/2006/relationships/hyperlink" Target="mailto:acrodrig@petrobras.com.br" TargetMode="External"/><Relationship Id="rId50" Type="http://schemas.openxmlformats.org/officeDocument/2006/relationships/hyperlink" Target="mailto:jluiscruz@petrobras.com.br" TargetMode="External"/><Relationship Id="rId55" Type="http://schemas.openxmlformats.org/officeDocument/2006/relationships/hyperlink" Target="mailto:rafael.allocca@petrobras.com.br" TargetMode="External"/><Relationship Id="rId7" Type="http://schemas.openxmlformats.org/officeDocument/2006/relationships/hyperlink" Target="mailto:vledo@petrobras.com.br" TargetMode="External"/><Relationship Id="rId2" Type="http://schemas.openxmlformats.org/officeDocument/2006/relationships/hyperlink" Target="mailto:felipecahet@petrobras.com.br" TargetMode="External"/><Relationship Id="rId16" Type="http://schemas.openxmlformats.org/officeDocument/2006/relationships/hyperlink" Target="mailto:andre.sthel@petrobras.com.br" TargetMode="External"/><Relationship Id="rId29" Type="http://schemas.openxmlformats.org/officeDocument/2006/relationships/hyperlink" Target="mailto:tmenegussi@petrobras.com.br" TargetMode="External"/><Relationship Id="rId11" Type="http://schemas.openxmlformats.org/officeDocument/2006/relationships/hyperlink" Target="mailto:jorge.mariano@petrobras.com.br" TargetMode="External"/><Relationship Id="rId24" Type="http://schemas.openxmlformats.org/officeDocument/2006/relationships/hyperlink" Target="mailto:raulalende@petrobras.com.br" TargetMode="External"/><Relationship Id="rId32" Type="http://schemas.openxmlformats.org/officeDocument/2006/relationships/hyperlink" Target="mailto:tonicler.kutz@petrobras.com.br" TargetMode="External"/><Relationship Id="rId37" Type="http://schemas.openxmlformats.org/officeDocument/2006/relationships/hyperlink" Target="mailto:dimitriaraujo@petrobras.com.br" TargetMode="External"/><Relationship Id="rId40" Type="http://schemas.openxmlformats.org/officeDocument/2006/relationships/hyperlink" Target="mailto:victor.f.campos@petrobras.com.br" TargetMode="External"/><Relationship Id="rId45" Type="http://schemas.openxmlformats.org/officeDocument/2006/relationships/hyperlink" Target="mailto:luiz.ramos3@petrobras.com.br" TargetMode="External"/><Relationship Id="rId53" Type="http://schemas.openxmlformats.org/officeDocument/2006/relationships/hyperlink" Target="mailto:edison.amaral@petrobras.com.br" TargetMode="External"/><Relationship Id="rId58" Type="http://schemas.openxmlformats.org/officeDocument/2006/relationships/hyperlink" Target="mailto:caio.rozario@petrobras.com.br" TargetMode="External"/><Relationship Id="rId5" Type="http://schemas.openxmlformats.org/officeDocument/2006/relationships/hyperlink" Target="mailto:fabio.unterman@petrobras.com.br" TargetMode="External"/><Relationship Id="rId61" Type="http://schemas.openxmlformats.org/officeDocument/2006/relationships/hyperlink" Target="mailto:wellinton.pablo@petrobras.com.br" TargetMode="External"/><Relationship Id="rId19" Type="http://schemas.openxmlformats.org/officeDocument/2006/relationships/hyperlink" Target="mailto:marsantos@petrobras.com.br" TargetMode="External"/><Relationship Id="rId14" Type="http://schemas.openxmlformats.org/officeDocument/2006/relationships/hyperlink" Target="mailto:eder.reis@petrobras.com.br" TargetMode="External"/><Relationship Id="rId22" Type="http://schemas.openxmlformats.org/officeDocument/2006/relationships/hyperlink" Target="mailto:thiago_gomes@petrobras.com.br" TargetMode="External"/><Relationship Id="rId27" Type="http://schemas.openxmlformats.org/officeDocument/2006/relationships/hyperlink" Target="mailto:diogosouza@petrobras.com.br" TargetMode="External"/><Relationship Id="rId30" Type="http://schemas.openxmlformats.org/officeDocument/2006/relationships/hyperlink" Target="mailto:alexsandroviana@petrobras.com.br" TargetMode="External"/><Relationship Id="rId35" Type="http://schemas.openxmlformats.org/officeDocument/2006/relationships/hyperlink" Target="mailto:breno.batista@petrobras.com.br" TargetMode="External"/><Relationship Id="rId43" Type="http://schemas.openxmlformats.org/officeDocument/2006/relationships/hyperlink" Target="mailto:ricardo.uema@petrobras.com.br" TargetMode="External"/><Relationship Id="rId48" Type="http://schemas.openxmlformats.org/officeDocument/2006/relationships/hyperlink" Target="mailto:acdantas@petrobras.com.br" TargetMode="External"/><Relationship Id="rId56" Type="http://schemas.openxmlformats.org/officeDocument/2006/relationships/hyperlink" Target="mailto:lincoln.azeredo@petrobras.com.br" TargetMode="External"/><Relationship Id="rId8" Type="http://schemas.openxmlformats.org/officeDocument/2006/relationships/hyperlink" Target="mailto:aureojr@petrobras.com.br" TargetMode="External"/><Relationship Id="rId51" Type="http://schemas.openxmlformats.org/officeDocument/2006/relationships/hyperlink" Target="mailto:fredericoaugusto@petrobras.com.br" TargetMode="External"/><Relationship Id="rId3" Type="http://schemas.openxmlformats.org/officeDocument/2006/relationships/hyperlink" Target="mailto:rperez@petrobras.com.br" TargetMode="External"/><Relationship Id="rId12" Type="http://schemas.openxmlformats.org/officeDocument/2006/relationships/hyperlink" Target="mailto:julio.fassarela@petrobras.com.br" TargetMode="External"/><Relationship Id="rId17" Type="http://schemas.openxmlformats.org/officeDocument/2006/relationships/hyperlink" Target="mailto:junio.matos@petrobras.com.br" TargetMode="External"/><Relationship Id="rId25" Type="http://schemas.openxmlformats.org/officeDocument/2006/relationships/hyperlink" Target="mailto:igorteixeira@petrobras.com.br" TargetMode="External"/><Relationship Id="rId33" Type="http://schemas.openxmlformats.org/officeDocument/2006/relationships/hyperlink" Target="mailto:wellingtonmarques@petrobras.com.br" TargetMode="External"/><Relationship Id="rId38" Type="http://schemas.openxmlformats.org/officeDocument/2006/relationships/hyperlink" Target="mailto:pablo.p.almeida@petrobras.com.br" TargetMode="External"/><Relationship Id="rId46" Type="http://schemas.openxmlformats.org/officeDocument/2006/relationships/hyperlink" Target="mailto:alexandre.martins@petrobras.com.br" TargetMode="External"/><Relationship Id="rId59" Type="http://schemas.openxmlformats.org/officeDocument/2006/relationships/hyperlink" Target="mailto:ronaldo.serafim@petrobras.com.br" TargetMode="External"/><Relationship Id="rId20" Type="http://schemas.openxmlformats.org/officeDocument/2006/relationships/hyperlink" Target="mailto:rafaelventurini@petrobras.com.br" TargetMode="External"/><Relationship Id="rId41" Type="http://schemas.openxmlformats.org/officeDocument/2006/relationships/hyperlink" Target="mailto:jailton.conceicao@petrobras.com.br" TargetMode="External"/><Relationship Id="rId54" Type="http://schemas.openxmlformats.org/officeDocument/2006/relationships/hyperlink" Target="mailto:cesarsantana@petrobras.com.br" TargetMode="External"/><Relationship Id="rId1" Type="http://schemas.openxmlformats.org/officeDocument/2006/relationships/hyperlink" Target="mailto:maria.santos8@petrobras.com.br" TargetMode="External"/><Relationship Id="rId6" Type="http://schemas.openxmlformats.org/officeDocument/2006/relationships/hyperlink" Target="mailto:leandro.eloy@petrobras.com.br" TargetMode="External"/><Relationship Id="rId15" Type="http://schemas.openxmlformats.org/officeDocument/2006/relationships/hyperlink" Target="mailto:kevin.cunha@petrobras.com.br" TargetMode="External"/><Relationship Id="rId23" Type="http://schemas.openxmlformats.org/officeDocument/2006/relationships/hyperlink" Target="mailto:er.amaral@petrobras.com.br" TargetMode="External"/><Relationship Id="rId28" Type="http://schemas.openxmlformats.org/officeDocument/2006/relationships/hyperlink" Target="mailto:al.larangeira@petrobras.com.br" TargetMode="External"/><Relationship Id="rId36" Type="http://schemas.openxmlformats.org/officeDocument/2006/relationships/hyperlink" Target="mailto:andre.silva35@petrobras.com.br" TargetMode="External"/><Relationship Id="rId49" Type="http://schemas.openxmlformats.org/officeDocument/2006/relationships/hyperlink" Target="mailto:aureliorv@petrobras.com.br" TargetMode="External"/><Relationship Id="rId57" Type="http://schemas.openxmlformats.org/officeDocument/2006/relationships/hyperlink" Target="mailto:anthony.pimenta@petrobras.com.br" TargetMode="External"/><Relationship Id="rId10" Type="http://schemas.openxmlformats.org/officeDocument/2006/relationships/hyperlink" Target="mailto:reinaldo.merendaz@petrobras.com.br" TargetMode="External"/><Relationship Id="rId31" Type="http://schemas.openxmlformats.org/officeDocument/2006/relationships/hyperlink" Target="mailto:vinicius.s.duarte@petrobras.com.br" TargetMode="External"/><Relationship Id="rId44" Type="http://schemas.openxmlformats.org/officeDocument/2006/relationships/hyperlink" Target="mailto:thielles.gustavo@petrobras.com.br" TargetMode="External"/><Relationship Id="rId52" Type="http://schemas.openxmlformats.org/officeDocument/2006/relationships/hyperlink" Target="mailto:rodrigosfn@petrobras.com.br" TargetMode="External"/><Relationship Id="rId60" Type="http://schemas.openxmlformats.org/officeDocument/2006/relationships/hyperlink" Target="mailto:thiago.potasio@petrobras.com.br" TargetMode="External"/><Relationship Id="rId4" Type="http://schemas.openxmlformats.org/officeDocument/2006/relationships/hyperlink" Target="mailto:antonio.r.cunha@petrobras.com.br" TargetMode="External"/><Relationship Id="rId9" Type="http://schemas.openxmlformats.org/officeDocument/2006/relationships/hyperlink" Target="mailto:pietro.konzgen@petrobras.com.br"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K2006"/>
  <sheetViews>
    <sheetView showGridLines="0" showRuler="0" zoomScale="85" zoomScaleNormal="85" zoomScalePageLayoutView="70" workbookViewId="0">
      <pane ySplit="1" topLeftCell="A984" activePane="bottomLeft" state="frozen"/>
      <selection pane="bottomLeft" activeCell="G987" sqref="G987"/>
    </sheetView>
  </sheetViews>
  <sheetFormatPr defaultRowHeight="14.45"/>
  <cols>
    <col min="1" max="1" width="27.5703125" bestFit="1" customWidth="1"/>
    <col min="2" max="2" width="15.42578125" bestFit="1" customWidth="1"/>
    <col min="3" max="3" width="13.42578125" style="5" customWidth="1"/>
    <col min="4" max="4" width="14.42578125" style="5" bestFit="1" customWidth="1"/>
    <col min="5" max="5" width="7.5703125" customWidth="1"/>
    <col min="6" max="6" width="23.85546875" customWidth="1"/>
    <col min="7" max="7" width="69.42578125" bestFit="1" customWidth="1"/>
    <col min="8" max="8" width="15.5703125" customWidth="1"/>
    <col min="9" max="9" width="16.42578125" customWidth="1"/>
    <col min="11" max="11" width="16.5703125" customWidth="1"/>
    <col min="12" max="12" width="44.42578125" customWidth="1"/>
  </cols>
  <sheetData>
    <row r="1" spans="1:11">
      <c r="A1" s="84" t="s">
        <v>0</v>
      </c>
      <c r="B1" s="84" t="s">
        <v>1</v>
      </c>
      <c r="C1" s="84" t="s">
        <v>2</v>
      </c>
      <c r="D1" s="84" t="s">
        <v>3</v>
      </c>
      <c r="E1" s="84" t="s">
        <v>4</v>
      </c>
      <c r="F1" s="85" t="s">
        <v>5</v>
      </c>
      <c r="G1" s="84" t="s">
        <v>6</v>
      </c>
      <c r="H1" s="84" t="s">
        <v>7</v>
      </c>
      <c r="I1" s="84" t="s">
        <v>8</v>
      </c>
      <c r="K1" s="86" t="s">
        <v>9</v>
      </c>
    </row>
    <row r="2" spans="1:11" hidden="1">
      <c r="A2" s="83"/>
      <c r="B2" s="83"/>
      <c r="C2" s="154"/>
      <c r="D2" s="150"/>
      <c r="E2" s="83"/>
      <c r="F2" s="83"/>
      <c r="G2" s="88"/>
      <c r="H2" s="83"/>
      <c r="I2" s="83"/>
    </row>
    <row r="3" spans="1:11" hidden="1">
      <c r="A3" s="83" t="s">
        <v>10</v>
      </c>
      <c r="B3" s="83">
        <f>_xlfn.XLOOKUP(A3,Equipe!H:H,Equipe!B:B,"",0)</f>
        <v>4612393</v>
      </c>
      <c r="C3" s="154">
        <v>46209</v>
      </c>
      <c r="D3" s="150">
        <v>46220</v>
      </c>
      <c r="E3" s="83">
        <v>12</v>
      </c>
      <c r="F3" s="83" t="s">
        <v>11</v>
      </c>
      <c r="G3" s="93" t="s">
        <v>12</v>
      </c>
      <c r="H3" s="83" t="str">
        <f>_xlfn.XLOOKUP(Tabela1[[#This Row],[Matrícula]],Equipe!B:B,Equipe!E:E,"ERRO",0)</f>
        <v>P83</v>
      </c>
      <c r="I3" s="83" t="str">
        <f>VLOOKUP(Tabela1[[#This Row],[Matrícula]],Equipe!B:F,5,0)</f>
        <v>Novo</v>
      </c>
    </row>
    <row r="4" spans="1:11">
      <c r="A4" s="83" t="s">
        <v>13</v>
      </c>
      <c r="B4" s="109">
        <f>_xlfn.XLOOKUP(A4,Equipe!H:H,Equipe!B:B,"",0)</f>
        <v>9762281</v>
      </c>
      <c r="C4" s="152">
        <v>45481</v>
      </c>
      <c r="D4" s="152">
        <f>((IF(Tabela1[[#This Row],[Início]]&lt;&gt;"",C4+E4-1,""))*1)*1</f>
        <v>45501</v>
      </c>
      <c r="E4" s="83">
        <v>21</v>
      </c>
      <c r="F4" s="83" t="s">
        <v>14</v>
      </c>
      <c r="G4" s="88" t="s">
        <v>15</v>
      </c>
      <c r="H4" s="83" t="str">
        <f>_xlfn.XLOOKUP(Tabela1[[#This Row],[Matrícula]],Equipe!B:B,Equipe!E:E,"ERRO",0)</f>
        <v>P80</v>
      </c>
      <c r="I4" s="83" t="str">
        <f>VLOOKUP(Tabela1[[#This Row],[Matrícula]],Equipe!B:F,5,0)</f>
        <v>Experiente</v>
      </c>
    </row>
    <row r="5" spans="1:11" hidden="1">
      <c r="A5" s="83" t="s">
        <v>16</v>
      </c>
      <c r="B5" s="92">
        <f>_xlfn.XLOOKUP(A5,Equipe!H:H,Equipe!B:B,"",0)</f>
        <v>4608544</v>
      </c>
      <c r="C5" s="152">
        <v>45497</v>
      </c>
      <c r="D5" s="152">
        <f>((IF(Tabela1[[#This Row],[Início]]&lt;&gt;"",C5+E5-1,""))*1)*1</f>
        <v>45508</v>
      </c>
      <c r="E5" s="83">
        <v>12</v>
      </c>
      <c r="F5" s="83" t="s">
        <v>17</v>
      </c>
      <c r="G5" s="88" t="s">
        <v>18</v>
      </c>
      <c r="H5" s="83" t="str">
        <f>_xlfn.XLOOKUP(Tabela1[[#This Row],[Matrícula]],Equipe!B:B,Equipe!E:E,"ERRO",0)</f>
        <v>P82</v>
      </c>
      <c r="I5" s="83" t="str">
        <f>VLOOKUP(Tabela1[[#This Row],[Matrícula]],Equipe!B:F,5,0)</f>
        <v>Novo</v>
      </c>
    </row>
    <row r="6" spans="1:11" hidden="1">
      <c r="A6" s="83" t="s">
        <v>16</v>
      </c>
      <c r="B6" s="92">
        <f>_xlfn.XLOOKUP(A6,Equipe!H:H,Equipe!B:B,"",0)</f>
        <v>4608544</v>
      </c>
      <c r="C6" s="152">
        <v>45509</v>
      </c>
      <c r="D6" s="152">
        <f>((IF(Tabela1[[#This Row],[Início]]&lt;&gt;"",C6+E6-1,""))*1)*1</f>
        <v>45532</v>
      </c>
      <c r="E6" s="83">
        <v>24</v>
      </c>
      <c r="F6" s="83" t="s">
        <v>14</v>
      </c>
      <c r="G6" s="88" t="s">
        <v>19</v>
      </c>
      <c r="H6" s="83" t="str">
        <f>_xlfn.XLOOKUP(Tabela1[[#This Row],[Matrícula]],Equipe!B:B,Equipe!E:E,"ERRO",0)</f>
        <v>P82</v>
      </c>
      <c r="I6" s="83" t="str">
        <f>VLOOKUP(Tabela1[[#This Row],[Matrícula]],Equipe!B:F,5,0)</f>
        <v>Novo</v>
      </c>
    </row>
    <row r="7" spans="1:11" hidden="1">
      <c r="A7" s="83" t="s">
        <v>20</v>
      </c>
      <c r="B7" s="92">
        <f>_xlfn.XLOOKUP(A7,Equipe!H:H,Equipe!B:B,"",0)</f>
        <v>4608559</v>
      </c>
      <c r="C7" s="152">
        <v>45536</v>
      </c>
      <c r="D7" s="152">
        <f>((IF(Tabela1[[#This Row],[Início]]&lt;&gt;"",C7+E7-1,""))*1)*1</f>
        <v>45547</v>
      </c>
      <c r="E7" s="83">
        <v>12</v>
      </c>
      <c r="F7" s="83" t="s">
        <v>17</v>
      </c>
      <c r="G7" s="88" t="s">
        <v>21</v>
      </c>
      <c r="H7" s="83" t="str">
        <f>_xlfn.XLOOKUP(Tabela1[[#This Row],[Matrícula]],Equipe!B:B,Equipe!E:E,"ERRO",0)</f>
        <v>P83</v>
      </c>
      <c r="I7" s="83" t="str">
        <f>VLOOKUP(Tabela1[[#This Row],[Matrícula]],Equipe!B:F,5,0)</f>
        <v>Novo</v>
      </c>
    </row>
    <row r="8" spans="1:11" hidden="1">
      <c r="A8" s="83" t="s">
        <v>20</v>
      </c>
      <c r="B8" s="92">
        <f>_xlfn.XLOOKUP(A8,Equipe!H:H,Equipe!B:B,"",0)</f>
        <v>4608559</v>
      </c>
      <c r="C8" s="152">
        <v>45548</v>
      </c>
      <c r="D8" s="152">
        <f>((IF(Tabela1[[#This Row],[Início]]&lt;&gt;"",C8+E8-1,""))*1)*1</f>
        <v>45573</v>
      </c>
      <c r="E8" s="83">
        <v>26</v>
      </c>
      <c r="F8" s="83" t="s">
        <v>14</v>
      </c>
      <c r="G8" s="88" t="s">
        <v>15</v>
      </c>
      <c r="H8" s="83" t="str">
        <f>_xlfn.XLOOKUP(Tabela1[[#This Row],[Matrícula]],Equipe!B:B,Equipe!E:E,"ERRO",0)</f>
        <v>P83</v>
      </c>
      <c r="I8" s="83" t="str">
        <f>VLOOKUP(Tabela1[[#This Row],[Matrícula]],Equipe!B:F,5,0)</f>
        <v>Novo</v>
      </c>
    </row>
    <row r="9" spans="1:11">
      <c r="A9" s="83" t="s">
        <v>22</v>
      </c>
      <c r="B9" s="92">
        <f>_xlfn.XLOOKUP(A9,Equipe!H:H,Equipe!B:B,"",0)</f>
        <v>4608389</v>
      </c>
      <c r="C9" s="152">
        <v>45664</v>
      </c>
      <c r="D9" s="152">
        <f>((IF(Tabela1[[#This Row],[Início]]&lt;&gt;"",C9+E9-1,""))*1)*1</f>
        <v>45670</v>
      </c>
      <c r="E9" s="83">
        <v>7</v>
      </c>
      <c r="F9" s="83" t="s">
        <v>17</v>
      </c>
      <c r="G9" s="88" t="s">
        <v>23</v>
      </c>
      <c r="H9" s="83" t="str">
        <f>_xlfn.XLOOKUP(Tabela1[[#This Row],[Matrícula]],Equipe!B:B,Equipe!E:E,"ERRO",0)</f>
        <v>P80</v>
      </c>
      <c r="I9" s="83" t="str">
        <f>VLOOKUP(Tabela1[[#This Row],[Matrícula]],Equipe!B:F,5,0)</f>
        <v>Novo</v>
      </c>
    </row>
    <row r="10" spans="1:11">
      <c r="A10" s="83" t="s">
        <v>22</v>
      </c>
      <c r="B10" s="92">
        <f>_xlfn.XLOOKUP(A10,Equipe!H:H,Equipe!B:B,"",0)</f>
        <v>4608389</v>
      </c>
      <c r="C10" s="152">
        <v>45671</v>
      </c>
      <c r="D10" s="152">
        <f>((IF(Tabela1[[#This Row],[Início]]&lt;&gt;"",C10+E10-1,""))*1)*1</f>
        <v>45686</v>
      </c>
      <c r="E10" s="83">
        <v>16</v>
      </c>
      <c r="F10" s="83" t="s">
        <v>14</v>
      </c>
      <c r="G10" s="88" t="s">
        <v>15</v>
      </c>
      <c r="H10" s="83" t="str">
        <f>_xlfn.XLOOKUP(Tabela1[[#This Row],[Matrícula]],Equipe!B:B,Equipe!E:E,"ERRO",0)</f>
        <v>P80</v>
      </c>
      <c r="I10" s="83" t="str">
        <f>VLOOKUP(Tabela1[[#This Row],[Matrícula]],Equipe!B:F,5,0)</f>
        <v>Novo</v>
      </c>
    </row>
    <row r="11" spans="1:11" hidden="1">
      <c r="A11" s="83" t="s">
        <v>24</v>
      </c>
      <c r="B11" s="92">
        <v>1385870</v>
      </c>
      <c r="C11" s="152">
        <v>45676</v>
      </c>
      <c r="D11" s="152">
        <f>((IF(Tabela1[[#This Row],[Início]]&lt;&gt;"",C11+E11-1,""))*1)*1</f>
        <v>45676</v>
      </c>
      <c r="E11" s="83">
        <v>1</v>
      </c>
      <c r="F11" s="83" t="s">
        <v>14</v>
      </c>
      <c r="G11" s="88" t="s">
        <v>25</v>
      </c>
      <c r="H11" s="83" t="str">
        <f>_xlfn.XLOOKUP(Tabela1[[#This Row],[Matrícula]],Equipe!B:B,Equipe!E:E,"ERRO",0)</f>
        <v>P83</v>
      </c>
      <c r="I11" s="83" t="str">
        <f>VLOOKUP(Tabela1[[#This Row],[Matrícula]],Equipe!B:F,5,0)</f>
        <v>Experiente</v>
      </c>
    </row>
    <row r="12" spans="1:11" hidden="1">
      <c r="A12" s="83" t="s">
        <v>26</v>
      </c>
      <c r="B12" s="92" t="str">
        <f>_xlfn.XLOOKUP(A12,Equipe!H:H,Equipe!B:B,"",0)</f>
        <v/>
      </c>
      <c r="C12" s="152">
        <v>45676</v>
      </c>
      <c r="D12" s="152">
        <f>((IF(Tabela1[[#This Row],[Início]]&lt;&gt;"",C12+E12-1,""))*1)*1</f>
        <v>45676</v>
      </c>
      <c r="E12" s="83">
        <v>1</v>
      </c>
      <c r="F12" s="83" t="s">
        <v>14</v>
      </c>
      <c r="G12" s="88" t="s">
        <v>25</v>
      </c>
      <c r="H12" s="83" t="str">
        <f>_xlfn.XLOOKUP(Tabela1[[#This Row],[Matrícula]],Equipe!B:B,Equipe!E:E,"ERRO",0)</f>
        <v>ERRO</v>
      </c>
      <c r="I12" s="83" t="e">
        <f>VLOOKUP(Tabela1[[#This Row],[Matrícula]],Equipe!B:F,5,0)</f>
        <v>#N/A</v>
      </c>
    </row>
    <row r="13" spans="1:11">
      <c r="A13" s="83" t="s">
        <v>27</v>
      </c>
      <c r="B13" s="92">
        <f>_xlfn.XLOOKUP(A13,Equipe!H:H,Equipe!B:B,"",0)</f>
        <v>4608685</v>
      </c>
      <c r="C13" s="152">
        <v>45721</v>
      </c>
      <c r="D13" s="152">
        <f>((IF(Tabela1[[#This Row],[Início]]&lt;&gt;"",C13+E13-1,""))*1)*1</f>
        <v>45734</v>
      </c>
      <c r="E13" s="83">
        <v>14</v>
      </c>
      <c r="F13" s="83" t="s">
        <v>17</v>
      </c>
      <c r="G13" s="88"/>
      <c r="H13" s="83" t="str">
        <f>_xlfn.XLOOKUP(Tabela1[[#This Row],[Matrícula]],Equipe!B:B,Equipe!E:E,"ERRO",0)</f>
        <v>P80</v>
      </c>
      <c r="I13" s="83" t="str">
        <f>VLOOKUP(Tabela1[[#This Row],[Matrícula]],Equipe!B:F,5,0)</f>
        <v>Novo</v>
      </c>
    </row>
    <row r="14" spans="1:11" hidden="1">
      <c r="A14" s="83" t="s">
        <v>28</v>
      </c>
      <c r="B14" s="92">
        <f>_xlfn.XLOOKUP(A14,Equipe!H:H,Equipe!B:B,"",0)</f>
        <v>2430855</v>
      </c>
      <c r="C14" s="152">
        <v>45728</v>
      </c>
      <c r="D14" s="152">
        <f>((IF(Tabela1[[#This Row],[Início]]&lt;&gt;"",C14+E14-1,""))*1)*1</f>
        <v>45730</v>
      </c>
      <c r="E14" s="83">
        <v>3</v>
      </c>
      <c r="F14" s="83" t="s">
        <v>29</v>
      </c>
      <c r="G14" s="88"/>
      <c r="H14" s="83" t="str">
        <f>_xlfn.XLOOKUP(Tabela1[[#This Row],[Matrícula]],Equipe!B:B,Equipe!E:E,"ERRO",0)</f>
        <v>PBAC</v>
      </c>
      <c r="I14" s="83" t="str">
        <f>VLOOKUP(Tabela1[[#This Row],[Matrícula]],Equipe!B:F,5,0)</f>
        <v>Experiente</v>
      </c>
    </row>
    <row r="15" spans="1:11" hidden="1">
      <c r="A15" s="83" t="s">
        <v>30</v>
      </c>
      <c r="B15" s="92">
        <f>_xlfn.XLOOKUP(A15,Equipe!H:H,Equipe!B:B,"",0)</f>
        <v>9634180</v>
      </c>
      <c r="C15" s="152">
        <v>45728</v>
      </c>
      <c r="D15" s="152">
        <f>((IF(Tabela1[[#This Row],[Início]]&lt;&gt;"",C15+E15-1,""))*1)*1</f>
        <v>45729</v>
      </c>
      <c r="E15" s="83">
        <v>2</v>
      </c>
      <c r="F15" s="83" t="s">
        <v>29</v>
      </c>
      <c r="G15" s="88"/>
      <c r="H15" s="83" t="str">
        <f>_xlfn.XLOOKUP(Tabela1[[#This Row],[Matrícula]],Equipe!B:B,Equipe!E:E,"ERRO",0)</f>
        <v>P83</v>
      </c>
      <c r="I15" s="83" t="str">
        <f>VLOOKUP(Tabela1[[#This Row],[Matrícula]],Equipe!B:F,5,0)</f>
        <v>Experiente</v>
      </c>
    </row>
    <row r="16" spans="1:11" hidden="1">
      <c r="A16" s="83" t="s">
        <v>31</v>
      </c>
      <c r="B16" s="92">
        <f>_xlfn.XLOOKUP(A16,Equipe!H:H,Equipe!B:B,"",0)</f>
        <v>1386344</v>
      </c>
      <c r="C16" s="152">
        <v>45729</v>
      </c>
      <c r="D16" s="152">
        <f>((IF(Tabela1[[#This Row],[Início]]&lt;&gt;"",C16+E16-1,""))*1)*1</f>
        <v>45742</v>
      </c>
      <c r="E16" s="83">
        <v>14</v>
      </c>
      <c r="F16" s="83" t="s">
        <v>17</v>
      </c>
      <c r="G16" s="88" t="s">
        <v>32</v>
      </c>
      <c r="H16" s="83" t="str">
        <f>_xlfn.XLOOKUP(Tabela1[[#This Row],[Matrícula]],Equipe!B:B,Equipe!E:E,"ERRO",0)</f>
        <v>P82</v>
      </c>
      <c r="I16" s="83" t="str">
        <f>VLOOKUP(Tabela1[[#This Row],[Matrícula]],Equipe!B:F,5,0)</f>
        <v>Experiente</v>
      </c>
    </row>
    <row r="17" spans="1:9">
      <c r="A17" s="83" t="s">
        <v>13</v>
      </c>
      <c r="B17" s="92">
        <f>_xlfn.XLOOKUP(A17,Equipe!H:H,Equipe!B:B,"",0)</f>
        <v>9762281</v>
      </c>
      <c r="C17" s="152">
        <v>45729</v>
      </c>
      <c r="D17" s="152">
        <f>((IF(Tabela1[[#This Row],[Início]]&lt;&gt;"",C17+E17-1,""))*1)*1</f>
        <v>45742</v>
      </c>
      <c r="E17" s="83">
        <v>14</v>
      </c>
      <c r="F17" s="83" t="s">
        <v>17</v>
      </c>
      <c r="G17" s="88" t="s">
        <v>32</v>
      </c>
      <c r="H17" s="83" t="str">
        <f>_xlfn.XLOOKUP(Tabela1[[#This Row],[Matrícula]],Equipe!B:B,Equipe!E:E,"ERRO",0)</f>
        <v>P80</v>
      </c>
      <c r="I17" s="83" t="str">
        <f>VLOOKUP(Tabela1[[#This Row],[Matrícula]],Equipe!B:F,5,0)</f>
        <v>Experiente</v>
      </c>
    </row>
    <row r="18" spans="1:9" hidden="1">
      <c r="A18" s="83" t="s">
        <v>20</v>
      </c>
      <c r="B18" s="92">
        <f>_xlfn.XLOOKUP(A18,Equipe!H:H,Equipe!B:B,"",0)</f>
        <v>4608559</v>
      </c>
      <c r="C18" s="152">
        <v>45733</v>
      </c>
      <c r="D18" s="152">
        <f>((IF(Tabela1[[#This Row],[Início]]&lt;&gt;"",C18+E18-1,""))*1)*1</f>
        <v>45737</v>
      </c>
      <c r="E18" s="83">
        <v>5</v>
      </c>
      <c r="F18" s="83" t="s">
        <v>11</v>
      </c>
      <c r="G18" s="88" t="s">
        <v>33</v>
      </c>
      <c r="H18" s="83" t="str">
        <f>_xlfn.XLOOKUP(Tabela1[[#This Row],[Matrícula]],Equipe!B:B,Equipe!E:E,"ERRO",0)</f>
        <v>P83</v>
      </c>
      <c r="I18" s="83" t="str">
        <f>VLOOKUP(Tabela1[[#This Row],[Matrícula]],Equipe!B:F,5,0)</f>
        <v>Novo</v>
      </c>
    </row>
    <row r="19" spans="1:9" hidden="1">
      <c r="A19" s="83" t="s">
        <v>34</v>
      </c>
      <c r="B19" s="92">
        <f>_xlfn.XLOOKUP(A19,Equipe!H:H,Equipe!B:B,"",0)</f>
        <v>4608474</v>
      </c>
      <c r="C19" s="152">
        <v>45733</v>
      </c>
      <c r="D19" s="152">
        <f>((IF(Tabela1[[#This Row],[Início]]&lt;&gt;"",C19+E19-1,""))*1)*1</f>
        <v>45737</v>
      </c>
      <c r="E19" s="83">
        <v>5</v>
      </c>
      <c r="F19" s="83" t="s">
        <v>11</v>
      </c>
      <c r="G19" s="88" t="s">
        <v>33</v>
      </c>
      <c r="H19" s="83" t="str">
        <f>_xlfn.XLOOKUP(Tabela1[[#This Row],[Matrícula]],Equipe!B:B,Equipe!E:E,"ERRO",0)</f>
        <v>P82</v>
      </c>
      <c r="I19" s="83" t="str">
        <f>VLOOKUP(Tabela1[[#This Row],[Matrícula]],Equipe!B:F,5,0)</f>
        <v>Novo</v>
      </c>
    </row>
    <row r="20" spans="1:9">
      <c r="A20" s="83" t="s">
        <v>35</v>
      </c>
      <c r="B20" s="92">
        <f>_xlfn.XLOOKUP(A20,Equipe!H:H,Equipe!B:B,"",0)</f>
        <v>9842940</v>
      </c>
      <c r="C20" s="152">
        <v>45733</v>
      </c>
      <c r="D20" s="152">
        <f>((IF(Tabela1[[#This Row],[Início]]&lt;&gt;"",C20+E20-1,""))*1)*1</f>
        <v>45737</v>
      </c>
      <c r="E20" s="83">
        <v>5</v>
      </c>
      <c r="F20" s="83" t="s">
        <v>11</v>
      </c>
      <c r="G20" s="88" t="s">
        <v>33</v>
      </c>
      <c r="H20" s="83" t="str">
        <f>_xlfn.XLOOKUP(Tabela1[[#This Row],[Matrícula]],Equipe!B:B,Equipe!E:E,"ERRO",0)</f>
        <v>P80</v>
      </c>
      <c r="I20" s="83" t="str">
        <f>VLOOKUP(Tabela1[[#This Row],[Matrícula]],Equipe!B:F,5,0)</f>
        <v>Novo</v>
      </c>
    </row>
    <row r="21" spans="1:9">
      <c r="A21" s="83" t="s">
        <v>36</v>
      </c>
      <c r="B21" s="92">
        <f>_xlfn.XLOOKUP(A21,Equipe!H:H,Equipe!B:B,"",0)</f>
        <v>4608721</v>
      </c>
      <c r="C21" s="152">
        <v>45733</v>
      </c>
      <c r="D21" s="152">
        <f>((IF(Tabela1[[#This Row],[Início]]&lt;&gt;"",C21+E21-1,""))*1)*1</f>
        <v>45737</v>
      </c>
      <c r="E21" s="83">
        <v>5</v>
      </c>
      <c r="F21" s="83" t="s">
        <v>11</v>
      </c>
      <c r="G21" s="88" t="s">
        <v>33</v>
      </c>
      <c r="H21" s="83" t="str">
        <f>_xlfn.XLOOKUP(Tabela1[[#This Row],[Matrícula]],Equipe!B:B,Equipe!E:E,"ERRO",0)</f>
        <v>P80</v>
      </c>
      <c r="I21" s="83" t="str">
        <f>VLOOKUP(Tabela1[[#This Row],[Matrícula]],Equipe!B:F,5,0)</f>
        <v>Novo</v>
      </c>
    </row>
    <row r="22" spans="1:9">
      <c r="A22" s="83" t="s">
        <v>27</v>
      </c>
      <c r="B22" s="92">
        <f>_xlfn.XLOOKUP(A22,Equipe!H:H,Equipe!B:B,"",0)</f>
        <v>4608685</v>
      </c>
      <c r="C22" s="152">
        <v>45735</v>
      </c>
      <c r="D22" s="152">
        <f>((IF(Tabela1[[#This Row],[Início]]&lt;&gt;"",C22+E22-1,""))*1)*1</f>
        <v>45763</v>
      </c>
      <c r="E22" s="83">
        <v>29</v>
      </c>
      <c r="F22" s="83" t="s">
        <v>14</v>
      </c>
      <c r="G22" s="88" t="s">
        <v>15</v>
      </c>
      <c r="H22" s="83" t="str">
        <f>_xlfn.XLOOKUP(Tabela1[[#This Row],[Matrícula]],Equipe!B:B,Equipe!E:E,"ERRO",0)</f>
        <v>P80</v>
      </c>
      <c r="I22" s="83" t="str">
        <f>VLOOKUP(Tabela1[[#This Row],[Matrícula]],Equipe!B:F,5,0)</f>
        <v>Novo</v>
      </c>
    </row>
    <row r="23" spans="1:9" hidden="1">
      <c r="A23" s="83" t="s">
        <v>37</v>
      </c>
      <c r="B23" s="92">
        <f>_xlfn.XLOOKUP(A23,Equipe!H:H,Equipe!B:B,"",0)</f>
        <v>2493288</v>
      </c>
      <c r="C23" s="152">
        <v>45740</v>
      </c>
      <c r="D23" s="152">
        <f>((IF(Tabela1[[#This Row],[Início]]&lt;&gt;"",C23+E23-1,""))*1)*1</f>
        <v>45741</v>
      </c>
      <c r="E23" s="83">
        <v>2</v>
      </c>
      <c r="F23" s="83" t="s">
        <v>14</v>
      </c>
      <c r="G23" s="88"/>
      <c r="H23" s="83" t="str">
        <f>_xlfn.XLOOKUP(Tabela1[[#This Row],[Matrícula]],Equipe!B:B,Equipe!E:E,"ERRO",0)</f>
        <v>PBAC</v>
      </c>
      <c r="I23" s="83" t="str">
        <f>VLOOKUP(Tabela1[[#This Row],[Matrícula]],Equipe!B:F,5,0)</f>
        <v>Experiente</v>
      </c>
    </row>
    <row r="24" spans="1:9" hidden="1">
      <c r="A24" s="83" t="s">
        <v>31</v>
      </c>
      <c r="B24" s="92">
        <f>_xlfn.XLOOKUP(A24,Equipe!H:H,Equipe!B:B,"",0)</f>
        <v>1386344</v>
      </c>
      <c r="C24" s="152">
        <v>45743</v>
      </c>
      <c r="D24" s="152">
        <f>((IF(Tabela1[[#This Row],[Início]]&lt;&gt;"",C24+E24-1,""))*1)*1</f>
        <v>45763</v>
      </c>
      <c r="E24" s="83">
        <v>21</v>
      </c>
      <c r="F24" s="83" t="s">
        <v>14</v>
      </c>
      <c r="G24" s="88" t="s">
        <v>15</v>
      </c>
      <c r="H24" s="83" t="str">
        <f>_xlfn.XLOOKUP(Tabela1[[#This Row],[Matrícula]],Equipe!B:B,Equipe!E:E,"ERRO",0)</f>
        <v>P82</v>
      </c>
      <c r="I24" s="83" t="str">
        <f>VLOOKUP(Tabela1[[#This Row],[Matrícula]],Equipe!B:F,5,0)</f>
        <v>Experiente</v>
      </c>
    </row>
    <row r="25" spans="1:9">
      <c r="A25" s="83" t="s">
        <v>38</v>
      </c>
      <c r="B25" s="92">
        <f>_xlfn.XLOOKUP(A25,Equipe!H:H,Equipe!B:B,"",0)</f>
        <v>1385894</v>
      </c>
      <c r="C25" s="152">
        <v>45743</v>
      </c>
      <c r="D25" s="152">
        <f>((IF(Tabela1[[#This Row],[Início]]&lt;&gt;"",C25+E25-1,""))*1)*1</f>
        <v>45743</v>
      </c>
      <c r="E25" s="83">
        <v>1</v>
      </c>
      <c r="F25" s="83" t="s">
        <v>11</v>
      </c>
      <c r="G25" s="88"/>
      <c r="H25" s="83" t="str">
        <f>_xlfn.XLOOKUP(Tabela1[[#This Row],[Matrícula]],Equipe!B:B,Equipe!E:E,"ERRO",0)</f>
        <v>P80</v>
      </c>
      <c r="I25" s="83" t="str">
        <f>VLOOKUP(Tabela1[[#This Row],[Matrícula]],Equipe!B:F,5,0)</f>
        <v>Experiente</v>
      </c>
    </row>
    <row r="26" spans="1:9" hidden="1">
      <c r="A26" s="83" t="s">
        <v>16</v>
      </c>
      <c r="B26" s="92">
        <f>_xlfn.XLOOKUP(A26,Equipe!H:H,Equipe!B:B,"",0)</f>
        <v>4608544</v>
      </c>
      <c r="C26" s="152">
        <v>45743</v>
      </c>
      <c r="D26" s="152">
        <f>((IF(Tabela1[[#This Row],[Início]]&lt;&gt;"",C26+E26-1,""))*1)*1</f>
        <v>45744</v>
      </c>
      <c r="E26" s="83">
        <v>2</v>
      </c>
      <c r="F26" s="83" t="s">
        <v>14</v>
      </c>
      <c r="G26" s="88" t="s">
        <v>39</v>
      </c>
      <c r="H26" s="83" t="str">
        <f>_xlfn.XLOOKUP(Tabela1[[#This Row],[Matrícula]],Equipe!B:B,Equipe!E:E,"ERRO",0)</f>
        <v>P82</v>
      </c>
      <c r="I26" s="83" t="str">
        <f>VLOOKUP(Tabela1[[#This Row],[Matrícula]],Equipe!B:F,5,0)</f>
        <v>Novo</v>
      </c>
    </row>
    <row r="27" spans="1:9">
      <c r="A27" s="83" t="s">
        <v>13</v>
      </c>
      <c r="B27" s="92">
        <f>_xlfn.XLOOKUP(A27,Equipe!H:H,Equipe!B:B,"",0)</f>
        <v>9762281</v>
      </c>
      <c r="C27" s="152">
        <v>45743</v>
      </c>
      <c r="D27" s="152">
        <v>45763</v>
      </c>
      <c r="E27" s="83">
        <v>21</v>
      </c>
      <c r="F27" s="83" t="s">
        <v>14</v>
      </c>
      <c r="G27" s="88" t="s">
        <v>15</v>
      </c>
      <c r="H27" s="83" t="str">
        <f>_xlfn.XLOOKUP(Tabela1[[#This Row],[Matrícula]],Equipe!B:B,Equipe!E:E,"ERRO",0)</f>
        <v>P80</v>
      </c>
      <c r="I27" s="83" t="str">
        <f>VLOOKUP(Tabela1[[#This Row],[Matrícula]],Equipe!B:F,5,0)</f>
        <v>Experiente</v>
      </c>
    </row>
    <row r="28" spans="1:9" ht="29.1" hidden="1">
      <c r="A28" s="83" t="s">
        <v>40</v>
      </c>
      <c r="B28" s="92">
        <f>_xlfn.XLOOKUP(A28,Equipe!H:H,Equipe!B:B,"",0)</f>
        <v>9724817</v>
      </c>
      <c r="C28" s="152">
        <v>45748</v>
      </c>
      <c r="D28" s="152">
        <f>((IF(Tabela1[[#This Row],[Início]]&lt;&gt;"",C28+E28-1,""))*1)*1</f>
        <v>45758</v>
      </c>
      <c r="E28" s="83">
        <v>11</v>
      </c>
      <c r="F28" s="83" t="s">
        <v>17</v>
      </c>
      <c r="G28" s="88" t="s">
        <v>41</v>
      </c>
      <c r="H28" s="83" t="str">
        <f>_xlfn.XLOOKUP(Tabela1[[#This Row],[Matrícula]],Equipe!B:B,Equipe!E:E,"ERRO",0)</f>
        <v>P82</v>
      </c>
      <c r="I28" s="83" t="str">
        <f>VLOOKUP(Tabela1[[#This Row],[Matrícula]],Equipe!B:F,5,0)</f>
        <v>Experiente</v>
      </c>
    </row>
    <row r="29" spans="1:9" hidden="1">
      <c r="A29" s="83" t="s">
        <v>42</v>
      </c>
      <c r="B29" s="92">
        <f>_xlfn.XLOOKUP(A29,Equipe!H:H,Equipe!B:B,"",0)</f>
        <v>9634222</v>
      </c>
      <c r="C29" s="152">
        <v>45754</v>
      </c>
      <c r="D29" s="152">
        <f>((IF(Tabela1[[#This Row],[Início]]&lt;&gt;"",C29+E29-1,""))*1)*1</f>
        <v>45758</v>
      </c>
      <c r="E29" s="83">
        <v>5</v>
      </c>
      <c r="F29" s="83" t="s">
        <v>11</v>
      </c>
      <c r="G29" s="88" t="s">
        <v>43</v>
      </c>
      <c r="H29" s="83" t="str">
        <f>_xlfn.XLOOKUP(Tabela1[[#This Row],[Matrícula]],Equipe!B:B,Equipe!E:E,"ERRO",0)</f>
        <v>P83</v>
      </c>
      <c r="I29" s="83" t="str">
        <f>VLOOKUP(Tabela1[[#This Row],[Matrícula]],Equipe!B:F,5,0)</f>
        <v>Experiente</v>
      </c>
    </row>
    <row r="30" spans="1:9">
      <c r="A30" s="83" t="s">
        <v>44</v>
      </c>
      <c r="B30" s="92">
        <f>_xlfn.XLOOKUP(A30,Equipe!H:H,Equipe!B:B,"",0)</f>
        <v>1381625</v>
      </c>
      <c r="C30" s="152">
        <v>45754</v>
      </c>
      <c r="D30" s="152">
        <f>((IF(Tabela1[[#This Row],[Início]]&lt;&gt;"",C30+E30-1,""))*1)*1</f>
        <v>45758</v>
      </c>
      <c r="E30" s="83">
        <v>5</v>
      </c>
      <c r="F30" s="83" t="s">
        <v>17</v>
      </c>
      <c r="G30" s="88" t="s">
        <v>45</v>
      </c>
      <c r="H30" s="83" t="str">
        <f>_xlfn.XLOOKUP(Tabela1[[#This Row],[Matrícula]],Equipe!B:B,Equipe!E:E,"ERRO",0)</f>
        <v>P80</v>
      </c>
      <c r="I30" s="83" t="str">
        <f>VLOOKUP(Tabela1[[#This Row],[Matrícula]],Equipe!B:F,5,0)</f>
        <v>Experiente</v>
      </c>
    </row>
    <row r="31" spans="1:9" hidden="1">
      <c r="A31" s="83" t="s">
        <v>46</v>
      </c>
      <c r="B31" s="92">
        <f>_xlfn.XLOOKUP(A31,Equipe!H:H,Equipe!B:B,"",0)</f>
        <v>4608411</v>
      </c>
      <c r="C31" s="152">
        <v>45756</v>
      </c>
      <c r="D31" s="152">
        <f>((IF(Tabela1[[#This Row],[Início]]&lt;&gt;"",C31+E31-1,""))*1)*1</f>
        <v>45756</v>
      </c>
      <c r="E31" s="83">
        <v>1</v>
      </c>
      <c r="F31" s="83" t="s">
        <v>47</v>
      </c>
      <c r="G31" s="88" t="s">
        <v>48</v>
      </c>
      <c r="H31" s="83" t="str">
        <f>_xlfn.XLOOKUP(Tabela1[[#This Row],[Matrícula]],Equipe!B:B,Equipe!E:E,"ERRO",0)</f>
        <v>P83</v>
      </c>
      <c r="I31" s="83" t="str">
        <f>VLOOKUP(Tabela1[[#This Row],[Matrícula]],Equipe!B:F,5,0)</f>
        <v>Novo</v>
      </c>
    </row>
    <row r="32" spans="1:9" hidden="1">
      <c r="A32" s="83" t="s">
        <v>34</v>
      </c>
      <c r="B32" s="92">
        <f>_xlfn.XLOOKUP(A32,Equipe!H:H,Equipe!B:B,"",0)</f>
        <v>4608474</v>
      </c>
      <c r="C32" s="152">
        <v>45756</v>
      </c>
      <c r="D32" s="152">
        <f>((IF(Tabela1[[#This Row],[Início]]&lt;&gt;"",C32+E32-1,""))*1)*1</f>
        <v>45756</v>
      </c>
      <c r="E32" s="83">
        <v>1</v>
      </c>
      <c r="F32" s="83" t="s">
        <v>47</v>
      </c>
      <c r="G32" s="88" t="s">
        <v>49</v>
      </c>
      <c r="H32" s="83" t="str">
        <f>_xlfn.XLOOKUP(Tabela1[[#This Row],[Matrícula]],Equipe!B:B,Equipe!E:E,"ERRO",0)</f>
        <v>P82</v>
      </c>
      <c r="I32" s="83" t="str">
        <f>VLOOKUP(Tabela1[[#This Row],[Matrícula]],Equipe!B:F,5,0)</f>
        <v>Novo</v>
      </c>
    </row>
    <row r="33" spans="1:9" hidden="1">
      <c r="A33" s="83" t="s">
        <v>50</v>
      </c>
      <c r="B33" s="92">
        <f>_xlfn.XLOOKUP(A33,Equipe!H:H,Equipe!B:B,"",0)</f>
        <v>4606694</v>
      </c>
      <c r="C33" s="152">
        <v>45756</v>
      </c>
      <c r="D33" s="152">
        <f>((IF(Tabela1[[#This Row],[Início]]&lt;&gt;"",C33+E33-1,""))*1)*1</f>
        <v>45756</v>
      </c>
      <c r="E33" s="83">
        <v>1</v>
      </c>
      <c r="F33" s="83" t="s">
        <v>11</v>
      </c>
      <c r="G33" s="88" t="s">
        <v>51</v>
      </c>
      <c r="H33" s="83" t="str">
        <f>_xlfn.XLOOKUP(Tabela1[[#This Row],[Matrícula]],Equipe!B:B,Equipe!E:E,"ERRO",0)</f>
        <v>PBAC</v>
      </c>
      <c r="I33" s="83" t="str">
        <f>VLOOKUP(Tabela1[[#This Row],[Matrícula]],Equipe!B:F,5,0)</f>
        <v>Novo</v>
      </c>
    </row>
    <row r="34" spans="1:9" hidden="1">
      <c r="A34" s="83" t="s">
        <v>16</v>
      </c>
      <c r="B34" s="92">
        <f>_xlfn.XLOOKUP(A34,Equipe!H:H,Equipe!B:B,"",0)</f>
        <v>4608544</v>
      </c>
      <c r="C34" s="152">
        <v>45756</v>
      </c>
      <c r="D34" s="152">
        <f>((IF(Tabela1[[#This Row],[Início]]&lt;&gt;"",C34+E34-1,""))*1)*1</f>
        <v>45756</v>
      </c>
      <c r="E34" s="83">
        <v>1</v>
      </c>
      <c r="F34" s="83" t="s">
        <v>47</v>
      </c>
      <c r="G34" s="88" t="s">
        <v>52</v>
      </c>
      <c r="H34" s="83" t="str">
        <f>_xlfn.XLOOKUP(Tabela1[[#This Row],[Matrícula]],Equipe!B:B,Equipe!E:E,"ERRO",0)</f>
        <v>P82</v>
      </c>
      <c r="I34" s="83" t="str">
        <f>VLOOKUP(Tabela1[[#This Row],[Matrícula]],Equipe!B:F,5,0)</f>
        <v>Novo</v>
      </c>
    </row>
    <row r="35" spans="1:9" hidden="1">
      <c r="A35" s="83" t="s">
        <v>53</v>
      </c>
      <c r="B35" s="92">
        <f>_xlfn.XLOOKUP(A35,Equipe!H:H,Equipe!B:B,"",0)</f>
        <v>4608780</v>
      </c>
      <c r="C35" s="152">
        <v>45756</v>
      </c>
      <c r="D35" s="152">
        <f>((IF(Tabela1[[#This Row],[Início]]&lt;&gt;"",C35+E35-1,""))*1)*1</f>
        <v>45756</v>
      </c>
      <c r="E35" s="83">
        <v>1</v>
      </c>
      <c r="F35" s="83" t="s">
        <v>47</v>
      </c>
      <c r="G35" s="88" t="s">
        <v>54</v>
      </c>
      <c r="H35" s="83" t="str">
        <f>_xlfn.XLOOKUP(Tabela1[[#This Row],[Matrícula]],Equipe!B:B,Equipe!E:E,"ERRO",0)</f>
        <v>P83</v>
      </c>
      <c r="I35" s="83" t="str">
        <f>VLOOKUP(Tabela1[[#This Row],[Matrícula]],Equipe!B:F,5,0)</f>
        <v>Novo</v>
      </c>
    </row>
    <row r="36" spans="1:9" hidden="1">
      <c r="A36" s="83" t="s">
        <v>46</v>
      </c>
      <c r="B36" s="92">
        <f>_xlfn.XLOOKUP(A36,Equipe!H:H,Equipe!B:B,"",0)</f>
        <v>4608411</v>
      </c>
      <c r="C36" s="152">
        <v>45757</v>
      </c>
      <c r="D36" s="152">
        <f>((IF(Tabela1[[#This Row],[Início]]&lt;&gt;"",C36+E36-1,""))*1)*1</f>
        <v>45758</v>
      </c>
      <c r="E36" s="83">
        <v>2</v>
      </c>
      <c r="F36" s="83" t="s">
        <v>14</v>
      </c>
      <c r="G36" s="88" t="s">
        <v>55</v>
      </c>
      <c r="H36" s="83" t="str">
        <f>_xlfn.XLOOKUP(Tabela1[[#This Row],[Matrícula]],Equipe!B:B,Equipe!E:E,"ERRO",0)</f>
        <v>P83</v>
      </c>
      <c r="I36" s="83" t="str">
        <f>VLOOKUP(Tabela1[[#This Row],[Matrícula]],Equipe!B:F,5,0)</f>
        <v>Novo</v>
      </c>
    </row>
    <row r="37" spans="1:9" hidden="1">
      <c r="A37" s="83" t="s">
        <v>56</v>
      </c>
      <c r="B37" s="92">
        <f>_xlfn.XLOOKUP(A37,Equipe!H:H,Equipe!B:B,"",0)</f>
        <v>2477135</v>
      </c>
      <c r="C37" s="152">
        <v>45761</v>
      </c>
      <c r="D37" s="180">
        <f>((IF(Tabela1[[#This Row],[Início]]&lt;&gt;"",C37+E37-1,""))*1)*1</f>
        <v>45761</v>
      </c>
      <c r="E37" s="83">
        <v>1</v>
      </c>
      <c r="F37" s="83" t="s">
        <v>47</v>
      </c>
      <c r="G37" s="88"/>
      <c r="H37" s="83" t="str">
        <f>_xlfn.XLOOKUP(Tabela1[[#This Row],[Matrícula]],Equipe!B:B,Equipe!E:E,"ERRO",0)</f>
        <v>P83</v>
      </c>
      <c r="I37" s="83" t="str">
        <f>VLOOKUP(Tabela1[[#This Row],[Matrícula]],Equipe!B:F,5,0)</f>
        <v>Experiente</v>
      </c>
    </row>
    <row r="38" spans="1:9" hidden="1">
      <c r="A38" s="83" t="s">
        <v>57</v>
      </c>
      <c r="B38" s="92">
        <f>_xlfn.XLOOKUP(A38,Equipe!H:H,Equipe!B:B,"",0)</f>
        <v>4608684</v>
      </c>
      <c r="C38" s="152">
        <v>45761</v>
      </c>
      <c r="D38" s="152">
        <f>((IF(Tabela1[[#This Row],[Início]]&lt;&gt;"",C38+E38-1,""))*1)*1</f>
        <v>45761</v>
      </c>
      <c r="E38" s="83">
        <v>1</v>
      </c>
      <c r="F38" s="83" t="s">
        <v>47</v>
      </c>
      <c r="G38" s="88"/>
      <c r="H38" s="83" t="str">
        <f>_xlfn.XLOOKUP(Tabela1[[#This Row],[Matrícula]],Equipe!B:B,Equipe!E:E,"ERRO",0)</f>
        <v>P82</v>
      </c>
      <c r="I38" s="83" t="str">
        <f>VLOOKUP(Tabela1[[#This Row],[Matrícula]],Equipe!B:F,5,0)</f>
        <v>Novo</v>
      </c>
    </row>
    <row r="39" spans="1:9" hidden="1">
      <c r="A39" s="83" t="s">
        <v>37</v>
      </c>
      <c r="B39" s="92">
        <f>_xlfn.XLOOKUP(A39,Equipe!H:H,Equipe!B:B,"",0)</f>
        <v>2493288</v>
      </c>
      <c r="C39" s="152">
        <v>45769</v>
      </c>
      <c r="D39" s="152">
        <f>((IF(Tabela1[[#This Row],[Início]]&lt;&gt;"",C39+E39-1,""))*1)*1</f>
        <v>45769</v>
      </c>
      <c r="E39" s="83">
        <v>1</v>
      </c>
      <c r="F39" s="83" t="s">
        <v>14</v>
      </c>
      <c r="G39" s="88" t="s">
        <v>39</v>
      </c>
      <c r="H39" s="83" t="str">
        <f>_xlfn.XLOOKUP(Tabela1[[#This Row],[Matrícula]],Equipe!B:B,Equipe!E:E,"ERRO",0)</f>
        <v>PBAC</v>
      </c>
      <c r="I39" s="83" t="str">
        <f>VLOOKUP(Tabela1[[#This Row],[Matrícula]],Equipe!B:F,5,0)</f>
        <v>Experiente</v>
      </c>
    </row>
    <row r="40" spans="1:9" hidden="1">
      <c r="A40" s="83" t="s">
        <v>58</v>
      </c>
      <c r="B40" s="92">
        <f>_xlfn.XLOOKUP(A40,Equipe!H:H,Equipe!B:B,"",0)</f>
        <v>9612082</v>
      </c>
      <c r="C40" s="152">
        <v>45770</v>
      </c>
      <c r="D40" s="158">
        <f>((IF(Tabela1[[#This Row],[Início]]&lt;&gt;"",C40+E40-1,""))*1)*1</f>
        <v>45780</v>
      </c>
      <c r="E40" s="83">
        <v>11</v>
      </c>
      <c r="F40" s="83" t="s">
        <v>17</v>
      </c>
      <c r="G40" s="88" t="s">
        <v>59</v>
      </c>
      <c r="H40" s="83" t="str">
        <f>_xlfn.XLOOKUP(Tabela1[[#This Row],[Matrícula]],Equipe!B:B,Equipe!E:E,"ERRO",0)</f>
        <v>P82</v>
      </c>
      <c r="I40" s="83" t="str">
        <f>VLOOKUP(Tabela1[[#This Row],[Matrícula]],Equipe!B:F,5,0)</f>
        <v>Experiente</v>
      </c>
    </row>
    <row r="41" spans="1:9">
      <c r="A41" s="83" t="s">
        <v>38</v>
      </c>
      <c r="B41" s="92">
        <f>_xlfn.XLOOKUP(A41,Equipe!H:H,Equipe!B:B,"",0)</f>
        <v>1385894</v>
      </c>
      <c r="C41" s="152">
        <v>45770</v>
      </c>
      <c r="D41" s="152">
        <f>((IF(Tabela1[[#This Row],[Início]]&lt;&gt;"",C41+E41-1,""))*1)*1</f>
        <v>45777</v>
      </c>
      <c r="E41" s="83">
        <v>8</v>
      </c>
      <c r="F41" s="83" t="s">
        <v>17</v>
      </c>
      <c r="G41" s="88" t="s">
        <v>60</v>
      </c>
      <c r="H41" s="83" t="str">
        <f>_xlfn.XLOOKUP(Tabela1[[#This Row],[Matrícula]],Equipe!B:B,Equipe!E:E,"ERRO",0)</f>
        <v>P80</v>
      </c>
      <c r="I41" s="83" t="str">
        <f>VLOOKUP(Tabela1[[#This Row],[Matrícula]],Equipe!B:F,5,0)</f>
        <v>Experiente</v>
      </c>
    </row>
    <row r="42" spans="1:9">
      <c r="A42" s="83" t="s">
        <v>35</v>
      </c>
      <c r="B42" s="92">
        <f>_xlfn.XLOOKUP(A42,Equipe!H:H,Equipe!B:B,"",0)</f>
        <v>9842940</v>
      </c>
      <c r="C42" s="152">
        <v>45770</v>
      </c>
      <c r="D42" s="152">
        <f>((IF(Tabela1[[#This Row],[Início]]&lt;&gt;"",C42+E42-1,""))*1)*1</f>
        <v>45772</v>
      </c>
      <c r="E42" s="83">
        <v>3</v>
      </c>
      <c r="F42" s="83" t="s">
        <v>17</v>
      </c>
      <c r="G42" s="88" t="s">
        <v>61</v>
      </c>
      <c r="H42" s="83" t="str">
        <f>_xlfn.XLOOKUP(Tabela1[[#This Row],[Matrícula]],Equipe!B:B,Equipe!E:E,"ERRO",0)</f>
        <v>P80</v>
      </c>
      <c r="I42" s="83" t="str">
        <f>VLOOKUP(Tabela1[[#This Row],[Matrícula]],Equipe!B:F,5,0)</f>
        <v>Novo</v>
      </c>
    </row>
    <row r="43" spans="1:9" hidden="1">
      <c r="A43" s="87" t="s">
        <v>53</v>
      </c>
      <c r="B43" s="92">
        <f>_xlfn.XLOOKUP(A43,Equipe!H:H,Equipe!B:B,"",0)</f>
        <v>4608780</v>
      </c>
      <c r="C43" s="152">
        <v>45770</v>
      </c>
      <c r="D43" s="152">
        <f>((IF(Tabela1[[#This Row],[Início]]&lt;&gt;"",C43+E43-1,""))*1)*1</f>
        <v>45772</v>
      </c>
      <c r="E43" s="83">
        <v>3</v>
      </c>
      <c r="F43" s="83" t="s">
        <v>17</v>
      </c>
      <c r="G43" s="88" t="s">
        <v>61</v>
      </c>
      <c r="H43" s="83" t="str">
        <f>_xlfn.XLOOKUP(Tabela1[[#This Row],[Matrícula]],Equipe!B:B,Equipe!E:E,"ERRO",0)</f>
        <v>P83</v>
      </c>
      <c r="I43" s="83" t="str">
        <f>VLOOKUP(Tabela1[[#This Row],[Matrícula]],Equipe!B:F,5,0)</f>
        <v>Novo</v>
      </c>
    </row>
    <row r="44" spans="1:9">
      <c r="A44" s="83" t="s">
        <v>35</v>
      </c>
      <c r="B44" s="92">
        <f>_xlfn.XLOOKUP(A44,Equipe!H:H,Equipe!B:B,"",0)</f>
        <v>9842940</v>
      </c>
      <c r="C44" s="152">
        <v>45773</v>
      </c>
      <c r="D44" s="152">
        <f>((IF(Tabela1[[#This Row],[Início]]&lt;&gt;"",C44+E44-1,""))*1)*1</f>
        <v>45782</v>
      </c>
      <c r="E44" s="83">
        <v>10</v>
      </c>
      <c r="F44" s="83" t="s">
        <v>14</v>
      </c>
      <c r="G44" s="88" t="s">
        <v>15</v>
      </c>
      <c r="H44" s="83" t="str">
        <f>_xlfn.XLOOKUP(Tabela1[[#This Row],[Matrícula]],Equipe!B:B,Equipe!E:E,"ERRO",0)</f>
        <v>P80</v>
      </c>
      <c r="I44" s="83" t="str">
        <f>VLOOKUP(Tabela1[[#This Row],[Matrícula]],Equipe!B:F,5,0)</f>
        <v>Novo</v>
      </c>
    </row>
    <row r="45" spans="1:9" hidden="1">
      <c r="A45" s="87" t="s">
        <v>53</v>
      </c>
      <c r="B45" s="92">
        <f>_xlfn.XLOOKUP(A45,Equipe!H:H,Equipe!B:B,"",0)</f>
        <v>4608780</v>
      </c>
      <c r="C45" s="152">
        <v>45773</v>
      </c>
      <c r="D45" s="152">
        <f>((IF(Tabela1[[#This Row],[Início]]&lt;&gt;"",C45+E45-1,""))*1)*1</f>
        <v>45782</v>
      </c>
      <c r="E45" s="83">
        <v>10</v>
      </c>
      <c r="F45" s="83" t="s">
        <v>14</v>
      </c>
      <c r="G45" s="88" t="s">
        <v>15</v>
      </c>
      <c r="H45" s="83" t="str">
        <f>_xlfn.XLOOKUP(Tabela1[[#This Row],[Matrícula]],Equipe!B:B,Equipe!E:E,"ERRO",0)</f>
        <v>P83</v>
      </c>
      <c r="I45" s="83" t="str">
        <f>VLOOKUP(Tabela1[[#This Row],[Matrícula]],Equipe!B:F,5,0)</f>
        <v>Novo</v>
      </c>
    </row>
    <row r="46" spans="1:9">
      <c r="A46" s="83" t="s">
        <v>62</v>
      </c>
      <c r="B46" s="92">
        <f>_xlfn.XLOOKUP(A46,Equipe!H:H,Equipe!B:B,"",0)</f>
        <v>9886449</v>
      </c>
      <c r="C46" s="152">
        <v>45775</v>
      </c>
      <c r="D46" s="152">
        <f>((IF(Tabela1[[#This Row],[Início]]&lt;&gt;"",C46+E46-1,""))*1)*1</f>
        <v>45775</v>
      </c>
      <c r="E46" s="83">
        <v>1</v>
      </c>
      <c r="F46" s="83" t="s">
        <v>47</v>
      </c>
      <c r="G46" s="88"/>
      <c r="H46" s="83" t="str">
        <f>_xlfn.XLOOKUP(Tabela1[[#This Row],[Matrícula]],Equipe!B:B,Equipe!E:E,"ERRO",0)</f>
        <v>P80</v>
      </c>
      <c r="I46" s="83" t="str">
        <f>VLOOKUP(Tabela1[[#This Row],[Matrícula]],Equipe!B:F,5,0)</f>
        <v>Experiente</v>
      </c>
    </row>
    <row r="47" spans="1:9" hidden="1">
      <c r="A47" s="83" t="s">
        <v>28</v>
      </c>
      <c r="B47" s="92">
        <f>_xlfn.XLOOKUP(A47,Equipe!H:H,Equipe!B:B,"",0)</f>
        <v>2430855</v>
      </c>
      <c r="C47" s="152">
        <v>45775</v>
      </c>
      <c r="D47" s="152">
        <f>((IF(Tabela1[[#This Row],[Início]]&lt;&gt;"",C47+E47-1,""))*1)*1</f>
        <v>45775</v>
      </c>
      <c r="E47" s="83">
        <v>1</v>
      </c>
      <c r="F47" s="83" t="s">
        <v>47</v>
      </c>
      <c r="G47" s="88"/>
      <c r="H47" s="83" t="str">
        <f>_xlfn.XLOOKUP(Tabela1[[#This Row],[Matrícula]],Equipe!B:B,Equipe!E:E,"ERRO",0)</f>
        <v>PBAC</v>
      </c>
      <c r="I47" s="83" t="str">
        <f>VLOOKUP(Tabela1[[#This Row],[Matrícula]],Equipe!B:F,5,0)</f>
        <v>Experiente</v>
      </c>
    </row>
    <row r="48" spans="1:9" ht="29.1" hidden="1">
      <c r="A48" s="83" t="s">
        <v>16</v>
      </c>
      <c r="B48" s="92">
        <f>_xlfn.XLOOKUP(A48,Equipe!H:H,Equipe!B:B,"",0)</f>
        <v>4608544</v>
      </c>
      <c r="C48" s="152">
        <v>45776</v>
      </c>
      <c r="D48" s="152">
        <f>((IF(Tabela1[[#This Row],[Início]]&lt;&gt;"",C48+E48-1,""))*1)*1</f>
        <v>45776</v>
      </c>
      <c r="E48" s="83">
        <v>1</v>
      </c>
      <c r="F48" s="83" t="s">
        <v>11</v>
      </c>
      <c r="G48" s="88" t="s">
        <v>63</v>
      </c>
      <c r="H48" s="83" t="str">
        <f>_xlfn.XLOOKUP(Tabela1[[#This Row],[Matrícula]],Equipe!B:B,Equipe!E:E,"ERRO",0)</f>
        <v>P82</v>
      </c>
      <c r="I48" s="83" t="str">
        <f>VLOOKUP(Tabela1[[#This Row],[Matrícula]],Equipe!B:F,5,0)</f>
        <v>Novo</v>
      </c>
    </row>
    <row r="49" spans="1:9" hidden="1">
      <c r="A49" s="83" t="s">
        <v>34</v>
      </c>
      <c r="B49" s="92">
        <f>_xlfn.XLOOKUP(A49,Equipe!H:H,Equipe!B:B,"",0)</f>
        <v>4608474</v>
      </c>
      <c r="C49" s="152">
        <v>45779</v>
      </c>
      <c r="D49" s="152">
        <f>((IF(Tabela1[[#This Row],[Início]]&lt;&gt;"",C49+E49-1,""))*1)*1</f>
        <v>45783</v>
      </c>
      <c r="E49" s="83">
        <v>5</v>
      </c>
      <c r="F49" s="83" t="s">
        <v>17</v>
      </c>
      <c r="G49" s="88" t="s">
        <v>61</v>
      </c>
      <c r="H49" s="83" t="str">
        <f>_xlfn.XLOOKUP(Tabela1[[#This Row],[Matrícula]],Equipe!B:B,Equipe!E:E,"ERRO",0)</f>
        <v>P82</v>
      </c>
      <c r="I49" s="83" t="str">
        <f>VLOOKUP(Tabela1[[#This Row],[Matrícula]],Equipe!B:F,5,0)</f>
        <v>Novo</v>
      </c>
    </row>
    <row r="50" spans="1:9">
      <c r="A50" s="83" t="s">
        <v>62</v>
      </c>
      <c r="B50" s="92">
        <f>_xlfn.XLOOKUP(A50,Equipe!H:H,Equipe!B:B,"",0)</f>
        <v>9886449</v>
      </c>
      <c r="C50" s="152">
        <v>45779</v>
      </c>
      <c r="D50" s="152">
        <f>((IF(Tabela1[[#This Row],[Início]]&lt;&gt;"",C50+E50-1,""))*1)*1</f>
        <v>45779</v>
      </c>
      <c r="E50" s="83">
        <v>1</v>
      </c>
      <c r="F50" s="83" t="s">
        <v>14</v>
      </c>
      <c r="G50" s="88" t="s">
        <v>64</v>
      </c>
      <c r="H50" s="83" t="str">
        <f>_xlfn.XLOOKUP(Tabela1[[#This Row],[Matrícula]],Equipe!B:B,Equipe!E:E,"ERRO",0)</f>
        <v>P80</v>
      </c>
      <c r="I50" s="83" t="str">
        <f>VLOOKUP(Tabela1[[#This Row],[Matrícula]],Equipe!B:F,5,0)</f>
        <v>Experiente</v>
      </c>
    </row>
    <row r="51" spans="1:9" hidden="1">
      <c r="A51" s="87" t="s">
        <v>50</v>
      </c>
      <c r="B51" s="92">
        <f>_xlfn.XLOOKUP(A51,Equipe!H:H,Equipe!B:B,"",0)</f>
        <v>4606694</v>
      </c>
      <c r="C51" s="152">
        <v>45779</v>
      </c>
      <c r="D51" s="152">
        <f>((IF(Tabela1[[#This Row],[Início]]&lt;&gt;"",C51+E51-1,""))*1)*1</f>
        <v>45779</v>
      </c>
      <c r="E51" s="83">
        <v>1</v>
      </c>
      <c r="F51" s="83" t="s">
        <v>14</v>
      </c>
      <c r="G51" s="88" t="s">
        <v>64</v>
      </c>
      <c r="H51" s="83" t="str">
        <f>_xlfn.XLOOKUP(Tabela1[[#This Row],[Matrícula]],Equipe!B:B,Equipe!E:E,"ERRO",0)</f>
        <v>PBAC</v>
      </c>
      <c r="I51" s="83" t="str">
        <f>VLOOKUP(Tabela1[[#This Row],[Matrícula]],Equipe!B:F,5,0)</f>
        <v>Novo</v>
      </c>
    </row>
    <row r="52" spans="1:9" hidden="1">
      <c r="A52" s="83" t="s">
        <v>37</v>
      </c>
      <c r="B52" s="92">
        <f>_xlfn.XLOOKUP(A52,Equipe!H:H,Equipe!B:B,"",0)</f>
        <v>2493288</v>
      </c>
      <c r="C52" s="152">
        <v>45779</v>
      </c>
      <c r="D52" s="152">
        <f>((IF(Tabela1[[#This Row],[Início]]&lt;&gt;"",C52+E52-1,""))*1)*1</f>
        <v>45779</v>
      </c>
      <c r="E52" s="83">
        <v>1</v>
      </c>
      <c r="F52" s="83" t="s">
        <v>14</v>
      </c>
      <c r="G52" s="88" t="s">
        <v>39</v>
      </c>
      <c r="H52" s="83" t="str">
        <f>_xlfn.XLOOKUP(Tabela1[[#This Row],[Matrícula]],Equipe!B:B,Equipe!E:E,"ERRO",0)</f>
        <v>PBAC</v>
      </c>
      <c r="I52" s="83" t="str">
        <f>VLOOKUP(Tabela1[[#This Row],[Matrícula]],Equipe!B:F,5,0)</f>
        <v>Experiente</v>
      </c>
    </row>
    <row r="53" spans="1:9" hidden="1">
      <c r="A53" s="83" t="s">
        <v>65</v>
      </c>
      <c r="B53" s="92">
        <f>_xlfn.XLOOKUP(A53,Equipe!H:H,Equipe!B:B,"",0)</f>
        <v>4606246</v>
      </c>
      <c r="C53" s="152">
        <v>45779</v>
      </c>
      <c r="D53" s="152">
        <f>((IF(Tabela1[[#This Row],[Início]]&lt;&gt;"",C53+E53-1,""))*1)*1</f>
        <v>45779</v>
      </c>
      <c r="E53" s="83">
        <v>1</v>
      </c>
      <c r="F53" s="83" t="s">
        <v>14</v>
      </c>
      <c r="G53" s="88" t="s">
        <v>64</v>
      </c>
      <c r="H53" s="83" t="str">
        <f>_xlfn.XLOOKUP(Tabela1[[#This Row],[Matrícula]],Equipe!B:B,Equipe!E:E,"ERRO",0)</f>
        <v>PBAC</v>
      </c>
      <c r="I53" s="83" t="str">
        <f>VLOOKUP(Tabela1[[#This Row],[Matrícula]],Equipe!B:F,5,0)</f>
        <v>Novo</v>
      </c>
    </row>
    <row r="54" spans="1:9" hidden="1">
      <c r="A54" s="83" t="s">
        <v>66</v>
      </c>
      <c r="B54" s="92" t="str">
        <f>_xlfn.XLOOKUP(A54,Equipe!H:H,Equipe!B:B,"",0)</f>
        <v/>
      </c>
      <c r="C54" s="152">
        <v>45779</v>
      </c>
      <c r="D54" s="152">
        <f>((IF(Tabela1[[#This Row],[Início]]&lt;&gt;"",C54+E54-1,""))*1)*1</f>
        <v>45779</v>
      </c>
      <c r="E54" s="83">
        <v>1</v>
      </c>
      <c r="F54" s="83" t="s">
        <v>14</v>
      </c>
      <c r="G54" s="88" t="s">
        <v>67</v>
      </c>
      <c r="H54" s="83" t="str">
        <f>_xlfn.XLOOKUP(Tabela1[[#This Row],[Matrícula]],Equipe!B:B,Equipe!E:E,"ERRO",0)</f>
        <v>ERRO</v>
      </c>
      <c r="I54" s="83" t="e">
        <f>VLOOKUP(Tabela1[[#This Row],[Matrícula]],Equipe!B:F,5,0)</f>
        <v>#N/A</v>
      </c>
    </row>
    <row r="55" spans="1:9">
      <c r="A55" s="83" t="s">
        <v>36</v>
      </c>
      <c r="B55" s="92">
        <f>_xlfn.XLOOKUP(A55,Equipe!H:H,Equipe!B:B,"",0)</f>
        <v>4608721</v>
      </c>
      <c r="C55" s="152">
        <v>45779</v>
      </c>
      <c r="D55" s="152">
        <f>((IF(Tabela1[[#This Row],[Início]]&lt;&gt;"",C55+E55-1,""))*1)*1</f>
        <v>45783</v>
      </c>
      <c r="E55" s="83">
        <v>5</v>
      </c>
      <c r="F55" s="83" t="s">
        <v>17</v>
      </c>
      <c r="G55" s="88" t="s">
        <v>61</v>
      </c>
      <c r="H55" s="83" t="str">
        <f>_xlfn.XLOOKUP(Tabela1[[#This Row],[Matrícula]],Equipe!B:B,Equipe!E:E,"ERRO",0)</f>
        <v>P80</v>
      </c>
      <c r="I55" s="83" t="str">
        <f>VLOOKUP(Tabela1[[#This Row],[Matrícula]],Equipe!B:F,5,0)</f>
        <v>Novo</v>
      </c>
    </row>
    <row r="56" spans="1:9" hidden="1">
      <c r="A56" s="83" t="s">
        <v>58</v>
      </c>
      <c r="B56" s="92">
        <f>_xlfn.XLOOKUP(A56,Equipe!H:H,Equipe!B:B,"",0)</f>
        <v>9612082</v>
      </c>
      <c r="C56" s="152">
        <v>45784</v>
      </c>
      <c r="D56" s="158">
        <f>((IF(Tabela1[[#This Row],[Início]]&lt;&gt;"",C56+E56-1,""))*1)*1</f>
        <v>45784</v>
      </c>
      <c r="E56" s="83">
        <v>1</v>
      </c>
      <c r="F56" s="83" t="s">
        <v>47</v>
      </c>
      <c r="G56" s="88" t="s">
        <v>68</v>
      </c>
      <c r="H56" s="83" t="str">
        <f>_xlfn.XLOOKUP(Tabela1[[#This Row],[Matrícula]],Equipe!B:B,Equipe!E:E,"ERRO",0)</f>
        <v>P82</v>
      </c>
      <c r="I56" s="83" t="str">
        <f>VLOOKUP(Tabela1[[#This Row],[Matrícula]],Equipe!B:F,5,0)</f>
        <v>Experiente</v>
      </c>
    </row>
    <row r="57" spans="1:9" hidden="1">
      <c r="A57" s="83" t="s">
        <v>40</v>
      </c>
      <c r="B57" s="92">
        <f>_xlfn.XLOOKUP(A57,Equipe!H:H,Equipe!B:B,"",0)</f>
        <v>9724817</v>
      </c>
      <c r="C57" s="152">
        <v>45784</v>
      </c>
      <c r="D57" s="152">
        <f>((IF(Tabela1[[#This Row],[Início]]&lt;&gt;"",C57+E57-1,""))*1)*1</f>
        <v>45785</v>
      </c>
      <c r="E57" s="83">
        <v>2</v>
      </c>
      <c r="F57" s="83" t="s">
        <v>29</v>
      </c>
      <c r="G57" s="88" t="s">
        <v>69</v>
      </c>
      <c r="H57" s="83" t="str">
        <f>_xlfn.XLOOKUP(Tabela1[[#This Row],[Matrícula]],Equipe!B:B,Equipe!E:E,"ERRO",0)</f>
        <v>P82</v>
      </c>
      <c r="I57" s="83" t="str">
        <f>VLOOKUP(Tabela1[[#This Row],[Matrícula]],Equipe!B:F,5,0)</f>
        <v>Experiente</v>
      </c>
    </row>
    <row r="58" spans="1:9">
      <c r="A58" s="83" t="s">
        <v>22</v>
      </c>
      <c r="B58" s="92">
        <f>_xlfn.XLOOKUP(A58,Equipe!H:H,Equipe!B:B,"",0)</f>
        <v>4608389</v>
      </c>
      <c r="C58" s="152">
        <v>45784</v>
      </c>
      <c r="D58" s="152">
        <f>((IF(Tabela1[[#This Row],[Início]]&lt;&gt;"",C58+E58-1,""))*1)*1</f>
        <v>45785</v>
      </c>
      <c r="E58" s="83">
        <v>2</v>
      </c>
      <c r="F58" s="83" t="s">
        <v>29</v>
      </c>
      <c r="G58" s="88" t="s">
        <v>69</v>
      </c>
      <c r="H58" s="83" t="str">
        <f>_xlfn.XLOOKUP(Tabela1[[#This Row],[Matrícula]],Equipe!B:B,Equipe!E:E,"ERRO",0)</f>
        <v>P80</v>
      </c>
      <c r="I58" s="83" t="str">
        <f>VLOOKUP(Tabela1[[#This Row],[Matrícula]],Equipe!B:F,5,0)</f>
        <v>Novo</v>
      </c>
    </row>
    <row r="59" spans="1:9" hidden="1">
      <c r="A59" s="83" t="s">
        <v>70</v>
      </c>
      <c r="B59" s="92">
        <f>_xlfn.XLOOKUP(A59,Equipe!H:H,Equipe!B:B,"",0)</f>
        <v>9618720</v>
      </c>
      <c r="C59" s="152">
        <v>45784</v>
      </c>
      <c r="D59" s="152">
        <f>((IF(Tabela1[[#This Row],[Início]]&lt;&gt;"",C59+E59-1,""))*1)*1</f>
        <v>45784</v>
      </c>
      <c r="E59" s="83">
        <v>1</v>
      </c>
      <c r="F59" s="83" t="s">
        <v>47</v>
      </c>
      <c r="G59" s="88" t="s">
        <v>71</v>
      </c>
      <c r="H59" s="83" t="str">
        <f>_xlfn.XLOOKUP(Tabela1[[#This Row],[Matrícula]],Equipe!B:B,Equipe!E:E,"ERRO",0)</f>
        <v>P82</v>
      </c>
      <c r="I59" s="83" t="str">
        <f>VLOOKUP(Tabela1[[#This Row],[Matrícula]],Equipe!B:F,5,0)</f>
        <v>Experiente</v>
      </c>
    </row>
    <row r="60" spans="1:9" hidden="1">
      <c r="A60" s="87" t="s">
        <v>34</v>
      </c>
      <c r="B60" s="109">
        <f>_xlfn.XLOOKUP(A60,Equipe!H:H,Equipe!B:B,"",0)</f>
        <v>4608474</v>
      </c>
      <c r="C60" s="152">
        <v>45784</v>
      </c>
      <c r="D60" s="152">
        <f>((IF(Tabela1[[#This Row],[Início]]&lt;&gt;"",C60+E60-1,""))*1)*1</f>
        <v>45793</v>
      </c>
      <c r="E60" s="83">
        <v>10</v>
      </c>
      <c r="F60" s="83" t="s">
        <v>14</v>
      </c>
      <c r="G60" s="88" t="s">
        <v>15</v>
      </c>
      <c r="H60" s="83" t="str">
        <f>_xlfn.XLOOKUP(Tabela1[[#This Row],[Matrícula]],Equipe!B:B,Equipe!E:E,"ERRO",0)</f>
        <v>P82</v>
      </c>
      <c r="I60" s="83" t="str">
        <f>VLOOKUP(Tabela1[[#This Row],[Matrícula]],Equipe!B:F,5,0)</f>
        <v>Novo</v>
      </c>
    </row>
    <row r="61" spans="1:9">
      <c r="A61" s="83" t="s">
        <v>36</v>
      </c>
      <c r="B61" s="92">
        <f>_xlfn.XLOOKUP(A61,Equipe!H:H,Equipe!B:B,"",0)</f>
        <v>4608721</v>
      </c>
      <c r="C61" s="152">
        <v>45784</v>
      </c>
      <c r="D61" s="152">
        <f>((IF(Tabela1[[#This Row],[Início]]&lt;&gt;"",C61+E61-1,""))*1)*1</f>
        <v>45793</v>
      </c>
      <c r="E61" s="83">
        <v>10</v>
      </c>
      <c r="F61" s="83" t="s">
        <v>14</v>
      </c>
      <c r="G61" s="88" t="s">
        <v>15</v>
      </c>
      <c r="H61" s="83" t="str">
        <f>_xlfn.XLOOKUP(Tabela1[[#This Row],[Matrícula]],Equipe!B:B,Equipe!E:E,"ERRO",0)</f>
        <v>P80</v>
      </c>
      <c r="I61" s="83" t="str">
        <f>VLOOKUP(Tabela1[[#This Row],[Matrícula]],Equipe!B:F,5,0)</f>
        <v>Novo</v>
      </c>
    </row>
    <row r="62" spans="1:9" hidden="1">
      <c r="A62" s="83" t="s">
        <v>28</v>
      </c>
      <c r="B62" s="92">
        <f>_xlfn.XLOOKUP(A62,Equipe!H:H,Equipe!B:B,"",0)</f>
        <v>2430855</v>
      </c>
      <c r="C62" s="152">
        <v>45784</v>
      </c>
      <c r="D62" s="152">
        <f>((IF(Tabela1[[#This Row],[Início]]&lt;&gt;"",C62+E62-1,""))*1)*1</f>
        <v>45785</v>
      </c>
      <c r="E62" s="83">
        <v>2</v>
      </c>
      <c r="F62" s="83" t="s">
        <v>29</v>
      </c>
      <c r="G62" s="88"/>
      <c r="H62" s="83" t="str">
        <f>_xlfn.XLOOKUP(Tabela1[[#This Row],[Matrícula]],Equipe!B:B,Equipe!E:E,"ERRO",0)</f>
        <v>PBAC</v>
      </c>
      <c r="I62" s="83" t="str">
        <f>VLOOKUP(Tabela1[[#This Row],[Matrícula]],Equipe!B:F,5,0)</f>
        <v>Experiente</v>
      </c>
    </row>
    <row r="63" spans="1:9" hidden="1">
      <c r="A63" s="83" t="s">
        <v>30</v>
      </c>
      <c r="B63" s="92">
        <f>_xlfn.XLOOKUP(A63,Equipe!H:H,Equipe!B:B,"",0)</f>
        <v>9634180</v>
      </c>
      <c r="C63" s="152">
        <v>45784</v>
      </c>
      <c r="D63" s="152">
        <f>((IF(Tabela1[[#This Row],[Início]]&lt;&gt;"",C63+E63-1,""))*1)*1</f>
        <v>45785</v>
      </c>
      <c r="E63" s="83">
        <v>2</v>
      </c>
      <c r="F63" s="83" t="s">
        <v>29</v>
      </c>
      <c r="G63" s="88" t="s">
        <v>69</v>
      </c>
      <c r="H63" s="83" t="str">
        <f>_xlfn.XLOOKUP(Tabela1[[#This Row],[Matrícula]],Equipe!B:B,Equipe!E:E,"ERRO",0)</f>
        <v>P83</v>
      </c>
      <c r="I63" s="83" t="str">
        <f>VLOOKUP(Tabela1[[#This Row],[Matrícula]],Equipe!B:F,5,0)</f>
        <v>Experiente</v>
      </c>
    </row>
    <row r="64" spans="1:9">
      <c r="A64" s="83" t="s">
        <v>62</v>
      </c>
      <c r="B64" s="92">
        <f>_xlfn.XLOOKUP(A64,Equipe!H:H,Equipe!B:B,"",0)</f>
        <v>9886449</v>
      </c>
      <c r="C64" s="152">
        <v>45785</v>
      </c>
      <c r="D64" s="152">
        <f>((IF(Tabela1[[#This Row],[Início]]&lt;&gt;"",C64+E64-1,""))*1)*1</f>
        <v>45786</v>
      </c>
      <c r="E64" s="83">
        <v>2</v>
      </c>
      <c r="F64" s="83" t="s">
        <v>14</v>
      </c>
      <c r="G64" s="88" t="s">
        <v>72</v>
      </c>
      <c r="H64" s="83" t="str">
        <f>_xlfn.XLOOKUP(Tabela1[[#This Row],[Matrícula]],Equipe!B:B,Equipe!E:E,"ERRO",0)</f>
        <v>P80</v>
      </c>
      <c r="I64" s="83" t="str">
        <f>VLOOKUP(Tabela1[[#This Row],[Matrícula]],Equipe!B:F,5,0)</f>
        <v>Experiente</v>
      </c>
    </row>
    <row r="65" spans="1:9" hidden="1">
      <c r="A65" s="83" t="s">
        <v>37</v>
      </c>
      <c r="B65" s="92">
        <f>_xlfn.XLOOKUP(A65,Equipe!H:H,Equipe!B:B,"",0)</f>
        <v>2493288</v>
      </c>
      <c r="C65" s="152">
        <v>45785</v>
      </c>
      <c r="D65" s="152">
        <f>((IF(Tabela1[[#This Row],[Início]]&lt;&gt;"",C65+E65-1,""))*1)*1</f>
        <v>45785</v>
      </c>
      <c r="E65" s="83">
        <v>1</v>
      </c>
      <c r="F65" s="83" t="s">
        <v>29</v>
      </c>
      <c r="G65" s="88" t="s">
        <v>73</v>
      </c>
      <c r="H65" s="83" t="str">
        <f>_xlfn.XLOOKUP(Tabela1[[#This Row],[Matrícula]],Equipe!B:B,Equipe!E:E,"ERRO",0)</f>
        <v>PBAC</v>
      </c>
      <c r="I65" s="83" t="str">
        <f>VLOOKUP(Tabela1[[#This Row],[Matrícula]],Equipe!B:F,5,0)</f>
        <v>Experiente</v>
      </c>
    </row>
    <row r="66" spans="1:9" ht="29.1" hidden="1">
      <c r="A66" s="83" t="s">
        <v>56</v>
      </c>
      <c r="B66" s="92">
        <f>_xlfn.XLOOKUP(A66,Equipe!H:H,Equipe!B:B,"",0)</f>
        <v>2477135</v>
      </c>
      <c r="C66" s="152">
        <v>45791</v>
      </c>
      <c r="D66" s="180">
        <f>((IF(Tabela1[[#This Row],[Início]]&lt;&gt;"",C66+E66-1,""))*1)*1</f>
        <v>45792</v>
      </c>
      <c r="E66" s="83">
        <v>2</v>
      </c>
      <c r="F66" s="83" t="s">
        <v>11</v>
      </c>
      <c r="G66" s="88" t="s">
        <v>74</v>
      </c>
      <c r="H66" s="83" t="str">
        <f>_xlfn.XLOOKUP(Tabela1[[#This Row],[Matrícula]],Equipe!B:B,Equipe!E:E,"ERRO",0)</f>
        <v>P83</v>
      </c>
      <c r="I66" s="83" t="str">
        <f>VLOOKUP(Tabela1[[#This Row],[Matrícula]],Equipe!B:F,5,0)</f>
        <v>Experiente</v>
      </c>
    </row>
    <row r="67" spans="1:9" hidden="1">
      <c r="A67" s="83" t="s">
        <v>40</v>
      </c>
      <c r="B67" s="92">
        <f>_xlfn.XLOOKUP(A67,Equipe!H:H,Equipe!B:B,"",0)</f>
        <v>9724817</v>
      </c>
      <c r="C67" s="152">
        <v>45791</v>
      </c>
      <c r="D67" s="152">
        <f>((IF(Tabela1[[#This Row],[Início]]&lt;&gt;"",C67+E67-1,""))*1)*1</f>
        <v>45791</v>
      </c>
      <c r="E67" s="83">
        <v>1</v>
      </c>
      <c r="F67" s="83" t="s">
        <v>47</v>
      </c>
      <c r="G67" s="88" t="s">
        <v>75</v>
      </c>
      <c r="H67" s="83" t="str">
        <f>_xlfn.XLOOKUP(Tabela1[[#This Row],[Matrícula]],Equipe!B:B,Equipe!E:E,"ERRO",0)</f>
        <v>P82</v>
      </c>
      <c r="I67" s="83" t="str">
        <f>VLOOKUP(Tabela1[[#This Row],[Matrícula]],Equipe!B:F,5,0)</f>
        <v>Experiente</v>
      </c>
    </row>
    <row r="68" spans="1:9">
      <c r="A68" s="83" t="s">
        <v>27</v>
      </c>
      <c r="B68" s="92">
        <f>_xlfn.XLOOKUP(A68,Equipe!H:H,Equipe!B:B,"",0)</f>
        <v>4608685</v>
      </c>
      <c r="C68" s="152">
        <v>45791</v>
      </c>
      <c r="D68" s="152">
        <f>((IF(Tabela1[[#This Row],[Início]]&lt;&gt;"",C68+E68-1,""))*1)*1</f>
        <v>45791</v>
      </c>
      <c r="E68" s="83">
        <v>1</v>
      </c>
      <c r="F68" s="87" t="s">
        <v>47</v>
      </c>
      <c r="G68" s="88"/>
      <c r="H68" s="83" t="str">
        <f>_xlfn.XLOOKUP(Tabela1[[#This Row],[Matrícula]],Equipe!B:B,Equipe!E:E,"ERRO",0)</f>
        <v>P80</v>
      </c>
      <c r="I68" s="83" t="str">
        <f>VLOOKUP(Tabela1[[#This Row],[Matrícula]],Equipe!B:F,5,0)</f>
        <v>Novo</v>
      </c>
    </row>
    <row r="69" spans="1:9">
      <c r="A69" s="83" t="s">
        <v>44</v>
      </c>
      <c r="B69" s="92">
        <f>_xlfn.XLOOKUP(A69,Equipe!H:H,Equipe!B:B,"",0)</f>
        <v>1381625</v>
      </c>
      <c r="C69" s="152">
        <v>45791</v>
      </c>
      <c r="D69" s="152">
        <f>((IF(Tabela1[[#This Row],[Início]]&lt;&gt;"",C69+E69-1,""))*1)*1</f>
        <v>45791</v>
      </c>
      <c r="E69" s="83">
        <v>1</v>
      </c>
      <c r="F69" s="83" t="s">
        <v>47</v>
      </c>
      <c r="G69" s="88" t="s">
        <v>76</v>
      </c>
      <c r="H69" s="83" t="str">
        <f>_xlfn.XLOOKUP(Tabela1[[#This Row],[Matrícula]],Equipe!B:B,Equipe!E:E,"ERRO",0)</f>
        <v>P80</v>
      </c>
      <c r="I69" s="83" t="str">
        <f>VLOOKUP(Tabela1[[#This Row],[Matrícula]],Equipe!B:F,5,0)</f>
        <v>Experiente</v>
      </c>
    </row>
    <row r="70" spans="1:9" hidden="1">
      <c r="A70" s="83" t="s">
        <v>46</v>
      </c>
      <c r="B70" s="92">
        <f>_xlfn.XLOOKUP(A70,Equipe!H:H,Equipe!B:B,"",0)</f>
        <v>4608411</v>
      </c>
      <c r="C70" s="152">
        <v>45796</v>
      </c>
      <c r="D70" s="152">
        <f>((IF(Tabela1[[#This Row],[Início]]&lt;&gt;"",C70+E70-1,""))*1)*1</f>
        <v>45808</v>
      </c>
      <c r="E70" s="83">
        <v>13</v>
      </c>
      <c r="F70" s="83" t="s">
        <v>17</v>
      </c>
      <c r="G70" s="88" t="s">
        <v>23</v>
      </c>
      <c r="H70" s="83" t="str">
        <f>_xlfn.XLOOKUP(Tabela1[[#This Row],[Matrícula]],Equipe!B:B,Equipe!E:E,"ERRO",0)</f>
        <v>P83</v>
      </c>
      <c r="I70" s="83" t="str">
        <f>VLOOKUP(Tabela1[[#This Row],[Matrícula]],Equipe!B:F,5,0)</f>
        <v>Novo</v>
      </c>
    </row>
    <row r="71" spans="1:9" hidden="1">
      <c r="A71" s="83" t="s">
        <v>20</v>
      </c>
      <c r="B71" s="92">
        <f>_xlfn.XLOOKUP(A71,Equipe!H:H,Equipe!B:B,"",0)</f>
        <v>4608559</v>
      </c>
      <c r="C71" s="152">
        <v>45797</v>
      </c>
      <c r="D71" s="152">
        <v>45797</v>
      </c>
      <c r="E71" s="83">
        <v>1</v>
      </c>
      <c r="F71" s="83" t="s">
        <v>14</v>
      </c>
      <c r="G71" s="88"/>
      <c r="H71" s="83" t="str">
        <f>_xlfn.XLOOKUP(Tabela1[[#This Row],[Matrícula]],Equipe!B:B,Equipe!E:E,"ERRO",0)</f>
        <v>P83</v>
      </c>
      <c r="I71" s="83" t="str">
        <f>VLOOKUP(Tabela1[[#This Row],[Matrícula]],Equipe!B:F,5,0)</f>
        <v>Novo</v>
      </c>
    </row>
    <row r="72" spans="1:9" hidden="1">
      <c r="A72" s="83" t="s">
        <v>58</v>
      </c>
      <c r="B72" s="92">
        <f>_xlfn.XLOOKUP(A72,Equipe!H:H,Equipe!B:B,"",0)</f>
        <v>9612082</v>
      </c>
      <c r="C72" s="152">
        <v>45798</v>
      </c>
      <c r="D72" s="158">
        <f>((IF(Tabela1[[#This Row],[Início]]&lt;&gt;"",C72+E72-1,""))*1)*1</f>
        <v>45798</v>
      </c>
      <c r="E72" s="83">
        <v>1</v>
      </c>
      <c r="F72" s="83" t="s">
        <v>47</v>
      </c>
      <c r="G72" s="88" t="s">
        <v>77</v>
      </c>
      <c r="H72" s="83" t="str">
        <f>_xlfn.XLOOKUP(Tabela1[[#This Row],[Matrícula]],Equipe!B:B,Equipe!E:E,"ERRO",0)</f>
        <v>P82</v>
      </c>
      <c r="I72" s="83" t="str">
        <f>VLOOKUP(Tabela1[[#This Row],[Matrícula]],Equipe!B:F,5,0)</f>
        <v>Experiente</v>
      </c>
    </row>
    <row r="73" spans="1:9">
      <c r="A73" s="83" t="s">
        <v>22</v>
      </c>
      <c r="B73" s="92">
        <f>_xlfn.XLOOKUP(A73,Equipe!H:H,Equipe!B:B,"",0)</f>
        <v>4608389</v>
      </c>
      <c r="C73" s="152">
        <v>45798</v>
      </c>
      <c r="D73" s="152">
        <f>((IF(Tabela1[[#This Row],[Início]]&lt;&gt;"",C73+E73-1,""))*1)*1</f>
        <v>45798</v>
      </c>
      <c r="E73" s="83">
        <v>1</v>
      </c>
      <c r="F73" s="83" t="s">
        <v>47</v>
      </c>
      <c r="G73" s="88" t="s">
        <v>78</v>
      </c>
      <c r="H73" s="83" t="str">
        <f>_xlfn.XLOOKUP(Tabela1[[#This Row],[Matrícula]],Equipe!B:B,Equipe!E:E,"ERRO",0)</f>
        <v>P80</v>
      </c>
      <c r="I73" s="83" t="str">
        <f>VLOOKUP(Tabela1[[#This Row],[Matrícula]],Equipe!B:F,5,0)</f>
        <v>Novo</v>
      </c>
    </row>
    <row r="74" spans="1:9" hidden="1">
      <c r="A74" s="83" t="s">
        <v>20</v>
      </c>
      <c r="B74" s="92">
        <f>_xlfn.XLOOKUP(A74,Equipe!H:H,Equipe!B:B,"",0)</f>
        <v>4608559</v>
      </c>
      <c r="C74" s="152">
        <v>45798</v>
      </c>
      <c r="D74" s="152">
        <f>((IF(Tabela1[[#This Row],[Início]]&lt;&gt;"",C74+E74-1,""))*1)*1</f>
        <v>45798</v>
      </c>
      <c r="E74" s="83">
        <v>1</v>
      </c>
      <c r="F74" s="83" t="s">
        <v>47</v>
      </c>
      <c r="G74" s="88"/>
      <c r="H74" s="83" t="str">
        <f>_xlfn.XLOOKUP(Tabela1[[#This Row],[Matrícula]],Equipe!B:B,Equipe!E:E,"ERRO",0)</f>
        <v>P83</v>
      </c>
      <c r="I74" s="83" t="str">
        <f>VLOOKUP(Tabela1[[#This Row],[Matrícula]],Equipe!B:F,5,0)</f>
        <v>Novo</v>
      </c>
    </row>
    <row r="75" spans="1:9">
      <c r="A75" s="83" t="s">
        <v>38</v>
      </c>
      <c r="B75" s="92">
        <f>_xlfn.XLOOKUP(A75,Equipe!H:H,Equipe!B:B,"",0)</f>
        <v>1385894</v>
      </c>
      <c r="C75" s="152">
        <v>45798</v>
      </c>
      <c r="D75" s="152">
        <f>((IF(Tabela1[[#This Row],[Início]]&lt;&gt;"",C75+E75-1,""))*1)*1</f>
        <v>45798</v>
      </c>
      <c r="E75" s="83">
        <v>1</v>
      </c>
      <c r="F75" s="83" t="s">
        <v>47</v>
      </c>
      <c r="G75" s="88" t="s">
        <v>79</v>
      </c>
      <c r="H75" s="83" t="str">
        <f>_xlfn.XLOOKUP(Tabela1[[#This Row],[Matrícula]],Equipe!B:B,Equipe!E:E,"ERRO",0)</f>
        <v>P80</v>
      </c>
      <c r="I75" s="83" t="str">
        <f>VLOOKUP(Tabela1[[#This Row],[Matrícula]],Equipe!B:F,5,0)</f>
        <v>Experiente</v>
      </c>
    </row>
    <row r="76" spans="1:9" hidden="1">
      <c r="A76" s="87" t="s">
        <v>65</v>
      </c>
      <c r="B76" s="92">
        <f>_xlfn.XLOOKUP(A76,Equipe!H:H,Equipe!B:B,"",0)</f>
        <v>4606246</v>
      </c>
      <c r="C76" s="152">
        <v>45798</v>
      </c>
      <c r="D76" s="152">
        <f>((IF(Tabela1[[#This Row],[Início]]&lt;&gt;"",C76+E76-1,""))*1)*1</f>
        <v>45799</v>
      </c>
      <c r="E76" s="83">
        <v>2</v>
      </c>
      <c r="F76" s="83" t="s">
        <v>14</v>
      </c>
      <c r="G76" s="88" t="s">
        <v>80</v>
      </c>
      <c r="H76" s="83" t="str">
        <f>_xlfn.XLOOKUP(Tabela1[[#This Row],[Matrícula]],Equipe!B:B,Equipe!E:E,"ERRO",0)</f>
        <v>PBAC</v>
      </c>
      <c r="I76" s="83" t="str">
        <f>VLOOKUP(Tabela1[[#This Row],[Matrícula]],Equipe!B:F,5,0)</f>
        <v>Novo</v>
      </c>
    </row>
    <row r="77" spans="1:9" hidden="1">
      <c r="A77" s="83" t="s">
        <v>34</v>
      </c>
      <c r="B77" s="92">
        <f>_xlfn.XLOOKUP(A77,Equipe!H:H,Equipe!B:B,"",0)</f>
        <v>4608474</v>
      </c>
      <c r="C77" s="152">
        <v>45804</v>
      </c>
      <c r="D77" s="152">
        <f>((IF(Tabela1[[#This Row],[Início]]&lt;&gt;"",C77+E77-1,""))*1)*1</f>
        <v>45805</v>
      </c>
      <c r="E77" s="83">
        <v>2</v>
      </c>
      <c r="F77" s="83" t="s">
        <v>11</v>
      </c>
      <c r="G77" s="88" t="s">
        <v>81</v>
      </c>
      <c r="H77" s="83" t="str">
        <f>_xlfn.XLOOKUP(Tabela1[[#This Row],[Matrícula]],Equipe!B:B,Equipe!E:E,"ERRO",0)</f>
        <v>P82</v>
      </c>
      <c r="I77" s="83" t="str">
        <f>VLOOKUP(Tabela1[[#This Row],[Matrícula]],Equipe!B:F,5,0)</f>
        <v>Novo</v>
      </c>
    </row>
    <row r="78" spans="1:9" hidden="1">
      <c r="A78" s="83" t="s">
        <v>50</v>
      </c>
      <c r="B78" s="92">
        <f>_xlfn.XLOOKUP(A78,Equipe!H:H,Equipe!B:B,"",0)</f>
        <v>4606694</v>
      </c>
      <c r="C78" s="152">
        <v>45804</v>
      </c>
      <c r="D78" s="152">
        <f>((IF(Tabela1[[#This Row],[Início]]&lt;&gt;"",C78+E78-1,""))*1)*1</f>
        <v>45805</v>
      </c>
      <c r="E78" s="83">
        <v>2</v>
      </c>
      <c r="F78" s="83" t="s">
        <v>11</v>
      </c>
      <c r="G78" s="88" t="s">
        <v>82</v>
      </c>
      <c r="H78" s="83" t="str">
        <f>_xlfn.XLOOKUP(Tabela1[[#This Row],[Matrícula]],Equipe!B:B,Equipe!E:E,"ERRO",0)</f>
        <v>PBAC</v>
      </c>
      <c r="I78" s="83" t="str">
        <f>VLOOKUP(Tabela1[[#This Row],[Matrícula]],Equipe!B:F,5,0)</f>
        <v>Novo</v>
      </c>
    </row>
    <row r="79" spans="1:9" hidden="1">
      <c r="A79" s="87" t="s">
        <v>65</v>
      </c>
      <c r="B79" s="92">
        <f>_xlfn.XLOOKUP(A79,Equipe!H:H,Equipe!B:B,"",0)</f>
        <v>4606246</v>
      </c>
      <c r="C79" s="152">
        <v>45804</v>
      </c>
      <c r="D79" s="152">
        <f>((IF(Tabela1[[#This Row],[Início]]&lt;&gt;"",C79+E79-1,""))*1)*1</f>
        <v>45805</v>
      </c>
      <c r="E79" s="83">
        <v>2</v>
      </c>
      <c r="F79" s="83" t="s">
        <v>11</v>
      </c>
      <c r="G79" s="88" t="s">
        <v>81</v>
      </c>
      <c r="H79" s="83" t="str">
        <f>_xlfn.XLOOKUP(Tabela1[[#This Row],[Matrícula]],Equipe!B:B,Equipe!E:E,"ERRO",0)</f>
        <v>PBAC</v>
      </c>
      <c r="I79" s="83" t="str">
        <f>VLOOKUP(Tabela1[[#This Row],[Matrícula]],Equipe!B:F,5,0)</f>
        <v>Novo</v>
      </c>
    </row>
    <row r="80" spans="1:9" hidden="1">
      <c r="A80" s="83" t="s">
        <v>66</v>
      </c>
      <c r="B80" s="92" t="str">
        <f>_xlfn.XLOOKUP(A80,Equipe!H:H,Equipe!B:B,"",0)</f>
        <v/>
      </c>
      <c r="C80" s="152">
        <v>45804</v>
      </c>
      <c r="D80" s="152">
        <f>((IF(Tabela1[[#This Row],[Início]]&lt;&gt;"",C80+E80-1,""))*1)*1</f>
        <v>45805</v>
      </c>
      <c r="E80" s="83">
        <v>2</v>
      </c>
      <c r="F80" s="83" t="s">
        <v>11</v>
      </c>
      <c r="G80" s="88" t="s">
        <v>82</v>
      </c>
      <c r="H80" s="83" t="str">
        <f>_xlfn.XLOOKUP(Tabela1[[#This Row],[Matrícula]],Equipe!B:B,Equipe!E:E,"ERRO",0)</f>
        <v>ERRO</v>
      </c>
      <c r="I80" s="83" t="e">
        <f>VLOOKUP(Tabela1[[#This Row],[Matrícula]],Equipe!B:F,5,0)</f>
        <v>#N/A</v>
      </c>
    </row>
    <row r="81" spans="1:9" hidden="1">
      <c r="A81" s="83" t="s">
        <v>53</v>
      </c>
      <c r="B81" s="92">
        <f>_xlfn.XLOOKUP(A81,Equipe!H:H,Equipe!B:B,"",0)</f>
        <v>4608780</v>
      </c>
      <c r="C81" s="152">
        <v>45804</v>
      </c>
      <c r="D81" s="152">
        <f>((IF(Tabela1[[#This Row],[Início]]&lt;&gt;"",C81+E81-1,""))*1)*1</f>
        <v>45805</v>
      </c>
      <c r="E81" s="83">
        <v>2</v>
      </c>
      <c r="F81" s="83" t="s">
        <v>11</v>
      </c>
      <c r="G81" s="88" t="s">
        <v>82</v>
      </c>
      <c r="H81" s="83" t="str">
        <f>_xlfn.XLOOKUP(Tabela1[[#This Row],[Matrícula]],Equipe!B:B,Equipe!E:E,"ERRO",0)</f>
        <v>P83</v>
      </c>
      <c r="I81" s="83" t="str">
        <f>VLOOKUP(Tabela1[[#This Row],[Matrícula]],Equipe!B:F,5,0)</f>
        <v>Novo</v>
      </c>
    </row>
    <row r="82" spans="1:9">
      <c r="A82" s="83" t="s">
        <v>35</v>
      </c>
      <c r="B82" s="92">
        <f>_xlfn.XLOOKUP(A82,Equipe!H:H,Equipe!B:B,"",0)</f>
        <v>9842940</v>
      </c>
      <c r="C82" s="152">
        <v>45805</v>
      </c>
      <c r="D82" s="152">
        <f>((IF(Tabela1[[#This Row],[Início]]&lt;&gt;"",C82+E82-1,""))*1)*1</f>
        <v>45819</v>
      </c>
      <c r="E82" s="83">
        <v>15</v>
      </c>
      <c r="F82" s="83" t="s">
        <v>17</v>
      </c>
      <c r="G82" s="88" t="s">
        <v>83</v>
      </c>
      <c r="H82" s="83" t="str">
        <f>_xlfn.XLOOKUP(Tabela1[[#This Row],[Matrícula]],Equipe!B:B,Equipe!E:E,"ERRO",0)</f>
        <v>P80</v>
      </c>
      <c r="I82" s="83" t="str">
        <f>VLOOKUP(Tabela1[[#This Row],[Matrícula]],Equipe!B:F,5,0)</f>
        <v>Novo</v>
      </c>
    </row>
    <row r="83" spans="1:9" hidden="1">
      <c r="A83" s="83" t="s">
        <v>46</v>
      </c>
      <c r="B83" s="92">
        <f>_xlfn.XLOOKUP(A83,Equipe!H:H,Equipe!B:B,"",0)</f>
        <v>4608411</v>
      </c>
      <c r="C83" s="152">
        <v>45809</v>
      </c>
      <c r="D83" s="152">
        <f>((IF(Tabela1[[#This Row],[Início]]&lt;&gt;"",C83+E83-1,""))*1)*1</f>
        <v>45838</v>
      </c>
      <c r="E83" s="83">
        <v>30</v>
      </c>
      <c r="F83" s="83" t="s">
        <v>14</v>
      </c>
      <c r="G83" s="88" t="s">
        <v>15</v>
      </c>
      <c r="H83" s="83" t="str">
        <f>_xlfn.XLOOKUP(Tabela1[[#This Row],[Matrícula]],Equipe!B:B,Equipe!E:E,"ERRO",0)</f>
        <v>P83</v>
      </c>
      <c r="I83" s="83" t="str">
        <f>VLOOKUP(Tabela1[[#This Row],[Matrícula]],Equipe!B:F,5,0)</f>
        <v>Novo</v>
      </c>
    </row>
    <row r="84" spans="1:9">
      <c r="A84" s="83" t="s">
        <v>27</v>
      </c>
      <c r="B84" s="92">
        <f>_xlfn.XLOOKUP(A84,Equipe!H:H,Equipe!B:B,"",0)</f>
        <v>4608685</v>
      </c>
      <c r="C84" s="152">
        <v>45809</v>
      </c>
      <c r="D84" s="152">
        <f>((IF(Tabela1[[#This Row],[Início]]&lt;&gt;"",C84+E84-1,""))*1)*1</f>
        <v>45821</v>
      </c>
      <c r="E84" s="83">
        <v>13</v>
      </c>
      <c r="F84" s="83" t="s">
        <v>17</v>
      </c>
      <c r="G84" s="88" t="s">
        <v>61</v>
      </c>
      <c r="H84" s="83" t="str">
        <f>_xlfn.XLOOKUP(Tabela1[[#This Row],[Matrícula]],Equipe!B:B,Equipe!E:E,"ERRO",0)</f>
        <v>P80</v>
      </c>
      <c r="I84" s="83" t="str">
        <f>VLOOKUP(Tabela1[[#This Row],[Matrícula]],Equipe!B:F,5,0)</f>
        <v>Novo</v>
      </c>
    </row>
    <row r="85" spans="1:9" hidden="1">
      <c r="A85" s="83" t="s">
        <v>37</v>
      </c>
      <c r="B85" s="92">
        <f>_xlfn.XLOOKUP(A85,Equipe!H:H,Equipe!B:B,"",0)</f>
        <v>2493288</v>
      </c>
      <c r="C85" s="152">
        <v>45810</v>
      </c>
      <c r="D85" s="152">
        <f>((IF(Tabela1[[#This Row],[Início]]&lt;&gt;"",C85+E85-1,""))*1)*1</f>
        <v>45814</v>
      </c>
      <c r="E85" s="83">
        <v>5</v>
      </c>
      <c r="F85" s="83" t="s">
        <v>11</v>
      </c>
      <c r="G85" s="88" t="s">
        <v>84</v>
      </c>
      <c r="H85" s="83" t="str">
        <f>_xlfn.XLOOKUP(Tabela1[[#This Row],[Matrícula]],Equipe!B:B,Equipe!E:E,"ERRO",0)</f>
        <v>PBAC</v>
      </c>
      <c r="I85" s="83" t="str">
        <f>VLOOKUP(Tabela1[[#This Row],[Matrícula]],Equipe!B:F,5,0)</f>
        <v>Experiente</v>
      </c>
    </row>
    <row r="86" spans="1:9" hidden="1">
      <c r="A86" s="83" t="s">
        <v>40</v>
      </c>
      <c r="B86" s="92">
        <f>_xlfn.XLOOKUP(A86,Equipe!H:H,Equipe!B:B,"",0)</f>
        <v>9724817</v>
      </c>
      <c r="C86" s="152">
        <v>45814</v>
      </c>
      <c r="D86" s="152">
        <f>((IF(Tabela1[[#This Row],[Início]]&lt;&gt;"",C86+E86-1,""))*1)*1</f>
        <v>45814</v>
      </c>
      <c r="E86" s="83">
        <v>1</v>
      </c>
      <c r="F86" s="83" t="s">
        <v>11</v>
      </c>
      <c r="G86" s="88" t="s">
        <v>85</v>
      </c>
      <c r="H86" s="83" t="str">
        <f>_xlfn.XLOOKUP(Tabela1[[#This Row],[Matrícula]],Equipe!B:B,Equipe!E:E,"ERRO",0)</f>
        <v>P82</v>
      </c>
      <c r="I86" s="83" t="str">
        <f>VLOOKUP(Tabela1[[#This Row],[Matrícula]],Equipe!B:F,5,0)</f>
        <v>Experiente</v>
      </c>
    </row>
    <row r="87" spans="1:9" hidden="1">
      <c r="A87" s="83" t="s">
        <v>57</v>
      </c>
      <c r="B87" s="92">
        <f>_xlfn.XLOOKUP(A87,Equipe!H:H,Equipe!B:B,"",0)</f>
        <v>4608684</v>
      </c>
      <c r="C87" s="152">
        <v>45816</v>
      </c>
      <c r="D87" s="152">
        <f>((IF(Tabela1[[#This Row],[Início]]&lt;&gt;"",C87+E87-1,""))*1)*1</f>
        <v>45821</v>
      </c>
      <c r="E87" s="83">
        <v>6</v>
      </c>
      <c r="F87" s="83" t="s">
        <v>17</v>
      </c>
      <c r="G87" s="88" t="s">
        <v>61</v>
      </c>
      <c r="H87" s="83" t="str">
        <f>_xlfn.XLOOKUP(Tabela1[[#This Row],[Matrícula]],Equipe!B:B,Equipe!E:E,"ERRO",0)</f>
        <v>P82</v>
      </c>
      <c r="I87" s="83" t="str">
        <f>VLOOKUP(Tabela1[[#This Row],[Matrícula]],Equipe!B:F,5,0)</f>
        <v>Novo</v>
      </c>
    </row>
    <row r="88" spans="1:9" hidden="1">
      <c r="A88" s="83" t="s">
        <v>16</v>
      </c>
      <c r="B88" s="92">
        <f>_xlfn.XLOOKUP(A88,Equipe!H:H,Equipe!B:B,"",0)</f>
        <v>4608544</v>
      </c>
      <c r="C88" s="152">
        <v>45816</v>
      </c>
      <c r="D88" s="152">
        <f>((IF(Tabela1[[#This Row],[Início]]&lt;&gt;"",C88+E88-1,""))*1)*1</f>
        <v>45821</v>
      </c>
      <c r="E88" s="83">
        <v>6</v>
      </c>
      <c r="F88" s="83" t="s">
        <v>17</v>
      </c>
      <c r="G88" s="88" t="s">
        <v>61</v>
      </c>
      <c r="H88" s="83" t="str">
        <f>_xlfn.XLOOKUP(Tabela1[[#This Row],[Matrícula]],Equipe!B:B,Equipe!E:E,"ERRO",0)</f>
        <v>P82</v>
      </c>
      <c r="I88" s="83" t="str">
        <f>VLOOKUP(Tabela1[[#This Row],[Matrícula]],Equipe!B:F,5,0)</f>
        <v>Novo</v>
      </c>
    </row>
    <row r="89" spans="1:9" hidden="1">
      <c r="A89" s="83" t="s">
        <v>53</v>
      </c>
      <c r="B89" s="92">
        <f>_xlfn.XLOOKUP(A89,Equipe!H:H,Equipe!B:B,"",0)</f>
        <v>4608780</v>
      </c>
      <c r="C89" s="152">
        <v>45817</v>
      </c>
      <c r="D89" s="152">
        <f>((IF(Tabela1[[#This Row],[Início]]&lt;&gt;"",C89+E89-1,""))*1)*1</f>
        <v>45821</v>
      </c>
      <c r="E89" s="83">
        <v>5</v>
      </c>
      <c r="F89" s="83" t="s">
        <v>11</v>
      </c>
      <c r="G89" s="88" t="s">
        <v>86</v>
      </c>
      <c r="H89" s="83" t="str">
        <f>_xlfn.XLOOKUP(Tabela1[[#This Row],[Matrícula]],Equipe!B:B,Equipe!E:E,"ERRO",0)</f>
        <v>P83</v>
      </c>
      <c r="I89" s="83" t="str">
        <f>VLOOKUP(Tabela1[[#This Row],[Matrícula]],Equipe!B:F,5,0)</f>
        <v>Novo</v>
      </c>
    </row>
    <row r="90" spans="1:9" hidden="1">
      <c r="A90" s="83" t="s">
        <v>87</v>
      </c>
      <c r="B90" s="92">
        <f>_xlfn.XLOOKUP(A90,Equipe!H:H,Equipe!B:B,"",0)</f>
        <v>2475130</v>
      </c>
      <c r="C90" s="152">
        <v>45817</v>
      </c>
      <c r="D90" s="152">
        <f>((IF(Tabela1[[#This Row],[Início]]&lt;&gt;"",C90+E90-1,""))*1)*1</f>
        <v>45821</v>
      </c>
      <c r="E90" s="83">
        <v>5</v>
      </c>
      <c r="F90" s="83" t="s">
        <v>29</v>
      </c>
      <c r="G90" s="88" t="s">
        <v>88</v>
      </c>
      <c r="H90" s="83" t="str">
        <f>_xlfn.XLOOKUP(Tabela1[[#This Row],[Matrícula]],Equipe!B:B,Equipe!E:E,"ERRO",0)</f>
        <v>P83</v>
      </c>
      <c r="I90" s="83" t="str">
        <f>VLOOKUP(Tabela1[[#This Row],[Matrícula]],Equipe!B:F,5,0)</f>
        <v>Experiente</v>
      </c>
    </row>
    <row r="91" spans="1:9">
      <c r="A91" s="83" t="s">
        <v>36</v>
      </c>
      <c r="B91" s="92">
        <f>_xlfn.XLOOKUP(A91,Equipe!H:H,Equipe!B:B,"",0)</f>
        <v>4608721</v>
      </c>
      <c r="C91" s="152">
        <v>45817</v>
      </c>
      <c r="D91" s="152">
        <f>((IF(Tabela1[[#This Row],[Início]]&lt;&gt;"",C91+E91-1,""))*1)*1</f>
        <v>45821</v>
      </c>
      <c r="E91" s="83">
        <v>5</v>
      </c>
      <c r="F91" s="83" t="s">
        <v>11</v>
      </c>
      <c r="G91" s="88" t="s">
        <v>89</v>
      </c>
      <c r="H91" s="83" t="str">
        <f>_xlfn.XLOOKUP(Tabela1[[#This Row],[Matrícula]],Equipe!B:B,Equipe!E:E,"ERRO",0)</f>
        <v>P80</v>
      </c>
      <c r="I91" s="83" t="str">
        <f>VLOOKUP(Tabela1[[#This Row],[Matrícula]],Equipe!B:F,5,0)</f>
        <v>Novo</v>
      </c>
    </row>
    <row r="92" spans="1:9">
      <c r="A92" s="83" t="s">
        <v>44</v>
      </c>
      <c r="B92" s="92">
        <f>_xlfn.XLOOKUP(A92,Equipe!H:H,Equipe!B:B,"",0)</f>
        <v>1381625</v>
      </c>
      <c r="C92" s="152">
        <v>45817</v>
      </c>
      <c r="D92" s="152">
        <f>((IF(Tabela1[[#This Row],[Início]]&lt;&gt;"",C92+E92-1,""))*1)*1</f>
        <v>45821</v>
      </c>
      <c r="E92" s="83">
        <v>5</v>
      </c>
      <c r="F92" s="83" t="s">
        <v>11</v>
      </c>
      <c r="G92" s="88" t="s">
        <v>89</v>
      </c>
      <c r="H92" s="83" t="str">
        <f>_xlfn.XLOOKUP(Tabela1[[#This Row],[Matrícula]],Equipe!B:B,Equipe!E:E,"ERRO",0)</f>
        <v>P80</v>
      </c>
      <c r="I92" s="83" t="str">
        <f>VLOOKUP(Tabela1[[#This Row],[Matrícula]],Equipe!B:F,5,0)</f>
        <v>Experiente</v>
      </c>
    </row>
    <row r="93" spans="1:9">
      <c r="A93" s="83" t="s">
        <v>90</v>
      </c>
      <c r="B93" s="92">
        <f>_xlfn.XLOOKUP(A93,Equipe!H:H,Equipe!B:B,"",0)</f>
        <v>9683150</v>
      </c>
      <c r="C93" s="152">
        <v>45820</v>
      </c>
      <c r="D93" s="152">
        <v>45828</v>
      </c>
      <c r="E93" s="83">
        <v>7</v>
      </c>
      <c r="F93" s="83" t="s">
        <v>14</v>
      </c>
      <c r="G93" s="88" t="s">
        <v>91</v>
      </c>
      <c r="H93" s="83" t="str">
        <f>_xlfn.XLOOKUP(Tabela1[[#This Row],[Matrícula]],Equipe!B:B,Equipe!E:E,"ERRO",0)</f>
        <v>P80</v>
      </c>
      <c r="I93" s="83" t="str">
        <f>VLOOKUP(Tabela1[[#This Row],[Matrícula]],Equipe!B:F,5,0)</f>
        <v>Experiente</v>
      </c>
    </row>
    <row r="94" spans="1:9" hidden="1">
      <c r="A94" s="83" t="s">
        <v>57</v>
      </c>
      <c r="B94" s="92">
        <f>_xlfn.XLOOKUP(A94,Equipe!H:H,Equipe!B:B,"",0)</f>
        <v>4608684</v>
      </c>
      <c r="C94" s="152">
        <v>45822</v>
      </c>
      <c r="D94" s="152">
        <f>((IF(Tabela1[[#This Row],[Início]]&lt;&gt;"",C94+E94-1,""))*1)*1</f>
        <v>45834</v>
      </c>
      <c r="E94" s="83">
        <v>13</v>
      </c>
      <c r="F94" s="83" t="s">
        <v>14</v>
      </c>
      <c r="G94" s="88" t="s">
        <v>19</v>
      </c>
      <c r="H94" s="83" t="str">
        <f>_xlfn.XLOOKUP(Tabela1[[#This Row],[Matrícula]],Equipe!B:B,Equipe!E:E,"ERRO",0)</f>
        <v>P82</v>
      </c>
      <c r="I94" s="83" t="str">
        <f>VLOOKUP(Tabela1[[#This Row],[Matrícula]],Equipe!B:F,5,0)</f>
        <v>Novo</v>
      </c>
    </row>
    <row r="95" spans="1:9">
      <c r="A95" s="83" t="s">
        <v>27</v>
      </c>
      <c r="B95" s="92">
        <f>_xlfn.XLOOKUP(A95,Equipe!H:H,Equipe!B:B,"",0)</f>
        <v>4608685</v>
      </c>
      <c r="C95" s="152">
        <v>45822</v>
      </c>
      <c r="D95" s="152">
        <f>((IF(Tabela1[[#This Row],[Início]]&lt;&gt;"",C95+E95-1,""))*1)*1</f>
        <v>45852</v>
      </c>
      <c r="E95" s="83">
        <v>31</v>
      </c>
      <c r="F95" s="83" t="s">
        <v>14</v>
      </c>
      <c r="G95" s="88" t="s">
        <v>15</v>
      </c>
      <c r="H95" s="83" t="str">
        <f>_xlfn.XLOOKUP(Tabela1[[#This Row],[Matrícula]],Equipe!B:B,Equipe!E:E,"ERRO",0)</f>
        <v>P80</v>
      </c>
      <c r="I95" s="83" t="str">
        <f>VLOOKUP(Tabela1[[#This Row],[Matrícula]],Equipe!B:F,5,0)</f>
        <v>Novo</v>
      </c>
    </row>
    <row r="96" spans="1:9" hidden="1">
      <c r="A96" s="83" t="s">
        <v>16</v>
      </c>
      <c r="B96" s="92">
        <f>_xlfn.XLOOKUP(A96,Equipe!H:H,Equipe!B:B,"",0)</f>
        <v>4608544</v>
      </c>
      <c r="C96" s="152">
        <v>45822</v>
      </c>
      <c r="D96" s="152">
        <f>((IF(Tabela1[[#This Row],[Início]]&lt;&gt;"",C96+E96-1,""))*1)*1</f>
        <v>45834</v>
      </c>
      <c r="E96" s="83">
        <v>13</v>
      </c>
      <c r="F96" s="83" t="s">
        <v>14</v>
      </c>
      <c r="G96" s="88" t="s">
        <v>19</v>
      </c>
      <c r="H96" s="83" t="str">
        <f>_xlfn.XLOOKUP(Tabela1[[#This Row],[Matrícula]],Equipe!B:B,Equipe!E:E,"ERRO",0)</f>
        <v>P82</v>
      </c>
      <c r="I96" s="83" t="str">
        <f>VLOOKUP(Tabela1[[#This Row],[Matrícula]],Equipe!B:F,5,0)</f>
        <v>Novo</v>
      </c>
    </row>
    <row r="97" spans="1:9">
      <c r="A97" s="83" t="s">
        <v>35</v>
      </c>
      <c r="B97" s="92">
        <f>_xlfn.XLOOKUP(A97,Equipe!H:H,Equipe!B:B,"",0)</f>
        <v>9842940</v>
      </c>
      <c r="C97" s="152">
        <v>45823</v>
      </c>
      <c r="D97" s="152">
        <f>((IF(Tabela1[[#This Row],[Início]]&lt;&gt;"",C97+E97-1,""))*1)*1</f>
        <v>45848</v>
      </c>
      <c r="E97" s="83">
        <v>26</v>
      </c>
      <c r="F97" s="83" t="s">
        <v>14</v>
      </c>
      <c r="G97" s="88" t="s">
        <v>92</v>
      </c>
      <c r="H97" s="83" t="str">
        <f>_xlfn.XLOOKUP(Tabela1[[#This Row],[Matrícula]],Equipe!B:B,Equipe!E:E,"ERRO",0)</f>
        <v>P80</v>
      </c>
      <c r="I97" s="83" t="str">
        <f>VLOOKUP(Tabela1[[#This Row],[Matrícula]],Equipe!B:F,5,0)</f>
        <v>Novo</v>
      </c>
    </row>
    <row r="98" spans="1:9">
      <c r="A98" s="83" t="s">
        <v>36</v>
      </c>
      <c r="B98" s="92">
        <f>_xlfn.XLOOKUP(A98,Equipe!H:H,Equipe!B:B,"",0)</f>
        <v>4608721</v>
      </c>
      <c r="C98" s="152">
        <v>45824</v>
      </c>
      <c r="D98" s="152">
        <f>((IF(Tabela1[[#This Row],[Início]]&lt;&gt;"",C98+E98-1,""))*1)*1</f>
        <v>45825</v>
      </c>
      <c r="E98" s="83">
        <v>2</v>
      </c>
      <c r="F98" s="83" t="s">
        <v>14</v>
      </c>
      <c r="G98" s="88" t="s">
        <v>91</v>
      </c>
      <c r="H98" s="83" t="str">
        <f>_xlfn.XLOOKUP(Tabela1[[#This Row],[Matrícula]],Equipe!B:B,Equipe!E:E,"ERRO",0)</f>
        <v>P80</v>
      </c>
      <c r="I98" s="83" t="str">
        <f>VLOOKUP(Tabela1[[#This Row],[Matrícula]],Equipe!B:F,5,0)</f>
        <v>Novo</v>
      </c>
    </row>
    <row r="99" spans="1:9" hidden="1">
      <c r="A99" s="87" t="s">
        <v>65</v>
      </c>
      <c r="B99" s="92">
        <f>_xlfn.XLOOKUP(A99,Equipe!H:H,Equipe!B:B,"",0)</f>
        <v>4606246</v>
      </c>
      <c r="C99" s="152">
        <v>45825</v>
      </c>
      <c r="D99" s="152">
        <f>((IF(Tabela1[[#This Row],[Início]]&lt;&gt;"",C99+E99-1,""))*1)*1</f>
        <v>45825</v>
      </c>
      <c r="E99" s="83">
        <v>1</v>
      </c>
      <c r="F99" s="83" t="s">
        <v>11</v>
      </c>
      <c r="G99" s="88" t="s">
        <v>93</v>
      </c>
      <c r="H99" s="83" t="str">
        <f>_xlfn.XLOOKUP(Tabela1[[#This Row],[Matrícula]],Equipe!B:B,Equipe!E:E,"ERRO",0)</f>
        <v>PBAC</v>
      </c>
      <c r="I99" s="83" t="str">
        <f>VLOOKUP(Tabela1[[#This Row],[Matrícula]],Equipe!B:F,5,0)</f>
        <v>Novo</v>
      </c>
    </row>
    <row r="100" spans="1:9" hidden="1">
      <c r="A100" s="83" t="s">
        <v>40</v>
      </c>
      <c r="B100" s="92">
        <f>_xlfn.XLOOKUP(A100,Equipe!H:H,Equipe!B:B,"",0)</f>
        <v>9724817</v>
      </c>
      <c r="C100" s="152">
        <v>45828</v>
      </c>
      <c r="D100" s="152">
        <v>45828</v>
      </c>
      <c r="E100" s="83">
        <v>1</v>
      </c>
      <c r="F100" s="83" t="s">
        <v>14</v>
      </c>
      <c r="G100" s="88" t="s">
        <v>94</v>
      </c>
      <c r="H100" s="83" t="str">
        <f>_xlfn.XLOOKUP(Tabela1[[#This Row],[Matrícula]],Equipe!B:B,Equipe!E:E,"ERRO",0)</f>
        <v>P82</v>
      </c>
      <c r="I100" s="83" t="str">
        <f>VLOOKUP(Tabela1[[#This Row],[Matrícula]],Equipe!B:F,5,0)</f>
        <v>Experiente</v>
      </c>
    </row>
    <row r="101" spans="1:9" hidden="1">
      <c r="A101" s="83" t="s">
        <v>31</v>
      </c>
      <c r="B101" s="92">
        <v>1386344</v>
      </c>
      <c r="C101" s="152">
        <v>45828</v>
      </c>
      <c r="D101" s="152">
        <v>45828</v>
      </c>
      <c r="E101" s="83">
        <v>1</v>
      </c>
      <c r="F101" s="83" t="s">
        <v>14</v>
      </c>
      <c r="G101" s="88" t="s">
        <v>95</v>
      </c>
      <c r="H101" s="83" t="str">
        <f>_xlfn.XLOOKUP(Tabela1[[#This Row],[Matrícula]],Equipe!B:B,Equipe!E:E,"ERRO",0)</f>
        <v>P82</v>
      </c>
      <c r="I101" s="83" t="str">
        <f>VLOOKUP(Tabela1[[#This Row],[Matrícula]],Equipe!B:F,5,0)</f>
        <v>Experiente</v>
      </c>
    </row>
    <row r="102" spans="1:9">
      <c r="A102" s="87" t="s">
        <v>13</v>
      </c>
      <c r="B102" s="109">
        <f>_xlfn.XLOOKUP(A102,Equipe!H:H,Equipe!B:B,"",0)</f>
        <v>9762281</v>
      </c>
      <c r="C102" s="152">
        <v>45832</v>
      </c>
      <c r="D102" s="152">
        <f>((IF(Tabela1[[#This Row],[Início]]&lt;&gt;"",C102+E102-1,""))*1)*1</f>
        <v>45845</v>
      </c>
      <c r="E102" s="87">
        <v>14</v>
      </c>
      <c r="F102" s="87" t="s">
        <v>17</v>
      </c>
      <c r="G102" s="93" t="s">
        <v>32</v>
      </c>
      <c r="H102" s="83" t="str">
        <f>_xlfn.XLOOKUP(Tabela1[[#This Row],[Matrícula]],Equipe!B:B,Equipe!E:E,"ERRO",0)</f>
        <v>P80</v>
      </c>
      <c r="I102" s="83" t="str">
        <f>VLOOKUP(Tabela1[[#This Row],[Matrícula]],Equipe!B:F,5,0)</f>
        <v>Experiente</v>
      </c>
    </row>
    <row r="103" spans="1:9" hidden="1">
      <c r="A103" s="83" t="s">
        <v>34</v>
      </c>
      <c r="B103" s="92">
        <f>_xlfn.XLOOKUP(A103,Equipe!H:H,Equipe!B:B,"",0)</f>
        <v>4608474</v>
      </c>
      <c r="C103" s="152">
        <v>45833</v>
      </c>
      <c r="D103" s="152">
        <v>45833</v>
      </c>
      <c r="E103" s="83">
        <v>1</v>
      </c>
      <c r="F103" s="83" t="s">
        <v>11</v>
      </c>
      <c r="G103" s="88" t="s">
        <v>96</v>
      </c>
      <c r="H103" s="83" t="str">
        <f>_xlfn.XLOOKUP(Tabela1[[#This Row],[Matrícula]],Equipe!B:B,Equipe!E:E,"ERRO",0)</f>
        <v>P82</v>
      </c>
      <c r="I103" s="83" t="str">
        <f>VLOOKUP(Tabela1[[#This Row],[Matrícula]],Equipe!B:F,5,0)</f>
        <v>Novo</v>
      </c>
    </row>
    <row r="104" spans="1:9">
      <c r="A104" s="83" t="s">
        <v>36</v>
      </c>
      <c r="B104" s="92">
        <f>_xlfn.XLOOKUP(A104,Equipe!H:H,Equipe!B:B,"",0)</f>
        <v>4608721</v>
      </c>
      <c r="C104" s="152">
        <v>45833</v>
      </c>
      <c r="D104" s="152">
        <f>((IF(Tabela1[[#This Row],[Início]]&lt;&gt;"",C104+E104-1,""))*1)*1</f>
        <v>45833</v>
      </c>
      <c r="E104" s="83">
        <v>1</v>
      </c>
      <c r="F104" s="83" t="s">
        <v>11</v>
      </c>
      <c r="G104" s="88" t="s">
        <v>96</v>
      </c>
      <c r="H104" s="83" t="str">
        <f>_xlfn.XLOOKUP(Tabela1[[#This Row],[Matrícula]],Equipe!B:B,Equipe!E:E,"ERRO",0)</f>
        <v>P80</v>
      </c>
      <c r="I104" s="83" t="str">
        <f>VLOOKUP(Tabela1[[#This Row],[Matrícula]],Equipe!B:F,5,0)</f>
        <v>Novo</v>
      </c>
    </row>
    <row r="105" spans="1:9">
      <c r="A105" s="83" t="s">
        <v>62</v>
      </c>
      <c r="B105" s="92">
        <f>_xlfn.XLOOKUP(A105,Equipe!H:H,Equipe!B:B,"",0)</f>
        <v>9886449</v>
      </c>
      <c r="C105" s="152">
        <v>45835</v>
      </c>
      <c r="D105" s="152">
        <f>((IF(Tabela1[[#This Row],[Início]]&lt;&gt;"",C105+E105-1,""))*1)*1</f>
        <v>45835</v>
      </c>
      <c r="E105" s="83">
        <v>1</v>
      </c>
      <c r="F105" s="83" t="s">
        <v>47</v>
      </c>
      <c r="G105" s="88" t="s">
        <v>97</v>
      </c>
      <c r="H105" s="83" t="str">
        <f>_xlfn.XLOOKUP(Tabela1[[#This Row],[Matrícula]],Equipe!B:B,Equipe!E:E,"ERRO",0)</f>
        <v>P80</v>
      </c>
      <c r="I105" s="83" t="str">
        <f>VLOOKUP(Tabela1[[#This Row],[Matrícula]],Equipe!B:F,5,0)</f>
        <v>Experiente</v>
      </c>
    </row>
    <row r="106" spans="1:9">
      <c r="A106" s="83" t="s">
        <v>36</v>
      </c>
      <c r="B106" s="92">
        <f>_xlfn.XLOOKUP(A106,Equipe!H:H,Equipe!B:B,"",0)</f>
        <v>4608721</v>
      </c>
      <c r="C106" s="152">
        <v>45835</v>
      </c>
      <c r="D106" s="152">
        <f>((IF(Tabela1[[#This Row],[Início]]&lt;&gt;"",C106+E106-1,""))*1)*1</f>
        <v>45835</v>
      </c>
      <c r="E106" s="83">
        <v>1</v>
      </c>
      <c r="F106" s="83" t="s">
        <v>11</v>
      </c>
      <c r="G106" s="88" t="s">
        <v>98</v>
      </c>
      <c r="H106" s="83" t="str">
        <f>_xlfn.XLOOKUP(Tabela1[[#This Row],[Matrícula]],Equipe!B:B,Equipe!E:E,"ERRO",0)</f>
        <v>P80</v>
      </c>
      <c r="I106" s="83" t="str">
        <f>VLOOKUP(Tabela1[[#This Row],[Matrícula]],Equipe!B:F,5,0)</f>
        <v>Novo</v>
      </c>
    </row>
    <row r="107" spans="1:9">
      <c r="A107" s="83" t="s">
        <v>62</v>
      </c>
      <c r="B107" s="92">
        <f>_xlfn.XLOOKUP(A107,Equipe!H:H,Equipe!B:B,"",0)</f>
        <v>9886449</v>
      </c>
      <c r="C107" s="152">
        <v>45838</v>
      </c>
      <c r="D107" s="152">
        <f>((IF(Tabela1[[#This Row],[Início]]&lt;&gt;"",C107+E107-1,""))*1)*1</f>
        <v>45838</v>
      </c>
      <c r="E107" s="83">
        <v>1</v>
      </c>
      <c r="F107" s="83" t="s">
        <v>11</v>
      </c>
      <c r="G107" s="88" t="s">
        <v>99</v>
      </c>
      <c r="H107" s="83" t="str">
        <f>_xlfn.XLOOKUP(Tabela1[[#This Row],[Matrícula]],Equipe!B:B,Equipe!E:E,"ERRO",0)</f>
        <v>P80</v>
      </c>
      <c r="I107" s="83" t="str">
        <f>VLOOKUP(Tabela1[[#This Row],[Matrícula]],Equipe!B:F,5,0)</f>
        <v>Experiente</v>
      </c>
    </row>
    <row r="108" spans="1:9" hidden="1">
      <c r="A108" s="83" t="s">
        <v>20</v>
      </c>
      <c r="B108" s="92">
        <f>_xlfn.XLOOKUP(A108,Equipe!H:H,Equipe!B:B,"",0)</f>
        <v>4608559</v>
      </c>
      <c r="C108" s="152">
        <v>45839</v>
      </c>
      <c r="D108" s="152">
        <f>((IF(Tabela1[[#This Row],[Início]]&lt;&gt;"",C108+E108-1,""))*1)*1</f>
        <v>45841</v>
      </c>
      <c r="E108" s="83">
        <v>3</v>
      </c>
      <c r="F108" s="83" t="s">
        <v>29</v>
      </c>
      <c r="G108" s="88" t="s">
        <v>100</v>
      </c>
      <c r="H108" s="83" t="str">
        <f>_xlfn.XLOOKUP(Tabela1[[#This Row],[Matrícula]],Equipe!B:B,Equipe!E:E,"ERRO",0)</f>
        <v>P83</v>
      </c>
      <c r="I108" s="83" t="str">
        <f>VLOOKUP(Tabela1[[#This Row],[Matrícula]],Equipe!B:F,5,0)</f>
        <v>Novo</v>
      </c>
    </row>
    <row r="109" spans="1:9" hidden="1">
      <c r="A109" s="83" t="s">
        <v>50</v>
      </c>
      <c r="B109" s="92">
        <f>_xlfn.XLOOKUP(A109,Equipe!H:H,Equipe!B:B,"",0)</f>
        <v>4606694</v>
      </c>
      <c r="C109" s="152">
        <v>45839</v>
      </c>
      <c r="D109" s="152">
        <f>((IF(Tabela1[[#This Row],[Início]]&lt;&gt;"",C109+E109-1,""))*1)*1</f>
        <v>45841</v>
      </c>
      <c r="E109" s="83">
        <v>3</v>
      </c>
      <c r="F109" s="83" t="s">
        <v>29</v>
      </c>
      <c r="G109" s="88" t="s">
        <v>100</v>
      </c>
      <c r="H109" s="83" t="str">
        <f>_xlfn.XLOOKUP(Tabela1[[#This Row],[Matrícula]],Equipe!B:B,Equipe!E:E,"ERRO",0)</f>
        <v>PBAC</v>
      </c>
      <c r="I109" s="83" t="str">
        <f>VLOOKUP(Tabela1[[#This Row],[Matrícula]],Equipe!B:F,5,0)</f>
        <v>Novo</v>
      </c>
    </row>
    <row r="110" spans="1:9" hidden="1">
      <c r="A110" s="83" t="s">
        <v>16</v>
      </c>
      <c r="B110" s="92">
        <f>_xlfn.XLOOKUP(A110,Equipe!H:H,Equipe!B:B,"",0)</f>
        <v>4608544</v>
      </c>
      <c r="C110" s="152">
        <v>45839</v>
      </c>
      <c r="D110" s="152">
        <f>((IF(Tabela1[[#This Row],[Início]]&lt;&gt;"",C110+E110-1,""))*1)*1</f>
        <v>45842</v>
      </c>
      <c r="E110" s="83">
        <v>4</v>
      </c>
      <c r="F110" s="83" t="s">
        <v>29</v>
      </c>
      <c r="G110" s="88" t="s">
        <v>101</v>
      </c>
      <c r="H110" s="83" t="str">
        <f>_xlfn.XLOOKUP(Tabela1[[#This Row],[Matrícula]],Equipe!B:B,Equipe!E:E,"ERRO",0)</f>
        <v>P82</v>
      </c>
      <c r="I110" s="83" t="str">
        <f>VLOOKUP(Tabela1[[#This Row],[Matrícula]],Equipe!B:F,5,0)</f>
        <v>Novo</v>
      </c>
    </row>
    <row r="111" spans="1:9">
      <c r="A111" s="87" t="s">
        <v>22</v>
      </c>
      <c r="B111" s="109">
        <f>_xlfn.XLOOKUP(A111,Equipe!H:H,Equipe!B:B,"",0)</f>
        <v>4608389</v>
      </c>
      <c r="C111" s="152">
        <v>45845</v>
      </c>
      <c r="D111" s="152">
        <f>((IF(Tabela1[[#This Row],[Início]]&lt;&gt;"",C111+E111-1,""))*1)*1</f>
        <v>45846</v>
      </c>
      <c r="E111" s="87">
        <v>2</v>
      </c>
      <c r="F111" s="87" t="s">
        <v>11</v>
      </c>
      <c r="G111" s="93" t="s">
        <v>102</v>
      </c>
      <c r="H111" s="83" t="str">
        <f>_xlfn.XLOOKUP(Tabela1[[#This Row],[Matrícula]],Equipe!B:B,Equipe!E:E,"ERRO",0)</f>
        <v>P80</v>
      </c>
      <c r="I111" s="83" t="str">
        <f>VLOOKUP(Tabela1[[#This Row],[Matrícula]],Equipe!B:F,5,0)</f>
        <v>Novo</v>
      </c>
    </row>
    <row r="112" spans="1:9">
      <c r="A112" s="83" t="s">
        <v>62</v>
      </c>
      <c r="B112" s="92">
        <f>_xlfn.XLOOKUP(A112,Equipe!H:H,Equipe!B:B,"",0)</f>
        <v>9886449</v>
      </c>
      <c r="C112" s="152">
        <v>45845</v>
      </c>
      <c r="D112" s="152">
        <f>((IF(Tabela1[[#This Row],[Início]]&lt;&gt;"",C112+E112-1,""))*1)*1</f>
        <v>45849</v>
      </c>
      <c r="E112" s="83">
        <v>5</v>
      </c>
      <c r="F112" s="83" t="s">
        <v>11</v>
      </c>
      <c r="G112" s="88" t="s">
        <v>103</v>
      </c>
      <c r="H112" s="83" t="str">
        <f>_xlfn.XLOOKUP(Tabela1[[#This Row],[Matrícula]],Equipe!B:B,Equipe!E:E,"ERRO",0)</f>
        <v>P80</v>
      </c>
      <c r="I112" s="83" t="str">
        <f>VLOOKUP(Tabela1[[#This Row],[Matrícula]],Equipe!B:F,5,0)</f>
        <v>Experiente</v>
      </c>
    </row>
    <row r="113" spans="1:9">
      <c r="A113" s="83" t="s">
        <v>104</v>
      </c>
      <c r="B113" s="92">
        <f>_xlfn.XLOOKUP(A113,Equipe!H:H,Equipe!B:B,"",0)</f>
        <v>4612098</v>
      </c>
      <c r="C113" s="152">
        <v>45847</v>
      </c>
      <c r="D113" s="152">
        <v>45847</v>
      </c>
      <c r="E113" s="83">
        <v>1</v>
      </c>
      <c r="F113" s="83" t="s">
        <v>11</v>
      </c>
      <c r="G113" s="88" t="s">
        <v>105</v>
      </c>
      <c r="H113" s="83" t="str">
        <f>_xlfn.XLOOKUP(Tabela1[[#This Row],[Matrícula]],Equipe!B:B,Equipe!E:E,"ERRO",0)</f>
        <v>P80</v>
      </c>
      <c r="I113" s="83" t="str">
        <f>VLOOKUP(Tabela1[[#This Row],[Matrícula]],Equipe!B:F,5,0)</f>
        <v>Novo</v>
      </c>
    </row>
    <row r="114" spans="1:9" hidden="1">
      <c r="A114" s="83" t="s">
        <v>106</v>
      </c>
      <c r="B114" s="92">
        <f>_xlfn.XLOOKUP(A114,Equipe!H:H,Equipe!B:B,"",0)</f>
        <v>4612050</v>
      </c>
      <c r="C114" s="152">
        <v>45847</v>
      </c>
      <c r="D114" s="152">
        <f>((IF(Tabela1[[#This Row],[Início]]&lt;&gt;"",C114+E114-1,""))*1)*1</f>
        <v>45847</v>
      </c>
      <c r="E114" s="83">
        <v>1</v>
      </c>
      <c r="F114" s="83" t="s">
        <v>11</v>
      </c>
      <c r="G114" s="88" t="s">
        <v>107</v>
      </c>
      <c r="H114" s="83" t="str">
        <f>_xlfn.XLOOKUP(Tabela1[[#This Row],[Matrícula]],Equipe!B:B,Equipe!E:E,"ERRO",0)</f>
        <v>P82</v>
      </c>
      <c r="I114" s="83" t="str">
        <f>VLOOKUP(Tabela1[[#This Row],[Matrícula]],Equipe!B:F,5,0)</f>
        <v>Novo</v>
      </c>
    </row>
    <row r="115" spans="1:9">
      <c r="A115" s="83" t="s">
        <v>108</v>
      </c>
      <c r="B115" s="92">
        <f>_xlfn.XLOOKUP(A115,Equipe!H:H,Equipe!B:B,"",0)</f>
        <v>4612243</v>
      </c>
      <c r="C115" s="152">
        <v>45847</v>
      </c>
      <c r="D115" s="152">
        <f>((IF(Tabela1[[#This Row],[Início]]&lt;&gt;"",C115+E115-1,""))*1)*1</f>
        <v>45847</v>
      </c>
      <c r="E115" s="83">
        <v>1</v>
      </c>
      <c r="F115" s="83" t="s">
        <v>11</v>
      </c>
      <c r="G115" s="88" t="s">
        <v>96</v>
      </c>
      <c r="H115" s="83" t="str">
        <f>_xlfn.XLOOKUP(Tabela1[[#This Row],[Matrícula]],Equipe!B:B,Equipe!E:E,"ERRO",0)</f>
        <v>P80</v>
      </c>
      <c r="I115" s="83" t="str">
        <f>VLOOKUP(Tabela1[[#This Row],[Matrícula]],Equipe!B:F,5,0)</f>
        <v>Novo</v>
      </c>
    </row>
    <row r="116" spans="1:9">
      <c r="A116" s="83" t="s">
        <v>109</v>
      </c>
      <c r="B116" s="92">
        <f>_xlfn.XLOOKUP(A116,Equipe!H:H,Equipe!B:B,"",0)</f>
        <v>4612389</v>
      </c>
      <c r="C116" s="152">
        <v>45847</v>
      </c>
      <c r="D116" s="152">
        <v>45847</v>
      </c>
      <c r="E116" s="83">
        <v>1</v>
      </c>
      <c r="F116" s="83" t="s">
        <v>11</v>
      </c>
      <c r="G116" s="88" t="s">
        <v>110</v>
      </c>
      <c r="H116" s="83" t="str">
        <f>_xlfn.XLOOKUP(Tabela1[[#This Row],[Matrícula]],Equipe!B:B,Equipe!E:E,"ERRO",0)</f>
        <v>P80</v>
      </c>
      <c r="I116" s="83" t="str">
        <f>VLOOKUP(Tabela1[[#This Row],[Matrícula]],Equipe!B:F,5,0)</f>
        <v>Novo</v>
      </c>
    </row>
    <row r="117" spans="1:9" hidden="1">
      <c r="A117" s="83" t="s">
        <v>111</v>
      </c>
      <c r="B117" s="92">
        <f>_xlfn.XLOOKUP(A117,Equipe!H:H,Equipe!B:B,"",0)</f>
        <v>4612126</v>
      </c>
      <c r="C117" s="152">
        <v>45847</v>
      </c>
      <c r="D117" s="152">
        <v>45847</v>
      </c>
      <c r="E117" s="83">
        <v>1</v>
      </c>
      <c r="F117" s="83" t="s">
        <v>11</v>
      </c>
      <c r="G117" s="93" t="s">
        <v>112</v>
      </c>
      <c r="H117" s="83" t="str">
        <f>_xlfn.XLOOKUP(Tabela1[[#This Row],[Matrícula]],Equipe!B:B,Equipe!E:E,"ERRO",0)</f>
        <v>P82</v>
      </c>
      <c r="I117" s="83" t="str">
        <f>VLOOKUP(Tabela1[[#This Row],[Matrícula]],Equipe!B:F,5,0)</f>
        <v>Novo</v>
      </c>
    </row>
    <row r="118" spans="1:9" hidden="1">
      <c r="A118" s="83" t="s">
        <v>113</v>
      </c>
      <c r="B118" s="92">
        <f>_xlfn.XLOOKUP(A118,Equipe!H:H,Equipe!B:B,"",0)</f>
        <v>4612192</v>
      </c>
      <c r="C118" s="152">
        <v>45847</v>
      </c>
      <c r="D118" s="152">
        <f>((IF(Tabela1[[#This Row],[Início]]&lt;&gt;"",C118+E118-1,""))*1)*1</f>
        <v>45847</v>
      </c>
      <c r="E118" s="83">
        <v>1</v>
      </c>
      <c r="F118" s="83" t="s">
        <v>11</v>
      </c>
      <c r="G118" s="93" t="s">
        <v>112</v>
      </c>
      <c r="H118" s="83" t="str">
        <f>_xlfn.XLOOKUP(Tabela1[[#This Row],[Matrícula]],Equipe!B:B,Equipe!E:E,"ERRO",0)</f>
        <v>P82</v>
      </c>
      <c r="I118" s="83" t="str">
        <f>VLOOKUP(Tabela1[[#This Row],[Matrícula]],Equipe!B:F,5,0)</f>
        <v>Novo</v>
      </c>
    </row>
    <row r="119" spans="1:9" hidden="1">
      <c r="A119" s="83" t="s">
        <v>114</v>
      </c>
      <c r="B119" s="92">
        <f>_xlfn.XLOOKUP(A119,Equipe!H:H,Equipe!B:B,"",0)</f>
        <v>4612140</v>
      </c>
      <c r="C119" s="152">
        <v>45849</v>
      </c>
      <c r="D119" s="152">
        <f>((IF(Tabela1[[#This Row],[Início]]&lt;&gt;"",C119+E119-1,""))*1)*1</f>
        <v>45849</v>
      </c>
      <c r="E119" s="83">
        <v>1</v>
      </c>
      <c r="F119" s="83" t="s">
        <v>14</v>
      </c>
      <c r="G119" s="88" t="s">
        <v>95</v>
      </c>
      <c r="H119" s="83" t="str">
        <f>_xlfn.XLOOKUP(Tabela1[[#This Row],[Matrícula]],Equipe!B:B,Equipe!E:E,"ERRO",0)</f>
        <v>P83</v>
      </c>
      <c r="I119" s="83" t="str">
        <f>VLOOKUP(Tabela1[[#This Row],[Matrícula]],Equipe!B:F,5,0)</f>
        <v>Novo</v>
      </c>
    </row>
    <row r="120" spans="1:9" hidden="1">
      <c r="A120" s="83" t="s">
        <v>58</v>
      </c>
      <c r="B120" s="92">
        <f>_xlfn.XLOOKUP(A120,Equipe!H:H,Equipe!B:B,"",0)</f>
        <v>9612082</v>
      </c>
      <c r="C120" s="152">
        <v>45851</v>
      </c>
      <c r="D120" s="158">
        <f>((IF(Tabela1[[#This Row],[Início]]&lt;&gt;"",C120+E120-1,""))*1)*1</f>
        <v>45864</v>
      </c>
      <c r="E120" s="83">
        <v>14</v>
      </c>
      <c r="F120" s="83" t="s">
        <v>17</v>
      </c>
      <c r="G120" s="88" t="s">
        <v>115</v>
      </c>
      <c r="H120" s="83" t="str">
        <f>_xlfn.XLOOKUP(Tabela1[[#This Row],[Matrícula]],Equipe!B:B,Equipe!E:E,"ERRO",0)</f>
        <v>P82</v>
      </c>
      <c r="I120" s="83" t="str">
        <f>VLOOKUP(Tabela1[[#This Row],[Matrícula]],Equipe!B:F,5,0)</f>
        <v>Experiente</v>
      </c>
    </row>
    <row r="121" spans="1:9">
      <c r="A121" s="83" t="s">
        <v>116</v>
      </c>
      <c r="B121" s="83">
        <f>_xlfn.XLOOKUP(A121,Equipe!H:H,Equipe!B:B,"",0)</f>
        <v>4612171</v>
      </c>
      <c r="C121" s="152">
        <v>45852</v>
      </c>
      <c r="D121" s="152">
        <f>((IF(Tabela1[[#This Row],[Início]]&lt;&gt;"",C121+E121-1,""))*1)*1</f>
        <v>45852</v>
      </c>
      <c r="E121" s="83">
        <v>1</v>
      </c>
      <c r="F121" s="83" t="s">
        <v>47</v>
      </c>
      <c r="G121" s="88" t="s">
        <v>117</v>
      </c>
      <c r="H121" s="83" t="str">
        <f>_xlfn.XLOOKUP(Tabela1[[#This Row],[Matrícula]],Equipe!B:B,Equipe!E:E,"ERRO",0)</f>
        <v>P80</v>
      </c>
      <c r="I121" s="83" t="str">
        <f>VLOOKUP(Tabela1[[#This Row],[Matrícula]],Equipe!B:F,5,0)</f>
        <v>Novo</v>
      </c>
    </row>
    <row r="122" spans="1:9" hidden="1">
      <c r="A122" s="83" t="s">
        <v>106</v>
      </c>
      <c r="B122" s="92">
        <f>_xlfn.XLOOKUP(A122,Equipe!H:H,Equipe!B:B,"",0)</f>
        <v>4612050</v>
      </c>
      <c r="C122" s="152">
        <v>45852</v>
      </c>
      <c r="D122" s="152">
        <f>((IF(Tabela1[[#This Row],[Início]]&lt;&gt;"",C122+E122-1,""))*1)*1</f>
        <v>45852</v>
      </c>
      <c r="E122" s="83">
        <v>1</v>
      </c>
      <c r="F122" s="83" t="s">
        <v>47</v>
      </c>
      <c r="G122" s="88" t="s">
        <v>118</v>
      </c>
      <c r="H122" s="83" t="str">
        <f>_xlfn.XLOOKUP(Tabela1[[#This Row],[Matrícula]],Equipe!B:B,Equipe!E:E,"ERRO",0)</f>
        <v>P82</v>
      </c>
      <c r="I122" s="83" t="str">
        <f>VLOOKUP(Tabela1[[#This Row],[Matrícula]],Equipe!B:F,5,0)</f>
        <v>Novo</v>
      </c>
    </row>
    <row r="123" spans="1:9" hidden="1">
      <c r="A123" s="83" t="s">
        <v>114</v>
      </c>
      <c r="B123" s="92">
        <f>_xlfn.XLOOKUP(A123,Equipe!H:H,Equipe!B:B,"",0)</f>
        <v>4612140</v>
      </c>
      <c r="C123" s="152">
        <v>45852</v>
      </c>
      <c r="D123" s="152">
        <f>((IF(Tabela1[[#This Row],[Início]]&lt;&gt;"",C123+E123-1,""))*1)*1</f>
        <v>45852</v>
      </c>
      <c r="E123" s="83">
        <v>1</v>
      </c>
      <c r="F123" s="83" t="s">
        <v>47</v>
      </c>
      <c r="G123" s="88" t="s">
        <v>119</v>
      </c>
      <c r="H123" s="83" t="str">
        <f>_xlfn.XLOOKUP(Tabela1[[#This Row],[Matrícula]],Equipe!B:B,Equipe!E:E,"ERRO",0)</f>
        <v>P83</v>
      </c>
      <c r="I123" s="83" t="str">
        <f>VLOOKUP(Tabela1[[#This Row],[Matrícula]],Equipe!B:F,5,0)</f>
        <v>Novo</v>
      </c>
    </row>
    <row r="124" spans="1:9">
      <c r="A124" s="83" t="s">
        <v>104</v>
      </c>
      <c r="B124" s="92">
        <f>_xlfn.XLOOKUP(A124,Equipe!H:H,Equipe!B:B,"",0)</f>
        <v>4612098</v>
      </c>
      <c r="C124" s="152">
        <v>45853</v>
      </c>
      <c r="D124" s="152">
        <v>45853</v>
      </c>
      <c r="E124" s="83">
        <v>1</v>
      </c>
      <c r="F124" s="83" t="s">
        <v>11</v>
      </c>
      <c r="G124" s="88" t="s">
        <v>120</v>
      </c>
      <c r="H124" s="83" t="str">
        <f>_xlfn.XLOOKUP(Tabela1[[#This Row],[Matrícula]],Equipe!B:B,Equipe!E:E,"ERRO",0)</f>
        <v>P80</v>
      </c>
      <c r="I124" s="83" t="str">
        <f>VLOOKUP(Tabela1[[#This Row],[Matrícula]],Equipe!B:F,5,0)</f>
        <v>Novo</v>
      </c>
    </row>
    <row r="125" spans="1:9" hidden="1">
      <c r="A125" s="83" t="s">
        <v>37</v>
      </c>
      <c r="B125" s="92">
        <f>_xlfn.XLOOKUP(A125,Equipe!H:H,Equipe!B:B,"",0)</f>
        <v>2493288</v>
      </c>
      <c r="C125" s="152">
        <v>45853</v>
      </c>
      <c r="D125" s="152">
        <f>((IF(Tabela1[[#This Row],[Início]]&lt;&gt;"",C125+E125-1,""))*1)*1</f>
        <v>45855</v>
      </c>
      <c r="E125" s="83">
        <v>3</v>
      </c>
      <c r="F125" s="83" t="s">
        <v>11</v>
      </c>
      <c r="G125" s="88" t="s">
        <v>121</v>
      </c>
      <c r="H125" s="83" t="str">
        <f>_xlfn.XLOOKUP(Tabela1[[#This Row],[Matrícula]],Equipe!B:B,Equipe!E:E,"ERRO",0)</f>
        <v>PBAC</v>
      </c>
      <c r="I125" s="83" t="str">
        <f>VLOOKUP(Tabela1[[#This Row],[Matrícula]],Equipe!B:F,5,0)</f>
        <v>Experiente</v>
      </c>
    </row>
    <row r="126" spans="1:9">
      <c r="A126" s="83" t="s">
        <v>38</v>
      </c>
      <c r="B126" s="92">
        <f>_xlfn.XLOOKUP(A126,Equipe!H:H,Equipe!B:B,"",0)</f>
        <v>1385894</v>
      </c>
      <c r="C126" s="152">
        <v>45853</v>
      </c>
      <c r="D126" s="152">
        <f>((IF(Tabela1[[#This Row],[Início]]&lt;&gt;"",C126+E126-1,""))*1)*1</f>
        <v>45855</v>
      </c>
      <c r="E126" s="83">
        <v>3</v>
      </c>
      <c r="F126" s="83" t="s">
        <v>11</v>
      </c>
      <c r="G126" s="93" t="s">
        <v>122</v>
      </c>
      <c r="H126" s="83" t="str">
        <f>_xlfn.XLOOKUP(Tabela1[[#This Row],[Matrícula]],Equipe!B:B,Equipe!E:E,"ERRO",0)</f>
        <v>P80</v>
      </c>
      <c r="I126" s="83" t="str">
        <f>VLOOKUP(Tabela1[[#This Row],[Matrícula]],Equipe!B:F,5,0)</f>
        <v>Experiente</v>
      </c>
    </row>
    <row r="127" spans="1:9" hidden="1">
      <c r="A127" s="87" t="s">
        <v>65</v>
      </c>
      <c r="B127" s="92">
        <f>_xlfn.XLOOKUP(A127,Equipe!H:H,Equipe!B:B,"",0)</f>
        <v>4606246</v>
      </c>
      <c r="C127" s="152">
        <v>45853</v>
      </c>
      <c r="D127" s="152">
        <f>((IF(Tabela1[[#This Row],[Início]]&lt;&gt;"",C127+E127-1,""))*1)*1</f>
        <v>45855</v>
      </c>
      <c r="E127" s="83">
        <v>3</v>
      </c>
      <c r="F127" s="83" t="s">
        <v>11</v>
      </c>
      <c r="G127" s="88" t="s">
        <v>123</v>
      </c>
      <c r="H127" s="83" t="str">
        <f>_xlfn.XLOOKUP(Tabela1[[#This Row],[Matrícula]],Equipe!B:B,Equipe!E:E,"ERRO",0)</f>
        <v>PBAC</v>
      </c>
      <c r="I127" s="83" t="str">
        <f>VLOOKUP(Tabela1[[#This Row],[Matrícula]],Equipe!B:F,5,0)</f>
        <v>Novo</v>
      </c>
    </row>
    <row r="128" spans="1:9" hidden="1">
      <c r="A128" s="83" t="s">
        <v>111</v>
      </c>
      <c r="B128" s="92">
        <f>_xlfn.XLOOKUP(A128,Equipe!H:H,Equipe!B:B,"",0)</f>
        <v>4612126</v>
      </c>
      <c r="C128" s="152">
        <v>45853</v>
      </c>
      <c r="D128" s="152">
        <v>45853</v>
      </c>
      <c r="E128" s="83">
        <v>1</v>
      </c>
      <c r="F128" s="83" t="s">
        <v>11</v>
      </c>
      <c r="G128" s="88" t="s">
        <v>124</v>
      </c>
      <c r="H128" s="83" t="str">
        <f>_xlfn.XLOOKUP(Tabela1[[#This Row],[Matrícula]],Equipe!B:B,Equipe!E:E,"ERRO",0)</f>
        <v>P82</v>
      </c>
      <c r="I128" s="83" t="str">
        <f>VLOOKUP(Tabela1[[#This Row],[Matrícula]],Equipe!B:F,5,0)</f>
        <v>Novo</v>
      </c>
    </row>
    <row r="129" spans="1:9" hidden="1">
      <c r="A129" s="87" t="s">
        <v>65</v>
      </c>
      <c r="B129" s="92">
        <f>_xlfn.XLOOKUP(A129,Equipe!H:H,Equipe!B:B,"",0)</f>
        <v>4606246</v>
      </c>
      <c r="C129" s="152">
        <v>45855</v>
      </c>
      <c r="D129" s="152">
        <f>((IF(Tabela1[[#This Row],[Início]]&lt;&gt;"",C129+E129-1,""))*1)*1</f>
        <v>45889</v>
      </c>
      <c r="E129" s="83">
        <v>35</v>
      </c>
      <c r="F129" s="83" t="s">
        <v>17</v>
      </c>
      <c r="G129" s="88" t="s">
        <v>125</v>
      </c>
      <c r="H129" s="83" t="str">
        <f>_xlfn.XLOOKUP(Tabela1[[#This Row],[Matrícula]],Equipe!B:B,Equipe!E:E,"ERRO",0)</f>
        <v>PBAC</v>
      </c>
      <c r="I129" s="83" t="str">
        <f>VLOOKUP(Tabela1[[#This Row],[Matrícula]],Equipe!B:F,5,0)</f>
        <v>Novo</v>
      </c>
    </row>
    <row r="130" spans="1:9">
      <c r="A130" s="83" t="s">
        <v>104</v>
      </c>
      <c r="B130" s="92">
        <f>_xlfn.XLOOKUP(A130,Equipe!H:H,Equipe!B:B,"",0)</f>
        <v>4612098</v>
      </c>
      <c r="C130" s="152">
        <v>45859</v>
      </c>
      <c r="D130" s="152">
        <v>45859</v>
      </c>
      <c r="E130" s="83">
        <v>1</v>
      </c>
      <c r="F130" s="83" t="s">
        <v>47</v>
      </c>
      <c r="G130" s="88" t="s">
        <v>126</v>
      </c>
      <c r="H130" s="83" t="str">
        <f>_xlfn.XLOOKUP(Tabela1[[#This Row],[Matrícula]],Equipe!B:B,Equipe!E:E,"ERRO",0)</f>
        <v>P80</v>
      </c>
      <c r="I130" s="83" t="str">
        <f>VLOOKUP(Tabela1[[#This Row],[Matrícula]],Equipe!B:F,5,0)</f>
        <v>Novo</v>
      </c>
    </row>
    <row r="131" spans="1:9" hidden="1">
      <c r="A131" s="87" t="s">
        <v>114</v>
      </c>
      <c r="B131" s="109">
        <f>_xlfn.XLOOKUP(A131,Equipe!H:H,Equipe!B:B,"",0)</f>
        <v>4612140</v>
      </c>
      <c r="C131" s="152">
        <v>45859</v>
      </c>
      <c r="D131" s="152">
        <v>45859</v>
      </c>
      <c r="E131" s="87">
        <v>1</v>
      </c>
      <c r="F131" s="87" t="s">
        <v>11</v>
      </c>
      <c r="G131" s="88" t="s">
        <v>107</v>
      </c>
      <c r="H131" s="83" t="str">
        <f>_xlfn.XLOOKUP(Tabela1[[#This Row],[Matrícula]],Equipe!B:B,Equipe!E:E,"ERRO",0)</f>
        <v>P83</v>
      </c>
      <c r="I131" s="83" t="str">
        <f>VLOOKUP(Tabela1[[#This Row],[Matrícula]],Equipe!B:F,5,0)</f>
        <v>Novo</v>
      </c>
    </row>
    <row r="132" spans="1:9" hidden="1">
      <c r="A132" s="83" t="s">
        <v>111</v>
      </c>
      <c r="B132" s="92">
        <f>_xlfn.XLOOKUP(A132,Equipe!H:H,Equipe!B:B,"",0)</f>
        <v>4612126</v>
      </c>
      <c r="C132" s="152">
        <v>45859</v>
      </c>
      <c r="D132" s="152">
        <v>45859</v>
      </c>
      <c r="E132" s="83">
        <v>1</v>
      </c>
      <c r="F132" s="83" t="s">
        <v>47</v>
      </c>
      <c r="G132" s="88" t="s">
        <v>127</v>
      </c>
      <c r="H132" s="83" t="str">
        <f>_xlfn.XLOOKUP(Tabela1[[#This Row],[Matrícula]],Equipe!B:B,Equipe!E:E,"ERRO",0)</f>
        <v>P82</v>
      </c>
      <c r="I132" s="83" t="str">
        <f>VLOOKUP(Tabela1[[#This Row],[Matrícula]],Equipe!B:F,5,0)</f>
        <v>Novo</v>
      </c>
    </row>
    <row r="133" spans="1:9" hidden="1">
      <c r="A133" s="83" t="s">
        <v>56</v>
      </c>
      <c r="B133" s="92">
        <f>_xlfn.XLOOKUP(A133,Equipe!H:H,Equipe!B:B,"",0)</f>
        <v>2477135</v>
      </c>
      <c r="C133" s="152">
        <v>45860</v>
      </c>
      <c r="D133" s="180">
        <f>((IF(Tabela1[[#This Row],[Início]]&lt;&gt;"",C133+E133-1,""))*1)*1</f>
        <v>45873</v>
      </c>
      <c r="E133" s="83">
        <v>14</v>
      </c>
      <c r="F133" s="83" t="s">
        <v>17</v>
      </c>
      <c r="G133" s="88" t="s">
        <v>32</v>
      </c>
      <c r="H133" s="83" t="str">
        <f>_xlfn.XLOOKUP(Tabela1[[#This Row],[Matrícula]],Equipe!B:B,Equipe!E:E,"ERRO",0)</f>
        <v>P83</v>
      </c>
      <c r="I133" s="83" t="str">
        <f>VLOOKUP(Tabela1[[#This Row],[Matrícula]],Equipe!B:F,5,0)</f>
        <v>Experiente</v>
      </c>
    </row>
    <row r="134" spans="1:9" hidden="1">
      <c r="A134" s="83" t="s">
        <v>128</v>
      </c>
      <c r="B134" s="92">
        <f>_xlfn.XLOOKUP(A134,Equipe!H:H,Equipe!B:B,"",0)</f>
        <v>229316</v>
      </c>
      <c r="C134" s="152">
        <v>45860</v>
      </c>
      <c r="D134" s="152">
        <v>45862</v>
      </c>
      <c r="E134" s="83">
        <v>3</v>
      </c>
      <c r="F134" s="83" t="s">
        <v>11</v>
      </c>
      <c r="G134" s="88" t="s">
        <v>129</v>
      </c>
      <c r="H134" s="83" t="str">
        <f>_xlfn.XLOOKUP(Tabela1[[#This Row],[Matrícula]],Equipe!B:B,Equipe!E:E,"ERRO",0)</f>
        <v>PBAC</v>
      </c>
      <c r="I134" s="83" t="str">
        <f>VLOOKUP(Tabela1[[#This Row],[Matrícula]],Equipe!B:F,5,0)</f>
        <v>Experiente</v>
      </c>
    </row>
    <row r="135" spans="1:9">
      <c r="A135" s="87" t="s">
        <v>116</v>
      </c>
      <c r="B135" s="87">
        <f>_xlfn.XLOOKUP(A135,Equipe!H:H,Equipe!B:B,"",0)</f>
        <v>4612171</v>
      </c>
      <c r="C135" s="152">
        <v>45863</v>
      </c>
      <c r="D135" s="152">
        <f>((IF(Tabela1[[#This Row],[Início]]&lt;&gt;"",C135+E135-1,""))*1)*1</f>
        <v>45863</v>
      </c>
      <c r="E135" s="87">
        <v>1</v>
      </c>
      <c r="F135" s="87" t="s">
        <v>11</v>
      </c>
      <c r="G135" s="93" t="s">
        <v>130</v>
      </c>
      <c r="H135" s="87" t="str">
        <f>_xlfn.XLOOKUP(Tabela1[[#This Row],[Matrícula]],Equipe!B:B,Equipe!E:E,"ERRO",0)</f>
        <v>P80</v>
      </c>
      <c r="I135" s="87" t="str">
        <f>VLOOKUP(Tabela1[[#This Row],[Matrícula]],Equipe!B:F,5,0)</f>
        <v>Novo</v>
      </c>
    </row>
    <row r="136" spans="1:9">
      <c r="A136" s="83" t="s">
        <v>104</v>
      </c>
      <c r="B136" s="92">
        <f>_xlfn.XLOOKUP(A136,Equipe!H:H,Equipe!B:B,"",0)</f>
        <v>4612098</v>
      </c>
      <c r="C136" s="152">
        <v>45866</v>
      </c>
      <c r="D136" s="152">
        <v>45870</v>
      </c>
      <c r="E136" s="83">
        <v>5</v>
      </c>
      <c r="F136" s="83" t="s">
        <v>11</v>
      </c>
      <c r="G136" s="88" t="s">
        <v>43</v>
      </c>
      <c r="H136" s="83" t="str">
        <f>_xlfn.XLOOKUP(Tabela1[[#This Row],[Matrícula]],Equipe!B:B,Equipe!E:E,"ERRO",0)</f>
        <v>P80</v>
      </c>
      <c r="I136" s="83" t="str">
        <f>VLOOKUP(Tabela1[[#This Row],[Matrícula]],Equipe!B:F,5,0)</f>
        <v>Novo</v>
      </c>
    </row>
    <row r="137" spans="1:9" hidden="1">
      <c r="A137" s="83" t="s">
        <v>37</v>
      </c>
      <c r="B137" s="92">
        <f>_xlfn.XLOOKUP(A137,Equipe!H:H,Equipe!B:B,"",0)</f>
        <v>2493288</v>
      </c>
      <c r="C137" s="152">
        <v>45866</v>
      </c>
      <c r="D137" s="152">
        <f>((IF(Tabela1[[#This Row],[Início]]&lt;&gt;"",C137+E137-1,""))*1)*1</f>
        <v>45867</v>
      </c>
      <c r="E137" s="83">
        <v>2</v>
      </c>
      <c r="F137" s="83" t="s">
        <v>14</v>
      </c>
      <c r="G137" s="88" t="s">
        <v>131</v>
      </c>
      <c r="H137" s="83" t="str">
        <f>_xlfn.XLOOKUP(Tabela1[[#This Row],[Matrícula]],Equipe!B:B,Equipe!E:E,"ERRO",0)</f>
        <v>PBAC</v>
      </c>
      <c r="I137" s="83" t="str">
        <f>VLOOKUP(Tabela1[[#This Row],[Matrícula]],Equipe!B:F,5,0)</f>
        <v>Experiente</v>
      </c>
    </row>
    <row r="138" spans="1:9" hidden="1">
      <c r="A138" s="83" t="s">
        <v>20</v>
      </c>
      <c r="B138" s="92">
        <f>_xlfn.XLOOKUP(A138,Equipe!H:H,Equipe!B:B,"",0)</f>
        <v>4608559</v>
      </c>
      <c r="C138" s="152">
        <v>45866</v>
      </c>
      <c r="D138" s="152">
        <f>((IF(Tabela1[[#This Row],[Início]]&lt;&gt;"",C138+E138-1,""))*1)*1</f>
        <v>45867</v>
      </c>
      <c r="E138" s="83">
        <v>2</v>
      </c>
      <c r="F138" s="83" t="s">
        <v>14</v>
      </c>
      <c r="G138" s="88"/>
      <c r="H138" s="83" t="str">
        <f>_xlfn.XLOOKUP(Tabela1[[#This Row],[Matrícula]],Equipe!B:B,Equipe!E:E,"ERRO",0)</f>
        <v>P83</v>
      </c>
      <c r="I138" s="83" t="str">
        <f>VLOOKUP(Tabela1[[#This Row],[Matrícula]],Equipe!B:F,5,0)</f>
        <v>Novo</v>
      </c>
    </row>
    <row r="139" spans="1:9" hidden="1">
      <c r="A139" s="83" t="s">
        <v>106</v>
      </c>
      <c r="B139" s="92">
        <f>_xlfn.XLOOKUP(A139,Equipe!H:H,Equipe!B:B,"",0)</f>
        <v>4612050</v>
      </c>
      <c r="C139" s="152">
        <v>45866</v>
      </c>
      <c r="D139" s="152">
        <f>((IF(Tabela1[[#This Row],[Início]]&lt;&gt;"",C139+E139-1,""))*1)*1</f>
        <v>45867</v>
      </c>
      <c r="E139" s="83">
        <v>2</v>
      </c>
      <c r="F139" s="83" t="s">
        <v>11</v>
      </c>
      <c r="G139" s="88" t="s">
        <v>132</v>
      </c>
      <c r="H139" s="83" t="str">
        <f>_xlfn.XLOOKUP(Tabela1[[#This Row],[Matrícula]],Equipe!B:B,Equipe!E:E,"ERRO",0)</f>
        <v>P82</v>
      </c>
      <c r="I139" s="83" t="str">
        <f>VLOOKUP(Tabela1[[#This Row],[Matrícula]],Equipe!B:F,5,0)</f>
        <v>Novo</v>
      </c>
    </row>
    <row r="140" spans="1:9" hidden="1">
      <c r="A140" s="83" t="s">
        <v>114</v>
      </c>
      <c r="B140" s="92">
        <f>_xlfn.XLOOKUP(A140,Equipe!H:H,Equipe!B:B,"",0)</f>
        <v>4612140</v>
      </c>
      <c r="C140" s="152">
        <v>45866</v>
      </c>
      <c r="D140" s="152">
        <f>((IF(Tabela1[[#This Row],[Início]]&lt;&gt;"",C140+E140-1,""))*1)*1</f>
        <v>45867</v>
      </c>
      <c r="E140" s="83">
        <v>2</v>
      </c>
      <c r="F140" s="83" t="s">
        <v>11</v>
      </c>
      <c r="G140" s="88" t="s">
        <v>132</v>
      </c>
      <c r="H140" s="83" t="str">
        <f>_xlfn.XLOOKUP(Tabela1[[#This Row],[Matrícula]],Equipe!B:B,Equipe!E:E,"ERRO",0)</f>
        <v>P83</v>
      </c>
      <c r="I140" s="83" t="str">
        <f>VLOOKUP(Tabela1[[#This Row],[Matrícula]],Equipe!B:F,5,0)</f>
        <v>Novo</v>
      </c>
    </row>
    <row r="141" spans="1:9">
      <c r="A141" s="83" t="s">
        <v>108</v>
      </c>
      <c r="B141" s="92">
        <f>_xlfn.XLOOKUP(A141,Equipe!H:H,Equipe!B:B,"",0)</f>
        <v>4612243</v>
      </c>
      <c r="C141" s="152">
        <v>45866</v>
      </c>
      <c r="D141" s="152">
        <f>((IF(Tabela1[[#This Row],[Início]]&lt;&gt;"",C141+E141-1,""))*1)*1</f>
        <v>45866</v>
      </c>
      <c r="E141" s="83">
        <v>1</v>
      </c>
      <c r="F141" s="83" t="s">
        <v>47</v>
      </c>
      <c r="G141" s="88" t="s">
        <v>133</v>
      </c>
      <c r="H141" s="83" t="str">
        <f>_xlfn.XLOOKUP(Tabela1[[#This Row],[Matrícula]],Equipe!B:B,Equipe!E:E,"ERRO",0)</f>
        <v>P80</v>
      </c>
      <c r="I141" s="83" t="str">
        <f>VLOOKUP(Tabela1[[#This Row],[Matrícula]],Equipe!B:F,5,0)</f>
        <v>Novo</v>
      </c>
    </row>
    <row r="142" spans="1:9">
      <c r="A142" s="83" t="s">
        <v>109</v>
      </c>
      <c r="B142" s="92">
        <f>_xlfn.XLOOKUP(A142,Equipe!H:H,Equipe!B:B,"",0)</f>
        <v>4612389</v>
      </c>
      <c r="C142" s="152">
        <v>45866</v>
      </c>
      <c r="D142" s="152">
        <v>45866</v>
      </c>
      <c r="E142" s="83">
        <v>1</v>
      </c>
      <c r="F142" s="83" t="s">
        <v>47</v>
      </c>
      <c r="G142" s="88" t="s">
        <v>134</v>
      </c>
      <c r="H142" s="83" t="str">
        <f>_xlfn.XLOOKUP(Tabela1[[#This Row],[Matrícula]],Equipe!B:B,Equipe!E:E,"ERRO",0)</f>
        <v>P80</v>
      </c>
      <c r="I142" s="83" t="str">
        <f>VLOOKUP(Tabela1[[#This Row],[Matrícula]],Equipe!B:F,5,0)</f>
        <v>Novo</v>
      </c>
    </row>
    <row r="143" spans="1:9" hidden="1">
      <c r="A143" s="83" t="s">
        <v>113</v>
      </c>
      <c r="B143" s="92">
        <f>_xlfn.XLOOKUP(A143,Equipe!H:H,Equipe!B:B,"",0)</f>
        <v>4612192</v>
      </c>
      <c r="C143" s="152">
        <v>45866</v>
      </c>
      <c r="D143" s="152">
        <f>((IF(Tabela1[[#This Row],[Início]]&lt;&gt;"",C143+E143-1,""))*1)*1</f>
        <v>45866</v>
      </c>
      <c r="E143" s="83">
        <v>1</v>
      </c>
      <c r="F143" s="83" t="s">
        <v>47</v>
      </c>
      <c r="G143" s="88" t="s">
        <v>135</v>
      </c>
      <c r="H143" s="83" t="str">
        <f>_xlfn.XLOOKUP(Tabela1[[#This Row],[Matrícula]],Equipe!B:B,Equipe!E:E,"ERRO",0)</f>
        <v>P82</v>
      </c>
      <c r="I143" s="83" t="str">
        <f>VLOOKUP(Tabela1[[#This Row],[Matrícula]],Equipe!B:F,5,0)</f>
        <v>Novo</v>
      </c>
    </row>
    <row r="144" spans="1:9">
      <c r="A144" s="83" t="s">
        <v>22</v>
      </c>
      <c r="B144" s="92">
        <f>_xlfn.XLOOKUP(A144,Equipe!H:H,Equipe!B:B,"",0)</f>
        <v>4608389</v>
      </c>
      <c r="C144" s="152">
        <v>45867</v>
      </c>
      <c r="D144" s="152">
        <f>((IF(Tabela1[[#This Row],[Início]]&lt;&gt;"",C144+E144-1,""))*1)*1</f>
        <v>45880</v>
      </c>
      <c r="E144" s="83">
        <v>14</v>
      </c>
      <c r="F144" s="83" t="s">
        <v>17</v>
      </c>
      <c r="G144" s="88" t="s">
        <v>136</v>
      </c>
      <c r="H144" s="83" t="str">
        <f>_xlfn.XLOOKUP(Tabela1[[#This Row],[Matrícula]],Equipe!B:B,Equipe!E:E,"ERRO",0)</f>
        <v>P80</v>
      </c>
      <c r="I144" s="83" t="str">
        <f>VLOOKUP(Tabela1[[#This Row],[Matrícula]],Equipe!B:F,5,0)</f>
        <v>Novo</v>
      </c>
    </row>
    <row r="145" spans="1:9">
      <c r="A145" s="83" t="s">
        <v>108</v>
      </c>
      <c r="B145" s="92">
        <f>_xlfn.XLOOKUP(A145,Equipe!H:H,Equipe!B:B,"",0)</f>
        <v>4612243</v>
      </c>
      <c r="C145" s="152">
        <v>45867</v>
      </c>
      <c r="D145" s="152">
        <f>((IF(Tabela1[[#This Row],[Início]]&lt;&gt;"",C145+E145-1,""))*1)*1</f>
        <v>45867</v>
      </c>
      <c r="E145" s="83">
        <v>1</v>
      </c>
      <c r="F145" s="83" t="s">
        <v>11</v>
      </c>
      <c r="G145" s="88" t="s">
        <v>124</v>
      </c>
      <c r="H145" s="83" t="str">
        <f>_xlfn.XLOOKUP(Tabela1[[#This Row],[Matrícula]],Equipe!B:B,Equipe!E:E,"ERRO",0)</f>
        <v>P80</v>
      </c>
      <c r="I145" s="83" t="str">
        <f>VLOOKUP(Tabela1[[#This Row],[Matrícula]],Equipe!B:F,5,0)</f>
        <v>Novo</v>
      </c>
    </row>
    <row r="146" spans="1:9" hidden="1">
      <c r="A146" s="83" t="s">
        <v>87</v>
      </c>
      <c r="B146" s="92">
        <f>_xlfn.XLOOKUP(A146,Equipe!H:H,Equipe!B:B,"",0)</f>
        <v>2475130</v>
      </c>
      <c r="C146" s="152">
        <v>45867</v>
      </c>
      <c r="D146" s="152">
        <f>((IF(Tabela1[[#This Row],[Início]]&lt;&gt;"",C146+E146-1,""))*1)*1</f>
        <v>45869</v>
      </c>
      <c r="E146" s="83">
        <v>3</v>
      </c>
      <c r="F146" s="83" t="s">
        <v>11</v>
      </c>
      <c r="G146" s="88" t="s">
        <v>137</v>
      </c>
      <c r="H146" s="83" t="str">
        <f>_xlfn.XLOOKUP(Tabela1[[#This Row],[Matrícula]],Equipe!B:B,Equipe!E:E,"ERRO",0)</f>
        <v>P83</v>
      </c>
      <c r="I146" s="83" t="str">
        <f>VLOOKUP(Tabela1[[#This Row],[Matrícula]],Equipe!B:F,5,0)</f>
        <v>Experiente</v>
      </c>
    </row>
    <row r="147" spans="1:9">
      <c r="A147" s="83" t="s">
        <v>109</v>
      </c>
      <c r="B147" s="92">
        <f>_xlfn.XLOOKUP(A147,Equipe!H:H,Equipe!B:B,"",0)</f>
        <v>4612389</v>
      </c>
      <c r="C147" s="152">
        <v>45867</v>
      </c>
      <c r="D147" s="152">
        <v>45867</v>
      </c>
      <c r="E147" s="83">
        <v>1</v>
      </c>
      <c r="F147" s="83" t="s">
        <v>11</v>
      </c>
      <c r="G147" s="88" t="s">
        <v>124</v>
      </c>
      <c r="H147" s="83" t="str">
        <f>_xlfn.XLOOKUP(Tabela1[[#This Row],[Matrícula]],Equipe!B:B,Equipe!E:E,"ERRO",0)</f>
        <v>P80</v>
      </c>
      <c r="I147" s="83" t="str">
        <f>VLOOKUP(Tabela1[[#This Row],[Matrícula]],Equipe!B:F,5,0)</f>
        <v>Novo</v>
      </c>
    </row>
    <row r="148" spans="1:9" hidden="1">
      <c r="A148" s="83" t="s">
        <v>113</v>
      </c>
      <c r="B148" s="92">
        <f>_xlfn.XLOOKUP(A148,Equipe!H:H,Equipe!B:B,"",0)</f>
        <v>4612192</v>
      </c>
      <c r="C148" s="152">
        <v>45867</v>
      </c>
      <c r="D148" s="152">
        <f>((IF(Tabela1[[#This Row],[Início]]&lt;&gt;"",C148+E148-1,""))*1)*1</f>
        <v>45867</v>
      </c>
      <c r="E148" s="83">
        <v>1</v>
      </c>
      <c r="F148" s="83" t="s">
        <v>11</v>
      </c>
      <c r="G148" s="88" t="s">
        <v>124</v>
      </c>
      <c r="H148" s="83" t="str">
        <f>_xlfn.XLOOKUP(Tabela1[[#This Row],[Matrícula]],Equipe!B:B,Equipe!E:E,"ERRO",0)</f>
        <v>P82</v>
      </c>
      <c r="I148" s="83" t="str">
        <f>VLOOKUP(Tabela1[[#This Row],[Matrícula]],Equipe!B:F,5,0)</f>
        <v>Novo</v>
      </c>
    </row>
    <row r="149" spans="1:9">
      <c r="A149" s="83" t="s">
        <v>35</v>
      </c>
      <c r="B149" s="92">
        <f>_xlfn.XLOOKUP(A149,Equipe!H:H,Equipe!B:B,"",0)</f>
        <v>9842940</v>
      </c>
      <c r="C149" s="152">
        <v>45869</v>
      </c>
      <c r="D149" s="152">
        <f>((IF(Tabela1[[#This Row],[Início]]&lt;&gt;"",C149+E149-1,""))*1)*1</f>
        <v>45882</v>
      </c>
      <c r="E149" s="83">
        <v>14</v>
      </c>
      <c r="F149" s="83" t="s">
        <v>17</v>
      </c>
      <c r="G149" s="88" t="s">
        <v>138</v>
      </c>
      <c r="H149" s="83" t="str">
        <f>_xlfn.XLOOKUP(Tabela1[[#This Row],[Matrícula]],Equipe!B:B,Equipe!E:E,"ERRO",0)</f>
        <v>P80</v>
      </c>
      <c r="I149" s="83" t="str">
        <f>VLOOKUP(Tabela1[[#This Row],[Matrícula]],Equipe!B:F,5,0)</f>
        <v>Novo</v>
      </c>
    </row>
    <row r="150" spans="1:9">
      <c r="A150" s="83" t="s">
        <v>90</v>
      </c>
      <c r="B150" s="92">
        <f>_xlfn.XLOOKUP(A150,Equipe!H:H,Equipe!B:B,"",0)</f>
        <v>9683150</v>
      </c>
      <c r="C150" s="152">
        <v>45870</v>
      </c>
      <c r="D150" s="152">
        <f>((IF(Tabela1[[#This Row],[Início]]&lt;&gt;"",C150+E150-1,""))*1)*1</f>
        <v>45870</v>
      </c>
      <c r="E150" s="83">
        <v>1</v>
      </c>
      <c r="F150" s="83" t="s">
        <v>14</v>
      </c>
      <c r="G150" s="88"/>
      <c r="H150" s="83" t="str">
        <f>_xlfn.XLOOKUP(Tabela1[[#This Row],[Matrícula]],Equipe!B:B,Equipe!E:E,"ERRO",0)</f>
        <v>P80</v>
      </c>
      <c r="I150" s="83" t="str">
        <f>VLOOKUP(Tabela1[[#This Row],[Matrícula]],Equipe!B:F,5,0)</f>
        <v>Experiente</v>
      </c>
    </row>
    <row r="151" spans="1:9">
      <c r="A151" s="83" t="s">
        <v>108</v>
      </c>
      <c r="B151" s="92">
        <f>_xlfn.XLOOKUP(A151,Equipe!H:H,Equipe!B:B,"",0)</f>
        <v>4612243</v>
      </c>
      <c r="C151" s="152">
        <v>45873</v>
      </c>
      <c r="D151" s="152">
        <f>((IF(Tabela1[[#This Row],[Início]]&lt;&gt;"",C151+E151-1,""))*1)*1</f>
        <v>45877</v>
      </c>
      <c r="E151" s="83">
        <v>5</v>
      </c>
      <c r="F151" s="83" t="s">
        <v>11</v>
      </c>
      <c r="G151" s="88" t="s">
        <v>139</v>
      </c>
      <c r="H151" s="83" t="str">
        <f>_xlfn.XLOOKUP(Tabela1[[#This Row],[Matrícula]],Equipe!B:B,Equipe!E:E,"ERRO",0)</f>
        <v>P80</v>
      </c>
      <c r="I151" s="83" t="str">
        <f>VLOOKUP(Tabela1[[#This Row],[Matrícula]],Equipe!B:F,5,0)</f>
        <v>Novo</v>
      </c>
    </row>
    <row r="152" spans="1:9">
      <c r="A152" s="83" t="s">
        <v>109</v>
      </c>
      <c r="B152" s="92">
        <f>_xlfn.XLOOKUP(A152,Equipe!H:H,Equipe!B:B,"",0)</f>
        <v>4612389</v>
      </c>
      <c r="C152" s="152">
        <v>45873</v>
      </c>
      <c r="D152" s="152">
        <v>45877</v>
      </c>
      <c r="E152" s="83">
        <v>5</v>
      </c>
      <c r="F152" s="83" t="s">
        <v>11</v>
      </c>
      <c r="G152" s="88" t="s">
        <v>139</v>
      </c>
      <c r="H152" s="83" t="str">
        <f>_xlfn.XLOOKUP(Tabela1[[#This Row],[Matrícula]],Equipe!B:B,Equipe!E:E,"ERRO",0)</f>
        <v>P80</v>
      </c>
      <c r="I152" s="83" t="str">
        <f>VLOOKUP(Tabela1[[#This Row],[Matrícula]],Equipe!B:F,5,0)</f>
        <v>Novo</v>
      </c>
    </row>
    <row r="153" spans="1:9" hidden="1">
      <c r="A153" s="83" t="s">
        <v>111</v>
      </c>
      <c r="B153" s="92">
        <f>_xlfn.XLOOKUP(A153,Equipe!H:H,Equipe!B:B,"",0)</f>
        <v>4612126</v>
      </c>
      <c r="C153" s="152">
        <v>45873</v>
      </c>
      <c r="D153" s="152">
        <v>45877</v>
      </c>
      <c r="E153" s="83">
        <v>5</v>
      </c>
      <c r="F153" s="83" t="s">
        <v>11</v>
      </c>
      <c r="G153" s="88" t="s">
        <v>43</v>
      </c>
      <c r="H153" s="83" t="str">
        <f>_xlfn.XLOOKUP(Tabela1[[#This Row],[Matrícula]],Equipe!B:B,Equipe!E:E,"ERRO",0)</f>
        <v>P82</v>
      </c>
      <c r="I153" s="83" t="str">
        <f>VLOOKUP(Tabela1[[#This Row],[Matrícula]],Equipe!B:F,5,0)</f>
        <v>Novo</v>
      </c>
    </row>
    <row r="154" spans="1:9" hidden="1">
      <c r="A154" s="83" t="s">
        <v>113</v>
      </c>
      <c r="B154" s="92">
        <f>_xlfn.XLOOKUP(A154,Equipe!H:H,Equipe!B:B,"",0)</f>
        <v>4612192</v>
      </c>
      <c r="C154" s="152">
        <v>45873</v>
      </c>
      <c r="D154" s="152">
        <f>((IF(Tabela1[[#This Row],[Início]]&lt;&gt;"",C154+E154-1,""))*1)*1</f>
        <v>45877</v>
      </c>
      <c r="E154" s="83">
        <v>5</v>
      </c>
      <c r="F154" s="83" t="s">
        <v>11</v>
      </c>
      <c r="G154" s="88" t="s">
        <v>139</v>
      </c>
      <c r="H154" s="83" t="str">
        <f>_xlfn.XLOOKUP(Tabela1[[#This Row],[Matrícula]],Equipe!B:B,Equipe!E:E,"ERRO",0)</f>
        <v>P82</v>
      </c>
      <c r="I154" s="83" t="str">
        <f>VLOOKUP(Tabela1[[#This Row],[Matrícula]],Equipe!B:F,5,0)</f>
        <v>Novo</v>
      </c>
    </row>
    <row r="155" spans="1:9" hidden="1">
      <c r="A155" s="83" t="s">
        <v>56</v>
      </c>
      <c r="B155" s="92">
        <f>_xlfn.XLOOKUP(A155,Equipe!H:H,Equipe!B:B,"",0)</f>
        <v>2477135</v>
      </c>
      <c r="C155" s="152">
        <v>45874</v>
      </c>
      <c r="D155" s="180">
        <f>((IF(Tabela1[[#This Row],[Início]]&lt;&gt;"",C155+E155-1,""))*1)*1</f>
        <v>45894</v>
      </c>
      <c r="E155" s="83">
        <v>21</v>
      </c>
      <c r="F155" s="83" t="s">
        <v>14</v>
      </c>
      <c r="G155" s="88" t="s">
        <v>15</v>
      </c>
      <c r="H155" s="83" t="str">
        <f>_xlfn.XLOOKUP(Tabela1[[#This Row],[Matrícula]],Equipe!B:B,Equipe!E:E,"ERRO",0)</f>
        <v>P83</v>
      </c>
      <c r="I155" s="83" t="str">
        <f>VLOOKUP(Tabela1[[#This Row],[Matrícula]],Equipe!B:F,5,0)</f>
        <v>Experiente</v>
      </c>
    </row>
    <row r="156" spans="1:9" hidden="1">
      <c r="A156" s="83" t="s">
        <v>10</v>
      </c>
      <c r="B156" s="92">
        <f>_xlfn.XLOOKUP(A156,Equipe!H:H,Equipe!B:B,"",0)</f>
        <v>4612393</v>
      </c>
      <c r="C156" s="152">
        <v>45875</v>
      </c>
      <c r="D156" s="152">
        <f>((IF(Tabela1[[#This Row],[Início]]&lt;&gt;"",C156+E156-1,""))*1)*1</f>
        <v>45875</v>
      </c>
      <c r="E156" s="83">
        <v>1</v>
      </c>
      <c r="F156" s="83" t="s">
        <v>11</v>
      </c>
      <c r="G156" s="88" t="s">
        <v>124</v>
      </c>
      <c r="H156" s="83" t="str">
        <f>_xlfn.XLOOKUP(Tabela1[[#This Row],[Matrícula]],Equipe!B:B,Equipe!E:E,"ERRO",0)</f>
        <v>P83</v>
      </c>
      <c r="I156" s="83" t="str">
        <f>VLOOKUP(Tabela1[[#This Row],[Matrícula]],Equipe!B:F,5,0)</f>
        <v>Novo</v>
      </c>
    </row>
    <row r="157" spans="1:9" hidden="1">
      <c r="A157" s="83" t="s">
        <v>140</v>
      </c>
      <c r="B157" s="92">
        <f>_xlfn.XLOOKUP(A157,Equipe!H:H,Equipe!B:B,"",0)</f>
        <v>4612247</v>
      </c>
      <c r="C157" s="152">
        <v>45875</v>
      </c>
      <c r="D157" s="152">
        <f>((IF(Tabela1[[#This Row],[Início]]&lt;&gt;"",C157+E157-1,""))*1)*1</f>
        <v>45875</v>
      </c>
      <c r="E157" s="83">
        <v>1</v>
      </c>
      <c r="F157" s="83" t="s">
        <v>11</v>
      </c>
      <c r="G157" s="88" t="s">
        <v>96</v>
      </c>
      <c r="H157" s="83" t="str">
        <f>_xlfn.XLOOKUP(Tabela1[[#This Row],[Matrícula]],Equipe!B:B,Equipe!E:E,"ERRO",0)</f>
        <v>P83</v>
      </c>
      <c r="I157" s="83" t="str">
        <f>VLOOKUP(Tabela1[[#This Row],[Matrícula]],Equipe!B:F,5,0)</f>
        <v>Novo</v>
      </c>
    </row>
    <row r="158" spans="1:9">
      <c r="A158" s="83" t="s">
        <v>62</v>
      </c>
      <c r="B158" s="92">
        <f>_xlfn.XLOOKUP(A158,Equipe!H:H,Equipe!B:B,"",0)</f>
        <v>9886449</v>
      </c>
      <c r="C158" s="152">
        <v>45877</v>
      </c>
      <c r="D158" s="152">
        <f>((IF(Tabela1[[#This Row],[Início]]&lt;&gt;"",C158+E158-1,""))*1)*1</f>
        <v>45877</v>
      </c>
      <c r="E158" s="83">
        <v>1</v>
      </c>
      <c r="F158" s="83" t="s">
        <v>14</v>
      </c>
      <c r="G158" s="88" t="s">
        <v>141</v>
      </c>
      <c r="H158" s="83" t="str">
        <f>_xlfn.XLOOKUP(Tabela1[[#This Row],[Matrícula]],Equipe!B:B,Equipe!E:E,"ERRO",0)</f>
        <v>P80</v>
      </c>
      <c r="I158" s="83" t="str">
        <f>VLOOKUP(Tabela1[[#This Row],[Matrícula]],Equipe!B:F,5,0)</f>
        <v>Experiente</v>
      </c>
    </row>
    <row r="159" spans="1:9" hidden="1">
      <c r="A159" s="83" t="s">
        <v>142</v>
      </c>
      <c r="B159" s="92">
        <f>_xlfn.XLOOKUP(A159,Equipe!H:H,Equipe!B:B,"",0)</f>
        <v>4612228</v>
      </c>
      <c r="C159" s="152">
        <v>45877</v>
      </c>
      <c r="D159" s="152">
        <f>((IF(Tabela1[[#This Row],[Início]]&lt;&gt;"",C159+E159-1,""))*1)*1</f>
        <v>45877</v>
      </c>
      <c r="E159" s="83">
        <v>1</v>
      </c>
      <c r="F159" s="83" t="s">
        <v>11</v>
      </c>
      <c r="G159" s="88" t="s">
        <v>124</v>
      </c>
      <c r="H159" s="83" t="str">
        <f>_xlfn.XLOOKUP(Tabela1[[#This Row],[Matrícula]],Equipe!B:B,Equipe!E:E,"ERRO",0)</f>
        <v>P82</v>
      </c>
      <c r="I159" s="83" t="str">
        <f>VLOOKUP(Tabela1[[#This Row],[Matrícula]],Equipe!B:F,5,0)</f>
        <v>Novo</v>
      </c>
    </row>
    <row r="160" spans="1:9" hidden="1">
      <c r="A160" s="83" t="s">
        <v>140</v>
      </c>
      <c r="B160" s="92">
        <f>_xlfn.XLOOKUP(A160,Equipe!H:H,Equipe!B:B,"",0)</f>
        <v>4612247</v>
      </c>
      <c r="C160" s="152">
        <v>45880</v>
      </c>
      <c r="D160" s="152">
        <f>((IF(Tabela1[[#This Row],[Início]]&lt;&gt;"",C160+E160-1,""))*1)*1</f>
        <v>45884</v>
      </c>
      <c r="E160" s="83">
        <v>5</v>
      </c>
      <c r="F160" s="83" t="s">
        <v>11</v>
      </c>
      <c r="G160" s="88" t="s">
        <v>139</v>
      </c>
      <c r="H160" s="83" t="str">
        <f>_xlfn.XLOOKUP(Tabela1[[#This Row],[Matrícula]],Equipe!B:B,Equipe!E:E,"ERRO",0)</f>
        <v>P83</v>
      </c>
      <c r="I160" s="83" t="str">
        <f>VLOOKUP(Tabela1[[#This Row],[Matrícula]],Equipe!B:F,5,0)</f>
        <v>Novo</v>
      </c>
    </row>
    <row r="161" spans="1:9" hidden="1">
      <c r="A161" s="83" t="s">
        <v>42</v>
      </c>
      <c r="B161" s="92">
        <f>_xlfn.XLOOKUP(A161,Equipe!H:H,Equipe!B:B,"",0)</f>
        <v>9634222</v>
      </c>
      <c r="C161" s="152">
        <v>45881</v>
      </c>
      <c r="D161" s="152">
        <f>((IF(Tabela1[[#This Row],[Início]]&lt;&gt;"",C161+E161-1,""))*1)*1</f>
        <v>45894</v>
      </c>
      <c r="E161" s="83">
        <v>14</v>
      </c>
      <c r="F161" s="83" t="s">
        <v>17</v>
      </c>
      <c r="G161" s="88" t="s">
        <v>23</v>
      </c>
      <c r="H161" s="83" t="str">
        <f>_xlfn.XLOOKUP(Tabela1[[#This Row],[Matrícula]],Equipe!B:B,Equipe!E:E,"ERRO",0)</f>
        <v>P83</v>
      </c>
      <c r="I161" s="83" t="str">
        <f>VLOOKUP(Tabela1[[#This Row],[Matrícula]],Equipe!B:F,5,0)</f>
        <v>Experiente</v>
      </c>
    </row>
    <row r="162" spans="1:9">
      <c r="A162" s="83" t="s">
        <v>22</v>
      </c>
      <c r="B162" s="92">
        <f>_xlfn.XLOOKUP(A162,Equipe!H:H,Equipe!B:B,"",0)</f>
        <v>4608389</v>
      </c>
      <c r="C162" s="152">
        <v>45882</v>
      </c>
      <c r="D162" s="152">
        <f>((IF(Tabela1[[#This Row],[Início]]&lt;&gt;"",C162+E162-1,""))*1)*1</f>
        <v>45910</v>
      </c>
      <c r="E162" s="83">
        <v>29</v>
      </c>
      <c r="F162" s="83" t="s">
        <v>14</v>
      </c>
      <c r="G162" s="88" t="s">
        <v>19</v>
      </c>
      <c r="H162" s="83" t="str">
        <f>_xlfn.XLOOKUP(Tabela1[[#This Row],[Matrícula]],Equipe!B:B,Equipe!E:E,"ERRO",0)</f>
        <v>P80</v>
      </c>
      <c r="I162" s="83" t="str">
        <f>VLOOKUP(Tabela1[[#This Row],[Matrícula]],Equipe!B:F,5,0)</f>
        <v>Novo</v>
      </c>
    </row>
    <row r="163" spans="1:9">
      <c r="A163" s="83" t="s">
        <v>35</v>
      </c>
      <c r="B163" s="92">
        <f>_xlfn.XLOOKUP(A163,Equipe!H:H,Equipe!B:B,"",0)</f>
        <v>9842940</v>
      </c>
      <c r="C163" s="152">
        <v>45883</v>
      </c>
      <c r="D163" s="152">
        <f>((IF(Tabela1[[#This Row],[Início]]&lt;&gt;"",C163+E163-1,""))*1)*1</f>
        <v>45911</v>
      </c>
      <c r="E163" s="83">
        <v>29</v>
      </c>
      <c r="F163" s="83" t="s">
        <v>14</v>
      </c>
      <c r="G163" s="88" t="s">
        <v>15</v>
      </c>
      <c r="H163" s="83" t="str">
        <f>_xlfn.XLOOKUP(Tabela1[[#This Row],[Matrícula]],Equipe!B:B,Equipe!E:E,"ERRO",0)</f>
        <v>P80</v>
      </c>
      <c r="I163" s="83" t="str">
        <f>VLOOKUP(Tabela1[[#This Row],[Matrícula]],Equipe!B:F,5,0)</f>
        <v>Novo</v>
      </c>
    </row>
    <row r="164" spans="1:9" hidden="1">
      <c r="A164" s="83" t="s">
        <v>10</v>
      </c>
      <c r="B164" s="92">
        <f>_xlfn.XLOOKUP(A164,Equipe!H:H,Equipe!B:B,"",0)</f>
        <v>4612393</v>
      </c>
      <c r="C164" s="152">
        <v>45887</v>
      </c>
      <c r="D164" s="152">
        <f>((IF(Tabela1[[#This Row],[Início]]&lt;&gt;"",C164+E164-1,""))*1)*1</f>
        <v>45891</v>
      </c>
      <c r="E164" s="83">
        <v>5</v>
      </c>
      <c r="F164" s="83" t="s">
        <v>11</v>
      </c>
      <c r="G164" s="88" t="s">
        <v>139</v>
      </c>
      <c r="H164" s="83" t="str">
        <f>_xlfn.XLOOKUP(Tabela1[[#This Row],[Matrícula]],Equipe!B:B,Equipe!E:E,"ERRO",0)</f>
        <v>P83</v>
      </c>
      <c r="I164" s="83" t="str">
        <f>VLOOKUP(Tabela1[[#This Row],[Matrícula]],Equipe!B:F,5,0)</f>
        <v>Novo</v>
      </c>
    </row>
    <row r="165" spans="1:9" hidden="1">
      <c r="A165" s="83" t="s">
        <v>142</v>
      </c>
      <c r="B165" s="92">
        <f>_xlfn.XLOOKUP(A165,Equipe!H:H,Equipe!B:B,"",0)</f>
        <v>4612228</v>
      </c>
      <c r="C165" s="152">
        <v>45887</v>
      </c>
      <c r="D165" s="152">
        <f>((IF(Tabela1[[#This Row],[Início]]&lt;&gt;"",C165+E165-1,""))*1)*1</f>
        <v>45891</v>
      </c>
      <c r="E165" s="83">
        <v>5</v>
      </c>
      <c r="F165" s="83" t="s">
        <v>11</v>
      </c>
      <c r="G165" s="88" t="s">
        <v>139</v>
      </c>
      <c r="H165" s="83" t="str">
        <f>_xlfn.XLOOKUP(Tabela1[[#This Row],[Matrícula]],Equipe!B:B,Equipe!E:E,"ERRO",0)</f>
        <v>P82</v>
      </c>
      <c r="I165" s="83" t="str">
        <f>VLOOKUP(Tabela1[[#This Row],[Matrícula]],Equipe!B:F,5,0)</f>
        <v>Novo</v>
      </c>
    </row>
    <row r="166" spans="1:9" hidden="1">
      <c r="A166" s="83" t="s">
        <v>140</v>
      </c>
      <c r="B166" s="92">
        <f>_xlfn.XLOOKUP(A166,Equipe!H:H,Equipe!B:B,"",0)</f>
        <v>4612247</v>
      </c>
      <c r="C166" s="152">
        <v>45887</v>
      </c>
      <c r="D166" s="152">
        <f>((IF(Tabela1[[#This Row],[Início]]&lt;&gt;"",C166+E166-1,""))*1)*1</f>
        <v>45887</v>
      </c>
      <c r="E166" s="83">
        <v>1</v>
      </c>
      <c r="F166" s="83" t="s">
        <v>11</v>
      </c>
      <c r="G166" s="88" t="s">
        <v>124</v>
      </c>
      <c r="H166" s="83" t="str">
        <f>_xlfn.XLOOKUP(Tabela1[[#This Row],[Matrícula]],Equipe!B:B,Equipe!E:E,"ERRO",0)</f>
        <v>P83</v>
      </c>
      <c r="I166" s="83" t="str">
        <f>VLOOKUP(Tabela1[[#This Row],[Matrícula]],Equipe!B:F,5,0)</f>
        <v>Novo</v>
      </c>
    </row>
    <row r="167" spans="1:9" hidden="1">
      <c r="A167" s="83" t="s">
        <v>34</v>
      </c>
      <c r="B167" s="92">
        <f>_xlfn.XLOOKUP(A167,Equipe!H:H,Equipe!B:B,"",0)</f>
        <v>4608474</v>
      </c>
      <c r="C167" s="152">
        <v>45889</v>
      </c>
      <c r="D167" s="152">
        <f>((IF(Tabela1[[#This Row],[Início]]&lt;&gt;"",C167+E167-1,""))*1)*1</f>
        <v>45891</v>
      </c>
      <c r="E167" s="83">
        <v>3</v>
      </c>
      <c r="F167" s="83" t="s">
        <v>14</v>
      </c>
      <c r="G167" s="88" t="s">
        <v>95</v>
      </c>
      <c r="H167" s="83" t="str">
        <f>_xlfn.XLOOKUP(Tabela1[[#This Row],[Matrícula]],Equipe!B:B,Equipe!E:E,"ERRO",0)</f>
        <v>P82</v>
      </c>
      <c r="I167" s="83" t="str">
        <f>VLOOKUP(Tabela1[[#This Row],[Matrícula]],Equipe!B:F,5,0)</f>
        <v>Novo</v>
      </c>
    </row>
    <row r="168" spans="1:9" hidden="1">
      <c r="A168" s="83" t="s">
        <v>20</v>
      </c>
      <c r="B168" s="92">
        <f>_xlfn.XLOOKUP(A168,Equipe!H:H,Equipe!B:B,"",0)</f>
        <v>4608559</v>
      </c>
      <c r="C168" s="152">
        <v>45889</v>
      </c>
      <c r="D168" s="152">
        <f>((IF(Tabela1[[#This Row],[Início]]&lt;&gt;"",C168+E168-1,""))*1)*1</f>
        <v>45891</v>
      </c>
      <c r="E168" s="83">
        <v>3</v>
      </c>
      <c r="F168" s="83" t="s">
        <v>17</v>
      </c>
      <c r="G168" s="88"/>
      <c r="H168" s="83" t="str">
        <f>_xlfn.XLOOKUP(Tabela1[[#This Row],[Matrícula]],Equipe!B:B,Equipe!E:E,"ERRO",0)</f>
        <v>P83</v>
      </c>
      <c r="I168" s="83" t="str">
        <f>VLOOKUP(Tabela1[[#This Row],[Matrícula]],Equipe!B:F,5,0)</f>
        <v>Novo</v>
      </c>
    </row>
    <row r="169" spans="1:9" hidden="1">
      <c r="A169" s="87" t="s">
        <v>114</v>
      </c>
      <c r="B169" s="109">
        <v>4612140</v>
      </c>
      <c r="C169" s="152">
        <v>45889</v>
      </c>
      <c r="D169" s="152">
        <f>((IF(Tabela1[[#This Row],[Início]]&lt;&gt;"",C169+E169-1,""))*1)*1</f>
        <v>45895</v>
      </c>
      <c r="E169" s="87">
        <v>7</v>
      </c>
      <c r="F169" s="87" t="s">
        <v>17</v>
      </c>
      <c r="G169" s="93" t="s">
        <v>83</v>
      </c>
      <c r="H169" s="87" t="str">
        <f>_xlfn.XLOOKUP(Tabela1[[#This Row],[Matrícula]],Equipe!B:B,Equipe!E:E,"ERRO",0)</f>
        <v>P83</v>
      </c>
      <c r="I169" s="87" t="str">
        <f>VLOOKUP(Tabela1[[#This Row],[Matrícula]],Equipe!B:F,5,0)</f>
        <v>Novo</v>
      </c>
    </row>
    <row r="170" spans="1:9">
      <c r="A170" s="83" t="s">
        <v>104</v>
      </c>
      <c r="B170" s="92">
        <f>_xlfn.XLOOKUP(A170,Equipe!H:H,Equipe!B:B,"",0)</f>
        <v>4612098</v>
      </c>
      <c r="C170" s="152">
        <v>45890</v>
      </c>
      <c r="D170" s="152">
        <f>((IF(Tabela1[[#This Row],[Início]]&lt;&gt;"",C170+E170-1,""))*1)*1</f>
        <v>45899</v>
      </c>
      <c r="E170" s="83">
        <v>10</v>
      </c>
      <c r="F170" s="83" t="s">
        <v>17</v>
      </c>
      <c r="G170" s="88" t="s">
        <v>143</v>
      </c>
      <c r="H170" s="83" t="str">
        <f>_xlfn.XLOOKUP(Tabela1[[#This Row],[Matrícula]],Equipe!B:B,Equipe!E:E,"ERRO",0)</f>
        <v>P80</v>
      </c>
      <c r="I170" s="83" t="str">
        <f>VLOOKUP(Tabela1[[#This Row],[Matrícula]],Equipe!B:F,5,0)</f>
        <v>Novo</v>
      </c>
    </row>
    <row r="171" spans="1:9">
      <c r="A171" s="83" t="s">
        <v>62</v>
      </c>
      <c r="B171" s="92">
        <f>_xlfn.XLOOKUP(A171,Equipe!H:H,Equipe!B:B,"",0)</f>
        <v>9886449</v>
      </c>
      <c r="C171" s="152">
        <v>45894</v>
      </c>
      <c r="D171" s="152">
        <f>((IF(Tabela1[[#This Row],[Início]]&lt;&gt;"",C171+E171-1,""))*1)*1</f>
        <v>45896</v>
      </c>
      <c r="E171" s="83">
        <v>3</v>
      </c>
      <c r="F171" s="83" t="s">
        <v>11</v>
      </c>
      <c r="G171" s="88" t="s">
        <v>144</v>
      </c>
      <c r="H171" s="83" t="str">
        <f>_xlfn.XLOOKUP(Tabela1[[#This Row],[Matrícula]],Equipe!B:B,Equipe!E:E,"ERRO",0)</f>
        <v>P80</v>
      </c>
      <c r="I171" s="83" t="str">
        <f>VLOOKUP(Tabela1[[#This Row],[Matrícula]],Equipe!B:F,5,0)</f>
        <v>Experiente</v>
      </c>
    </row>
    <row r="172" spans="1:9" hidden="1">
      <c r="A172" s="83" t="s">
        <v>20</v>
      </c>
      <c r="B172" s="92">
        <v>4608559</v>
      </c>
      <c r="C172" s="152">
        <v>45895</v>
      </c>
      <c r="D172" s="152">
        <f>((IF(Tabela1[[#This Row],[Início]]&lt;&gt;"",C172+E172-1,""))*1)*1</f>
        <v>45896</v>
      </c>
      <c r="E172" s="83">
        <v>2</v>
      </c>
      <c r="F172" s="83" t="s">
        <v>11</v>
      </c>
      <c r="G172" s="88" t="s">
        <v>145</v>
      </c>
      <c r="H172" s="83" t="str">
        <f>_xlfn.XLOOKUP(Tabela1[[#This Row],[Matrícula]],Equipe!B:B,Equipe!E:E,"ERRO",0)</f>
        <v>P83</v>
      </c>
      <c r="I172" s="83" t="str">
        <f>VLOOKUP(Tabela1[[#This Row],[Matrícula]],Equipe!B:F,5,0)</f>
        <v>Novo</v>
      </c>
    </row>
    <row r="173" spans="1:9" hidden="1">
      <c r="A173" s="83" t="s">
        <v>42</v>
      </c>
      <c r="B173" s="92">
        <f>_xlfn.XLOOKUP(A173,Equipe!H:H,Equipe!B:B,"",0)</f>
        <v>9634222</v>
      </c>
      <c r="C173" s="152">
        <v>45895</v>
      </c>
      <c r="D173" s="152">
        <f>((IF(Tabela1[[#This Row],[Início]]&lt;&gt;"",C173+E173-1,""))*1)*1</f>
        <v>45915</v>
      </c>
      <c r="E173" s="83">
        <v>21</v>
      </c>
      <c r="F173" s="83" t="s">
        <v>14</v>
      </c>
      <c r="G173" s="88" t="s">
        <v>146</v>
      </c>
      <c r="H173" s="83" t="str">
        <f>_xlfn.XLOOKUP(Tabela1[[#This Row],[Matrícula]],Equipe!B:B,Equipe!E:E,"ERRO",0)</f>
        <v>P83</v>
      </c>
      <c r="I173" s="83" t="str">
        <f>VLOOKUP(Tabela1[[#This Row],[Matrícula]],Equipe!B:F,5,0)</f>
        <v>Experiente</v>
      </c>
    </row>
    <row r="174" spans="1:9" hidden="1">
      <c r="A174" s="87" t="s">
        <v>114</v>
      </c>
      <c r="B174" s="109">
        <f>_xlfn.XLOOKUP(A174,Equipe!H:H,Equipe!B:B,"",0)</f>
        <v>4612140</v>
      </c>
      <c r="C174" s="152">
        <v>45896</v>
      </c>
      <c r="D174" s="152">
        <f>((IF(Tabela1[[#This Row],[Início]]&lt;&gt;"",C174+E174-1,""))*1)*1</f>
        <v>45910</v>
      </c>
      <c r="E174" s="87">
        <v>15</v>
      </c>
      <c r="F174" s="87" t="s">
        <v>14</v>
      </c>
      <c r="G174" s="93" t="s">
        <v>147</v>
      </c>
      <c r="H174" s="87" t="str">
        <f>_xlfn.XLOOKUP(Tabela1[[#This Row],[Matrícula]],Equipe!B:B,Equipe!E:E,"ERRO",0)</f>
        <v>P83</v>
      </c>
      <c r="I174" s="87" t="str">
        <f>VLOOKUP(Tabela1[[#This Row],[Matrícula]],Equipe!B:F,5,0)</f>
        <v>Novo</v>
      </c>
    </row>
    <row r="175" spans="1:9" hidden="1">
      <c r="A175" s="83" t="s">
        <v>20</v>
      </c>
      <c r="B175" s="92">
        <f>_xlfn.XLOOKUP(A175,Equipe!H:H,Equipe!B:B,"",0)</f>
        <v>4608559</v>
      </c>
      <c r="C175" s="152">
        <v>45897</v>
      </c>
      <c r="D175" s="152">
        <f>((IF(Tabela1[[#This Row],[Início]]&lt;&gt;"",C175+E175-1,""))*1)*1</f>
        <v>45898</v>
      </c>
      <c r="E175" s="83">
        <v>2</v>
      </c>
      <c r="F175" s="83" t="s">
        <v>14</v>
      </c>
      <c r="G175" s="88" t="s">
        <v>19</v>
      </c>
      <c r="H175" s="83" t="str">
        <f>_xlfn.XLOOKUP(Tabela1[[#This Row],[Matrícula]],Equipe!B:B,Equipe!E:E,"ERRO",0)</f>
        <v>P83</v>
      </c>
      <c r="I175" s="83" t="str">
        <f>VLOOKUP(Tabela1[[#This Row],[Matrícula]],Equipe!B:F,5,0)</f>
        <v>Novo</v>
      </c>
    </row>
    <row r="176" spans="1:9">
      <c r="A176" s="83" t="s">
        <v>104</v>
      </c>
      <c r="B176" s="92">
        <f>_xlfn.XLOOKUP(A176,Equipe!H:H,Equipe!B:B,"",0)</f>
        <v>4612098</v>
      </c>
      <c r="C176" s="152">
        <v>45901</v>
      </c>
      <c r="D176" s="152">
        <f>((IF(Tabela1[[#This Row],[Início]]&lt;&gt;"",C176+E176-1,""))*1)*1</f>
        <v>45921</v>
      </c>
      <c r="E176" s="83">
        <v>21</v>
      </c>
      <c r="F176" s="83" t="s">
        <v>14</v>
      </c>
      <c r="G176" s="88" t="s">
        <v>148</v>
      </c>
      <c r="H176" s="83" t="str">
        <f>_xlfn.XLOOKUP(Tabela1[[#This Row],[Matrícula]],Equipe!B:B,Equipe!E:E,"ERRO",0)</f>
        <v>P80</v>
      </c>
      <c r="I176" s="83" t="str">
        <f>VLOOKUP(Tabela1[[#This Row],[Matrícula]],Equipe!B:F,5,0)</f>
        <v>Novo</v>
      </c>
    </row>
    <row r="177" spans="1:9">
      <c r="A177" s="87" t="s">
        <v>44</v>
      </c>
      <c r="B177" s="109">
        <f>_xlfn.XLOOKUP(A177,Equipe!H:H,Equipe!B:B,"",0)</f>
        <v>1381625</v>
      </c>
      <c r="C177" s="152">
        <v>45901</v>
      </c>
      <c r="D177" s="152">
        <f>((IF(Tabela1[[#This Row],[Início]]&lt;&gt;"",C177+E177-1,""))*1)*1</f>
        <v>45903</v>
      </c>
      <c r="E177" s="87">
        <v>3</v>
      </c>
      <c r="F177" s="87" t="s">
        <v>14</v>
      </c>
      <c r="G177" s="93" t="s">
        <v>149</v>
      </c>
      <c r="H177" s="87" t="str">
        <f>_xlfn.XLOOKUP(Tabela1[[#This Row],[Matrícula]],Equipe!B:B,Equipe!E:E,"ERRO",0)</f>
        <v>P80</v>
      </c>
      <c r="I177" s="87" t="str">
        <f>VLOOKUP(Tabela1[[#This Row],[Matrícula]],Equipe!B:F,5,0)</f>
        <v>Experiente</v>
      </c>
    </row>
    <row r="178" spans="1:9" hidden="1">
      <c r="A178" s="83" t="s">
        <v>56</v>
      </c>
      <c r="B178" s="92">
        <f>_xlfn.XLOOKUP(A178,Equipe!H:H,Equipe!B:B,"",0)</f>
        <v>2477135</v>
      </c>
      <c r="C178" s="152">
        <v>45902</v>
      </c>
      <c r="D178" s="180">
        <f>((IF(Tabela1[[#This Row],[Início]]&lt;&gt;"",C178+E178-1,""))*1)*1</f>
        <v>45903</v>
      </c>
      <c r="E178" s="83">
        <v>2</v>
      </c>
      <c r="F178" s="83" t="s">
        <v>11</v>
      </c>
      <c r="G178" s="88" t="s">
        <v>150</v>
      </c>
      <c r="H178" s="83" t="str">
        <f>_xlfn.XLOOKUP(Tabela1[[#This Row],[Matrícula]],Equipe!B:B,Equipe!E:E,"ERRO",0)</f>
        <v>P83</v>
      </c>
      <c r="I178" s="83" t="str">
        <f>VLOOKUP(Tabela1[[#This Row],[Matrícula]],Equipe!B:F,5,0)</f>
        <v>Experiente</v>
      </c>
    </row>
    <row r="179" spans="1:9" hidden="1">
      <c r="A179" s="83" t="s">
        <v>50</v>
      </c>
      <c r="B179" s="92">
        <f>_xlfn.XLOOKUP(A179,Equipe!H:H,Equipe!B:B,"",0)</f>
        <v>4606694</v>
      </c>
      <c r="C179" s="152">
        <v>45902</v>
      </c>
      <c r="D179" s="152">
        <v>45903</v>
      </c>
      <c r="E179" s="83">
        <v>2</v>
      </c>
      <c r="F179" s="83" t="s">
        <v>11</v>
      </c>
      <c r="G179" s="88" t="s">
        <v>150</v>
      </c>
      <c r="H179" s="83" t="str">
        <f>_xlfn.XLOOKUP(Tabela1[[#This Row],[Matrícula]],Equipe!B:B,Equipe!E:E,"ERRO",0)</f>
        <v>PBAC</v>
      </c>
      <c r="I179" s="83" t="str">
        <f>VLOOKUP(Tabela1[[#This Row],[Matrícula]],Equipe!B:F,5,0)</f>
        <v>Novo</v>
      </c>
    </row>
    <row r="180" spans="1:9" hidden="1">
      <c r="A180" s="87" t="s">
        <v>16</v>
      </c>
      <c r="B180" s="109">
        <f>_xlfn.XLOOKUP(A180,Equipe!H:H,Equipe!B:B,"",0)</f>
        <v>4608544</v>
      </c>
      <c r="C180" s="152">
        <v>45904</v>
      </c>
      <c r="D180" s="152">
        <f>((IF(Tabela1[[#This Row],[Início]]&lt;&gt;"",C180+E180-1,""))*1)*1</f>
        <v>45917</v>
      </c>
      <c r="E180" s="87">
        <v>14</v>
      </c>
      <c r="F180" s="83" t="s">
        <v>17</v>
      </c>
      <c r="G180" s="88" t="s">
        <v>138</v>
      </c>
      <c r="H180" s="83" t="str">
        <f>_xlfn.XLOOKUP(Tabela1[[#This Row],[Matrícula]],Equipe!B:B,Equipe!E:E,"ERRO",0)</f>
        <v>P82</v>
      </c>
      <c r="I180" s="83" t="str">
        <f>VLOOKUP(Tabela1[[#This Row],[Matrícula]],Equipe!B:F,5,0)</f>
        <v>Novo</v>
      </c>
    </row>
    <row r="181" spans="1:9" hidden="1">
      <c r="A181" s="83" t="s">
        <v>57</v>
      </c>
      <c r="B181" s="92">
        <f>_xlfn.XLOOKUP(A181,Equipe!H:H,Equipe!B:B,"",0)</f>
        <v>4608684</v>
      </c>
      <c r="C181" s="152">
        <v>45908</v>
      </c>
      <c r="D181" s="152">
        <f>((IF(Tabela1[[#This Row],[Início]]&lt;&gt;"",C181+E181-1,""))*1)*1</f>
        <v>45912</v>
      </c>
      <c r="E181" s="83">
        <v>5</v>
      </c>
      <c r="F181" s="83" t="s">
        <v>11</v>
      </c>
      <c r="G181" s="93" t="s">
        <v>151</v>
      </c>
      <c r="H181" s="83" t="str">
        <f>_xlfn.XLOOKUP(Tabela1[[#This Row],[Matrícula]],Equipe!B:B,Equipe!E:E,"ERRO",0)</f>
        <v>P82</v>
      </c>
      <c r="I181" s="83" t="str">
        <f>VLOOKUP(Tabela1[[#This Row],[Matrícula]],Equipe!B:F,5,0)</f>
        <v>Novo</v>
      </c>
    </row>
    <row r="182" spans="1:9" hidden="1">
      <c r="A182" s="83" t="s">
        <v>40</v>
      </c>
      <c r="B182" s="92">
        <f>_xlfn.XLOOKUP(A182,Equipe!H:H,Equipe!B:B,"",0)</f>
        <v>9724817</v>
      </c>
      <c r="C182" s="152">
        <v>45909</v>
      </c>
      <c r="D182" s="152">
        <f>((IF(Tabela1[[#This Row],[Início]]&lt;&gt;"",C182+E182-1,""))*1)*1</f>
        <v>45912</v>
      </c>
      <c r="E182" s="83">
        <v>4</v>
      </c>
      <c r="F182" s="83" t="s">
        <v>14</v>
      </c>
      <c r="G182" s="88" t="s">
        <v>95</v>
      </c>
      <c r="H182" s="83" t="str">
        <f>_xlfn.XLOOKUP(Tabela1[[#This Row],[Matrícula]],Equipe!B:B,Equipe!E:E,"ERRO",0)</f>
        <v>P82</v>
      </c>
      <c r="I182" s="83" t="str">
        <f>VLOOKUP(Tabela1[[#This Row],[Matrícula]],Equipe!B:F,5,0)</f>
        <v>Experiente</v>
      </c>
    </row>
    <row r="183" spans="1:9" hidden="1">
      <c r="A183" s="83" t="s">
        <v>31</v>
      </c>
      <c r="B183" s="92">
        <f>_xlfn.XLOOKUP(A183,Equipe!H:H,Equipe!B:B,"",0)</f>
        <v>1386344</v>
      </c>
      <c r="C183" s="152">
        <v>45911</v>
      </c>
      <c r="D183" s="152">
        <f>((IF(Tabela1[[#This Row],[Início]]&lt;&gt;"",C183+E183-1,""))*1)*1</f>
        <v>45911</v>
      </c>
      <c r="E183" s="83">
        <v>1</v>
      </c>
      <c r="F183" s="87" t="s">
        <v>14</v>
      </c>
      <c r="G183" s="88" t="s">
        <v>95</v>
      </c>
      <c r="H183" s="83" t="str">
        <f>_xlfn.XLOOKUP(Tabela1[[#This Row],[Matrícula]],Equipe!B:B,Equipe!E:E,"ERRO",0)</f>
        <v>P82</v>
      </c>
      <c r="I183" s="83" t="str">
        <f>VLOOKUP(Tabela1[[#This Row],[Matrícula]],Equipe!B:F,5,0)</f>
        <v>Experiente</v>
      </c>
    </row>
    <row r="184" spans="1:9" hidden="1">
      <c r="A184" s="83" t="s">
        <v>31</v>
      </c>
      <c r="B184" s="92">
        <f>_xlfn.XLOOKUP(A184,Equipe!H:H,Equipe!B:B,"",0)</f>
        <v>1386344</v>
      </c>
      <c r="C184" s="152">
        <v>45912</v>
      </c>
      <c r="D184" s="152">
        <f>((IF(Tabela1[[#This Row],[Início]]&lt;&gt;"",C184+E184-1,""))*1)*1</f>
        <v>45912</v>
      </c>
      <c r="E184" s="83">
        <v>1</v>
      </c>
      <c r="F184" s="87" t="s">
        <v>14</v>
      </c>
      <c r="G184" s="88" t="s">
        <v>95</v>
      </c>
      <c r="H184" s="83" t="str">
        <f>_xlfn.XLOOKUP(Tabela1[[#This Row],[Matrícula]],Equipe!B:B,Equipe!E:E,"ERRO",0)</f>
        <v>P82</v>
      </c>
      <c r="I184" s="83" t="str">
        <f>VLOOKUP(Tabela1[[#This Row],[Matrícula]],Equipe!B:F,5,0)</f>
        <v>Experiente</v>
      </c>
    </row>
    <row r="185" spans="1:9" hidden="1">
      <c r="A185" s="87" t="s">
        <v>37</v>
      </c>
      <c r="B185" s="109">
        <f>_xlfn.XLOOKUP(A185,Equipe!H:H,Equipe!B:B,"",0)</f>
        <v>2493288</v>
      </c>
      <c r="C185" s="152">
        <v>45912</v>
      </c>
      <c r="D185" s="152">
        <f>((IF(Tabela1[[#This Row],[Início]]&lt;&gt;"",C185+E185-1,""))*1)*1</f>
        <v>45912</v>
      </c>
      <c r="E185" s="87">
        <v>1</v>
      </c>
      <c r="F185" s="87" t="s">
        <v>14</v>
      </c>
      <c r="G185" s="93" t="s">
        <v>39</v>
      </c>
      <c r="H185" s="87" t="str">
        <f>_xlfn.XLOOKUP(Tabela1[[#This Row],[Matrícula]],Equipe!B:B,Equipe!E:E,"ERRO",0)</f>
        <v>PBAC</v>
      </c>
      <c r="I185" s="87" t="str">
        <f>VLOOKUP(Tabela1[[#This Row],[Matrícula]],Equipe!B:F,5,0)</f>
        <v>Experiente</v>
      </c>
    </row>
    <row r="186" spans="1:9" hidden="1">
      <c r="A186" s="83" t="s">
        <v>37</v>
      </c>
      <c r="B186" s="92">
        <f>_xlfn.XLOOKUP(A186,Equipe!H:H,Equipe!B:B,"",0)</f>
        <v>2493288</v>
      </c>
      <c r="C186" s="152">
        <v>45916</v>
      </c>
      <c r="D186" s="152">
        <f>((IF(Tabela1[[#This Row],[Início]]&lt;&gt;"",C186+E186-1,""))*1)*1</f>
        <v>45918</v>
      </c>
      <c r="E186" s="83">
        <v>3</v>
      </c>
      <c r="F186" s="83" t="s">
        <v>11</v>
      </c>
      <c r="G186" s="88" t="s">
        <v>152</v>
      </c>
      <c r="H186" s="83" t="str">
        <f>_xlfn.XLOOKUP(Tabela1[[#This Row],[Matrícula]],Equipe!B:B,Equipe!E:E,"ERRO",0)</f>
        <v>PBAC</v>
      </c>
      <c r="I186" s="83" t="str">
        <f>VLOOKUP(Tabela1[[#This Row],[Matrícula]],Equipe!B:F,5,0)</f>
        <v>Experiente</v>
      </c>
    </row>
    <row r="187" spans="1:9" hidden="1">
      <c r="A187" s="83" t="s">
        <v>42</v>
      </c>
      <c r="B187" s="92">
        <f>_xlfn.XLOOKUP(A187,Equipe!H:H,Equipe!B:B,"",0)</f>
        <v>9634222</v>
      </c>
      <c r="C187" s="152">
        <v>45916</v>
      </c>
      <c r="D187" s="152">
        <f>((IF(Tabela1[[#This Row],[Início]]&lt;&gt;"",C187+E187-1,""))*1)*1</f>
        <v>45918</v>
      </c>
      <c r="E187" s="83">
        <v>3</v>
      </c>
      <c r="F187" s="83" t="s">
        <v>11</v>
      </c>
      <c r="G187" s="88" t="s">
        <v>153</v>
      </c>
      <c r="H187" s="83" t="str">
        <f>_xlfn.XLOOKUP(Tabela1[[#This Row],[Matrícula]],Equipe!B:B,Equipe!E:E,"ERRO",0)</f>
        <v>P83</v>
      </c>
      <c r="I187" s="83" t="str">
        <f>VLOOKUP(Tabela1[[#This Row],[Matrícula]],Equipe!B:F,5,0)</f>
        <v>Experiente</v>
      </c>
    </row>
    <row r="188" spans="1:9" hidden="1">
      <c r="A188" s="87" t="s">
        <v>16</v>
      </c>
      <c r="B188" s="109">
        <f>_xlfn.XLOOKUP(A188,Equipe!H:H,Equipe!B:B,"",0)</f>
        <v>4608544</v>
      </c>
      <c r="C188" s="152">
        <v>45918</v>
      </c>
      <c r="D188" s="152">
        <f>((IF(Tabela1[[#This Row],[Início]]&lt;&gt;"",C188+E188-1,""))*1)*1</f>
        <v>45946</v>
      </c>
      <c r="E188" s="87">
        <v>29</v>
      </c>
      <c r="F188" s="83" t="s">
        <v>14</v>
      </c>
      <c r="G188" s="88" t="s">
        <v>154</v>
      </c>
      <c r="H188" s="83" t="str">
        <f>_xlfn.XLOOKUP(Tabela1[[#This Row],[Matrícula]],Equipe!B:B,Equipe!E:E,"ERRO",0)</f>
        <v>P82</v>
      </c>
      <c r="I188" s="83" t="str">
        <f>VLOOKUP(Tabela1[[#This Row],[Matrícula]],Equipe!B:F,5,0)</f>
        <v>Novo</v>
      </c>
    </row>
    <row r="189" spans="1:9" hidden="1">
      <c r="A189" s="83" t="s">
        <v>40</v>
      </c>
      <c r="B189" s="92">
        <f>_xlfn.XLOOKUP(A189,Equipe!H:H,Equipe!B:B,"",0)</f>
        <v>9724817</v>
      </c>
      <c r="C189" s="152">
        <v>45919</v>
      </c>
      <c r="D189" s="152">
        <f>((IF(Tabela1[[#This Row],[Início]]&lt;&gt;"",C189+E189-1,""))*1)*1</f>
        <v>45932</v>
      </c>
      <c r="E189" s="83">
        <v>14</v>
      </c>
      <c r="F189" s="83" t="s">
        <v>17</v>
      </c>
      <c r="G189" s="88" t="s">
        <v>61</v>
      </c>
      <c r="H189" s="83" t="str">
        <f>_xlfn.XLOOKUP(Tabela1[[#This Row],[Matrícula]],Equipe!B:B,Equipe!E:E,"ERRO",0)</f>
        <v>P82</v>
      </c>
      <c r="I189" s="83" t="str">
        <f>VLOOKUP(Tabela1[[#This Row],[Matrícula]],Equipe!B:F,5,0)</f>
        <v>Experiente</v>
      </c>
    </row>
    <row r="190" spans="1:9">
      <c r="A190" s="83" t="s">
        <v>22</v>
      </c>
      <c r="B190" s="92">
        <f>_xlfn.XLOOKUP(A190,Equipe!H:H,Equipe!B:B,"",0)</f>
        <v>4608389</v>
      </c>
      <c r="C190" s="152">
        <v>45919</v>
      </c>
      <c r="D190" s="152">
        <f>((IF(Tabela1[[#This Row],[Início]]&lt;&gt;"",C190+E190-1,""))*1)*1</f>
        <v>45930</v>
      </c>
      <c r="E190" s="83">
        <v>12</v>
      </c>
      <c r="F190" s="83" t="s">
        <v>17</v>
      </c>
      <c r="G190" s="88" t="s">
        <v>61</v>
      </c>
      <c r="H190" s="83" t="str">
        <f>_xlfn.XLOOKUP(Tabela1[[#This Row],[Matrícula]],Equipe!B:B,Equipe!E:E,"ERRO",0)</f>
        <v>P80</v>
      </c>
      <c r="I190" s="83" t="str">
        <f>VLOOKUP(Tabela1[[#This Row],[Matrícula]],Equipe!B:F,5,0)</f>
        <v>Novo</v>
      </c>
    </row>
    <row r="191" spans="1:9" hidden="1">
      <c r="A191" s="83" t="s">
        <v>111</v>
      </c>
      <c r="B191" s="92">
        <f>_xlfn.XLOOKUP(A191,Equipe!H:H,Equipe!B:B,"",0)</f>
        <v>4612126</v>
      </c>
      <c r="C191" s="152">
        <v>45919</v>
      </c>
      <c r="D191" s="152">
        <f>((IF(Tabela1[[#This Row],[Início]]&lt;&gt;"",C191+E191-1,""))*1)*1</f>
        <v>45932</v>
      </c>
      <c r="E191" s="83">
        <v>14</v>
      </c>
      <c r="F191" s="83" t="s">
        <v>17</v>
      </c>
      <c r="G191" s="88" t="s">
        <v>61</v>
      </c>
      <c r="H191" s="83" t="str">
        <f>_xlfn.XLOOKUP(Tabela1[[#This Row],[Matrícula]],Equipe!B:B,Equipe!E:E,"ERRO",0)</f>
        <v>P82</v>
      </c>
      <c r="I191" s="83" t="str">
        <f>VLOOKUP(Tabela1[[#This Row],[Matrícula]],Equipe!B:F,5,0)</f>
        <v>Novo</v>
      </c>
    </row>
    <row r="192" spans="1:9">
      <c r="A192" s="87" t="s">
        <v>116</v>
      </c>
      <c r="B192" s="87">
        <f>_xlfn.XLOOKUP(A192,Equipe!H:H,Equipe!B:B,"",0)</f>
        <v>4612171</v>
      </c>
      <c r="C192" s="152">
        <v>45920</v>
      </c>
      <c r="D192" s="152">
        <f>((IF(Tabela1[[#This Row],[Início]]&lt;&gt;"",C192+E192-1,""))*1)*1</f>
        <v>45922</v>
      </c>
      <c r="E192" s="87">
        <v>3</v>
      </c>
      <c r="F192" s="87" t="s">
        <v>17</v>
      </c>
      <c r="G192" s="93" t="s">
        <v>136</v>
      </c>
      <c r="H192" s="87" t="str">
        <f>_xlfn.XLOOKUP(Tabela1[[#This Row],[Matrícula]],Equipe!B:B,Equipe!E:E,"ERRO",0)</f>
        <v>P80</v>
      </c>
      <c r="I192" s="87" t="str">
        <f>VLOOKUP(Tabela1[[#This Row],[Matrícula]],Equipe!B:F,5,0)</f>
        <v>Novo</v>
      </c>
    </row>
    <row r="193" spans="1:9">
      <c r="A193" s="83" t="s">
        <v>36</v>
      </c>
      <c r="B193" s="92">
        <f>_xlfn.XLOOKUP(A193,Equipe!H:H,Equipe!B:B,"",0)</f>
        <v>4608721</v>
      </c>
      <c r="C193" s="152">
        <v>45922</v>
      </c>
      <c r="D193" s="152">
        <f>((IF(Tabela1[[#This Row],[Início]]&lt;&gt;"",C193+E193-1,""))*1)*1</f>
        <v>45924</v>
      </c>
      <c r="E193" s="83">
        <v>3</v>
      </c>
      <c r="F193" s="83" t="s">
        <v>11</v>
      </c>
      <c r="G193" s="88" t="s">
        <v>155</v>
      </c>
      <c r="H193" s="83" t="str">
        <f>_xlfn.XLOOKUP(Tabela1[[#This Row],[Matrícula]],Equipe!B:B,Equipe!E:E,"ERRO",0)</f>
        <v>P80</v>
      </c>
      <c r="I193" s="83" t="str">
        <f>VLOOKUP(Tabela1[[#This Row],[Matrícula]],Equipe!B:F,5,0)</f>
        <v>Novo</v>
      </c>
    </row>
    <row r="194" spans="1:9" hidden="1">
      <c r="A194" s="83" t="s">
        <v>113</v>
      </c>
      <c r="B194" s="92">
        <f>_xlfn.XLOOKUP(A194,Equipe!H:H,Equipe!B:B,"",0)</f>
        <v>4612192</v>
      </c>
      <c r="C194" s="152">
        <v>45922</v>
      </c>
      <c r="D194" s="152">
        <f>((IF(Tabela1[[#This Row],[Início]]&lt;&gt;"",C194+E194-1,""))*1)*1</f>
        <v>45924</v>
      </c>
      <c r="E194" s="83">
        <v>3</v>
      </c>
      <c r="F194" s="83" t="s">
        <v>11</v>
      </c>
      <c r="G194" s="88" t="s">
        <v>156</v>
      </c>
      <c r="H194" s="83" t="str">
        <f>_xlfn.XLOOKUP(Tabela1[[#This Row],[Matrícula]],Equipe!B:B,Equipe!E:E,"ERRO",0)</f>
        <v>P82</v>
      </c>
      <c r="I194" s="83" t="str">
        <f>VLOOKUP(Tabela1[[#This Row],[Matrícula]],Equipe!B:F,5,0)</f>
        <v>Novo</v>
      </c>
    </row>
    <row r="195" spans="1:9" hidden="1">
      <c r="A195" s="83" t="s">
        <v>34</v>
      </c>
      <c r="B195" s="92">
        <f>_xlfn.XLOOKUP(A195,Equipe!H:H,Equipe!B:B,"",0)</f>
        <v>4608474</v>
      </c>
      <c r="C195" s="152">
        <v>45923</v>
      </c>
      <c r="D195" s="152">
        <f>((IF(Tabela1[[#This Row],[Início]]&lt;&gt;"",C195+E195-1,""))*1)*1</f>
        <v>45923</v>
      </c>
      <c r="E195" s="83">
        <v>1</v>
      </c>
      <c r="F195" s="83" t="s">
        <v>11</v>
      </c>
      <c r="G195" s="88" t="s">
        <v>157</v>
      </c>
      <c r="H195" s="83" t="str">
        <f>_xlfn.XLOOKUP(Tabela1[[#This Row],[Matrícula]],Equipe!B:B,Equipe!E:E,"ERRO",0)</f>
        <v>P82</v>
      </c>
      <c r="I195" s="83" t="str">
        <f>VLOOKUP(Tabela1[[#This Row],[Matrícula]],Equipe!B:F,5,0)</f>
        <v>Novo</v>
      </c>
    </row>
    <row r="196" spans="1:9">
      <c r="A196" s="83" t="s">
        <v>62</v>
      </c>
      <c r="B196" s="92">
        <f>_xlfn.XLOOKUP(A196,Equipe!H:H,Equipe!B:B,"",0)</f>
        <v>9886449</v>
      </c>
      <c r="C196" s="152">
        <v>45923</v>
      </c>
      <c r="D196" s="152">
        <f>((IF(Tabela1[[#This Row],[Início]]&lt;&gt;"",C196+E196-1,""))*1)*1</f>
        <v>45936</v>
      </c>
      <c r="E196" s="83">
        <v>14</v>
      </c>
      <c r="F196" s="83" t="s">
        <v>17</v>
      </c>
      <c r="G196" s="88" t="s">
        <v>158</v>
      </c>
      <c r="H196" s="83" t="str">
        <f>_xlfn.XLOOKUP(Tabela1[[#This Row],[Matrícula]],Equipe!B:B,Equipe!E:E,"ERRO",0)</f>
        <v>P80</v>
      </c>
      <c r="I196" s="83" t="str">
        <f>VLOOKUP(Tabela1[[#This Row],[Matrícula]],Equipe!B:F,5,0)</f>
        <v>Experiente</v>
      </c>
    </row>
    <row r="197" spans="1:9" hidden="1">
      <c r="A197" s="83" t="s">
        <v>46</v>
      </c>
      <c r="B197" s="92">
        <f>_xlfn.XLOOKUP(A197,Equipe!H:H,Equipe!B:B,"",0)</f>
        <v>4608411</v>
      </c>
      <c r="C197" s="152">
        <v>45924</v>
      </c>
      <c r="D197" s="152">
        <f>((IF(Tabela1[[#This Row],[Início]]&lt;&gt;"",C197+E197-1,""))*1)*1</f>
        <v>45930</v>
      </c>
      <c r="E197" s="83">
        <v>7</v>
      </c>
      <c r="F197" s="83" t="s">
        <v>17</v>
      </c>
      <c r="G197" s="88" t="s">
        <v>83</v>
      </c>
      <c r="H197" s="83" t="str">
        <f>_xlfn.XLOOKUP(Tabela1[[#This Row],[Matrícula]],Equipe!B:B,Equipe!E:E,"ERRO",0)</f>
        <v>P83</v>
      </c>
      <c r="I197" s="83" t="str">
        <f>VLOOKUP(Tabela1[[#This Row],[Matrícula]],Equipe!B:F,5,0)</f>
        <v>Novo</v>
      </c>
    </row>
    <row r="198" spans="1:9" hidden="1">
      <c r="A198" s="83" t="s">
        <v>53</v>
      </c>
      <c r="B198" s="92">
        <f>_xlfn.XLOOKUP(A198,Equipe!H:H,Equipe!B:B,"",0)</f>
        <v>4608780</v>
      </c>
      <c r="C198" s="152">
        <v>45925</v>
      </c>
      <c r="D198" s="152">
        <f>((IF(Tabela1[[#This Row],[Início]]&lt;&gt;"",C198+E198-1,""))*1)*1</f>
        <v>45925</v>
      </c>
      <c r="E198" s="83">
        <v>1</v>
      </c>
      <c r="F198" s="83" t="s">
        <v>11</v>
      </c>
      <c r="G198" s="88" t="s">
        <v>159</v>
      </c>
      <c r="H198" s="83" t="str">
        <f>_xlfn.XLOOKUP(Tabela1[[#This Row],[Matrícula]],Equipe!B:B,Equipe!E:E,"ERRO",0)</f>
        <v>P83</v>
      </c>
      <c r="I198" s="83" t="str">
        <f>VLOOKUP(Tabela1[[#This Row],[Matrícula]],Equipe!B:F,5,0)</f>
        <v>Novo</v>
      </c>
    </row>
    <row r="199" spans="1:9">
      <c r="A199" s="83" t="s">
        <v>36</v>
      </c>
      <c r="B199" s="92">
        <f>_xlfn.XLOOKUP(A199,Equipe!H:H,Equipe!B:B,"",0)</f>
        <v>4608721</v>
      </c>
      <c r="C199" s="152">
        <v>45925</v>
      </c>
      <c r="D199" s="152">
        <f>((IF(Tabela1[[#This Row],[Início]]&lt;&gt;"",C199+E199-1,""))*1)*1</f>
        <v>45926</v>
      </c>
      <c r="E199" s="83">
        <v>2</v>
      </c>
      <c r="F199" s="83" t="s">
        <v>14</v>
      </c>
      <c r="G199" s="88" t="s">
        <v>160</v>
      </c>
      <c r="H199" s="83" t="str">
        <f>_xlfn.XLOOKUP(Tabela1[[#This Row],[Matrícula]],Equipe!B:B,Equipe!E:E,"ERRO",0)</f>
        <v>P80</v>
      </c>
      <c r="I199" s="83" t="str">
        <f>VLOOKUP(Tabela1[[#This Row],[Matrícula]],Equipe!B:F,5,0)</f>
        <v>Novo</v>
      </c>
    </row>
    <row r="200" spans="1:9" hidden="1">
      <c r="A200" s="83" t="s">
        <v>114</v>
      </c>
      <c r="B200" s="92">
        <v>4612140</v>
      </c>
      <c r="C200" s="152">
        <v>45925</v>
      </c>
      <c r="D200" s="152">
        <f>((IF(Tabela1[[#This Row],[Início]]&lt;&gt;"",C200+E200-1,""))*1)*1</f>
        <v>45926</v>
      </c>
      <c r="E200" s="83">
        <v>2</v>
      </c>
      <c r="F200" s="83" t="s">
        <v>11</v>
      </c>
      <c r="G200" s="88" t="s">
        <v>161</v>
      </c>
      <c r="H200" s="83" t="str">
        <f>_xlfn.XLOOKUP(Tabela1[[#This Row],[Matrícula]],Equipe!B:B,Equipe!E:E,"ERRO",0)</f>
        <v>P83</v>
      </c>
      <c r="I200" s="83" t="str">
        <f>VLOOKUP(Tabela1[[#This Row],[Matrícula]],Equipe!B:F,5,0)</f>
        <v>Novo</v>
      </c>
    </row>
    <row r="201" spans="1:9" hidden="1">
      <c r="A201" s="83" t="s">
        <v>106</v>
      </c>
      <c r="B201" s="92">
        <f>_xlfn.XLOOKUP(A201,Equipe!H:H,Equipe!B:B,"",0)</f>
        <v>4612050</v>
      </c>
      <c r="C201" s="152">
        <v>45926</v>
      </c>
      <c r="D201" s="152">
        <f>((IF(Tabela1[[#This Row],[Início]]&lt;&gt;"",C201+E201-1,""))*1)*1</f>
        <v>45939</v>
      </c>
      <c r="E201" s="83">
        <v>14</v>
      </c>
      <c r="F201" s="83" t="s">
        <v>17</v>
      </c>
      <c r="G201" s="88" t="s">
        <v>162</v>
      </c>
      <c r="H201" s="83" t="str">
        <f>_xlfn.XLOOKUP(Tabela1[[#This Row],[Matrícula]],Equipe!B:B,Equipe!E:E,"ERRO",0)</f>
        <v>P82</v>
      </c>
      <c r="I201" s="83" t="str">
        <f>VLOOKUP(Tabela1[[#This Row],[Matrícula]],Equipe!B:F,5,0)</f>
        <v>Novo</v>
      </c>
    </row>
    <row r="202" spans="1:9">
      <c r="A202" s="83" t="s">
        <v>104</v>
      </c>
      <c r="B202" s="92">
        <f>_xlfn.XLOOKUP(A202,Equipe!H:H,Equipe!B:B,"",0)</f>
        <v>4612098</v>
      </c>
      <c r="C202" s="152">
        <v>45929</v>
      </c>
      <c r="D202" s="152">
        <v>45930</v>
      </c>
      <c r="E202" s="83">
        <v>2</v>
      </c>
      <c r="F202" s="83" t="s">
        <v>14</v>
      </c>
      <c r="G202" s="88" t="s">
        <v>160</v>
      </c>
      <c r="H202" s="83" t="str">
        <f>_xlfn.XLOOKUP(Tabela1[[#This Row],[Matrícula]],Equipe!B:B,Equipe!E:E,"ERRO",0)</f>
        <v>P80</v>
      </c>
      <c r="I202" s="83" t="str">
        <f>VLOOKUP(Tabela1[[#This Row],[Matrícula]],Equipe!B:F,5,0)</f>
        <v>Novo</v>
      </c>
    </row>
    <row r="203" spans="1:9">
      <c r="A203" s="83" t="s">
        <v>38</v>
      </c>
      <c r="B203" s="92">
        <f>_xlfn.XLOOKUP(A203,Equipe!H:H,Equipe!B:B,"",0)</f>
        <v>1385894</v>
      </c>
      <c r="C203" s="152">
        <v>45929</v>
      </c>
      <c r="D203" s="152">
        <f>((IF(Tabela1[[#This Row],[Início]]&lt;&gt;"",C203+E203-1,""))*1)*1</f>
        <v>45930</v>
      </c>
      <c r="E203" s="83">
        <v>2</v>
      </c>
      <c r="F203" s="83" t="s">
        <v>14</v>
      </c>
      <c r="G203" s="88" t="s">
        <v>163</v>
      </c>
      <c r="H203" s="83" t="str">
        <f>_xlfn.XLOOKUP(Tabela1[[#This Row],[Matrícula]],Equipe!B:B,Equipe!E:E,"ERRO",0)</f>
        <v>P80</v>
      </c>
      <c r="I203" s="83" t="str">
        <f>VLOOKUP(Tabela1[[#This Row],[Matrícula]],Equipe!B:F,5,0)</f>
        <v>Experiente</v>
      </c>
    </row>
    <row r="204" spans="1:9">
      <c r="A204" s="83" t="s">
        <v>108</v>
      </c>
      <c r="B204" s="92">
        <f>_xlfn.XLOOKUP(A204,Equipe!H:H,Equipe!B:B,"",0)</f>
        <v>4612243</v>
      </c>
      <c r="C204" s="152">
        <v>45929</v>
      </c>
      <c r="D204" s="152">
        <f>((IF(Tabela1[[#This Row],[Início]]&lt;&gt;"",C204+E204-1,""))*1)*1</f>
        <v>45929</v>
      </c>
      <c r="E204" s="83">
        <v>1</v>
      </c>
      <c r="F204" s="83" t="s">
        <v>47</v>
      </c>
      <c r="G204" s="88" t="s">
        <v>164</v>
      </c>
      <c r="H204" s="83" t="str">
        <f>_xlfn.XLOOKUP(Tabela1[[#This Row],[Matrícula]],Equipe!B:B,Equipe!E:E,"ERRO",0)</f>
        <v>P80</v>
      </c>
      <c r="I204" s="83" t="str">
        <f>VLOOKUP(Tabela1[[#This Row],[Matrícula]],Equipe!B:F,5,0)</f>
        <v>Novo</v>
      </c>
    </row>
    <row r="205" spans="1:9">
      <c r="A205" s="83" t="s">
        <v>22</v>
      </c>
      <c r="B205" s="92">
        <f>_xlfn.XLOOKUP(A205,Equipe!H:H,Equipe!B:B,"",0)</f>
        <v>4608389</v>
      </c>
      <c r="C205" s="152">
        <v>45931</v>
      </c>
      <c r="D205" s="152">
        <f>((IF(Tabela1[[#This Row],[Início]]&lt;&gt;"",C205+E205-1,""))*1)*1</f>
        <v>45954</v>
      </c>
      <c r="E205" s="83">
        <v>24</v>
      </c>
      <c r="F205" s="83" t="s">
        <v>14</v>
      </c>
      <c r="G205" s="88" t="s">
        <v>165</v>
      </c>
      <c r="H205" s="83" t="str">
        <f>_xlfn.XLOOKUP(Tabela1[[#This Row],[Matrícula]],Equipe!B:B,Equipe!E:E,"ERRO",0)</f>
        <v>P80</v>
      </c>
      <c r="I205" s="83" t="str">
        <f>VLOOKUP(Tabela1[[#This Row],[Matrícula]],Equipe!B:F,5,0)</f>
        <v>Novo</v>
      </c>
    </row>
    <row r="206" spans="1:9" hidden="1">
      <c r="A206" s="83" t="s">
        <v>46</v>
      </c>
      <c r="B206" s="92">
        <f>_xlfn.XLOOKUP(A206,Equipe!H:H,Equipe!B:B,"",0)</f>
        <v>4608411</v>
      </c>
      <c r="C206" s="152">
        <v>45931</v>
      </c>
      <c r="D206" s="152">
        <f>((IF(Tabela1[[#This Row],[Início]]&lt;&gt;"",C206+E206-1,""))*1)*1</f>
        <v>45944</v>
      </c>
      <c r="E206" s="83">
        <v>14</v>
      </c>
      <c r="F206" s="83" t="s">
        <v>14</v>
      </c>
      <c r="G206" s="88" t="s">
        <v>166</v>
      </c>
      <c r="H206" s="83" t="str">
        <f>_xlfn.XLOOKUP(Tabela1[[#This Row],[Matrícula]],Equipe!B:B,Equipe!E:E,"ERRO",0)</f>
        <v>P83</v>
      </c>
      <c r="I206" s="83" t="str">
        <f>VLOOKUP(Tabela1[[#This Row],[Matrícula]],Equipe!B:F,5,0)</f>
        <v>Novo</v>
      </c>
    </row>
    <row r="207" spans="1:9">
      <c r="A207" s="87" t="s">
        <v>116</v>
      </c>
      <c r="B207" s="87">
        <f>_xlfn.XLOOKUP(A207,Equipe!H:H,Equipe!B:B,"",0)</f>
        <v>4612171</v>
      </c>
      <c r="C207" s="152">
        <v>45931</v>
      </c>
      <c r="D207" s="152">
        <f>((IF(Tabela1[[#This Row],[Início]]&lt;&gt;"",C207+E207-1,""))*1)*1</f>
        <v>45939</v>
      </c>
      <c r="E207" s="87">
        <v>9</v>
      </c>
      <c r="F207" s="87" t="s">
        <v>14</v>
      </c>
      <c r="G207" s="93" t="s">
        <v>167</v>
      </c>
      <c r="H207" s="87" t="str">
        <f>_xlfn.XLOOKUP(Tabela1[[#This Row],[Matrícula]],Equipe!B:B,Equipe!E:E,"ERRO",0)</f>
        <v>P80</v>
      </c>
      <c r="I207" s="87" t="str">
        <f>VLOOKUP(Tabela1[[#This Row],[Matrícula]],Equipe!B:F,5,0)</f>
        <v>Novo</v>
      </c>
    </row>
    <row r="208" spans="1:9">
      <c r="A208" s="83" t="s">
        <v>168</v>
      </c>
      <c r="B208" s="92">
        <f>_xlfn.XLOOKUP(A208,Equipe!H:H,Equipe!B:B,"",0)</f>
        <v>2440812</v>
      </c>
      <c r="C208" s="152">
        <v>45931</v>
      </c>
      <c r="D208" s="152">
        <f>((IF(Tabela1[[#This Row],[Início]]&lt;&gt;"",C208+E208-1,""))*1)*1</f>
        <v>45931</v>
      </c>
      <c r="E208" s="83">
        <v>1</v>
      </c>
      <c r="F208" s="83" t="s">
        <v>14</v>
      </c>
      <c r="G208" s="88" t="s">
        <v>169</v>
      </c>
      <c r="H208" s="83" t="str">
        <f>_xlfn.XLOOKUP(Tabela1[[#This Row],[Matrícula]],Equipe!B:B,Equipe!E:E,"ERRO",0)</f>
        <v>P80</v>
      </c>
      <c r="I208" s="83" t="str">
        <f>VLOOKUP(Tabela1[[#This Row],[Matrícula]],Equipe!B:F,5,0)</f>
        <v>Experiente</v>
      </c>
    </row>
    <row r="209" spans="1:9" hidden="1">
      <c r="A209" s="83" t="s">
        <v>111</v>
      </c>
      <c r="B209" s="92">
        <f>_xlfn.XLOOKUP(A209,Equipe!H:H,Equipe!B:B,"",0)</f>
        <v>4612126</v>
      </c>
      <c r="C209" s="152">
        <v>45932</v>
      </c>
      <c r="D209" s="152">
        <f>((IF(Tabela1[[#This Row],[Início]]&lt;&gt;"",C209+E209-1,""))*1)*1</f>
        <v>45952</v>
      </c>
      <c r="E209" s="83">
        <v>21</v>
      </c>
      <c r="F209" s="83" t="s">
        <v>14</v>
      </c>
      <c r="G209" s="88" t="s">
        <v>170</v>
      </c>
      <c r="H209" s="83" t="str">
        <f>_xlfn.XLOOKUP(Tabela1[[#This Row],[Matrícula]],Equipe!B:B,Equipe!E:E,"ERRO",0)</f>
        <v>P82</v>
      </c>
      <c r="I209" s="83" t="str">
        <f>VLOOKUP(Tabela1[[#This Row],[Matrícula]],Equipe!B:F,5,0)</f>
        <v>Novo</v>
      </c>
    </row>
    <row r="210" spans="1:9" hidden="1">
      <c r="A210" s="83" t="s">
        <v>40</v>
      </c>
      <c r="B210" s="92">
        <f>_xlfn.XLOOKUP(A210,Equipe!H:H,Equipe!B:B,"",0)</f>
        <v>9724817</v>
      </c>
      <c r="C210" s="152">
        <v>45933</v>
      </c>
      <c r="D210" s="152">
        <f>((IF(Tabela1[[#This Row],[Início]]&lt;&gt;"",C210+E210-1,""))*1)*1</f>
        <v>45953</v>
      </c>
      <c r="E210" s="83">
        <v>21</v>
      </c>
      <c r="F210" s="83" t="s">
        <v>14</v>
      </c>
      <c r="G210" s="88" t="s">
        <v>165</v>
      </c>
      <c r="H210" s="83" t="str">
        <f>_xlfn.XLOOKUP(Tabela1[[#This Row],[Matrícula]],Equipe!B:B,Equipe!E:E,"ERRO",0)</f>
        <v>P82</v>
      </c>
      <c r="I210" s="83" t="str">
        <f>VLOOKUP(Tabela1[[#This Row],[Matrícula]],Equipe!B:F,5,0)</f>
        <v>Experiente</v>
      </c>
    </row>
    <row r="211" spans="1:9" hidden="1">
      <c r="A211" s="87" t="s">
        <v>31</v>
      </c>
      <c r="B211" s="109">
        <f>_xlfn.XLOOKUP(A211,Equipe!H:H,Equipe!B:B,"",0)</f>
        <v>1386344</v>
      </c>
      <c r="C211" s="152">
        <v>45936</v>
      </c>
      <c r="D211" s="152">
        <f>((IF(Tabela1[[#This Row],[Início]]&lt;&gt;"",C211+E211-1,""))*1)*1</f>
        <v>45936</v>
      </c>
      <c r="E211" s="87">
        <v>1</v>
      </c>
      <c r="F211" s="87" t="s">
        <v>14</v>
      </c>
      <c r="G211" s="93" t="s">
        <v>95</v>
      </c>
      <c r="H211" s="87" t="str">
        <f>_xlfn.XLOOKUP(Tabela1[[#This Row],[Matrícula]],Equipe!B:B,Equipe!E:E,"ERRO",0)</f>
        <v>P82</v>
      </c>
      <c r="I211" s="87" t="str">
        <f>VLOOKUP(Tabela1[[#This Row],[Matrícula]],Equipe!B:F,5,0)</f>
        <v>Experiente</v>
      </c>
    </row>
    <row r="212" spans="1:9" hidden="1">
      <c r="A212" s="83" t="s">
        <v>57</v>
      </c>
      <c r="B212" s="92">
        <f>_xlfn.XLOOKUP(A212,Equipe!H:H,Equipe!B:B,"",0)</f>
        <v>4608684</v>
      </c>
      <c r="C212" s="152">
        <v>45936</v>
      </c>
      <c r="D212" s="152">
        <f>((IF(Tabela1[[#This Row],[Início]]&lt;&gt;"",C212+E212-1,""))*1)*1</f>
        <v>45939</v>
      </c>
      <c r="E212" s="83">
        <v>4</v>
      </c>
      <c r="F212" s="83" t="s">
        <v>11</v>
      </c>
      <c r="G212" s="93" t="s">
        <v>171</v>
      </c>
      <c r="H212" s="83" t="str">
        <f>_xlfn.XLOOKUP(Tabela1[[#This Row],[Matrícula]],Equipe!B:B,Equipe!E:E,"ERRO",0)</f>
        <v>P82</v>
      </c>
      <c r="I212" s="83" t="str">
        <f>VLOOKUP(Tabela1[[#This Row],[Matrícula]],Equipe!B:F,5,0)</f>
        <v>Novo</v>
      </c>
    </row>
    <row r="213" spans="1:9">
      <c r="A213" s="83" t="s">
        <v>62</v>
      </c>
      <c r="B213" s="92">
        <f>_xlfn.XLOOKUP(A213,Equipe!H:H,Equipe!B:B,"",0)</f>
        <v>9886449</v>
      </c>
      <c r="C213" s="152">
        <v>45937</v>
      </c>
      <c r="D213" s="152">
        <f>((IF(Tabela1[[#This Row],[Início]]&lt;&gt;"",C213+E213-1,""))*1)*1</f>
        <v>45957</v>
      </c>
      <c r="E213" s="83">
        <v>21</v>
      </c>
      <c r="F213" s="83" t="s">
        <v>14</v>
      </c>
      <c r="G213" s="88" t="s">
        <v>172</v>
      </c>
      <c r="H213" s="83" t="str">
        <f>_xlfn.XLOOKUP(Tabela1[[#This Row],[Matrícula]],Equipe!B:B,Equipe!E:E,"ERRO",0)</f>
        <v>P80</v>
      </c>
      <c r="I213" s="83" t="str">
        <f>VLOOKUP(Tabela1[[#This Row],[Matrícula]],Equipe!B:F,5,0)</f>
        <v>Experiente</v>
      </c>
    </row>
    <row r="214" spans="1:9" hidden="1">
      <c r="A214" s="83" t="s">
        <v>114</v>
      </c>
      <c r="B214" s="92">
        <v>4612140</v>
      </c>
      <c r="C214" s="152">
        <v>45938</v>
      </c>
      <c r="D214" s="152">
        <f>((IF(Tabela1[[#This Row],[Início]]&lt;&gt;"",C214+E214-1,""))*1)*1</f>
        <v>45940</v>
      </c>
      <c r="E214" s="83">
        <v>3</v>
      </c>
      <c r="F214" s="83" t="s">
        <v>11</v>
      </c>
      <c r="G214" s="88" t="s">
        <v>173</v>
      </c>
      <c r="H214" s="83" t="str">
        <f>_xlfn.XLOOKUP(Tabela1[[#This Row],[Matrícula]],Equipe!B:B,Equipe!E:E,"ERRO",0)</f>
        <v>P83</v>
      </c>
      <c r="I214" s="83" t="str">
        <f>VLOOKUP(Tabela1[[#This Row],[Matrícula]],Equipe!B:F,5,0)</f>
        <v>Novo</v>
      </c>
    </row>
    <row r="215" spans="1:9" hidden="1">
      <c r="A215" s="83" t="s">
        <v>30</v>
      </c>
      <c r="B215" s="92">
        <f>_xlfn.XLOOKUP(A215,Equipe!H:H,Equipe!B:B,"",0)</f>
        <v>9634180</v>
      </c>
      <c r="C215" s="152">
        <v>45938</v>
      </c>
      <c r="D215" s="152">
        <f>((IF(Tabela1[[#This Row],[Início]]&lt;&gt;"",C215+E215-1,""))*1)*1</f>
        <v>45938</v>
      </c>
      <c r="E215" s="83">
        <v>1</v>
      </c>
      <c r="F215" s="83" t="s">
        <v>11</v>
      </c>
      <c r="G215" s="88" t="s">
        <v>174</v>
      </c>
      <c r="H215" s="83" t="str">
        <f>_xlfn.XLOOKUP(Tabela1[[#This Row],[Matrícula]],Equipe!B:B,Equipe!E:E,"ERRO",0)</f>
        <v>P83</v>
      </c>
      <c r="I215" s="83" t="str">
        <f>VLOOKUP(Tabela1[[#This Row],[Matrícula]],Equipe!B:F,5,0)</f>
        <v>Experiente</v>
      </c>
    </row>
    <row r="216" spans="1:9" hidden="1">
      <c r="A216" s="87" t="s">
        <v>31</v>
      </c>
      <c r="B216" s="109">
        <f>_xlfn.XLOOKUP(A216,Equipe!H:H,Equipe!B:B,"",0)</f>
        <v>1386344</v>
      </c>
      <c r="C216" s="152">
        <v>45940</v>
      </c>
      <c r="D216" s="152">
        <f>((IF(Tabela1[[#This Row],[Início]]&lt;&gt;"",C216+E216-1,""))*1)*1</f>
        <v>45940</v>
      </c>
      <c r="E216" s="87">
        <v>1</v>
      </c>
      <c r="F216" s="87" t="s">
        <v>14</v>
      </c>
      <c r="G216" s="88" t="s">
        <v>95</v>
      </c>
      <c r="H216" s="87" t="str">
        <f>_xlfn.XLOOKUP(Tabela1[[#This Row],[Matrícula]],Equipe!B:B,Equipe!E:E,"ERRO",0)</f>
        <v>P82</v>
      </c>
      <c r="I216" s="87" t="str">
        <f>VLOOKUP(Tabela1[[#This Row],[Matrícula]],Equipe!B:F,5,0)</f>
        <v>Experiente</v>
      </c>
    </row>
    <row r="217" spans="1:9">
      <c r="A217" s="83" t="s">
        <v>35</v>
      </c>
      <c r="B217" s="92">
        <f>_xlfn.XLOOKUP(A217,Equipe!H:H,Equipe!B:B,"",0)</f>
        <v>9842940</v>
      </c>
      <c r="C217" s="152">
        <v>45940</v>
      </c>
      <c r="D217" s="152">
        <f>((IF(Tabela1[[#This Row],[Início]]&lt;&gt;"",C217+E217-1,""))*1)*1</f>
        <v>45952</v>
      </c>
      <c r="E217" s="83">
        <v>13</v>
      </c>
      <c r="F217" s="83" t="s">
        <v>17</v>
      </c>
      <c r="G217" s="88" t="s">
        <v>138</v>
      </c>
      <c r="H217" s="83" t="str">
        <f>_xlfn.XLOOKUP(Tabela1[[#This Row],[Matrícula]],Equipe!B:B,Equipe!E:E,"ERRO",0)</f>
        <v>P80</v>
      </c>
      <c r="I217" s="83" t="str">
        <f>VLOOKUP(Tabela1[[#This Row],[Matrícula]],Equipe!B:F,5,0)</f>
        <v>Novo</v>
      </c>
    </row>
    <row r="218" spans="1:9" hidden="1">
      <c r="A218" s="83" t="s">
        <v>106</v>
      </c>
      <c r="B218" s="92">
        <f>_xlfn.XLOOKUP(A218,Equipe!H:H,Equipe!B:B,"",0)</f>
        <v>4612050</v>
      </c>
      <c r="C218" s="152">
        <v>45940</v>
      </c>
      <c r="D218" s="152">
        <f>((IF(Tabela1[[#This Row],[Início]]&lt;&gt;"",C218+E218-1,""))*1)*1</f>
        <v>45968</v>
      </c>
      <c r="E218" s="83">
        <v>29</v>
      </c>
      <c r="F218" s="83" t="s">
        <v>14</v>
      </c>
      <c r="G218" s="88" t="s">
        <v>175</v>
      </c>
      <c r="H218" s="83" t="str">
        <f>_xlfn.XLOOKUP(Tabela1[[#This Row],[Matrícula]],Equipe!B:B,Equipe!E:E,"ERRO",0)</f>
        <v>P82</v>
      </c>
      <c r="I218" s="83" t="str">
        <f>VLOOKUP(Tabela1[[#This Row],[Matrícula]],Equipe!B:F,5,0)</f>
        <v>Novo</v>
      </c>
    </row>
    <row r="219" spans="1:9">
      <c r="A219" s="83" t="s">
        <v>116</v>
      </c>
      <c r="B219" s="83">
        <f>_xlfn.XLOOKUP(A219,Equipe!H:H,Equipe!B:B,"",0)</f>
        <v>4612171</v>
      </c>
      <c r="C219" s="152">
        <v>45943</v>
      </c>
      <c r="D219" s="152">
        <f>((IF(Tabela1[[#This Row],[Início]]&lt;&gt;"",C219+E219-1,""))*1)*1</f>
        <v>45944</v>
      </c>
      <c r="E219" s="83">
        <v>2</v>
      </c>
      <c r="F219" s="83" t="s">
        <v>14</v>
      </c>
      <c r="G219" s="88" t="s">
        <v>167</v>
      </c>
      <c r="H219" s="83" t="str">
        <f>_xlfn.XLOOKUP(Tabela1[[#This Row],[Matrícula]],Equipe!B:B,Equipe!E:E,"ERRO",0)</f>
        <v>P80</v>
      </c>
      <c r="I219" s="83" t="str">
        <f>VLOOKUP(Tabela1[[#This Row],[Matrícula]],Equipe!B:F,5,0)</f>
        <v>Novo</v>
      </c>
    </row>
    <row r="220" spans="1:9" hidden="1">
      <c r="A220" s="83" t="s">
        <v>57</v>
      </c>
      <c r="B220" s="92">
        <f>_xlfn.XLOOKUP(A220,Equipe!H:H,Equipe!B:B,"",0)</f>
        <v>4608684</v>
      </c>
      <c r="C220" s="152">
        <v>45943</v>
      </c>
      <c r="D220" s="152">
        <f>((IF(Tabela1[[#This Row],[Início]]&lt;&gt;"",C220+E220-1,""))*1)*1</f>
        <v>45947</v>
      </c>
      <c r="E220" s="83">
        <v>5</v>
      </c>
      <c r="F220" s="83" t="s">
        <v>11</v>
      </c>
      <c r="G220" s="88" t="s">
        <v>176</v>
      </c>
      <c r="H220" s="83" t="str">
        <f>_xlfn.XLOOKUP(Tabela1[[#This Row],[Matrícula]],Equipe!B:B,Equipe!E:E,"ERRO",0)</f>
        <v>P82</v>
      </c>
      <c r="I220" s="83" t="str">
        <f>VLOOKUP(Tabela1[[#This Row],[Matrícula]],Equipe!B:F,5,0)</f>
        <v>Novo</v>
      </c>
    </row>
    <row r="221" spans="1:9" ht="29.1">
      <c r="A221" s="83" t="s">
        <v>108</v>
      </c>
      <c r="B221" s="92">
        <f>_xlfn.XLOOKUP(A221,Equipe!H:H,Equipe!B:B,"",0)</f>
        <v>4612243</v>
      </c>
      <c r="C221" s="152">
        <v>45943</v>
      </c>
      <c r="D221" s="152">
        <f>((IF(Tabela1[[#This Row],[Início]]&lt;&gt;"",C221+E221-1,""))*1)*1</f>
        <v>45947</v>
      </c>
      <c r="E221" s="83">
        <v>5</v>
      </c>
      <c r="F221" s="83" t="s">
        <v>11</v>
      </c>
      <c r="G221" s="88" t="s">
        <v>177</v>
      </c>
      <c r="H221" s="83" t="str">
        <f>_xlfn.XLOOKUP(Tabela1[[#This Row],[Matrícula]],Equipe!B:B,Equipe!E:E,"ERRO",0)</f>
        <v>P80</v>
      </c>
      <c r="I221" s="83" t="str">
        <f>VLOOKUP(Tabela1[[#This Row],[Matrícula]],Equipe!B:F,5,0)</f>
        <v>Novo</v>
      </c>
    </row>
    <row r="222" spans="1:9" hidden="1">
      <c r="A222" s="83" t="s">
        <v>34</v>
      </c>
      <c r="B222" s="92">
        <f>_xlfn.XLOOKUP(A222,Equipe!H:H,Equipe!B:B,"",0)</f>
        <v>4608474</v>
      </c>
      <c r="C222" s="152">
        <v>45944</v>
      </c>
      <c r="D222" s="152">
        <v>45957</v>
      </c>
      <c r="E222" s="83">
        <v>14</v>
      </c>
      <c r="F222" s="83" t="s">
        <v>17</v>
      </c>
      <c r="G222" s="88" t="s">
        <v>136</v>
      </c>
      <c r="H222" s="83" t="str">
        <f>_xlfn.XLOOKUP(Tabela1[[#This Row],[Matrícula]],Equipe!B:B,Equipe!E:E,"ERRO",0)</f>
        <v>P82</v>
      </c>
      <c r="I222" s="83" t="str">
        <f>VLOOKUP(Tabela1[[#This Row],[Matrícula]],Equipe!B:F,5,0)</f>
        <v>Novo</v>
      </c>
    </row>
    <row r="223" spans="1:9" hidden="1">
      <c r="A223" s="83" t="s">
        <v>53</v>
      </c>
      <c r="B223" s="92">
        <f>_xlfn.XLOOKUP(A223,Equipe!H:H,Equipe!B:B,"",0)</f>
        <v>4608780</v>
      </c>
      <c r="C223" s="152">
        <v>45944</v>
      </c>
      <c r="D223" s="152">
        <f>((IF(Tabela1[[#This Row],[Início]]&lt;&gt;"",C223+E223-1,""))*1)*1</f>
        <v>45950</v>
      </c>
      <c r="E223" s="83">
        <v>7</v>
      </c>
      <c r="F223" s="83" t="s">
        <v>17</v>
      </c>
      <c r="G223" s="88" t="s">
        <v>178</v>
      </c>
      <c r="H223" s="83" t="str">
        <f>_xlfn.XLOOKUP(Tabela1[[#This Row],[Matrícula]],Equipe!B:B,Equipe!E:E,"ERRO",0)</f>
        <v>P83</v>
      </c>
      <c r="I223" s="83" t="str">
        <f>VLOOKUP(Tabela1[[#This Row],[Matrícula]],Equipe!B:F,5,0)</f>
        <v>Novo</v>
      </c>
    </row>
    <row r="224" spans="1:9" hidden="1">
      <c r="A224" s="83" t="s">
        <v>53</v>
      </c>
      <c r="B224" s="92">
        <f>_xlfn.XLOOKUP(A224,Equipe!H:H,Equipe!B:B,"",0)</f>
        <v>4608780</v>
      </c>
      <c r="C224" s="152">
        <v>45950</v>
      </c>
      <c r="D224" s="152">
        <f>((IF(Tabela1[[#This Row],[Início]]&lt;&gt;"",C224+E224-1,""))*1)*1</f>
        <v>45965</v>
      </c>
      <c r="E224" s="83">
        <v>16</v>
      </c>
      <c r="F224" s="83" t="s">
        <v>14</v>
      </c>
      <c r="G224" s="93" t="s">
        <v>179</v>
      </c>
      <c r="H224" s="83" t="str">
        <f>_xlfn.XLOOKUP(Tabela1[[#This Row],[Matrícula]],Equipe!B:B,Equipe!E:E,"ERRO",0)</f>
        <v>P83</v>
      </c>
      <c r="I224" s="83" t="str">
        <f>VLOOKUP(Tabela1[[#This Row],[Matrícula]],Equipe!B:F,5,0)</f>
        <v>Novo</v>
      </c>
    </row>
    <row r="225" spans="1:9" hidden="1">
      <c r="A225" s="83" t="s">
        <v>114</v>
      </c>
      <c r="B225" s="92">
        <f>_xlfn.XLOOKUP(A225,Equipe!H:H,Equipe!B:B,"",0)</f>
        <v>4612140</v>
      </c>
      <c r="C225" s="152">
        <v>45950</v>
      </c>
      <c r="D225" s="152">
        <f>((IF(Tabela1[[#This Row],[Início]]&lt;&gt;"",C225+E225-1,""))*1)*1</f>
        <v>45952</v>
      </c>
      <c r="E225" s="83">
        <v>3</v>
      </c>
      <c r="F225" s="83" t="s">
        <v>11</v>
      </c>
      <c r="G225" s="88" t="s">
        <v>180</v>
      </c>
      <c r="H225" s="83" t="str">
        <f>_xlfn.XLOOKUP(Tabela1[[#This Row],[Matrícula]],Equipe!B:B,Equipe!E:E,"ERRO",0)</f>
        <v>P83</v>
      </c>
      <c r="I225" s="83" t="str">
        <f>VLOOKUP(Tabela1[[#This Row],[Matrícula]],Equipe!B:F,5,0)</f>
        <v>Novo</v>
      </c>
    </row>
    <row r="226" spans="1:9" hidden="1">
      <c r="A226" s="83" t="s">
        <v>58</v>
      </c>
      <c r="B226" s="92">
        <f>_xlfn.XLOOKUP(A226,Equipe!H:H,Equipe!B:B,"",0)</f>
        <v>9612082</v>
      </c>
      <c r="C226" s="152">
        <v>45951</v>
      </c>
      <c r="D226" s="158">
        <f>((IF(Tabela1[[#This Row],[Início]]&lt;&gt;"",C226+E226-1,""))*1)*1</f>
        <v>45964</v>
      </c>
      <c r="E226" s="83">
        <v>14</v>
      </c>
      <c r="F226" s="83" t="s">
        <v>17</v>
      </c>
      <c r="G226" s="88" t="s">
        <v>115</v>
      </c>
      <c r="H226" s="83" t="str">
        <f>_xlfn.XLOOKUP(Tabela1[[#This Row],[Matrícula]],Equipe!B:B,Equipe!E:E,"ERRO",0)</f>
        <v>P82</v>
      </c>
      <c r="I226" s="83" t="str">
        <f>VLOOKUP(Tabela1[[#This Row],[Matrícula]],Equipe!B:F,5,0)</f>
        <v>Experiente</v>
      </c>
    </row>
    <row r="227" spans="1:9">
      <c r="A227" s="83" t="s">
        <v>38</v>
      </c>
      <c r="B227" s="92">
        <f>_xlfn.XLOOKUP(A227,Equipe!H:H,Equipe!B:B,"",0)</f>
        <v>1385894</v>
      </c>
      <c r="C227" s="152">
        <v>45951</v>
      </c>
      <c r="D227" s="152">
        <f>((IF(Tabela1[[#This Row],[Início]]&lt;&gt;"",C227+E227-1,""))*1)*1</f>
        <v>45953</v>
      </c>
      <c r="E227" s="83">
        <v>3</v>
      </c>
      <c r="F227" s="83" t="s">
        <v>17</v>
      </c>
      <c r="G227" s="88" t="s">
        <v>181</v>
      </c>
      <c r="H227" s="83" t="str">
        <f>_xlfn.XLOOKUP(Tabela1[[#This Row],[Matrícula]],Equipe!B:B,Equipe!E:E,"ERRO",0)</f>
        <v>P80</v>
      </c>
      <c r="I227" s="83" t="str">
        <f>VLOOKUP(Tabela1[[#This Row],[Matrícula]],Equipe!B:F,5,0)</f>
        <v>Experiente</v>
      </c>
    </row>
    <row r="228" spans="1:9">
      <c r="A228" s="83" t="s">
        <v>104</v>
      </c>
      <c r="B228" s="92">
        <f>_xlfn.XLOOKUP(A228,Equipe!H:H,Equipe!B:B,"",0)</f>
        <v>4612098</v>
      </c>
      <c r="C228" s="152">
        <v>45952</v>
      </c>
      <c r="D228" s="152">
        <v>45965</v>
      </c>
      <c r="E228" s="83">
        <v>14</v>
      </c>
      <c r="F228" s="83" t="s">
        <v>17</v>
      </c>
      <c r="G228" s="88" t="s">
        <v>182</v>
      </c>
      <c r="H228" s="83" t="str">
        <f>_xlfn.XLOOKUP(Tabela1[[#This Row],[Matrícula]],Equipe!B:B,Equipe!E:E,"ERRO",0)</f>
        <v>P80</v>
      </c>
      <c r="I228" s="83" t="str">
        <f>VLOOKUP(Tabela1[[#This Row],[Matrícula]],Equipe!B:F,5,0)</f>
        <v>Novo</v>
      </c>
    </row>
    <row r="229" spans="1:9">
      <c r="A229" s="83" t="s">
        <v>35</v>
      </c>
      <c r="B229" s="92">
        <f>_xlfn.XLOOKUP(A229,Equipe!H:H,Equipe!B:B,"",0)</f>
        <v>9842940</v>
      </c>
      <c r="C229" s="152">
        <v>45953</v>
      </c>
      <c r="D229" s="152">
        <f>((IF(Tabela1[[#This Row],[Início]]&lt;&gt;"",C229+E229-1,""))*1)*1</f>
        <v>45980</v>
      </c>
      <c r="E229" s="83">
        <v>28</v>
      </c>
      <c r="F229" s="83" t="s">
        <v>14</v>
      </c>
      <c r="G229" s="88" t="s">
        <v>183</v>
      </c>
      <c r="H229" s="83" t="str">
        <f>_xlfn.XLOOKUP(Tabela1[[#This Row],[Matrícula]],Equipe!B:B,Equipe!E:E,"ERRO",0)</f>
        <v>P80</v>
      </c>
      <c r="I229" s="83" t="str">
        <f>VLOOKUP(Tabela1[[#This Row],[Matrícula]],Equipe!B:F,5,0)</f>
        <v>Novo</v>
      </c>
    </row>
    <row r="230" spans="1:9">
      <c r="A230" s="83" t="s">
        <v>38</v>
      </c>
      <c r="B230" s="92">
        <f>_xlfn.XLOOKUP(A230,Equipe!H:H,Equipe!B:B,"",0)</f>
        <v>1385894</v>
      </c>
      <c r="C230" s="152">
        <v>45954</v>
      </c>
      <c r="D230" s="152">
        <f>((IF(Tabela1[[#This Row],[Início]]&lt;&gt;"",C230+E230-1,""))*1)*1</f>
        <v>45957</v>
      </c>
      <c r="E230" s="83">
        <v>4</v>
      </c>
      <c r="F230" s="83" t="s">
        <v>14</v>
      </c>
      <c r="G230" s="88" t="s">
        <v>184</v>
      </c>
      <c r="H230" s="83" t="str">
        <f>_xlfn.XLOOKUP(Tabela1[[#This Row],[Matrícula]],Equipe!B:B,Equipe!E:E,"ERRO",0)</f>
        <v>P80</v>
      </c>
      <c r="I230" s="83" t="str">
        <f>VLOOKUP(Tabela1[[#This Row],[Matrícula]],Equipe!B:F,5,0)</f>
        <v>Experiente</v>
      </c>
    </row>
    <row r="231" spans="1:9" hidden="1">
      <c r="A231" s="83" t="s">
        <v>70</v>
      </c>
      <c r="B231" s="92">
        <f>_xlfn.XLOOKUP(A231,Equipe!H:H,Equipe!B:B,"",0)</f>
        <v>9618720</v>
      </c>
      <c r="C231" s="152">
        <v>45957</v>
      </c>
      <c r="D231" s="152">
        <f>((IF(Tabela1[[#This Row],[Início]]&lt;&gt;"",C231+E231,""))*1)*1</f>
        <v>45958</v>
      </c>
      <c r="E231" s="83">
        <v>1</v>
      </c>
      <c r="F231" s="83" t="s">
        <v>14</v>
      </c>
      <c r="G231" s="88" t="s">
        <v>185</v>
      </c>
      <c r="H231" s="83" t="str">
        <f>_xlfn.XLOOKUP(Tabela1[[#This Row],[Matrícula]],Equipe!B:B,Equipe!E:E,"ERRO",0)</f>
        <v>P82</v>
      </c>
      <c r="I231" s="83" t="str">
        <f>VLOOKUP(Tabela1[[#This Row],[Matrícula]],Equipe!B:F,5,0)</f>
        <v>Experiente</v>
      </c>
    </row>
    <row r="232" spans="1:9" hidden="1">
      <c r="A232" s="83" t="s">
        <v>113</v>
      </c>
      <c r="B232" s="92">
        <f>_xlfn.XLOOKUP(A232,Equipe!H:H,Equipe!B:B,"",0)</f>
        <v>4612192</v>
      </c>
      <c r="C232" s="152">
        <v>45957</v>
      </c>
      <c r="D232" s="152">
        <f>((IF(Tabela1[[#This Row],[Início]]&lt;&gt;"",C232+E232-1,""))*1)*1</f>
        <v>45957</v>
      </c>
      <c r="E232" s="83">
        <v>1</v>
      </c>
      <c r="F232" s="83" t="s">
        <v>14</v>
      </c>
      <c r="G232" s="88" t="s">
        <v>186</v>
      </c>
      <c r="H232" s="83" t="str">
        <f>_xlfn.XLOOKUP(Tabela1[[#This Row],[Matrícula]],Equipe!B:B,Equipe!E:E,"ERRO",0)</f>
        <v>P82</v>
      </c>
      <c r="I232" s="83" t="str">
        <f>VLOOKUP(Tabela1[[#This Row],[Matrícula]],Equipe!B:F,5,0)</f>
        <v>Novo</v>
      </c>
    </row>
    <row r="233" spans="1:9" hidden="1">
      <c r="A233" s="83" t="s">
        <v>34</v>
      </c>
      <c r="B233" s="92">
        <f>_xlfn.XLOOKUP(A233,Equipe!H:H,Equipe!B:B,"",0)</f>
        <v>4608474</v>
      </c>
      <c r="C233" s="152">
        <v>45958</v>
      </c>
      <c r="D233" s="152">
        <f>((IF(Tabela1[[#This Row],[Início]]&lt;&gt;"",C233+E233-1,""))*1)*1</f>
        <v>45986</v>
      </c>
      <c r="E233" s="83">
        <v>29</v>
      </c>
      <c r="F233" s="83" t="s">
        <v>14</v>
      </c>
      <c r="G233" s="88" t="s">
        <v>187</v>
      </c>
      <c r="H233" s="83" t="str">
        <f>_xlfn.XLOOKUP(Tabela1[[#This Row],[Matrícula]],Equipe!B:B,Equipe!E:E,"ERRO",0)</f>
        <v>P82</v>
      </c>
      <c r="I233" s="83" t="str">
        <f>VLOOKUP(Tabela1[[#This Row],[Matrícula]],Equipe!B:F,5,0)</f>
        <v>Novo</v>
      </c>
    </row>
    <row r="234" spans="1:9">
      <c r="A234" s="83" t="s">
        <v>62</v>
      </c>
      <c r="B234" s="92">
        <f>_xlfn.XLOOKUP(A234,Equipe!H:H,Equipe!B:B,"",0)</f>
        <v>9886449</v>
      </c>
      <c r="C234" s="152">
        <v>45958</v>
      </c>
      <c r="D234" s="152">
        <f>((IF(Tabela1[[#This Row],[Início]]&lt;&gt;"",C234+E234-1,""))*1)*1</f>
        <v>45958</v>
      </c>
      <c r="E234" s="83">
        <v>1</v>
      </c>
      <c r="F234" s="83" t="s">
        <v>11</v>
      </c>
      <c r="G234" s="88" t="s">
        <v>157</v>
      </c>
      <c r="H234" s="83" t="str">
        <f>_xlfn.XLOOKUP(Tabela1[[#This Row],[Matrícula]],Equipe!B:B,Equipe!E:E,"ERRO",0)</f>
        <v>P80</v>
      </c>
      <c r="I234" s="83" t="str">
        <f>VLOOKUP(Tabela1[[#This Row],[Matrícula]],Equipe!B:F,5,0)</f>
        <v>Experiente</v>
      </c>
    </row>
    <row r="235" spans="1:9">
      <c r="A235" s="83" t="s">
        <v>62</v>
      </c>
      <c r="B235" s="92">
        <f>_xlfn.XLOOKUP(A235,Equipe!H:H,Equipe!B:B,"",0)</f>
        <v>9886449</v>
      </c>
      <c r="C235" s="152">
        <v>45958</v>
      </c>
      <c r="D235" s="152">
        <f>((IF(Tabela1[[#This Row],[Início]]&lt;&gt;"",C235+E235-1,""))*1)*1</f>
        <v>45958</v>
      </c>
      <c r="E235" s="83">
        <v>1</v>
      </c>
      <c r="F235" s="83" t="s">
        <v>11</v>
      </c>
      <c r="G235" s="88" t="s">
        <v>188</v>
      </c>
      <c r="H235" s="83" t="str">
        <f>_xlfn.XLOOKUP(Tabela1[[#This Row],[Matrícula]],Equipe!B:B,Equipe!E:E,"ERRO",0)</f>
        <v>P80</v>
      </c>
      <c r="I235" s="83" t="str">
        <f>VLOOKUP(Tabela1[[#This Row],[Matrícula]],Equipe!B:F,5,0)</f>
        <v>Experiente</v>
      </c>
    </row>
    <row r="236" spans="1:9" hidden="1">
      <c r="A236" s="83" t="s">
        <v>30</v>
      </c>
      <c r="B236" s="92">
        <f>_xlfn.XLOOKUP(A236,Equipe!H:H,Equipe!B:B,"",0)</f>
        <v>9634180</v>
      </c>
      <c r="C236" s="152">
        <v>45958</v>
      </c>
      <c r="D236" s="152">
        <f>((IF(Tabela1[[#This Row],[Início]]&lt;&gt;"",C236+E236-1,""))*1)*1</f>
        <v>45971</v>
      </c>
      <c r="E236" s="83">
        <v>14</v>
      </c>
      <c r="F236" s="83" t="s">
        <v>17</v>
      </c>
      <c r="G236" s="88" t="s">
        <v>136</v>
      </c>
      <c r="H236" s="83" t="str">
        <f>_xlfn.XLOOKUP(Tabela1[[#This Row],[Matrícula]],Equipe!B:B,Equipe!E:E,"ERRO",0)</f>
        <v>P83</v>
      </c>
      <c r="I236" s="83" t="str">
        <f>VLOOKUP(Tabela1[[#This Row],[Matrícula]],Equipe!B:F,5,0)</f>
        <v>Experiente</v>
      </c>
    </row>
    <row r="237" spans="1:9" hidden="1">
      <c r="A237" s="83" t="s">
        <v>46</v>
      </c>
      <c r="B237" s="92">
        <f>_xlfn.XLOOKUP(A237,Equipe!H:H,Equipe!B:B,"",0)</f>
        <v>4608411</v>
      </c>
      <c r="C237" s="152">
        <v>45959</v>
      </c>
      <c r="D237" s="152">
        <f>((IF(Tabela1[[#This Row],[Início]]&lt;&gt;"",C237+E237-1,""))*1)*1</f>
        <v>45961</v>
      </c>
      <c r="E237" s="83">
        <v>3</v>
      </c>
      <c r="F237" s="83" t="s">
        <v>11</v>
      </c>
      <c r="G237" s="93" t="s">
        <v>189</v>
      </c>
      <c r="H237" s="83" t="str">
        <f>_xlfn.XLOOKUP(Tabela1[[#This Row],[Matrícula]],Equipe!B:B,Equipe!E:E,"ERRO",0)</f>
        <v>P83</v>
      </c>
      <c r="I237" s="83" t="str">
        <f>VLOOKUP(Tabela1[[#This Row],[Matrícula]],Equipe!B:F,5,0)</f>
        <v>Novo</v>
      </c>
    </row>
    <row r="238" spans="1:9" hidden="1">
      <c r="A238" s="83" t="s">
        <v>57</v>
      </c>
      <c r="B238" s="92">
        <f>_xlfn.XLOOKUP(A238,Equipe!H:H,Equipe!B:B,"",0)</f>
        <v>4608684</v>
      </c>
      <c r="C238" s="152">
        <v>45959</v>
      </c>
      <c r="D238" s="152">
        <f>((IF(Tabela1[[#This Row],[Início]]&lt;&gt;"",C238+E238-1,""))*1)*1</f>
        <v>45961</v>
      </c>
      <c r="E238" s="83">
        <v>3</v>
      </c>
      <c r="F238" s="83" t="s">
        <v>11</v>
      </c>
      <c r="G238" s="93" t="s">
        <v>189</v>
      </c>
      <c r="H238" s="83" t="str">
        <f>_xlfn.XLOOKUP(Tabela1[[#This Row],[Matrícula]],Equipe!B:B,Equipe!E:E,"ERRO",0)</f>
        <v>P82</v>
      </c>
      <c r="I238" s="83" t="str">
        <f>VLOOKUP(Tabela1[[#This Row],[Matrícula]],Equipe!B:F,5,0)</f>
        <v>Novo</v>
      </c>
    </row>
    <row r="239" spans="1:9">
      <c r="A239" s="83" t="s">
        <v>13</v>
      </c>
      <c r="B239" s="92">
        <f>_xlfn.XLOOKUP(A239,Equipe!H:H,Equipe!B:B,"",0)</f>
        <v>9762281</v>
      </c>
      <c r="C239" s="152">
        <v>45959</v>
      </c>
      <c r="D239" s="152">
        <f>((IF(Tabela1[[#This Row],[Início]]&lt;&gt;"",C239+E239-1,""))*1)*1</f>
        <v>45970</v>
      </c>
      <c r="E239" s="83">
        <v>12</v>
      </c>
      <c r="F239" s="83" t="s">
        <v>17</v>
      </c>
      <c r="G239" s="88" t="s">
        <v>83</v>
      </c>
      <c r="H239" s="83" t="str">
        <f>_xlfn.XLOOKUP(Tabela1[[#This Row],[Matrícula]],Equipe!B:B,Equipe!E:E,"ERRO",0)</f>
        <v>P80</v>
      </c>
      <c r="I239" s="83" t="str">
        <f>VLOOKUP(Tabela1[[#This Row],[Matrícula]],Equipe!B:F,5,0)</f>
        <v>Experiente</v>
      </c>
    </row>
    <row r="240" spans="1:9">
      <c r="A240" s="83" t="s">
        <v>22</v>
      </c>
      <c r="B240" s="92">
        <f>_xlfn.XLOOKUP(A240,Equipe!H:H,Equipe!B:B,"",0)</f>
        <v>4608389</v>
      </c>
      <c r="C240" s="152">
        <v>45960</v>
      </c>
      <c r="D240" s="152">
        <f>((IF(Tabela1[[#This Row],[Início]]&lt;&gt;"",C240+E240-1,""))*1)*1</f>
        <v>45961</v>
      </c>
      <c r="E240" s="83">
        <v>2</v>
      </c>
      <c r="F240" s="83" t="s">
        <v>14</v>
      </c>
      <c r="G240" s="88" t="s">
        <v>190</v>
      </c>
      <c r="H240" s="83" t="str">
        <f>_xlfn.XLOOKUP(Tabela1[[#This Row],[Matrícula]],Equipe!B:B,Equipe!E:E,"ERRO",0)</f>
        <v>P80</v>
      </c>
      <c r="I240" s="83" t="str">
        <f>VLOOKUP(Tabela1[[#This Row],[Matrícula]],Equipe!B:F,5,0)</f>
        <v>Novo</v>
      </c>
    </row>
    <row r="241" spans="1:9" hidden="1">
      <c r="A241" s="83" t="s">
        <v>70</v>
      </c>
      <c r="B241" s="92">
        <f>_xlfn.XLOOKUP(A241,Equipe!H:H,Equipe!B:B,"",0)</f>
        <v>9618720</v>
      </c>
      <c r="C241" s="152">
        <v>45960</v>
      </c>
      <c r="D241" s="152">
        <f>((IF(Tabela1[[#This Row],[Início]]&lt;&gt;"",C241+E241-1,""))*1)*1</f>
        <v>45960</v>
      </c>
      <c r="E241" s="83">
        <v>1</v>
      </c>
      <c r="F241" s="83" t="s">
        <v>11</v>
      </c>
      <c r="G241" s="88" t="s">
        <v>191</v>
      </c>
      <c r="H241" s="83" t="str">
        <f>_xlfn.XLOOKUP(Tabela1[[#This Row],[Matrícula]],Equipe!B:B,Equipe!E:E,"ERRO",0)</f>
        <v>P82</v>
      </c>
      <c r="I241" s="83" t="str">
        <f>VLOOKUP(Tabela1[[#This Row],[Matrícula]],Equipe!B:F,5,0)</f>
        <v>Experiente</v>
      </c>
    </row>
    <row r="242" spans="1:9">
      <c r="A242" s="83" t="s">
        <v>168</v>
      </c>
      <c r="B242" s="92">
        <f>_xlfn.XLOOKUP(A242,Equipe!H:H,Equipe!B:B,"",0)</f>
        <v>2440812</v>
      </c>
      <c r="C242" s="152">
        <v>45960</v>
      </c>
      <c r="D242" s="152">
        <f>((IF(Tabela1[[#This Row],[Início]]&lt;&gt;"",C242+E242-1,""))*1)*1</f>
        <v>45960</v>
      </c>
      <c r="E242" s="83">
        <v>1</v>
      </c>
      <c r="F242" s="83" t="s">
        <v>11</v>
      </c>
      <c r="G242" s="88" t="s">
        <v>192</v>
      </c>
      <c r="H242" s="83" t="str">
        <f>_xlfn.XLOOKUP(Tabela1[[#This Row],[Matrícula]],Equipe!B:B,Equipe!E:E,"ERRO",0)</f>
        <v>P80</v>
      </c>
      <c r="I242" s="83" t="str">
        <f>VLOOKUP(Tabela1[[#This Row],[Matrícula]],Equipe!B:F,5,0)</f>
        <v>Experiente</v>
      </c>
    </row>
    <row r="243" spans="1:9" hidden="1">
      <c r="A243" s="83" t="s">
        <v>70</v>
      </c>
      <c r="B243" s="92">
        <f>_xlfn.XLOOKUP(A243,Equipe!H:H,Equipe!B:B,"",0)</f>
        <v>9618720</v>
      </c>
      <c r="C243" s="152">
        <v>45961</v>
      </c>
      <c r="D243" s="152">
        <f>((IF(Tabela1[[#This Row],[Início]]&lt;&gt;"",C243+E243,""))*1)*1</f>
        <v>45962</v>
      </c>
      <c r="E243" s="83">
        <v>1</v>
      </c>
      <c r="F243" s="83" t="s">
        <v>14</v>
      </c>
      <c r="G243" s="88" t="s">
        <v>185</v>
      </c>
      <c r="H243" s="83" t="str">
        <f>_xlfn.XLOOKUP(Tabela1[[#This Row],[Matrícula]],Equipe!B:B,Equipe!E:E,"ERRO",0)</f>
        <v>P82</v>
      </c>
      <c r="I243" s="83" t="str">
        <f>VLOOKUP(Tabela1[[#This Row],[Matrícula]],Equipe!B:F,5,0)</f>
        <v>Experiente</v>
      </c>
    </row>
    <row r="244" spans="1:9" hidden="1">
      <c r="A244" s="83" t="s">
        <v>40</v>
      </c>
      <c r="B244" s="92">
        <f>_xlfn.XLOOKUP(A244,Equipe!H:H,Equipe!B:B,"",0)</f>
        <v>9724817</v>
      </c>
      <c r="C244" s="152">
        <v>45964</v>
      </c>
      <c r="D244" s="152">
        <f>((IF(Tabela1[[#This Row],[Início]]&lt;&gt;"",C244+E244-1,""))*1)*1</f>
        <v>45968</v>
      </c>
      <c r="E244" s="83">
        <v>5</v>
      </c>
      <c r="F244" s="83" t="s">
        <v>11</v>
      </c>
      <c r="G244" s="88" t="s">
        <v>193</v>
      </c>
      <c r="H244" s="83" t="str">
        <f>_xlfn.XLOOKUP(Tabela1[[#This Row],[Matrícula]],Equipe!B:B,Equipe!E:E,"ERRO",0)</f>
        <v>P82</v>
      </c>
      <c r="I244" s="83" t="str">
        <f>VLOOKUP(Tabela1[[#This Row],[Matrícula]],Equipe!B:F,5,0)</f>
        <v>Experiente</v>
      </c>
    </row>
    <row r="245" spans="1:9">
      <c r="A245" s="83" t="s">
        <v>22</v>
      </c>
      <c r="B245" s="92">
        <f>_xlfn.XLOOKUP(A245,Equipe!H:H,Equipe!B:B,"",0)</f>
        <v>4608389</v>
      </c>
      <c r="C245" s="152">
        <v>45964</v>
      </c>
      <c r="D245" s="152">
        <f>((IF(Tabela1[[#This Row],[Início]]&lt;&gt;"",C245+E245-1,""))*1)*1</f>
        <v>45968</v>
      </c>
      <c r="E245" s="83">
        <v>5</v>
      </c>
      <c r="F245" s="83" t="s">
        <v>11</v>
      </c>
      <c r="G245" s="130" t="s">
        <v>194</v>
      </c>
      <c r="H245" s="83" t="str">
        <f>_xlfn.XLOOKUP(Tabela1[[#This Row],[Matrícula]],Equipe!B:B,Equipe!E:E,"ERRO",0)</f>
        <v>P80</v>
      </c>
      <c r="I245" s="83" t="str">
        <f>VLOOKUP(Tabela1[[#This Row],[Matrícula]],Equipe!B:F,5,0)</f>
        <v>Novo</v>
      </c>
    </row>
    <row r="246" spans="1:9">
      <c r="A246" s="83" t="s">
        <v>44</v>
      </c>
      <c r="B246" s="92">
        <f>_xlfn.XLOOKUP(A246,Equipe!H:H,Equipe!B:B,"",0)</f>
        <v>1381625</v>
      </c>
      <c r="C246" s="152">
        <v>45964</v>
      </c>
      <c r="D246" s="152">
        <f>((IF(Tabela1[[#This Row],[Início]]&lt;&gt;"",C246+E246-1,""))*1)*1</f>
        <v>45968</v>
      </c>
      <c r="E246" s="83">
        <v>5</v>
      </c>
      <c r="F246" s="83" t="s">
        <v>11</v>
      </c>
      <c r="G246" s="88" t="s">
        <v>193</v>
      </c>
      <c r="H246" s="83" t="str">
        <f>_xlfn.XLOOKUP(Tabela1[[#This Row],[Matrícula]],Equipe!B:B,Equipe!E:E,"ERRO",0)</f>
        <v>P80</v>
      </c>
      <c r="I246" s="83" t="str">
        <f>VLOOKUP(Tabela1[[#This Row],[Matrícula]],Equipe!B:F,5,0)</f>
        <v>Experiente</v>
      </c>
    </row>
    <row r="247" spans="1:9" hidden="1">
      <c r="A247" s="83" t="s">
        <v>58</v>
      </c>
      <c r="B247" s="92">
        <f>_xlfn.XLOOKUP(A247,Equipe!H:H,Equipe!B:B,"",0)</f>
        <v>9612082</v>
      </c>
      <c r="C247" s="152">
        <v>45965</v>
      </c>
      <c r="D247" s="158">
        <f>((IF(Tabela1[[#This Row],[Início]]&lt;&gt;"",C247+E247-1,""))*1)*1</f>
        <v>45985</v>
      </c>
      <c r="E247" s="83">
        <v>21</v>
      </c>
      <c r="F247" s="83" t="s">
        <v>14</v>
      </c>
      <c r="G247" s="88" t="s">
        <v>195</v>
      </c>
      <c r="H247" s="83" t="str">
        <f>_xlfn.XLOOKUP(Tabela1[[#This Row],[Matrícula]],Equipe!B:B,Equipe!E:E,"ERRO",0)</f>
        <v>P82</v>
      </c>
      <c r="I247" s="83" t="str">
        <f>VLOOKUP(Tabela1[[#This Row],[Matrícula]],Equipe!B:F,5,0)</f>
        <v>Experiente</v>
      </c>
    </row>
    <row r="248" spans="1:9">
      <c r="A248" s="83" t="s">
        <v>104</v>
      </c>
      <c r="B248" s="92">
        <f>_xlfn.XLOOKUP(A248,Equipe!H:H,Equipe!B:B,"",0)</f>
        <v>4612098</v>
      </c>
      <c r="C248" s="152">
        <v>45966</v>
      </c>
      <c r="D248" s="152">
        <v>45994</v>
      </c>
      <c r="E248" s="83">
        <v>29</v>
      </c>
      <c r="F248" s="83" t="s">
        <v>14</v>
      </c>
      <c r="G248" s="88" t="s">
        <v>196</v>
      </c>
      <c r="H248" s="83" t="str">
        <f>_xlfn.XLOOKUP(Tabela1[[#This Row],[Matrícula]],Equipe!B:B,Equipe!E:E,"ERRO",0)</f>
        <v>P80</v>
      </c>
      <c r="I248" s="83" t="str">
        <f>VLOOKUP(Tabela1[[#This Row],[Matrícula]],Equipe!B:F,5,0)</f>
        <v>Novo</v>
      </c>
    </row>
    <row r="249" spans="1:9" hidden="1">
      <c r="A249" s="83" t="s">
        <v>70</v>
      </c>
      <c r="B249" s="92">
        <v>9618720</v>
      </c>
      <c r="C249" s="152">
        <v>45966</v>
      </c>
      <c r="D249" s="152">
        <f>((IF(Tabela1[[#This Row],[Início]]&lt;&gt;"",C249+E249-1,""))*1)*1</f>
        <v>45967</v>
      </c>
      <c r="E249" s="83">
        <v>2</v>
      </c>
      <c r="F249" s="83" t="s">
        <v>11</v>
      </c>
      <c r="G249" s="88" t="s">
        <v>197</v>
      </c>
      <c r="H249" s="83" t="str">
        <f>_xlfn.XLOOKUP(Tabela1[[#This Row],[Matrícula]],Equipe!B:B,Equipe!E:E,"ERRO",0)</f>
        <v>P82</v>
      </c>
      <c r="I249" s="83" t="str">
        <f>VLOOKUP(Tabela1[[#This Row],[Matrícula]],Equipe!B:F,5,0)</f>
        <v>Experiente</v>
      </c>
    </row>
    <row r="250" spans="1:9">
      <c r="A250" s="83" t="s">
        <v>168</v>
      </c>
      <c r="B250" s="92">
        <f>_xlfn.XLOOKUP(A250,Equipe!H:H,Equipe!B:B,"",0)</f>
        <v>2440812</v>
      </c>
      <c r="C250" s="152">
        <v>45966</v>
      </c>
      <c r="D250" s="152">
        <f>((IF(Tabela1[[#This Row],[Início]]&lt;&gt;"",C250+E250-1,""))*1)*1</f>
        <v>45967</v>
      </c>
      <c r="E250" s="83">
        <v>2</v>
      </c>
      <c r="F250" s="83" t="s">
        <v>11</v>
      </c>
      <c r="G250" s="88" t="s">
        <v>197</v>
      </c>
      <c r="H250" s="83" t="str">
        <f>_xlfn.XLOOKUP(Tabela1[[#This Row],[Matrícula]],Equipe!B:B,Equipe!E:E,"ERRO",0)</f>
        <v>P80</v>
      </c>
      <c r="I250" s="83" t="str">
        <f>VLOOKUP(Tabela1[[#This Row],[Matrícula]],Equipe!B:F,5,0)</f>
        <v>Experiente</v>
      </c>
    </row>
    <row r="251" spans="1:9" hidden="1">
      <c r="A251" s="83" t="s">
        <v>42</v>
      </c>
      <c r="B251" s="92">
        <f>_xlfn.XLOOKUP(A251,Equipe!H:H,Equipe!B:B,"",0)</f>
        <v>9634222</v>
      </c>
      <c r="C251" s="152">
        <v>45966</v>
      </c>
      <c r="D251" s="152">
        <f>((IF(Tabela1[[#This Row],[Início]]&lt;&gt;"",C251+E251-1,""))*1)*1</f>
        <v>45979</v>
      </c>
      <c r="E251" s="83">
        <v>14</v>
      </c>
      <c r="F251" s="83" t="s">
        <v>17</v>
      </c>
      <c r="G251" s="88" t="s">
        <v>83</v>
      </c>
      <c r="H251" s="83" t="str">
        <f>_xlfn.XLOOKUP(Tabela1[[#This Row],[Matrícula]],Equipe!B:B,Equipe!E:E,"ERRO",0)</f>
        <v>P83</v>
      </c>
      <c r="I251" s="83" t="str">
        <f>VLOOKUP(Tabela1[[#This Row],[Matrícula]],Equipe!B:F,5,0)</f>
        <v>Experiente</v>
      </c>
    </row>
    <row r="252" spans="1:9">
      <c r="A252" s="83" t="s">
        <v>108</v>
      </c>
      <c r="B252" s="92">
        <f>_xlfn.XLOOKUP(A252,Equipe!H:H,Equipe!B:B,"",0)</f>
        <v>4612243</v>
      </c>
      <c r="C252" s="152">
        <v>45967</v>
      </c>
      <c r="D252" s="152">
        <f>((IF(Tabela1[[#This Row],[Início]]&lt;&gt;"",C252+E252-1,""))*1)*1</f>
        <v>45968</v>
      </c>
      <c r="E252" s="83">
        <v>2</v>
      </c>
      <c r="F252" s="83" t="s">
        <v>11</v>
      </c>
      <c r="G252" s="88" t="s">
        <v>198</v>
      </c>
      <c r="H252" s="83" t="str">
        <f>_xlfn.XLOOKUP(Tabela1[[#This Row],[Matrícula]],Equipe!B:B,Equipe!E:E,"ERRO",0)</f>
        <v>P80</v>
      </c>
      <c r="I252" s="83" t="str">
        <f>VLOOKUP(Tabela1[[#This Row],[Matrícula]],Equipe!B:F,5,0)</f>
        <v>Novo</v>
      </c>
    </row>
    <row r="253" spans="1:9">
      <c r="A253" s="83" t="s">
        <v>109</v>
      </c>
      <c r="B253" s="92">
        <f>_xlfn.XLOOKUP(A253,Equipe!H:H,Equipe!B:B,"",0)</f>
        <v>4612389</v>
      </c>
      <c r="C253" s="152">
        <v>45967</v>
      </c>
      <c r="D253" s="152">
        <f>((IF(Tabela1[[#This Row],[Início]]&lt;&gt;"",C253+E253-1,""))*1)*1</f>
        <v>45968</v>
      </c>
      <c r="E253" s="83">
        <v>2</v>
      </c>
      <c r="F253" s="83" t="s">
        <v>11</v>
      </c>
      <c r="G253" s="88" t="s">
        <v>199</v>
      </c>
      <c r="H253" s="83" t="str">
        <f>_xlfn.XLOOKUP(Tabela1[[#This Row],[Matrícula]],Equipe!B:B,Equipe!E:E,"ERRO",0)</f>
        <v>P80</v>
      </c>
      <c r="I253" s="83" t="str">
        <f>VLOOKUP(Tabela1[[#This Row],[Matrícula]],Equipe!B:F,5,0)</f>
        <v>Novo</v>
      </c>
    </row>
    <row r="254" spans="1:9" hidden="1">
      <c r="A254" s="83" t="s">
        <v>114</v>
      </c>
      <c r="B254" s="92">
        <f>_xlfn.XLOOKUP(A254,Equipe!H:H,Equipe!B:B,"",0)</f>
        <v>4612140</v>
      </c>
      <c r="C254" s="152">
        <v>45967</v>
      </c>
      <c r="D254" s="152">
        <f>((IF(Tabela1[[#This Row],[Início]]&lt;&gt;"",C254+E254-1,""))*1)*1</f>
        <v>45968</v>
      </c>
      <c r="E254" s="83">
        <v>2</v>
      </c>
      <c r="F254" s="83" t="s">
        <v>11</v>
      </c>
      <c r="G254" s="88" t="s">
        <v>199</v>
      </c>
      <c r="H254" s="83" t="str">
        <f>_xlfn.XLOOKUP(Tabela1[[#This Row],[Matrícula]],Equipe!B:B,Equipe!E:E,"ERRO",0)</f>
        <v>P83</v>
      </c>
      <c r="I254" s="83" t="str">
        <f>VLOOKUP(Tabela1[[#This Row],[Matrícula]],Equipe!B:F,5,0)</f>
        <v>Novo</v>
      </c>
    </row>
    <row r="255" spans="1:9" hidden="1">
      <c r="A255" s="83" t="s">
        <v>113</v>
      </c>
      <c r="B255" s="92">
        <f>_xlfn.XLOOKUP(A255,Equipe!H:H,Equipe!B:B,"",0)</f>
        <v>4612192</v>
      </c>
      <c r="C255" s="152">
        <v>45967</v>
      </c>
      <c r="D255" s="152">
        <f>((IF(Tabela1[[#This Row],[Início]]&lt;&gt;"",C255+E255-1,""))*1)*1</f>
        <v>45968</v>
      </c>
      <c r="E255" s="83">
        <v>2</v>
      </c>
      <c r="F255" s="83" t="s">
        <v>11</v>
      </c>
      <c r="G255" s="88" t="s">
        <v>200</v>
      </c>
      <c r="H255" s="83" t="str">
        <f>_xlfn.XLOOKUP(Tabela1[[#This Row],[Matrícula]],Equipe!B:B,Equipe!E:E,"ERRO",0)</f>
        <v>P82</v>
      </c>
      <c r="I255" s="83" t="str">
        <f>VLOOKUP(Tabela1[[#This Row],[Matrícula]],Equipe!B:F,5,0)</f>
        <v>Novo</v>
      </c>
    </row>
    <row r="256" spans="1:9">
      <c r="A256" s="83" t="s">
        <v>38</v>
      </c>
      <c r="B256" s="92">
        <f>_xlfn.XLOOKUP(A256,Equipe!H:H,Equipe!B:B,"",0)</f>
        <v>1385894</v>
      </c>
      <c r="C256" s="152">
        <v>45968</v>
      </c>
      <c r="D256" s="152">
        <f>((IF(Tabela1[[#This Row],[Início]]&lt;&gt;"",C256+E256-1,""))*1)*1</f>
        <v>45968</v>
      </c>
      <c r="E256" s="83">
        <v>1</v>
      </c>
      <c r="F256" s="83" t="s">
        <v>14</v>
      </c>
      <c r="G256" s="88" t="s">
        <v>184</v>
      </c>
      <c r="H256" s="83" t="str">
        <f>_xlfn.XLOOKUP(Tabela1[[#This Row],[Matrícula]],Equipe!B:B,Equipe!E:E,"ERRO",0)</f>
        <v>P80</v>
      </c>
      <c r="I256" s="83" t="str">
        <f>VLOOKUP(Tabela1[[#This Row],[Matrícula]],Equipe!B:F,5,0)</f>
        <v>Experiente</v>
      </c>
    </row>
    <row r="257" spans="1:9" hidden="1">
      <c r="A257" s="83" t="s">
        <v>140</v>
      </c>
      <c r="B257" s="92">
        <f>_xlfn.XLOOKUP(A257,Equipe!H:H,Equipe!B:B,"",0)</f>
        <v>4612247</v>
      </c>
      <c r="C257" s="152">
        <v>45968</v>
      </c>
      <c r="D257" s="152">
        <v>45980</v>
      </c>
      <c r="E257" s="83">
        <v>12</v>
      </c>
      <c r="F257" s="83" t="s">
        <v>17</v>
      </c>
      <c r="G257" s="88" t="s">
        <v>201</v>
      </c>
      <c r="H257" s="83" t="str">
        <f>_xlfn.XLOOKUP(Tabela1[[#This Row],[Matrícula]],Equipe!B:B,Equipe!E:E,"ERRO",0)</f>
        <v>P83</v>
      </c>
      <c r="I257" s="83" t="str">
        <f>VLOOKUP(Tabela1[[#This Row],[Matrícula]],Equipe!B:F,5,0)</f>
        <v>Novo</v>
      </c>
    </row>
    <row r="258" spans="1:9">
      <c r="A258" s="83" t="s">
        <v>22</v>
      </c>
      <c r="B258" s="92">
        <f>_xlfn.XLOOKUP(A258,Equipe!H:H,Equipe!B:B,"",0)</f>
        <v>4608389</v>
      </c>
      <c r="C258" s="152">
        <v>45971</v>
      </c>
      <c r="D258" s="152">
        <f>((IF(Tabela1[[#This Row],[Início]]&lt;&gt;"",C258+E258-1,""))*1)*1</f>
        <v>45982</v>
      </c>
      <c r="E258" s="83">
        <v>12</v>
      </c>
      <c r="F258" s="83" t="s">
        <v>11</v>
      </c>
      <c r="G258" s="93" t="s">
        <v>202</v>
      </c>
      <c r="H258" s="83" t="str">
        <f>_xlfn.XLOOKUP(Tabela1[[#This Row],[Matrícula]],Equipe!B:B,Equipe!E:E,"ERRO",0)</f>
        <v>P80</v>
      </c>
      <c r="I258" s="83" t="str">
        <f>VLOOKUP(Tabela1[[#This Row],[Matrícula]],Equipe!B:F,5,0)</f>
        <v>Novo</v>
      </c>
    </row>
    <row r="259" spans="1:9">
      <c r="A259" s="83" t="s">
        <v>13</v>
      </c>
      <c r="B259" s="92">
        <f>_xlfn.XLOOKUP(A259,Equipe!H:H,Equipe!B:B,"",0)</f>
        <v>9762281</v>
      </c>
      <c r="C259" s="152">
        <v>45971</v>
      </c>
      <c r="D259" s="152">
        <f>((IF(Tabela1[[#This Row],[Início]]&lt;&gt;"",C259+E259-1,""))*1)*1</f>
        <v>45988</v>
      </c>
      <c r="E259" s="83">
        <v>18</v>
      </c>
      <c r="F259" s="83" t="s">
        <v>14</v>
      </c>
      <c r="G259" s="88" t="s">
        <v>83</v>
      </c>
      <c r="H259" s="83" t="str">
        <f>_xlfn.XLOOKUP(Tabela1[[#This Row],[Matrícula]],Equipe!B:B,Equipe!E:E,"ERRO",0)</f>
        <v>P80</v>
      </c>
      <c r="I259" s="83" t="str">
        <f>VLOOKUP(Tabela1[[#This Row],[Matrícula]],Equipe!B:F,5,0)</f>
        <v>Experiente</v>
      </c>
    </row>
    <row r="260" spans="1:9" hidden="1">
      <c r="A260" s="87" t="s">
        <v>53</v>
      </c>
      <c r="B260" s="109">
        <f>_xlfn.XLOOKUP(A260,Equipe!H:H,Equipe!B:B,"",0)</f>
        <v>4608780</v>
      </c>
      <c r="C260" s="152">
        <v>45971</v>
      </c>
      <c r="D260" s="152">
        <f>((IF(Tabela1[[#This Row],[Início]]&lt;&gt;"",C260+E260-1,""))*1)*1</f>
        <v>45982</v>
      </c>
      <c r="E260" s="83">
        <v>12</v>
      </c>
      <c r="F260" s="83" t="s">
        <v>11</v>
      </c>
      <c r="G260" s="93" t="s">
        <v>202</v>
      </c>
      <c r="H260" s="87" t="str">
        <f>_xlfn.XLOOKUP(Tabela1[[#This Row],[Matrícula]],Equipe!B:B,Equipe!E:E,"ERRO",0)</f>
        <v>P83</v>
      </c>
      <c r="I260" s="87" t="str">
        <f>VLOOKUP(Tabela1[[#This Row],[Matrícula]],Equipe!B:F,5,0)</f>
        <v>Novo</v>
      </c>
    </row>
    <row r="261" spans="1:9" hidden="1">
      <c r="A261" s="83" t="s">
        <v>57</v>
      </c>
      <c r="B261" s="92">
        <f>_xlfn.XLOOKUP(A261,Equipe!H:H,Equipe!B:B,"",0)</f>
        <v>4608684</v>
      </c>
      <c r="C261" s="152">
        <v>45972</v>
      </c>
      <c r="D261" s="152">
        <f>((IF(Tabela1[[#This Row],[Início]]&lt;&gt;"",C261+E261-1,""))*1)*1</f>
        <v>45974</v>
      </c>
      <c r="E261" s="83">
        <v>3</v>
      </c>
      <c r="F261" s="83" t="s">
        <v>11</v>
      </c>
      <c r="G261" s="93" t="s">
        <v>203</v>
      </c>
      <c r="H261" s="83" t="str">
        <f>_xlfn.XLOOKUP(Tabela1[[#This Row],[Matrícula]],Equipe!B:B,Equipe!E:E,"ERRO",0)</f>
        <v>P82</v>
      </c>
      <c r="I261" s="83" t="str">
        <f>VLOOKUP(Tabela1[[#This Row],[Matrícula]],Equipe!B:F,5,0)</f>
        <v>Novo</v>
      </c>
    </row>
    <row r="262" spans="1:9" hidden="1">
      <c r="A262" s="83" t="s">
        <v>30</v>
      </c>
      <c r="B262" s="92">
        <f>_xlfn.XLOOKUP(A262,Equipe!H:H,Equipe!B:B,"",0)</f>
        <v>9634180</v>
      </c>
      <c r="C262" s="152">
        <v>45972</v>
      </c>
      <c r="D262" s="152">
        <f>((IF(Tabela1[[#This Row],[Início]]&lt;&gt;"",C262+E262-1,""))*1)*1</f>
        <v>45992</v>
      </c>
      <c r="E262" s="83">
        <v>21</v>
      </c>
      <c r="F262" s="83" t="s">
        <v>14</v>
      </c>
      <c r="G262" s="88" t="s">
        <v>167</v>
      </c>
      <c r="H262" s="83" t="str">
        <f>_xlfn.XLOOKUP(Tabela1[[#This Row],[Matrícula]],Equipe!B:B,Equipe!E:E,"ERRO",0)</f>
        <v>P83</v>
      </c>
      <c r="I262" s="83" t="str">
        <f>VLOOKUP(Tabela1[[#This Row],[Matrícula]],Equipe!B:F,5,0)</f>
        <v>Experiente</v>
      </c>
    </row>
    <row r="263" spans="1:9" hidden="1">
      <c r="A263" s="83" t="s">
        <v>31</v>
      </c>
      <c r="B263" s="92">
        <f>_xlfn.XLOOKUP(A263,Equipe!H:H,Equipe!B:B,"",0)</f>
        <v>1386344</v>
      </c>
      <c r="C263" s="152">
        <v>45973</v>
      </c>
      <c r="D263" s="152">
        <f>((IF(Tabela1[[#This Row],[Início]]&lt;&gt;"",C263+E263-1,""))*1)*1</f>
        <v>45973</v>
      </c>
      <c r="E263" s="83">
        <v>1</v>
      </c>
      <c r="F263" s="83" t="s">
        <v>14</v>
      </c>
      <c r="G263" s="88" t="s">
        <v>204</v>
      </c>
      <c r="H263" s="83" t="str">
        <f>_xlfn.XLOOKUP(Tabela1[[#This Row],[Matrícula]],Equipe!B:B,Equipe!E:E,"ERRO",0)</f>
        <v>P82</v>
      </c>
      <c r="I263" s="83" t="str">
        <f>VLOOKUP(Tabela1[[#This Row],[Matrícula]],Equipe!B:F,5,0)</f>
        <v>Experiente</v>
      </c>
    </row>
    <row r="264" spans="1:9" hidden="1">
      <c r="A264" s="83" t="s">
        <v>31</v>
      </c>
      <c r="B264" s="92">
        <f>_xlfn.XLOOKUP(A264,Equipe!H:H,Equipe!B:B,"",0)</f>
        <v>1386344</v>
      </c>
      <c r="C264" s="152">
        <v>45974</v>
      </c>
      <c r="D264" s="152">
        <f>((IF(Tabela1[[#This Row],[Início]]&lt;&gt;"",C264+E264-1,""))*1)*1</f>
        <v>45974</v>
      </c>
      <c r="E264" s="83">
        <v>1</v>
      </c>
      <c r="F264" s="83" t="s">
        <v>14</v>
      </c>
      <c r="G264" s="88" t="s">
        <v>204</v>
      </c>
      <c r="H264" s="83" t="str">
        <f>_xlfn.XLOOKUP(Tabela1[[#This Row],[Matrícula]],Equipe!B:B,Equipe!E:E,"ERRO",0)</f>
        <v>P82</v>
      </c>
      <c r="I264" s="83" t="str">
        <f>VLOOKUP(Tabela1[[#This Row],[Matrícula]],Equipe!B:F,5,0)</f>
        <v>Experiente</v>
      </c>
    </row>
    <row r="265" spans="1:9" hidden="1">
      <c r="A265" s="83" t="s">
        <v>205</v>
      </c>
      <c r="B265" s="92">
        <f>_xlfn.XLOOKUP(A265,Equipe!H:H,Equipe!B:B,"",0)</f>
        <v>1385950</v>
      </c>
      <c r="C265" s="152">
        <v>45975</v>
      </c>
      <c r="D265" s="152">
        <v>45975</v>
      </c>
      <c r="E265" s="83">
        <v>1</v>
      </c>
      <c r="F265" s="83" t="s">
        <v>14</v>
      </c>
      <c r="G265" s="88" t="s">
        <v>206</v>
      </c>
      <c r="H265" s="83" t="str">
        <f>_xlfn.XLOOKUP(Tabela1[[#This Row],[Matrícula]],Equipe!B:B,Equipe!E:E,"ERRO",0)</f>
        <v>P82</v>
      </c>
      <c r="I265" s="83" t="str">
        <f>VLOOKUP(Tabela1[[#This Row],[Matrícula]],Equipe!B:F,5,0)</f>
        <v>Experiente</v>
      </c>
    </row>
    <row r="266" spans="1:9" hidden="1">
      <c r="A266" s="83" t="s">
        <v>24</v>
      </c>
      <c r="B266" s="92">
        <f>_xlfn.XLOOKUP(A266,Equipe!H:H,Equipe!B:B,"",0)</f>
        <v>1385870</v>
      </c>
      <c r="C266" s="152">
        <v>45975</v>
      </c>
      <c r="D266" s="152">
        <f>((IF(Tabela1[[#This Row],[Início]]&lt;&gt;"",C266+E266-1,""))*1)*1</f>
        <v>45975</v>
      </c>
      <c r="E266" s="83">
        <v>1</v>
      </c>
      <c r="F266" s="83" t="s">
        <v>14</v>
      </c>
      <c r="G266" s="88" t="s">
        <v>206</v>
      </c>
      <c r="H266" s="83" t="str">
        <f>_xlfn.XLOOKUP(Tabela1[[#This Row],[Matrícula]],Equipe!B:B,Equipe!E:E,"ERRO",0)</f>
        <v>P83</v>
      </c>
      <c r="I266" s="83" t="str">
        <f>VLOOKUP(Tabela1[[#This Row],[Matrícula]],Equipe!B:F,5,0)</f>
        <v>Experiente</v>
      </c>
    </row>
    <row r="267" spans="1:9" hidden="1">
      <c r="A267" s="83" t="s">
        <v>207</v>
      </c>
      <c r="B267" s="92">
        <f>_xlfn.XLOOKUP(A267,Equipe!H:H,Equipe!B:B,"",0)</f>
        <v>1386288</v>
      </c>
      <c r="C267" s="152">
        <v>45975</v>
      </c>
      <c r="D267" s="152">
        <f>((IF(Tabela1[[#This Row],[Início]]&lt;&gt;"",C267+E267-1,""))*1)*1</f>
        <v>45975</v>
      </c>
      <c r="E267" s="83">
        <v>1</v>
      </c>
      <c r="F267" s="83" t="s">
        <v>14</v>
      </c>
      <c r="G267" s="88" t="s">
        <v>208</v>
      </c>
      <c r="H267" s="83" t="str">
        <f>_xlfn.XLOOKUP(Tabela1[[#This Row],[Matrícula]],Equipe!B:B,Equipe!E:E,"ERRO",0)</f>
        <v>P83</v>
      </c>
      <c r="I267" s="83" t="str">
        <f>VLOOKUP(Tabela1[[#This Row],[Matrícula]],Equipe!B:F,5,0)</f>
        <v>Experiente</v>
      </c>
    </row>
    <row r="268" spans="1:9" hidden="1">
      <c r="A268" s="83" t="s">
        <v>31</v>
      </c>
      <c r="B268" s="92">
        <f>_xlfn.XLOOKUP(A268,Equipe!H:H,Equipe!B:B,"",0)</f>
        <v>1386344</v>
      </c>
      <c r="C268" s="152">
        <v>45975</v>
      </c>
      <c r="D268" s="152">
        <f>((IF(Tabela1[[#This Row],[Início]]&lt;&gt;"",C268+E268-1,""))*1)*1</f>
        <v>45986</v>
      </c>
      <c r="E268" s="83">
        <v>12</v>
      </c>
      <c r="F268" s="83" t="s">
        <v>17</v>
      </c>
      <c r="G268" s="88" t="s">
        <v>83</v>
      </c>
      <c r="H268" s="83" t="str">
        <f>_xlfn.XLOOKUP(Tabela1[[#This Row],[Matrícula]],Equipe!B:B,Equipe!E:E,"ERRO",0)</f>
        <v>P82</v>
      </c>
      <c r="I268" s="83" t="str">
        <f>VLOOKUP(Tabela1[[#This Row],[Matrícula]],Equipe!B:F,5,0)</f>
        <v>Experiente</v>
      </c>
    </row>
    <row r="269" spans="1:9" hidden="1">
      <c r="A269" s="83" t="s">
        <v>42</v>
      </c>
      <c r="B269" s="92">
        <f>_xlfn.XLOOKUP(A269,Equipe!H:H,Equipe!B:B,"",0)</f>
        <v>9634222</v>
      </c>
      <c r="C269" s="152">
        <v>45980</v>
      </c>
      <c r="D269" s="152">
        <f>((IF(Tabela1[[#This Row],[Início]]&lt;&gt;"",C269+E269-1,""))*1)*1</f>
        <v>46000</v>
      </c>
      <c r="E269" s="83">
        <v>21</v>
      </c>
      <c r="F269" s="83" t="s">
        <v>14</v>
      </c>
      <c r="G269" s="88" t="s">
        <v>83</v>
      </c>
      <c r="H269" s="83" t="str">
        <f>_xlfn.XLOOKUP(Tabela1[[#This Row],[Matrícula]],Equipe!B:B,Equipe!E:E,"ERRO",0)</f>
        <v>P83</v>
      </c>
      <c r="I269" s="83" t="str">
        <f>VLOOKUP(Tabela1[[#This Row],[Matrícula]],Equipe!B:F,5,0)</f>
        <v>Experiente</v>
      </c>
    </row>
    <row r="270" spans="1:9" hidden="1">
      <c r="A270" s="83" t="s">
        <v>205</v>
      </c>
      <c r="B270" s="92">
        <f>_xlfn.XLOOKUP(A270,Equipe!H:H,Equipe!B:B,"",0)</f>
        <v>1385950</v>
      </c>
      <c r="C270" s="152">
        <v>45982</v>
      </c>
      <c r="D270" s="152">
        <f>((IF(Tabela1[[#This Row],[Início]]&lt;&gt;"",C270+E270-1,""))*1)*1</f>
        <v>45982</v>
      </c>
      <c r="E270" s="83">
        <v>1</v>
      </c>
      <c r="F270" s="83" t="s">
        <v>14</v>
      </c>
      <c r="G270" s="88" t="s">
        <v>206</v>
      </c>
      <c r="H270" s="83" t="str">
        <f>_xlfn.XLOOKUP(Tabela1[[#This Row],[Matrícula]],Equipe!B:B,Equipe!E:E,"ERRO",0)</f>
        <v>P82</v>
      </c>
      <c r="I270" s="83" t="str">
        <f>VLOOKUP(Tabela1[[#This Row],[Matrícula]],Equipe!B:F,5,0)</f>
        <v>Experiente</v>
      </c>
    </row>
    <row r="271" spans="1:9" hidden="1">
      <c r="A271" s="83" t="s">
        <v>24</v>
      </c>
      <c r="B271" s="92">
        <f>_xlfn.XLOOKUP(A271,Equipe!H:H,Equipe!B:B,"",0)</f>
        <v>1385870</v>
      </c>
      <c r="C271" s="152">
        <v>45982</v>
      </c>
      <c r="D271" s="152">
        <f>((IF(Tabela1[[#This Row],[Início]]&lt;&gt;"",C271+E271-1,""))*1)*1</f>
        <v>45982</v>
      </c>
      <c r="E271" s="83">
        <v>1</v>
      </c>
      <c r="F271" s="83" t="s">
        <v>14</v>
      </c>
      <c r="G271" s="88" t="s">
        <v>206</v>
      </c>
      <c r="H271" s="83" t="str">
        <f>_xlfn.XLOOKUP(Tabela1[[#This Row],[Matrícula]],Equipe!B:B,Equipe!E:E,"ERRO",0)</f>
        <v>P83</v>
      </c>
      <c r="I271" s="83" t="str">
        <f>VLOOKUP(Tabela1[[#This Row],[Matrícula]],Equipe!B:F,5,0)</f>
        <v>Experiente</v>
      </c>
    </row>
    <row r="272" spans="1:9" hidden="1">
      <c r="A272" s="83" t="s">
        <v>207</v>
      </c>
      <c r="B272" s="92">
        <f>_xlfn.XLOOKUP(A272,Equipe!H:H,Equipe!B:B,"",0)</f>
        <v>1386288</v>
      </c>
      <c r="C272" s="152">
        <v>45982</v>
      </c>
      <c r="D272" s="152">
        <f>((IF(Tabela1[[#This Row],[Início]]&lt;&gt;"",C272+E272-1,""))*1)*1</f>
        <v>45982</v>
      </c>
      <c r="E272" s="83">
        <v>1</v>
      </c>
      <c r="F272" s="83" t="s">
        <v>14</v>
      </c>
      <c r="G272" s="88" t="s">
        <v>208</v>
      </c>
      <c r="H272" s="83" t="str">
        <f>_xlfn.XLOOKUP(Tabela1[[#This Row],[Matrícula]],Equipe!B:B,Equipe!E:E,"ERRO",0)</f>
        <v>P83</v>
      </c>
      <c r="I272" s="83" t="str">
        <f>VLOOKUP(Tabela1[[#This Row],[Matrícula]],Equipe!B:F,5,0)</f>
        <v>Experiente</v>
      </c>
    </row>
    <row r="273" spans="1:9" hidden="1">
      <c r="A273" s="83" t="s">
        <v>10</v>
      </c>
      <c r="B273" s="92">
        <f>_xlfn.XLOOKUP(A273,Equipe!H:H,Equipe!B:B,"",0)</f>
        <v>4612393</v>
      </c>
      <c r="C273" s="152">
        <v>45982</v>
      </c>
      <c r="D273" s="152">
        <v>45982</v>
      </c>
      <c r="E273" s="83">
        <v>1</v>
      </c>
      <c r="F273" s="83" t="s">
        <v>14</v>
      </c>
      <c r="G273" s="88" t="s">
        <v>204</v>
      </c>
      <c r="H273" s="83" t="str">
        <f>_xlfn.XLOOKUP(Tabela1[[#This Row],[Matrícula]],Equipe!B:B,Equipe!E:E,"ERRO",0)</f>
        <v>P83</v>
      </c>
      <c r="I273" s="83" t="str">
        <f>VLOOKUP(Tabela1[[#This Row],[Matrícula]],Equipe!B:F,5,0)</f>
        <v>Novo</v>
      </c>
    </row>
    <row r="274" spans="1:9" hidden="1">
      <c r="A274" s="83" t="s">
        <v>20</v>
      </c>
      <c r="B274" s="92">
        <v>4608559</v>
      </c>
      <c r="C274" s="152">
        <v>45982</v>
      </c>
      <c r="D274" s="152">
        <f>((IF(Tabela1[[#This Row],[Início]]&lt;&gt;"",C274+E274-1,""))*1)*1</f>
        <v>45982</v>
      </c>
      <c r="E274" s="83">
        <v>1</v>
      </c>
      <c r="F274" s="83" t="s">
        <v>14</v>
      </c>
      <c r="G274" s="88" t="s">
        <v>209</v>
      </c>
      <c r="H274" s="83" t="str">
        <f>_xlfn.XLOOKUP(Tabela1[[#This Row],[Matrícula]],Equipe!B:B,Equipe!E:E,"ERRO",0)</f>
        <v>P83</v>
      </c>
      <c r="I274" s="83" t="str">
        <f>VLOOKUP(Tabela1[[#This Row],[Matrícula]],Equipe!B:F,5,0)</f>
        <v>Novo</v>
      </c>
    </row>
    <row r="275" spans="1:9" hidden="1">
      <c r="A275" s="83" t="s">
        <v>140</v>
      </c>
      <c r="B275" s="92">
        <f>_xlfn.XLOOKUP(A275,Equipe!H:H,Equipe!B:B,"",0)</f>
        <v>4612247</v>
      </c>
      <c r="C275" s="152">
        <v>45982</v>
      </c>
      <c r="D275" s="152">
        <v>46007</v>
      </c>
      <c r="E275" s="83">
        <v>27</v>
      </c>
      <c r="F275" s="83" t="s">
        <v>14</v>
      </c>
      <c r="G275" s="88" t="s">
        <v>210</v>
      </c>
      <c r="H275" s="83" t="str">
        <f>_xlfn.XLOOKUP(Tabela1[[#This Row],[Matrícula]],Equipe!B:B,Equipe!E:E,"ERRO",0)</f>
        <v>P83</v>
      </c>
      <c r="I275" s="83" t="str">
        <f>VLOOKUP(Tabela1[[#This Row],[Matrícula]],Equipe!B:F,5,0)</f>
        <v>Novo</v>
      </c>
    </row>
    <row r="276" spans="1:9" ht="29.1" hidden="1">
      <c r="A276" s="83" t="s">
        <v>57</v>
      </c>
      <c r="B276" s="92">
        <f>_xlfn.XLOOKUP(A276,Equipe!H:H,Equipe!B:B,"",0)</f>
        <v>4608684</v>
      </c>
      <c r="C276" s="152">
        <v>45985</v>
      </c>
      <c r="D276" s="152">
        <f>((IF(Tabela1[[#This Row],[Início]]&lt;&gt;"",C276+E276-1,""))*1)*1</f>
        <v>45989</v>
      </c>
      <c r="E276" s="83">
        <v>5</v>
      </c>
      <c r="F276" s="83" t="s">
        <v>11</v>
      </c>
      <c r="G276" s="93" t="s">
        <v>211</v>
      </c>
      <c r="H276" s="83" t="str">
        <f>_xlfn.XLOOKUP(Tabela1[[#This Row],[Matrícula]],Equipe!B:B,Equipe!E:E,"ERRO",0)</f>
        <v>P82</v>
      </c>
      <c r="I276" s="83" t="str">
        <f>VLOOKUP(Tabela1[[#This Row],[Matrícula]],Equipe!B:F,5,0)</f>
        <v>Novo</v>
      </c>
    </row>
    <row r="277" spans="1:9">
      <c r="A277" s="83" t="s">
        <v>108</v>
      </c>
      <c r="B277" s="92">
        <f>_xlfn.XLOOKUP(A277,Equipe!H:H,Equipe!B:B,"",0)</f>
        <v>4612243</v>
      </c>
      <c r="C277" s="152">
        <v>45986</v>
      </c>
      <c r="D277" s="152">
        <f>((IF(Tabela1[[#This Row],[Início]]&lt;&gt;"",C277+E277-1,""))*1)*1</f>
        <v>45986</v>
      </c>
      <c r="E277" s="83">
        <v>1</v>
      </c>
      <c r="F277" s="83" t="s">
        <v>11</v>
      </c>
      <c r="G277" s="88" t="s">
        <v>212</v>
      </c>
      <c r="H277" s="83" t="str">
        <f>_xlfn.XLOOKUP(Tabela1[[#This Row],[Matrícula]],Equipe!B:B,Equipe!E:E,"ERRO",0)</f>
        <v>P80</v>
      </c>
      <c r="I277" s="83" t="str">
        <f>VLOOKUP(Tabela1[[#This Row],[Matrícula]],Equipe!B:F,5,0)</f>
        <v>Novo</v>
      </c>
    </row>
    <row r="278" spans="1:9" hidden="1">
      <c r="A278" s="83" t="s">
        <v>53</v>
      </c>
      <c r="B278" s="92">
        <f>_xlfn.XLOOKUP(A278,Equipe!H:H,Equipe!B:B,"",0)</f>
        <v>4608780</v>
      </c>
      <c r="C278" s="152">
        <v>45986</v>
      </c>
      <c r="D278" s="152">
        <f>((IF(Tabela1[[#This Row],[Início]]&lt;&gt;"",C278+E278-1,""))*1)*1</f>
        <v>45986</v>
      </c>
      <c r="E278" s="83">
        <v>1</v>
      </c>
      <c r="F278" s="83" t="s">
        <v>11</v>
      </c>
      <c r="G278" s="88" t="s">
        <v>213</v>
      </c>
      <c r="H278" s="83" t="str">
        <f>_xlfn.XLOOKUP(Tabela1[[#This Row],[Matrícula]],Equipe!B:B,Equipe!E:E,"ERRO",0)</f>
        <v>P83</v>
      </c>
      <c r="I278" s="83" t="str">
        <f>VLOOKUP(Tabela1[[#This Row],[Matrícula]],Equipe!B:F,5,0)</f>
        <v>Novo</v>
      </c>
    </row>
    <row r="279" spans="1:9" hidden="1">
      <c r="A279" s="83" t="s">
        <v>114</v>
      </c>
      <c r="B279" s="92">
        <f>_xlfn.XLOOKUP(A279,Equipe!H:H,Equipe!B:B,"",0)</f>
        <v>4612140</v>
      </c>
      <c r="C279" s="152">
        <v>45986</v>
      </c>
      <c r="D279" s="152">
        <f>((IF(Tabela1[[#This Row],[Início]]&lt;&gt;"",C279+E279-1,""))*1)*1</f>
        <v>45986</v>
      </c>
      <c r="E279" s="83">
        <v>1</v>
      </c>
      <c r="F279" s="83" t="s">
        <v>11</v>
      </c>
      <c r="G279" s="88" t="s">
        <v>214</v>
      </c>
      <c r="H279" s="83" t="str">
        <f>_xlfn.XLOOKUP(Tabela1[[#This Row],[Matrícula]],Equipe!B:B,Equipe!E:E,"ERRO",0)</f>
        <v>P83</v>
      </c>
      <c r="I279" s="83" t="str">
        <f>VLOOKUP(Tabela1[[#This Row],[Matrícula]],Equipe!B:F,5,0)</f>
        <v>Novo</v>
      </c>
    </row>
    <row r="280" spans="1:9" hidden="1">
      <c r="A280" s="83" t="s">
        <v>114</v>
      </c>
      <c r="B280" s="92">
        <f>_xlfn.XLOOKUP(A280,Equipe!H:H,Equipe!B:B,"",0)</f>
        <v>4612140</v>
      </c>
      <c r="C280" s="152">
        <v>45986</v>
      </c>
      <c r="D280" s="152">
        <f>((IF(Tabela1[[#This Row],[Início]]&lt;&gt;"",C280+E280-1,""))*1)*1</f>
        <v>45986</v>
      </c>
      <c r="E280" s="83">
        <v>1</v>
      </c>
      <c r="F280" s="83" t="s">
        <v>11</v>
      </c>
      <c r="G280" s="88" t="s">
        <v>213</v>
      </c>
      <c r="H280" s="83" t="str">
        <f>_xlfn.XLOOKUP(Tabela1[[#This Row],[Matrícula]],Equipe!B:B,Equipe!E:E,"ERRO",0)</f>
        <v>P83</v>
      </c>
      <c r="I280" s="83" t="str">
        <f>VLOOKUP(Tabela1[[#This Row],[Matrícula]],Equipe!B:F,5,0)</f>
        <v>Novo</v>
      </c>
    </row>
    <row r="281" spans="1:9" hidden="1">
      <c r="A281" s="83" t="s">
        <v>31</v>
      </c>
      <c r="B281" s="92">
        <f>_xlfn.XLOOKUP(A281,Equipe!H:H,Equipe!B:B,"",0)</f>
        <v>1386344</v>
      </c>
      <c r="C281" s="152">
        <v>45987</v>
      </c>
      <c r="D281" s="152">
        <f>((IF(Tabela1[[#This Row],[Início]]&lt;&gt;"",C281+E281-1,""))*1)*1</f>
        <v>45992</v>
      </c>
      <c r="E281" s="83">
        <v>6</v>
      </c>
      <c r="F281" s="83" t="s">
        <v>14</v>
      </c>
      <c r="G281" s="88" t="s">
        <v>215</v>
      </c>
      <c r="H281" s="83" t="str">
        <f>_xlfn.XLOOKUP(Tabela1[[#This Row],[Matrícula]],Equipe!B:B,Equipe!E:E,"ERRO",0)</f>
        <v>P82</v>
      </c>
      <c r="I281" s="83" t="str">
        <f>VLOOKUP(Tabela1[[#This Row],[Matrícula]],Equipe!B:F,5,0)</f>
        <v>Experiente</v>
      </c>
    </row>
    <row r="282" spans="1:9" hidden="1">
      <c r="A282" s="83" t="s">
        <v>205</v>
      </c>
      <c r="B282" s="92">
        <f>_xlfn.XLOOKUP(A282,Equipe!H:H,Equipe!B:B,"",0)</f>
        <v>1385950</v>
      </c>
      <c r="C282" s="152">
        <v>45989</v>
      </c>
      <c r="D282" s="152">
        <f>((IF(Tabela1[[#This Row],[Início]]&lt;&gt;"",C282+E282-1,""))*1)*1</f>
        <v>45989</v>
      </c>
      <c r="E282" s="83">
        <v>1</v>
      </c>
      <c r="F282" s="83" t="s">
        <v>14</v>
      </c>
      <c r="G282" s="88" t="s">
        <v>206</v>
      </c>
      <c r="H282" s="83" t="str">
        <f>_xlfn.XLOOKUP(Tabela1[[#This Row],[Matrícula]],Equipe!B:B,Equipe!E:E,"ERRO",0)</f>
        <v>P82</v>
      </c>
      <c r="I282" s="83" t="str">
        <f>VLOOKUP(Tabela1[[#This Row],[Matrícula]],Equipe!B:F,5,0)</f>
        <v>Experiente</v>
      </c>
    </row>
    <row r="283" spans="1:9" hidden="1">
      <c r="A283" s="83" t="s">
        <v>24</v>
      </c>
      <c r="B283" s="92">
        <f>_xlfn.XLOOKUP(A283,Equipe!H:H,Equipe!B:B,"",0)</f>
        <v>1385870</v>
      </c>
      <c r="C283" s="152">
        <v>45989</v>
      </c>
      <c r="D283" s="152">
        <f>((IF(Tabela1[[#This Row],[Início]]&lt;&gt;"",C283+E283-1,""))*1)*1</f>
        <v>45989</v>
      </c>
      <c r="E283" s="83">
        <v>1</v>
      </c>
      <c r="F283" s="83" t="s">
        <v>14</v>
      </c>
      <c r="G283" s="88" t="s">
        <v>206</v>
      </c>
      <c r="H283" s="83" t="str">
        <f>_xlfn.XLOOKUP(Tabela1[[#This Row],[Matrícula]],Equipe!B:B,Equipe!E:E,"ERRO",0)</f>
        <v>P83</v>
      </c>
      <c r="I283" s="83" t="str">
        <f>VLOOKUP(Tabela1[[#This Row],[Matrícula]],Equipe!B:F,5,0)</f>
        <v>Experiente</v>
      </c>
    </row>
    <row r="284" spans="1:9">
      <c r="A284" s="83" t="s">
        <v>90</v>
      </c>
      <c r="B284" s="92">
        <f>_xlfn.XLOOKUP(A284,Equipe!H:H,Equipe!B:B,"",0)</f>
        <v>9683150</v>
      </c>
      <c r="C284" s="152">
        <v>45992</v>
      </c>
      <c r="D284" s="152">
        <v>45996</v>
      </c>
      <c r="E284" s="83"/>
      <c r="F284" s="83" t="s">
        <v>14</v>
      </c>
      <c r="G284" s="88" t="s">
        <v>208</v>
      </c>
      <c r="H284" s="83" t="str">
        <f>_xlfn.XLOOKUP(Tabela1[[#This Row],[Matrícula]],Equipe!B:B,Equipe!E:E,"ERRO",0)</f>
        <v>P80</v>
      </c>
      <c r="I284" s="83" t="str">
        <f>VLOOKUP(Tabela1[[#This Row],[Matrícula]],Equipe!B:F,5,0)</f>
        <v>Experiente</v>
      </c>
    </row>
    <row r="285" spans="1:9" hidden="1">
      <c r="A285" s="83" t="s">
        <v>57</v>
      </c>
      <c r="B285" s="92">
        <f>_xlfn.XLOOKUP(A285,Equipe!H:H,Equipe!B:B,"",0)</f>
        <v>4608684</v>
      </c>
      <c r="C285" s="152">
        <v>45992</v>
      </c>
      <c r="D285" s="152">
        <f>((IF(Tabela1[[#This Row],[Início]]&lt;&gt;"",C285+E285-1,""))*1)*1</f>
        <v>45994</v>
      </c>
      <c r="E285" s="83">
        <v>3</v>
      </c>
      <c r="F285" s="83" t="s">
        <v>11</v>
      </c>
      <c r="G285" s="93" t="s">
        <v>216</v>
      </c>
      <c r="H285" s="83" t="str">
        <f>_xlfn.XLOOKUP(Tabela1[[#This Row],[Matrícula]],Equipe!B:B,Equipe!E:E,"ERRO",0)</f>
        <v>P82</v>
      </c>
      <c r="I285" s="83" t="str">
        <f>VLOOKUP(Tabela1[[#This Row],[Matrícula]],Equipe!B:F,5,0)</f>
        <v>Novo</v>
      </c>
    </row>
    <row r="286" spans="1:9">
      <c r="A286" s="83" t="s">
        <v>108</v>
      </c>
      <c r="B286" s="92">
        <f>_xlfn.XLOOKUP(A286,Equipe!H:H,Equipe!B:B,"",0)</f>
        <v>4612243</v>
      </c>
      <c r="C286" s="152">
        <v>45992</v>
      </c>
      <c r="D286" s="152">
        <f>((IF(Tabela1[[#This Row],[Início]]&lt;&gt;"",C286+E286-1,""))*1)*1</f>
        <v>45994</v>
      </c>
      <c r="E286" s="83">
        <v>3</v>
      </c>
      <c r="F286" s="83" t="s">
        <v>11</v>
      </c>
      <c r="G286" s="88" t="s">
        <v>217</v>
      </c>
      <c r="H286" s="83" t="str">
        <f>_xlfn.XLOOKUP(Tabela1[[#This Row],[Matrícula]],Equipe!B:B,Equipe!E:E,"ERRO",0)</f>
        <v>P80</v>
      </c>
      <c r="I286" s="83" t="str">
        <f>VLOOKUP(Tabela1[[#This Row],[Matrícula]],Equipe!B:F,5,0)</f>
        <v>Novo</v>
      </c>
    </row>
    <row r="287" spans="1:9">
      <c r="A287" s="83" t="s">
        <v>109</v>
      </c>
      <c r="B287" s="92">
        <f>_xlfn.XLOOKUP(A287,Equipe!H:H,Equipe!B:B,"",0)</f>
        <v>4612389</v>
      </c>
      <c r="C287" s="152">
        <v>45992</v>
      </c>
      <c r="D287" s="152">
        <f>((IF(Tabela1[[#This Row],[Início]]&lt;&gt;"",C287+E287-1,""))*1)*1</f>
        <v>45994</v>
      </c>
      <c r="E287" s="83">
        <v>3</v>
      </c>
      <c r="F287" s="83" t="s">
        <v>11</v>
      </c>
      <c r="G287" s="88" t="s">
        <v>217</v>
      </c>
      <c r="H287" s="83" t="str">
        <f>_xlfn.XLOOKUP(Tabela1[[#This Row],[Matrícula]],Equipe!B:B,Equipe!E:E,"ERRO",0)</f>
        <v>P80</v>
      </c>
      <c r="I287" s="83" t="str">
        <f>VLOOKUP(Tabela1[[#This Row],[Matrícula]],Equipe!B:F,5,0)</f>
        <v>Novo</v>
      </c>
    </row>
    <row r="288" spans="1:9">
      <c r="A288" s="83" t="s">
        <v>168</v>
      </c>
      <c r="B288" s="92">
        <f>_xlfn.XLOOKUP(A288,Equipe!H:H,Equipe!B:B,"",0)</f>
        <v>2440812</v>
      </c>
      <c r="C288" s="152">
        <v>45994</v>
      </c>
      <c r="D288" s="152">
        <f>((IF(Tabela1[[#This Row],[Início]]&lt;&gt;"",C288+E288-1,""))*1)*1</f>
        <v>45994</v>
      </c>
      <c r="E288" s="83">
        <v>1</v>
      </c>
      <c r="F288" s="83" t="s">
        <v>11</v>
      </c>
      <c r="G288" s="88" t="s">
        <v>218</v>
      </c>
      <c r="H288" s="83" t="str">
        <f>_xlfn.XLOOKUP(Tabela1[[#This Row],[Matrícula]],Equipe!B:B,Equipe!E:E,"ERRO",0)</f>
        <v>P80</v>
      </c>
      <c r="I288" s="83" t="str">
        <f>VLOOKUP(Tabela1[[#This Row],[Matrícula]],Equipe!B:F,5,0)</f>
        <v>Experiente</v>
      </c>
    </row>
    <row r="289" spans="1:9" ht="29.1" hidden="1">
      <c r="A289" s="83" t="s">
        <v>40</v>
      </c>
      <c r="B289" s="92">
        <f>_xlfn.XLOOKUP(A289,Equipe!H:H,Equipe!B:B,"",0)</f>
        <v>9724817</v>
      </c>
      <c r="C289" s="152">
        <v>45995</v>
      </c>
      <c r="D289" s="152">
        <f>((IF(Tabela1[[#This Row],[Início]]&lt;&gt;"",C289+E289-1,""))*1)*1</f>
        <v>45996</v>
      </c>
      <c r="E289" s="83">
        <v>2</v>
      </c>
      <c r="F289" s="83" t="s">
        <v>14</v>
      </c>
      <c r="G289" s="88" t="s">
        <v>219</v>
      </c>
      <c r="H289" s="83" t="str">
        <f>_xlfn.XLOOKUP(Tabela1[[#This Row],[Matrícula]],Equipe!B:B,Equipe!E:E,"ERRO",0)</f>
        <v>P82</v>
      </c>
      <c r="I289" s="83" t="str">
        <f>VLOOKUP(Tabela1[[#This Row],[Matrícula]],Equipe!B:F,5,0)</f>
        <v>Experiente</v>
      </c>
    </row>
    <row r="290" spans="1:9" hidden="1">
      <c r="A290" s="83" t="s">
        <v>205</v>
      </c>
      <c r="B290" s="92">
        <f>_xlfn.XLOOKUP(A290,Equipe!H:H,Equipe!B:B,"",0)</f>
        <v>1385950</v>
      </c>
      <c r="C290" s="152">
        <v>45996</v>
      </c>
      <c r="D290" s="152">
        <f>((IF(Tabela1[[#This Row],[Início]]&lt;&gt;"",C290+E290-1,""))*1)*1</f>
        <v>45996</v>
      </c>
      <c r="E290" s="83">
        <v>1</v>
      </c>
      <c r="F290" s="83" t="s">
        <v>14</v>
      </c>
      <c r="G290" s="88" t="s">
        <v>206</v>
      </c>
      <c r="H290" s="83" t="str">
        <f>_xlfn.XLOOKUP(Tabela1[[#This Row],[Matrícula]],Equipe!B:B,Equipe!E:E,"ERRO",0)</f>
        <v>P82</v>
      </c>
      <c r="I290" s="83" t="str">
        <f>VLOOKUP(Tabela1[[#This Row],[Matrícula]],Equipe!B:F,5,0)</f>
        <v>Experiente</v>
      </c>
    </row>
    <row r="291" spans="1:9" hidden="1">
      <c r="A291" s="83" t="s">
        <v>24</v>
      </c>
      <c r="B291" s="92">
        <f>_xlfn.XLOOKUP(A291,Equipe!H:H,Equipe!B:B,"",0)</f>
        <v>1385870</v>
      </c>
      <c r="C291" s="152">
        <v>45996</v>
      </c>
      <c r="D291" s="152">
        <f>((IF(Tabela1[[#This Row],[Início]]&lt;&gt;"",C291+E291-1,""))*1)*1</f>
        <v>45996</v>
      </c>
      <c r="E291" s="83">
        <v>1</v>
      </c>
      <c r="F291" s="83" t="s">
        <v>14</v>
      </c>
      <c r="G291" s="88" t="s">
        <v>220</v>
      </c>
      <c r="H291" s="83" t="str">
        <f>_xlfn.XLOOKUP(Tabela1[[#This Row],[Matrícula]],Equipe!B:B,Equipe!E:E,"ERRO",0)</f>
        <v>P83</v>
      </c>
      <c r="I291" s="83" t="str">
        <f>VLOOKUP(Tabela1[[#This Row],[Matrícula]],Equipe!B:F,5,0)</f>
        <v>Experiente</v>
      </c>
    </row>
    <row r="292" spans="1:9" hidden="1">
      <c r="A292" s="83" t="s">
        <v>207</v>
      </c>
      <c r="B292" s="92">
        <f>_xlfn.XLOOKUP(A292,Equipe!H:H,Equipe!B:B,"",0)</f>
        <v>1386288</v>
      </c>
      <c r="C292" s="152">
        <v>45996</v>
      </c>
      <c r="D292" s="152">
        <f>((IF(Tabela1[[#This Row],[Início]]&lt;&gt;"",C292+E292-1,""))*1)*1</f>
        <v>45996</v>
      </c>
      <c r="E292" s="83">
        <v>1</v>
      </c>
      <c r="F292" s="83" t="s">
        <v>14</v>
      </c>
      <c r="G292" s="88" t="s">
        <v>208</v>
      </c>
      <c r="H292" s="83" t="str">
        <f>_xlfn.XLOOKUP(Tabela1[[#This Row],[Matrícula]],Equipe!B:B,Equipe!E:E,"ERRO",0)</f>
        <v>P83</v>
      </c>
      <c r="I292" s="83" t="str">
        <f>VLOOKUP(Tabela1[[#This Row],[Matrícula]],Equipe!B:F,5,0)</f>
        <v>Experiente</v>
      </c>
    </row>
    <row r="293" spans="1:9" hidden="1">
      <c r="A293" s="87" t="s">
        <v>16</v>
      </c>
      <c r="B293" s="109">
        <f>_xlfn.XLOOKUP(A293,Equipe!H:H,Equipe!B:B,"",0)</f>
        <v>4608544</v>
      </c>
      <c r="C293" s="152">
        <v>45999</v>
      </c>
      <c r="D293" s="152">
        <f>((IF(Tabela1[[#This Row],[Início]]&lt;&gt;"",C293+E293-1,""))*1)*1</f>
        <v>46012</v>
      </c>
      <c r="E293" s="87">
        <v>14</v>
      </c>
      <c r="F293" s="87" t="s">
        <v>17</v>
      </c>
      <c r="G293" s="93" t="s">
        <v>221</v>
      </c>
      <c r="H293" s="87" t="str">
        <f>_xlfn.XLOOKUP(Tabela1[[#This Row],[Matrícula]],Equipe!B:B,Equipe!E:E,"ERRO",0)</f>
        <v>P82</v>
      </c>
      <c r="I293" s="87" t="str">
        <f>VLOOKUP(Tabela1[[#This Row],[Matrícula]],Equipe!B:F,5,0)</f>
        <v>Novo</v>
      </c>
    </row>
    <row r="294" spans="1:9" hidden="1">
      <c r="A294" s="83" t="s">
        <v>20</v>
      </c>
      <c r="B294" s="92">
        <v>4608559</v>
      </c>
      <c r="C294" s="152">
        <v>46000</v>
      </c>
      <c r="D294" s="152">
        <f>((IF(Tabela1[[#This Row],[Início]]&lt;&gt;"",C294+E294-1,""))*1)*1</f>
        <v>46000</v>
      </c>
      <c r="E294" s="83">
        <v>1</v>
      </c>
      <c r="F294" s="83" t="s">
        <v>14</v>
      </c>
      <c r="G294" s="88" t="s">
        <v>222</v>
      </c>
      <c r="H294" s="83" t="str">
        <f>_xlfn.XLOOKUP(Tabela1[[#This Row],[Matrícula]],Equipe!B:B,Equipe!E:E,"ERRO",0)</f>
        <v>P83</v>
      </c>
      <c r="I294" s="83" t="str">
        <f>VLOOKUP(Tabela1[[#This Row],[Matrícula]],Equipe!B:F,5,0)</f>
        <v>Novo</v>
      </c>
    </row>
    <row r="295" spans="1:9">
      <c r="A295" s="83" t="s">
        <v>108</v>
      </c>
      <c r="B295" s="92">
        <f>_xlfn.XLOOKUP(A295,Equipe!H:H,Equipe!B:B,"",0)</f>
        <v>4612243</v>
      </c>
      <c r="C295" s="152">
        <v>46000</v>
      </c>
      <c r="D295" s="152">
        <f>((IF(Tabela1[[#This Row],[Início]]&lt;&gt;"",C295+E295-1,""))*1)*1</f>
        <v>46004</v>
      </c>
      <c r="E295" s="83">
        <v>5</v>
      </c>
      <c r="F295" s="83" t="s">
        <v>17</v>
      </c>
      <c r="G295" s="88" t="s">
        <v>223</v>
      </c>
      <c r="H295" s="83" t="str">
        <f>_xlfn.XLOOKUP(Tabela1[[#This Row],[Matrícula]],Equipe!B:B,Equipe!E:E,"ERRO",0)</f>
        <v>P80</v>
      </c>
      <c r="I295" s="83" t="str">
        <f>VLOOKUP(Tabela1[[#This Row],[Matrícula]],Equipe!B:F,5,0)</f>
        <v>Novo</v>
      </c>
    </row>
    <row r="296" spans="1:9" hidden="1">
      <c r="A296" s="83" t="s">
        <v>111</v>
      </c>
      <c r="B296" s="92">
        <f>_xlfn.XLOOKUP(A296,Equipe!H:H,Equipe!B:B,"",0)</f>
        <v>4612126</v>
      </c>
      <c r="C296" s="152">
        <v>46000</v>
      </c>
      <c r="D296" s="152">
        <v>46006</v>
      </c>
      <c r="E296" s="83">
        <v>6</v>
      </c>
      <c r="F296" s="83" t="s">
        <v>17</v>
      </c>
      <c r="G296" s="88" t="s">
        <v>136</v>
      </c>
      <c r="H296" s="83" t="str">
        <f>_xlfn.XLOOKUP(Tabela1[[#This Row],[Matrícula]],Equipe!B:B,Equipe!E:E,"ERRO",0)</f>
        <v>P82</v>
      </c>
      <c r="I296" s="83" t="str">
        <f>VLOOKUP(Tabela1[[#This Row],[Matrícula]],Equipe!B:F,5,0)</f>
        <v>Novo</v>
      </c>
    </row>
    <row r="297" spans="1:9" hidden="1">
      <c r="A297" s="83" t="s">
        <v>46</v>
      </c>
      <c r="B297" s="92">
        <f>_xlfn.XLOOKUP(A297,Equipe!H:H,Equipe!B:B,"",0)</f>
        <v>4608411</v>
      </c>
      <c r="C297" s="152">
        <v>46001</v>
      </c>
      <c r="D297" s="152">
        <f>((IF(Tabela1[[#This Row],[Início]]&lt;&gt;"",C297+E297-1,""))*1)*1</f>
        <v>46005</v>
      </c>
      <c r="E297" s="83">
        <v>5</v>
      </c>
      <c r="F297" s="83" t="s">
        <v>17</v>
      </c>
      <c r="G297" s="88" t="s">
        <v>182</v>
      </c>
      <c r="H297" s="83" t="str">
        <f>_xlfn.XLOOKUP(Tabela1[[#This Row],[Matrícula]],Equipe!B:B,Equipe!E:E,"ERRO",0)</f>
        <v>P83</v>
      </c>
      <c r="I297" s="83" t="str">
        <f>VLOOKUP(Tabela1[[#This Row],[Matrícula]],Equipe!B:F,5,0)</f>
        <v>Novo</v>
      </c>
    </row>
    <row r="298" spans="1:9" hidden="1">
      <c r="A298" s="83" t="s">
        <v>205</v>
      </c>
      <c r="B298" s="92">
        <f>_xlfn.XLOOKUP(A298,Equipe!H:H,Equipe!B:B,"",0)</f>
        <v>1385950</v>
      </c>
      <c r="C298" s="152">
        <v>46003</v>
      </c>
      <c r="D298" s="152">
        <f>((IF(Tabela1[[#This Row],[Início]]&lt;&gt;"",C298+E298-1,""))*1)*1</f>
        <v>46003</v>
      </c>
      <c r="E298" s="83">
        <v>1</v>
      </c>
      <c r="F298" s="83" t="s">
        <v>14</v>
      </c>
      <c r="G298" s="88" t="s">
        <v>206</v>
      </c>
      <c r="H298" s="83" t="str">
        <f>_xlfn.XLOOKUP(Tabela1[[#This Row],[Matrícula]],Equipe!B:B,Equipe!E:E,"ERRO",0)</f>
        <v>P82</v>
      </c>
      <c r="I298" s="83" t="str">
        <f>VLOOKUP(Tabela1[[#This Row],[Matrícula]],Equipe!B:F,5,0)</f>
        <v>Experiente</v>
      </c>
    </row>
    <row r="299" spans="1:9">
      <c r="A299" s="83" t="s">
        <v>38</v>
      </c>
      <c r="B299" s="92">
        <f>_xlfn.XLOOKUP(A299,Equipe!H:H,Equipe!B:B,"",0)</f>
        <v>1385894</v>
      </c>
      <c r="C299" s="152">
        <v>46003</v>
      </c>
      <c r="D299" s="152">
        <f>((IF(Tabela1[[#This Row],[Início]]&lt;&gt;"",C299+E299-1,""))*1)*1</f>
        <v>46003</v>
      </c>
      <c r="E299" s="83">
        <v>1</v>
      </c>
      <c r="F299" s="83" t="s">
        <v>14</v>
      </c>
      <c r="G299" s="88" t="s">
        <v>163</v>
      </c>
      <c r="H299" s="83" t="str">
        <f>_xlfn.XLOOKUP(Tabela1[[#This Row],[Matrícula]],Equipe!B:B,Equipe!E:E,"ERRO",0)</f>
        <v>P80</v>
      </c>
      <c r="I299" s="83" t="str">
        <f>VLOOKUP(Tabela1[[#This Row],[Matrícula]],Equipe!B:F,5,0)</f>
        <v>Experiente</v>
      </c>
    </row>
    <row r="300" spans="1:9" hidden="1">
      <c r="A300" s="83" t="s">
        <v>106</v>
      </c>
      <c r="B300" s="92">
        <f>_xlfn.XLOOKUP(A300,Equipe!H:H,Equipe!B:B,"",0)</f>
        <v>4612050</v>
      </c>
      <c r="C300" s="152">
        <v>46003</v>
      </c>
      <c r="D300" s="152">
        <f>((IF(Tabela1[[#This Row],[Início]]&lt;&gt;"",C300+E300-1,""))*1)*1</f>
        <v>46003</v>
      </c>
      <c r="E300" s="83">
        <v>1</v>
      </c>
      <c r="F300" s="83" t="s">
        <v>14</v>
      </c>
      <c r="G300" s="88" t="s">
        <v>224</v>
      </c>
      <c r="H300" s="83" t="str">
        <f>_xlfn.XLOOKUP(Tabela1[[#This Row],[Matrícula]],Equipe!B:B,Equipe!E:E,"ERRO",0)</f>
        <v>P82</v>
      </c>
      <c r="I300" s="83" t="str">
        <f>VLOOKUP(Tabela1[[#This Row],[Matrícula]],Equipe!B:F,5,0)</f>
        <v>Novo</v>
      </c>
    </row>
    <row r="301" spans="1:9">
      <c r="A301" s="83" t="s">
        <v>225</v>
      </c>
      <c r="B301" s="92">
        <f>_xlfn.XLOOKUP(A301,Equipe!H:H,Equipe!B:B,"",0)</f>
        <v>2448533</v>
      </c>
      <c r="C301" s="152">
        <v>46003</v>
      </c>
      <c r="D301" s="152">
        <v>46003</v>
      </c>
      <c r="E301" s="83">
        <v>1</v>
      </c>
      <c r="F301" s="83" t="s">
        <v>14</v>
      </c>
      <c r="G301" s="88" t="s">
        <v>208</v>
      </c>
      <c r="H301" s="83" t="str">
        <f>_xlfn.XLOOKUP(Tabela1[[#This Row],[Matrícula]],Equipe!B:B,Equipe!E:E,"ERRO",0)</f>
        <v>P80</v>
      </c>
      <c r="I301" s="83" t="str">
        <f>VLOOKUP(Tabela1[[#This Row],[Matrícula]],Equipe!B:F,5,0)</f>
        <v>Experiente</v>
      </c>
    </row>
    <row r="302" spans="1:9" hidden="1">
      <c r="A302" s="83" t="s">
        <v>106</v>
      </c>
      <c r="B302" s="92">
        <f>_xlfn.XLOOKUP(A302,Equipe!H:H,Equipe!B:B,"",0)</f>
        <v>4612050</v>
      </c>
      <c r="C302" s="152">
        <v>46004</v>
      </c>
      <c r="D302" s="152">
        <f>((IF(Tabela1[[#This Row],[Início]]&lt;&gt;"",C302+E302-1,""))*1)*1</f>
        <v>46005</v>
      </c>
      <c r="E302" s="83">
        <v>2</v>
      </c>
      <c r="F302" s="83" t="s">
        <v>17</v>
      </c>
      <c r="G302" s="88" t="s">
        <v>162</v>
      </c>
      <c r="H302" s="83" t="str">
        <f>_xlfn.XLOOKUP(Tabela1[[#This Row],[Matrícula]],Equipe!B:B,Equipe!E:E,"ERRO",0)</f>
        <v>P82</v>
      </c>
      <c r="I302" s="83" t="str">
        <f>VLOOKUP(Tabela1[[#This Row],[Matrícula]],Equipe!B:F,5,0)</f>
        <v>Novo</v>
      </c>
    </row>
    <row r="303" spans="1:9" ht="29.1">
      <c r="A303" s="83" t="s">
        <v>108</v>
      </c>
      <c r="B303" s="92">
        <f>_xlfn.XLOOKUP(A303,Equipe!H:H,Equipe!B:B,"",0)</f>
        <v>4612243</v>
      </c>
      <c r="C303" s="152">
        <v>46005</v>
      </c>
      <c r="D303" s="152">
        <f>((IF(Tabela1[[#This Row],[Início]]&lt;&gt;"",C303+E303-1,""))*1)*1</f>
        <v>46017</v>
      </c>
      <c r="E303" s="83">
        <v>13</v>
      </c>
      <c r="F303" s="83" t="s">
        <v>14</v>
      </c>
      <c r="G303" s="88" t="s">
        <v>226</v>
      </c>
      <c r="H303" s="83" t="str">
        <f>_xlfn.XLOOKUP(Tabela1[[#This Row],[Matrícula]],Equipe!B:B,Equipe!E:E,"ERRO",0)</f>
        <v>P80</v>
      </c>
      <c r="I303" s="83" t="str">
        <f>VLOOKUP(Tabela1[[#This Row],[Matrícula]],Equipe!B:F,5,0)</f>
        <v>Novo</v>
      </c>
    </row>
    <row r="304" spans="1:9" hidden="1">
      <c r="A304" s="83" t="s">
        <v>28</v>
      </c>
      <c r="B304" s="92">
        <f>_xlfn.XLOOKUP(A304,Equipe!H:H,Equipe!B:B,"",0)</f>
        <v>2430855</v>
      </c>
      <c r="C304" s="152">
        <v>46006</v>
      </c>
      <c r="D304" s="152">
        <f>((IF(Tabela1[[#This Row],[Início]]&lt;&gt;"",C304+E304-1,""))*1)*1</f>
        <v>46010</v>
      </c>
      <c r="E304" s="83">
        <v>5</v>
      </c>
      <c r="F304" s="83" t="s">
        <v>11</v>
      </c>
      <c r="G304" s="88" t="s">
        <v>227</v>
      </c>
      <c r="H304" s="83" t="str">
        <f>_xlfn.XLOOKUP(Tabela1[[#This Row],[Matrícula]],Equipe!B:B,Equipe!E:E,"ERRO",0)</f>
        <v>PBAC</v>
      </c>
      <c r="I304" s="83" t="str">
        <f>VLOOKUP(Tabela1[[#This Row],[Matrícula]],Equipe!B:F,5,0)</f>
        <v>Experiente</v>
      </c>
    </row>
    <row r="305" spans="1:9" hidden="1">
      <c r="A305" s="83" t="s">
        <v>111</v>
      </c>
      <c r="B305" s="92">
        <f>_xlfn.XLOOKUP(A305,Equipe!H:H,Equipe!B:B,"",0)</f>
        <v>4612126</v>
      </c>
      <c r="C305" s="152">
        <v>46006</v>
      </c>
      <c r="D305" s="152">
        <v>46020</v>
      </c>
      <c r="E305" s="83">
        <v>9</v>
      </c>
      <c r="F305" s="83" t="s">
        <v>14</v>
      </c>
      <c r="G305" s="88" t="s">
        <v>228</v>
      </c>
      <c r="H305" s="83" t="str">
        <f>_xlfn.XLOOKUP(Tabela1[[#This Row],[Matrícula]],Equipe!B:B,Equipe!E:E,"ERRO",0)</f>
        <v>P82</v>
      </c>
      <c r="I305" s="83" t="str">
        <f>VLOOKUP(Tabela1[[#This Row],[Matrícula]],Equipe!B:F,5,0)</f>
        <v>Novo</v>
      </c>
    </row>
    <row r="306" spans="1:9" hidden="1">
      <c r="A306" s="83" t="s">
        <v>205</v>
      </c>
      <c r="B306" s="92">
        <f>_xlfn.XLOOKUP(A306,Equipe!H:H,Equipe!B:B,"",0)</f>
        <v>1385950</v>
      </c>
      <c r="C306" s="152">
        <v>46009</v>
      </c>
      <c r="D306" s="152">
        <f>((IF(Tabela1[[#This Row],[Início]]&lt;&gt;"",C306+E306-1,""))*1)*1</f>
        <v>46010</v>
      </c>
      <c r="E306" s="83">
        <v>2</v>
      </c>
      <c r="F306" s="83" t="s">
        <v>14</v>
      </c>
      <c r="G306" s="88" t="s">
        <v>206</v>
      </c>
      <c r="H306" s="83" t="str">
        <f>_xlfn.XLOOKUP(Tabela1[[#This Row],[Matrícula]],Equipe!B:B,Equipe!E:E,"ERRO",0)</f>
        <v>P82</v>
      </c>
      <c r="I306" s="83" t="str">
        <f>VLOOKUP(Tabela1[[#This Row],[Matrícula]],Equipe!B:F,5,0)</f>
        <v>Experiente</v>
      </c>
    </row>
    <row r="307" spans="1:9">
      <c r="A307" s="83" t="s">
        <v>38</v>
      </c>
      <c r="B307" s="92">
        <f>_xlfn.XLOOKUP(A307,Equipe!H:H,Equipe!B:B,"",0)</f>
        <v>1385894</v>
      </c>
      <c r="C307" s="152">
        <v>46009</v>
      </c>
      <c r="D307" s="152">
        <f>((IF(Tabela1[[#This Row],[Início]]&lt;&gt;"",C307+E307-1,""))*1)*1</f>
        <v>46010</v>
      </c>
      <c r="E307" s="83">
        <v>2</v>
      </c>
      <c r="F307" s="83" t="s">
        <v>14</v>
      </c>
      <c r="G307" s="88" t="s">
        <v>163</v>
      </c>
      <c r="H307" s="83" t="str">
        <f>_xlfn.XLOOKUP(Tabela1[[#This Row],[Matrícula]],Equipe!B:B,Equipe!E:E,"ERRO",0)</f>
        <v>P80</v>
      </c>
      <c r="I307" s="83" t="str">
        <f>VLOOKUP(Tabela1[[#This Row],[Matrícula]],Equipe!B:F,5,0)</f>
        <v>Experiente</v>
      </c>
    </row>
    <row r="308" spans="1:9" hidden="1">
      <c r="A308" s="83" t="s">
        <v>229</v>
      </c>
      <c r="B308" s="92">
        <f>_xlfn.XLOOKUP(A308,Equipe!H:H,Equipe!B:B,"",0)</f>
        <v>9921954</v>
      </c>
      <c r="C308" s="152">
        <v>46010</v>
      </c>
      <c r="D308" s="152">
        <v>46010</v>
      </c>
      <c r="E308" s="83">
        <v>1</v>
      </c>
      <c r="F308" s="83" t="s">
        <v>14</v>
      </c>
      <c r="G308" s="88" t="s">
        <v>208</v>
      </c>
      <c r="H308" s="83" t="str">
        <f>_xlfn.XLOOKUP(Tabela1[[#This Row],[Matrícula]],Equipe!B:B,Equipe!E:E,"ERRO",0)</f>
        <v>P82</v>
      </c>
      <c r="I308" s="83" t="str">
        <f>VLOOKUP(Tabela1[[#This Row],[Matrícula]],Equipe!B:F,5,0)</f>
        <v>Experiente</v>
      </c>
    </row>
    <row r="309" spans="1:9">
      <c r="A309" s="83" t="s">
        <v>225</v>
      </c>
      <c r="B309" s="92">
        <f>_xlfn.XLOOKUP(A309,Equipe!H:H,Equipe!B:B,"",0)</f>
        <v>2448533</v>
      </c>
      <c r="C309" s="152">
        <v>46010</v>
      </c>
      <c r="D309" s="152">
        <v>46010</v>
      </c>
      <c r="E309" s="83">
        <v>1</v>
      </c>
      <c r="F309" s="83" t="s">
        <v>14</v>
      </c>
      <c r="G309" s="88" t="s">
        <v>208</v>
      </c>
      <c r="H309" s="83" t="str">
        <f>_xlfn.XLOOKUP(Tabela1[[#This Row],[Matrícula]],Equipe!B:B,Equipe!E:E,"ERRO",0)</f>
        <v>P80</v>
      </c>
      <c r="I309" s="83" t="str">
        <f>VLOOKUP(Tabela1[[#This Row],[Matrícula]],Equipe!B:F,5,0)</f>
        <v>Experiente</v>
      </c>
    </row>
    <row r="310" spans="1:9">
      <c r="A310" s="83" t="s">
        <v>225</v>
      </c>
      <c r="B310" s="92">
        <f>_xlfn.XLOOKUP(A310,Equipe!H:H,Equipe!B:B,"",0)</f>
        <v>2448533</v>
      </c>
      <c r="C310" s="152">
        <v>46013</v>
      </c>
      <c r="D310" s="152">
        <v>46014</v>
      </c>
      <c r="E310" s="83">
        <v>2</v>
      </c>
      <c r="F310" s="83" t="s">
        <v>14</v>
      </c>
      <c r="G310" s="88" t="s">
        <v>208</v>
      </c>
      <c r="H310" s="83" t="str">
        <f>_xlfn.XLOOKUP(Tabela1[[#This Row],[Matrícula]],Equipe!B:B,Equipe!E:E,"ERRO",0)</f>
        <v>P80</v>
      </c>
      <c r="I310" s="83" t="str">
        <f>VLOOKUP(Tabela1[[#This Row],[Matrícula]],Equipe!B:F,5,0)</f>
        <v>Experiente</v>
      </c>
    </row>
    <row r="311" spans="1:9" hidden="1">
      <c r="A311" s="83" t="s">
        <v>114</v>
      </c>
      <c r="B311" s="92">
        <f>_xlfn.XLOOKUP(A311,Equipe!H:H,Equipe!B:B,"",0)</f>
        <v>4612140</v>
      </c>
      <c r="C311" s="152">
        <v>46013</v>
      </c>
      <c r="D311" s="152">
        <f>((IF(Tabela1[[#This Row],[Início]]&lt;&gt;"",C311+E311-1,""))*1)*1</f>
        <v>46014</v>
      </c>
      <c r="E311" s="83">
        <v>2</v>
      </c>
      <c r="F311" s="83" t="s">
        <v>14</v>
      </c>
      <c r="G311" s="93" t="s">
        <v>149</v>
      </c>
      <c r="H311" s="83" t="str">
        <f>_xlfn.XLOOKUP(Tabela1[[#This Row],[Matrícula]],Equipe!B:B,Equipe!E:E,"ERRO",0)</f>
        <v>P83</v>
      </c>
      <c r="I311" s="83" t="str">
        <f>VLOOKUP(Tabela1[[#This Row],[Matrícula]],Equipe!B:F,5,0)</f>
        <v>Novo</v>
      </c>
    </row>
    <row r="312" spans="1:9">
      <c r="A312" s="83" t="s">
        <v>104</v>
      </c>
      <c r="B312" s="92">
        <f>_xlfn.XLOOKUP(A312,Equipe!H:H,Equipe!B:B,"",0)</f>
        <v>4612098</v>
      </c>
      <c r="C312" s="152">
        <v>46022</v>
      </c>
      <c r="D312" s="152">
        <v>46035</v>
      </c>
      <c r="E312" s="83">
        <v>14</v>
      </c>
      <c r="F312" s="83" t="s">
        <v>17</v>
      </c>
      <c r="G312" s="88" t="s">
        <v>61</v>
      </c>
      <c r="H312" s="83" t="str">
        <f>_xlfn.XLOOKUP(Tabela1[[#This Row],[Matrícula]],Equipe!B:B,Equipe!E:E,"ERRO",0)</f>
        <v>P80</v>
      </c>
      <c r="I312" s="83" t="str">
        <f>VLOOKUP(Tabela1[[#This Row],[Matrícula]],Equipe!B:F,5,0)</f>
        <v>Novo</v>
      </c>
    </row>
    <row r="313" spans="1:9" hidden="1">
      <c r="A313" s="83" t="s">
        <v>40</v>
      </c>
      <c r="B313" s="92">
        <f>_xlfn.XLOOKUP(A313,Equipe!H:H,Equipe!B:B,"",0)</f>
        <v>9724817</v>
      </c>
      <c r="C313" s="152">
        <v>46027</v>
      </c>
      <c r="D313" s="152">
        <f>((IF(Tabela1[[#This Row],[Início]]&lt;&gt;"",C313+E313-1,""))*1)*1</f>
        <v>46028</v>
      </c>
      <c r="E313" s="83">
        <v>2</v>
      </c>
      <c r="F313" s="83" t="s">
        <v>11</v>
      </c>
      <c r="G313" s="88" t="s">
        <v>230</v>
      </c>
      <c r="H313" s="83" t="str">
        <f>_xlfn.XLOOKUP(Tabela1[[#This Row],[Matrícula]],Equipe!B:B,Equipe!E:E,"ERRO",0)</f>
        <v>P82</v>
      </c>
      <c r="I313" s="83" t="str">
        <f>VLOOKUP(Tabela1[[#This Row],[Matrícula]],Equipe!B:F,5,0)</f>
        <v>Experiente</v>
      </c>
    </row>
    <row r="314" spans="1:9" hidden="1">
      <c r="A314" s="83" t="s">
        <v>231</v>
      </c>
      <c r="B314" s="92">
        <f>_xlfn.XLOOKUP(A314,Equipe!H:H,Equipe!B:B,"",0)</f>
        <v>2550195</v>
      </c>
      <c r="C314" s="152">
        <v>46027</v>
      </c>
      <c r="D314" s="152">
        <f>((IF(Tabela1[[#This Row],[Início]]&lt;&gt;"",C314+E314-1,""))*1)*1</f>
        <v>46056</v>
      </c>
      <c r="E314" s="83">
        <v>30</v>
      </c>
      <c r="F314" s="83" t="s">
        <v>232</v>
      </c>
      <c r="G314" s="88"/>
      <c r="H314" s="83" t="str">
        <f>_xlfn.XLOOKUP(Tabela1[[#This Row],[Matrícula]],Equipe!B:B,Equipe!E:E,"ERRO",0)</f>
        <v>P83</v>
      </c>
      <c r="I314" s="83" t="str">
        <f>VLOOKUP(Tabela1[[#This Row],[Matrícula]],Equipe!B:F,5,0)</f>
        <v>Experiente</v>
      </c>
    </row>
    <row r="315" spans="1:9">
      <c r="A315" s="83" t="s">
        <v>27</v>
      </c>
      <c r="B315" s="92">
        <f>_xlfn.XLOOKUP(A315,Equipe!H:H,Equipe!B:B,"",0)</f>
        <v>4608685</v>
      </c>
      <c r="C315" s="152">
        <v>46027</v>
      </c>
      <c r="D315" s="152">
        <f>((IF(Tabela1[[#This Row],[Início]]&lt;&gt;"",C315+E315-1,""))*1)*1</f>
        <v>46040</v>
      </c>
      <c r="E315" s="83">
        <v>14</v>
      </c>
      <c r="F315" s="83" t="s">
        <v>232</v>
      </c>
      <c r="G315" s="88"/>
      <c r="H315" s="83" t="str">
        <f>_xlfn.XLOOKUP(Tabela1[[#This Row],[Matrícula]],Equipe!B:B,Equipe!E:E,"ERRO",0)</f>
        <v>P80</v>
      </c>
      <c r="I315" s="83" t="str">
        <f>VLOOKUP(Tabela1[[#This Row],[Matrícula]],Equipe!B:F,5,0)</f>
        <v>Novo</v>
      </c>
    </row>
    <row r="316" spans="1:9" hidden="1">
      <c r="A316" s="83" t="s">
        <v>111</v>
      </c>
      <c r="B316" s="92">
        <f>_xlfn.XLOOKUP(A316,Equipe!H:H,Equipe!B:B,"",0)</f>
        <v>4612126</v>
      </c>
      <c r="C316" s="152">
        <v>46028</v>
      </c>
      <c r="D316" s="152">
        <v>46042</v>
      </c>
      <c r="E316" s="83">
        <v>14</v>
      </c>
      <c r="F316" s="83" t="s">
        <v>17</v>
      </c>
      <c r="G316" s="88" t="s">
        <v>32</v>
      </c>
      <c r="H316" s="83" t="str">
        <f>_xlfn.XLOOKUP(Tabela1[[#This Row],[Matrícula]],Equipe!B:B,Equipe!E:E,"ERRO",0)</f>
        <v>P82</v>
      </c>
      <c r="I316" s="83" t="str">
        <f>VLOOKUP(Tabela1[[#This Row],[Matrícula]],Equipe!B:F,5,0)</f>
        <v>Novo</v>
      </c>
    </row>
    <row r="317" spans="1:9" ht="29.1" hidden="1">
      <c r="A317" s="83" t="s">
        <v>40</v>
      </c>
      <c r="B317" s="92">
        <f>_xlfn.XLOOKUP(A317,Equipe!H:H,Equipe!B:B,"",0)</f>
        <v>9724817</v>
      </c>
      <c r="C317" s="152">
        <v>46029</v>
      </c>
      <c r="D317" s="152">
        <f>((IF(Tabela1[[#This Row],[Início]]&lt;&gt;"",C317+E317-1,""))*1)*1</f>
        <v>46031</v>
      </c>
      <c r="E317" s="83">
        <v>3</v>
      </c>
      <c r="F317" s="83" t="s">
        <v>14</v>
      </c>
      <c r="G317" s="88" t="s">
        <v>219</v>
      </c>
      <c r="H317" s="83" t="str">
        <f>_xlfn.XLOOKUP(Tabela1[[#This Row],[Matrícula]],Equipe!B:B,Equipe!E:E,"ERRO",0)</f>
        <v>P82</v>
      </c>
      <c r="I317" s="83" t="str">
        <f>VLOOKUP(Tabela1[[#This Row],[Matrícula]],Equipe!B:F,5,0)</f>
        <v>Experiente</v>
      </c>
    </row>
    <row r="318" spans="1:9">
      <c r="A318" s="83" t="s">
        <v>44</v>
      </c>
      <c r="B318" s="92">
        <f>_xlfn.XLOOKUP(A318,Equipe!H:H,Equipe!B:B,"",0)</f>
        <v>1381625</v>
      </c>
      <c r="C318" s="152">
        <v>46030</v>
      </c>
      <c r="D318" s="152">
        <f>((IF(Tabela1[[#This Row],[Início]]&lt;&gt;"",C318+E318-1,""))*1)*1</f>
        <v>46031</v>
      </c>
      <c r="E318" s="83">
        <v>2</v>
      </c>
      <c r="F318" s="83" t="s">
        <v>14</v>
      </c>
      <c r="G318" s="88" t="s">
        <v>233</v>
      </c>
      <c r="H318" s="83" t="str">
        <f>_xlfn.XLOOKUP(Tabela1[[#This Row],[Matrícula]],Equipe!B:B,Equipe!E:E,"ERRO",0)</f>
        <v>P80</v>
      </c>
      <c r="I318" s="83" t="str">
        <f>VLOOKUP(Tabela1[[#This Row],[Matrícula]],Equipe!B:F,5,0)</f>
        <v>Experiente</v>
      </c>
    </row>
    <row r="319" spans="1:9" hidden="1">
      <c r="A319" s="87" t="s">
        <v>16</v>
      </c>
      <c r="B319" s="109">
        <f>_xlfn.XLOOKUP(A319,Equipe!H:H,Equipe!B:B,"",0)</f>
        <v>4608544</v>
      </c>
      <c r="C319" s="152">
        <v>46034</v>
      </c>
      <c r="D319" s="152">
        <f>((IF(Tabela1[[#This Row],[Início]]&lt;&gt;"",C319+E319-1,""))*1)*1</f>
        <v>46058</v>
      </c>
      <c r="E319" s="87">
        <v>25</v>
      </c>
      <c r="F319" s="83" t="s">
        <v>14</v>
      </c>
      <c r="G319" s="88" t="s">
        <v>234</v>
      </c>
      <c r="H319" s="83" t="str">
        <f>_xlfn.XLOOKUP(Tabela1[[#This Row],[Matrícula]],Equipe!B:B,Equipe!E:E,"ERRO",0)</f>
        <v>P82</v>
      </c>
      <c r="I319" s="83" t="str">
        <f>VLOOKUP(Tabela1[[#This Row],[Matrícula]],Equipe!B:F,5,0)</f>
        <v>Novo</v>
      </c>
    </row>
    <row r="320" spans="1:9" hidden="1">
      <c r="A320" s="83" t="s">
        <v>53</v>
      </c>
      <c r="B320" s="92">
        <f>_xlfn.XLOOKUP(A320,Equipe!H:H,Equipe!B:B,"",0)</f>
        <v>4608780</v>
      </c>
      <c r="C320" s="152">
        <v>46034</v>
      </c>
      <c r="D320" s="152">
        <f>((IF(Tabela1[[#This Row],[Início]]&lt;&gt;"",C320+E320-1,""))*1)*1</f>
        <v>46063</v>
      </c>
      <c r="E320" s="83">
        <v>30</v>
      </c>
      <c r="F320" s="83" t="s">
        <v>232</v>
      </c>
      <c r="G320" s="88"/>
      <c r="H320" s="83" t="str">
        <f>_xlfn.XLOOKUP(Tabela1[[#This Row],[Matrícula]],Equipe!B:B,Equipe!E:E,"ERRO",0)</f>
        <v>P83</v>
      </c>
      <c r="I320" s="83" t="str">
        <f>VLOOKUP(Tabela1[[#This Row],[Matrícula]],Equipe!B:F,5,0)</f>
        <v>Novo</v>
      </c>
    </row>
    <row r="321" spans="1:9">
      <c r="A321" s="83" t="s">
        <v>44</v>
      </c>
      <c r="B321" s="92">
        <f>_xlfn.XLOOKUP(A321,Equipe!H:H,Equipe!B:B,"",0)</f>
        <v>1381625</v>
      </c>
      <c r="C321" s="152">
        <v>46034</v>
      </c>
      <c r="D321" s="152">
        <f>((IF(Tabela1[[#This Row],[Início]]&lt;&gt;"",C321+E321-1,""))*1)*1</f>
        <v>46035</v>
      </c>
      <c r="E321" s="83">
        <v>2</v>
      </c>
      <c r="F321" s="83" t="s">
        <v>14</v>
      </c>
      <c r="G321" s="88" t="s">
        <v>233</v>
      </c>
      <c r="H321" s="83" t="str">
        <f>_xlfn.XLOOKUP(Tabela1[[#This Row],[Matrícula]],Equipe!B:B,Equipe!E:E,"ERRO",0)</f>
        <v>P80</v>
      </c>
      <c r="I321" s="83" t="str">
        <f>VLOOKUP(Tabela1[[#This Row],[Matrícula]],Equipe!B:F,5,0)</f>
        <v>Experiente</v>
      </c>
    </row>
    <row r="322" spans="1:9" ht="29.1" hidden="1">
      <c r="A322" s="83" t="s">
        <v>57</v>
      </c>
      <c r="B322" s="92">
        <f>_xlfn.XLOOKUP(A322,Equipe!H:H,Equipe!B:B,"",0)</f>
        <v>4608684</v>
      </c>
      <c r="C322" s="152">
        <v>46035</v>
      </c>
      <c r="D322" s="152">
        <f>((IF(Tabela1[[#This Row],[Início]]&lt;&gt;"",C322+E322-1,""))*1)*1</f>
        <v>46035</v>
      </c>
      <c r="E322" s="83">
        <v>1</v>
      </c>
      <c r="F322" s="83" t="s">
        <v>11</v>
      </c>
      <c r="G322" s="118" t="s">
        <v>235</v>
      </c>
      <c r="H322" s="83" t="str">
        <f>_xlfn.XLOOKUP(Tabela1[[#This Row],[Matrícula]],Equipe!B:B,Equipe!E:E,"ERRO",0)</f>
        <v>P82</v>
      </c>
      <c r="I322" s="83" t="str">
        <f>VLOOKUP(Tabela1[[#This Row],[Matrícula]],Equipe!B:F,5,0)</f>
        <v>Novo</v>
      </c>
    </row>
    <row r="323" spans="1:9">
      <c r="A323" s="83" t="s">
        <v>104</v>
      </c>
      <c r="B323" s="92">
        <f>_xlfn.XLOOKUP(A323,Equipe!H:H,Equipe!B:B,"",0)</f>
        <v>4612098</v>
      </c>
      <c r="C323" s="152">
        <v>46036</v>
      </c>
      <c r="D323" s="152">
        <v>46064</v>
      </c>
      <c r="E323" s="83">
        <v>29</v>
      </c>
      <c r="F323" s="83" t="s">
        <v>14</v>
      </c>
      <c r="G323" s="88" t="s">
        <v>196</v>
      </c>
      <c r="H323" s="83" t="str">
        <f>_xlfn.XLOOKUP(Tabela1[[#This Row],[Matrícula]],Equipe!B:B,Equipe!E:E,"ERRO",0)</f>
        <v>P80</v>
      </c>
      <c r="I323" s="83" t="str">
        <f>VLOOKUP(Tabela1[[#This Row],[Matrícula]],Equipe!B:F,5,0)</f>
        <v>Novo</v>
      </c>
    </row>
    <row r="324" spans="1:9" hidden="1">
      <c r="A324" s="83" t="s">
        <v>140</v>
      </c>
      <c r="B324" s="92">
        <f>_xlfn.XLOOKUP(A324,Equipe!H:H,Equipe!B:B,"",0)</f>
        <v>4612247</v>
      </c>
      <c r="C324" s="152">
        <v>46036</v>
      </c>
      <c r="D324" s="152">
        <f>((IF(Tabela1[[#This Row],[Início]]&lt;&gt;"",C324+E324-1,""))*1)*1</f>
        <v>46048</v>
      </c>
      <c r="E324" s="83">
        <v>13</v>
      </c>
      <c r="F324" s="83" t="s">
        <v>17</v>
      </c>
      <c r="G324" s="88" t="s">
        <v>236</v>
      </c>
      <c r="H324" s="83" t="str">
        <f>_xlfn.XLOOKUP(Tabela1[[#This Row],[Matrícula]],Equipe!B:B,Equipe!E:E,"ERRO",0)</f>
        <v>P83</v>
      </c>
      <c r="I324" s="83" t="str">
        <f>VLOOKUP(Tabela1[[#This Row],[Matrícula]],Equipe!B:F,5,0)</f>
        <v>Novo</v>
      </c>
    </row>
    <row r="325" spans="1:9" hidden="1">
      <c r="A325" s="83" t="s">
        <v>50</v>
      </c>
      <c r="B325" s="92">
        <f>_xlfn.XLOOKUP(A325,Equipe!H:H,Equipe!B:B,"",0)</f>
        <v>4606694</v>
      </c>
      <c r="C325" s="152">
        <v>46037</v>
      </c>
      <c r="D325" s="152">
        <f>((IF(Tabela1[[#This Row],[Início]]&lt;&gt;"",C325+E325-1,""))*1)*1</f>
        <v>46037</v>
      </c>
      <c r="E325" s="83">
        <v>1</v>
      </c>
      <c r="F325" s="83" t="s">
        <v>47</v>
      </c>
      <c r="G325" s="88" t="s">
        <v>237</v>
      </c>
      <c r="H325" s="83" t="str">
        <f>_xlfn.XLOOKUP(Tabela1[[#This Row],[Matrícula]],Equipe!B:B,Equipe!E:E,"ERRO",0)</f>
        <v>PBAC</v>
      </c>
      <c r="I325" s="83" t="str">
        <f>VLOOKUP(Tabela1[[#This Row],[Matrícula]],Equipe!B:F,5,0)</f>
        <v>Novo</v>
      </c>
    </row>
    <row r="326" spans="1:9" hidden="1">
      <c r="A326" s="83" t="s">
        <v>34</v>
      </c>
      <c r="B326" s="92">
        <f>_xlfn.XLOOKUP(A326,Equipe!H:H,Equipe!B:B,"",0)</f>
        <v>4608474</v>
      </c>
      <c r="C326" s="152">
        <v>46038</v>
      </c>
      <c r="D326" s="152">
        <f>((IF(Tabela1[[#This Row],[Início]]&lt;&gt;"",C326+E326-1,""))*1)*1</f>
        <v>46051</v>
      </c>
      <c r="E326" s="83">
        <v>14</v>
      </c>
      <c r="F326" s="83" t="s">
        <v>17</v>
      </c>
      <c r="G326" s="88" t="s">
        <v>238</v>
      </c>
      <c r="H326" s="83" t="str">
        <f>_xlfn.XLOOKUP(Tabela1[[#This Row],[Matrícula]],Equipe!B:B,Equipe!E:E,"ERRO",0)</f>
        <v>P82</v>
      </c>
      <c r="I326" s="83" t="str">
        <f>VLOOKUP(Tabela1[[#This Row],[Matrícula]],Equipe!B:F,5,0)</f>
        <v>Novo</v>
      </c>
    </row>
    <row r="327" spans="1:9" hidden="1">
      <c r="A327" s="83" t="s">
        <v>239</v>
      </c>
      <c r="B327" s="92">
        <f>_xlfn.XLOOKUP(A327,Equipe!H:H,Equipe!B:B,"",0)</f>
        <v>1387328</v>
      </c>
      <c r="C327" s="152">
        <v>46041</v>
      </c>
      <c r="D327" s="152">
        <f>((IF(Tabela1[[#This Row],[Início]]&lt;&gt;"",C327+E327-1,""))*1)*1</f>
        <v>46041</v>
      </c>
      <c r="E327" s="83">
        <v>1</v>
      </c>
      <c r="F327" s="83" t="s">
        <v>14</v>
      </c>
      <c r="G327" s="88" t="s">
        <v>240</v>
      </c>
      <c r="H327" s="83" t="str">
        <f>_xlfn.XLOOKUP(Tabela1[[#This Row],[Matrícula]],Equipe!B:B,Equipe!E:E,"ERRO",0)</f>
        <v>P82</v>
      </c>
      <c r="I327" s="83" t="str">
        <f>VLOOKUP(Tabela1[[#This Row],[Matrícula]],Equipe!B:F,5,0)</f>
        <v>Experiente</v>
      </c>
    </row>
    <row r="328" spans="1:9" hidden="1">
      <c r="A328" s="83" t="s">
        <v>229</v>
      </c>
      <c r="B328" s="92">
        <f>_xlfn.XLOOKUP(A328,Equipe!H:H,Equipe!B:B,"",0)</f>
        <v>9921954</v>
      </c>
      <c r="C328" s="152">
        <v>46041</v>
      </c>
      <c r="D328" s="152">
        <v>46041</v>
      </c>
      <c r="E328" s="83">
        <v>1</v>
      </c>
      <c r="F328" s="83"/>
      <c r="G328" s="88" t="s">
        <v>241</v>
      </c>
      <c r="H328" s="83" t="str">
        <f>_xlfn.XLOOKUP(Tabela1[[#This Row],[Matrícula]],Equipe!B:B,Equipe!E:E,"ERRO",0)</f>
        <v>P82</v>
      </c>
      <c r="I328" s="83" t="str">
        <f>VLOOKUP(Tabela1[[#This Row],[Matrícula]],Equipe!B:F,5,0)</f>
        <v>Experiente</v>
      </c>
    </row>
    <row r="329" spans="1:9">
      <c r="A329" s="83" t="s">
        <v>38</v>
      </c>
      <c r="B329" s="92">
        <f>_xlfn.XLOOKUP(A329,Equipe!H:H,Equipe!B:B,"",0)</f>
        <v>1385894</v>
      </c>
      <c r="C329" s="152">
        <v>46041</v>
      </c>
      <c r="D329" s="152">
        <f>((IF(Tabela1[[#This Row],[Início]]&lt;&gt;"",C329+E329-1,""))*1)*1</f>
        <v>46041</v>
      </c>
      <c r="E329" s="83">
        <v>1</v>
      </c>
      <c r="F329" s="83" t="s">
        <v>14</v>
      </c>
      <c r="G329" s="88" t="s">
        <v>163</v>
      </c>
      <c r="H329" s="83" t="str">
        <f>_xlfn.XLOOKUP(Tabela1[[#This Row],[Matrícula]],Equipe!B:B,Equipe!E:E,"ERRO",0)</f>
        <v>P80</v>
      </c>
      <c r="I329" s="83" t="str">
        <f>VLOOKUP(Tabela1[[#This Row],[Matrícula]],Equipe!B:F,5,0)</f>
        <v>Experiente</v>
      </c>
    </row>
    <row r="330" spans="1:9">
      <c r="A330" s="83" t="s">
        <v>225</v>
      </c>
      <c r="B330" s="92">
        <f>_xlfn.XLOOKUP(A330,Equipe!H:H,Equipe!B:B,"",0)</f>
        <v>2448533</v>
      </c>
      <c r="C330" s="152">
        <v>46041</v>
      </c>
      <c r="D330" s="152">
        <f>((IF(Tabela1[[#This Row],[Início]]&lt;&gt;"",C330+E330-1,""))*1)*1</f>
        <v>46041</v>
      </c>
      <c r="E330" s="83">
        <v>1</v>
      </c>
      <c r="F330" s="83" t="s">
        <v>14</v>
      </c>
      <c r="G330" s="88" t="s">
        <v>25</v>
      </c>
      <c r="H330" s="83" t="str">
        <f>_xlfn.XLOOKUP(Tabela1[[#This Row],[Matrícula]],Equipe!B:B,Equipe!E:E,"ERRO",0)</f>
        <v>P80</v>
      </c>
      <c r="I330" s="83" t="str">
        <f>VLOOKUP(Tabela1[[#This Row],[Matrícula]],Equipe!B:F,5,0)</f>
        <v>Experiente</v>
      </c>
    </row>
    <row r="331" spans="1:9">
      <c r="A331" s="83" t="s">
        <v>36</v>
      </c>
      <c r="B331" s="92">
        <f>_xlfn.XLOOKUP(A331,Equipe!H:H,Equipe!B:B,"",0)</f>
        <v>4608721</v>
      </c>
      <c r="C331" s="152">
        <v>46042</v>
      </c>
      <c r="D331" s="152">
        <f>((IF(Tabela1[[#This Row],[Início]]&lt;&gt;"",C331+E331-1,""))*1)*1</f>
        <v>46055</v>
      </c>
      <c r="E331" s="83">
        <v>14</v>
      </c>
      <c r="F331" s="83" t="s">
        <v>17</v>
      </c>
      <c r="G331" s="88" t="s">
        <v>242</v>
      </c>
      <c r="H331" s="83" t="str">
        <f>_xlfn.XLOOKUP(Tabela1[[#This Row],[Matrícula]],Equipe!B:B,Equipe!E:E,"ERRO",0)</f>
        <v>P80</v>
      </c>
      <c r="I331" s="83" t="str">
        <f>VLOOKUP(Tabela1[[#This Row],[Matrícula]],Equipe!B:F,5,0)</f>
        <v>Novo</v>
      </c>
    </row>
    <row r="332" spans="1:9">
      <c r="A332" s="83" t="s">
        <v>90</v>
      </c>
      <c r="B332" s="92">
        <f>_xlfn.XLOOKUP(A332,Equipe!H:H,Equipe!B:B,"",0)</f>
        <v>9683150</v>
      </c>
      <c r="C332" s="152">
        <v>46045</v>
      </c>
      <c r="D332" s="152">
        <f>((IF(Tabela1[[#This Row],[Início]]&lt;&gt;"",C332+E332-1,""))*1)*1</f>
        <v>46045</v>
      </c>
      <c r="E332" s="83">
        <v>1</v>
      </c>
      <c r="F332" s="83" t="s">
        <v>14</v>
      </c>
      <c r="G332" s="88" t="s">
        <v>243</v>
      </c>
      <c r="H332" s="83" t="str">
        <f>_xlfn.XLOOKUP(Tabela1[[#This Row],[Matrícula]],Equipe!B:B,Equipe!E:E,"ERRO",0)</f>
        <v>P80</v>
      </c>
      <c r="I332" s="83" t="str">
        <f>VLOOKUP(Tabela1[[#This Row],[Matrícula]],Equipe!B:F,5,0)</f>
        <v>Experiente</v>
      </c>
    </row>
    <row r="333" spans="1:9" hidden="1">
      <c r="A333" s="83" t="s">
        <v>37</v>
      </c>
      <c r="B333" s="92">
        <f>_xlfn.XLOOKUP(A333,Equipe!H:H,Equipe!B:B,"",0)</f>
        <v>2493288</v>
      </c>
      <c r="C333" s="152">
        <v>46048</v>
      </c>
      <c r="D333" s="152">
        <f>((IF(Tabela1[[#This Row],[Início]]&lt;&gt;"",C333+E333-1,""))*1)*1</f>
        <v>46048</v>
      </c>
      <c r="E333" s="83">
        <v>1</v>
      </c>
      <c r="F333" s="83" t="s">
        <v>14</v>
      </c>
      <c r="G333" s="88" t="s">
        <v>244</v>
      </c>
      <c r="H333" s="83" t="str">
        <f>_xlfn.XLOOKUP(Tabela1[[#This Row],[Matrícula]],Equipe!B:B,Equipe!E:E,"ERRO",0)</f>
        <v>PBAC</v>
      </c>
      <c r="I333" s="83" t="str">
        <f>VLOOKUP(Tabela1[[#This Row],[Matrícula]],Equipe!B:F,5,0)</f>
        <v>Experiente</v>
      </c>
    </row>
    <row r="334" spans="1:9" ht="29.1">
      <c r="A334" s="83" t="s">
        <v>90</v>
      </c>
      <c r="B334" s="109">
        <f>_xlfn.XLOOKUP(A334,Equipe!H:H,Equipe!B:B,"",0)</f>
        <v>9683150</v>
      </c>
      <c r="C334" s="152">
        <v>46048</v>
      </c>
      <c r="D334" s="152">
        <v>46052</v>
      </c>
      <c r="E334" s="83">
        <v>5</v>
      </c>
      <c r="F334" s="83" t="s">
        <v>11</v>
      </c>
      <c r="G334" s="88" t="s">
        <v>245</v>
      </c>
      <c r="H334" s="83" t="str">
        <f>_xlfn.XLOOKUP(Tabela1[[#This Row],[Matrícula]],Equipe!B:B,Equipe!E:E,"ERRO",0)</f>
        <v>P80</v>
      </c>
      <c r="I334" s="83" t="str">
        <f>VLOOKUP(Tabela1[[#This Row],[Matrícula]],Equipe!B:F,5,0)</f>
        <v>Experiente</v>
      </c>
    </row>
    <row r="335" spans="1:9" ht="29.1">
      <c r="A335" s="83" t="s">
        <v>35</v>
      </c>
      <c r="B335" s="109">
        <f>_xlfn.XLOOKUP(A335,Equipe!H:H,Equipe!B:B,"",0)</f>
        <v>9842940</v>
      </c>
      <c r="C335" s="152">
        <v>46048</v>
      </c>
      <c r="D335" s="152">
        <v>46052</v>
      </c>
      <c r="E335" s="83">
        <v>5</v>
      </c>
      <c r="F335" s="83" t="s">
        <v>11</v>
      </c>
      <c r="G335" s="88" t="s">
        <v>245</v>
      </c>
      <c r="H335" s="83" t="str">
        <f>_xlfn.XLOOKUP(Tabela1[[#This Row],[Matrícula]],Equipe!B:B,Equipe!E:E,"ERRO",0)</f>
        <v>P80</v>
      </c>
      <c r="I335" s="83" t="str">
        <f>VLOOKUP(Tabela1[[#This Row],[Matrícula]],Equipe!B:F,5,0)</f>
        <v>Novo</v>
      </c>
    </row>
    <row r="336" spans="1:9" ht="29.1" hidden="1">
      <c r="A336" s="83" t="s">
        <v>246</v>
      </c>
      <c r="B336" s="109" t="e">
        <f>Equipe!#REF!</f>
        <v>#REF!</v>
      </c>
      <c r="C336" s="152">
        <v>46048</v>
      </c>
      <c r="D336" s="152">
        <v>46052</v>
      </c>
      <c r="E336" s="83">
        <v>5</v>
      </c>
      <c r="F336" s="83" t="s">
        <v>11</v>
      </c>
      <c r="G336" s="88" t="s">
        <v>245</v>
      </c>
      <c r="H336" s="83" t="e">
        <f>_xlfn.XLOOKUP(Tabela1[[#This Row],[Matrícula]],Equipe!B:B,Equipe!E:E,"ERRO",0)</f>
        <v>#REF!</v>
      </c>
      <c r="I336" s="83" t="e">
        <f>VLOOKUP(Tabela1[[#This Row],[Matrícula]],Equipe!B:F,5,0)</f>
        <v>#REF!</v>
      </c>
    </row>
    <row r="337" spans="1:9" ht="29.1">
      <c r="A337" s="83" t="s">
        <v>27</v>
      </c>
      <c r="B337" s="109">
        <f>_xlfn.XLOOKUP(A337,Equipe!H:H,Equipe!B:B,"",0)</f>
        <v>4608685</v>
      </c>
      <c r="C337" s="152">
        <v>46048</v>
      </c>
      <c r="D337" s="152">
        <v>46052</v>
      </c>
      <c r="E337" s="83">
        <v>5</v>
      </c>
      <c r="F337" s="83" t="s">
        <v>11</v>
      </c>
      <c r="G337" s="88" t="s">
        <v>245</v>
      </c>
      <c r="H337" s="83" t="str">
        <f>_xlfn.XLOOKUP(Tabela1[[#This Row],[Matrícula]],Equipe!B:B,Equipe!E:E,"ERRO",0)</f>
        <v>P80</v>
      </c>
      <c r="I337" s="83" t="str">
        <f>VLOOKUP(Tabela1[[#This Row],[Matrícula]],Equipe!B:F,5,0)</f>
        <v>Novo</v>
      </c>
    </row>
    <row r="338" spans="1:9" ht="29.1" hidden="1">
      <c r="A338" s="83" t="s">
        <v>142</v>
      </c>
      <c r="B338" s="109">
        <f>_xlfn.XLOOKUP(A338,Equipe!H:H,Equipe!B:B,"",0)</f>
        <v>4612228</v>
      </c>
      <c r="C338" s="152">
        <v>46048</v>
      </c>
      <c r="D338" s="152">
        <v>46052</v>
      </c>
      <c r="E338" s="83">
        <v>5</v>
      </c>
      <c r="F338" s="83" t="s">
        <v>11</v>
      </c>
      <c r="G338" s="88" t="s">
        <v>245</v>
      </c>
      <c r="H338" s="83" t="str">
        <f>_xlfn.XLOOKUP(Tabela1[[#This Row],[Matrícula]],Equipe!B:B,Equipe!E:E,"ERRO",0)</f>
        <v>P82</v>
      </c>
      <c r="I338" s="83" t="str">
        <f>VLOOKUP(Tabela1[[#This Row],[Matrícula]],Equipe!B:F,5,0)</f>
        <v>Novo</v>
      </c>
    </row>
    <row r="339" spans="1:9" ht="29.1">
      <c r="A339" s="83" t="s">
        <v>108</v>
      </c>
      <c r="B339" s="109">
        <f>_xlfn.XLOOKUP(A339,Equipe!H:H,Equipe!B:B,"",0)</f>
        <v>4612243</v>
      </c>
      <c r="C339" s="152">
        <v>46048</v>
      </c>
      <c r="D339" s="152">
        <v>46052</v>
      </c>
      <c r="E339" s="83">
        <v>5</v>
      </c>
      <c r="F339" s="83" t="s">
        <v>11</v>
      </c>
      <c r="G339" s="88" t="s">
        <v>245</v>
      </c>
      <c r="H339" s="83" t="str">
        <f>_xlfn.XLOOKUP(Tabela1[[#This Row],[Matrícula]],Equipe!B:B,Equipe!E:E,"ERRO",0)</f>
        <v>P80</v>
      </c>
      <c r="I339" s="83" t="str">
        <f>VLOOKUP(Tabela1[[#This Row],[Matrícula]],Equipe!B:F,5,0)</f>
        <v>Novo</v>
      </c>
    </row>
    <row r="340" spans="1:9" ht="29.1">
      <c r="A340" s="83" t="s">
        <v>109</v>
      </c>
      <c r="B340" s="109">
        <f>_xlfn.XLOOKUP(A340,Equipe!H:H,Equipe!B:B,"",0)</f>
        <v>4612389</v>
      </c>
      <c r="C340" s="152">
        <v>46048</v>
      </c>
      <c r="D340" s="152">
        <v>46052</v>
      </c>
      <c r="E340" s="83">
        <v>5</v>
      </c>
      <c r="F340" s="87" t="s">
        <v>11</v>
      </c>
      <c r="G340" s="88" t="s">
        <v>245</v>
      </c>
      <c r="H340" s="83" t="str">
        <f>_xlfn.XLOOKUP(Tabela1[[#This Row],[Matrícula]],Equipe!B:B,Equipe!E:E,"ERRO",0)</f>
        <v>P80</v>
      </c>
      <c r="I340" s="83" t="str">
        <f>VLOOKUP(Tabela1[[#This Row],[Matrícula]],Equipe!B:F,5,0)</f>
        <v>Novo</v>
      </c>
    </row>
    <row r="341" spans="1:9" ht="29.1" hidden="1">
      <c r="A341" s="83" t="s">
        <v>113</v>
      </c>
      <c r="B341" s="109">
        <f>_xlfn.XLOOKUP(A341,Equipe!H:H,Equipe!B:B,"",0)</f>
        <v>4612192</v>
      </c>
      <c r="C341" s="152">
        <v>46048</v>
      </c>
      <c r="D341" s="152">
        <v>46052</v>
      </c>
      <c r="E341" s="83">
        <v>5</v>
      </c>
      <c r="F341" s="83" t="s">
        <v>11</v>
      </c>
      <c r="G341" s="88" t="s">
        <v>245</v>
      </c>
      <c r="H341" s="83" t="str">
        <f>_xlfn.XLOOKUP(Tabela1[[#This Row],[Matrícula]],Equipe!B:B,Equipe!E:E,"ERRO",0)</f>
        <v>P82</v>
      </c>
      <c r="I341" s="83" t="str">
        <f>VLOOKUP(Tabela1[[#This Row],[Matrícula]],Equipe!B:F,5,0)</f>
        <v>Novo</v>
      </c>
    </row>
    <row r="342" spans="1:9" ht="29.1" hidden="1">
      <c r="A342" s="83" t="s">
        <v>30</v>
      </c>
      <c r="B342" s="109">
        <f>_xlfn.XLOOKUP(A342,Equipe!H:H,Equipe!B:B,"",0)</f>
        <v>9634180</v>
      </c>
      <c r="C342" s="152">
        <v>46048</v>
      </c>
      <c r="D342" s="152">
        <v>46052</v>
      </c>
      <c r="E342" s="83">
        <v>5</v>
      </c>
      <c r="F342" s="83" t="s">
        <v>11</v>
      </c>
      <c r="G342" s="88" t="s">
        <v>245</v>
      </c>
      <c r="H342" s="83" t="str">
        <f>_xlfn.XLOOKUP(Tabela1[[#This Row],[Matrícula]],Equipe!B:B,Equipe!E:E,"ERRO",0)</f>
        <v>P83</v>
      </c>
      <c r="I342" s="83" t="str">
        <f>VLOOKUP(Tabela1[[#This Row],[Matrícula]],Equipe!B:F,5,0)</f>
        <v>Experiente</v>
      </c>
    </row>
    <row r="343" spans="1:9" hidden="1">
      <c r="A343" s="83" t="s">
        <v>58</v>
      </c>
      <c r="B343" s="92">
        <f>_xlfn.XLOOKUP(A343,Equipe!H:H,Equipe!B:B,"",0)</f>
        <v>9612082</v>
      </c>
      <c r="C343" s="152">
        <v>46049</v>
      </c>
      <c r="D343" s="158">
        <f>((IF(Tabela1[[#This Row],[Início]]&lt;&gt;"",C343+E343-1,""))*1)*1</f>
        <v>46062</v>
      </c>
      <c r="E343" s="83">
        <v>14</v>
      </c>
      <c r="F343" s="83" t="s">
        <v>17</v>
      </c>
      <c r="G343" s="88" t="s">
        <v>236</v>
      </c>
      <c r="H343" s="83" t="str">
        <f>_xlfn.XLOOKUP(Tabela1[[#This Row],[Matrícula]],Equipe!B:B,Equipe!E:E,"ERRO",0)</f>
        <v>P82</v>
      </c>
      <c r="I343" s="83" t="str">
        <f>VLOOKUP(Tabela1[[#This Row],[Matrícula]],Equipe!B:F,5,0)</f>
        <v>Experiente</v>
      </c>
    </row>
    <row r="344" spans="1:9" hidden="1">
      <c r="A344" s="83" t="s">
        <v>140</v>
      </c>
      <c r="B344" s="92">
        <f>_xlfn.XLOOKUP(A344,Equipe!H:H,Equipe!B:B,"",0)</f>
        <v>4612247</v>
      </c>
      <c r="C344" s="152">
        <v>46049</v>
      </c>
      <c r="D344" s="152">
        <f>((IF(Tabela1[[#This Row],[Início]]&lt;&gt;"",C344+E344-1,""))*1)*1</f>
        <v>46079</v>
      </c>
      <c r="E344" s="83">
        <v>31</v>
      </c>
      <c r="F344" s="83" t="s">
        <v>14</v>
      </c>
      <c r="G344" s="88" t="s">
        <v>247</v>
      </c>
      <c r="H344" s="83" t="str">
        <f>_xlfn.XLOOKUP(Tabela1[[#This Row],[Matrícula]],Equipe!B:B,Equipe!E:E,"ERRO",0)</f>
        <v>P83</v>
      </c>
      <c r="I344" s="83" t="str">
        <f>VLOOKUP(Tabela1[[#This Row],[Matrícula]],Equipe!B:F,5,0)</f>
        <v>Novo</v>
      </c>
    </row>
    <row r="345" spans="1:9" hidden="1">
      <c r="A345" s="83" t="s">
        <v>20</v>
      </c>
      <c r="B345" s="92">
        <f>_xlfn.XLOOKUP(A345,Equipe!H:H,Equipe!B:B,"",0)</f>
        <v>4608559</v>
      </c>
      <c r="C345" s="152">
        <v>46050</v>
      </c>
      <c r="D345" s="152">
        <f>((IF(Tabela1[[#This Row],[Início]]&lt;&gt;"",C345+E345-1,""))*1)*1</f>
        <v>46063</v>
      </c>
      <c r="E345" s="83">
        <v>14</v>
      </c>
      <c r="F345" s="83" t="s">
        <v>17</v>
      </c>
      <c r="G345" s="88" t="s">
        <v>61</v>
      </c>
      <c r="H345" s="83" t="str">
        <f>_xlfn.XLOOKUP(Tabela1[[#This Row],[Matrícula]],Equipe!B:B,Equipe!E:E,"ERRO",0)</f>
        <v>P83</v>
      </c>
      <c r="I345" s="83" t="str">
        <f>VLOOKUP(Tabela1[[#This Row],[Matrícula]],Equipe!B:F,5,0)</f>
        <v>Novo</v>
      </c>
    </row>
    <row r="346" spans="1:9">
      <c r="A346" s="83" t="s">
        <v>168</v>
      </c>
      <c r="B346" s="92">
        <f>_xlfn.XLOOKUP(A346,Equipe!H:H,Equipe!B:B,"",0)</f>
        <v>2440812</v>
      </c>
      <c r="C346" s="152">
        <v>46050</v>
      </c>
      <c r="D346" s="152">
        <f>((IF(Tabela1[[#This Row],[Início]]&lt;&gt;"",C346+E346-1,""))*1)*1</f>
        <v>46050</v>
      </c>
      <c r="E346" s="83">
        <v>1</v>
      </c>
      <c r="F346" s="83" t="s">
        <v>14</v>
      </c>
      <c r="G346" s="88" t="s">
        <v>248</v>
      </c>
      <c r="H346" s="83" t="str">
        <f>_xlfn.XLOOKUP(Tabela1[[#This Row],[Matrícula]],Equipe!B:B,Equipe!E:E,"ERRO",0)</f>
        <v>P80</v>
      </c>
      <c r="I346" s="83" t="str">
        <f>VLOOKUP(Tabela1[[#This Row],[Matrícula]],Equipe!B:F,5,0)</f>
        <v>Experiente</v>
      </c>
    </row>
    <row r="347" spans="1:9" ht="29.1">
      <c r="A347" s="83" t="s">
        <v>225</v>
      </c>
      <c r="B347" s="92">
        <f>_xlfn.XLOOKUP(A347,Equipe!H:H,Equipe!B:B,"",0)</f>
        <v>2448533</v>
      </c>
      <c r="C347" s="152">
        <v>46051</v>
      </c>
      <c r="D347" s="152">
        <f>((IF(Tabela1[[#This Row],[Início]]&lt;&gt;"",C347+E347-1,""))*1)*1</f>
        <v>46051</v>
      </c>
      <c r="E347" s="83">
        <v>1</v>
      </c>
      <c r="F347" s="83" t="s">
        <v>11</v>
      </c>
      <c r="G347" s="88" t="s">
        <v>249</v>
      </c>
      <c r="H347" s="83" t="str">
        <f>_xlfn.XLOOKUP(Tabela1[[#This Row],[Matrícula]],Equipe!B:B,Equipe!E:E,"ERRO",0)</f>
        <v>P80</v>
      </c>
      <c r="I347" s="83" t="str">
        <f>VLOOKUP(Tabela1[[#This Row],[Matrícula]],Equipe!B:F,5,0)</f>
        <v>Experiente</v>
      </c>
    </row>
    <row r="348" spans="1:9" hidden="1">
      <c r="A348" s="83" t="s">
        <v>34</v>
      </c>
      <c r="B348" s="92">
        <f>_xlfn.XLOOKUP(A348,Equipe!H:H,Equipe!B:B,"",0)</f>
        <v>4608474</v>
      </c>
      <c r="C348" s="152">
        <v>46052</v>
      </c>
      <c r="D348" s="152">
        <f>((IF(Tabela1[[#This Row],[Início]]&lt;&gt;"",C348+E348-1,""))*1)*1</f>
        <v>46086</v>
      </c>
      <c r="E348" s="83">
        <v>35</v>
      </c>
      <c r="F348" s="83" t="s">
        <v>14</v>
      </c>
      <c r="G348" s="88" t="s">
        <v>250</v>
      </c>
      <c r="H348" s="83" t="str">
        <f>_xlfn.XLOOKUP(Tabela1[[#This Row],[Matrícula]],Equipe!B:B,Equipe!E:E,"ERRO",0)</f>
        <v>P82</v>
      </c>
      <c r="I348" s="83" t="str">
        <f>VLOOKUP(Tabela1[[#This Row],[Matrícula]],Equipe!B:F,5,0)</f>
        <v>Novo</v>
      </c>
    </row>
    <row r="349" spans="1:9">
      <c r="A349" s="83" t="s">
        <v>62</v>
      </c>
      <c r="B349" s="92">
        <f>_xlfn.XLOOKUP(A349,Equipe!H:H,Equipe!B:B,"",0)</f>
        <v>9886449</v>
      </c>
      <c r="C349" s="152">
        <v>46052</v>
      </c>
      <c r="D349" s="152">
        <f>((IF(Tabela1[[#This Row],[Início]]&lt;&gt;"",C349+E349-1,""))*1)*1</f>
        <v>46052</v>
      </c>
      <c r="E349" s="83">
        <v>1</v>
      </c>
      <c r="F349" s="83" t="s">
        <v>14</v>
      </c>
      <c r="G349" s="88" t="s">
        <v>251</v>
      </c>
      <c r="H349" s="83" t="str">
        <f>_xlfn.XLOOKUP(Tabela1[[#This Row],[Matrícula]],Equipe!B:B,Equipe!E:E,"ERRO",0)</f>
        <v>P80</v>
      </c>
      <c r="I349" s="83" t="str">
        <f>VLOOKUP(Tabela1[[#This Row],[Matrícula]],Equipe!B:F,5,0)</f>
        <v>Experiente</v>
      </c>
    </row>
    <row r="350" spans="1:9" hidden="1">
      <c r="A350" s="83" t="s">
        <v>37</v>
      </c>
      <c r="B350" s="92">
        <f>_xlfn.XLOOKUP(A350,Equipe!H:H,Equipe!B:B,"",0)</f>
        <v>2493288</v>
      </c>
      <c r="C350" s="152">
        <v>46052</v>
      </c>
      <c r="D350" s="152">
        <f>((IF(Tabela1[[#This Row],[Início]]&lt;&gt;"",C350+E350-1,""))*1)*1</f>
        <v>46052</v>
      </c>
      <c r="E350" s="83">
        <v>1</v>
      </c>
      <c r="F350" s="83" t="s">
        <v>14</v>
      </c>
      <c r="G350" s="88" t="s">
        <v>244</v>
      </c>
      <c r="H350" s="83" t="str">
        <f>_xlfn.XLOOKUP(Tabela1[[#This Row],[Matrícula]],Equipe!B:B,Equipe!E:E,"ERRO",0)</f>
        <v>PBAC</v>
      </c>
      <c r="I350" s="83" t="str">
        <f>VLOOKUP(Tabela1[[#This Row],[Matrícula]],Equipe!B:F,5,0)</f>
        <v>Experiente</v>
      </c>
    </row>
    <row r="351" spans="1:9" hidden="1">
      <c r="A351" s="83" t="s">
        <v>205</v>
      </c>
      <c r="B351" s="92">
        <f>_xlfn.XLOOKUP(A351,Equipe!H:H,Equipe!B:B,"",0)</f>
        <v>1385950</v>
      </c>
      <c r="C351" s="152">
        <v>46055</v>
      </c>
      <c r="D351" s="152">
        <f>((IF(Tabela1[[#This Row],[Início]]&lt;&gt;"",C351+E351-1,""))*1)*1</f>
        <v>46084</v>
      </c>
      <c r="E351" s="83">
        <v>30</v>
      </c>
      <c r="F351" s="83" t="s">
        <v>232</v>
      </c>
      <c r="G351" s="88" t="s">
        <v>252</v>
      </c>
      <c r="H351" s="83" t="str">
        <f>_xlfn.XLOOKUP(Tabela1[[#This Row],[Matrícula]],Equipe!B:B,Equipe!E:E,"ERRO",0)</f>
        <v>P82</v>
      </c>
      <c r="I351" s="83" t="str">
        <f>VLOOKUP(Tabela1[[#This Row],[Matrícula]],Equipe!B:F,5,0)</f>
        <v>Experiente</v>
      </c>
    </row>
    <row r="352" spans="1:9" hidden="1">
      <c r="A352" s="83" t="s">
        <v>31</v>
      </c>
      <c r="B352" s="92">
        <f>_xlfn.XLOOKUP(A352,Equipe!H:H,Equipe!B:B,"",0)</f>
        <v>1386344</v>
      </c>
      <c r="C352" s="152">
        <v>46055</v>
      </c>
      <c r="D352" s="152">
        <f>((IF(Tabela1[[#This Row],[Início]]&lt;&gt;"",C352+E352-1,""))*1)*1</f>
        <v>46076</v>
      </c>
      <c r="E352" s="83">
        <v>22</v>
      </c>
      <c r="F352" s="83" t="s">
        <v>14</v>
      </c>
      <c r="G352" s="88" t="s">
        <v>253</v>
      </c>
      <c r="H352" s="83" t="str">
        <f>_xlfn.XLOOKUP(Tabela1[[#This Row],[Matrícula]],Equipe!B:B,Equipe!E:E,"ERRO",0)</f>
        <v>P82</v>
      </c>
      <c r="I352" s="83" t="str">
        <f>VLOOKUP(Tabela1[[#This Row],[Matrícula]],Equipe!B:F,5,0)</f>
        <v>Experiente</v>
      </c>
    </row>
    <row r="353" spans="1:9">
      <c r="A353" s="83" t="s">
        <v>62</v>
      </c>
      <c r="B353" s="92">
        <f>_xlfn.XLOOKUP(A353,Equipe!H:H,Equipe!B:B,"",0)</f>
        <v>9886449</v>
      </c>
      <c r="C353" s="152">
        <v>46055</v>
      </c>
      <c r="D353" s="152">
        <f>((IF(Tabela1[[#This Row],[Início]]&lt;&gt;"",C353+E353-1,""))*1)*1</f>
        <v>46059</v>
      </c>
      <c r="E353" s="83">
        <v>5</v>
      </c>
      <c r="F353" s="83" t="s">
        <v>14</v>
      </c>
      <c r="G353" s="88" t="s">
        <v>251</v>
      </c>
      <c r="H353" s="83" t="str">
        <f>_xlfn.XLOOKUP(Tabela1[[#This Row],[Matrícula]],Equipe!B:B,Equipe!E:E,"ERRO",0)</f>
        <v>P80</v>
      </c>
      <c r="I353" s="83" t="str">
        <f>VLOOKUP(Tabela1[[#This Row],[Matrícula]],Equipe!B:F,5,0)</f>
        <v>Experiente</v>
      </c>
    </row>
    <row r="354" spans="1:9">
      <c r="A354" s="83" t="s">
        <v>90</v>
      </c>
      <c r="B354" s="92">
        <f>_xlfn.XLOOKUP(A354,Equipe!H:H,Equipe!B:B,"",0)</f>
        <v>9683150</v>
      </c>
      <c r="C354" s="152">
        <v>46055</v>
      </c>
      <c r="D354" s="152">
        <v>46074</v>
      </c>
      <c r="E354" s="83">
        <v>20</v>
      </c>
      <c r="F354" s="83" t="s">
        <v>232</v>
      </c>
      <c r="G354" s="88"/>
      <c r="H354" s="83" t="str">
        <f>_xlfn.XLOOKUP(Tabela1[[#This Row],[Matrícula]],Equipe!B:B,Equipe!E:E,"ERRO",0)</f>
        <v>P80</v>
      </c>
      <c r="I354" s="83" t="str">
        <f>VLOOKUP(Tabela1[[#This Row],[Matrícula]],Equipe!B:F,5,0)</f>
        <v>Experiente</v>
      </c>
    </row>
    <row r="355" spans="1:9" ht="29.1" hidden="1">
      <c r="A355" s="83" t="s">
        <v>254</v>
      </c>
      <c r="B355" s="92" t="str">
        <f>_xlfn.XLOOKUP(A355,Equipe!H:H,Equipe!B:B,"",0)</f>
        <v/>
      </c>
      <c r="C355" s="152">
        <v>46055</v>
      </c>
      <c r="D355" s="152">
        <v>46056</v>
      </c>
      <c r="E355" s="83">
        <v>2</v>
      </c>
      <c r="F355" s="83" t="s">
        <v>11</v>
      </c>
      <c r="G355" s="93" t="s">
        <v>255</v>
      </c>
      <c r="H355" s="83" t="str">
        <f>_xlfn.XLOOKUP(Tabela1[[#This Row],[Matrícula]],Equipe!B:B,Equipe!E:E,"ERRO",0)</f>
        <v>ERRO</v>
      </c>
      <c r="I355" s="83" t="e">
        <f>VLOOKUP(Tabela1[[#This Row],[Matrícula]],Equipe!B:F,5,0)</f>
        <v>#N/A</v>
      </c>
    </row>
    <row r="356" spans="1:9" hidden="1">
      <c r="A356" s="83" t="s">
        <v>10</v>
      </c>
      <c r="B356" s="92">
        <f>_xlfn.XLOOKUP(A356,Equipe!H:H,Equipe!B:B,"",0)</f>
        <v>4612393</v>
      </c>
      <c r="C356" s="152">
        <v>46055</v>
      </c>
      <c r="D356" s="152">
        <v>46066</v>
      </c>
      <c r="E356" s="83">
        <v>12</v>
      </c>
      <c r="F356" s="83" t="s">
        <v>232</v>
      </c>
      <c r="G356" s="88" t="s">
        <v>256</v>
      </c>
      <c r="H356" s="83" t="str">
        <f>_xlfn.XLOOKUP(Tabela1[[#This Row],[Matrícula]],Equipe!B:B,Equipe!E:E,"ERRO",0)</f>
        <v>P83</v>
      </c>
      <c r="I356" s="83" t="str">
        <f>VLOOKUP(Tabela1[[#This Row],[Matrícula]],Equipe!B:F,5,0)</f>
        <v>Novo</v>
      </c>
    </row>
    <row r="357" spans="1:9">
      <c r="A357" s="83" t="s">
        <v>35</v>
      </c>
      <c r="B357" s="92">
        <f>_xlfn.XLOOKUP(A357,Equipe!H:H,Equipe!B:B,"",0)</f>
        <v>9842940</v>
      </c>
      <c r="C357" s="152">
        <v>46055</v>
      </c>
      <c r="D357" s="152">
        <f>((IF(Tabela1[[#This Row],[Início]]&lt;&gt;"",C357+E357-1,""))*1)*1</f>
        <v>46066</v>
      </c>
      <c r="E357" s="83">
        <v>12</v>
      </c>
      <c r="F357" s="87" t="s">
        <v>232</v>
      </c>
      <c r="G357" s="88" t="s">
        <v>257</v>
      </c>
      <c r="H357" s="83" t="str">
        <f>_xlfn.XLOOKUP(Tabela1[[#This Row],[Matrícula]],Equipe!B:B,Equipe!E:E,"ERRO",0)</f>
        <v>P80</v>
      </c>
      <c r="I357" s="83" t="str">
        <f>VLOOKUP(Tabela1[[#This Row],[Matrícula]],Equipe!B:F,5,0)</f>
        <v>Novo</v>
      </c>
    </row>
    <row r="358" spans="1:9">
      <c r="A358" s="83" t="s">
        <v>108</v>
      </c>
      <c r="B358" s="92">
        <f>_xlfn.XLOOKUP(A358,Equipe!H:H,Equipe!B:B,"",0)</f>
        <v>4612243</v>
      </c>
      <c r="C358" s="152">
        <v>46055</v>
      </c>
      <c r="D358" s="152">
        <f>((IF(Tabela1[[#This Row],[Início]]&lt;&gt;"",C358+E358-1,""))*1)*1</f>
        <v>46066</v>
      </c>
      <c r="E358" s="83">
        <v>12</v>
      </c>
      <c r="F358" s="83" t="s">
        <v>232</v>
      </c>
      <c r="G358" s="88" t="s">
        <v>258</v>
      </c>
      <c r="H358" s="83" t="str">
        <f>_xlfn.XLOOKUP(Tabela1[[#This Row],[Matrícula]],Equipe!B:B,Equipe!E:E,"ERRO",0)</f>
        <v>P80</v>
      </c>
      <c r="I358" s="83" t="str">
        <f>VLOOKUP(Tabela1[[#This Row],[Matrícula]],Equipe!B:F,5,0)</f>
        <v>Novo</v>
      </c>
    </row>
    <row r="359" spans="1:9" hidden="1">
      <c r="A359" s="83" t="s">
        <v>114</v>
      </c>
      <c r="B359" s="92">
        <f>_xlfn.XLOOKUP(A359,Equipe!H:H,Equipe!B:B,"",0)</f>
        <v>4612140</v>
      </c>
      <c r="C359" s="152">
        <v>46055</v>
      </c>
      <c r="D359" s="152">
        <f>((IF(Tabela1[[#This Row],[Início]]&lt;&gt;"",C359+E359-1,""))*1)*1</f>
        <v>46069</v>
      </c>
      <c r="E359" s="83">
        <v>15</v>
      </c>
      <c r="F359" s="83" t="s">
        <v>232</v>
      </c>
      <c r="G359" s="88" t="s">
        <v>259</v>
      </c>
      <c r="H359" s="83" t="str">
        <f>_xlfn.XLOOKUP(Tabela1[[#This Row],[Matrícula]],Equipe!B:B,Equipe!E:E,"ERRO",0)</f>
        <v>P83</v>
      </c>
      <c r="I359" s="83" t="str">
        <f>VLOOKUP(Tabela1[[#This Row],[Matrícula]],Equipe!B:F,5,0)</f>
        <v>Novo</v>
      </c>
    </row>
    <row r="360" spans="1:9" hidden="1">
      <c r="A360" s="119" t="s">
        <v>260</v>
      </c>
      <c r="B360" s="176">
        <v>4604625</v>
      </c>
      <c r="C360" s="152">
        <v>46055</v>
      </c>
      <c r="D360" s="152">
        <v>46068</v>
      </c>
      <c r="E360" s="131">
        <v>14</v>
      </c>
      <c r="F360" s="131" t="s">
        <v>232</v>
      </c>
      <c r="G360" s="132" t="s">
        <v>232</v>
      </c>
      <c r="H360" s="131" t="s">
        <v>261</v>
      </c>
      <c r="I360" s="87" t="str">
        <f>VLOOKUP(Tabela1[[#This Row],[Matrícula]],Equipe!B:F,5,0)</f>
        <v>Novo</v>
      </c>
    </row>
    <row r="361" spans="1:9">
      <c r="A361" s="83" t="s">
        <v>36</v>
      </c>
      <c r="B361" s="92">
        <f>_xlfn.XLOOKUP(A361,Equipe!H:H,Equipe!B:B,"",0)</f>
        <v>4608721</v>
      </c>
      <c r="C361" s="152">
        <v>46056</v>
      </c>
      <c r="D361" s="152">
        <f>((IF(Tabela1[[#This Row],[Início]]&lt;&gt;"",C361+E361-1,""))*1)*1</f>
        <v>46087</v>
      </c>
      <c r="E361" s="83">
        <v>32</v>
      </c>
      <c r="F361" s="83" t="s">
        <v>14</v>
      </c>
      <c r="G361" s="88" t="s">
        <v>262</v>
      </c>
      <c r="H361" s="83" t="str">
        <f>_xlfn.XLOOKUP(Tabela1[[#This Row],[Matrícula]],Equipe!B:B,Equipe!E:E,"ERRO",0)</f>
        <v>P80</v>
      </c>
      <c r="I361" s="83" t="str">
        <f>VLOOKUP(Tabela1[[#This Row],[Matrícula]],Equipe!B:F,5,0)</f>
        <v>Novo</v>
      </c>
    </row>
    <row r="362" spans="1:9">
      <c r="A362" s="83" t="s">
        <v>116</v>
      </c>
      <c r="B362" s="83">
        <f>_xlfn.XLOOKUP(A362,Equipe!H:H,Equipe!B:B,"",0)</f>
        <v>4612171</v>
      </c>
      <c r="C362" s="152">
        <v>46057</v>
      </c>
      <c r="D362" s="152">
        <f>((IF(Tabela1[[#This Row],[Início]]&lt;&gt;"",C362+E362-1,""))*1)*1</f>
        <v>46059</v>
      </c>
      <c r="E362" s="83">
        <v>3</v>
      </c>
      <c r="F362" s="83" t="s">
        <v>17</v>
      </c>
      <c r="G362" s="88" t="s">
        <v>61</v>
      </c>
      <c r="H362" s="83" t="str">
        <f>_xlfn.XLOOKUP(Tabela1[[#This Row],[Matrícula]],Equipe!B:B,Equipe!E:E,"ERRO",0)</f>
        <v>P80</v>
      </c>
      <c r="I362" s="83" t="str">
        <f>VLOOKUP(Tabela1[[#This Row],[Matrícula]],Equipe!B:F,5,0)</f>
        <v>Novo</v>
      </c>
    </row>
    <row r="363" spans="1:9" hidden="1">
      <c r="A363" s="83" t="s">
        <v>40</v>
      </c>
      <c r="B363" s="92">
        <f>_xlfn.XLOOKUP(A363,Equipe!H:H,Equipe!B:B,"",0)</f>
        <v>9724817</v>
      </c>
      <c r="C363" s="152">
        <v>46059</v>
      </c>
      <c r="D363" s="152">
        <f>((IF(Tabela1[[#This Row],[Início]]&lt;&gt;"",C363+E363-1,""))*1)*1</f>
        <v>46058.5</v>
      </c>
      <c r="E363" s="83">
        <v>0.5</v>
      </c>
      <c r="F363" s="83" t="s">
        <v>14</v>
      </c>
      <c r="G363" s="88" t="s">
        <v>263</v>
      </c>
      <c r="H363" s="83" t="str">
        <f>_xlfn.XLOOKUP(Tabela1[[#This Row],[Matrícula]],Equipe!B:B,Equipe!E:E,"ERRO",0)</f>
        <v>P82</v>
      </c>
      <c r="I363" s="83" t="str">
        <f>VLOOKUP(Tabela1[[#This Row],[Matrícula]],Equipe!B:F,5,0)</f>
        <v>Experiente</v>
      </c>
    </row>
    <row r="364" spans="1:9">
      <c r="A364" s="83" t="s">
        <v>264</v>
      </c>
      <c r="B364" s="92">
        <f>_xlfn.XLOOKUP(A364,Equipe!H:H,Equipe!B:B,"",0)</f>
        <v>9678697</v>
      </c>
      <c r="C364" s="152">
        <v>46059</v>
      </c>
      <c r="D364" s="152">
        <f>((IF(Tabela1[[#This Row],[Início]]&lt;&gt;"",C364+E364-1,""))*1)*1</f>
        <v>46059</v>
      </c>
      <c r="E364" s="83">
        <v>1</v>
      </c>
      <c r="F364" s="83" t="s">
        <v>14</v>
      </c>
      <c r="G364" s="88" t="s">
        <v>265</v>
      </c>
      <c r="H364" s="83" t="str">
        <f>_xlfn.XLOOKUP(Tabela1[[#This Row],[Matrícula]],Equipe!B:B,Equipe!E:E,"ERRO",0)</f>
        <v>P80</v>
      </c>
      <c r="I364" s="83" t="str">
        <f>VLOOKUP(Tabela1[[#This Row],[Matrícula]],Equipe!B:F,5,0)</f>
        <v>Experiente</v>
      </c>
    </row>
    <row r="365" spans="1:9">
      <c r="A365" s="87" t="s">
        <v>116</v>
      </c>
      <c r="B365" s="87">
        <f>_xlfn.XLOOKUP(A365,Equipe!H:H,Equipe!B:B,"",0)</f>
        <v>4612171</v>
      </c>
      <c r="C365" s="152">
        <v>46060</v>
      </c>
      <c r="D365" s="152">
        <f>((IF(Tabela1[[#This Row],[Início]]&lt;&gt;"",C365+E365-1,""))*1)*1</f>
        <v>46063</v>
      </c>
      <c r="E365" s="87">
        <v>4</v>
      </c>
      <c r="F365" s="87" t="s">
        <v>14</v>
      </c>
      <c r="G365" s="93" t="s">
        <v>266</v>
      </c>
      <c r="H365" s="87" t="str">
        <f>_xlfn.XLOOKUP(Tabela1[[#This Row],[Matrícula]],Equipe!B:B,Equipe!E:E,"ERRO",0)</f>
        <v>P80</v>
      </c>
      <c r="I365" s="87" t="str">
        <f>VLOOKUP(Tabela1[[#This Row],[Matrícula]],Equipe!B:F,5,0)</f>
        <v>Novo</v>
      </c>
    </row>
    <row r="366" spans="1:9" ht="29.1" hidden="1">
      <c r="A366" s="83" t="s">
        <v>239</v>
      </c>
      <c r="B366" s="92">
        <f>_xlfn.XLOOKUP(A366,Equipe!H:H,Equipe!B:B,"",0)</f>
        <v>1387328</v>
      </c>
      <c r="C366" s="152">
        <v>46062</v>
      </c>
      <c r="D366" s="152">
        <f>((IF(Tabela1[[#This Row],[Início]]&lt;&gt;"",C366+E366-1,""))*1)*1</f>
        <v>46066</v>
      </c>
      <c r="E366" s="83">
        <v>5</v>
      </c>
      <c r="F366" s="83" t="s">
        <v>11</v>
      </c>
      <c r="G366" s="88" t="s">
        <v>267</v>
      </c>
      <c r="H366" s="83" t="str">
        <f>_xlfn.XLOOKUP(Tabela1[[#This Row],[Matrícula]],Equipe!B:B,Equipe!E:E,"ERRO",0)</f>
        <v>P82</v>
      </c>
      <c r="I366" s="83" t="str">
        <f>VLOOKUP(Tabela1[[#This Row],[Matrícula]],Equipe!B:F,5,0)</f>
        <v>Experiente</v>
      </c>
    </row>
    <row r="367" spans="1:9" ht="29.1" hidden="1">
      <c r="A367" s="83" t="s">
        <v>40</v>
      </c>
      <c r="B367" s="92">
        <f>_xlfn.XLOOKUP(A367,Equipe!H:H,Equipe!B:B,"",0)</f>
        <v>9724817</v>
      </c>
      <c r="C367" s="152">
        <v>46062</v>
      </c>
      <c r="D367" s="152">
        <f>((IF(Tabela1[[#This Row],[Início]]&lt;&gt;"",C367+E367-1,""))*1)*1</f>
        <v>46066</v>
      </c>
      <c r="E367" s="83">
        <v>5</v>
      </c>
      <c r="F367" s="83" t="s">
        <v>11</v>
      </c>
      <c r="G367" s="88" t="s">
        <v>267</v>
      </c>
      <c r="H367" s="83" t="str">
        <f>_xlfn.XLOOKUP(Tabela1[[#This Row],[Matrícula]],Equipe!B:B,Equipe!E:E,"ERRO",0)</f>
        <v>P82</v>
      </c>
      <c r="I367" s="83" t="str">
        <f>VLOOKUP(Tabela1[[#This Row],[Matrícula]],Equipe!B:F,5,0)</f>
        <v>Experiente</v>
      </c>
    </row>
    <row r="368" spans="1:9" ht="29.1">
      <c r="A368" s="83" t="s">
        <v>22</v>
      </c>
      <c r="B368" s="92">
        <f>_xlfn.XLOOKUP(A368,Equipe!H:H,Equipe!B:B,"",0)</f>
        <v>4608389</v>
      </c>
      <c r="C368" s="152">
        <v>46062</v>
      </c>
      <c r="D368" s="152">
        <f>((IF(Tabela1[[#This Row],[Início]]&lt;&gt;"",C368+E368-1,""))*1)*1</f>
        <v>46066</v>
      </c>
      <c r="E368" s="83">
        <v>5</v>
      </c>
      <c r="F368" s="83" t="s">
        <v>11</v>
      </c>
      <c r="G368" s="88" t="s">
        <v>267</v>
      </c>
      <c r="H368" s="83" t="str">
        <f>_xlfn.XLOOKUP(Tabela1[[#This Row],[Matrícula]],Equipe!B:B,Equipe!E:E,"ERRO",0)</f>
        <v>P80</v>
      </c>
      <c r="I368" s="83" t="str">
        <f>VLOOKUP(Tabela1[[#This Row],[Matrícula]],Equipe!B:F,5,0)</f>
        <v>Novo</v>
      </c>
    </row>
    <row r="369" spans="1:9" hidden="1">
      <c r="A369" s="83" t="s">
        <v>24</v>
      </c>
      <c r="B369" s="92">
        <f>_xlfn.XLOOKUP(A369,Equipe!H:H,Equipe!B:B,"",0)</f>
        <v>1385870</v>
      </c>
      <c r="C369" s="152">
        <v>46062</v>
      </c>
      <c r="D369" s="152">
        <f>((IF(Tabela1[[#This Row],[Início]]&lt;&gt;"",C369+E369-1,""))*1)*1</f>
        <v>46091</v>
      </c>
      <c r="E369" s="83">
        <v>30</v>
      </c>
      <c r="F369" s="83" t="s">
        <v>232</v>
      </c>
      <c r="G369" s="88" t="s">
        <v>252</v>
      </c>
      <c r="H369" s="83" t="str">
        <f>_xlfn.XLOOKUP(Tabela1[[#This Row],[Matrícula]],Equipe!B:B,Equipe!E:E,"ERRO",0)</f>
        <v>P83</v>
      </c>
      <c r="I369" s="83" t="str">
        <f>VLOOKUP(Tabela1[[#This Row],[Matrícula]],Equipe!B:F,5,0)</f>
        <v>Experiente</v>
      </c>
    </row>
    <row r="370" spans="1:9" ht="29.1" hidden="1">
      <c r="A370" s="83" t="s">
        <v>207</v>
      </c>
      <c r="B370" s="92">
        <f>_xlfn.XLOOKUP(A370,Equipe!H:H,Equipe!B:B,"",0)</f>
        <v>1386288</v>
      </c>
      <c r="C370" s="152">
        <v>46062</v>
      </c>
      <c r="D370" s="152">
        <f>((IF(Tabela1[[#This Row],[Início]]&lt;&gt;"",C370+E370-1,""))*1)*1</f>
        <v>46066</v>
      </c>
      <c r="E370" s="83">
        <v>5</v>
      </c>
      <c r="F370" s="83" t="s">
        <v>11</v>
      </c>
      <c r="G370" s="88" t="s">
        <v>267</v>
      </c>
      <c r="H370" s="83" t="str">
        <f>_xlfn.XLOOKUP(Tabela1[[#This Row],[Matrícula]],Equipe!B:B,Equipe!E:E,"ERRO",0)</f>
        <v>P83</v>
      </c>
      <c r="I370" s="83" t="str">
        <f>VLOOKUP(Tabela1[[#This Row],[Matrícula]],Equipe!B:F,5,0)</f>
        <v>Experiente</v>
      </c>
    </row>
    <row r="371" spans="1:9" ht="29.1">
      <c r="A371" s="83" t="s">
        <v>62</v>
      </c>
      <c r="B371" s="92">
        <f>_xlfn.XLOOKUP(A371,Equipe!H:H,Equipe!B:B,"",0)</f>
        <v>9886449</v>
      </c>
      <c r="C371" s="152">
        <v>46062</v>
      </c>
      <c r="D371" s="152">
        <f>((IF(Tabela1[[#This Row],[Início]]&lt;&gt;"",C371+E371-1,""))*1)*1</f>
        <v>46066</v>
      </c>
      <c r="E371" s="83">
        <v>5</v>
      </c>
      <c r="F371" s="83" t="s">
        <v>11</v>
      </c>
      <c r="G371" s="88" t="s">
        <v>267</v>
      </c>
      <c r="H371" s="83" t="str">
        <f>_xlfn.XLOOKUP(Tabela1[[#This Row],[Matrícula]],Equipe!B:B,Equipe!E:E,"ERRO",0)</f>
        <v>P80</v>
      </c>
      <c r="I371" s="83" t="str">
        <f>VLOOKUP(Tabela1[[#This Row],[Matrícula]],Equipe!B:F,5,0)</f>
        <v>Experiente</v>
      </c>
    </row>
    <row r="372" spans="1:9" ht="29.1" hidden="1">
      <c r="A372" s="83" t="s">
        <v>50</v>
      </c>
      <c r="B372" s="92">
        <f>_xlfn.XLOOKUP(A372,Equipe!H:H,Equipe!B:B,"",0)</f>
        <v>4606694</v>
      </c>
      <c r="C372" s="152">
        <v>46062</v>
      </c>
      <c r="D372" s="152">
        <f>((IF(Tabela1[[#This Row],[Início]]&lt;&gt;"",C372+E372-1,""))*1)*1</f>
        <v>46066</v>
      </c>
      <c r="E372" s="83">
        <v>5</v>
      </c>
      <c r="F372" s="83" t="s">
        <v>11</v>
      </c>
      <c r="G372" s="88" t="s">
        <v>267</v>
      </c>
      <c r="H372" s="83" t="str">
        <f>_xlfn.XLOOKUP(Tabela1[[#This Row],[Matrícula]],Equipe!B:B,Equipe!E:E,"ERRO",0)</f>
        <v>PBAC</v>
      </c>
      <c r="I372" s="83" t="str">
        <f>VLOOKUP(Tabela1[[#This Row],[Matrícula]],Equipe!B:F,5,0)</f>
        <v>Novo</v>
      </c>
    </row>
    <row r="373" spans="1:9" ht="29.1" hidden="1">
      <c r="A373" s="83" t="s">
        <v>229</v>
      </c>
      <c r="B373" s="92">
        <f>_xlfn.XLOOKUP(A373,Equipe!H:H,Equipe!B:B,"",0)</f>
        <v>9921954</v>
      </c>
      <c r="C373" s="152">
        <v>46062</v>
      </c>
      <c r="D373" s="152">
        <v>46063</v>
      </c>
      <c r="E373" s="83">
        <v>2</v>
      </c>
      <c r="F373" s="83" t="s">
        <v>11</v>
      </c>
      <c r="G373" s="88" t="s">
        <v>268</v>
      </c>
      <c r="H373" s="83" t="str">
        <f>_xlfn.XLOOKUP(Tabela1[[#This Row],[Matrícula]],Equipe!B:B,Equipe!E:E,"ERRO",0)</f>
        <v>P82</v>
      </c>
      <c r="I373" s="83" t="str">
        <f>VLOOKUP(Tabela1[[#This Row],[Matrícula]],Equipe!B:F,5,0)</f>
        <v>Experiente</v>
      </c>
    </row>
    <row r="374" spans="1:9">
      <c r="A374" s="83" t="s">
        <v>264</v>
      </c>
      <c r="B374" s="92">
        <f>_xlfn.XLOOKUP(A374,Equipe!H:H,Equipe!B:B,"",0)</f>
        <v>9678697</v>
      </c>
      <c r="C374" s="152">
        <v>46062</v>
      </c>
      <c r="D374" s="152">
        <f>((IF(Tabela1[[#This Row],[Início]]&lt;&gt;"",C374+E374-1,""))*1)*1</f>
        <v>46062</v>
      </c>
      <c r="E374" s="83">
        <v>1</v>
      </c>
      <c r="F374" s="83" t="s">
        <v>14</v>
      </c>
      <c r="G374" s="88" t="s">
        <v>265</v>
      </c>
      <c r="H374" s="83" t="str">
        <f>_xlfn.XLOOKUP(Tabela1[[#This Row],[Matrícula]],Equipe!B:B,Equipe!E:E,"ERRO",0)</f>
        <v>P80</v>
      </c>
      <c r="I374" s="83" t="str">
        <f>VLOOKUP(Tabela1[[#This Row],[Matrícula]],Equipe!B:F,5,0)</f>
        <v>Experiente</v>
      </c>
    </row>
    <row r="375" spans="1:9" ht="29.1">
      <c r="A375" s="83" t="s">
        <v>168</v>
      </c>
      <c r="B375" s="92">
        <f>_xlfn.XLOOKUP(A375,Equipe!H:H,Equipe!B:B,"",0)</f>
        <v>2440812</v>
      </c>
      <c r="C375" s="152">
        <v>46062</v>
      </c>
      <c r="D375" s="152">
        <f>((IF(Tabela1[[#This Row],[Início]]&lt;&gt;"",C375+E375-1,""))*1)*1</f>
        <v>46066</v>
      </c>
      <c r="E375" s="83">
        <v>5</v>
      </c>
      <c r="F375" s="83" t="s">
        <v>11</v>
      </c>
      <c r="G375" s="88" t="s">
        <v>267</v>
      </c>
      <c r="H375" s="83" t="str">
        <f>_xlfn.XLOOKUP(Tabela1[[#This Row],[Matrícula]],Equipe!B:B,Equipe!E:E,"ERRO",0)</f>
        <v>P80</v>
      </c>
      <c r="I375" s="83" t="str">
        <f>VLOOKUP(Tabela1[[#This Row],[Matrícula]],Equipe!B:F,5,0)</f>
        <v>Experiente</v>
      </c>
    </row>
    <row r="376" spans="1:9" ht="29.1">
      <c r="A376" s="83" t="s">
        <v>109</v>
      </c>
      <c r="B376" s="92">
        <f>_xlfn.XLOOKUP(A376,Equipe!H:H,Equipe!B:B,"",0)</f>
        <v>4612389</v>
      </c>
      <c r="C376" s="152">
        <v>46062</v>
      </c>
      <c r="D376" s="152">
        <f>((IF(Tabela1[[#This Row],[Início]]&lt;&gt;"",C376+E376-1,""))*1)*1</f>
        <v>46066</v>
      </c>
      <c r="E376" s="83">
        <v>5</v>
      </c>
      <c r="F376" s="83" t="s">
        <v>11</v>
      </c>
      <c r="G376" s="88" t="s">
        <v>267</v>
      </c>
      <c r="H376" s="83" t="str">
        <f>_xlfn.XLOOKUP(Tabela1[[#This Row],[Matrícula]],Equipe!B:B,Equipe!E:E,"ERRO",0)</f>
        <v>P80</v>
      </c>
      <c r="I376" s="83" t="str">
        <f>VLOOKUP(Tabela1[[#This Row],[Matrícula]],Equipe!B:F,5,0)</f>
        <v>Novo</v>
      </c>
    </row>
    <row r="377" spans="1:9" ht="29.1">
      <c r="A377" s="83" t="s">
        <v>44</v>
      </c>
      <c r="B377" s="92">
        <f>_xlfn.XLOOKUP(A377,Equipe!H:H,Equipe!B:B,"",0)</f>
        <v>1381625</v>
      </c>
      <c r="C377" s="152">
        <v>46062</v>
      </c>
      <c r="D377" s="152">
        <f>((IF(Tabela1[[#This Row],[Início]]&lt;&gt;"",C377+E377-1,""))*1)*1</f>
        <v>46066</v>
      </c>
      <c r="E377" s="83">
        <v>5</v>
      </c>
      <c r="F377" s="83" t="s">
        <v>11</v>
      </c>
      <c r="G377" s="88" t="s">
        <v>267</v>
      </c>
      <c r="H377" s="83" t="str">
        <f>_xlfn.XLOOKUP(Tabela1[[#This Row],[Matrícula]],Equipe!B:B,Equipe!E:E,"ERRO",0)</f>
        <v>P80</v>
      </c>
      <c r="I377" s="83" t="str">
        <f>VLOOKUP(Tabela1[[#This Row],[Matrícula]],Equipe!B:F,5,0)</f>
        <v>Experiente</v>
      </c>
    </row>
    <row r="378" spans="1:9" ht="29.1" hidden="1">
      <c r="A378" s="83" t="s">
        <v>113</v>
      </c>
      <c r="B378" s="92">
        <f>_xlfn.XLOOKUP(A378,Equipe!H:H,Equipe!B:B,"",0)</f>
        <v>4612192</v>
      </c>
      <c r="C378" s="152">
        <v>46062</v>
      </c>
      <c r="D378" s="152">
        <f>((IF(Tabela1[[#This Row],[Início]]&lt;&gt;"",C378+E378-1,""))*1)*1</f>
        <v>46066</v>
      </c>
      <c r="E378" s="83">
        <v>5</v>
      </c>
      <c r="F378" s="83" t="s">
        <v>11</v>
      </c>
      <c r="G378" s="88" t="s">
        <v>267</v>
      </c>
      <c r="H378" s="83" t="str">
        <f>_xlfn.XLOOKUP(Tabela1[[#This Row],[Matrícula]],Equipe!B:B,Equipe!E:E,"ERRO",0)</f>
        <v>P82</v>
      </c>
      <c r="I378" s="83" t="str">
        <f>VLOOKUP(Tabela1[[#This Row],[Matrícula]],Equipe!B:F,5,0)</f>
        <v>Novo</v>
      </c>
    </row>
    <row r="379" spans="1:9" hidden="1">
      <c r="A379" s="83" t="s">
        <v>58</v>
      </c>
      <c r="B379" s="92">
        <f>_xlfn.XLOOKUP(A379,Equipe!H:H,Equipe!B:B,"",0)</f>
        <v>9612082</v>
      </c>
      <c r="C379" s="152">
        <v>46063</v>
      </c>
      <c r="D379" s="158">
        <f>((IF(Tabela1[[#This Row],[Início]]&lt;&gt;"",C379+E379-1,""))*1)*1</f>
        <v>46083</v>
      </c>
      <c r="E379" s="83">
        <v>21</v>
      </c>
      <c r="F379" s="83" t="s">
        <v>14</v>
      </c>
      <c r="G379" s="88" t="s">
        <v>247</v>
      </c>
      <c r="H379" s="83" t="str">
        <f>_xlfn.XLOOKUP(Tabela1[[#This Row],[Matrícula]],Equipe!B:B,Equipe!E:E,"ERRO",0)</f>
        <v>P82</v>
      </c>
      <c r="I379" s="83" t="str">
        <f>VLOOKUP(Tabela1[[#This Row],[Matrícula]],Equipe!B:F,5,0)</f>
        <v>Experiente</v>
      </c>
    </row>
    <row r="380" spans="1:9">
      <c r="A380" s="83" t="s">
        <v>104</v>
      </c>
      <c r="B380" s="92">
        <f>_xlfn.XLOOKUP(A380,Equipe!H:H,Equipe!B:B,"",0)</f>
        <v>4612098</v>
      </c>
      <c r="C380" s="152">
        <v>46063</v>
      </c>
      <c r="D380" s="152">
        <v>46077</v>
      </c>
      <c r="E380" s="83">
        <v>14</v>
      </c>
      <c r="F380" s="83" t="s">
        <v>17</v>
      </c>
      <c r="G380" s="149" t="s">
        <v>269</v>
      </c>
      <c r="H380" s="83" t="str">
        <f>_xlfn.XLOOKUP(Tabela1[[#This Row],[Matrícula]],Equipe!B:B,Equipe!E:E,"ERRO",0)</f>
        <v>P80</v>
      </c>
      <c r="I380" s="83" t="str">
        <f>VLOOKUP(Tabela1[[#This Row],[Matrícula]],Equipe!B:F,5,0)</f>
        <v>Novo</v>
      </c>
    </row>
    <row r="381" spans="1:9" hidden="1">
      <c r="A381" s="83" t="s">
        <v>106</v>
      </c>
      <c r="B381" s="92">
        <f>_xlfn.XLOOKUP(A381,Equipe!H:H,Equipe!B:B,"",0)</f>
        <v>4612050</v>
      </c>
      <c r="C381" s="152">
        <v>46063</v>
      </c>
      <c r="D381" s="152">
        <f>((IF(Tabela1[[#This Row],[Início]]&lt;&gt;"",C381+E381-1,""))*1)*1</f>
        <v>46092</v>
      </c>
      <c r="E381" s="83">
        <v>30</v>
      </c>
      <c r="F381" s="83" t="s">
        <v>14</v>
      </c>
      <c r="G381" s="88" t="s">
        <v>167</v>
      </c>
      <c r="H381" s="83" t="str">
        <f>_xlfn.XLOOKUP(Tabela1[[#This Row],[Matrícula]],Equipe!B:B,Equipe!E:E,"ERRO",0)</f>
        <v>P82</v>
      </c>
      <c r="I381" s="83" t="str">
        <f>VLOOKUP(Tabela1[[#This Row],[Matrícula]],Equipe!B:F,5,0)</f>
        <v>Novo</v>
      </c>
    </row>
    <row r="382" spans="1:9" hidden="1">
      <c r="A382" s="83" t="s">
        <v>20</v>
      </c>
      <c r="B382" s="92">
        <f>_xlfn.XLOOKUP(A382,Equipe!H:H,Equipe!B:B,"",0)</f>
        <v>4608559</v>
      </c>
      <c r="C382" s="152">
        <v>46064</v>
      </c>
      <c r="D382" s="152">
        <f>((IF(Tabela1[[#This Row],[Início]]&lt;&gt;"",C382+E382-1,""))*1)*1</f>
        <v>46093</v>
      </c>
      <c r="E382" s="83">
        <v>30</v>
      </c>
      <c r="F382" s="83" t="s">
        <v>14</v>
      </c>
      <c r="G382" s="88" t="s">
        <v>266</v>
      </c>
      <c r="H382" s="83" t="str">
        <f>_xlfn.XLOOKUP(Tabela1[[#This Row],[Matrícula]],Equipe!B:B,Equipe!E:E,"ERRO",0)</f>
        <v>P83</v>
      </c>
      <c r="I382" s="83" t="str">
        <f>VLOOKUP(Tabela1[[#This Row],[Matrícula]],Equipe!B:F,5,0)</f>
        <v>Novo</v>
      </c>
    </row>
    <row r="383" spans="1:9" hidden="1">
      <c r="A383" s="122" t="s">
        <v>254</v>
      </c>
      <c r="B383" s="127">
        <v>9921954</v>
      </c>
      <c r="C383" s="178">
        <v>46071</v>
      </c>
      <c r="D383" s="150">
        <f>(IF(Tabela1[[#This Row],[Início]]&lt;&gt;"",C383+E383-1,""))*1</f>
        <v>46095</v>
      </c>
      <c r="E383" s="133">
        <v>25</v>
      </c>
      <c r="F383" s="133" t="s">
        <v>29</v>
      </c>
      <c r="G383" s="134" t="s">
        <v>270</v>
      </c>
      <c r="H383" s="133" t="s">
        <v>261</v>
      </c>
      <c r="I383" s="87" t="str">
        <f>VLOOKUP(Tabela1[[#This Row],[Matrícula]],Equipe!B:F,5,0)</f>
        <v>Experiente</v>
      </c>
    </row>
    <row r="384" spans="1:9" hidden="1">
      <c r="A384" s="83" t="s">
        <v>239</v>
      </c>
      <c r="B384" s="92">
        <f>_xlfn.XLOOKUP(A384,Equipe!H:H,Equipe!B:B,"",0)</f>
        <v>1387328</v>
      </c>
      <c r="C384" s="152">
        <v>46072</v>
      </c>
      <c r="D384" s="152">
        <f>((IF(Tabela1[[#This Row],[Início]]&lt;&gt;"",C384+E384-1,""))*1)*1</f>
        <v>46101</v>
      </c>
      <c r="E384" s="83">
        <v>30</v>
      </c>
      <c r="F384" s="83" t="s">
        <v>232</v>
      </c>
      <c r="G384" s="88" t="s">
        <v>232</v>
      </c>
      <c r="H384" s="83" t="str">
        <f>_xlfn.XLOOKUP(Tabela1[[#This Row],[Matrícula]],Equipe!B:B,Equipe!E:E,"ERRO",0)</f>
        <v>P82</v>
      </c>
      <c r="I384" s="83" t="str">
        <f>VLOOKUP(Tabela1[[#This Row],[Matrícula]],Equipe!B:F,5,0)</f>
        <v>Experiente</v>
      </c>
    </row>
    <row r="385" spans="1:9">
      <c r="A385" s="83" t="s">
        <v>62</v>
      </c>
      <c r="B385" s="92">
        <f>_xlfn.XLOOKUP(A385,Equipe!H:H,Equipe!B:B,"",0)</f>
        <v>9886449</v>
      </c>
      <c r="C385" s="152">
        <v>46072</v>
      </c>
      <c r="D385" s="152">
        <f>((IF(Tabela1[[#This Row],[Início]]&lt;&gt;"",C385+E385-1,""))*1)*1</f>
        <v>46073</v>
      </c>
      <c r="E385" s="83">
        <v>2</v>
      </c>
      <c r="F385" s="83" t="s">
        <v>14</v>
      </c>
      <c r="G385" s="88" t="s">
        <v>251</v>
      </c>
      <c r="H385" s="83" t="str">
        <f>_xlfn.XLOOKUP(Tabela1[[#This Row],[Matrícula]],Equipe!B:B,Equipe!E:E,"ERRO",0)</f>
        <v>P80</v>
      </c>
      <c r="I385" s="83" t="str">
        <f>VLOOKUP(Tabela1[[#This Row],[Matrícula]],Equipe!B:F,5,0)</f>
        <v>Experiente</v>
      </c>
    </row>
    <row r="386" spans="1:9">
      <c r="A386" s="83" t="s">
        <v>62</v>
      </c>
      <c r="B386" s="92">
        <f>_xlfn.XLOOKUP(A386,Equipe!H:H,Equipe!B:B,"",0)</f>
        <v>9886449</v>
      </c>
      <c r="C386" s="152">
        <v>46072</v>
      </c>
      <c r="D386" s="152">
        <f>((IF(Tabela1[[#This Row],[Início]]&lt;&gt;"",C386+E386-1,""))*1)*1</f>
        <v>46073</v>
      </c>
      <c r="E386" s="83">
        <v>2</v>
      </c>
      <c r="F386" s="83" t="s">
        <v>14</v>
      </c>
      <c r="G386" s="88" t="s">
        <v>251</v>
      </c>
      <c r="H386" s="83" t="str">
        <f>_xlfn.XLOOKUP(Tabela1[[#This Row],[Matrícula]],Equipe!B:B,Equipe!E:E,"ERRO",0)</f>
        <v>P80</v>
      </c>
      <c r="I386" s="83" t="str">
        <f>VLOOKUP(Tabela1[[#This Row],[Matrícula]],Equipe!B:F,5,0)</f>
        <v>Experiente</v>
      </c>
    </row>
    <row r="387" spans="1:9" hidden="1">
      <c r="A387" s="83" t="s">
        <v>37</v>
      </c>
      <c r="B387" s="92">
        <f>_xlfn.XLOOKUP(A387,Equipe!H:H,Equipe!B:B,"",0)</f>
        <v>2493288</v>
      </c>
      <c r="C387" s="152">
        <v>46072</v>
      </c>
      <c r="D387" s="152">
        <f>((IF(Tabela1[[#This Row],[Início]]&lt;&gt;"",C387+E387-1,""))*1)*1</f>
        <v>46073</v>
      </c>
      <c r="E387" s="83">
        <v>2</v>
      </c>
      <c r="F387" s="83" t="s">
        <v>14</v>
      </c>
      <c r="G387" s="88" t="s">
        <v>244</v>
      </c>
      <c r="H387" s="83" t="str">
        <f>_xlfn.XLOOKUP(Tabela1[[#This Row],[Matrícula]],Equipe!B:B,Equipe!E:E,"ERRO",0)</f>
        <v>PBAC</v>
      </c>
      <c r="I387" s="83" t="str">
        <f>VLOOKUP(Tabela1[[#This Row],[Matrícula]],Equipe!B:F,5,0)</f>
        <v>Experiente</v>
      </c>
    </row>
    <row r="388" spans="1:9" hidden="1">
      <c r="A388" s="83" t="s">
        <v>26</v>
      </c>
      <c r="B388" s="92" t="str">
        <f>_xlfn.XLOOKUP(A388,Equipe!H:H,Equipe!B:B,"",0)</f>
        <v/>
      </c>
      <c r="C388" s="152">
        <v>46072</v>
      </c>
      <c r="D388" s="152">
        <f>((IF(Tabela1[[#This Row],[Início]]&lt;&gt;"",C388+E388-1,""))*1)*1</f>
        <v>46073</v>
      </c>
      <c r="E388" s="83">
        <v>2</v>
      </c>
      <c r="F388" s="83" t="s">
        <v>14</v>
      </c>
      <c r="G388" s="88" t="s">
        <v>271</v>
      </c>
      <c r="H388" s="83" t="str">
        <f>_xlfn.XLOOKUP(Tabela1[[#This Row],[Matrícula]],Equipe!B:B,Equipe!E:E,"ERRO",0)</f>
        <v>ERRO</v>
      </c>
      <c r="I388" s="83" t="e">
        <f>VLOOKUP(Tabela1[[#This Row],[Matrícula]],Equipe!B:F,5,0)</f>
        <v>#N/A</v>
      </c>
    </row>
    <row r="389" spans="1:9">
      <c r="A389" s="83" t="s">
        <v>225</v>
      </c>
      <c r="B389" s="92">
        <f>_xlfn.XLOOKUP(A389,Equipe!H:H,Equipe!B:B,"",0)</f>
        <v>2448533</v>
      </c>
      <c r="C389" s="152">
        <v>46072</v>
      </c>
      <c r="D389" s="152">
        <f>((IF(Tabela1[[#This Row],[Início]]&lt;&gt;"",C389+E389-1,""))*1)*1</f>
        <v>46073</v>
      </c>
      <c r="E389" s="83">
        <v>2</v>
      </c>
      <c r="F389" s="83" t="s">
        <v>14</v>
      </c>
      <c r="G389" s="88" t="s">
        <v>271</v>
      </c>
      <c r="H389" s="83" t="str">
        <f>_xlfn.XLOOKUP(Tabela1[[#This Row],[Matrícula]],Equipe!B:B,Equipe!E:E,"ERRO",0)</f>
        <v>P80</v>
      </c>
      <c r="I389" s="83" t="str">
        <f>VLOOKUP(Tabela1[[#This Row],[Matrícula]],Equipe!B:F,5,0)</f>
        <v>Experiente</v>
      </c>
    </row>
    <row r="390" spans="1:9" hidden="1">
      <c r="A390" s="83" t="s">
        <v>114</v>
      </c>
      <c r="B390" s="92">
        <f>_xlfn.XLOOKUP(A390,Equipe!H:H,Equipe!B:B,"",0)</f>
        <v>4612140</v>
      </c>
      <c r="C390" s="152">
        <v>46072</v>
      </c>
      <c r="D390" s="152">
        <f>((IF(Tabela1[[#This Row],[Início]]&lt;&gt;"",C390+E390-1,""))*1)*1</f>
        <v>46073</v>
      </c>
      <c r="E390" s="83">
        <v>2</v>
      </c>
      <c r="F390" s="83" t="s">
        <v>14</v>
      </c>
      <c r="G390" s="88" t="s">
        <v>149</v>
      </c>
      <c r="H390" s="83" t="str">
        <f>_xlfn.XLOOKUP(Tabela1[[#This Row],[Matrícula]],Equipe!B:B,Equipe!E:E,"ERRO",0)</f>
        <v>P83</v>
      </c>
      <c r="I390" s="83" t="str">
        <f>VLOOKUP(Tabela1[[#This Row],[Matrícula]],Equipe!B:F,5,0)</f>
        <v>Novo</v>
      </c>
    </row>
    <row r="391" spans="1:9">
      <c r="A391" s="83" t="s">
        <v>22</v>
      </c>
      <c r="B391" s="92">
        <f>_xlfn.XLOOKUP(A391,Equipe!H:H,Equipe!B:B,"",0)</f>
        <v>4608389</v>
      </c>
      <c r="C391" s="152">
        <v>46076</v>
      </c>
      <c r="D391" s="152">
        <f>((IF(Tabela1[[#This Row],[Início]]&lt;&gt;"",C391+E391-1,""))*1)*1</f>
        <v>46078</v>
      </c>
      <c r="E391" s="83">
        <v>3</v>
      </c>
      <c r="F391" s="83" t="s">
        <v>14</v>
      </c>
      <c r="G391" s="88" t="s">
        <v>272</v>
      </c>
      <c r="H391" s="83" t="str">
        <f>_xlfn.XLOOKUP(Tabela1[[#This Row],[Matrícula]],Equipe!B:B,Equipe!E:E,"ERRO",0)</f>
        <v>P80</v>
      </c>
      <c r="I391" s="83" t="str">
        <f>VLOOKUP(Tabela1[[#This Row],[Matrícula]],Equipe!B:F,5,0)</f>
        <v>Novo</v>
      </c>
    </row>
    <row r="392" spans="1:9" hidden="1">
      <c r="A392" s="83" t="s">
        <v>57</v>
      </c>
      <c r="B392" s="92">
        <f>_xlfn.XLOOKUP(A392,Equipe!H:H,Equipe!B:B,"",0)</f>
        <v>4608684</v>
      </c>
      <c r="C392" s="152">
        <v>46076</v>
      </c>
      <c r="D392" s="152">
        <f>((IF(Tabela1[[#This Row],[Início]]&lt;&gt;"",C392+E392-1,""))*1)*1</f>
        <v>46080</v>
      </c>
      <c r="E392" s="83">
        <v>5</v>
      </c>
      <c r="F392" s="83" t="s">
        <v>11</v>
      </c>
      <c r="G392" s="88" t="s">
        <v>273</v>
      </c>
      <c r="H392" s="83" t="str">
        <f>_xlfn.XLOOKUP(Tabela1[[#This Row],[Matrícula]],Equipe!B:B,Equipe!E:E,"ERRO",0)</f>
        <v>P82</v>
      </c>
      <c r="I392" s="83" t="str">
        <f>VLOOKUP(Tabela1[[#This Row],[Matrícula]],Equipe!B:F,5,0)</f>
        <v>Novo</v>
      </c>
    </row>
    <row r="393" spans="1:9" ht="72.599999999999994" hidden="1">
      <c r="A393" s="83" t="s">
        <v>16</v>
      </c>
      <c r="B393" s="92">
        <f>_xlfn.XLOOKUP(A393,Equipe!H:H,Equipe!B:B,"",0)</f>
        <v>4608544</v>
      </c>
      <c r="C393" s="152">
        <v>46076</v>
      </c>
      <c r="D393" s="152">
        <f>((IF(Tabela1[[#This Row],[Início]]&lt;&gt;"",C393+E393-1,""))*1)*1</f>
        <v>46077</v>
      </c>
      <c r="E393" s="83">
        <v>2</v>
      </c>
      <c r="F393" s="83" t="s">
        <v>11</v>
      </c>
      <c r="G393" s="88" t="s">
        <v>274</v>
      </c>
      <c r="H393" s="83" t="str">
        <f>_xlfn.XLOOKUP(Tabela1[[#This Row],[Matrícula]],Equipe!B:B,Equipe!E:E,"ERRO",0)</f>
        <v>P82</v>
      </c>
      <c r="I393" s="83" t="str">
        <f>VLOOKUP(Tabela1[[#This Row],[Matrícula]],Equipe!B:F,5,0)</f>
        <v>Novo</v>
      </c>
    </row>
    <row r="394" spans="1:9" ht="72.599999999999994">
      <c r="A394" s="83" t="s">
        <v>225</v>
      </c>
      <c r="B394" s="92">
        <f>_xlfn.XLOOKUP(A394,Equipe!H:H,Equipe!B:B,"",0)</f>
        <v>2448533</v>
      </c>
      <c r="C394" s="152">
        <v>46076</v>
      </c>
      <c r="D394" s="152">
        <f>((IF(Tabela1[[#This Row],[Início]]&lt;&gt;"",C394+E394-1,""))*1)*1</f>
        <v>46077</v>
      </c>
      <c r="E394" s="83">
        <v>2</v>
      </c>
      <c r="F394" s="83" t="s">
        <v>11</v>
      </c>
      <c r="G394" s="88" t="s">
        <v>274</v>
      </c>
      <c r="H394" s="83" t="str">
        <f>_xlfn.XLOOKUP(Tabela1[[#This Row],[Matrícula]],Equipe!B:B,Equipe!E:E,"ERRO",0)</f>
        <v>P80</v>
      </c>
      <c r="I394" s="83" t="str">
        <f>VLOOKUP(Tabela1[[#This Row],[Matrícula]],Equipe!B:F,5,0)</f>
        <v>Experiente</v>
      </c>
    </row>
    <row r="395" spans="1:9" hidden="1">
      <c r="A395" s="87" t="s">
        <v>28</v>
      </c>
      <c r="B395" s="109">
        <f>_xlfn.XLOOKUP(A395,Equipe!H:H,Equipe!B:B,"",0)</f>
        <v>2430855</v>
      </c>
      <c r="C395" s="152">
        <v>46076</v>
      </c>
      <c r="D395" s="152">
        <f>((IF(Tabela1[[#This Row],[Início]]&lt;&gt;"",C395+E395-1,""))*1)*1</f>
        <v>46087</v>
      </c>
      <c r="E395" s="87">
        <v>12</v>
      </c>
      <c r="F395" s="87" t="s">
        <v>232</v>
      </c>
      <c r="G395" s="93" t="s">
        <v>258</v>
      </c>
      <c r="H395" s="87" t="str">
        <f>_xlfn.XLOOKUP(Tabela1[[#This Row],[Matrícula]],Equipe!B:B,Equipe!E:E,"ERRO",0)</f>
        <v>PBAC</v>
      </c>
      <c r="I395" s="87" t="str">
        <f>VLOOKUP(Tabela1[[#This Row],[Matrícula]],Equipe!B:F,5,0)</f>
        <v>Experiente</v>
      </c>
    </row>
    <row r="396" spans="1:9" hidden="1">
      <c r="A396" s="83" t="s">
        <v>111</v>
      </c>
      <c r="B396" s="92">
        <f>_xlfn.XLOOKUP(A396,Equipe!H:H,Equipe!B:B,"",0)</f>
        <v>4612126</v>
      </c>
      <c r="C396" s="152">
        <v>46076</v>
      </c>
      <c r="D396" s="152">
        <v>46080</v>
      </c>
      <c r="E396" s="83">
        <v>5</v>
      </c>
      <c r="F396" s="83" t="s">
        <v>11</v>
      </c>
      <c r="G396" s="88" t="s">
        <v>275</v>
      </c>
      <c r="H396" s="83" t="str">
        <f>_xlfn.XLOOKUP(Tabela1[[#This Row],[Matrícula]],Equipe!B:B,Equipe!E:E,"ERRO",0)</f>
        <v>P82</v>
      </c>
      <c r="I396" s="83" t="str">
        <f>VLOOKUP(Tabela1[[#This Row],[Matrícula]],Equipe!B:F,5,0)</f>
        <v>Novo</v>
      </c>
    </row>
    <row r="397" spans="1:9" hidden="1">
      <c r="A397" s="83" t="s">
        <v>40</v>
      </c>
      <c r="B397" s="92">
        <f>_xlfn.XLOOKUP(A397,Equipe!H:H,Equipe!B:B,"",0)</f>
        <v>9724817</v>
      </c>
      <c r="C397" s="152">
        <v>46077</v>
      </c>
      <c r="D397" s="152">
        <f>((IF(Tabela1[[#This Row],[Início]]&lt;&gt;"",C397+E397-1,""))*1)*1</f>
        <v>46078</v>
      </c>
      <c r="E397" s="83">
        <v>2</v>
      </c>
      <c r="F397" s="83" t="s">
        <v>11</v>
      </c>
      <c r="G397" s="88" t="s">
        <v>276</v>
      </c>
      <c r="H397" s="83" t="str">
        <f>_xlfn.XLOOKUP(Tabela1[[#This Row],[Matrícula]],Equipe!B:B,Equipe!E:E,"ERRO",0)</f>
        <v>P82</v>
      </c>
      <c r="I397" s="83" t="str">
        <f>VLOOKUP(Tabela1[[#This Row],[Matrícula]],Equipe!B:F,5,0)</f>
        <v>Experiente</v>
      </c>
    </row>
    <row r="398" spans="1:9" hidden="1">
      <c r="A398" s="83" t="s">
        <v>31</v>
      </c>
      <c r="B398" s="92">
        <f>_xlfn.XLOOKUP(A398,Equipe!H:H,Equipe!B:B,"",0)</f>
        <v>1386344</v>
      </c>
      <c r="C398" s="152">
        <v>46077</v>
      </c>
      <c r="D398" s="152">
        <f>((IF(Tabela1[[#This Row],[Início]]&lt;&gt;"",C398+E398-1,""))*1)*1</f>
        <v>46090</v>
      </c>
      <c r="E398" s="83">
        <v>14</v>
      </c>
      <c r="F398" s="83" t="s">
        <v>17</v>
      </c>
      <c r="G398" s="88" t="s">
        <v>136</v>
      </c>
      <c r="H398" s="83" t="str">
        <f>_xlfn.XLOOKUP(Tabela1[[#This Row],[Matrícula]],Equipe!B:B,Equipe!E:E,"ERRO",0)</f>
        <v>P82</v>
      </c>
      <c r="I398" s="83" t="str">
        <f>VLOOKUP(Tabela1[[#This Row],[Matrícula]],Equipe!B:F,5,0)</f>
        <v>Experiente</v>
      </c>
    </row>
    <row r="399" spans="1:9" hidden="1">
      <c r="A399" s="83" t="s">
        <v>142</v>
      </c>
      <c r="B399" s="92">
        <f>_xlfn.XLOOKUP(A399,Equipe!H:H,Equipe!B:B,"",0)</f>
        <v>4612228</v>
      </c>
      <c r="C399" s="152">
        <v>46077</v>
      </c>
      <c r="D399" s="152">
        <f>((IF(Tabela1[[#This Row],[Início]]&lt;&gt;"",C399+E399-1,""))*1)*1</f>
        <v>46078</v>
      </c>
      <c r="E399" s="83">
        <v>2</v>
      </c>
      <c r="F399" s="83" t="s">
        <v>11</v>
      </c>
      <c r="G399" s="88" t="s">
        <v>276</v>
      </c>
      <c r="H399" s="83" t="str">
        <f>_xlfn.XLOOKUP(Tabela1[[#This Row],[Matrícula]],Equipe!B:B,Equipe!E:E,"ERRO",0)</f>
        <v>P82</v>
      </c>
      <c r="I399" s="83" t="str">
        <f>VLOOKUP(Tabela1[[#This Row],[Matrícula]],Equipe!B:F,5,0)</f>
        <v>Novo</v>
      </c>
    </row>
    <row r="400" spans="1:9">
      <c r="A400" s="83" t="s">
        <v>168</v>
      </c>
      <c r="B400" s="92">
        <f>_xlfn.XLOOKUP(A400,Equipe!H:H,Equipe!B:B,"",0)</f>
        <v>2440812</v>
      </c>
      <c r="C400" s="152">
        <v>46077</v>
      </c>
      <c r="D400" s="152">
        <f>((IF(Tabela1[[#This Row],[Início]]&lt;&gt;"",C400+E400-1,""))*1)*1</f>
        <v>46078</v>
      </c>
      <c r="E400" s="83">
        <v>2</v>
      </c>
      <c r="F400" s="83" t="s">
        <v>11</v>
      </c>
      <c r="G400" s="88" t="s">
        <v>276</v>
      </c>
      <c r="H400" s="83" t="str">
        <f>_xlfn.XLOOKUP(Tabela1[[#This Row],[Matrícula]],Equipe!B:B,Equipe!E:E,"ERRO",0)</f>
        <v>P80</v>
      </c>
      <c r="I400" s="83" t="str">
        <f>VLOOKUP(Tabela1[[#This Row],[Matrícula]],Equipe!B:F,5,0)</f>
        <v>Experiente</v>
      </c>
    </row>
    <row r="401" spans="1:9" hidden="1">
      <c r="A401" s="83" t="s">
        <v>113</v>
      </c>
      <c r="B401" s="92">
        <f>_xlfn.XLOOKUP(A401,Equipe!H:H,Equipe!B:B,"",0)</f>
        <v>4612192</v>
      </c>
      <c r="C401" s="152">
        <v>46077</v>
      </c>
      <c r="D401" s="152">
        <f>((IF(Tabela1[[#This Row],[Início]]&lt;&gt;"",C401+E401-1,""))*1)*1</f>
        <v>46078</v>
      </c>
      <c r="E401" s="83">
        <v>2</v>
      </c>
      <c r="F401" s="83" t="s">
        <v>11</v>
      </c>
      <c r="G401" s="88" t="s">
        <v>277</v>
      </c>
      <c r="H401" s="83" t="str">
        <f>_xlfn.XLOOKUP(Tabela1[[#This Row],[Matrícula]],Equipe!B:B,Equipe!E:E,"ERRO",0)</f>
        <v>P82</v>
      </c>
      <c r="I401" s="83" t="str">
        <f>VLOOKUP(Tabela1[[#This Row],[Matrícula]],Equipe!B:F,5,0)</f>
        <v>Novo</v>
      </c>
    </row>
    <row r="402" spans="1:9">
      <c r="A402" s="83" t="s">
        <v>104</v>
      </c>
      <c r="B402" s="92">
        <f>_xlfn.XLOOKUP(A402,Equipe!H:H,Equipe!B:B,"",0)</f>
        <v>4612098</v>
      </c>
      <c r="C402" s="152">
        <v>46078</v>
      </c>
      <c r="D402" s="152">
        <v>46098</v>
      </c>
      <c r="E402" s="83">
        <v>21</v>
      </c>
      <c r="F402" s="83" t="s">
        <v>14</v>
      </c>
      <c r="G402" s="88" t="s">
        <v>278</v>
      </c>
      <c r="H402" s="83" t="str">
        <f>_xlfn.XLOOKUP(Tabela1[[#This Row],[Matrícula]],Equipe!B:B,Equipe!E:E,"ERRO",0)</f>
        <v>P80</v>
      </c>
      <c r="I402" s="83" t="str">
        <f>VLOOKUP(Tabela1[[#This Row],[Matrícula]],Equipe!B:F,5,0)</f>
        <v>Novo</v>
      </c>
    </row>
    <row r="403" spans="1:9">
      <c r="A403" s="83" t="s">
        <v>104</v>
      </c>
      <c r="B403" s="92">
        <f>_xlfn.XLOOKUP(A403,Equipe!H:H,Equipe!B:B,"",0)</f>
        <v>4612098</v>
      </c>
      <c r="C403" s="154">
        <v>46078</v>
      </c>
      <c r="D403" s="151">
        <f>(IF(Tabela1[[#This Row],[Início]]&lt;&gt;"",C403+E403-1,""))*1</f>
        <v>46098</v>
      </c>
      <c r="E403" s="83">
        <v>21</v>
      </c>
      <c r="F403" s="87" t="s">
        <v>14</v>
      </c>
      <c r="G403" s="88" t="s">
        <v>14</v>
      </c>
      <c r="H403" s="83" t="str">
        <f>_xlfn.XLOOKUP(Tabela1[[#This Row],[Matrícula]],Equipe!B:B,Equipe!E:E,"ERRO",0)</f>
        <v>P80</v>
      </c>
      <c r="I403" s="87" t="str">
        <f>VLOOKUP(Tabela1[[#This Row],[Matrícula]],Equipe!B:F,5,0)</f>
        <v>Novo</v>
      </c>
    </row>
    <row r="404" spans="1:9" hidden="1">
      <c r="A404" s="119" t="s">
        <v>260</v>
      </c>
      <c r="B404" s="176">
        <v>4604625</v>
      </c>
      <c r="C404" s="152">
        <v>46078</v>
      </c>
      <c r="D404" s="152">
        <v>46093</v>
      </c>
      <c r="E404" s="131">
        <v>16</v>
      </c>
      <c r="F404" s="131" t="s">
        <v>29</v>
      </c>
      <c r="G404" s="132" t="s">
        <v>279</v>
      </c>
      <c r="H404" s="131" t="s">
        <v>261</v>
      </c>
      <c r="I404" s="87" t="str">
        <f>VLOOKUP(Tabela1[[#This Row],[Matrícula]],Equipe!B:F,5,0)</f>
        <v>Novo</v>
      </c>
    </row>
    <row r="405" spans="1:9">
      <c r="A405" s="83" t="s">
        <v>90</v>
      </c>
      <c r="B405" s="92">
        <f>_xlfn.XLOOKUP(A405,Equipe!H:H,Equipe!B:B,"",0)</f>
        <v>9683150</v>
      </c>
      <c r="C405" s="152">
        <v>46080</v>
      </c>
      <c r="D405" s="152">
        <f>((IF(Tabela1[[#This Row],[Início]]&lt;&gt;"",C405+E405-1,""))*1)*1</f>
        <v>46080</v>
      </c>
      <c r="E405" s="83">
        <v>1</v>
      </c>
      <c r="F405" s="83" t="s">
        <v>14</v>
      </c>
      <c r="G405" s="88" t="s">
        <v>14</v>
      </c>
      <c r="H405" s="83" t="str">
        <f>_xlfn.XLOOKUP(Tabela1[[#This Row],[Matrícula]],Equipe!B:B,Equipe!E:E,"ERRO",0)</f>
        <v>P80</v>
      </c>
      <c r="I405" s="83" t="str">
        <f>VLOOKUP(Tabela1[[#This Row],[Matrícula]],Equipe!B:F,5,0)</f>
        <v>Experiente</v>
      </c>
    </row>
    <row r="406" spans="1:9" hidden="1">
      <c r="A406" s="83" t="s">
        <v>10</v>
      </c>
      <c r="B406" s="92">
        <f>_xlfn.XLOOKUP(A406,Equipe!H:H,Equipe!B:B,"",0)</f>
        <v>4612393</v>
      </c>
      <c r="C406" s="152">
        <v>46080</v>
      </c>
      <c r="D406" s="152">
        <f>((IF(Tabela1[[#This Row],[Início]]&lt;&gt;"",C406+E406-1,""))*1)*1</f>
        <v>46083</v>
      </c>
      <c r="E406" s="83">
        <v>4</v>
      </c>
      <c r="F406" s="83" t="s">
        <v>17</v>
      </c>
      <c r="G406" s="88" t="s">
        <v>32</v>
      </c>
      <c r="H406" s="83" t="str">
        <f>_xlfn.XLOOKUP(Tabela1[[#This Row],[Matrícula]],Equipe!B:B,Equipe!E:E,"ERRO",0)</f>
        <v>P83</v>
      </c>
      <c r="I406" s="83" t="str">
        <f>VLOOKUP(Tabela1[[#This Row],[Matrícula]],Equipe!B:F,5,0)</f>
        <v>Novo</v>
      </c>
    </row>
    <row r="407" spans="1:9" hidden="1">
      <c r="A407" s="83" t="s">
        <v>142</v>
      </c>
      <c r="B407" s="92">
        <f>_xlfn.XLOOKUP(A407,Equipe!H:H,Equipe!B:B,"",0)</f>
        <v>4612228</v>
      </c>
      <c r="C407" s="152">
        <v>46080</v>
      </c>
      <c r="D407" s="152">
        <f>((IF(Tabela1[[#This Row],[Início]]&lt;&gt;"",C407+E407-1,""))*1)*1</f>
        <v>46090</v>
      </c>
      <c r="E407" s="83">
        <v>11</v>
      </c>
      <c r="F407" s="83" t="s">
        <v>17</v>
      </c>
      <c r="G407" s="88" t="s">
        <v>280</v>
      </c>
      <c r="H407" s="83" t="str">
        <f>_xlfn.XLOOKUP(Tabela1[[#This Row],[Matrícula]],Equipe!B:B,Equipe!E:E,"ERRO",0)</f>
        <v>P82</v>
      </c>
      <c r="I407" s="83" t="str">
        <f>VLOOKUP(Tabela1[[#This Row],[Matrícula]],Equipe!B:F,5,0)</f>
        <v>Novo</v>
      </c>
    </row>
    <row r="408" spans="1:9">
      <c r="A408" s="83" t="s">
        <v>116</v>
      </c>
      <c r="B408" s="83">
        <f>_xlfn.XLOOKUP(A408,Equipe!H:H,Equipe!B:B,"",0)</f>
        <v>4612171</v>
      </c>
      <c r="C408" s="152">
        <v>46083</v>
      </c>
      <c r="D408" s="152">
        <f>((IF(Tabela1[[#This Row],[Início]]&lt;&gt;"",C408+E408-1,""))*1)*1</f>
        <v>46094</v>
      </c>
      <c r="E408" s="83">
        <v>12</v>
      </c>
      <c r="F408" s="83" t="s">
        <v>11</v>
      </c>
      <c r="G408" s="88" t="s">
        <v>281</v>
      </c>
      <c r="H408" s="83" t="str">
        <f>_xlfn.XLOOKUP(Tabela1[[#This Row],[Matrícula]],Equipe!B:B,Equipe!E:E,"ERRO",0)</f>
        <v>P80</v>
      </c>
      <c r="I408" s="83" t="str">
        <f>VLOOKUP(Tabela1[[#This Row],[Matrícula]],Equipe!B:F,5,0)</f>
        <v>Novo</v>
      </c>
    </row>
    <row r="409" spans="1:9" hidden="1">
      <c r="A409" s="83" t="s">
        <v>57</v>
      </c>
      <c r="B409" s="92">
        <f>_xlfn.XLOOKUP(A409,Equipe!H:H,Equipe!B:B,"",0)</f>
        <v>4608684</v>
      </c>
      <c r="C409" s="152">
        <v>46083</v>
      </c>
      <c r="D409" s="152">
        <f>((IF(Tabela1[[#This Row],[Início]]&lt;&gt;"",C409+E409-1,""))*1)*1</f>
        <v>46094</v>
      </c>
      <c r="E409" s="83">
        <v>12</v>
      </c>
      <c r="F409" s="83" t="s">
        <v>11</v>
      </c>
      <c r="G409" s="93" t="s">
        <v>282</v>
      </c>
      <c r="H409" s="83" t="str">
        <f>_xlfn.XLOOKUP(Tabela1[[#This Row],[Matrícula]],Equipe!B:B,Equipe!E:E,"ERRO",0)</f>
        <v>P82</v>
      </c>
      <c r="I409" s="83" t="str">
        <f>VLOOKUP(Tabela1[[#This Row],[Matrícula]],Equipe!B:F,5,0)</f>
        <v>Novo</v>
      </c>
    </row>
    <row r="410" spans="1:9" hidden="1">
      <c r="A410" s="83" t="s">
        <v>16</v>
      </c>
      <c r="B410" s="92">
        <f>_xlfn.XLOOKUP(A410,Equipe!H:H,Equipe!B:B,"",0)</f>
        <v>4608544</v>
      </c>
      <c r="C410" s="152">
        <v>46083</v>
      </c>
      <c r="D410" s="152">
        <f>((IF(Tabela1[[#This Row],[Início]]&lt;&gt;"",C410+E410-1,""))*1)*1</f>
        <v>46102</v>
      </c>
      <c r="E410" s="83">
        <v>20</v>
      </c>
      <c r="F410" s="83" t="s">
        <v>232</v>
      </c>
      <c r="G410" s="88" t="s">
        <v>283</v>
      </c>
      <c r="H410" s="83" t="str">
        <f>_xlfn.XLOOKUP(Tabela1[[#This Row],[Matrícula]],Equipe!B:B,Equipe!E:E,"ERRO",0)</f>
        <v>P82</v>
      </c>
      <c r="I410" s="83" t="str">
        <f>VLOOKUP(Tabela1[[#This Row],[Matrícula]],Equipe!B:F,5,0)</f>
        <v>Novo</v>
      </c>
    </row>
    <row r="411" spans="1:9">
      <c r="A411" s="83" t="s">
        <v>108</v>
      </c>
      <c r="B411" s="92">
        <f>_xlfn.XLOOKUP(A411,Equipe!H:H,Equipe!B:B,"",0)</f>
        <v>4612243</v>
      </c>
      <c r="C411" s="152">
        <v>46083</v>
      </c>
      <c r="D411" s="152">
        <f>((IF(Tabela1[[#This Row],[Início]]&lt;&gt;"",C411+E411-1,""))*1)*1</f>
        <v>46094</v>
      </c>
      <c r="E411" s="83">
        <v>12</v>
      </c>
      <c r="F411" s="83" t="s">
        <v>11</v>
      </c>
      <c r="G411" s="88" t="s">
        <v>284</v>
      </c>
      <c r="H411" s="83" t="str">
        <f>_xlfn.XLOOKUP(Tabela1[[#This Row],[Matrícula]],Equipe!B:B,Equipe!E:E,"ERRO",0)</f>
        <v>P80</v>
      </c>
      <c r="I411" s="83" t="str">
        <f>VLOOKUP(Tabela1[[#This Row],[Matrícula]],Equipe!B:F,5,0)</f>
        <v>Novo</v>
      </c>
    </row>
    <row r="412" spans="1:9">
      <c r="A412" s="83" t="s">
        <v>225</v>
      </c>
      <c r="B412" s="92">
        <f>_xlfn.XLOOKUP(A412,Equipe!H:H,Equipe!B:B,"",0)</f>
        <v>2448533</v>
      </c>
      <c r="C412" s="152">
        <v>46083</v>
      </c>
      <c r="D412" s="152">
        <f>((IF(Tabela1[[#This Row],[Início]]&lt;&gt;"",C412+E412-1,""))*1)*1</f>
        <v>46094</v>
      </c>
      <c r="E412" s="83">
        <v>12</v>
      </c>
      <c r="F412" s="83" t="s">
        <v>11</v>
      </c>
      <c r="G412" s="88" t="s">
        <v>281</v>
      </c>
      <c r="H412" s="83" t="str">
        <f>_xlfn.XLOOKUP(Tabela1[[#This Row],[Matrícula]],Equipe!B:B,Equipe!E:E,"ERRO",0)</f>
        <v>P80</v>
      </c>
      <c r="I412" s="83" t="str">
        <f>VLOOKUP(Tabela1[[#This Row],[Matrícula]],Equipe!B:F,5,0)</f>
        <v>Experiente</v>
      </c>
    </row>
    <row r="413" spans="1:9">
      <c r="A413" s="83" t="s">
        <v>109</v>
      </c>
      <c r="B413" s="92">
        <f>_xlfn.XLOOKUP(A413,Equipe!H:H,Equipe!B:B,"",0)</f>
        <v>4612389</v>
      </c>
      <c r="C413" s="152">
        <v>46083</v>
      </c>
      <c r="D413" s="152">
        <f>((IF(Tabela1[[#This Row],[Início]]&lt;&gt;"",C413+E413-1,""))*1)*1</f>
        <v>46094</v>
      </c>
      <c r="E413" s="83">
        <v>12</v>
      </c>
      <c r="F413" s="83" t="s">
        <v>11</v>
      </c>
      <c r="G413" s="88" t="s">
        <v>282</v>
      </c>
      <c r="H413" s="83" t="str">
        <f>_xlfn.XLOOKUP(Tabela1[[#This Row],[Matrícula]],Equipe!B:B,Equipe!E:E,"ERRO",0)</f>
        <v>P80</v>
      </c>
      <c r="I413" s="83" t="str">
        <f>VLOOKUP(Tabela1[[#This Row],[Matrícula]],Equipe!B:F,5,0)</f>
        <v>Novo</v>
      </c>
    </row>
    <row r="414" spans="1:9" ht="29.1" hidden="1">
      <c r="A414" s="83" t="s">
        <v>113</v>
      </c>
      <c r="B414" s="92">
        <f>_xlfn.XLOOKUP(A414,Equipe!H:H,Equipe!B:B,"",0)</f>
        <v>4612192</v>
      </c>
      <c r="C414" s="152">
        <v>46083</v>
      </c>
      <c r="D414" s="152">
        <f>((IF(Tabela1[[#This Row],[Início]]&lt;&gt;"",C414+E414-1,""))*1)*1</f>
        <v>46094</v>
      </c>
      <c r="E414" s="83">
        <v>12</v>
      </c>
      <c r="F414" s="83" t="s">
        <v>11</v>
      </c>
      <c r="G414" s="88" t="s">
        <v>285</v>
      </c>
      <c r="H414" s="83" t="str">
        <f>_xlfn.XLOOKUP(Tabela1[[#This Row],[Matrícula]],Equipe!B:B,Equipe!E:E,"ERRO",0)</f>
        <v>P82</v>
      </c>
      <c r="I414" s="83" t="str">
        <f>VLOOKUP(Tabela1[[#This Row],[Matrícula]],Equipe!B:F,5,0)</f>
        <v>Novo</v>
      </c>
    </row>
    <row r="415" spans="1:9" hidden="1">
      <c r="A415" s="83" t="s">
        <v>286</v>
      </c>
      <c r="B415" s="109">
        <f>_xlfn.XLOOKUP(A415,Equipe!H:H,Equipe!B:B,"",0)</f>
        <v>4606308</v>
      </c>
      <c r="C415" s="152">
        <v>46083</v>
      </c>
      <c r="D415" s="151">
        <f>(IF(Tabela1[[#This Row],[Início]]&lt;&gt;"",C415+E415-1,""))*1</f>
        <v>46094</v>
      </c>
      <c r="E415" s="83">
        <v>12</v>
      </c>
      <c r="F415" s="87" t="s">
        <v>11</v>
      </c>
      <c r="G415" s="88" t="s">
        <v>282</v>
      </c>
      <c r="H415" s="87" t="str">
        <f>_xlfn.XLOOKUP(Tabela1[[#This Row],[Matrícula]],Equipe!B:B,Equipe!E:E,"ERRO",0)</f>
        <v>PBAC</v>
      </c>
      <c r="I415" s="87" t="str">
        <f>VLOOKUP(Tabela1[[#This Row],[Matrícula]],Equipe!B:F,5,0)</f>
        <v>Novo</v>
      </c>
    </row>
    <row r="416" spans="1:9" hidden="1">
      <c r="A416" s="83" t="s">
        <v>10</v>
      </c>
      <c r="B416" s="92">
        <f>_xlfn.XLOOKUP(A416,Equipe!H:H,Equipe!B:B,"",0)</f>
        <v>4612393</v>
      </c>
      <c r="C416" s="152">
        <v>46084</v>
      </c>
      <c r="D416" s="152">
        <f>((IF(Tabela1[[#This Row],[Início]]&lt;&gt;"",C416+E416-1,""))*1)*1</f>
        <v>46089</v>
      </c>
      <c r="E416" s="83">
        <v>6</v>
      </c>
      <c r="F416" s="83" t="s">
        <v>14</v>
      </c>
      <c r="G416" s="88" t="s">
        <v>19</v>
      </c>
      <c r="H416" s="83" t="str">
        <f>_xlfn.XLOOKUP(Tabela1[[#This Row],[Matrícula]],Equipe!B:B,Equipe!E:E,"ERRO",0)</f>
        <v>P83</v>
      </c>
      <c r="I416" s="83" t="str">
        <f>VLOOKUP(Tabela1[[#This Row],[Matrícula]],Equipe!B:F,5,0)</f>
        <v>Novo</v>
      </c>
    </row>
    <row r="417" spans="1:9" hidden="1">
      <c r="A417" s="83" t="s">
        <v>111</v>
      </c>
      <c r="B417" s="92">
        <f>_xlfn.XLOOKUP(A417,Equipe!H:H,Equipe!B:B,"",0)</f>
        <v>4612126</v>
      </c>
      <c r="C417" s="152">
        <v>46084</v>
      </c>
      <c r="D417" s="152">
        <f>((IF(Tabela1[[#This Row],[Início]]&lt;&gt;"",C417+E417-1,""))*1)*1</f>
        <v>46097</v>
      </c>
      <c r="E417" s="83">
        <v>14</v>
      </c>
      <c r="F417" s="83" t="s">
        <v>17</v>
      </c>
      <c r="G417" s="88" t="s">
        <v>181</v>
      </c>
      <c r="H417" s="83" t="str">
        <f>_xlfn.XLOOKUP(Tabela1[[#This Row],[Matrícula]],Equipe!B:B,Equipe!E:E,"ERRO",0)</f>
        <v>P82</v>
      </c>
      <c r="I417" s="83" t="str">
        <f>VLOOKUP(Tabela1[[#This Row],[Matrícula]],Equipe!B:F,5,0)</f>
        <v>Novo</v>
      </c>
    </row>
    <row r="418" spans="1:9">
      <c r="A418" s="83" t="s">
        <v>90</v>
      </c>
      <c r="B418" s="92">
        <f>_xlfn.XLOOKUP(A418,Equipe!H:H,Equipe!B:B,"",0)</f>
        <v>9683150</v>
      </c>
      <c r="C418" s="152">
        <v>46085</v>
      </c>
      <c r="D418" s="152">
        <f>((IF(Tabela1[[#This Row],[Início]]&lt;&gt;"",C418+E418-1,""))*1)*1</f>
        <v>46085</v>
      </c>
      <c r="E418" s="83">
        <v>1</v>
      </c>
      <c r="F418" s="83" t="s">
        <v>14</v>
      </c>
      <c r="G418" s="88" t="s">
        <v>14</v>
      </c>
      <c r="H418" s="83" t="str">
        <f>_xlfn.XLOOKUP(Tabela1[[#This Row],[Matrícula]],Equipe!B:B,Equipe!E:E,"ERRO",0)</f>
        <v>P80</v>
      </c>
      <c r="I418" s="83" t="str">
        <f>VLOOKUP(Tabela1[[#This Row],[Matrícula]],Equipe!B:F,5,0)</f>
        <v>Experiente</v>
      </c>
    </row>
    <row r="419" spans="1:9">
      <c r="A419" s="83" t="s">
        <v>264</v>
      </c>
      <c r="B419" s="92">
        <f>_xlfn.XLOOKUP(A419,Equipe!H:H,Equipe!B:B,"",0)</f>
        <v>9678697</v>
      </c>
      <c r="C419" s="154">
        <v>46086</v>
      </c>
      <c r="D419" s="150">
        <f>(IF(Tabela1[[#This Row],[Início]]&lt;&gt;"",C419+E419-1,""))*1</f>
        <v>46099</v>
      </c>
      <c r="E419" s="83">
        <v>14</v>
      </c>
      <c r="F419" s="83" t="s">
        <v>17</v>
      </c>
      <c r="G419" s="88" t="s">
        <v>162</v>
      </c>
      <c r="H419" s="83" t="str">
        <f>_xlfn.XLOOKUP(Tabela1[[#This Row],[Matrícula]],Equipe!B:B,Equipe!E:E,"ERRO",0)</f>
        <v>P80</v>
      </c>
      <c r="I419" s="83" t="str">
        <f>VLOOKUP(Tabela1[[#This Row],[Matrícula]],Equipe!B:F,5,0)</f>
        <v>Experiente</v>
      </c>
    </row>
    <row r="420" spans="1:9" hidden="1">
      <c r="A420" s="83" t="s">
        <v>26</v>
      </c>
      <c r="B420" s="92" t="str">
        <f>_xlfn.XLOOKUP(A420,Equipe!H:H,Equipe!B:B,"",0)</f>
        <v/>
      </c>
      <c r="C420" s="152">
        <v>46086</v>
      </c>
      <c r="D420" s="152">
        <f>((IF(Tabela1[[#This Row],[Início]]&lt;&gt;"",C420+E420-1,""))*1)*1</f>
        <v>46099</v>
      </c>
      <c r="E420" s="83">
        <v>14</v>
      </c>
      <c r="F420" s="83" t="s">
        <v>17</v>
      </c>
      <c r="G420" s="88" t="s">
        <v>280</v>
      </c>
      <c r="H420" s="83" t="str">
        <f>_xlfn.XLOOKUP(Tabela1[[#This Row],[Matrícula]],Equipe!B:B,Equipe!E:E,"ERRO",0)</f>
        <v>ERRO</v>
      </c>
      <c r="I420" s="83" t="e">
        <f>VLOOKUP(Tabela1[[#This Row],[Matrícula]],Equipe!B:F,5,0)</f>
        <v>#N/A</v>
      </c>
    </row>
    <row r="421" spans="1:9">
      <c r="A421" s="83" t="s">
        <v>13</v>
      </c>
      <c r="B421" s="92">
        <f>_xlfn.XLOOKUP(A421,Equipe!H:H,Equipe!B:B,"",0)</f>
        <v>9762281</v>
      </c>
      <c r="C421" s="154">
        <v>46087</v>
      </c>
      <c r="D421" s="150">
        <f>(IF(Tabela1[[#This Row],[Início]]&lt;&gt;"",C421+E421-1,""))*1</f>
        <v>46096</v>
      </c>
      <c r="E421" s="83">
        <v>10</v>
      </c>
      <c r="F421" s="83" t="s">
        <v>232</v>
      </c>
      <c r="G421" s="88"/>
      <c r="H421" s="83" t="str">
        <f>_xlfn.XLOOKUP(Tabela1[[#This Row],[Matrícula]],Equipe!B:B,Equipe!E:E,"ERRO",0)</f>
        <v>P80</v>
      </c>
      <c r="I421" s="83" t="str">
        <f>VLOOKUP(Tabela1[[#This Row],[Matrícula]],Equipe!B:F,5,0)</f>
        <v>Experiente</v>
      </c>
    </row>
    <row r="422" spans="1:9" ht="29.1" hidden="1">
      <c r="A422" s="83" t="s">
        <v>205</v>
      </c>
      <c r="B422" s="92">
        <f>_xlfn.XLOOKUP(A422,Equipe!H:H,Equipe!B:B,"",0)</f>
        <v>1385950</v>
      </c>
      <c r="C422" s="152">
        <v>46090</v>
      </c>
      <c r="D422" s="152">
        <f>((IF(Tabela1[[#This Row],[Início]]&lt;&gt;"",C422+E422-1,""))*1)*1</f>
        <v>46094</v>
      </c>
      <c r="E422" s="83">
        <v>5</v>
      </c>
      <c r="F422" s="83" t="s">
        <v>11</v>
      </c>
      <c r="G422" s="88" t="s">
        <v>287</v>
      </c>
      <c r="H422" s="83" t="str">
        <f>_xlfn.XLOOKUP(Tabela1[[#This Row],[Matrícula]],Equipe!B:B,Equipe!E:E,"ERRO",0)</f>
        <v>P82</v>
      </c>
      <c r="I422" s="83" t="str">
        <f>VLOOKUP(Tabela1[[#This Row],[Matrícula]],Equipe!B:F,5,0)</f>
        <v>Experiente</v>
      </c>
    </row>
    <row r="423" spans="1:9" hidden="1">
      <c r="A423" s="83" t="s">
        <v>37</v>
      </c>
      <c r="B423" s="92">
        <f>_xlfn.XLOOKUP(A423,Equipe!H:H,Equipe!B:B,"",0)</f>
        <v>2493288</v>
      </c>
      <c r="C423" s="152">
        <v>46090</v>
      </c>
      <c r="D423" s="152">
        <f>((IF(Tabela1[[#This Row],[Início]]&lt;&gt;"",C423+E423-1,""))*1)*1</f>
        <v>46094</v>
      </c>
      <c r="E423" s="83">
        <v>5</v>
      </c>
      <c r="F423" s="83" t="s">
        <v>11</v>
      </c>
      <c r="G423" s="88" t="s">
        <v>288</v>
      </c>
      <c r="H423" s="83" t="str">
        <f>_xlfn.XLOOKUP(Tabela1[[#This Row],[Matrícula]],Equipe!B:B,Equipe!E:E,"ERRO",0)</f>
        <v>PBAC</v>
      </c>
      <c r="I423" s="83" t="str">
        <f>VLOOKUP(Tabela1[[#This Row],[Matrícula]],Equipe!B:F,5,0)</f>
        <v>Experiente</v>
      </c>
    </row>
    <row r="424" spans="1:9" ht="29.1" hidden="1">
      <c r="A424" s="83" t="s">
        <v>53</v>
      </c>
      <c r="B424" s="92">
        <f>_xlfn.XLOOKUP(A424,Equipe!H:H,Equipe!B:B,"",0)</f>
        <v>4608780</v>
      </c>
      <c r="C424" s="152">
        <v>46090</v>
      </c>
      <c r="D424" s="152">
        <f>((IF(Tabela1[[#This Row],[Início]]&lt;&gt;"",C424+E424-1,""))*1)*1</f>
        <v>46094</v>
      </c>
      <c r="E424" s="83">
        <v>5</v>
      </c>
      <c r="F424" s="83" t="s">
        <v>11</v>
      </c>
      <c r="G424" s="88" t="s">
        <v>287</v>
      </c>
      <c r="H424" s="83" t="str">
        <f>_xlfn.XLOOKUP(Tabela1[[#This Row],[Matrícula]],Equipe!B:B,Equipe!E:E,"ERRO",0)</f>
        <v>P83</v>
      </c>
      <c r="I424" s="83" t="str">
        <f>VLOOKUP(Tabela1[[#This Row],[Matrícula]],Equipe!B:F,5,0)</f>
        <v>Novo</v>
      </c>
    </row>
    <row r="425" spans="1:9" ht="29.1" hidden="1">
      <c r="A425" s="83" t="s">
        <v>87</v>
      </c>
      <c r="B425" s="92">
        <f>_xlfn.XLOOKUP(A425,Equipe!H:H,Equipe!B:B,"",0)</f>
        <v>2475130</v>
      </c>
      <c r="C425" s="152">
        <v>46090</v>
      </c>
      <c r="D425" s="152">
        <v>46094</v>
      </c>
      <c r="E425" s="83">
        <v>5</v>
      </c>
      <c r="F425" s="83" t="s">
        <v>11</v>
      </c>
      <c r="G425" s="88" t="s">
        <v>287</v>
      </c>
      <c r="H425" s="83" t="str">
        <f>_xlfn.XLOOKUP(Tabela1[[#This Row],[Matrícula]],Equipe!B:B,Equipe!E:E,"ERRO",0)</f>
        <v>P83</v>
      </c>
      <c r="I425" s="83" t="str">
        <f>VLOOKUP(Tabela1[[#This Row],[Matrícula]],Equipe!B:F,5,0)</f>
        <v>Experiente</v>
      </c>
    </row>
    <row r="426" spans="1:9">
      <c r="A426" s="83" t="s">
        <v>36</v>
      </c>
      <c r="B426" s="92">
        <f>_xlfn.XLOOKUP(A426,Equipe!H:H,Equipe!B:B,"",0)</f>
        <v>4608721</v>
      </c>
      <c r="C426" s="154">
        <v>46090</v>
      </c>
      <c r="D426" s="150">
        <f>(IF(Tabela1[[#This Row],[Início]]&lt;&gt;"",C426+E426-1,""))*1</f>
        <v>46094</v>
      </c>
      <c r="E426" s="83">
        <v>5</v>
      </c>
      <c r="F426" s="83" t="s">
        <v>11</v>
      </c>
      <c r="G426" s="93" t="s">
        <v>289</v>
      </c>
      <c r="H426" s="83" t="str">
        <f>_xlfn.XLOOKUP(Tabela1[[#This Row],[Matrícula]],Equipe!B:B,Equipe!E:E,"ERRO",0)</f>
        <v>P80</v>
      </c>
      <c r="I426" s="83" t="str">
        <f>VLOOKUP(Tabela1[[#This Row],[Matrícula]],Equipe!B:F,5,0)</f>
        <v>Novo</v>
      </c>
    </row>
    <row r="427" spans="1:9" hidden="1">
      <c r="A427" s="83" t="s">
        <v>31</v>
      </c>
      <c r="B427" s="92">
        <f>_xlfn.XLOOKUP(A427,Equipe!H:H,Equipe!B:B,"",0)</f>
        <v>1386344</v>
      </c>
      <c r="C427" s="152">
        <v>46091</v>
      </c>
      <c r="D427" s="152">
        <f>((IF(Tabela1[[#This Row],[Início]]&lt;&gt;"",C427+E427-1,""))*1)*1</f>
        <v>46110</v>
      </c>
      <c r="E427" s="83">
        <v>20</v>
      </c>
      <c r="F427" s="83" t="s">
        <v>14</v>
      </c>
      <c r="G427" s="88" t="s">
        <v>290</v>
      </c>
      <c r="H427" s="83" t="str">
        <f>_xlfn.XLOOKUP(Tabela1[[#This Row],[Matrícula]],Equipe!B:B,Equipe!E:E,"ERRO",0)</f>
        <v>P82</v>
      </c>
      <c r="I427" s="83" t="str">
        <f>VLOOKUP(Tabela1[[#This Row],[Matrícula]],Equipe!B:F,5,0)</f>
        <v>Experiente</v>
      </c>
    </row>
    <row r="428" spans="1:9" hidden="1">
      <c r="A428" s="83" t="s">
        <v>142</v>
      </c>
      <c r="B428" s="92">
        <f>_xlfn.XLOOKUP(A428,Equipe!H:H,Equipe!B:B,"",0)</f>
        <v>4612228</v>
      </c>
      <c r="C428" s="152">
        <v>46091</v>
      </c>
      <c r="D428" s="152">
        <f>((IF(Tabela1[[#This Row],[Início]]&lt;&gt;"",C428+E428-1,""))*1)*1</f>
        <v>46106</v>
      </c>
      <c r="E428" s="83">
        <v>16</v>
      </c>
      <c r="F428" s="83" t="s">
        <v>14</v>
      </c>
      <c r="G428" s="88" t="s">
        <v>291</v>
      </c>
      <c r="H428" s="83" t="str">
        <f>_xlfn.XLOOKUP(Tabela1[[#This Row],[Matrícula]],Equipe!B:B,Equipe!E:E,"ERRO",0)</f>
        <v>P82</v>
      </c>
      <c r="I428" s="83" t="str">
        <f>VLOOKUP(Tabela1[[#This Row],[Matrícula]],Equipe!B:F,5,0)</f>
        <v>Novo</v>
      </c>
    </row>
    <row r="429" spans="1:9" hidden="1">
      <c r="A429" s="83" t="s">
        <v>207</v>
      </c>
      <c r="B429" s="92">
        <f>_xlfn.XLOOKUP(A429,Equipe!H:H,Equipe!B:B,"",0)</f>
        <v>1386288</v>
      </c>
      <c r="C429" s="152">
        <v>46093</v>
      </c>
      <c r="D429" s="152">
        <v>46094</v>
      </c>
      <c r="E429" s="83">
        <v>2</v>
      </c>
      <c r="F429" s="83" t="s">
        <v>14</v>
      </c>
      <c r="G429" s="88" t="s">
        <v>292</v>
      </c>
      <c r="H429" s="83" t="str">
        <f>_xlfn.XLOOKUP(Tabela1[[#This Row],[Matrícula]],Equipe!B:B,Equipe!E:E,"ERRO",0)</f>
        <v>P83</v>
      </c>
      <c r="I429" s="83" t="str">
        <f>VLOOKUP(Tabela1[[#This Row],[Matrícula]],Equipe!B:F,5,0)</f>
        <v>Experiente</v>
      </c>
    </row>
    <row r="430" spans="1:9">
      <c r="A430" s="87" t="s">
        <v>13</v>
      </c>
      <c r="B430" s="109">
        <f>_xlfn.XLOOKUP(A430,Equipe!H:H,Equipe!B:B,"",0)</f>
        <v>9762281</v>
      </c>
      <c r="C430" s="155">
        <v>46093</v>
      </c>
      <c r="D430" s="151">
        <f>(IF(Tabela1[[#This Row],[Início]]&lt;&gt;"",C430+E430-1,""))*1</f>
        <v>46094</v>
      </c>
      <c r="E430" s="87">
        <v>2</v>
      </c>
      <c r="F430" s="87" t="s">
        <v>14</v>
      </c>
      <c r="G430" s="93" t="s">
        <v>293</v>
      </c>
      <c r="H430" s="87" t="str">
        <f>_xlfn.XLOOKUP(Tabela1[[#This Row],[Matrícula]],Equipe!B:B,Equipe!E:E,"ERRO",0)</f>
        <v>P80</v>
      </c>
      <c r="I430" s="87" t="str">
        <f>VLOOKUP(Tabela1[[#This Row],[Matrícula]],Equipe!B:F,5,0)</f>
        <v>Experiente</v>
      </c>
    </row>
    <row r="431" spans="1:9" hidden="1">
      <c r="A431" s="83" t="s">
        <v>34</v>
      </c>
      <c r="B431" s="92">
        <v>4608474</v>
      </c>
      <c r="C431" s="154">
        <v>46094</v>
      </c>
      <c r="D431" s="150">
        <v>46104</v>
      </c>
      <c r="E431" s="88">
        <v>11</v>
      </c>
      <c r="F431" s="133" t="s">
        <v>17</v>
      </c>
      <c r="G431" s="134" t="s">
        <v>181</v>
      </c>
      <c r="H431" s="83" t="str">
        <f>_xlfn.XLOOKUP(Tabela1[[#This Row],[Matrícula]],Equipe!B:B,Equipe!E:E,"ERRO",0)</f>
        <v>P82</v>
      </c>
      <c r="I431" s="83" t="str">
        <f>VLOOKUP(Tabela1[[#This Row],[Matrícula]],Equipe!B:F,5,0)</f>
        <v>Novo</v>
      </c>
    </row>
    <row r="432" spans="1:9" hidden="1">
      <c r="A432" s="122" t="s">
        <v>10</v>
      </c>
      <c r="B432" s="127">
        <v>4612393</v>
      </c>
      <c r="C432" s="178">
        <v>46096</v>
      </c>
      <c r="D432" s="150">
        <f>(IF(Tabela1[[#This Row],[Início]]&lt;&gt;"",C432+E432-1,""))*1</f>
        <v>46104</v>
      </c>
      <c r="E432" s="133">
        <v>9</v>
      </c>
      <c r="F432" s="133" t="s">
        <v>17</v>
      </c>
      <c r="G432" s="134" t="s">
        <v>181</v>
      </c>
      <c r="H432" s="133" t="s">
        <v>294</v>
      </c>
      <c r="I432" s="87" t="str">
        <f>VLOOKUP(Tabela1[[#This Row],[Matrícula]],Equipe!B:F,5,0)</f>
        <v>Novo</v>
      </c>
    </row>
    <row r="433" spans="1:9" hidden="1">
      <c r="A433" s="83" t="s">
        <v>37</v>
      </c>
      <c r="B433" s="92">
        <f>_xlfn.XLOOKUP(A433,Equipe!H:H,Equipe!B:B,"",0)</f>
        <v>2493288</v>
      </c>
      <c r="C433" s="152">
        <v>46097</v>
      </c>
      <c r="D433" s="152">
        <f>((IF(Tabela1[[#This Row],[Início]]&lt;&gt;"",C433+E433-1,""))*1)*1</f>
        <v>46098</v>
      </c>
      <c r="E433" s="83">
        <v>2</v>
      </c>
      <c r="F433" s="83" t="s">
        <v>11</v>
      </c>
      <c r="G433" s="88" t="s">
        <v>295</v>
      </c>
      <c r="H433" s="83" t="str">
        <f>_xlfn.XLOOKUP(Tabela1[[#This Row],[Matrícula]],Equipe!B:B,Equipe!E:E,"ERRO",0)</f>
        <v>PBAC</v>
      </c>
      <c r="I433" s="83" t="str">
        <f>VLOOKUP(Tabela1[[#This Row],[Matrícula]],Equipe!B:F,5,0)</f>
        <v>Experiente</v>
      </c>
    </row>
    <row r="434" spans="1:9">
      <c r="A434" s="83" t="s">
        <v>35</v>
      </c>
      <c r="B434" s="92">
        <f>_xlfn.XLOOKUP(A434,Equipe!H:H,Equipe!B:B,"",0)</f>
        <v>9842940</v>
      </c>
      <c r="C434" s="152">
        <v>46097</v>
      </c>
      <c r="D434" s="152">
        <f>((IF(Tabela1[[#This Row],[Início]]&lt;&gt;"",C434+E434-1,""))*1)*1</f>
        <v>46114</v>
      </c>
      <c r="E434" s="83">
        <v>18</v>
      </c>
      <c r="F434" s="87" t="s">
        <v>232</v>
      </c>
      <c r="G434" s="88" t="s">
        <v>296</v>
      </c>
      <c r="H434" s="83" t="str">
        <f>_xlfn.XLOOKUP(Tabela1[[#This Row],[Matrícula]],Equipe!B:B,Equipe!E:E,"ERRO",0)</f>
        <v>P80</v>
      </c>
      <c r="I434" s="83" t="str">
        <f>VLOOKUP(Tabela1[[#This Row],[Matrícula]],Equipe!B:F,5,0)</f>
        <v>Novo</v>
      </c>
    </row>
    <row r="435" spans="1:9" hidden="1">
      <c r="A435" s="83" t="s">
        <v>128</v>
      </c>
      <c r="B435" s="92">
        <f>_xlfn.XLOOKUP(A435,Equipe!H:H,Equipe!B:B,"",0)</f>
        <v>229316</v>
      </c>
      <c r="C435" s="152">
        <v>46097</v>
      </c>
      <c r="D435" s="152">
        <f>((IF(Tabela1[[#This Row],[Início]]&lt;&gt;"",C435+E435-1,""))*1)*1</f>
        <v>46101</v>
      </c>
      <c r="E435" s="83">
        <v>5</v>
      </c>
      <c r="F435" s="83" t="s">
        <v>11</v>
      </c>
      <c r="G435" s="88" t="s">
        <v>297</v>
      </c>
      <c r="H435" s="83" t="str">
        <f>_xlfn.XLOOKUP(Tabela1[[#This Row],[Matrícula]],Equipe!B:B,Equipe!E:E,"ERRO",0)</f>
        <v>PBAC</v>
      </c>
      <c r="I435" s="83" t="str">
        <f>VLOOKUP(Tabela1[[#This Row],[Matrícula]],Equipe!B:F,5,0)</f>
        <v>Experiente</v>
      </c>
    </row>
    <row r="436" spans="1:9">
      <c r="A436" s="83" t="s">
        <v>168</v>
      </c>
      <c r="B436" s="92">
        <f>_xlfn.XLOOKUP(A436,Equipe!H:H,Equipe!B:B,"",0)</f>
        <v>2440812</v>
      </c>
      <c r="C436" s="152">
        <v>46097</v>
      </c>
      <c r="D436" s="152">
        <f>((IF(Tabela1[[#This Row],[Início]]&lt;&gt;"",C436+E436-1,""))*1)*1</f>
        <v>46098</v>
      </c>
      <c r="E436" s="83">
        <v>2</v>
      </c>
      <c r="F436" s="83" t="s">
        <v>11</v>
      </c>
      <c r="G436" s="93" t="s">
        <v>298</v>
      </c>
      <c r="H436" s="83" t="str">
        <f>_xlfn.XLOOKUP(Tabela1[[#This Row],[Matrícula]],Equipe!B:B,Equipe!E:E,"ERRO",0)</f>
        <v>P80</v>
      </c>
      <c r="I436" s="83" t="str">
        <f>VLOOKUP(Tabela1[[#This Row],[Matrícula]],Equipe!B:F,5,0)</f>
        <v>Experiente</v>
      </c>
    </row>
    <row r="437" spans="1:9" hidden="1">
      <c r="A437" s="83" t="s">
        <v>53</v>
      </c>
      <c r="B437" s="92">
        <f>_xlfn.XLOOKUP(A437,Equipe!H:H,Equipe!B:B,"",0)</f>
        <v>4608780</v>
      </c>
      <c r="C437" s="152">
        <v>46097</v>
      </c>
      <c r="D437" s="152">
        <f>((IF(Tabela1[[#This Row],[Início]]&lt;&gt;"",C437+E437-1,""))*1)*1</f>
        <v>46098</v>
      </c>
      <c r="E437" s="83">
        <v>2</v>
      </c>
      <c r="F437" s="83" t="s">
        <v>11</v>
      </c>
      <c r="G437" s="88" t="s">
        <v>295</v>
      </c>
      <c r="H437" s="83" t="str">
        <f>_xlfn.XLOOKUP(Tabela1[[#This Row],[Matrícula]],Equipe!B:B,Equipe!E:E,"ERRO",0)</f>
        <v>P83</v>
      </c>
      <c r="I437" s="83" t="str">
        <f>VLOOKUP(Tabela1[[#This Row],[Matrícula]],Equipe!B:F,5,0)</f>
        <v>Novo</v>
      </c>
    </row>
    <row r="438" spans="1:9" hidden="1">
      <c r="A438" s="83" t="s">
        <v>87</v>
      </c>
      <c r="B438" s="92">
        <f>_xlfn.XLOOKUP(A438,Equipe!H:H,Equipe!B:B,"",0)</f>
        <v>2475130</v>
      </c>
      <c r="C438" s="152">
        <v>46097</v>
      </c>
      <c r="D438" s="152">
        <v>46098</v>
      </c>
      <c r="E438" s="83">
        <v>2</v>
      </c>
      <c r="F438" s="83" t="s">
        <v>11</v>
      </c>
      <c r="G438" s="88" t="s">
        <v>295</v>
      </c>
      <c r="H438" s="83" t="str">
        <f>_xlfn.XLOOKUP(Tabela1[[#This Row],[Matrícula]],Equipe!B:B,Equipe!E:E,"ERRO",0)</f>
        <v>P83</v>
      </c>
      <c r="I438" s="83" t="str">
        <f>VLOOKUP(Tabela1[[#This Row],[Matrícula]],Equipe!B:F,5,0)</f>
        <v>Experiente</v>
      </c>
    </row>
    <row r="439" spans="1:9">
      <c r="A439" s="83" t="s">
        <v>36</v>
      </c>
      <c r="B439" s="92">
        <f>_xlfn.XLOOKUP(A439,Equipe!H:H,Equipe!B:B,"",0)</f>
        <v>4608721</v>
      </c>
      <c r="C439" s="154">
        <v>46097</v>
      </c>
      <c r="D439" s="150">
        <f>(IF(Tabela1[[#This Row],[Início]]&lt;&gt;"",C439+E439-1,""))*1</f>
        <v>46098</v>
      </c>
      <c r="E439" s="83">
        <v>2</v>
      </c>
      <c r="F439" s="83" t="s">
        <v>11</v>
      </c>
      <c r="G439" s="93" t="s">
        <v>295</v>
      </c>
      <c r="H439" s="83" t="str">
        <f>_xlfn.XLOOKUP(Tabela1[[#This Row],[Matrícula]],Equipe!B:B,Equipe!E:E,"ERRO",0)</f>
        <v>P80</v>
      </c>
      <c r="I439" s="83" t="str">
        <f>VLOOKUP(Tabela1[[#This Row],[Matrícula]],Equipe!B:F,5,0)</f>
        <v>Novo</v>
      </c>
    </row>
    <row r="440" spans="1:9">
      <c r="A440" s="83" t="s">
        <v>109</v>
      </c>
      <c r="B440" s="92">
        <f>_xlfn.XLOOKUP(A440,Equipe!H:H,Equipe!B:B,"",0)</f>
        <v>4612389</v>
      </c>
      <c r="C440" s="154">
        <v>46097</v>
      </c>
      <c r="D440" s="150">
        <f>(IF(Tabela1[[#This Row],[Início]]&lt;&gt;"",C440+E440-1,""))*1</f>
        <v>46098</v>
      </c>
      <c r="E440" s="83">
        <v>2</v>
      </c>
      <c r="F440" s="83" t="s">
        <v>11</v>
      </c>
      <c r="G440" s="88" t="s">
        <v>295</v>
      </c>
      <c r="H440" s="83" t="str">
        <f>_xlfn.XLOOKUP(Tabela1[[#This Row],[Matrícula]],Equipe!B:B,Equipe!E:E,"ERRO",0)</f>
        <v>P80</v>
      </c>
      <c r="I440" s="83" t="str">
        <f>VLOOKUP(Tabela1[[#This Row],[Matrícula]],Equipe!B:F,5,0)</f>
        <v>Novo</v>
      </c>
    </row>
    <row r="441" spans="1:9" hidden="1">
      <c r="A441" s="83" t="s">
        <v>114</v>
      </c>
      <c r="B441" s="92">
        <f>_xlfn.XLOOKUP(A441,Equipe!H:H,Equipe!B:B,"",0)</f>
        <v>4612140</v>
      </c>
      <c r="C441" s="152">
        <v>46098</v>
      </c>
      <c r="D441" s="152">
        <f>((IF(Tabela1[[#This Row],[Início]]&lt;&gt;"",C441+E441-1,""))*1)*1</f>
        <v>46111</v>
      </c>
      <c r="E441" s="83">
        <v>14</v>
      </c>
      <c r="F441" s="83" t="s">
        <v>17</v>
      </c>
      <c r="G441" s="88" t="s">
        <v>242</v>
      </c>
      <c r="H441" s="83" t="str">
        <f>_xlfn.XLOOKUP(Tabela1[[#This Row],[Matrícula]],Equipe!B:B,Equipe!E:E,"ERRO",0)</f>
        <v>P83</v>
      </c>
      <c r="I441" s="83" t="str">
        <f>VLOOKUP(Tabela1[[#This Row],[Matrícula]],Equipe!B:F,5,0)</f>
        <v>Novo</v>
      </c>
    </row>
    <row r="442" spans="1:9" hidden="1">
      <c r="A442" s="83" t="s">
        <v>205</v>
      </c>
      <c r="B442" s="92">
        <f>_xlfn.XLOOKUP(A442,Equipe!H:H,Equipe!B:B,"",0)</f>
        <v>1385950</v>
      </c>
      <c r="C442" s="152">
        <v>46099</v>
      </c>
      <c r="D442" s="152">
        <f>((IF(Tabela1[[#This Row],[Início]]&lt;&gt;"",C442+E442-1,""))*1)*1</f>
        <v>46100</v>
      </c>
      <c r="E442" s="83">
        <v>2</v>
      </c>
      <c r="F442" s="83" t="s">
        <v>11</v>
      </c>
      <c r="G442" s="88" t="s">
        <v>295</v>
      </c>
      <c r="H442" s="83" t="str">
        <f>_xlfn.XLOOKUP(Tabela1[[#This Row],[Matrícula]],Equipe!B:B,Equipe!E:E,"ERRO",0)</f>
        <v>P82</v>
      </c>
      <c r="I442" s="83" t="str">
        <f>VLOOKUP(Tabela1[[#This Row],[Matrícula]],Equipe!B:F,5,0)</f>
        <v>Experiente</v>
      </c>
    </row>
    <row r="443" spans="1:9">
      <c r="A443" s="83" t="s">
        <v>22</v>
      </c>
      <c r="B443" s="92">
        <f>_xlfn.XLOOKUP(A443,Equipe!H:H,Equipe!B:B,"",0)</f>
        <v>4608389</v>
      </c>
      <c r="C443" s="152">
        <v>46099</v>
      </c>
      <c r="D443" s="152">
        <f>((IF(Tabela1[[#This Row],[Início]]&lt;&gt;"",C443+E443-1,""))*1)*1</f>
        <v>46100</v>
      </c>
      <c r="E443" s="83">
        <v>2</v>
      </c>
      <c r="F443" s="83" t="s">
        <v>11</v>
      </c>
      <c r="G443" s="88" t="s">
        <v>295</v>
      </c>
      <c r="H443" s="83" t="str">
        <f>_xlfn.XLOOKUP(Tabela1[[#This Row],[Matrícula]],Equipe!B:B,Equipe!E:E,"ERRO",0)</f>
        <v>P80</v>
      </c>
      <c r="I443" s="83" t="str">
        <f>VLOOKUP(Tabela1[[#This Row],[Matrícula]],Equipe!B:F,5,0)</f>
        <v>Novo</v>
      </c>
    </row>
    <row r="444" spans="1:9" hidden="1">
      <c r="A444" s="87" t="s">
        <v>24</v>
      </c>
      <c r="B444" s="92">
        <f>_xlfn.XLOOKUP(A444,Equipe!H:H,Equipe!B:B,"",0)</f>
        <v>1385870</v>
      </c>
      <c r="C444" s="155">
        <v>46099</v>
      </c>
      <c r="D444" s="151">
        <f>(IF(Tabela1[[#This Row],[Início]]&lt;&gt;"",C444+E444-1,""))*1</f>
        <v>46100</v>
      </c>
      <c r="E444" s="83">
        <v>2</v>
      </c>
      <c r="F444" s="83" t="s">
        <v>11</v>
      </c>
      <c r="G444" s="93" t="s">
        <v>295</v>
      </c>
      <c r="H444" s="83" t="str">
        <f>_xlfn.XLOOKUP(Tabela1[[#This Row],[Matrícula]],Equipe!B:B,Equipe!E:E,"ERRO",0)</f>
        <v>P83</v>
      </c>
      <c r="I444" s="83" t="str">
        <f>VLOOKUP(Tabela1[[#This Row],[Matrícula]],Equipe!B:F,5,0)</f>
        <v>Experiente</v>
      </c>
    </row>
    <row r="445" spans="1:9" hidden="1">
      <c r="A445" s="83" t="s">
        <v>70</v>
      </c>
      <c r="B445" s="109">
        <f>_xlfn.XLOOKUP(A445,Equipe!H:H,Equipe!B:B,"",0)</f>
        <v>9618720</v>
      </c>
      <c r="C445" s="154">
        <v>46099</v>
      </c>
      <c r="D445" s="151">
        <f>(IF(Tabela1[[#This Row],[Início]]&lt;&gt;"",C445+E445-1,""))*1</f>
        <v>46112</v>
      </c>
      <c r="E445" s="83">
        <v>14</v>
      </c>
      <c r="F445" s="87" t="s">
        <v>17</v>
      </c>
      <c r="G445" s="88" t="s">
        <v>61</v>
      </c>
      <c r="H445" s="87" t="str">
        <f>_xlfn.XLOOKUP(Tabela1[[#This Row],[Matrícula]],Equipe!B:B,Equipe!E:E,"ERRO",0)</f>
        <v>P82</v>
      </c>
      <c r="I445" s="87" t="str">
        <f>VLOOKUP(Tabela1[[#This Row],[Matrícula]],Equipe!B:F,5,0)</f>
        <v>Experiente</v>
      </c>
    </row>
    <row r="446" spans="1:9" hidden="1">
      <c r="A446" s="122" t="s">
        <v>50</v>
      </c>
      <c r="B446" s="127">
        <v>4606694</v>
      </c>
      <c r="C446" s="178">
        <v>46099</v>
      </c>
      <c r="D446" s="150">
        <f>(IF(Tabela1[[#This Row],[Início]]&lt;&gt;"",C446+E446-1,""))*1</f>
        <v>46100</v>
      </c>
      <c r="E446" s="133">
        <v>2</v>
      </c>
      <c r="F446" s="133" t="s">
        <v>11</v>
      </c>
      <c r="G446" s="134" t="s">
        <v>295</v>
      </c>
      <c r="H446" s="133" t="s">
        <v>261</v>
      </c>
      <c r="I446" s="87" t="str">
        <f>VLOOKUP(Tabela1[[#This Row],[Matrícula]],Equipe!B:F,5,0)</f>
        <v>Novo</v>
      </c>
    </row>
    <row r="447" spans="1:9" hidden="1">
      <c r="A447" s="83" t="s">
        <v>57</v>
      </c>
      <c r="B447" s="92">
        <f>_xlfn.XLOOKUP(A447,Equipe!H:H,Equipe!B:B,"",0)</f>
        <v>4608684</v>
      </c>
      <c r="C447" s="152">
        <v>46099</v>
      </c>
      <c r="D447" s="152">
        <f>((IF(Tabela1[[#This Row],[Início]]&lt;&gt;"",C447+E447-1,""))*1)*1</f>
        <v>46100</v>
      </c>
      <c r="E447" s="83">
        <v>2</v>
      </c>
      <c r="F447" s="83" t="s">
        <v>11</v>
      </c>
      <c r="G447" s="93" t="s">
        <v>299</v>
      </c>
      <c r="H447" s="83" t="str">
        <f>_xlfn.XLOOKUP(Tabela1[[#This Row],[Matrícula]],Equipe!B:B,Equipe!E:E,"ERRO",0)</f>
        <v>P82</v>
      </c>
      <c r="I447" s="83" t="str">
        <f>VLOOKUP(Tabela1[[#This Row],[Matrícula]],Equipe!B:F,5,0)</f>
        <v>Novo</v>
      </c>
    </row>
    <row r="448" spans="1:9">
      <c r="A448" s="87" t="s">
        <v>13</v>
      </c>
      <c r="B448" s="109">
        <f>_xlfn.XLOOKUP(A448,Equipe!H:H,Equipe!B:B,"",0)</f>
        <v>9762281</v>
      </c>
      <c r="C448" s="155">
        <v>46099</v>
      </c>
      <c r="D448" s="151">
        <f>(IF(Tabela1[[#This Row],[Início]]&lt;&gt;"",C448+E448-1,""))*1</f>
        <v>46100</v>
      </c>
      <c r="E448" s="87">
        <v>2</v>
      </c>
      <c r="F448" s="87" t="s">
        <v>11</v>
      </c>
      <c r="G448" s="93" t="s">
        <v>295</v>
      </c>
      <c r="H448" s="87" t="str">
        <f>_xlfn.XLOOKUP(Tabela1[[#This Row],[Matrícula]],Equipe!B:B,Equipe!E:E,"ERRO",0)</f>
        <v>P80</v>
      </c>
      <c r="I448" s="87" t="str">
        <f>VLOOKUP(Tabela1[[#This Row],[Matrícula]],Equipe!B:F,5,0)</f>
        <v>Experiente</v>
      </c>
    </row>
    <row r="449" spans="1:9">
      <c r="A449" s="83" t="s">
        <v>108</v>
      </c>
      <c r="B449" s="92">
        <f>_xlfn.XLOOKUP(A449,Equipe!H:H,Equipe!B:B,"",0)</f>
        <v>4612243</v>
      </c>
      <c r="C449" s="152">
        <v>46099</v>
      </c>
      <c r="D449" s="152">
        <f>((IF(Tabela1[[#This Row],[Início]]&lt;&gt;"",C449+E449-1,""))*1)*1</f>
        <v>46100</v>
      </c>
      <c r="E449" s="83">
        <v>2</v>
      </c>
      <c r="F449" s="83" t="s">
        <v>11</v>
      </c>
      <c r="G449" s="88" t="s">
        <v>298</v>
      </c>
      <c r="H449" s="83" t="str">
        <f>_xlfn.XLOOKUP(Tabela1[[#This Row],[Matrícula]],Equipe!B:B,Equipe!E:E,"ERRO",0)</f>
        <v>P80</v>
      </c>
      <c r="I449" s="83" t="str">
        <f>VLOOKUP(Tabela1[[#This Row],[Matrícula]],Equipe!B:F,5,0)</f>
        <v>Novo</v>
      </c>
    </row>
    <row r="450" spans="1:9" hidden="1">
      <c r="A450" s="87" t="s">
        <v>28</v>
      </c>
      <c r="B450" s="109">
        <f>_xlfn.XLOOKUP(A450,Equipe!H:H,Equipe!B:B,"",0)</f>
        <v>2430855</v>
      </c>
      <c r="C450" s="155">
        <v>46099</v>
      </c>
      <c r="D450" s="151">
        <f>(IF(Tabela1[[#This Row],[Início]]&lt;&gt;"",C450+E450-1,""))*1</f>
        <v>46100</v>
      </c>
      <c r="E450" s="87">
        <v>2</v>
      </c>
      <c r="F450" s="87" t="s">
        <v>11</v>
      </c>
      <c r="G450" s="93" t="s">
        <v>295</v>
      </c>
      <c r="H450" s="87" t="str">
        <f>_xlfn.XLOOKUP(Tabela1[[#This Row],[Matrícula]],Equipe!B:B,Equipe!E:E,"ERRO",0)</f>
        <v>PBAC</v>
      </c>
      <c r="I450" s="87" t="str">
        <f>VLOOKUP(Tabela1[[#This Row],[Matrícula]],Equipe!B:F,5,0)</f>
        <v>Experiente</v>
      </c>
    </row>
    <row r="451" spans="1:9" hidden="1">
      <c r="A451" s="83" t="s">
        <v>111</v>
      </c>
      <c r="B451" s="92">
        <f>_xlfn.XLOOKUP(A451,Equipe!H:H,Equipe!B:B,"",0)</f>
        <v>4612126</v>
      </c>
      <c r="C451" s="152">
        <v>46099</v>
      </c>
      <c r="D451" s="152">
        <f>((IF(Tabela1[[#This Row],[Início]]&lt;&gt;"",C451+E451-1,""))*1)*1</f>
        <v>46119</v>
      </c>
      <c r="E451" s="83">
        <v>21</v>
      </c>
      <c r="F451" s="83" t="s">
        <v>14</v>
      </c>
      <c r="G451" s="88" t="s">
        <v>300</v>
      </c>
      <c r="H451" s="83" t="str">
        <f>_xlfn.XLOOKUP(Tabela1[[#This Row],[Matrícula]],Equipe!B:B,Equipe!E:E,"ERRO",0)</f>
        <v>P82</v>
      </c>
      <c r="I451" s="83" t="str">
        <f>VLOOKUP(Tabela1[[#This Row],[Matrícula]],Equipe!B:F,5,0)</f>
        <v>Novo</v>
      </c>
    </row>
    <row r="452" spans="1:9">
      <c r="A452" s="83" t="s">
        <v>264</v>
      </c>
      <c r="B452" s="92">
        <f>_xlfn.XLOOKUP(A452,Equipe!H:H,Equipe!B:B,"",0)</f>
        <v>9678697</v>
      </c>
      <c r="C452" s="154">
        <v>46100</v>
      </c>
      <c r="D452" s="150">
        <f>(IF(Tabela1[[#This Row],[Início]]&lt;&gt;"",C452+E452-1,""))*1</f>
        <v>46103</v>
      </c>
      <c r="E452" s="83">
        <v>4</v>
      </c>
      <c r="F452" s="83" t="s">
        <v>14</v>
      </c>
      <c r="G452" s="88" t="s">
        <v>291</v>
      </c>
      <c r="H452" s="83" t="str">
        <f>_xlfn.XLOOKUP(Tabela1[[#This Row],[Matrícula]],Equipe!B:B,Equipe!E:E,"ERRO",0)</f>
        <v>P80</v>
      </c>
      <c r="I452" s="83" t="str">
        <f>VLOOKUP(Tabela1[[#This Row],[Matrícula]],Equipe!B:F,5,0)</f>
        <v>Experiente</v>
      </c>
    </row>
    <row r="453" spans="1:9">
      <c r="A453" s="87" t="s">
        <v>13</v>
      </c>
      <c r="B453" s="109">
        <f>_xlfn.XLOOKUP(A453,Equipe!H:H,Equipe!B:B,"",0)</f>
        <v>9762281</v>
      </c>
      <c r="C453" s="155">
        <v>46101</v>
      </c>
      <c r="D453" s="151">
        <f>(IF(Tabela1[[#This Row],[Início]]&lt;&gt;"",C453+E453-1,""))*1</f>
        <v>46101</v>
      </c>
      <c r="E453" s="87">
        <v>1</v>
      </c>
      <c r="F453" s="87" t="s">
        <v>14</v>
      </c>
      <c r="G453" s="93" t="s">
        <v>301</v>
      </c>
      <c r="H453" s="87" t="str">
        <f>_xlfn.XLOOKUP(Tabela1[[#This Row],[Matrícula]],Equipe!B:B,Equipe!E:E,"ERRO",0)</f>
        <v>P80</v>
      </c>
      <c r="I453" s="87" t="str">
        <f>VLOOKUP(Tabela1[[#This Row],[Matrícula]],Equipe!B:F,5,0)</f>
        <v>Experiente</v>
      </c>
    </row>
    <row r="454" spans="1:9" hidden="1">
      <c r="A454" s="83" t="s">
        <v>205</v>
      </c>
      <c r="B454" s="92">
        <f>_xlfn.XLOOKUP(A454,Equipe!H:H,Equipe!B:B,"",0)</f>
        <v>1385950</v>
      </c>
      <c r="C454" s="154">
        <v>46104</v>
      </c>
      <c r="D454" s="150">
        <f>(IF(Tabela1[[#This Row],[Início]]&lt;&gt;"",C454+E454-1,""))*1</f>
        <v>46108</v>
      </c>
      <c r="E454" s="83">
        <v>5</v>
      </c>
      <c r="F454" s="83" t="s">
        <v>11</v>
      </c>
      <c r="G454" s="88" t="s">
        <v>302</v>
      </c>
      <c r="H454" s="83" t="str">
        <f>_xlfn.XLOOKUP(Tabela1[[#This Row],[Matrícula]],Equipe!B:B,Equipe!E:E,"ERRO",0)</f>
        <v>P82</v>
      </c>
      <c r="I454" s="83" t="str">
        <f>VLOOKUP(Tabela1[[#This Row],[Matrícula]],Equipe!B:F,5,0)</f>
        <v>Experiente</v>
      </c>
    </row>
    <row r="455" spans="1:9">
      <c r="A455" s="83" t="s">
        <v>22</v>
      </c>
      <c r="B455" s="92">
        <f>_xlfn.XLOOKUP(A455,Equipe!H:H,Equipe!B:B,"",0)</f>
        <v>4608389</v>
      </c>
      <c r="C455" s="154">
        <v>46104</v>
      </c>
      <c r="D455" s="150">
        <f>(IF(Tabela1[[#This Row],[Início]]&lt;&gt;"",C455+E455-1,""))*1</f>
        <v>46108</v>
      </c>
      <c r="E455" s="83">
        <v>5</v>
      </c>
      <c r="F455" s="83" t="s">
        <v>11</v>
      </c>
      <c r="G455" s="88" t="s">
        <v>303</v>
      </c>
      <c r="H455" s="83" t="str">
        <f>_xlfn.XLOOKUP(Tabela1[[#This Row],[Matrícula]],Equipe!B:B,Equipe!E:E,"ERRO",0)</f>
        <v>P80</v>
      </c>
      <c r="I455" s="83" t="str">
        <f>VLOOKUP(Tabela1[[#This Row],[Matrícula]],Equipe!B:F,5,0)</f>
        <v>Novo</v>
      </c>
    </row>
    <row r="456" spans="1:9" hidden="1">
      <c r="A456" s="87" t="s">
        <v>24</v>
      </c>
      <c r="B456" s="92">
        <f>_xlfn.XLOOKUP(A456,Equipe!H:H,Equipe!B:B,"",0)</f>
        <v>1385870</v>
      </c>
      <c r="C456" s="154">
        <v>46104</v>
      </c>
      <c r="D456" s="150">
        <f>(IF(Tabela1[[#This Row],[Início]]&lt;&gt;"",C456+E456-1,""))*1</f>
        <v>46108</v>
      </c>
      <c r="E456" s="83">
        <v>5</v>
      </c>
      <c r="F456" s="83" t="s">
        <v>11</v>
      </c>
      <c r="G456" s="93" t="s">
        <v>302</v>
      </c>
      <c r="H456" s="83" t="str">
        <f>_xlfn.XLOOKUP(Tabela1[[#This Row],[Matrícula]],Equipe!B:B,Equipe!E:E,"ERRO",0)</f>
        <v>P83</v>
      </c>
      <c r="I456" s="83" t="str">
        <f>VLOOKUP(Tabela1[[#This Row],[Matrícula]],Equipe!B:F,5,0)</f>
        <v>Experiente</v>
      </c>
    </row>
    <row r="457" spans="1:9">
      <c r="A457" s="87" t="s">
        <v>116</v>
      </c>
      <c r="B457" s="87">
        <f>_xlfn.XLOOKUP(A457,Equipe!H:H,Equipe!B:B,"",0)</f>
        <v>4612171</v>
      </c>
      <c r="C457" s="177">
        <v>46104</v>
      </c>
      <c r="D457" s="177">
        <f>(IF(Tabela1[[#This Row],[Início]]&lt;&gt;"",C457+E457-1,""))*1</f>
        <v>46108</v>
      </c>
      <c r="E457" s="87">
        <v>5</v>
      </c>
      <c r="F457" s="87" t="s">
        <v>11</v>
      </c>
      <c r="G457" s="93" t="s">
        <v>304</v>
      </c>
      <c r="H457" s="87" t="str">
        <f>_xlfn.XLOOKUP(Tabela1[[#This Row],[Matrícula]],Equipe!B:B,Equipe!E:E,"ERRO",0)</f>
        <v>P80</v>
      </c>
      <c r="I457" s="87" t="str">
        <f>VLOOKUP(Tabela1[[#This Row],[Matrícula]],Equipe!B:F,5,0)</f>
        <v>Novo</v>
      </c>
    </row>
    <row r="458" spans="1:9">
      <c r="A458" s="83" t="s">
        <v>264</v>
      </c>
      <c r="B458" s="92">
        <f>_xlfn.XLOOKUP(A458,Equipe!H:H,Equipe!B:B,"",0)</f>
        <v>9678697</v>
      </c>
      <c r="C458" s="154">
        <v>46104</v>
      </c>
      <c r="D458" s="150">
        <f>(IF(Tabela1[[#This Row],[Início]]&lt;&gt;"",C458+E458-1,""))*1</f>
        <v>46108</v>
      </c>
      <c r="E458" s="83">
        <v>5</v>
      </c>
      <c r="F458" s="83" t="s">
        <v>11</v>
      </c>
      <c r="G458" s="88" t="s">
        <v>305</v>
      </c>
      <c r="H458" s="83" t="str">
        <f>_xlfn.XLOOKUP(Tabela1[[#This Row],[Matrícula]],Equipe!B:B,Equipe!E:E,"ERRO",0)</f>
        <v>P80</v>
      </c>
      <c r="I458" s="83" t="str">
        <f>VLOOKUP(Tabela1[[#This Row],[Matrícula]],Equipe!B:F,5,0)</f>
        <v>Experiente</v>
      </c>
    </row>
    <row r="459" spans="1:9" ht="72.599999999999994" hidden="1">
      <c r="A459" s="83" t="s">
        <v>16</v>
      </c>
      <c r="B459" s="92">
        <f>_xlfn.XLOOKUP(A459,Equipe!H:H,Equipe!B:B,"",0)</f>
        <v>4608544</v>
      </c>
      <c r="C459" s="154">
        <v>46104</v>
      </c>
      <c r="D459" s="150">
        <f>(IF(Tabela1[[#This Row],[Início]]&lt;&gt;"",C459+E459-1,""))*1</f>
        <v>46108</v>
      </c>
      <c r="E459" s="83">
        <v>5</v>
      </c>
      <c r="F459" s="83" t="s">
        <v>11</v>
      </c>
      <c r="G459" s="88" t="s">
        <v>306</v>
      </c>
      <c r="H459" s="83" t="str">
        <f>_xlfn.XLOOKUP(Tabela1[[#This Row],[Matrícula]],Equipe!B:B,Equipe!E:E,"ERRO",0)</f>
        <v>P82</v>
      </c>
      <c r="I459" s="83" t="str">
        <f>VLOOKUP(Tabela1[[#This Row],[Matrícula]],Equipe!B:F,5,0)</f>
        <v>Novo</v>
      </c>
    </row>
    <row r="460" spans="1:9">
      <c r="A460" s="87" t="s">
        <v>13</v>
      </c>
      <c r="B460" s="109">
        <f>_xlfn.XLOOKUP(A460,Equipe!H:H,Equipe!B:B,"",0)</f>
        <v>9762281</v>
      </c>
      <c r="C460" s="155">
        <v>46104</v>
      </c>
      <c r="D460" s="151">
        <f>(IF(Tabela1[[#This Row],[Início]]&lt;&gt;"",C460+E460-1,""))*1</f>
        <v>46108</v>
      </c>
      <c r="E460" s="87">
        <v>5</v>
      </c>
      <c r="F460" s="87" t="s">
        <v>11</v>
      </c>
      <c r="G460" s="93" t="s">
        <v>302</v>
      </c>
      <c r="H460" s="87" t="str">
        <f>_xlfn.XLOOKUP(Tabela1[[#This Row],[Matrícula]],Equipe!B:B,Equipe!E:E,"ERRO",0)</f>
        <v>P80</v>
      </c>
      <c r="I460" s="87" t="str">
        <f>VLOOKUP(Tabela1[[#This Row],[Matrícula]],Equipe!B:F,5,0)</f>
        <v>Experiente</v>
      </c>
    </row>
    <row r="461" spans="1:9">
      <c r="A461" s="83" t="s">
        <v>168</v>
      </c>
      <c r="B461" s="92">
        <f>_xlfn.XLOOKUP(A461,Equipe!H:H,Equipe!B:B,"",0)</f>
        <v>2440812</v>
      </c>
      <c r="C461" s="152">
        <v>46104</v>
      </c>
      <c r="D461" s="152">
        <f>((IF(Tabela1[[#This Row],[Início]]&lt;&gt;"",C461+E461-1,""))*1)*1</f>
        <v>46108</v>
      </c>
      <c r="E461" s="83">
        <v>5</v>
      </c>
      <c r="F461" s="83" t="s">
        <v>11</v>
      </c>
      <c r="G461" s="93" t="s">
        <v>307</v>
      </c>
      <c r="H461" s="83" t="str">
        <f>_xlfn.XLOOKUP(Tabela1[[#This Row],[Matrícula]],Equipe!B:B,Equipe!E:E,"ERRO",0)</f>
        <v>P80</v>
      </c>
      <c r="I461" s="83" t="str">
        <f>VLOOKUP(Tabela1[[#This Row],[Matrícula]],Equipe!B:F,5,0)</f>
        <v>Experiente</v>
      </c>
    </row>
    <row r="462" spans="1:9" hidden="1">
      <c r="A462" s="83" t="s">
        <v>106</v>
      </c>
      <c r="B462" s="92">
        <f>_xlfn.XLOOKUP(A462,Equipe!H:H,Equipe!B:B,"",0)</f>
        <v>4612050</v>
      </c>
      <c r="C462" s="154">
        <v>46104</v>
      </c>
      <c r="D462" s="150">
        <f>(IF(Tabela1[[#This Row],[Início]]&lt;&gt;"",C462+E462-1,""))*1</f>
        <v>46108</v>
      </c>
      <c r="E462" s="83">
        <v>5</v>
      </c>
      <c r="F462" s="83" t="s">
        <v>11</v>
      </c>
      <c r="G462" s="93" t="s">
        <v>305</v>
      </c>
      <c r="H462" s="83" t="str">
        <f>_xlfn.XLOOKUP(Tabela1[[#This Row],[Matrícula]],Equipe!B:B,Equipe!E:E,"ERRO",0)</f>
        <v>P82</v>
      </c>
      <c r="I462" s="83" t="str">
        <f>VLOOKUP(Tabela1[[#This Row],[Matrícula]],Equipe!B:F,5,0)</f>
        <v>Novo</v>
      </c>
    </row>
    <row r="463" spans="1:9">
      <c r="A463" s="87" t="s">
        <v>108</v>
      </c>
      <c r="B463" s="92">
        <f>_xlfn.XLOOKUP(A463,Equipe!H:H,Equipe!B:B,"",0)</f>
        <v>4612243</v>
      </c>
      <c r="C463" s="154">
        <v>46104</v>
      </c>
      <c r="D463" s="150">
        <f>(IF(Tabela1[[#This Row],[Início]]&lt;&gt;"",C463+E463-1,""))*1</f>
        <v>46108</v>
      </c>
      <c r="E463" s="83">
        <v>5</v>
      </c>
      <c r="F463" s="83" t="s">
        <v>11</v>
      </c>
      <c r="G463" s="88" t="s">
        <v>305</v>
      </c>
      <c r="H463" s="83" t="str">
        <f>_xlfn.XLOOKUP(Tabela1[[#This Row],[Matrícula]],Equipe!B:B,Equipe!E:E,"ERRO",0)</f>
        <v>P80</v>
      </c>
      <c r="I463" s="83" t="str">
        <f>VLOOKUP(Tabela1[[#This Row],[Matrícula]],Equipe!B:F,5,0)</f>
        <v>Novo</v>
      </c>
    </row>
    <row r="464" spans="1:9" hidden="1">
      <c r="A464" s="83" t="s">
        <v>53</v>
      </c>
      <c r="B464" s="92">
        <f>_xlfn.XLOOKUP(A464,Equipe!H:H,Equipe!B:B,"",0)</f>
        <v>4608780</v>
      </c>
      <c r="C464" s="154">
        <v>46104</v>
      </c>
      <c r="D464" s="150">
        <f>(IF(Tabela1[[#This Row],[Início]]&lt;&gt;"",C464+E464-1,""))*1</f>
        <v>46108</v>
      </c>
      <c r="E464" s="83">
        <v>5</v>
      </c>
      <c r="F464" s="83" t="s">
        <v>11</v>
      </c>
      <c r="G464" s="88" t="s">
        <v>305</v>
      </c>
      <c r="H464" s="83" t="str">
        <f>_xlfn.XLOOKUP(Tabela1[[#This Row],[Matrícula]],Equipe!B:B,Equipe!E:E,"ERRO",0)</f>
        <v>P83</v>
      </c>
      <c r="I464" s="83" t="str">
        <f>VLOOKUP(Tabela1[[#This Row],[Matrícula]],Equipe!B:F,5,0)</f>
        <v>Novo</v>
      </c>
    </row>
    <row r="465" spans="1:9" hidden="1">
      <c r="A465" s="83" t="s">
        <v>87</v>
      </c>
      <c r="B465" s="92">
        <v>2475130</v>
      </c>
      <c r="C465" s="154">
        <v>46104</v>
      </c>
      <c r="D465" s="150">
        <f>(IF(Tabela1[[#This Row],[Início]]&lt;&gt;"",C465+E465-1,""))*1</f>
        <v>46108</v>
      </c>
      <c r="E465" s="83">
        <v>5</v>
      </c>
      <c r="F465" s="83" t="s">
        <v>11</v>
      </c>
      <c r="G465" s="88" t="s">
        <v>305</v>
      </c>
      <c r="H465" s="83" t="str">
        <f>_xlfn.XLOOKUP(Tabela1[[#This Row],[Matrícula]],Equipe!B:B,Equipe!E:E,"ERRO",0)</f>
        <v>P83</v>
      </c>
      <c r="I465" s="83" t="str">
        <f>VLOOKUP(Tabela1[[#This Row],[Matrícula]],Equipe!B:F,5,0)</f>
        <v>Experiente</v>
      </c>
    </row>
    <row r="466" spans="1:9">
      <c r="A466" s="83" t="s">
        <v>36</v>
      </c>
      <c r="B466" s="92">
        <f>_xlfn.XLOOKUP(A466,Equipe!H:H,Equipe!B:B,"",0)</f>
        <v>4608721</v>
      </c>
      <c r="C466" s="154">
        <v>46104</v>
      </c>
      <c r="D466" s="150">
        <f>(IF(Tabela1[[#This Row],[Início]]&lt;&gt;"",C466+E466-1,""))*1</f>
        <v>46108</v>
      </c>
      <c r="E466" s="83">
        <v>5</v>
      </c>
      <c r="F466" s="83" t="s">
        <v>11</v>
      </c>
      <c r="G466" s="93" t="s">
        <v>302</v>
      </c>
      <c r="H466" s="83" t="str">
        <f>_xlfn.XLOOKUP(Tabela1[[#This Row],[Matrícula]],Equipe!B:B,Equipe!E:E,"ERRO",0)</f>
        <v>P80</v>
      </c>
      <c r="I466" s="83" t="str">
        <f>VLOOKUP(Tabela1[[#This Row],[Matrícula]],Equipe!B:F,5,0)</f>
        <v>Novo</v>
      </c>
    </row>
    <row r="467" spans="1:9">
      <c r="A467" s="83" t="s">
        <v>225</v>
      </c>
      <c r="B467" s="92">
        <f>_xlfn.XLOOKUP(A467,Equipe!H:H,Equipe!B:B,"",0)</f>
        <v>2448533</v>
      </c>
      <c r="C467" s="154">
        <v>46104</v>
      </c>
      <c r="D467" s="150">
        <f>(IF(Tabela1[[#This Row],[Início]]&lt;&gt;"",C467+E467-1,""))*1</f>
        <v>46108</v>
      </c>
      <c r="E467" s="83">
        <v>5</v>
      </c>
      <c r="F467" s="83" t="s">
        <v>11</v>
      </c>
      <c r="G467" s="88" t="s">
        <v>303</v>
      </c>
      <c r="H467" s="83" t="str">
        <f>_xlfn.XLOOKUP(Tabela1[[#This Row],[Matrícula]],Equipe!B:B,Equipe!E:E,"ERRO",0)</f>
        <v>P80</v>
      </c>
      <c r="I467" s="83" t="str">
        <f>VLOOKUP(Tabela1[[#This Row],[Matrícula]],Equipe!B:F,5,0)</f>
        <v>Experiente</v>
      </c>
    </row>
    <row r="468" spans="1:9">
      <c r="A468" s="83" t="s">
        <v>109</v>
      </c>
      <c r="B468" s="92">
        <f>_xlfn.XLOOKUP(A468,Equipe!H:H,Equipe!B:B,"",0)</f>
        <v>4612389</v>
      </c>
      <c r="C468" s="152">
        <v>46104</v>
      </c>
      <c r="D468" s="152">
        <f>((IF(Tabela1[[#This Row],[Início]]&lt;&gt;"",C468+E468-1,""))*1)*1</f>
        <v>46105</v>
      </c>
      <c r="E468" s="83">
        <v>2</v>
      </c>
      <c r="F468" s="83" t="s">
        <v>14</v>
      </c>
      <c r="G468" s="88" t="s">
        <v>149</v>
      </c>
      <c r="H468" s="83" t="str">
        <f>_xlfn.XLOOKUP(Tabela1[[#This Row],[Matrícula]],Equipe!B:B,Equipe!E:E,"ERRO",0)</f>
        <v>P80</v>
      </c>
      <c r="I468" s="83" t="str">
        <f>VLOOKUP(Tabela1[[#This Row],[Matrícula]],Equipe!B:F,5,0)</f>
        <v>Novo</v>
      </c>
    </row>
    <row r="469" spans="1:9">
      <c r="A469" s="83" t="s">
        <v>44</v>
      </c>
      <c r="B469" s="92">
        <f>_xlfn.XLOOKUP(A469,Equipe!H:H,Equipe!B:B,"",0)</f>
        <v>1381625</v>
      </c>
      <c r="C469" s="152">
        <v>46104</v>
      </c>
      <c r="D469" s="152">
        <f>((IF(Tabela1[[#This Row],[Início]]&lt;&gt;"",C469+E469-1,""))*1)*1</f>
        <v>46108</v>
      </c>
      <c r="E469" s="83">
        <v>5</v>
      </c>
      <c r="F469" s="83" t="s">
        <v>11</v>
      </c>
      <c r="G469" s="88" t="s">
        <v>308</v>
      </c>
      <c r="H469" s="83" t="str">
        <f>_xlfn.XLOOKUP(Tabela1[[#This Row],[Matrícula]],Equipe!B:B,Equipe!E:E,"ERRO",0)</f>
        <v>P80</v>
      </c>
      <c r="I469" s="83" t="str">
        <f>VLOOKUP(Tabela1[[#This Row],[Matrícula]],Equipe!B:F,5,0)</f>
        <v>Experiente</v>
      </c>
    </row>
    <row r="470" spans="1:9" hidden="1">
      <c r="A470" s="83" t="s">
        <v>34</v>
      </c>
      <c r="B470" s="92">
        <f>_xlfn.XLOOKUP(A470,Equipe!H:H,Equipe!B:B,"",0)</f>
        <v>4608474</v>
      </c>
      <c r="C470" s="154">
        <v>46105</v>
      </c>
      <c r="D470" s="150">
        <v>46121</v>
      </c>
      <c r="E470" s="83">
        <v>17</v>
      </c>
      <c r="F470" s="83" t="s">
        <v>14</v>
      </c>
      <c r="G470" s="134" t="s">
        <v>19</v>
      </c>
      <c r="H470" s="83" t="str">
        <f>_xlfn.XLOOKUP(Tabela1[[#This Row],[Matrícula]],Equipe!B:B,Equipe!E:E,"ERRO",0)</f>
        <v>P82</v>
      </c>
      <c r="I470" s="83" t="str">
        <f>VLOOKUP(Tabela1[[#This Row],[Matrícula]],Equipe!B:F,5,0)</f>
        <v>Novo</v>
      </c>
    </row>
    <row r="471" spans="1:9" hidden="1">
      <c r="A471" s="122" t="s">
        <v>10</v>
      </c>
      <c r="B471" s="127">
        <v>4612393</v>
      </c>
      <c r="C471" s="178">
        <v>46105</v>
      </c>
      <c r="D471" s="150">
        <f>(IF(Tabela1[[#This Row],[Início]]&lt;&gt;"",C471+E471-1,""))*1</f>
        <v>46118</v>
      </c>
      <c r="E471" s="133">
        <v>14</v>
      </c>
      <c r="F471" s="133" t="s">
        <v>14</v>
      </c>
      <c r="G471" s="134" t="s">
        <v>19</v>
      </c>
      <c r="H471" s="133" t="s">
        <v>294</v>
      </c>
      <c r="I471" s="87" t="str">
        <f>VLOOKUP(Tabela1[[#This Row],[Matrícula]],Equipe!B:F,5,0)</f>
        <v>Novo</v>
      </c>
    </row>
    <row r="472" spans="1:9" hidden="1">
      <c r="A472" s="83" t="s">
        <v>142</v>
      </c>
      <c r="B472" s="92">
        <f>_xlfn.XLOOKUP(A472,Equipe!H:H,Equipe!B:B,"",0)</f>
        <v>4612228</v>
      </c>
      <c r="C472" s="154">
        <v>46108</v>
      </c>
      <c r="D472" s="150">
        <f>(IF(Tabela1[[#This Row],[Início]]&lt;&gt;"",C472+E472-1,""))*1</f>
        <v>46115</v>
      </c>
      <c r="E472" s="83">
        <v>8</v>
      </c>
      <c r="F472" s="83" t="s">
        <v>17</v>
      </c>
      <c r="G472" s="88" t="s">
        <v>32</v>
      </c>
      <c r="H472" s="83" t="str">
        <f>_xlfn.XLOOKUP(Tabela1[[#This Row],[Matrícula]],Equipe!B:B,Equipe!E:E,"ERRO",0)</f>
        <v>P82</v>
      </c>
      <c r="I472" s="83" t="str">
        <f>VLOOKUP(Tabela1[[#This Row],[Matrícula]],Equipe!B:F,5,0)</f>
        <v>Novo</v>
      </c>
    </row>
    <row r="473" spans="1:9">
      <c r="A473" s="83" t="s">
        <v>264</v>
      </c>
      <c r="B473" s="92">
        <f>_xlfn.XLOOKUP(A473,Equipe!H:H,Equipe!B:B,"",0)</f>
        <v>9678697</v>
      </c>
      <c r="C473" s="154">
        <v>46109</v>
      </c>
      <c r="D473" s="150">
        <f>(IF(Tabela1[[#This Row],[Início]]&lt;&gt;"",C473+E473-1,""))*1</f>
        <v>46110</v>
      </c>
      <c r="E473" s="83">
        <v>2</v>
      </c>
      <c r="F473" s="83" t="s">
        <v>14</v>
      </c>
      <c r="G473" s="88" t="s">
        <v>291</v>
      </c>
      <c r="H473" s="83" t="str">
        <f>_xlfn.XLOOKUP(Tabela1[[#This Row],[Matrícula]],Equipe!B:B,Equipe!E:E,"ERRO",0)</f>
        <v>P80</v>
      </c>
      <c r="I473" s="83" t="str">
        <f>VLOOKUP(Tabela1[[#This Row],[Matrícula]],Equipe!B:F,5,0)</f>
        <v>Experiente</v>
      </c>
    </row>
    <row r="474" spans="1:9" ht="29.1" hidden="1">
      <c r="A474" s="87" t="s">
        <v>57</v>
      </c>
      <c r="B474" s="109">
        <f>_xlfn.XLOOKUP(A474,Equipe!H:H,Equipe!B:B,"",0)</f>
        <v>4608684</v>
      </c>
      <c r="C474" s="155">
        <v>46111</v>
      </c>
      <c r="D474" s="151">
        <f>(IF(Tabela1[[#This Row],[Início]]&lt;&gt;"",C474+E474-1,""))*1</f>
        <v>46112</v>
      </c>
      <c r="E474" s="87">
        <v>2</v>
      </c>
      <c r="F474" s="87" t="s">
        <v>11</v>
      </c>
      <c r="G474" s="93" t="s">
        <v>309</v>
      </c>
      <c r="H474" s="87" t="str">
        <f>_xlfn.XLOOKUP(Tabela1[[#This Row],[Matrícula]],Equipe!B:B,Equipe!E:E,"ERRO",0)</f>
        <v>P82</v>
      </c>
      <c r="I474" s="87" t="str">
        <f>VLOOKUP(Tabela1[[#This Row],[Matrícula]],Equipe!B:F,5,0)</f>
        <v>Novo</v>
      </c>
    </row>
    <row r="475" spans="1:9">
      <c r="A475" s="83" t="s">
        <v>44</v>
      </c>
      <c r="B475" s="92">
        <f>_xlfn.XLOOKUP(A475,Equipe!H:H,Equipe!B:B,"",0)</f>
        <v>1381625</v>
      </c>
      <c r="C475" s="152">
        <v>46111</v>
      </c>
      <c r="D475" s="152">
        <f>((IF(Tabela1[[#This Row],[Início]]&lt;&gt;"",C475+E475-1,""))*1)*1</f>
        <v>46112</v>
      </c>
      <c r="E475" s="83">
        <v>2</v>
      </c>
      <c r="F475" s="83" t="s">
        <v>11</v>
      </c>
      <c r="G475" s="93" t="s">
        <v>310</v>
      </c>
      <c r="H475" s="83" t="str">
        <f>_xlfn.XLOOKUP(Tabela1[[#This Row],[Matrícula]],Equipe!B:B,Equipe!E:E,"ERRO",0)</f>
        <v>P80</v>
      </c>
      <c r="I475" s="83" t="str">
        <f>VLOOKUP(Tabela1[[#This Row],[Matrícula]],Equipe!B:F,5,0)</f>
        <v>Experiente</v>
      </c>
    </row>
    <row r="476" spans="1:9">
      <c r="A476" s="83" t="s">
        <v>38</v>
      </c>
      <c r="B476" s="92">
        <f>_xlfn.XLOOKUP(A476,Equipe!H:H,Equipe!B:B,"",0)</f>
        <v>1385894</v>
      </c>
      <c r="C476" s="154">
        <v>46112</v>
      </c>
      <c r="D476" s="150">
        <f>(IF(Tabela1[[#This Row],[Início]]&lt;&gt;"",C476+E476-1,""))*1</f>
        <v>46125</v>
      </c>
      <c r="E476" s="83">
        <v>14</v>
      </c>
      <c r="F476" s="83" t="s">
        <v>17</v>
      </c>
      <c r="G476" s="88" t="s">
        <v>181</v>
      </c>
      <c r="H476" s="83" t="str">
        <f>_xlfn.XLOOKUP(Tabela1[[#This Row],[Matrícula]],Equipe!B:B,Equipe!E:E,"ERRO",0)</f>
        <v>P80</v>
      </c>
      <c r="I476" s="83" t="str">
        <f>VLOOKUP(Tabela1[[#This Row],[Matrícula]],Equipe!B:F,5,0)</f>
        <v>Experiente</v>
      </c>
    </row>
    <row r="477" spans="1:9" hidden="1">
      <c r="A477" s="83" t="s">
        <v>114</v>
      </c>
      <c r="B477" s="92">
        <f>_xlfn.XLOOKUP(A477,Equipe!H:H,Equipe!B:B,"",0)</f>
        <v>4612140</v>
      </c>
      <c r="C477" s="152">
        <v>46112</v>
      </c>
      <c r="D477" s="152">
        <f>((IF(Tabela1[[#This Row],[Início]]&lt;&gt;"",C477+E477-1,""))*1)*1</f>
        <v>46132</v>
      </c>
      <c r="E477" s="83">
        <v>21</v>
      </c>
      <c r="F477" s="83" t="s">
        <v>14</v>
      </c>
      <c r="G477" s="88" t="s">
        <v>311</v>
      </c>
      <c r="H477" s="83" t="str">
        <f>_xlfn.XLOOKUP(Tabela1[[#This Row],[Matrícula]],Equipe!B:B,Equipe!E:E,"ERRO",0)</f>
        <v>P83</v>
      </c>
      <c r="I477" s="83" t="str">
        <f>VLOOKUP(Tabela1[[#This Row],[Matrícula]],Equipe!B:F,5,0)</f>
        <v>Novo</v>
      </c>
    </row>
    <row r="478" spans="1:9" hidden="1">
      <c r="A478" s="83" t="s">
        <v>205</v>
      </c>
      <c r="B478" s="109">
        <f>_xlfn.XLOOKUP(A478,Equipe!H:H,Equipe!B:B,"",0)</f>
        <v>1385950</v>
      </c>
      <c r="C478" s="154">
        <v>46113</v>
      </c>
      <c r="D478" s="151">
        <f>(IF(Tabela1[[#This Row],[Início]]&lt;&gt;"",C478+E478-1,""))*1</f>
        <v>46119</v>
      </c>
      <c r="E478" s="83">
        <v>7</v>
      </c>
      <c r="F478" s="87" t="s">
        <v>17</v>
      </c>
      <c r="G478" s="88" t="s">
        <v>61</v>
      </c>
      <c r="H478" s="87" t="str">
        <f>_xlfn.XLOOKUP(Tabela1[[#This Row],[Matrícula]],Equipe!B:B,Equipe!E:E,"ERRO",0)</f>
        <v>P82</v>
      </c>
      <c r="I478" s="87" t="str">
        <f>VLOOKUP(Tabela1[[#This Row],[Matrícula]],Equipe!B:F,5,0)</f>
        <v>Experiente</v>
      </c>
    </row>
    <row r="479" spans="1:9" hidden="1">
      <c r="A479" s="83" t="s">
        <v>70</v>
      </c>
      <c r="B479" s="109">
        <f>_xlfn.XLOOKUP(A479,Equipe!H:H,Equipe!B:B,"",0)</f>
        <v>9618720</v>
      </c>
      <c r="C479" s="154">
        <v>46113</v>
      </c>
      <c r="D479" s="151">
        <f>(IF(Tabela1[[#This Row],[Início]]&lt;&gt;"",C479+E479-1,""))*1</f>
        <v>46133</v>
      </c>
      <c r="E479" s="83">
        <v>21</v>
      </c>
      <c r="F479" s="87" t="s">
        <v>14</v>
      </c>
      <c r="G479" s="88" t="s">
        <v>167</v>
      </c>
      <c r="H479" s="87" t="str">
        <f>_xlfn.XLOOKUP(Tabela1[[#This Row],[Matrícula]],Equipe!B:B,Equipe!E:E,"ERRO",0)</f>
        <v>P82</v>
      </c>
      <c r="I479" s="87" t="str">
        <f>VLOOKUP(Tabela1[[#This Row],[Matrícula]],Equipe!B:F,5,0)</f>
        <v>Experiente</v>
      </c>
    </row>
    <row r="480" spans="1:9">
      <c r="A480" s="83" t="s">
        <v>264</v>
      </c>
      <c r="B480" s="92">
        <f>_xlfn.XLOOKUP(A480,Equipe!H:H,Equipe!B:B,"",0)</f>
        <v>9678697</v>
      </c>
      <c r="C480" s="154">
        <v>46114</v>
      </c>
      <c r="D480" s="150">
        <f>(IF(Tabela1[[#This Row],[Início]]&lt;&gt;"",C480+E480-1,""))*1</f>
        <v>46120</v>
      </c>
      <c r="E480" s="83">
        <v>7</v>
      </c>
      <c r="F480" s="83" t="s">
        <v>14</v>
      </c>
      <c r="G480" s="88" t="s">
        <v>291</v>
      </c>
      <c r="H480" s="83" t="str">
        <f>_xlfn.XLOOKUP(Tabela1[[#This Row],[Matrícula]],Equipe!B:B,Equipe!E:E,"ERRO",0)</f>
        <v>P80</v>
      </c>
      <c r="I480" s="83" t="str">
        <f>VLOOKUP(Tabela1[[#This Row],[Matrícula]],Equipe!B:F,5,0)</f>
        <v>Experiente</v>
      </c>
    </row>
    <row r="481" spans="1:9" hidden="1">
      <c r="A481" s="83" t="s">
        <v>53</v>
      </c>
      <c r="B481" s="109">
        <f>_xlfn.XLOOKUP(A481,Equipe!H:H,Equipe!B:B,"",0)</f>
        <v>4608780</v>
      </c>
      <c r="C481" s="154">
        <v>46114</v>
      </c>
      <c r="D481" s="151">
        <f>(IF(Tabela1[[#This Row],[Início]]&lt;&gt;"",C481+E481-1,""))*1</f>
        <v>46114</v>
      </c>
      <c r="E481" s="83">
        <v>1</v>
      </c>
      <c r="F481" s="87" t="s">
        <v>14</v>
      </c>
      <c r="G481" s="88" t="s">
        <v>312</v>
      </c>
      <c r="H481" s="87" t="str">
        <f>_xlfn.XLOOKUP(Tabela1[[#This Row],[Matrícula]],Equipe!B:B,Equipe!E:E,"ERRO",0)</f>
        <v>P83</v>
      </c>
      <c r="I481" s="87" t="str">
        <f>VLOOKUP(Tabela1[[#This Row],[Matrícula]],Equipe!B:F,5,0)</f>
        <v>Novo</v>
      </c>
    </row>
    <row r="482" spans="1:9" hidden="1">
      <c r="A482" s="83" t="s">
        <v>142</v>
      </c>
      <c r="B482" s="92">
        <f>_xlfn.XLOOKUP(A482,Equipe!H:H,Equipe!B:B,"",0)</f>
        <v>4612228</v>
      </c>
      <c r="C482" s="154">
        <v>46116</v>
      </c>
      <c r="D482" s="150">
        <f>(IF(Tabela1[[#This Row],[Início]]&lt;&gt;"",C482+E482-1,""))*1</f>
        <v>46127</v>
      </c>
      <c r="E482" s="83">
        <v>12</v>
      </c>
      <c r="F482" s="83" t="s">
        <v>14</v>
      </c>
      <c r="G482" s="88" t="s">
        <v>313</v>
      </c>
      <c r="H482" s="83" t="str">
        <f>_xlfn.XLOOKUP(Tabela1[[#This Row],[Matrícula]],Equipe!B:B,Equipe!E:E,"ERRO",0)</f>
        <v>P82</v>
      </c>
      <c r="I482" s="83" t="str">
        <f>VLOOKUP(Tabela1[[#This Row],[Matrícula]],Equipe!B:F,5,0)</f>
        <v>Novo</v>
      </c>
    </row>
    <row r="483" spans="1:9" hidden="1">
      <c r="A483" s="83" t="s">
        <v>46</v>
      </c>
      <c r="B483" s="92">
        <f>_xlfn.XLOOKUP(A483,Equipe!H:H,Equipe!B:B,"",0)</f>
        <v>4608411</v>
      </c>
      <c r="C483" s="154">
        <v>46118</v>
      </c>
      <c r="D483" s="150">
        <f>(IF(Tabela1[[#This Row],[Início]]&lt;&gt;"",C483+E483-1,""))*1</f>
        <v>46147</v>
      </c>
      <c r="E483" s="83">
        <v>30</v>
      </c>
      <c r="F483" s="83" t="s">
        <v>232</v>
      </c>
      <c r="G483" s="88" t="s">
        <v>314</v>
      </c>
      <c r="H483" s="83" t="str">
        <f>_xlfn.XLOOKUP(Tabela1[[#This Row],[Matrícula]],Equipe!B:B,Equipe!E:E,"ERRO",0)</f>
        <v>P83</v>
      </c>
      <c r="I483" s="83" t="str">
        <f>VLOOKUP(Tabela1[[#This Row],[Matrícula]],Equipe!B:F,5,0)</f>
        <v>Novo</v>
      </c>
    </row>
    <row r="484" spans="1:9">
      <c r="A484" s="87" t="s">
        <v>116</v>
      </c>
      <c r="B484" s="87">
        <f>_xlfn.XLOOKUP(A484,Equipe!H:H,Equipe!B:B,"",0)</f>
        <v>4612171</v>
      </c>
      <c r="C484" s="152">
        <v>46118</v>
      </c>
      <c r="D484" s="152">
        <f>((IF(Tabela1[[#This Row],[Início]]&lt;&gt;"",C484+E484-1,""))*1)*1</f>
        <v>46137</v>
      </c>
      <c r="E484" s="87">
        <v>20</v>
      </c>
      <c r="F484" s="87" t="s">
        <v>232</v>
      </c>
      <c r="G484" s="93" t="s">
        <v>315</v>
      </c>
      <c r="H484" s="87" t="str">
        <f>_xlfn.XLOOKUP(Tabela1[[#This Row],[Matrícula]],Equipe!B:B,Equipe!E:E,"ERRO",0)</f>
        <v>P80</v>
      </c>
      <c r="I484" s="87" t="str">
        <f>VLOOKUP(Tabela1[[#This Row],[Matrícula]],Equipe!B:F,5,0)</f>
        <v>Novo</v>
      </c>
    </row>
    <row r="485" spans="1:9" hidden="1">
      <c r="A485" s="83" t="s">
        <v>231</v>
      </c>
      <c r="B485" s="109">
        <f>_xlfn.XLOOKUP(A485,Equipe!H:H,Equipe!B:B,"",0)</f>
        <v>2550195</v>
      </c>
      <c r="C485" s="154">
        <v>46118</v>
      </c>
      <c r="D485" s="151">
        <f>(IF(Tabela1[[#This Row],[Início]]&lt;&gt;"",C485+E485-1,""))*1</f>
        <v>46127</v>
      </c>
      <c r="E485" s="83">
        <v>10</v>
      </c>
      <c r="F485" s="87" t="s">
        <v>232</v>
      </c>
      <c r="G485" s="88" t="s">
        <v>232</v>
      </c>
      <c r="H485" s="87" t="str">
        <f>_xlfn.XLOOKUP(Tabela1[[#This Row],[Matrícula]],Equipe!B:B,Equipe!E:E,"ERRO",0)</f>
        <v>P83</v>
      </c>
      <c r="I485" s="87" t="str">
        <f>VLOOKUP(Tabela1[[#This Row],[Matrícula]],Equipe!B:F,5,0)</f>
        <v>Experiente</v>
      </c>
    </row>
    <row r="486" spans="1:9" hidden="1">
      <c r="A486" s="83" t="s">
        <v>20</v>
      </c>
      <c r="B486" s="92">
        <f>_xlfn.XLOOKUP(A486,Equipe!H:H,Equipe!B:B,"",0)</f>
        <v>4608559</v>
      </c>
      <c r="C486" s="152">
        <v>46118</v>
      </c>
      <c r="D486" s="152">
        <f>((IF(Tabela1[[#This Row],[Início]]&lt;&gt;"",C486+E486-1,""))*1)*1</f>
        <v>46131</v>
      </c>
      <c r="E486" s="83">
        <v>14</v>
      </c>
      <c r="F486" s="83" t="s">
        <v>232</v>
      </c>
      <c r="G486" s="88" t="s">
        <v>316</v>
      </c>
      <c r="H486" s="83" t="str">
        <f>_xlfn.XLOOKUP(Tabela1[[#This Row],[Matrícula]],Equipe!B:B,Equipe!E:E,"ERRO",0)</f>
        <v>P83</v>
      </c>
      <c r="I486" s="83" t="str">
        <f>VLOOKUP(Tabela1[[#This Row],[Matrícula]],Equipe!B:F,5,0)</f>
        <v>Novo</v>
      </c>
    </row>
    <row r="487" spans="1:9">
      <c r="A487" s="83" t="s">
        <v>13</v>
      </c>
      <c r="B487" s="92">
        <f>_xlfn.XLOOKUP(A487,Equipe!H:H,Equipe!B:B,"",0)</f>
        <v>9762281</v>
      </c>
      <c r="C487" s="152">
        <v>46118</v>
      </c>
      <c r="D487" s="152">
        <f>((IF(Tabela1[[#This Row],[Início]]&lt;&gt;"",C487+E487-1,""))*1)*1</f>
        <v>46127</v>
      </c>
      <c r="E487" s="83">
        <v>10</v>
      </c>
      <c r="F487" s="83" t="s">
        <v>232</v>
      </c>
      <c r="G487" s="88"/>
      <c r="H487" s="83" t="str">
        <f>_xlfn.XLOOKUP(Tabela1[[#This Row],[Matrícula]],Equipe!B:B,Equipe!E:E,"ERRO",0)</f>
        <v>P80</v>
      </c>
      <c r="I487" s="83" t="str">
        <f>VLOOKUP(Tabela1[[#This Row],[Matrícula]],Equipe!B:F,5,0)</f>
        <v>Experiente</v>
      </c>
    </row>
    <row r="488" spans="1:9" ht="29.1">
      <c r="A488" s="83" t="s">
        <v>108</v>
      </c>
      <c r="B488" s="92">
        <f>_xlfn.XLOOKUP(A488,Equipe!H:H,Equipe!B:B,"",0)</f>
        <v>4612243</v>
      </c>
      <c r="C488" s="152">
        <v>46118</v>
      </c>
      <c r="D488" s="152">
        <f>((IF(Tabela1[[#This Row],[Início]]&lt;&gt;"",C488+E488-1,""))*1)*1</f>
        <v>46122</v>
      </c>
      <c r="E488" s="83">
        <v>5</v>
      </c>
      <c r="F488" s="83" t="s">
        <v>11</v>
      </c>
      <c r="G488" s="88" t="s">
        <v>317</v>
      </c>
      <c r="H488" s="83" t="str">
        <f>_xlfn.XLOOKUP(Tabela1[[#This Row],[Matrícula]],Equipe!B:B,Equipe!E:E,"ERRO",0)</f>
        <v>P80</v>
      </c>
      <c r="I488" s="83" t="str">
        <f>VLOOKUP(Tabela1[[#This Row],[Matrícula]],Equipe!B:F,5,0)</f>
        <v>Novo</v>
      </c>
    </row>
    <row r="489" spans="1:9">
      <c r="A489" s="83" t="s">
        <v>36</v>
      </c>
      <c r="B489" s="92">
        <f>_xlfn.XLOOKUP(A489,Equipe!H:H,Equipe!B:B,"",0)</f>
        <v>4608721</v>
      </c>
      <c r="C489" s="152">
        <v>46118</v>
      </c>
      <c r="D489" s="152">
        <f>((IF(Tabela1[[#This Row],[Início]]&lt;&gt;"",C489+E489-1,""))*1)*1</f>
        <v>46132</v>
      </c>
      <c r="E489" s="83">
        <v>15</v>
      </c>
      <c r="F489" s="83" t="s">
        <v>232</v>
      </c>
      <c r="G489" s="88" t="s">
        <v>259</v>
      </c>
      <c r="H489" s="83" t="str">
        <f>_xlfn.XLOOKUP(Tabela1[[#This Row],[Matrícula]],Equipe!B:B,Equipe!E:E,"ERRO",0)</f>
        <v>P80</v>
      </c>
      <c r="I489" s="83" t="str">
        <f>VLOOKUP(Tabela1[[#This Row],[Matrícula]],Equipe!B:F,5,0)</f>
        <v>Novo</v>
      </c>
    </row>
    <row r="490" spans="1:9" hidden="1">
      <c r="A490" s="83" t="s">
        <v>113</v>
      </c>
      <c r="B490" s="92">
        <f>_xlfn.XLOOKUP(A490,Equipe!H:H,Equipe!B:B,"",0)</f>
        <v>4612192</v>
      </c>
      <c r="C490" s="152">
        <v>46118</v>
      </c>
      <c r="D490" s="152">
        <f>((IF(Tabela1[[#This Row],[Início]]&lt;&gt;"",C490+E490-1,""))*1)*1</f>
        <v>46129</v>
      </c>
      <c r="E490" s="83">
        <v>12</v>
      </c>
      <c r="F490" s="83" t="s">
        <v>232</v>
      </c>
      <c r="G490" s="88" t="s">
        <v>258</v>
      </c>
      <c r="H490" s="83" t="str">
        <f>_xlfn.XLOOKUP(Tabela1[[#This Row],[Matrícula]],Equipe!B:B,Equipe!E:E,"ERRO",0)</f>
        <v>P82</v>
      </c>
      <c r="I490" s="83" t="str">
        <f>VLOOKUP(Tabela1[[#This Row],[Matrícula]],Equipe!B:F,5,0)</f>
        <v>Novo</v>
      </c>
    </row>
    <row r="491" spans="1:9" hidden="1">
      <c r="A491" s="83" t="s">
        <v>318</v>
      </c>
      <c r="B491" s="92">
        <f>_xlfn.XLOOKUP(A491,Equipe!H:H,Equipe!B:B,"",0)</f>
        <v>4613186</v>
      </c>
      <c r="C491" s="154">
        <v>46119</v>
      </c>
      <c r="D491" s="150">
        <f>(IF(Tabela1[[#This Row],[Início]]&lt;&gt;"",C491+E491-1,""))*1</f>
        <v>46119</v>
      </c>
      <c r="E491" s="83">
        <v>1</v>
      </c>
      <c r="F491" s="83" t="s">
        <v>11</v>
      </c>
      <c r="G491" s="88" t="s">
        <v>319</v>
      </c>
      <c r="H491" s="83" t="str">
        <f>_xlfn.XLOOKUP(Tabela1[[#This Row],[Matrícula]],Equipe!B:B,Equipe!E:E,"ERRO",0)</f>
        <v>P83</v>
      </c>
      <c r="I491" s="83" t="str">
        <f>VLOOKUP(Tabela1[[#This Row],[Matrícula]],Equipe!B:F,5,0)</f>
        <v>Novo</v>
      </c>
    </row>
    <row r="492" spans="1:9" hidden="1">
      <c r="A492" s="83" t="s">
        <v>205</v>
      </c>
      <c r="B492" s="109">
        <f>_xlfn.XLOOKUP(A492,Equipe!H:H,Equipe!B:B,"",0)</f>
        <v>1385950</v>
      </c>
      <c r="C492" s="154">
        <v>46120</v>
      </c>
      <c r="D492" s="151">
        <f>(IF(Tabela1[[#This Row],[Início]]&lt;&gt;"",C492+E492-1,""))*1</f>
        <v>46124</v>
      </c>
      <c r="E492" s="83">
        <v>5</v>
      </c>
      <c r="F492" s="87" t="s">
        <v>14</v>
      </c>
      <c r="G492" s="88" t="s">
        <v>19</v>
      </c>
      <c r="H492" s="87" t="str">
        <f>_xlfn.XLOOKUP(Tabela1[[#This Row],[Matrícula]],Equipe!B:B,Equipe!E:E,"ERRO",0)</f>
        <v>P82</v>
      </c>
      <c r="I492" s="87" t="str">
        <f>VLOOKUP(Tabela1[[#This Row],[Matrícula]],Equipe!B:F,5,0)</f>
        <v>Experiente</v>
      </c>
    </row>
    <row r="493" spans="1:9" hidden="1">
      <c r="A493" s="83" t="s">
        <v>229</v>
      </c>
      <c r="B493" s="109">
        <f>_xlfn.XLOOKUP(A493,Equipe!H:H,Equipe!B:B,"",0)</f>
        <v>9921954</v>
      </c>
      <c r="C493" s="154">
        <v>46120</v>
      </c>
      <c r="D493" s="151">
        <v>46126</v>
      </c>
      <c r="E493" s="83">
        <v>7</v>
      </c>
      <c r="F493" s="87" t="s">
        <v>17</v>
      </c>
      <c r="G493" s="88" t="s">
        <v>320</v>
      </c>
      <c r="H493" s="87" t="str">
        <f>_xlfn.XLOOKUP(Tabela1[[#This Row],[Matrícula]],Equipe!B:B,Equipe!E:E,"ERRO",0)</f>
        <v>P82</v>
      </c>
      <c r="I493" s="87" t="str">
        <f>VLOOKUP(Tabela1[[#This Row],[Matrícula]],Equipe!B:F,5,0)</f>
        <v>Experiente</v>
      </c>
    </row>
    <row r="494" spans="1:9">
      <c r="A494" s="83" t="s">
        <v>264</v>
      </c>
      <c r="B494" s="92">
        <f>_xlfn.XLOOKUP(A494,Equipe!H:H,Equipe!B:B,"",0)</f>
        <v>9678697</v>
      </c>
      <c r="C494" s="154">
        <v>46120</v>
      </c>
      <c r="D494" s="150">
        <f>(IF(Tabela1[[#This Row],[Início]]&lt;&gt;"",C494+E494-1,""))*1</f>
        <v>46121</v>
      </c>
      <c r="E494" s="83">
        <v>2</v>
      </c>
      <c r="F494" s="83" t="s">
        <v>14</v>
      </c>
      <c r="G494" s="88" t="s">
        <v>321</v>
      </c>
      <c r="H494" s="83" t="str">
        <f>_xlfn.XLOOKUP(Tabela1[[#This Row],[Matrícula]],Equipe!B:B,Equipe!E:E,"ERRO",0)</f>
        <v>P80</v>
      </c>
      <c r="I494" s="83" t="str">
        <f>VLOOKUP(Tabela1[[#This Row],[Matrícula]],Equipe!B:F,5,0)</f>
        <v>Experiente</v>
      </c>
    </row>
    <row r="495" spans="1:9">
      <c r="A495" s="83" t="s">
        <v>44</v>
      </c>
      <c r="B495" s="109">
        <f>_xlfn.XLOOKUP(A495,Equipe!H:H,Equipe!B:B,"",0)</f>
        <v>1381625</v>
      </c>
      <c r="C495" s="154">
        <v>46120</v>
      </c>
      <c r="D495" s="151">
        <f>(IF(Tabela1[[#This Row],[Início]]&lt;&gt;"",C495+E495-1,""))*1</f>
        <v>46121</v>
      </c>
      <c r="E495" s="83">
        <v>2</v>
      </c>
      <c r="F495" s="87" t="s">
        <v>14</v>
      </c>
      <c r="G495" s="88" t="s">
        <v>322</v>
      </c>
      <c r="H495" s="87" t="str">
        <f>_xlfn.XLOOKUP(Tabela1[[#This Row],[Matrícula]],Equipe!B:B,Equipe!E:E,"ERRO",0)</f>
        <v>P80</v>
      </c>
      <c r="I495" s="87" t="str">
        <f>VLOOKUP(Tabela1[[#This Row],[Matrícula]],Equipe!B:F,5,0)</f>
        <v>Experiente</v>
      </c>
    </row>
    <row r="496" spans="1:9" hidden="1">
      <c r="A496" s="83" t="s">
        <v>56</v>
      </c>
      <c r="B496" s="109">
        <f>_xlfn.XLOOKUP(A496,Equipe!H:H,Equipe!B:B,"",0)</f>
        <v>2477135</v>
      </c>
      <c r="C496" s="154">
        <v>46121</v>
      </c>
      <c r="D496" s="151">
        <v>46122</v>
      </c>
      <c r="E496" s="83">
        <v>2</v>
      </c>
      <c r="F496" s="87" t="s">
        <v>14</v>
      </c>
      <c r="G496" s="88" t="s">
        <v>323</v>
      </c>
      <c r="H496" s="87" t="str">
        <f>_xlfn.XLOOKUP(Tabela1[[#This Row],[Matrícula]],Equipe!B:B,Equipe!E:E,"ERRO",0)</f>
        <v>P83</v>
      </c>
      <c r="I496" s="87" t="str">
        <f>VLOOKUP(Tabela1[[#This Row],[Matrícula]],Equipe!B:F,5,0)</f>
        <v>Experiente</v>
      </c>
    </row>
    <row r="497" spans="1:9" hidden="1">
      <c r="A497" s="83" t="s">
        <v>324</v>
      </c>
      <c r="B497" s="92">
        <f>_xlfn.XLOOKUP(A497,Equipe!H:H,Equipe!B:B,"",0)</f>
        <v>2493288</v>
      </c>
      <c r="C497" s="154">
        <v>46121</v>
      </c>
      <c r="D497" s="150">
        <f>(IF(Tabela1[[#This Row],[Início]]&lt;&gt;"",C497+E497-1,""))*1</f>
        <v>46121</v>
      </c>
      <c r="E497" s="83">
        <v>1</v>
      </c>
      <c r="F497" s="83" t="s">
        <v>47</v>
      </c>
      <c r="G497" s="88" t="s">
        <v>325</v>
      </c>
      <c r="H497" s="83" t="str">
        <f>_xlfn.XLOOKUP(Tabela1[[#This Row],[Matrícula]],Equipe!B:B,Equipe!E:E,"ERRO",0)</f>
        <v>PBAC</v>
      </c>
      <c r="I497" s="83" t="str">
        <f>VLOOKUP(Tabela1[[#This Row],[Matrícula]],Equipe!B:F,5,0)</f>
        <v>Experiente</v>
      </c>
    </row>
    <row r="498" spans="1:9" hidden="1">
      <c r="A498" s="83" t="s">
        <v>260</v>
      </c>
      <c r="B498" s="109">
        <f>_xlfn.XLOOKUP(A498,Equipe!H:H,Equipe!B:B,"",0)</f>
        <v>4604625</v>
      </c>
      <c r="C498" s="154">
        <v>46121</v>
      </c>
      <c r="D498" s="151">
        <f>(IF(Tabela1[[#This Row],[Início]]&lt;&gt;"",C498+E498-1,""))*1</f>
        <v>46121</v>
      </c>
      <c r="E498" s="83">
        <v>1</v>
      </c>
      <c r="F498" s="87" t="s">
        <v>29</v>
      </c>
      <c r="G498" s="88" t="s">
        <v>326</v>
      </c>
      <c r="H498" s="87" t="str">
        <f>_xlfn.XLOOKUP(Tabela1[[#This Row],[Matrícula]],Equipe!B:B,Equipe!E:E,"ERRO",0)</f>
        <v>PBAC</v>
      </c>
      <c r="I498" s="87" t="str">
        <f>VLOOKUP(Tabela1[[#This Row],[Matrícula]],Equipe!B:F,5,0)</f>
        <v>Novo</v>
      </c>
    </row>
    <row r="499" spans="1:9">
      <c r="A499" s="83" t="s">
        <v>44</v>
      </c>
      <c r="B499" s="92">
        <f>_xlfn.XLOOKUP(A499,Equipe!H:H,Equipe!B:B,"",0)</f>
        <v>1381625</v>
      </c>
      <c r="C499" s="154">
        <v>46122</v>
      </c>
      <c r="D499" s="150">
        <f>(IF(Tabela1[[#This Row],[Início]]&lt;&gt;"",C499+E499-1,""))*1</f>
        <v>46135</v>
      </c>
      <c r="E499" s="83">
        <v>14</v>
      </c>
      <c r="F499" s="83" t="s">
        <v>17</v>
      </c>
      <c r="G499" s="88" t="s">
        <v>32</v>
      </c>
      <c r="H499" s="83" t="str">
        <f>_xlfn.XLOOKUP(Tabela1[[#This Row],[Matrícula]],Equipe!B:B,Equipe!E:E,"ERRO",0)</f>
        <v>P80</v>
      </c>
      <c r="I499" s="83" t="str">
        <f>VLOOKUP(Tabela1[[#This Row],[Matrícula]],Equipe!B:F,5,0)</f>
        <v>Experiente</v>
      </c>
    </row>
    <row r="500" spans="1:9" hidden="1">
      <c r="A500" s="83" t="s">
        <v>205</v>
      </c>
      <c r="B500" s="109">
        <f>_xlfn.XLOOKUP(A500,Equipe!H:H,Equipe!B:B,"",0)</f>
        <v>1385950</v>
      </c>
      <c r="C500" s="154">
        <v>46125</v>
      </c>
      <c r="D500" s="151">
        <f>(IF(Tabela1[[#This Row],[Início]]&lt;&gt;"",C500+E500-1,""))*1</f>
        <v>46129</v>
      </c>
      <c r="E500" s="83">
        <v>5</v>
      </c>
      <c r="F500" s="87" t="s">
        <v>11</v>
      </c>
      <c r="G500" s="88" t="s">
        <v>305</v>
      </c>
      <c r="H500" s="87" t="str">
        <f>_xlfn.XLOOKUP(Tabela1[[#This Row],[Matrícula]],Equipe!B:B,Equipe!E:E,"ERRO",0)</f>
        <v>P82</v>
      </c>
      <c r="I500" s="87" t="str">
        <f>VLOOKUP(Tabela1[[#This Row],[Matrícula]],Equipe!B:F,5,0)</f>
        <v>Experiente</v>
      </c>
    </row>
    <row r="501" spans="1:9" hidden="1">
      <c r="A501" s="83" t="s">
        <v>56</v>
      </c>
      <c r="B501" s="109">
        <v>2477135</v>
      </c>
      <c r="C501" s="154">
        <v>46125</v>
      </c>
      <c r="D501" s="151">
        <v>46145</v>
      </c>
      <c r="E501" s="83">
        <v>20</v>
      </c>
      <c r="F501" s="83" t="s">
        <v>232</v>
      </c>
      <c r="G501" s="88" t="s">
        <v>232</v>
      </c>
      <c r="H501" s="83" t="str">
        <f>_xlfn.XLOOKUP(Tabela1[[#This Row],[Matrícula]],Equipe!B:B,Equipe!E:E,"ERRO",0)</f>
        <v>P83</v>
      </c>
      <c r="I501" s="83" t="str">
        <f>VLOOKUP(Tabela1[[#This Row],[Matrícula]],Equipe!B:F,5,0)</f>
        <v>Experiente</v>
      </c>
    </row>
    <row r="502" spans="1:9" hidden="1">
      <c r="A502" s="83" t="s">
        <v>239</v>
      </c>
      <c r="B502" s="109">
        <f>_xlfn.XLOOKUP(A502,Equipe!H:H,Equipe!B:B,"",0)</f>
        <v>1387328</v>
      </c>
      <c r="C502" s="154">
        <v>46125</v>
      </c>
      <c r="D502" s="151">
        <f>(IF(Tabela1[[#This Row],[Início]]&lt;&gt;"",C502+E502-1,""))*1</f>
        <v>46129</v>
      </c>
      <c r="E502" s="83">
        <v>5</v>
      </c>
      <c r="F502" s="87" t="s">
        <v>11</v>
      </c>
      <c r="G502" s="88" t="s">
        <v>327</v>
      </c>
      <c r="H502" s="87" t="str">
        <f>_xlfn.XLOOKUP(Tabela1[[#This Row],[Matrícula]],Equipe!B:B,Equipe!E:E,"ERRO",0)</f>
        <v>P82</v>
      </c>
      <c r="I502" s="87" t="str">
        <f>VLOOKUP(Tabela1[[#This Row],[Matrícula]],Equipe!B:F,5,0)</f>
        <v>Experiente</v>
      </c>
    </row>
    <row r="503" spans="1:9" hidden="1">
      <c r="A503" s="83" t="s">
        <v>58</v>
      </c>
      <c r="B503" s="109">
        <f>_xlfn.XLOOKUP(A503,Equipe!H:H,Equipe!B:B,"",0)</f>
        <v>9612082</v>
      </c>
      <c r="C503" s="154">
        <v>46125</v>
      </c>
      <c r="D503" s="151">
        <v>46129</v>
      </c>
      <c r="E503" s="83">
        <v>5</v>
      </c>
      <c r="F503" s="87" t="s">
        <v>11</v>
      </c>
      <c r="G503" s="88" t="s">
        <v>328</v>
      </c>
      <c r="H503" s="87" t="str">
        <f>_xlfn.XLOOKUP(Tabela1[[#This Row],[Matrícula]],Equipe!B:B,Equipe!E:E,"ERRO",0)</f>
        <v>P82</v>
      </c>
      <c r="I503" s="87" t="str">
        <f>VLOOKUP(Tabela1[[#This Row],[Matrícula]],Equipe!B:F,5,0)</f>
        <v>Experiente</v>
      </c>
    </row>
    <row r="504" spans="1:9" hidden="1">
      <c r="A504" s="83" t="s">
        <v>207</v>
      </c>
      <c r="B504" s="109">
        <f>_xlfn.XLOOKUP(A504,Equipe!H:H,Equipe!B:B,"",0)</f>
        <v>1386288</v>
      </c>
      <c r="C504" s="154">
        <v>46125</v>
      </c>
      <c r="D504" s="151">
        <v>46127</v>
      </c>
      <c r="E504" s="83">
        <v>3</v>
      </c>
      <c r="F504" s="87" t="s">
        <v>14</v>
      </c>
      <c r="G504" s="88" t="s">
        <v>329</v>
      </c>
      <c r="H504" s="87" t="str">
        <f>_xlfn.XLOOKUP(Tabela1[[#This Row],[Matrícula]],Equipe!B:B,Equipe!E:E,"ERRO",0)</f>
        <v>P83</v>
      </c>
      <c r="I504" s="87" t="str">
        <f>VLOOKUP(Tabela1[[#This Row],[Matrícula]],Equipe!B:F,5,0)</f>
        <v>Experiente</v>
      </c>
    </row>
    <row r="505" spans="1:9" hidden="1">
      <c r="A505" s="83" t="s">
        <v>50</v>
      </c>
      <c r="B505" s="109">
        <f>_xlfn.XLOOKUP(A505,Equipe!H:H,Equipe!B:B,"",0)</f>
        <v>4606694</v>
      </c>
      <c r="C505" s="154">
        <v>46125</v>
      </c>
      <c r="D505" s="151">
        <f>(IF(Tabela1[[#This Row],[Início]]&lt;&gt;"",C505+E505-1,""))*1</f>
        <v>46125</v>
      </c>
      <c r="E505" s="83">
        <v>1</v>
      </c>
      <c r="F505" s="87" t="s">
        <v>11</v>
      </c>
      <c r="G505" s="88" t="s">
        <v>330</v>
      </c>
      <c r="H505" s="87" t="str">
        <f>_xlfn.XLOOKUP(Tabela1[[#This Row],[Matrícula]],Equipe!B:B,Equipe!E:E,"ERRO",0)</f>
        <v>PBAC</v>
      </c>
      <c r="I505" s="87" t="str">
        <f>VLOOKUP(Tabela1[[#This Row],[Matrícula]],Equipe!B:F,5,0)</f>
        <v>Novo</v>
      </c>
    </row>
    <row r="506" spans="1:9" hidden="1">
      <c r="A506" s="83" t="s">
        <v>331</v>
      </c>
      <c r="B506" s="109">
        <f>_xlfn.XLOOKUP(A506,Equipe!H:H,Equipe!B:B,"",0)</f>
        <v>4613176</v>
      </c>
      <c r="C506" s="154">
        <v>46125</v>
      </c>
      <c r="D506" s="151">
        <f>(IF(Tabela1[[#This Row],[Início]]&lt;&gt;"",C506+E506-1,""))*1</f>
        <v>46129</v>
      </c>
      <c r="E506" s="83">
        <v>5</v>
      </c>
      <c r="F506" s="87" t="s">
        <v>11</v>
      </c>
      <c r="G506" s="147" t="s">
        <v>328</v>
      </c>
      <c r="H506" s="87" t="str">
        <f>_xlfn.XLOOKUP(Tabela1[[#This Row],[Matrícula]],Equipe!B:B,Equipe!E:E,"ERRO",0)</f>
        <v>P82</v>
      </c>
      <c r="I506" s="87" t="str">
        <f>VLOOKUP(Tabela1[[#This Row],[Matrícula]],Equipe!B:F,5,0)</f>
        <v>Novo</v>
      </c>
    </row>
    <row r="507" spans="1:9" hidden="1">
      <c r="A507" s="83" t="s">
        <v>10</v>
      </c>
      <c r="B507" s="109">
        <f>_xlfn.XLOOKUP(A507,Equipe!H:H,Equipe!B:B,"",0)</f>
        <v>4612393</v>
      </c>
      <c r="C507" s="154">
        <v>46125</v>
      </c>
      <c r="D507" s="151">
        <f>(IF(Tabela1[[#This Row],[Início]]&lt;&gt;"",C507+E507-1,""))*1</f>
        <v>46129</v>
      </c>
      <c r="E507" s="83">
        <v>5</v>
      </c>
      <c r="F507" s="87" t="s">
        <v>11</v>
      </c>
      <c r="G507" s="88" t="s">
        <v>328</v>
      </c>
      <c r="H507" s="87" t="str">
        <f>_xlfn.XLOOKUP(Tabela1[[#This Row],[Matrícula]],Equipe!B:B,Equipe!E:E,"ERRO",0)</f>
        <v>P83</v>
      </c>
      <c r="I507" s="87" t="str">
        <f>VLOOKUP(Tabela1[[#This Row],[Matrícula]],Equipe!B:F,5,0)</f>
        <v>Novo</v>
      </c>
    </row>
    <row r="508" spans="1:9">
      <c r="A508" s="83" t="s">
        <v>35</v>
      </c>
      <c r="B508" s="109">
        <f>_xlfn.XLOOKUP(A508,Equipe!H:H,Equipe!B:B,"",0)</f>
        <v>9842940</v>
      </c>
      <c r="C508" s="154">
        <v>46125</v>
      </c>
      <c r="D508" s="151">
        <f>(IF(Tabela1[[#This Row],[Início]]&lt;&gt;"",C508+E508-1,""))*1</f>
        <v>46129</v>
      </c>
      <c r="E508" s="83">
        <v>5</v>
      </c>
      <c r="F508" s="87" t="s">
        <v>11</v>
      </c>
      <c r="G508" s="88" t="s">
        <v>305</v>
      </c>
      <c r="H508" s="87" t="str">
        <f>_xlfn.XLOOKUP(Tabela1[[#This Row],[Matrícula]],Equipe!B:B,Equipe!E:E,"ERRO",0)</f>
        <v>P80</v>
      </c>
      <c r="I508" s="87" t="str">
        <f>VLOOKUP(Tabela1[[#This Row],[Matrícula]],Equipe!B:F,5,0)</f>
        <v>Novo</v>
      </c>
    </row>
    <row r="509" spans="1:9">
      <c r="A509" s="83" t="s">
        <v>168</v>
      </c>
      <c r="B509" s="109">
        <f>_xlfn.XLOOKUP(A509,Equipe!H:H,Equipe!B:B,"",0)</f>
        <v>2440812</v>
      </c>
      <c r="C509" s="154">
        <v>46125</v>
      </c>
      <c r="D509" s="151">
        <f>(IF(Tabela1[[#This Row],[Início]]&lt;&gt;"",C509+E509-1,""))*1</f>
        <v>46129</v>
      </c>
      <c r="E509" s="83">
        <v>5</v>
      </c>
      <c r="F509" s="87" t="s">
        <v>11</v>
      </c>
      <c r="G509" s="88" t="s">
        <v>328</v>
      </c>
      <c r="H509" s="87" t="str">
        <f>_xlfn.XLOOKUP(Tabela1[[#This Row],[Matrícula]],Equipe!B:B,Equipe!E:E,"ERRO",0)</f>
        <v>P80</v>
      </c>
      <c r="I509" s="87" t="str">
        <f>VLOOKUP(Tabela1[[#This Row],[Matrícula]],Equipe!B:F,5,0)</f>
        <v>Experiente</v>
      </c>
    </row>
    <row r="510" spans="1:9" hidden="1">
      <c r="A510" s="83" t="s">
        <v>140</v>
      </c>
      <c r="B510" s="109">
        <f>_xlfn.XLOOKUP(A510,Equipe!H:H,Equipe!B:B,"",0)</f>
        <v>4612247</v>
      </c>
      <c r="C510" s="154">
        <v>46125</v>
      </c>
      <c r="D510" s="151">
        <f>(IF(Tabela1[[#This Row],[Início]]&lt;&gt;"",C510+E510-1,""))*1</f>
        <v>46129</v>
      </c>
      <c r="E510" s="83">
        <v>5</v>
      </c>
      <c r="F510" s="87" t="s">
        <v>11</v>
      </c>
      <c r="G510" s="88" t="s">
        <v>328</v>
      </c>
      <c r="H510" s="87" t="str">
        <f>_xlfn.XLOOKUP(Tabela1[[#This Row],[Matrícula]],Equipe!B:B,Equipe!E:E,"ERRO",0)</f>
        <v>P83</v>
      </c>
      <c r="I510" s="87" t="str">
        <f>VLOOKUP(Tabela1[[#This Row],[Matrícula]],Equipe!B:F,5,0)</f>
        <v>Novo</v>
      </c>
    </row>
    <row r="511" spans="1:9">
      <c r="A511" s="83" t="s">
        <v>225</v>
      </c>
      <c r="B511" s="109">
        <f>_xlfn.XLOOKUP(A511,Equipe!H:H,Equipe!B:B,"",0)</f>
        <v>2448533</v>
      </c>
      <c r="C511" s="154">
        <v>46125</v>
      </c>
      <c r="D511" s="151">
        <f>(IF(Tabela1[[#This Row],[Início]]&lt;&gt;"",C511+E511-1,""))*1</f>
        <v>46129</v>
      </c>
      <c r="E511" s="83">
        <v>5</v>
      </c>
      <c r="F511" s="87" t="s">
        <v>11</v>
      </c>
      <c r="G511" s="88" t="s">
        <v>305</v>
      </c>
      <c r="H511" s="87" t="str">
        <f>_xlfn.XLOOKUP(Tabela1[[#This Row],[Matrícula]],Equipe!B:B,Equipe!E:E,"ERRO",0)</f>
        <v>P80</v>
      </c>
      <c r="I511" s="87" t="str">
        <f>VLOOKUP(Tabela1[[#This Row],[Matrícula]],Equipe!B:F,5,0)</f>
        <v>Experiente</v>
      </c>
    </row>
    <row r="512" spans="1:9">
      <c r="A512" s="83" t="s">
        <v>109</v>
      </c>
      <c r="B512" s="109">
        <f>_xlfn.XLOOKUP(A512,Equipe!H:H,Equipe!B:B,"",0)</f>
        <v>4612389</v>
      </c>
      <c r="C512" s="154">
        <v>46125</v>
      </c>
      <c r="D512" s="151">
        <f>(IF(Tabela1[[#This Row],[Início]]&lt;&gt;"",C512+E512-1,""))*1</f>
        <v>46129</v>
      </c>
      <c r="E512" s="83">
        <v>5</v>
      </c>
      <c r="F512" s="87" t="s">
        <v>11</v>
      </c>
      <c r="G512" s="147" t="s">
        <v>305</v>
      </c>
      <c r="H512" s="87" t="str">
        <f>_xlfn.XLOOKUP(Tabela1[[#This Row],[Matrícula]],Equipe!B:B,Equipe!E:E,"ERRO",0)</f>
        <v>P80</v>
      </c>
      <c r="I512" s="87" t="str">
        <f>VLOOKUP(Tabela1[[#This Row],[Matrícula]],Equipe!B:F,5,0)</f>
        <v>Novo</v>
      </c>
    </row>
    <row r="513" spans="1:9">
      <c r="A513" s="83" t="s">
        <v>38</v>
      </c>
      <c r="B513" s="92">
        <f>_xlfn.XLOOKUP(A513,Equipe!H:H,Equipe!B:B,"",0)</f>
        <v>1385894</v>
      </c>
      <c r="C513" s="154">
        <v>46126</v>
      </c>
      <c r="D513" s="150">
        <f>(IF(Tabela1[[#This Row],[Início]]&lt;&gt;"",C513+E513-1,""))*1</f>
        <v>46146</v>
      </c>
      <c r="E513" s="83">
        <v>21</v>
      </c>
      <c r="F513" s="83" t="s">
        <v>14</v>
      </c>
      <c r="G513" s="88" t="s">
        <v>184</v>
      </c>
      <c r="H513" s="83" t="str">
        <f>_xlfn.XLOOKUP(Tabela1[[#This Row],[Matrícula]],Equipe!B:B,Equipe!E:E,"ERRO",0)</f>
        <v>P80</v>
      </c>
      <c r="I513" s="83" t="str">
        <f>VLOOKUP(Tabela1[[#This Row],[Matrícula]],Equipe!B:F,5,0)</f>
        <v>Experiente</v>
      </c>
    </row>
    <row r="514" spans="1:9" hidden="1">
      <c r="A514" s="83" t="s">
        <v>53</v>
      </c>
      <c r="B514" s="109">
        <f>_xlfn.XLOOKUP(A514,Equipe!H:H,Equipe!B:B,"",0)</f>
        <v>4608780</v>
      </c>
      <c r="C514" s="154">
        <v>46126</v>
      </c>
      <c r="D514" s="151">
        <f>(IF(Tabela1[[#This Row],[Início]]&lt;&gt;"",C514+E514-1,""))*1</f>
        <v>46126</v>
      </c>
      <c r="E514" s="83">
        <v>1</v>
      </c>
      <c r="F514" s="87" t="s">
        <v>14</v>
      </c>
      <c r="G514" s="88" t="s">
        <v>312</v>
      </c>
      <c r="H514" s="87" t="str">
        <f>_xlfn.XLOOKUP(Tabela1[[#This Row],[Matrícula]],Equipe!B:B,Equipe!E:E,"ERRO",0)</f>
        <v>P83</v>
      </c>
      <c r="I514" s="87" t="str">
        <f>VLOOKUP(Tabela1[[#This Row],[Matrícula]],Equipe!B:F,5,0)</f>
        <v>Novo</v>
      </c>
    </row>
    <row r="515" spans="1:9">
      <c r="A515" s="83" t="s">
        <v>22</v>
      </c>
      <c r="B515" s="109">
        <f>_xlfn.XLOOKUP(A515,Equipe!H:H,Equipe!B:B,"",0)</f>
        <v>4608389</v>
      </c>
      <c r="C515" s="154">
        <v>46127</v>
      </c>
      <c r="D515" s="151">
        <f>(IF(Tabela1[[#This Row],[Início]]&lt;&gt;"",C515+E515-1,""))*1</f>
        <v>46140</v>
      </c>
      <c r="E515" s="83">
        <v>14</v>
      </c>
      <c r="F515" s="87" t="s">
        <v>17</v>
      </c>
      <c r="G515" s="88" t="s">
        <v>61</v>
      </c>
      <c r="H515" s="87" t="str">
        <f>_xlfn.XLOOKUP(Tabela1[[#This Row],[Matrícula]],Equipe!B:B,Equipe!E:E,"ERRO",0)</f>
        <v>P80</v>
      </c>
      <c r="I515" s="87" t="str">
        <f>VLOOKUP(Tabela1[[#This Row],[Matrícula]],Equipe!B:F,5,0)</f>
        <v>Novo</v>
      </c>
    </row>
    <row r="516" spans="1:9" hidden="1">
      <c r="A516" s="83" t="s">
        <v>229</v>
      </c>
      <c r="B516" s="109">
        <f>_xlfn.XLOOKUP(A516,Equipe!H:H,Equipe!B:B,"",0)</f>
        <v>9921954</v>
      </c>
      <c r="C516" s="154">
        <v>46127</v>
      </c>
      <c r="D516" s="151">
        <v>46137</v>
      </c>
      <c r="E516" s="83">
        <v>10.5</v>
      </c>
      <c r="F516" s="87" t="s">
        <v>14</v>
      </c>
      <c r="G516" s="88" t="s">
        <v>332</v>
      </c>
      <c r="H516" s="87" t="str">
        <f>_xlfn.XLOOKUP(Tabela1[[#This Row],[Matrícula]],Equipe!B:B,Equipe!E:E,"ERRO",0)</f>
        <v>P82</v>
      </c>
      <c r="I516" s="87" t="str">
        <f>VLOOKUP(Tabela1[[#This Row],[Matrícula]],Equipe!B:F,5,0)</f>
        <v>Experiente</v>
      </c>
    </row>
    <row r="517" spans="1:9" hidden="1">
      <c r="A517" s="83" t="s">
        <v>207</v>
      </c>
      <c r="B517" s="109">
        <f>_xlfn.XLOOKUP(A517,Equipe!H:H,Equipe!B:B,"",0)</f>
        <v>1386288</v>
      </c>
      <c r="C517" s="154">
        <v>46128</v>
      </c>
      <c r="D517" s="151">
        <v>46138</v>
      </c>
      <c r="E517" s="83">
        <v>10</v>
      </c>
      <c r="F517" s="87" t="s">
        <v>17</v>
      </c>
      <c r="G517" s="88" t="s">
        <v>333</v>
      </c>
      <c r="H517" s="87" t="str">
        <f>_xlfn.XLOOKUP(Tabela1[[#This Row],[Matrícula]],Equipe!B:B,Equipe!E:E,"ERRO",0)</f>
        <v>P83</v>
      </c>
      <c r="I517" s="87" t="str">
        <f>VLOOKUP(Tabela1[[#This Row],[Matrícula]],Equipe!B:F,5,0)</f>
        <v>Experiente</v>
      </c>
    </row>
    <row r="518" spans="1:9">
      <c r="A518" s="87" t="s">
        <v>13</v>
      </c>
      <c r="B518" s="109">
        <f>_xlfn.XLOOKUP(A518,Equipe!H:H,Equipe!B:B,"",0)</f>
        <v>9762281</v>
      </c>
      <c r="C518" s="155">
        <v>46128</v>
      </c>
      <c r="D518" s="151">
        <f>(IF(Tabela1[[#This Row],[Início]]&lt;&gt;"",C518+E518-1,""))*1</f>
        <v>46129</v>
      </c>
      <c r="E518" s="87">
        <v>2</v>
      </c>
      <c r="F518" s="87" t="s">
        <v>14</v>
      </c>
      <c r="G518" s="93" t="s">
        <v>334</v>
      </c>
      <c r="H518" s="87" t="str">
        <f>_xlfn.XLOOKUP(Tabela1[[#This Row],[Matrícula]],Equipe!B:B,Equipe!E:E,"ERRO",0)</f>
        <v>P80</v>
      </c>
      <c r="I518" s="87" t="str">
        <f>VLOOKUP(Tabela1[[#This Row],[Matrícula]],Equipe!B:F,5,0)</f>
        <v>Experiente</v>
      </c>
    </row>
    <row r="519" spans="1:9" hidden="1">
      <c r="A519" s="83" t="s">
        <v>205</v>
      </c>
      <c r="B519" s="109">
        <f>_xlfn.XLOOKUP(A519,Equipe!H:H,Equipe!B:B,"",0)</f>
        <v>1385950</v>
      </c>
      <c r="C519" s="154">
        <v>46132</v>
      </c>
      <c r="D519" s="151">
        <f>(IF(Tabela1[[#This Row],[Início]]&lt;&gt;"",C519+E519-1,""))*1</f>
        <v>46132</v>
      </c>
      <c r="E519" s="83">
        <v>1</v>
      </c>
      <c r="F519" s="87" t="s">
        <v>14</v>
      </c>
      <c r="G519" s="88" t="s">
        <v>335</v>
      </c>
      <c r="H519" s="87" t="str">
        <f>_xlfn.XLOOKUP(Tabela1[[#This Row],[Matrícula]],Equipe!B:B,Equipe!E:E,"ERRO",0)</f>
        <v>P82</v>
      </c>
      <c r="I519" s="87" t="str">
        <f>VLOOKUP(Tabela1[[#This Row],[Matrícula]],Equipe!B:F,5,0)</f>
        <v>Experiente</v>
      </c>
    </row>
    <row r="520" spans="1:9" hidden="1">
      <c r="A520" s="87" t="s">
        <v>24</v>
      </c>
      <c r="B520" s="92">
        <f>_xlfn.XLOOKUP(A520,Equipe!H:H,Equipe!B:B,"",0)</f>
        <v>1385870</v>
      </c>
      <c r="C520" s="154">
        <v>46132</v>
      </c>
      <c r="D520" s="150">
        <f>(IF(Tabela1[[#This Row],[Início]]&lt;&gt;"",C520+E520-1,""))*1</f>
        <v>46132</v>
      </c>
      <c r="E520" s="83">
        <v>1</v>
      </c>
      <c r="F520" s="83" t="s">
        <v>14</v>
      </c>
      <c r="G520" s="93" t="s">
        <v>335</v>
      </c>
      <c r="H520" s="83" t="str">
        <f>_xlfn.XLOOKUP(Tabela1[[#This Row],[Matrícula]],Equipe!B:B,Equipe!E:E,"ERRO",0)</f>
        <v>P83</v>
      </c>
      <c r="I520" s="83" t="str">
        <f>VLOOKUP(Tabela1[[#This Row],[Matrícula]],Equipe!B:F,5,0)</f>
        <v>Experiente</v>
      </c>
    </row>
    <row r="521" spans="1:9" hidden="1">
      <c r="A521" s="83" t="s">
        <v>331</v>
      </c>
      <c r="B521" s="109">
        <f>_xlfn.XLOOKUP(A521,Equipe!H:H,Equipe!B:B,"",0)</f>
        <v>4613176</v>
      </c>
      <c r="C521" s="154">
        <v>46132</v>
      </c>
      <c r="D521" s="151">
        <f>(IF(Tabela1[[#This Row],[Início]]&lt;&gt;"",C521+E521-1,""))*1</f>
        <v>46132</v>
      </c>
      <c r="E521" s="83">
        <v>1</v>
      </c>
      <c r="F521" s="87" t="s">
        <v>14</v>
      </c>
      <c r="G521" s="93" t="s">
        <v>312</v>
      </c>
      <c r="H521" s="87" t="str">
        <f>_xlfn.XLOOKUP(Tabela1[[#This Row],[Matrícula]],Equipe!B:B,Equipe!E:E,"ERRO",0)</f>
        <v>P82</v>
      </c>
      <c r="I521" s="87" t="str">
        <f>VLOOKUP(Tabela1[[#This Row],[Matrícula]],Equipe!B:F,5,0)</f>
        <v>Novo</v>
      </c>
    </row>
    <row r="522" spans="1:9">
      <c r="A522" s="83" t="s">
        <v>264</v>
      </c>
      <c r="B522" s="92">
        <f>_xlfn.XLOOKUP(A522,Equipe!H:H,Equipe!B:B,"",0)</f>
        <v>9678697</v>
      </c>
      <c r="C522" s="154">
        <v>46132</v>
      </c>
      <c r="D522" s="150">
        <f>(IF(Tabela1[[#This Row],[Início]]&lt;&gt;"",C522+E522-1,""))*1</f>
        <v>46132</v>
      </c>
      <c r="E522" s="83">
        <v>1</v>
      </c>
      <c r="F522" s="83" t="s">
        <v>14</v>
      </c>
      <c r="G522" s="88" t="s">
        <v>336</v>
      </c>
      <c r="H522" s="83" t="str">
        <f>_xlfn.XLOOKUP(Tabela1[[#This Row],[Matrícula]],Equipe!B:B,Equipe!E:E,"ERRO",0)</f>
        <v>P80</v>
      </c>
      <c r="I522" s="83" t="str">
        <f>VLOOKUP(Tabela1[[#This Row],[Matrícula]],Equipe!B:F,5,0)</f>
        <v>Experiente</v>
      </c>
    </row>
    <row r="523" spans="1:9" hidden="1">
      <c r="A523" s="83" t="s">
        <v>65</v>
      </c>
      <c r="B523" s="109">
        <f>_xlfn.XLOOKUP(A523,Equipe!H:H,Equipe!B:B,"",0)</f>
        <v>4606246</v>
      </c>
      <c r="C523" s="154">
        <v>46132</v>
      </c>
      <c r="D523" s="151">
        <f>(IF(Tabela1[[#This Row],[Início]]&lt;&gt;"",C523+E523-1,""))*1</f>
        <v>46132</v>
      </c>
      <c r="E523" s="83">
        <v>1</v>
      </c>
      <c r="F523" s="87" t="s">
        <v>14</v>
      </c>
      <c r="G523" s="88" t="s">
        <v>337</v>
      </c>
      <c r="H523" s="87" t="str">
        <f>_xlfn.XLOOKUP(Tabela1[[#This Row],[Matrícula]],Equipe!B:B,Equipe!E:E,"ERRO",0)</f>
        <v>PBAC</v>
      </c>
      <c r="I523" s="87" t="str">
        <f>VLOOKUP(Tabela1[[#This Row],[Matrícula]],Equipe!B:F,5,0)</f>
        <v>Novo</v>
      </c>
    </row>
    <row r="524" spans="1:9" hidden="1">
      <c r="A524" s="83" t="s">
        <v>128</v>
      </c>
      <c r="B524" s="109">
        <f>_xlfn.XLOOKUP(A524,Equipe!H:H,Equipe!B:B,"",0)</f>
        <v>229316</v>
      </c>
      <c r="C524" s="154">
        <v>46132</v>
      </c>
      <c r="D524" s="151">
        <f>(IF(Tabela1[[#This Row],[Início]]&lt;&gt;"",C524+E524-1,""))*1</f>
        <v>46132</v>
      </c>
      <c r="E524" s="83">
        <v>1</v>
      </c>
      <c r="F524" s="87" t="s">
        <v>14</v>
      </c>
      <c r="G524" s="146"/>
      <c r="H524" s="87" t="str">
        <f>_xlfn.XLOOKUP(Tabela1[[#This Row],[Matrícula]],Equipe!B:B,Equipe!E:E,"ERRO",0)</f>
        <v>PBAC</v>
      </c>
      <c r="I524" s="87" t="str">
        <f>VLOOKUP(Tabela1[[#This Row],[Matrícula]],Equipe!B:F,5,0)</f>
        <v>Experiente</v>
      </c>
    </row>
    <row r="525" spans="1:9">
      <c r="A525" s="87" t="s">
        <v>13</v>
      </c>
      <c r="B525" s="109">
        <f>_xlfn.XLOOKUP(A525,Equipe!H:H,Equipe!B:B,"",0)</f>
        <v>9762281</v>
      </c>
      <c r="C525" s="155">
        <v>46132</v>
      </c>
      <c r="D525" s="151">
        <f>(IF(Tabela1[[#This Row],[Início]]&lt;&gt;"",C525+E525-1,""))*1</f>
        <v>46132</v>
      </c>
      <c r="E525" s="87">
        <v>1</v>
      </c>
      <c r="F525" s="87" t="s">
        <v>14</v>
      </c>
      <c r="G525" s="93" t="s">
        <v>334</v>
      </c>
      <c r="H525" s="87" t="str">
        <f>_xlfn.XLOOKUP(Tabela1[[#This Row],[Matrícula]],Equipe!B:B,Equipe!E:E,"ERRO",0)</f>
        <v>P80</v>
      </c>
      <c r="I525" s="87" t="str">
        <f>VLOOKUP(Tabela1[[#This Row],[Matrícula]],Equipe!B:F,5,0)</f>
        <v>Experiente</v>
      </c>
    </row>
    <row r="526" spans="1:9">
      <c r="A526" s="83" t="s">
        <v>225</v>
      </c>
      <c r="B526" s="92">
        <f>_xlfn.XLOOKUP(A526,Equipe!H:H,Equipe!B:B,"",0)</f>
        <v>2448533</v>
      </c>
      <c r="C526" s="154">
        <v>46132</v>
      </c>
      <c r="D526" s="150">
        <f>(IF(Tabela1[[#This Row],[Início]]&lt;&gt;"",C526+E526-1,""))*1</f>
        <v>46132</v>
      </c>
      <c r="E526" s="83">
        <v>1</v>
      </c>
      <c r="F526" s="83" t="s">
        <v>14</v>
      </c>
      <c r="G526" s="88" t="s">
        <v>338</v>
      </c>
      <c r="H526" s="83" t="str">
        <f>_xlfn.XLOOKUP(Tabela1[[#This Row],[Matrícula]],Equipe!B:B,Equipe!E:E,"ERRO",0)</f>
        <v>P80</v>
      </c>
      <c r="I526" s="83" t="str">
        <f>VLOOKUP(Tabela1[[#This Row],[Matrícula]],Equipe!B:F,5,0)</f>
        <v>Experiente</v>
      </c>
    </row>
    <row r="527" spans="1:9" hidden="1">
      <c r="A527" s="83" t="s">
        <v>318</v>
      </c>
      <c r="B527" s="92">
        <f>_xlfn.XLOOKUP(A527,Equipe!H:H,Equipe!B:B,"",0)</f>
        <v>4613186</v>
      </c>
      <c r="C527" s="154">
        <v>46133</v>
      </c>
      <c r="D527" s="150">
        <f>(IF(Tabela1[[#This Row],[Início]]&lt;&gt;"",C527+E527-1,""))*1</f>
        <v>46138</v>
      </c>
      <c r="E527" s="83">
        <v>6</v>
      </c>
      <c r="F527" s="83" t="s">
        <v>17</v>
      </c>
      <c r="G527" s="88" t="s">
        <v>32</v>
      </c>
      <c r="H527" s="83" t="str">
        <f>_xlfn.XLOOKUP(Tabela1[[#This Row],[Matrícula]],Equipe!B:B,Equipe!E:E,"ERRO",0)</f>
        <v>P83</v>
      </c>
      <c r="I527" s="83" t="str">
        <f>VLOOKUP(Tabela1[[#This Row],[Matrícula]],Equipe!B:F,5,0)</f>
        <v>Novo</v>
      </c>
    </row>
    <row r="528" spans="1:9" hidden="1">
      <c r="A528" s="83" t="s">
        <v>111</v>
      </c>
      <c r="B528" s="109">
        <f>_xlfn.XLOOKUP(A528,Equipe!H:H,Equipe!B:B,"",0)</f>
        <v>4612126</v>
      </c>
      <c r="C528" s="154">
        <v>46133</v>
      </c>
      <c r="D528" s="151">
        <v>46147</v>
      </c>
      <c r="E528" s="83">
        <v>14</v>
      </c>
      <c r="F528" s="87" t="s">
        <v>17</v>
      </c>
      <c r="G528" s="88" t="s">
        <v>339</v>
      </c>
      <c r="H528" s="87" t="str">
        <f>_xlfn.XLOOKUP(Tabela1[[#This Row],[Matrícula]],Equipe!B:B,Equipe!E:E,"ERRO",0)</f>
        <v>P82</v>
      </c>
      <c r="I528" s="87" t="str">
        <f>VLOOKUP(Tabela1[[#This Row],[Matrícula]],Equipe!B:F,5,0)</f>
        <v>Novo</v>
      </c>
    </row>
    <row r="529" spans="1:9" hidden="1">
      <c r="A529" s="83" t="s">
        <v>113</v>
      </c>
      <c r="B529" s="92">
        <f>_xlfn.XLOOKUP(A529,Equipe!H:H,Equipe!B:B,"",0)</f>
        <v>4612192</v>
      </c>
      <c r="C529" s="152">
        <v>46133</v>
      </c>
      <c r="D529" s="152">
        <f>((IF(Tabela1[[#This Row],[Início]]&lt;&gt;"",C529+E529-1,""))*1)*1</f>
        <v>46146</v>
      </c>
      <c r="E529" s="83">
        <v>14</v>
      </c>
      <c r="F529" s="83" t="s">
        <v>17</v>
      </c>
      <c r="G529" s="88" t="s">
        <v>178</v>
      </c>
      <c r="H529" s="83" t="str">
        <f>_xlfn.XLOOKUP(Tabela1[[#This Row],[Matrícula]],Equipe!B:B,Equipe!E:E,"ERRO",0)</f>
        <v>P82</v>
      </c>
      <c r="I529" s="83" t="str">
        <f>VLOOKUP(Tabela1[[#This Row],[Matrícula]],Equipe!B:F,5,0)</f>
        <v>Novo</v>
      </c>
    </row>
    <row r="530" spans="1:9" hidden="1">
      <c r="A530" s="83" t="s">
        <v>205</v>
      </c>
      <c r="B530" s="109">
        <f>_xlfn.XLOOKUP(A530,Equipe!H:H,Equipe!B:B,"",0)</f>
        <v>1385950</v>
      </c>
      <c r="C530" s="154">
        <v>46134</v>
      </c>
      <c r="D530" s="151">
        <f>(IF(Tabela1[[#This Row],[Início]]&lt;&gt;"",C530+E530-1,""))*1</f>
        <v>46134</v>
      </c>
      <c r="E530" s="83">
        <v>1</v>
      </c>
      <c r="F530" s="87" t="s">
        <v>14</v>
      </c>
      <c r="G530" s="88" t="s">
        <v>335</v>
      </c>
      <c r="H530" s="87" t="str">
        <f>_xlfn.XLOOKUP(Tabela1[[#This Row],[Matrícula]],Equipe!B:B,Equipe!E:E,"ERRO",0)</f>
        <v>P82</v>
      </c>
      <c r="I530" s="87" t="str">
        <f>VLOOKUP(Tabela1[[#This Row],[Matrícula]],Equipe!B:F,5,0)</f>
        <v>Experiente</v>
      </c>
    </row>
    <row r="531" spans="1:9" hidden="1">
      <c r="A531" s="87" t="s">
        <v>24</v>
      </c>
      <c r="B531" s="92">
        <f>_xlfn.XLOOKUP(A531,Equipe!H:H,Equipe!B:B,"",0)</f>
        <v>1385870</v>
      </c>
      <c r="C531" s="154">
        <v>46134</v>
      </c>
      <c r="D531" s="150">
        <f>(IF(Tabela1[[#This Row],[Início]]&lt;&gt;"",C531+E531-1,""))*1</f>
        <v>46134</v>
      </c>
      <c r="E531" s="83">
        <v>1</v>
      </c>
      <c r="F531" s="83" t="s">
        <v>14</v>
      </c>
      <c r="G531" s="93" t="s">
        <v>335</v>
      </c>
      <c r="H531" s="83" t="str">
        <f>_xlfn.XLOOKUP(Tabela1[[#This Row],[Matrícula]],Equipe!B:B,Equipe!E:E,"ERRO",0)</f>
        <v>P83</v>
      </c>
      <c r="I531" s="83" t="str">
        <f>VLOOKUP(Tabela1[[#This Row],[Matrícula]],Equipe!B:F,5,0)</f>
        <v>Experiente</v>
      </c>
    </row>
    <row r="532" spans="1:9">
      <c r="A532" s="83" t="s">
        <v>264</v>
      </c>
      <c r="B532" s="92">
        <f>_xlfn.XLOOKUP(A532,Equipe!H:H,Equipe!B:B,"",0)</f>
        <v>9678697</v>
      </c>
      <c r="C532" s="154">
        <v>46134</v>
      </c>
      <c r="D532" s="150">
        <f>(IF(Tabela1[[#This Row],[Início]]&lt;&gt;"",C532+E532-1,""))*1</f>
        <v>46134</v>
      </c>
      <c r="E532" s="83">
        <v>1</v>
      </c>
      <c r="F532" s="83" t="s">
        <v>14</v>
      </c>
      <c r="G532" s="88" t="s">
        <v>340</v>
      </c>
      <c r="H532" s="83" t="str">
        <f>_xlfn.XLOOKUP(Tabela1[[#This Row],[Matrícula]],Equipe!B:B,Equipe!E:E,"ERRO",0)</f>
        <v>P80</v>
      </c>
      <c r="I532" s="83" t="str">
        <f>VLOOKUP(Tabela1[[#This Row],[Matrícula]],Equipe!B:F,5,0)</f>
        <v>Experiente</v>
      </c>
    </row>
    <row r="533" spans="1:9" hidden="1">
      <c r="A533" s="83" t="s">
        <v>65</v>
      </c>
      <c r="B533" s="109">
        <f>_xlfn.XLOOKUP(A533,Equipe!H:H,Equipe!B:B,"",0)</f>
        <v>4606246</v>
      </c>
      <c r="C533" s="154">
        <v>46134</v>
      </c>
      <c r="D533" s="151">
        <f>(IF(Tabela1[[#This Row],[Início]]&lt;&gt;"",C533+E533-1,""))*1</f>
        <v>46134</v>
      </c>
      <c r="E533" s="83">
        <v>1</v>
      </c>
      <c r="F533" s="87" t="s">
        <v>14</v>
      </c>
      <c r="G533" s="88" t="s">
        <v>337</v>
      </c>
      <c r="H533" s="87" t="str">
        <f>_xlfn.XLOOKUP(Tabela1[[#This Row],[Matrícula]],Equipe!B:B,Equipe!E:E,"ERRO",0)</f>
        <v>PBAC</v>
      </c>
      <c r="I533" s="87" t="str">
        <f>VLOOKUP(Tabela1[[#This Row],[Matrícula]],Equipe!B:F,5,0)</f>
        <v>Novo</v>
      </c>
    </row>
    <row r="534" spans="1:9">
      <c r="A534" s="87" t="s">
        <v>13</v>
      </c>
      <c r="B534" s="109">
        <f>_xlfn.XLOOKUP(A534,Equipe!H:H,Equipe!B:B,"",0)</f>
        <v>9762281</v>
      </c>
      <c r="C534" s="155">
        <v>46134</v>
      </c>
      <c r="D534" s="151">
        <f>(IF(Tabela1[[#This Row],[Início]]&lt;&gt;"",C534+E534-1,""))*1</f>
        <v>46134</v>
      </c>
      <c r="E534" s="87">
        <v>1</v>
      </c>
      <c r="F534" s="87" t="s">
        <v>14</v>
      </c>
      <c r="G534" s="93" t="s">
        <v>334</v>
      </c>
      <c r="H534" s="87" t="str">
        <f>_xlfn.XLOOKUP(Tabela1[[#This Row],[Matrícula]],Equipe!B:B,Equipe!E:E,"ERRO",0)</f>
        <v>P80</v>
      </c>
      <c r="I534" s="87" t="str">
        <f>VLOOKUP(Tabela1[[#This Row],[Matrícula]],Equipe!B:F,5,0)</f>
        <v>Experiente</v>
      </c>
    </row>
    <row r="535" spans="1:9">
      <c r="A535" s="83" t="s">
        <v>108</v>
      </c>
      <c r="B535" s="109">
        <f>_xlfn.XLOOKUP(A535,Equipe!H:H,Equipe!B:B,"",0)</f>
        <v>4612243</v>
      </c>
      <c r="C535" s="154">
        <v>46134</v>
      </c>
      <c r="D535" s="151">
        <f>(IF(Tabela1[[#This Row],[Início]]&lt;&gt;"",C535+E535-1,""))*1</f>
        <v>46134</v>
      </c>
      <c r="E535" s="83">
        <v>1</v>
      </c>
      <c r="F535" s="87" t="s">
        <v>14</v>
      </c>
      <c r="G535" s="88" t="s">
        <v>335</v>
      </c>
      <c r="H535" s="87" t="str">
        <f>_xlfn.XLOOKUP(Tabela1[[#This Row],[Matrícula]],Equipe!B:B,Equipe!E:E,"ERRO",0)</f>
        <v>P80</v>
      </c>
      <c r="I535" s="87" t="str">
        <f>VLOOKUP(Tabela1[[#This Row],[Matrícula]],Equipe!B:F,5,0)</f>
        <v>Novo</v>
      </c>
    </row>
    <row r="536" spans="1:9">
      <c r="A536" s="83" t="s">
        <v>36</v>
      </c>
      <c r="B536" s="92">
        <f>_xlfn.XLOOKUP(A536,Equipe!H:H,Equipe!B:B,"",0)</f>
        <v>4608721</v>
      </c>
      <c r="C536" s="154">
        <v>46134</v>
      </c>
      <c r="D536" s="150">
        <f>(IF(Tabela1[[#This Row],[Início]]&lt;&gt;"",C536+E536-1,""))*1</f>
        <v>46134</v>
      </c>
      <c r="E536" s="83">
        <v>1</v>
      </c>
      <c r="F536" s="83" t="s">
        <v>14</v>
      </c>
      <c r="G536" s="93" t="s">
        <v>335</v>
      </c>
      <c r="H536" s="83" t="str">
        <f>_xlfn.XLOOKUP(Tabela1[[#This Row],[Matrícula]],Equipe!B:B,Equipe!E:E,"ERRO",0)</f>
        <v>P80</v>
      </c>
      <c r="I536" s="83" t="str">
        <f>VLOOKUP(Tabela1[[#This Row],[Matrícula]],Equipe!B:F,5,0)</f>
        <v>Novo</v>
      </c>
    </row>
    <row r="537" spans="1:9">
      <c r="A537" s="83" t="s">
        <v>225</v>
      </c>
      <c r="B537" s="92">
        <f>_xlfn.XLOOKUP(A537,Equipe!H:H,Equipe!B:B,"",0)</f>
        <v>2448533</v>
      </c>
      <c r="C537" s="154">
        <v>46134</v>
      </c>
      <c r="D537" s="150">
        <f>(IF(Tabela1[[#This Row],[Início]]&lt;&gt;"",C537+E537-1,""))*1</f>
        <v>46134</v>
      </c>
      <c r="E537" s="83">
        <v>1</v>
      </c>
      <c r="F537" s="83" t="s">
        <v>14</v>
      </c>
      <c r="G537" s="88" t="s">
        <v>312</v>
      </c>
      <c r="H537" s="83" t="str">
        <f>_xlfn.XLOOKUP(Tabela1[[#This Row],[Matrícula]],Equipe!B:B,Equipe!E:E,"ERRO",0)</f>
        <v>P80</v>
      </c>
      <c r="I537" s="83" t="str">
        <f>VLOOKUP(Tabela1[[#This Row],[Matrícula]],Equipe!B:F,5,0)</f>
        <v>Experiente</v>
      </c>
    </row>
    <row r="538" spans="1:9" hidden="1">
      <c r="A538" s="83" t="s">
        <v>205</v>
      </c>
      <c r="B538" s="109">
        <f>_xlfn.XLOOKUP(A538,Equipe!H:H,Equipe!B:B,"",0)</f>
        <v>1385950</v>
      </c>
      <c r="C538" s="154">
        <v>46136</v>
      </c>
      <c r="D538" s="151">
        <f>(IF(Tabela1[[#This Row],[Início]]&lt;&gt;"",C538+E538-1,""))*1</f>
        <v>46136</v>
      </c>
      <c r="E538" s="83">
        <v>1</v>
      </c>
      <c r="F538" s="87" t="s">
        <v>14</v>
      </c>
      <c r="G538" s="88" t="s">
        <v>335</v>
      </c>
      <c r="H538" s="87" t="str">
        <f>_xlfn.XLOOKUP(Tabela1[[#This Row],[Matrícula]],Equipe!B:B,Equipe!E:E,"ERRO",0)</f>
        <v>P82</v>
      </c>
      <c r="I538" s="87" t="str">
        <f>VLOOKUP(Tabela1[[#This Row],[Matrícula]],Equipe!B:F,5,0)</f>
        <v>Experiente</v>
      </c>
    </row>
    <row r="539" spans="1:9" hidden="1">
      <c r="A539" s="83" t="s">
        <v>239</v>
      </c>
      <c r="B539" s="109">
        <f>_xlfn.XLOOKUP(A539,Equipe!H:H,Equipe!B:B,"",0)</f>
        <v>1387328</v>
      </c>
      <c r="C539" s="154">
        <v>46136</v>
      </c>
      <c r="D539" s="151">
        <f>(IF(Tabela1[[#This Row],[Início]]&lt;&gt;"",C539+E539-1,""))*1</f>
        <v>46136</v>
      </c>
      <c r="E539" s="83">
        <v>1</v>
      </c>
      <c r="F539" s="87" t="s">
        <v>14</v>
      </c>
      <c r="G539" s="88" t="s">
        <v>240</v>
      </c>
      <c r="H539" s="87" t="str">
        <f>_xlfn.XLOOKUP(Tabela1[[#This Row],[Matrícula]],Equipe!B:B,Equipe!E:E,"ERRO",0)</f>
        <v>P82</v>
      </c>
      <c r="I539" s="87" t="str">
        <f>VLOOKUP(Tabela1[[#This Row],[Matrícula]],Equipe!B:F,5,0)</f>
        <v>Experiente</v>
      </c>
    </row>
    <row r="540" spans="1:9" hidden="1">
      <c r="A540" s="87" t="s">
        <v>24</v>
      </c>
      <c r="B540" s="92">
        <f>_xlfn.XLOOKUP(A540,Equipe!H:H,Equipe!B:B,"",0)</f>
        <v>1385870</v>
      </c>
      <c r="C540" s="154">
        <v>46136</v>
      </c>
      <c r="D540" s="150">
        <f>(IF(Tabela1[[#This Row],[Início]]&lt;&gt;"",C540+E540-1,""))*1</f>
        <v>46136</v>
      </c>
      <c r="E540" s="83">
        <v>1</v>
      </c>
      <c r="F540" s="83" t="s">
        <v>14</v>
      </c>
      <c r="G540" s="93" t="s">
        <v>335</v>
      </c>
      <c r="H540" s="83" t="str">
        <f>_xlfn.XLOOKUP(Tabela1[[#This Row],[Matrícula]],Equipe!B:B,Equipe!E:E,"ERRO",0)</f>
        <v>P83</v>
      </c>
      <c r="I540" s="83" t="str">
        <f>VLOOKUP(Tabela1[[#This Row],[Matrícula]],Equipe!B:F,5,0)</f>
        <v>Experiente</v>
      </c>
    </row>
    <row r="541" spans="1:9" hidden="1">
      <c r="A541" s="83" t="s">
        <v>70</v>
      </c>
      <c r="B541" s="109">
        <f>_xlfn.XLOOKUP(A541,Equipe!H:H,Equipe!B:B,"",0)</f>
        <v>9618720</v>
      </c>
      <c r="C541" s="154">
        <v>46136</v>
      </c>
      <c r="D541" s="151">
        <f>(IF(Tabela1[[#This Row],[Início]]&lt;&gt;"",C541+E541-1,""))*1</f>
        <v>46136</v>
      </c>
      <c r="E541" s="83">
        <v>1</v>
      </c>
      <c r="F541" s="87" t="s">
        <v>14</v>
      </c>
      <c r="G541" s="88" t="s">
        <v>341</v>
      </c>
      <c r="H541" s="87" t="str">
        <f>_xlfn.XLOOKUP(Tabela1[[#This Row],[Matrícula]],Equipe!B:B,Equipe!E:E,"ERRO",0)</f>
        <v>P82</v>
      </c>
      <c r="I541" s="87" t="str">
        <f>VLOOKUP(Tabela1[[#This Row],[Matrícula]],Equipe!B:F,5,0)</f>
        <v>Experiente</v>
      </c>
    </row>
    <row r="542" spans="1:9" hidden="1">
      <c r="A542" s="83" t="s">
        <v>37</v>
      </c>
      <c r="B542" s="109">
        <f>_xlfn.XLOOKUP(A542,Equipe!H:H,Equipe!B:B,"",0)</f>
        <v>2493288</v>
      </c>
      <c r="C542" s="154">
        <v>46136</v>
      </c>
      <c r="D542" s="151">
        <f>(IF(Tabela1[[#This Row],[Início]]&lt;&gt;"",C542+E542-1,""))*1</f>
        <v>46136</v>
      </c>
      <c r="E542" s="83">
        <v>1</v>
      </c>
      <c r="F542" s="87" t="s">
        <v>14</v>
      </c>
      <c r="G542" s="88" t="s">
        <v>342</v>
      </c>
      <c r="H542" s="87" t="str">
        <f>_xlfn.XLOOKUP(Tabela1[[#This Row],[Matrícula]],Equipe!B:B,Equipe!E:E,"ERRO",0)</f>
        <v>PBAC</v>
      </c>
      <c r="I542" s="87" t="str">
        <f>VLOOKUP(Tabela1[[#This Row],[Matrícula]],Equipe!B:F,5,0)</f>
        <v>Experiente</v>
      </c>
    </row>
    <row r="543" spans="1:9" hidden="1">
      <c r="A543" s="83" t="s">
        <v>331</v>
      </c>
      <c r="B543" s="109">
        <f>_xlfn.XLOOKUP(A543,Equipe!H:H,Equipe!B:B,"",0)</f>
        <v>4613176</v>
      </c>
      <c r="C543" s="154">
        <v>46136</v>
      </c>
      <c r="D543" s="151">
        <f>(IF(Tabela1[[#This Row],[Início]]&lt;&gt;"",C543+E543-1,""))*1</f>
        <v>46136</v>
      </c>
      <c r="E543" s="83">
        <v>1</v>
      </c>
      <c r="F543" s="87" t="s">
        <v>14</v>
      </c>
      <c r="G543" s="88" t="s">
        <v>312</v>
      </c>
      <c r="H543" s="87" t="str">
        <f>_xlfn.XLOOKUP(Tabela1[[#This Row],[Matrícula]],Equipe!B:B,Equipe!E:E,"ERRO",0)</f>
        <v>P82</v>
      </c>
      <c r="I543" s="87" t="str">
        <f>VLOOKUP(Tabela1[[#This Row],[Matrícula]],Equipe!B:F,5,0)</f>
        <v>Novo</v>
      </c>
    </row>
    <row r="544" spans="1:9">
      <c r="A544" s="83" t="s">
        <v>264</v>
      </c>
      <c r="B544" s="92">
        <f>_xlfn.XLOOKUP(A544,Equipe!H:H,Equipe!B:B,"",0)</f>
        <v>9678697</v>
      </c>
      <c r="C544" s="154">
        <v>46136</v>
      </c>
      <c r="D544" s="150">
        <f>(IF(Tabela1[[#This Row],[Início]]&lt;&gt;"",C544+E544-1,""))*1</f>
        <v>46136</v>
      </c>
      <c r="E544" s="83">
        <v>1</v>
      </c>
      <c r="F544" s="83" t="s">
        <v>14</v>
      </c>
      <c r="G544" s="88" t="s">
        <v>343</v>
      </c>
      <c r="H544" s="83" t="str">
        <f>_xlfn.XLOOKUP(Tabela1[[#This Row],[Matrícula]],Equipe!B:B,Equipe!E:E,"ERRO",0)</f>
        <v>P80</v>
      </c>
      <c r="I544" s="83" t="str">
        <f>VLOOKUP(Tabela1[[#This Row],[Matrícula]],Equipe!B:F,5,0)</f>
        <v>Experiente</v>
      </c>
    </row>
    <row r="545" spans="1:9" hidden="1">
      <c r="A545" s="83" t="s">
        <v>65</v>
      </c>
      <c r="B545" s="109">
        <f>_xlfn.XLOOKUP(A545,Equipe!H:H,Equipe!B:B,"",0)</f>
        <v>4606246</v>
      </c>
      <c r="C545" s="154">
        <v>46136</v>
      </c>
      <c r="D545" s="151">
        <f>(IF(Tabela1[[#This Row],[Início]]&lt;&gt;"",C545+E545-1,""))*1</f>
        <v>46136</v>
      </c>
      <c r="E545" s="83">
        <v>1</v>
      </c>
      <c r="F545" s="87" t="s">
        <v>14</v>
      </c>
      <c r="G545" s="88" t="s">
        <v>337</v>
      </c>
      <c r="H545" s="87" t="str">
        <f>_xlfn.XLOOKUP(Tabela1[[#This Row],[Matrícula]],Equipe!B:B,Equipe!E:E,"ERRO",0)</f>
        <v>PBAC</v>
      </c>
      <c r="I545" s="87" t="str">
        <f>VLOOKUP(Tabela1[[#This Row],[Matrícula]],Equipe!B:F,5,0)</f>
        <v>Novo</v>
      </c>
    </row>
    <row r="546" spans="1:9">
      <c r="A546" s="87" t="s">
        <v>13</v>
      </c>
      <c r="B546" s="109">
        <f>_xlfn.XLOOKUP(A546,Equipe!H:H,Equipe!B:B,"",0)</f>
        <v>9762281</v>
      </c>
      <c r="C546" s="155">
        <v>46136</v>
      </c>
      <c r="D546" s="151">
        <f>(IF(Tabela1[[#This Row],[Início]]&lt;&gt;"",C546+E546-1,""))*1</f>
        <v>46136</v>
      </c>
      <c r="E546" s="87">
        <v>1</v>
      </c>
      <c r="F546" s="87" t="s">
        <v>14</v>
      </c>
      <c r="G546" s="93" t="s">
        <v>334</v>
      </c>
      <c r="H546" s="87" t="str">
        <f>_xlfn.XLOOKUP(Tabela1[[#This Row],[Matrícula]],Equipe!B:B,Equipe!E:E,"ERRO",0)</f>
        <v>P80</v>
      </c>
      <c r="I546" s="87" t="str">
        <f>VLOOKUP(Tabela1[[#This Row],[Matrícula]],Equipe!B:F,5,0)</f>
        <v>Experiente</v>
      </c>
    </row>
    <row r="547" spans="1:9">
      <c r="A547" s="83" t="s">
        <v>108</v>
      </c>
      <c r="B547" s="109">
        <f>_xlfn.XLOOKUP(A547,Equipe!H:H,Equipe!B:B,"",0)</f>
        <v>4612243</v>
      </c>
      <c r="C547" s="154">
        <v>46136</v>
      </c>
      <c r="D547" s="151">
        <f>(IF(Tabela1[[#This Row],[Início]]&lt;&gt;"",C547+E547-1,""))*1</f>
        <v>46136</v>
      </c>
      <c r="E547" s="83">
        <v>1</v>
      </c>
      <c r="F547" s="87" t="s">
        <v>14</v>
      </c>
      <c r="G547" s="88" t="s">
        <v>335</v>
      </c>
      <c r="H547" s="87" t="str">
        <f>_xlfn.XLOOKUP(Tabela1[[#This Row],[Matrícula]],Equipe!B:B,Equipe!E:E,"ERRO",0)</f>
        <v>P80</v>
      </c>
      <c r="I547" s="87" t="str">
        <f>VLOOKUP(Tabela1[[#This Row],[Matrícula]],Equipe!B:F,5,0)</f>
        <v>Novo</v>
      </c>
    </row>
    <row r="548" spans="1:9">
      <c r="A548" s="83" t="s">
        <v>36</v>
      </c>
      <c r="B548" s="92">
        <f>_xlfn.XLOOKUP(A548,Equipe!H:H,Equipe!B:B,"",0)</f>
        <v>4608721</v>
      </c>
      <c r="C548" s="154">
        <v>46136</v>
      </c>
      <c r="D548" s="150">
        <f>(IF(Tabela1[[#This Row],[Início]]&lt;&gt;"",C548+E548-1,""))*1</f>
        <v>46136</v>
      </c>
      <c r="E548" s="83">
        <v>1</v>
      </c>
      <c r="F548" s="83" t="s">
        <v>14</v>
      </c>
      <c r="G548" s="93" t="s">
        <v>335</v>
      </c>
      <c r="H548" s="83" t="str">
        <f>_xlfn.XLOOKUP(Tabela1[[#This Row],[Matrícula]],Equipe!B:B,Equipe!E:E,"ERRO",0)</f>
        <v>P80</v>
      </c>
      <c r="I548" s="83" t="str">
        <f>VLOOKUP(Tabela1[[#This Row],[Matrícula]],Equipe!B:F,5,0)</f>
        <v>Novo</v>
      </c>
    </row>
    <row r="549" spans="1:9">
      <c r="A549" s="83" t="s">
        <v>225</v>
      </c>
      <c r="B549" s="92">
        <f>_xlfn.XLOOKUP(A549,Equipe!H:H,Equipe!B:B,"",0)</f>
        <v>2448533</v>
      </c>
      <c r="C549" s="154">
        <v>46136</v>
      </c>
      <c r="D549" s="150">
        <f>(IF(Tabela1[[#This Row],[Início]]&lt;&gt;"",C549+E549-1,""))*1</f>
        <v>46136</v>
      </c>
      <c r="E549" s="83">
        <v>1</v>
      </c>
      <c r="F549" s="83" t="s">
        <v>14</v>
      </c>
      <c r="G549" s="88" t="s">
        <v>312</v>
      </c>
      <c r="H549" s="83" t="str">
        <f>_xlfn.XLOOKUP(Tabela1[[#This Row],[Matrícula]],Equipe!B:B,Equipe!E:E,"ERRO",0)</f>
        <v>P80</v>
      </c>
      <c r="I549" s="83" t="str">
        <f>VLOOKUP(Tabela1[[#This Row],[Matrícula]],Equipe!B:F,5,0)</f>
        <v>Experiente</v>
      </c>
    </row>
    <row r="550" spans="1:9">
      <c r="A550" s="83" t="s">
        <v>44</v>
      </c>
      <c r="B550" s="92">
        <f>_xlfn.XLOOKUP(A550,Equipe!H:H,Equipe!B:B,"",0)</f>
        <v>1381625</v>
      </c>
      <c r="C550" s="154">
        <v>46136</v>
      </c>
      <c r="D550" s="150">
        <f>(IF(Tabela1[[#This Row],[Início]]&lt;&gt;"",C550+E550-1,""))*1</f>
        <v>46156</v>
      </c>
      <c r="E550" s="83">
        <v>21</v>
      </c>
      <c r="F550" s="83" t="s">
        <v>14</v>
      </c>
      <c r="G550" s="88" t="s">
        <v>344</v>
      </c>
      <c r="H550" s="83" t="str">
        <f>_xlfn.XLOOKUP(Tabela1[[#This Row],[Matrícula]],Equipe!B:B,Equipe!E:E,"ERRO",0)</f>
        <v>P80</v>
      </c>
      <c r="I550" s="83" t="str">
        <f>VLOOKUP(Tabela1[[#This Row],[Matrícula]],Equipe!B:F,5,0)</f>
        <v>Experiente</v>
      </c>
    </row>
    <row r="551" spans="1:9" hidden="1">
      <c r="A551" s="83" t="s">
        <v>207</v>
      </c>
      <c r="B551" s="109">
        <f>_xlfn.XLOOKUP(A551,Equipe!H:H,Equipe!B:B,"",0)</f>
        <v>1386288</v>
      </c>
      <c r="C551" s="154">
        <v>46138</v>
      </c>
      <c r="D551" s="151">
        <v>46152</v>
      </c>
      <c r="E551" s="83">
        <v>15</v>
      </c>
      <c r="F551" s="87" t="s">
        <v>14</v>
      </c>
      <c r="G551" s="88" t="s">
        <v>167</v>
      </c>
      <c r="H551" s="87" t="str">
        <f>_xlfn.XLOOKUP(Tabela1[[#This Row],[Matrícula]],Equipe!B:B,Equipe!E:E,"ERRO",0)</f>
        <v>P83</v>
      </c>
      <c r="I551" s="87" t="str">
        <f>VLOOKUP(Tabela1[[#This Row],[Matrícula]],Equipe!B:F,5,0)</f>
        <v>Experiente</v>
      </c>
    </row>
    <row r="552" spans="1:9" ht="43.5" hidden="1">
      <c r="A552" s="83" t="s">
        <v>205</v>
      </c>
      <c r="B552" s="109">
        <f>_xlfn.XLOOKUP(A552,Equipe!H:H,Equipe!B:B,"",0)</f>
        <v>1385950</v>
      </c>
      <c r="C552" s="154">
        <v>46139</v>
      </c>
      <c r="D552" s="151">
        <f>(IF(Tabela1[[#This Row],[Início]]&lt;&gt;"",C552+E552-1,""))*1</f>
        <v>46142</v>
      </c>
      <c r="E552" s="83">
        <v>4</v>
      </c>
      <c r="F552" s="87" t="s">
        <v>11</v>
      </c>
      <c r="G552" s="88" t="s">
        <v>345</v>
      </c>
      <c r="H552" s="87" t="str">
        <f>_xlfn.XLOOKUP(Tabela1[[#This Row],[Matrícula]],Equipe!B:B,Equipe!E:E,"ERRO",0)</f>
        <v>P82</v>
      </c>
      <c r="I552" s="87" t="str">
        <f>VLOOKUP(Tabela1[[#This Row],[Matrícula]],Equipe!B:F,5,0)</f>
        <v>Experiente</v>
      </c>
    </row>
    <row r="553" spans="1:9" ht="57.95" hidden="1">
      <c r="A553" s="83" t="s">
        <v>239</v>
      </c>
      <c r="B553" s="109">
        <f>_xlfn.XLOOKUP(A553,Equipe!H:H,Equipe!B:B,"",0)</f>
        <v>1387328</v>
      </c>
      <c r="C553" s="154">
        <v>46139</v>
      </c>
      <c r="D553" s="151">
        <f>(IF(Tabela1[[#This Row],[Início]]&lt;&gt;"",C553+E553-1,""))*1</f>
        <v>46142</v>
      </c>
      <c r="E553" s="83">
        <v>4</v>
      </c>
      <c r="F553" s="87" t="s">
        <v>11</v>
      </c>
      <c r="G553" s="88" t="s">
        <v>346</v>
      </c>
      <c r="H553" s="87" t="str">
        <f>_xlfn.XLOOKUP(Tabela1[[#This Row],[Matrícula]],Equipe!B:B,Equipe!E:E,"ERRO",0)</f>
        <v>P82</v>
      </c>
      <c r="I553" s="87" t="str">
        <f>VLOOKUP(Tabela1[[#This Row],[Matrícula]],Equipe!B:F,5,0)</f>
        <v>Experiente</v>
      </c>
    </row>
    <row r="554" spans="1:9" hidden="1">
      <c r="A554" s="83" t="s">
        <v>70</v>
      </c>
      <c r="B554" s="109">
        <f>_xlfn.XLOOKUP(A554,Equipe!H:H,Equipe!B:B,"",0)</f>
        <v>9618720</v>
      </c>
      <c r="C554" s="154">
        <v>46139</v>
      </c>
      <c r="D554" s="151">
        <v>46139</v>
      </c>
      <c r="E554" s="83">
        <v>1</v>
      </c>
      <c r="F554" s="87" t="s">
        <v>14</v>
      </c>
      <c r="G554" s="88" t="s">
        <v>341</v>
      </c>
      <c r="H554" s="87" t="str">
        <f>_xlfn.XLOOKUP(Tabela1[[#This Row],[Matrícula]],Equipe!B:B,Equipe!E:E,"ERRO",0)</f>
        <v>P82</v>
      </c>
      <c r="I554" s="87" t="str">
        <f>VLOOKUP(Tabela1[[#This Row],[Matrícula]],Equipe!B:F,5,0)</f>
        <v>Experiente</v>
      </c>
    </row>
    <row r="555" spans="1:9" hidden="1">
      <c r="A555" s="83" t="s">
        <v>318</v>
      </c>
      <c r="B555" s="92">
        <f>_xlfn.XLOOKUP(A555,Equipe!H:H,Equipe!B:B,"",0)</f>
        <v>4613186</v>
      </c>
      <c r="C555" s="154">
        <v>46139</v>
      </c>
      <c r="D555" s="150">
        <f>(IF(Tabela1[[#This Row],[Início]]&lt;&gt;"",C555+E555-1,""))*1</f>
        <v>46147</v>
      </c>
      <c r="E555" s="83">
        <v>9</v>
      </c>
      <c r="F555" s="83" t="s">
        <v>14</v>
      </c>
      <c r="G555" s="88" t="s">
        <v>347</v>
      </c>
      <c r="H555" s="83" t="str">
        <f>_xlfn.XLOOKUP(Tabela1[[#This Row],[Matrícula]],Equipe!B:B,Equipe!E:E,"ERRO",0)</f>
        <v>P83</v>
      </c>
      <c r="I555" s="83" t="str">
        <f>VLOOKUP(Tabela1[[#This Row],[Matrícula]],Equipe!B:F,5,0)</f>
        <v>Novo</v>
      </c>
    </row>
    <row r="556" spans="1:9" ht="57.95" hidden="1">
      <c r="A556" s="83" t="s">
        <v>16</v>
      </c>
      <c r="B556" s="109">
        <f>_xlfn.XLOOKUP(A556,Equipe!H:H,Equipe!B:B,"",0)</f>
        <v>4608544</v>
      </c>
      <c r="C556" s="154">
        <v>46139</v>
      </c>
      <c r="D556" s="151">
        <f>(IF(Tabela1[[#This Row],[Início]]&lt;&gt;"",C556+E556-1,""))*1</f>
        <v>46142</v>
      </c>
      <c r="E556" s="83">
        <v>4</v>
      </c>
      <c r="F556" s="87" t="s">
        <v>11</v>
      </c>
      <c r="G556" s="88" t="s">
        <v>346</v>
      </c>
      <c r="H556" s="87" t="str">
        <f>_xlfn.XLOOKUP(Tabela1[[#This Row],[Matrícula]],Equipe!B:B,Equipe!E:E,"ERRO",0)</f>
        <v>P82</v>
      </c>
      <c r="I556" s="87" t="str">
        <f>VLOOKUP(Tabela1[[#This Row],[Matrícula]],Equipe!B:F,5,0)</f>
        <v>Novo</v>
      </c>
    </row>
    <row r="557" spans="1:9" hidden="1">
      <c r="A557" s="83" t="s">
        <v>20</v>
      </c>
      <c r="B557" s="109">
        <f>_xlfn.XLOOKUP(A557,Equipe!H:H,Equipe!B:B,"",0)</f>
        <v>4608559</v>
      </c>
      <c r="C557" s="154">
        <v>46139</v>
      </c>
      <c r="D557" s="151">
        <f>(IF(Tabela1[[#This Row],[Início]]&lt;&gt;"",C557+E557-1,""))*1</f>
        <v>46142</v>
      </c>
      <c r="E557" s="83">
        <v>4</v>
      </c>
      <c r="F557" s="87" t="s">
        <v>11</v>
      </c>
      <c r="G557" s="88" t="s">
        <v>348</v>
      </c>
      <c r="H557" s="87" t="str">
        <f>_xlfn.XLOOKUP(Tabela1[[#This Row],[Matrícula]],Equipe!B:B,Equipe!E:E,"ERRO",0)</f>
        <v>P83</v>
      </c>
      <c r="I557" s="87" t="str">
        <f>VLOOKUP(Tabela1[[#This Row],[Matrícula]],Equipe!B:F,5,0)</f>
        <v>Novo</v>
      </c>
    </row>
    <row r="558" spans="1:9" hidden="1">
      <c r="A558" s="83" t="s">
        <v>142</v>
      </c>
      <c r="B558" s="109">
        <f>_xlfn.XLOOKUP(A558,Equipe!H:H,Equipe!B:B,"",0)</f>
        <v>4612228</v>
      </c>
      <c r="C558" s="154">
        <v>46139</v>
      </c>
      <c r="D558" s="151">
        <f>(IF(Tabela1[[#This Row],[Início]]&lt;&gt;"",C558+E558-1,""))*1</f>
        <v>46142</v>
      </c>
      <c r="E558" s="83">
        <v>4</v>
      </c>
      <c r="F558" s="87" t="s">
        <v>11</v>
      </c>
      <c r="G558" s="88" t="s">
        <v>349</v>
      </c>
      <c r="H558" s="87" t="str">
        <f>_xlfn.XLOOKUP(Tabela1[[#This Row],[Matrícula]],Equipe!B:B,Equipe!E:E,"ERRO",0)</f>
        <v>P82</v>
      </c>
      <c r="I558" s="87" t="str">
        <f>VLOOKUP(Tabela1[[#This Row],[Matrícula]],Equipe!B:F,5,0)</f>
        <v>Novo</v>
      </c>
    </row>
    <row r="559" spans="1:9" ht="43.5" hidden="1">
      <c r="A559" s="83" t="s">
        <v>106</v>
      </c>
      <c r="B559" s="109">
        <f>_xlfn.XLOOKUP(A559,Equipe!H:H,Equipe!B:B,"",0)</f>
        <v>4612050</v>
      </c>
      <c r="C559" s="154">
        <v>46139</v>
      </c>
      <c r="D559" s="151">
        <f>(IF(Tabela1[[#This Row],[Início]]&lt;&gt;"",C559+E559-1,""))*1</f>
        <v>46142</v>
      </c>
      <c r="E559" s="83">
        <v>4</v>
      </c>
      <c r="F559" s="87" t="s">
        <v>11</v>
      </c>
      <c r="G559" s="88" t="s">
        <v>345</v>
      </c>
      <c r="H559" s="87" t="str">
        <f>_xlfn.XLOOKUP(Tabela1[[#This Row],[Matrícula]],Equipe!B:B,Equipe!E:E,"ERRO",0)</f>
        <v>P82</v>
      </c>
      <c r="I559" s="87" t="str">
        <f>VLOOKUP(Tabela1[[#This Row],[Matrícula]],Equipe!B:F,5,0)</f>
        <v>Novo</v>
      </c>
    </row>
    <row r="560" spans="1:9" ht="43.5">
      <c r="A560" s="83" t="s">
        <v>108</v>
      </c>
      <c r="B560" s="109">
        <f>_xlfn.XLOOKUP(A560,Equipe!H:H,Equipe!B:B,"",0)</f>
        <v>4612243</v>
      </c>
      <c r="C560" s="154">
        <v>46139</v>
      </c>
      <c r="D560" s="151">
        <f>(IF(Tabela1[[#This Row],[Início]]&lt;&gt;"",C560+E560-1,""))*1</f>
        <v>46142</v>
      </c>
      <c r="E560" s="83">
        <v>4</v>
      </c>
      <c r="F560" s="87" t="s">
        <v>11</v>
      </c>
      <c r="G560" s="88" t="s">
        <v>345</v>
      </c>
      <c r="H560" s="87" t="str">
        <f>_xlfn.XLOOKUP(Tabela1[[#This Row],[Matrícula]],Equipe!B:B,Equipe!E:E,"ERRO",0)</f>
        <v>P80</v>
      </c>
      <c r="I560" s="87" t="str">
        <f>VLOOKUP(Tabela1[[#This Row],[Matrícula]],Equipe!B:F,5,0)</f>
        <v>Novo</v>
      </c>
    </row>
    <row r="561" spans="1:9" ht="57.95">
      <c r="A561" s="83" t="s">
        <v>109</v>
      </c>
      <c r="B561" s="109">
        <f>_xlfn.XLOOKUP(A561,Equipe!H:H,Equipe!B:B,"",0)</f>
        <v>4612389</v>
      </c>
      <c r="C561" s="154">
        <v>46139</v>
      </c>
      <c r="D561" s="151">
        <f>(IF(Tabela1[[#This Row],[Início]]&lt;&gt;"",C561+E561-1,""))*1</f>
        <v>46142</v>
      </c>
      <c r="E561" s="83">
        <v>4</v>
      </c>
      <c r="F561" s="87" t="s">
        <v>11</v>
      </c>
      <c r="G561" s="88" t="s">
        <v>346</v>
      </c>
      <c r="H561" s="87" t="str">
        <f>_xlfn.XLOOKUP(Tabela1[[#This Row],[Matrícula]],Equipe!B:B,Equipe!E:E,"ERRO",0)</f>
        <v>P80</v>
      </c>
      <c r="I561" s="87" t="str">
        <f>VLOOKUP(Tabela1[[#This Row],[Matrícula]],Equipe!B:F,5,0)</f>
        <v>Novo</v>
      </c>
    </row>
    <row r="562" spans="1:9" ht="29.1" hidden="1">
      <c r="A562" s="87" t="s">
        <v>58</v>
      </c>
      <c r="B562" s="109">
        <f>_xlfn.XLOOKUP(A562,Equipe!H:H,Equipe!B:B,"",0)</f>
        <v>9612082</v>
      </c>
      <c r="C562" s="154">
        <v>46140</v>
      </c>
      <c r="D562" s="151">
        <v>46141</v>
      </c>
      <c r="E562" s="83">
        <v>2</v>
      </c>
      <c r="F562" s="87" t="s">
        <v>11</v>
      </c>
      <c r="G562" s="93" t="s">
        <v>350</v>
      </c>
      <c r="H562" s="87" t="str">
        <f>_xlfn.XLOOKUP(Tabela1[[#This Row],[Matrícula]],Equipe!B:B,Equipe!E:E,"ERRO",0)</f>
        <v>P82</v>
      </c>
      <c r="I562" s="87" t="str">
        <f>VLOOKUP(Tabela1[[#This Row],[Matrícula]],Equipe!B:F,5,0)</f>
        <v>Experiente</v>
      </c>
    </row>
    <row r="563" spans="1:9" hidden="1">
      <c r="A563" s="83" t="s">
        <v>229</v>
      </c>
      <c r="B563" s="109">
        <f>_xlfn.XLOOKUP(A563,Equipe!H:H,Equipe!B:B,"",0)</f>
        <v>9921954</v>
      </c>
      <c r="C563" s="154">
        <v>46140</v>
      </c>
      <c r="D563" s="151">
        <v>46140</v>
      </c>
      <c r="E563" s="83">
        <v>1</v>
      </c>
      <c r="F563" s="87" t="s">
        <v>11</v>
      </c>
      <c r="G563" s="88" t="s">
        <v>351</v>
      </c>
      <c r="H563" s="87" t="str">
        <f>_xlfn.XLOOKUP(Tabela1[[#This Row],[Matrícula]],Equipe!B:B,Equipe!E:E,"ERRO",0)</f>
        <v>P82</v>
      </c>
      <c r="I563" s="87" t="str">
        <f>VLOOKUP(Tabela1[[#This Row],[Matrícula]],Equipe!B:F,5,0)</f>
        <v>Experiente</v>
      </c>
    </row>
    <row r="564" spans="1:9" hidden="1">
      <c r="A564" s="83" t="s">
        <v>10</v>
      </c>
      <c r="B564" s="109">
        <f>_xlfn.XLOOKUP(A564,Equipe!H:H,Equipe!B:B,"",0)</f>
        <v>4612393</v>
      </c>
      <c r="C564" s="154">
        <v>46140</v>
      </c>
      <c r="D564" s="151">
        <f>(IF(Tabela1[[#This Row],[Início]]&lt;&gt;"",C564+E564-1,""))*1</f>
        <v>46153</v>
      </c>
      <c r="E564" s="83">
        <v>14</v>
      </c>
      <c r="F564" s="87" t="s">
        <v>17</v>
      </c>
      <c r="G564" s="88" t="s">
        <v>352</v>
      </c>
      <c r="H564" s="87" t="str">
        <f>_xlfn.XLOOKUP(Tabela1[[#This Row],[Matrícula]],Equipe!B:B,Equipe!E:E,"ERRO",0)</f>
        <v>P83</v>
      </c>
      <c r="I564" s="87" t="str">
        <f>VLOOKUP(Tabela1[[#This Row],[Matrícula]],Equipe!B:F,5,0)</f>
        <v>Novo</v>
      </c>
    </row>
    <row r="565" spans="1:9">
      <c r="A565" s="83" t="s">
        <v>264</v>
      </c>
      <c r="B565" s="109">
        <f>_xlfn.XLOOKUP(A565,Equipe!H:H,Equipe!B:B,"",0)</f>
        <v>9678697</v>
      </c>
      <c r="C565" s="154">
        <v>46140</v>
      </c>
      <c r="D565" s="151">
        <f>(IF(Tabela1[[#This Row],[Início]]&lt;&gt;"",C565+E565-1,""))*1</f>
        <v>46153</v>
      </c>
      <c r="E565" s="83">
        <v>14</v>
      </c>
      <c r="F565" s="87" t="s">
        <v>17</v>
      </c>
      <c r="G565" s="88" t="s">
        <v>162</v>
      </c>
      <c r="H565" s="87" t="str">
        <f>_xlfn.XLOOKUP(Tabela1[[#This Row],[Matrícula]],Equipe!B:B,Equipe!E:E,"ERRO",0)</f>
        <v>P80</v>
      </c>
      <c r="I565" s="87" t="str">
        <f>VLOOKUP(Tabela1[[#This Row],[Matrícula]],Equipe!B:F,5,0)</f>
        <v>Experiente</v>
      </c>
    </row>
    <row r="566" spans="1:9" ht="43.5" hidden="1">
      <c r="A566" s="83" t="s">
        <v>57</v>
      </c>
      <c r="B566" s="109">
        <f>_xlfn.XLOOKUP(A566,Equipe!H:H,Equipe!B:B,"",0)</f>
        <v>4608684</v>
      </c>
      <c r="C566" s="154">
        <v>46140</v>
      </c>
      <c r="D566" s="151">
        <f>(IF(Tabela1[[#This Row],[Início]]&lt;&gt;"",C566+E566-1,""))*1</f>
        <v>46141</v>
      </c>
      <c r="E566" s="83">
        <v>2</v>
      </c>
      <c r="F566" s="87" t="s">
        <v>11</v>
      </c>
      <c r="G566" s="88" t="s">
        <v>353</v>
      </c>
      <c r="H566" s="87" t="str">
        <f>_xlfn.XLOOKUP(Tabela1[[#This Row],[Matrícula]],Equipe!B:B,Equipe!E:E,"ERRO",0)</f>
        <v>P82</v>
      </c>
      <c r="I566" s="87" t="str">
        <f>VLOOKUP(Tabela1[[#This Row],[Matrícula]],Equipe!B:F,5,0)</f>
        <v>Novo</v>
      </c>
    </row>
    <row r="567" spans="1:9" ht="29.1">
      <c r="A567" s="83" t="s">
        <v>225</v>
      </c>
      <c r="B567" s="109">
        <f>_xlfn.XLOOKUP(A567,Equipe!H:H,Equipe!B:B,"",0)</f>
        <v>2448533</v>
      </c>
      <c r="C567" s="154">
        <v>46140</v>
      </c>
      <c r="D567" s="151">
        <f>(IF(Tabela1[[#This Row],[Início]]&lt;&gt;"",C567+E567-1,""))*1</f>
        <v>46140</v>
      </c>
      <c r="E567" s="83">
        <v>1</v>
      </c>
      <c r="F567" s="87" t="s">
        <v>11</v>
      </c>
      <c r="G567" s="88" t="s">
        <v>354</v>
      </c>
      <c r="H567" s="87" t="str">
        <f>_xlfn.XLOOKUP(Tabela1[[#This Row],[Matrícula]],Equipe!B:B,Equipe!E:E,"ERRO",0)</f>
        <v>P80</v>
      </c>
      <c r="I567" s="87" t="str">
        <f>VLOOKUP(Tabela1[[#This Row],[Matrícula]],Equipe!B:F,5,0)</f>
        <v>Experiente</v>
      </c>
    </row>
    <row r="568" spans="1:9" hidden="1">
      <c r="A568" s="83" t="s">
        <v>114</v>
      </c>
      <c r="B568" s="109">
        <f>_xlfn.XLOOKUP(A568,Equipe!H:H,Equipe!B:B,"",0)</f>
        <v>4612140</v>
      </c>
      <c r="C568" s="154">
        <v>46140</v>
      </c>
      <c r="D568" s="151">
        <f>(IF(Tabela1[[#This Row],[Início]]&lt;&gt;"",C568+E568-1,""))*1</f>
        <v>46146</v>
      </c>
      <c r="E568" s="83">
        <v>7</v>
      </c>
      <c r="F568" s="87" t="s">
        <v>17</v>
      </c>
      <c r="G568" s="88" t="s">
        <v>242</v>
      </c>
      <c r="H568" s="87" t="str">
        <f>_xlfn.XLOOKUP(Tabela1[[#This Row],[Matrícula]],Equipe!B:B,Equipe!E:E,"ERRO",0)</f>
        <v>P83</v>
      </c>
      <c r="I568" s="87" t="str">
        <f>VLOOKUP(Tabela1[[#This Row],[Matrícula]],Equipe!B:F,5,0)</f>
        <v>Novo</v>
      </c>
    </row>
    <row r="569" spans="1:9">
      <c r="A569" s="83" t="s">
        <v>22</v>
      </c>
      <c r="B569" s="109">
        <f>_xlfn.XLOOKUP(A569,Equipe!H:H,Equipe!B:B,"",0)</f>
        <v>4608389</v>
      </c>
      <c r="C569" s="154">
        <v>46141</v>
      </c>
      <c r="D569" s="151">
        <f>(IF(Tabela1[[#This Row],[Início]]&lt;&gt;"",C569+E569-1,""))*1</f>
        <v>46161</v>
      </c>
      <c r="E569" s="83">
        <v>21</v>
      </c>
      <c r="F569" s="87" t="s">
        <v>14</v>
      </c>
      <c r="G569" s="88" t="s">
        <v>167</v>
      </c>
      <c r="H569" s="87" t="str">
        <f>_xlfn.XLOOKUP(Tabela1[[#This Row],[Matrícula]],Equipe!B:B,Equipe!E:E,"ERRO",0)</f>
        <v>P80</v>
      </c>
      <c r="I569" s="87" t="str">
        <f>VLOOKUP(Tabela1[[#This Row],[Matrícula]],Equipe!B:F,5,0)</f>
        <v>Novo</v>
      </c>
    </row>
    <row r="570" spans="1:9" hidden="1">
      <c r="A570" s="83" t="s">
        <v>331</v>
      </c>
      <c r="B570" s="109">
        <f>_xlfn.XLOOKUP(A570,Equipe!H:H,Equipe!B:B,"",0)</f>
        <v>4613176</v>
      </c>
      <c r="C570" s="154">
        <v>46141</v>
      </c>
      <c r="D570" s="151">
        <f>(IF(Tabela1[[#This Row],[Início]]&lt;&gt;"",C570+E570-1,""))*1</f>
        <v>46154</v>
      </c>
      <c r="E570" s="83">
        <v>14</v>
      </c>
      <c r="F570" s="87" t="s">
        <v>17</v>
      </c>
      <c r="G570" s="88" t="s">
        <v>61</v>
      </c>
      <c r="H570" s="87" t="str">
        <f>_xlfn.XLOOKUP(Tabela1[[#This Row],[Matrícula]],Equipe!B:B,Equipe!E:E,"ERRO",0)</f>
        <v>P82</v>
      </c>
      <c r="I570" s="87" t="str">
        <f>VLOOKUP(Tabela1[[#This Row],[Matrícula]],Equipe!B:F,5,0)</f>
        <v>Novo</v>
      </c>
    </row>
    <row r="571" spans="1:9" hidden="1">
      <c r="A571" s="83" t="s">
        <v>70</v>
      </c>
      <c r="B571" s="109">
        <f>_xlfn.XLOOKUP(A571,Equipe!H:H,Equipe!B:B,"",0)</f>
        <v>9618720</v>
      </c>
      <c r="C571" s="154">
        <v>46142</v>
      </c>
      <c r="D571" s="151">
        <f>(IF(Tabela1[[#This Row],[Início]]&lt;&gt;"",C571+E571-1,""))*1</f>
        <v>46142</v>
      </c>
      <c r="E571" s="83">
        <v>1</v>
      </c>
      <c r="F571" s="87" t="s">
        <v>14</v>
      </c>
      <c r="G571" s="88" t="s">
        <v>341</v>
      </c>
      <c r="H571" s="87" t="str">
        <f>_xlfn.XLOOKUP(Tabela1[[#This Row],[Matrícula]],Equipe!B:B,Equipe!E:E,"ERRO",0)</f>
        <v>P82</v>
      </c>
      <c r="I571" s="87" t="str">
        <f>VLOOKUP(Tabela1[[#This Row],[Matrícula]],Equipe!B:F,5,0)</f>
        <v>Experiente</v>
      </c>
    </row>
    <row r="572" spans="1:9" hidden="1">
      <c r="A572" s="83" t="s">
        <v>37</v>
      </c>
      <c r="B572" s="109">
        <f>_xlfn.XLOOKUP(A572,Equipe!H:H,Equipe!B:B,"",0)</f>
        <v>2493288</v>
      </c>
      <c r="C572" s="154">
        <v>46142</v>
      </c>
      <c r="D572" s="151">
        <f>(IF(Tabela1[[#This Row],[Início]]&lt;&gt;"",C572+E572-1,""))*1</f>
        <v>46142</v>
      </c>
      <c r="E572" s="83">
        <v>1</v>
      </c>
      <c r="F572" s="87" t="s">
        <v>14</v>
      </c>
      <c r="G572" s="88" t="s">
        <v>342</v>
      </c>
      <c r="H572" s="87" t="str">
        <f>_xlfn.XLOOKUP(Tabela1[[#This Row],[Matrícula]],Equipe!B:B,Equipe!E:E,"ERRO",0)</f>
        <v>PBAC</v>
      </c>
      <c r="I572" s="87" t="str">
        <f>VLOOKUP(Tabela1[[#This Row],[Matrícula]],Equipe!B:F,5,0)</f>
        <v>Experiente</v>
      </c>
    </row>
    <row r="573" spans="1:9">
      <c r="A573" s="87" t="s">
        <v>13</v>
      </c>
      <c r="B573" s="109">
        <f>_xlfn.XLOOKUP(A573,Equipe!H:H,Equipe!B:B,"",0)</f>
        <v>9762281</v>
      </c>
      <c r="C573" s="155">
        <v>46142</v>
      </c>
      <c r="D573" s="151">
        <f>(IF(Tabela1[[#This Row],[Início]]&lt;&gt;"",C573+E573-1,""))*1</f>
        <v>46142</v>
      </c>
      <c r="E573" s="87">
        <v>1</v>
      </c>
      <c r="F573" s="87" t="s">
        <v>14</v>
      </c>
      <c r="G573" s="93" t="s">
        <v>355</v>
      </c>
      <c r="H573" s="87" t="str">
        <f>_xlfn.XLOOKUP(Tabela1[[#This Row],[Matrícula]],Equipe!B:B,Equipe!E:E,"ERRO",0)</f>
        <v>P80</v>
      </c>
      <c r="I573" s="87" t="str">
        <f>VLOOKUP(Tabela1[[#This Row],[Matrícula]],Equipe!B:F,5,0)</f>
        <v>Experiente</v>
      </c>
    </row>
    <row r="574" spans="1:9" hidden="1">
      <c r="A574" s="83" t="s">
        <v>58</v>
      </c>
      <c r="B574" s="109">
        <f>_xlfn.XLOOKUP(A574,Equipe!H:H,Equipe!B:B,"",0)</f>
        <v>9612082</v>
      </c>
      <c r="C574" s="154">
        <v>46146</v>
      </c>
      <c r="D574" s="151">
        <f>(IF(Tabela1[[#This Row],[Início]]&lt;&gt;"",C574+E574-1,""))*1</f>
        <v>46150</v>
      </c>
      <c r="E574" s="83">
        <v>5</v>
      </c>
      <c r="F574" s="87" t="s">
        <v>11</v>
      </c>
      <c r="G574" s="148" t="s">
        <v>289</v>
      </c>
      <c r="H574" s="87" t="str">
        <f>_xlfn.XLOOKUP(Tabela1[[#This Row],[Matrícula]],Equipe!B:B,Equipe!E:E,"ERRO",0)</f>
        <v>P82</v>
      </c>
      <c r="I574" s="87" t="str">
        <f>VLOOKUP(Tabela1[[#This Row],[Matrícula]],Equipe!B:F,5,0)</f>
        <v>Experiente</v>
      </c>
    </row>
    <row r="575" spans="1:9" hidden="1">
      <c r="A575" s="83" t="s">
        <v>50</v>
      </c>
      <c r="B575" s="109">
        <f>_xlfn.XLOOKUP(A575,Equipe!H:H,Equipe!B:B,"",0)</f>
        <v>4606694</v>
      </c>
      <c r="C575" s="154">
        <v>46146</v>
      </c>
      <c r="D575" s="151">
        <f>(IF(Tabela1[[#This Row],[Início]]&lt;&gt;"",C575+E575-1,""))*1</f>
        <v>46159</v>
      </c>
      <c r="E575" s="83">
        <v>14</v>
      </c>
      <c r="F575" s="87" t="s">
        <v>232</v>
      </c>
      <c r="G575" s="88" t="s">
        <v>232</v>
      </c>
      <c r="H575" s="87" t="str">
        <f>_xlfn.XLOOKUP(Tabela1[[#This Row],[Matrícula]],Equipe!B:B,Equipe!E:E,"ERRO",0)</f>
        <v>PBAC</v>
      </c>
      <c r="I575" s="87" t="str">
        <f>VLOOKUP(Tabela1[[#This Row],[Matrícula]],Equipe!B:F,5,0)</f>
        <v>Novo</v>
      </c>
    </row>
    <row r="576" spans="1:9" hidden="1">
      <c r="A576" s="83" t="s">
        <v>37</v>
      </c>
      <c r="B576" s="109">
        <f>_xlfn.XLOOKUP(A576,Equipe!H:H,Equipe!B:B,"",0)</f>
        <v>2493288</v>
      </c>
      <c r="C576" s="154">
        <v>46146</v>
      </c>
      <c r="D576" s="151">
        <f>(IF(Tabela1[[#This Row],[Início]]&lt;&gt;"",C576+E576-1,""))*1</f>
        <v>46146</v>
      </c>
      <c r="E576" s="83">
        <v>1</v>
      </c>
      <c r="F576" s="87" t="s">
        <v>14</v>
      </c>
      <c r="G576" s="88" t="s">
        <v>342</v>
      </c>
      <c r="H576" s="87" t="str">
        <f>_xlfn.XLOOKUP(Tabela1[[#This Row],[Matrícula]],Equipe!B:B,Equipe!E:E,"ERRO",0)</f>
        <v>PBAC</v>
      </c>
      <c r="I576" s="87" t="str">
        <f>VLOOKUP(Tabela1[[#This Row],[Matrícula]],Equipe!B:F,5,0)</f>
        <v>Experiente</v>
      </c>
    </row>
    <row r="577" spans="1:9">
      <c r="A577" s="83" t="s">
        <v>35</v>
      </c>
      <c r="B577" s="109">
        <f>_xlfn.XLOOKUP(A577,Equipe!H:H,Equipe!B:B,"",0)</f>
        <v>9842940</v>
      </c>
      <c r="C577" s="154">
        <v>46146</v>
      </c>
      <c r="D577" s="151">
        <f>(IF(Tabela1[[#This Row],[Início]]&lt;&gt;"",C577+E577-1,""))*1</f>
        <v>46150</v>
      </c>
      <c r="E577" s="83">
        <v>5</v>
      </c>
      <c r="F577" s="87" t="s">
        <v>11</v>
      </c>
      <c r="G577" s="148" t="s">
        <v>289</v>
      </c>
      <c r="H577" s="87" t="str">
        <f>_xlfn.XLOOKUP(Tabela1[[#This Row],[Matrícula]],Equipe!B:B,Equipe!E:E,"ERRO",0)</f>
        <v>P80</v>
      </c>
      <c r="I577" s="87" t="str">
        <f>VLOOKUP(Tabela1[[#This Row],[Matrícula]],Equipe!B:F,5,0)</f>
        <v>Novo</v>
      </c>
    </row>
    <row r="578" spans="1:9" hidden="1">
      <c r="A578" s="83" t="s">
        <v>106</v>
      </c>
      <c r="B578" s="109">
        <f>_xlfn.XLOOKUP(A578,Equipe!H:H,Equipe!B:B,"",0)</f>
        <v>4612050</v>
      </c>
      <c r="C578" s="154">
        <v>46146</v>
      </c>
      <c r="D578" s="151">
        <f>(IF(Tabela1[[#This Row],[Início]]&lt;&gt;"",C578+E578-1,""))*1</f>
        <v>46150</v>
      </c>
      <c r="E578" s="83">
        <v>5</v>
      </c>
      <c r="F578" s="87" t="s">
        <v>11</v>
      </c>
      <c r="G578" s="88" t="s">
        <v>356</v>
      </c>
      <c r="H578" s="87" t="str">
        <f>_xlfn.XLOOKUP(Tabela1[[#This Row],[Matrícula]],Equipe!B:B,Equipe!E:E,"ERRO",0)</f>
        <v>P82</v>
      </c>
      <c r="I578" s="87" t="str">
        <f>VLOOKUP(Tabela1[[#This Row],[Matrícula]],Equipe!B:F,5,0)</f>
        <v>Novo</v>
      </c>
    </row>
    <row r="579" spans="1:9">
      <c r="A579" s="83" t="s">
        <v>109</v>
      </c>
      <c r="B579" s="92">
        <f>_xlfn.XLOOKUP(A579,Equipe!H:H,Equipe!B:B,"",0)</f>
        <v>4612389</v>
      </c>
      <c r="C579" s="152">
        <v>46146</v>
      </c>
      <c r="D579" s="152">
        <f>((IF(Tabela1[[#This Row],[Início]]&lt;&gt;"",C579+E579-1,""))*1)*1</f>
        <v>46160</v>
      </c>
      <c r="E579" s="83">
        <v>15</v>
      </c>
      <c r="F579" s="83" t="s">
        <v>232</v>
      </c>
      <c r="G579" s="88" t="s">
        <v>259</v>
      </c>
      <c r="H579" s="83" t="str">
        <f>_xlfn.XLOOKUP(Tabela1[[#This Row],[Matrícula]],Equipe!B:B,Equipe!E:E,"ERRO",0)</f>
        <v>P80</v>
      </c>
      <c r="I579" s="83" t="str">
        <f>VLOOKUP(Tabela1[[#This Row],[Matrícula]],Equipe!B:F,5,0)</f>
        <v>Novo</v>
      </c>
    </row>
    <row r="580" spans="1:9" hidden="1">
      <c r="A580" s="83" t="s">
        <v>111</v>
      </c>
      <c r="B580" s="109">
        <f>_xlfn.XLOOKUP(A580,Equipe!H:H,Equipe!B:B,"",0)</f>
        <v>4612126</v>
      </c>
      <c r="C580" s="154">
        <v>46147</v>
      </c>
      <c r="D580" s="151">
        <v>46168</v>
      </c>
      <c r="E580" s="83">
        <v>21</v>
      </c>
      <c r="F580" s="87" t="s">
        <v>14</v>
      </c>
      <c r="G580" s="88" t="s">
        <v>357</v>
      </c>
      <c r="H580" s="87" t="str">
        <f>_xlfn.XLOOKUP(Tabela1[[#This Row],[Matrícula]],Equipe!B:B,Equipe!E:E,"ERRO",0)</f>
        <v>P82</v>
      </c>
      <c r="I580" s="87" t="str">
        <f>VLOOKUP(Tabela1[[#This Row],[Matrícula]],Equipe!B:F,5,0)</f>
        <v>Novo</v>
      </c>
    </row>
    <row r="581" spans="1:9" hidden="1">
      <c r="A581" s="83" t="s">
        <v>114</v>
      </c>
      <c r="B581" s="109">
        <f>_xlfn.XLOOKUP(A581,Equipe!H:H,Equipe!B:B,"",0)</f>
        <v>4612140</v>
      </c>
      <c r="C581" s="154">
        <v>46147</v>
      </c>
      <c r="D581" s="151">
        <f>(IF(Tabela1[[#This Row],[Início]]&lt;&gt;"",C581+E581-1,""))*1</f>
        <v>46157</v>
      </c>
      <c r="E581" s="83">
        <v>11</v>
      </c>
      <c r="F581" s="87" t="s">
        <v>14</v>
      </c>
      <c r="G581" s="88" t="s">
        <v>311</v>
      </c>
      <c r="H581" s="87" t="str">
        <f>_xlfn.XLOOKUP(Tabela1[[#This Row],[Matrícula]],Equipe!B:B,Equipe!E:E,"ERRO",0)</f>
        <v>P83</v>
      </c>
      <c r="I581" s="87" t="str">
        <f>VLOOKUP(Tabela1[[#This Row],[Matrícula]],Equipe!B:F,5,0)</f>
        <v>Novo</v>
      </c>
    </row>
    <row r="582" spans="1:9" hidden="1">
      <c r="A582" s="83" t="s">
        <v>113</v>
      </c>
      <c r="B582" s="92">
        <f>_xlfn.XLOOKUP(A582,Equipe!H:H,Equipe!B:B,"",0)</f>
        <v>4612192</v>
      </c>
      <c r="C582" s="152">
        <v>46147</v>
      </c>
      <c r="D582" s="152">
        <f>((IF(Tabela1[[#This Row],[Início]]&lt;&gt;"",C582+E582-1,""))*1)*1</f>
        <v>46167</v>
      </c>
      <c r="E582" s="83">
        <v>21</v>
      </c>
      <c r="F582" s="83" t="s">
        <v>14</v>
      </c>
      <c r="G582" s="88" t="s">
        <v>358</v>
      </c>
      <c r="H582" s="83" t="str">
        <f>_xlfn.XLOOKUP(Tabela1[[#This Row],[Matrícula]],Equipe!B:B,Equipe!E:E,"ERRO",0)</f>
        <v>P82</v>
      </c>
      <c r="I582" s="83" t="str">
        <f>VLOOKUP(Tabela1[[#This Row],[Matrícula]],Equipe!B:F,5,0)</f>
        <v>Novo</v>
      </c>
    </row>
    <row r="583" spans="1:9" hidden="1">
      <c r="A583" s="83" t="s">
        <v>205</v>
      </c>
      <c r="B583" s="109">
        <f>_xlfn.XLOOKUP(A583,Equipe!H:H,Equipe!B:B,"",0)</f>
        <v>1385950</v>
      </c>
      <c r="C583" s="154">
        <v>46148</v>
      </c>
      <c r="D583" s="151">
        <f>(IF(Tabela1[[#This Row],[Início]]&lt;&gt;"",C583+E583-1,""))*1</f>
        <v>46149</v>
      </c>
      <c r="E583" s="83">
        <v>2</v>
      </c>
      <c r="F583" s="87" t="s">
        <v>47</v>
      </c>
      <c r="G583" s="88" t="s">
        <v>359</v>
      </c>
      <c r="H583" s="87" t="str">
        <f>_xlfn.XLOOKUP(Tabela1[[#This Row],[Matrícula]],Equipe!B:B,Equipe!E:E,"ERRO",0)</f>
        <v>P82</v>
      </c>
      <c r="I583" s="87" t="str">
        <f>VLOOKUP(Tabela1[[#This Row],[Matrícula]],Equipe!B:F,5,0)</f>
        <v>Experiente</v>
      </c>
    </row>
    <row r="584" spans="1:9" ht="29.1" hidden="1">
      <c r="A584" s="83" t="s">
        <v>239</v>
      </c>
      <c r="B584" s="109">
        <f>_xlfn.XLOOKUP(A584,Equipe!H:H,Equipe!B:B,"",0)</f>
        <v>1387328</v>
      </c>
      <c r="C584" s="154">
        <v>46148</v>
      </c>
      <c r="D584" s="151">
        <f>(IF(Tabela1[[#This Row],[Início]]&lt;&gt;"",C584+E584-1,""))*1</f>
        <v>46149</v>
      </c>
      <c r="E584" s="83">
        <v>2</v>
      </c>
      <c r="F584" s="87" t="s">
        <v>47</v>
      </c>
      <c r="G584" s="88" t="s">
        <v>360</v>
      </c>
      <c r="H584" s="87" t="str">
        <f>_xlfn.XLOOKUP(Tabela1[[#This Row],[Matrícula]],Equipe!B:B,Equipe!E:E,"ERRO",0)</f>
        <v>P82</v>
      </c>
      <c r="I584" s="87" t="str">
        <f>VLOOKUP(Tabela1[[#This Row],[Matrícula]],Equipe!B:F,5,0)</f>
        <v>Experiente</v>
      </c>
    </row>
    <row r="585" spans="1:9" hidden="1">
      <c r="A585" s="83" t="s">
        <v>46</v>
      </c>
      <c r="B585" s="109">
        <f>_xlfn.XLOOKUP(A585,Equipe!H:H,Equipe!B:B,"",0)</f>
        <v>4608411</v>
      </c>
      <c r="C585" s="154">
        <v>46148</v>
      </c>
      <c r="D585" s="151">
        <f>(IF(Tabela1[[#This Row],[Início]]&lt;&gt;"",C585+E585-1,""))*1</f>
        <v>46171</v>
      </c>
      <c r="E585" s="83">
        <v>24</v>
      </c>
      <c r="F585" s="87" t="s">
        <v>14</v>
      </c>
      <c r="G585" s="88" t="s">
        <v>361</v>
      </c>
      <c r="H585" s="87" t="str">
        <f>_xlfn.XLOOKUP(Tabela1[[#This Row],[Matrícula]],Equipe!B:B,Equipe!E:E,"ERRO",0)</f>
        <v>P83</v>
      </c>
      <c r="I585" s="87" t="str">
        <f>VLOOKUP(Tabela1[[#This Row],[Matrícula]],Equipe!B:F,5,0)</f>
        <v>Novo</v>
      </c>
    </row>
    <row r="586" spans="1:9">
      <c r="A586" s="83" t="s">
        <v>116</v>
      </c>
      <c r="B586" s="87">
        <f>_xlfn.XLOOKUP(A586,Equipe!H:H,Equipe!B:B,"",0)</f>
        <v>4612171</v>
      </c>
      <c r="C586" s="154">
        <v>46148</v>
      </c>
      <c r="D586" s="155">
        <f>(IF(Tabela1[[#This Row],[Início]]&lt;&gt;"",C586+E586-1,""))*1</f>
        <v>46149</v>
      </c>
      <c r="E586" s="83">
        <v>2</v>
      </c>
      <c r="F586" s="87" t="s">
        <v>11</v>
      </c>
      <c r="G586" s="167" t="s">
        <v>362</v>
      </c>
      <c r="H586" s="87" t="str">
        <f>_xlfn.XLOOKUP(Tabela1[[#This Row],[Matrícula]],Equipe!B:B,Equipe!E:E,"ERRO",0)</f>
        <v>P80</v>
      </c>
      <c r="I586" s="87" t="str">
        <f>VLOOKUP(Tabela1[[#This Row],[Matrícula]],Equipe!B:F,5,0)</f>
        <v>Novo</v>
      </c>
    </row>
    <row r="587" spans="1:9">
      <c r="A587" s="83" t="s">
        <v>38</v>
      </c>
      <c r="B587" s="109">
        <f>_xlfn.XLOOKUP(A587,Equipe!H:H,Equipe!B:B,"",0)</f>
        <v>1385894</v>
      </c>
      <c r="C587" s="154">
        <v>46148</v>
      </c>
      <c r="D587" s="151">
        <f>(IF(Tabela1[[#This Row],[Início]]&lt;&gt;"",C587+E587-1,""))*1</f>
        <v>46148</v>
      </c>
      <c r="E587" s="83">
        <v>1</v>
      </c>
      <c r="F587" s="87" t="s">
        <v>14</v>
      </c>
      <c r="G587" s="88" t="s">
        <v>363</v>
      </c>
      <c r="H587" s="87" t="str">
        <f>_xlfn.XLOOKUP(Tabela1[[#This Row],[Matrícula]],Equipe!B:B,Equipe!E:E,"ERRO",0)</f>
        <v>P80</v>
      </c>
      <c r="I587" s="87" t="str">
        <f>VLOOKUP(Tabela1[[#This Row],[Matrícula]],Equipe!B:F,5,0)</f>
        <v>Experiente</v>
      </c>
    </row>
    <row r="588" spans="1:9" hidden="1">
      <c r="A588" s="83" t="s">
        <v>65</v>
      </c>
      <c r="B588" s="109">
        <f>_xlfn.XLOOKUP(A588,Equipe!H:H,Equipe!B:B,"",0)</f>
        <v>4606246</v>
      </c>
      <c r="C588" s="154">
        <v>46148</v>
      </c>
      <c r="D588" s="151">
        <f>(IF(Tabela1[[#This Row],[Início]]&lt;&gt;"",C588+E588-1,""))*1</f>
        <v>46148</v>
      </c>
      <c r="E588" s="83">
        <v>1</v>
      </c>
      <c r="F588" s="87" t="s">
        <v>11</v>
      </c>
      <c r="G588" s="88" t="s">
        <v>364</v>
      </c>
      <c r="H588" s="87" t="str">
        <f>_xlfn.XLOOKUP(Tabela1[[#This Row],[Matrícula]],Equipe!B:B,Equipe!E:E,"ERRO",0)</f>
        <v>PBAC</v>
      </c>
      <c r="I588" s="87" t="str">
        <f>VLOOKUP(Tabela1[[#This Row],[Matrícula]],Equipe!B:F,5,0)</f>
        <v>Novo</v>
      </c>
    </row>
    <row r="589" spans="1:9" ht="43.5" hidden="1">
      <c r="A589" s="83" t="s">
        <v>57</v>
      </c>
      <c r="B589" s="109">
        <f>_xlfn.XLOOKUP(A589,Equipe!H:H,Equipe!B:B,"",0)</f>
        <v>4608684</v>
      </c>
      <c r="C589" s="154">
        <v>46148</v>
      </c>
      <c r="D589" s="151">
        <f>(IF(Tabela1[[#This Row],[Início]]&lt;&gt;"",C589+E589-1,""))*1</f>
        <v>46149</v>
      </c>
      <c r="E589" s="83">
        <v>2</v>
      </c>
      <c r="F589" s="87" t="s">
        <v>47</v>
      </c>
      <c r="G589" s="88" t="s">
        <v>365</v>
      </c>
      <c r="H589" s="87" t="str">
        <f>_xlfn.XLOOKUP(Tabela1[[#This Row],[Matrícula]],Equipe!B:B,Equipe!E:E,"ERRO",0)</f>
        <v>P82</v>
      </c>
      <c r="I589" s="87" t="str">
        <f>VLOOKUP(Tabela1[[#This Row],[Matrícula]],Equipe!B:F,5,0)</f>
        <v>Novo</v>
      </c>
    </row>
    <row r="590" spans="1:9" ht="43.5">
      <c r="A590" s="83" t="s">
        <v>27</v>
      </c>
      <c r="B590" s="109">
        <f>_xlfn.XLOOKUP(A590,Equipe!H:H,Equipe!B:B,"",0)</f>
        <v>4608685</v>
      </c>
      <c r="C590" s="154">
        <v>46148</v>
      </c>
      <c r="D590" s="151">
        <f>(IF(Tabela1[[#This Row],[Início]]&lt;&gt;"",C590+E590-1,""))*1</f>
        <v>46149</v>
      </c>
      <c r="E590" s="83">
        <v>2</v>
      </c>
      <c r="F590" s="87" t="s">
        <v>47</v>
      </c>
      <c r="G590" s="88" t="s">
        <v>365</v>
      </c>
      <c r="H590" s="87" t="str">
        <f>_xlfn.XLOOKUP(Tabela1[[#This Row],[Matrícula]],Equipe!B:B,Equipe!E:E,"ERRO",0)</f>
        <v>P80</v>
      </c>
      <c r="I590" s="87" t="str">
        <f>VLOOKUP(Tabela1[[#This Row],[Matrícula]],Equipe!B:F,5,0)</f>
        <v>Novo</v>
      </c>
    </row>
    <row r="591" spans="1:9" ht="43.5" hidden="1">
      <c r="A591" s="83" t="s">
        <v>16</v>
      </c>
      <c r="B591" s="109">
        <f>_xlfn.XLOOKUP(A591,Equipe!H:H,Equipe!B:B,"",0)</f>
        <v>4608544</v>
      </c>
      <c r="C591" s="154">
        <v>46148</v>
      </c>
      <c r="D591" s="151">
        <f>(IF(Tabela1[[#This Row],[Início]]&lt;&gt;"",C591+E591-1,""))*1</f>
        <v>46149</v>
      </c>
      <c r="E591" s="83">
        <v>2</v>
      </c>
      <c r="F591" s="87" t="s">
        <v>47</v>
      </c>
      <c r="G591" s="88" t="s">
        <v>365</v>
      </c>
      <c r="H591" s="87" t="str">
        <f>_xlfn.XLOOKUP(Tabela1[[#This Row],[Matrícula]],Equipe!B:B,Equipe!E:E,"ERRO",0)</f>
        <v>P82</v>
      </c>
      <c r="I591" s="87" t="str">
        <f>VLOOKUP(Tabela1[[#This Row],[Matrícula]],Equipe!B:F,5,0)</f>
        <v>Novo</v>
      </c>
    </row>
    <row r="592" spans="1:9" hidden="1">
      <c r="A592" s="83" t="s">
        <v>128</v>
      </c>
      <c r="B592" s="109">
        <f>_xlfn.XLOOKUP(A592,Equipe!H:H,Equipe!B:B,"",0)</f>
        <v>229316</v>
      </c>
      <c r="C592" s="154">
        <v>46148</v>
      </c>
      <c r="D592" s="151">
        <f>(IF(Tabela1[[#This Row],[Início]]&lt;&gt;"",C592+E592-1,""))*1</f>
        <v>46149</v>
      </c>
      <c r="E592" s="83">
        <v>2</v>
      </c>
      <c r="F592" s="87" t="s">
        <v>47</v>
      </c>
      <c r="G592" s="88" t="s">
        <v>359</v>
      </c>
      <c r="H592" s="87" t="str">
        <f>_xlfn.XLOOKUP(Tabela1[[#This Row],[Matrícula]],Equipe!B:B,Equipe!E:E,"ERRO",0)</f>
        <v>PBAC</v>
      </c>
      <c r="I592" s="87" t="str">
        <f>VLOOKUP(Tabela1[[#This Row],[Matrícula]],Equipe!B:F,5,0)</f>
        <v>Experiente</v>
      </c>
    </row>
    <row r="593" spans="1:9" hidden="1">
      <c r="A593" s="83" t="s">
        <v>20</v>
      </c>
      <c r="B593" s="109">
        <f>_xlfn.XLOOKUP(A593,Equipe!H:H,Equipe!B:B,"",0)</f>
        <v>4608559</v>
      </c>
      <c r="C593" s="154">
        <v>46148</v>
      </c>
      <c r="D593" s="151">
        <f>(IF(Tabela1[[#This Row],[Início]]&lt;&gt;"",C593+E593-1,""))*1</f>
        <v>46149</v>
      </c>
      <c r="E593" s="83">
        <v>2</v>
      </c>
      <c r="F593" s="87" t="s">
        <v>11</v>
      </c>
      <c r="G593" s="88" t="s">
        <v>366</v>
      </c>
      <c r="H593" s="87" t="str">
        <f>_xlfn.XLOOKUP(Tabela1[[#This Row],[Matrícula]],Equipe!B:B,Equipe!E:E,"ERRO",0)</f>
        <v>P83</v>
      </c>
      <c r="I593" s="87" t="str">
        <f>VLOOKUP(Tabela1[[#This Row],[Matrícula]],Equipe!B:F,5,0)</f>
        <v>Novo</v>
      </c>
    </row>
    <row r="594" spans="1:9" hidden="1">
      <c r="A594" s="83" t="s">
        <v>142</v>
      </c>
      <c r="B594" s="109">
        <f>_xlfn.XLOOKUP(A594,Equipe!H:H,Equipe!B:B,"",0)</f>
        <v>4612228</v>
      </c>
      <c r="C594" s="154">
        <v>46148</v>
      </c>
      <c r="D594" s="151">
        <f>(IF(Tabela1[[#This Row],[Início]]&lt;&gt;"",C594+E594-1,""))*1</f>
        <v>46149</v>
      </c>
      <c r="E594" s="83">
        <v>2</v>
      </c>
      <c r="F594" s="87" t="s">
        <v>47</v>
      </c>
      <c r="G594" s="88" t="s">
        <v>359</v>
      </c>
      <c r="H594" s="87" t="str">
        <f>_xlfn.XLOOKUP(Tabela1[[#This Row],[Matrícula]],Equipe!B:B,Equipe!E:E,"ERRO",0)</f>
        <v>P82</v>
      </c>
      <c r="I594" s="87" t="str">
        <f>VLOOKUP(Tabela1[[#This Row],[Matrícula]],Equipe!B:F,5,0)</f>
        <v>Novo</v>
      </c>
    </row>
    <row r="595" spans="1:9" ht="43.5">
      <c r="A595" s="83" t="s">
        <v>108</v>
      </c>
      <c r="B595" s="109">
        <f>_xlfn.XLOOKUP(A595,Equipe!H:H,Equipe!B:B,"",0)</f>
        <v>4612243</v>
      </c>
      <c r="C595" s="154">
        <v>46148</v>
      </c>
      <c r="D595" s="151">
        <f>(IF(Tabela1[[#This Row],[Início]]&lt;&gt;"",C595+E595-1,""))*1</f>
        <v>46149</v>
      </c>
      <c r="E595" s="83">
        <v>2</v>
      </c>
      <c r="F595" s="87" t="s">
        <v>47</v>
      </c>
      <c r="G595" s="88" t="s">
        <v>365</v>
      </c>
      <c r="H595" s="87" t="str">
        <f>_xlfn.XLOOKUP(Tabela1[[#This Row],[Matrícula]],Equipe!B:B,Equipe!E:E,"ERRO",0)</f>
        <v>P80</v>
      </c>
      <c r="I595" s="87" t="str">
        <f>VLOOKUP(Tabela1[[#This Row],[Matrícula]],Equipe!B:F,5,0)</f>
        <v>Novo</v>
      </c>
    </row>
    <row r="596" spans="1:9" ht="43.5">
      <c r="A596" s="83" t="s">
        <v>36</v>
      </c>
      <c r="B596" s="109">
        <f>_xlfn.XLOOKUP(A596,Equipe!H:H,Equipe!B:B,"",0)</f>
        <v>4608721</v>
      </c>
      <c r="C596" s="154">
        <v>46148</v>
      </c>
      <c r="D596" s="151">
        <f>(IF(Tabela1[[#This Row],[Início]]&lt;&gt;"",C596+E596-1,""))*1</f>
        <v>46149</v>
      </c>
      <c r="E596" s="83">
        <v>2</v>
      </c>
      <c r="F596" s="87" t="s">
        <v>47</v>
      </c>
      <c r="G596" s="88" t="s">
        <v>365</v>
      </c>
      <c r="H596" s="87" t="str">
        <f>_xlfn.XLOOKUP(Tabela1[[#This Row],[Matrícula]],Equipe!B:B,Equipe!E:E,"ERRO",0)</f>
        <v>P80</v>
      </c>
      <c r="I596" s="87" t="str">
        <f>VLOOKUP(Tabela1[[#This Row],[Matrícula]],Equipe!B:F,5,0)</f>
        <v>Novo</v>
      </c>
    </row>
    <row r="597" spans="1:9" ht="43.5" hidden="1">
      <c r="A597" s="83" t="s">
        <v>140</v>
      </c>
      <c r="B597" s="109">
        <f>_xlfn.XLOOKUP(A597,Equipe!H:H,Equipe!B:B,"",0)</f>
        <v>4612247</v>
      </c>
      <c r="C597" s="154">
        <v>46148</v>
      </c>
      <c r="D597" s="151">
        <f>(IF(Tabela1[[#This Row],[Início]]&lt;&gt;"",C597+E597-1,""))*1</f>
        <v>46149</v>
      </c>
      <c r="E597" s="83">
        <v>2</v>
      </c>
      <c r="F597" s="87" t="s">
        <v>47</v>
      </c>
      <c r="G597" s="88" t="s">
        <v>365</v>
      </c>
      <c r="H597" s="87" t="str">
        <f>_xlfn.XLOOKUP(Tabela1[[#This Row],[Matrícula]],Equipe!B:B,Equipe!E:E,"ERRO",0)</f>
        <v>P83</v>
      </c>
      <c r="I597" s="87" t="str">
        <f>VLOOKUP(Tabela1[[#This Row],[Matrícula]],Equipe!B:F,5,0)</f>
        <v>Novo</v>
      </c>
    </row>
    <row r="598" spans="1:9" ht="43.5">
      <c r="A598" s="83" t="s">
        <v>225</v>
      </c>
      <c r="B598" s="109">
        <f>_xlfn.XLOOKUP(A598,Equipe!H:H,Equipe!B:B,"",0)</f>
        <v>2448533</v>
      </c>
      <c r="C598" s="154">
        <v>46148</v>
      </c>
      <c r="D598" s="151">
        <f>(IF(Tabela1[[#This Row],[Início]]&lt;&gt;"",C598+E598-1,""))*1</f>
        <v>46149</v>
      </c>
      <c r="E598" s="83">
        <v>2</v>
      </c>
      <c r="F598" s="87" t="s">
        <v>47</v>
      </c>
      <c r="G598" s="88" t="s">
        <v>365</v>
      </c>
      <c r="H598" s="87" t="str">
        <f>_xlfn.XLOOKUP(Tabela1[[#This Row],[Matrícula]],Equipe!B:B,Equipe!E:E,"ERRO",0)</f>
        <v>P80</v>
      </c>
      <c r="I598" s="87" t="str">
        <f>VLOOKUP(Tabela1[[#This Row],[Matrícula]],Equipe!B:F,5,0)</f>
        <v>Experiente</v>
      </c>
    </row>
    <row r="599" spans="1:9" hidden="1">
      <c r="A599" s="83" t="s">
        <v>56</v>
      </c>
      <c r="B599" s="109">
        <v>2477135</v>
      </c>
      <c r="C599" s="154">
        <v>46149</v>
      </c>
      <c r="D599" s="150">
        <v>46150</v>
      </c>
      <c r="E599" s="83">
        <v>2</v>
      </c>
      <c r="F599" s="83" t="s">
        <v>14</v>
      </c>
      <c r="G599" s="88" t="s">
        <v>367</v>
      </c>
      <c r="H599" s="83" t="str">
        <f>_xlfn.XLOOKUP(Tabela1[[#This Row],[Matrícula]],Equipe!B:B,Equipe!E:E,"ERRO",0)</f>
        <v>P83</v>
      </c>
      <c r="I599" s="83" t="str">
        <f>VLOOKUP(Tabela1[[#This Row],[Matrícula]],Equipe!B:F,5,0)</f>
        <v>Experiente</v>
      </c>
    </row>
    <row r="600" spans="1:9">
      <c r="A600" s="87" t="s">
        <v>38</v>
      </c>
      <c r="B600" s="109">
        <f>_xlfn.XLOOKUP(A600,Equipe!H:H,Equipe!B:B,"",0)</f>
        <v>1385894</v>
      </c>
      <c r="C600" s="155">
        <v>46149</v>
      </c>
      <c r="D600" s="151">
        <f>(IF(Tabela1[[#This Row],[Início]]&lt;&gt;"",C600+E600-1,""))*1</f>
        <v>46149</v>
      </c>
      <c r="E600" s="87">
        <v>1</v>
      </c>
      <c r="F600" s="87" t="s">
        <v>14</v>
      </c>
      <c r="G600" s="93" t="s">
        <v>368</v>
      </c>
      <c r="H600" s="87" t="str">
        <f>_xlfn.XLOOKUP(Tabela1[[#This Row],[Matrícula]],Equipe!B:B,Equipe!E:E,"ERRO",0)</f>
        <v>P80</v>
      </c>
      <c r="I600" s="87" t="str">
        <f>VLOOKUP(Tabela1[[#This Row],[Matrícula]],Equipe!B:F,5,0)</f>
        <v>Experiente</v>
      </c>
    </row>
    <row r="601" spans="1:9" hidden="1">
      <c r="A601" s="83" t="s">
        <v>40</v>
      </c>
      <c r="B601" s="109">
        <f>_xlfn.XLOOKUP(A601,Equipe!H:H,Equipe!B:B,"",0)</f>
        <v>9724817</v>
      </c>
      <c r="C601" s="154">
        <v>46150</v>
      </c>
      <c r="D601" s="151">
        <f>(IF(Tabela1[[#This Row],[Início]]&lt;&gt;"",C601+E601-1,""))*1</f>
        <v>46150</v>
      </c>
      <c r="E601" s="83">
        <v>1</v>
      </c>
      <c r="F601" s="87" t="s">
        <v>14</v>
      </c>
      <c r="G601" s="88" t="s">
        <v>341</v>
      </c>
      <c r="H601" s="87" t="str">
        <f>_xlfn.XLOOKUP(Tabela1[[#This Row],[Matrícula]],Equipe!B:B,Equipe!E:E,"ERRO",0)</f>
        <v>P82</v>
      </c>
      <c r="I601" s="87" t="str">
        <f>VLOOKUP(Tabela1[[#This Row],[Matrícula]],Equipe!B:F,5,0)</f>
        <v>Experiente</v>
      </c>
    </row>
    <row r="602" spans="1:9">
      <c r="A602" s="87" t="s">
        <v>38</v>
      </c>
      <c r="B602" s="109">
        <f>_xlfn.XLOOKUP(A602,Equipe!H:H,Equipe!B:B,"",0)</f>
        <v>1385894</v>
      </c>
      <c r="C602" s="155">
        <v>46150</v>
      </c>
      <c r="D602" s="151">
        <f>(IF(Tabela1[[#This Row],[Início]]&lt;&gt;"",C602+E602-1,""))*1</f>
        <v>46150</v>
      </c>
      <c r="E602" s="87">
        <v>1</v>
      </c>
      <c r="F602" s="87" t="s">
        <v>14</v>
      </c>
      <c r="G602" s="93" t="s">
        <v>363</v>
      </c>
      <c r="H602" s="87" t="str">
        <f>_xlfn.XLOOKUP(Tabela1[[#This Row],[Matrícula]],Equipe!B:B,Equipe!E:E,"ERRO",0)</f>
        <v>P80</v>
      </c>
      <c r="I602" s="87" t="str">
        <f>VLOOKUP(Tabela1[[#This Row],[Matrícula]],Equipe!B:F,5,0)</f>
        <v>Experiente</v>
      </c>
    </row>
    <row r="603" spans="1:9" hidden="1">
      <c r="A603" s="83" t="s">
        <v>56</v>
      </c>
      <c r="B603" s="109">
        <v>2477135</v>
      </c>
      <c r="C603" s="154">
        <v>46153</v>
      </c>
      <c r="D603" s="151">
        <v>46157</v>
      </c>
      <c r="E603" s="83">
        <v>5</v>
      </c>
      <c r="F603" s="87" t="s">
        <v>11</v>
      </c>
      <c r="G603" s="88" t="s">
        <v>369</v>
      </c>
      <c r="H603" s="87" t="s">
        <v>294</v>
      </c>
      <c r="I603" s="83" t="str">
        <f>VLOOKUP(Tabela1[[#This Row],[Matrícula]],Equipe!B:F,5,0)</f>
        <v>Experiente</v>
      </c>
    </row>
    <row r="604" spans="1:9" hidden="1">
      <c r="A604" s="83" t="s">
        <v>40</v>
      </c>
      <c r="B604" s="109">
        <f>_xlfn.XLOOKUP(A604,Equipe!H:H,Equipe!B:B,"",0)</f>
        <v>9724817</v>
      </c>
      <c r="C604" s="154">
        <v>46153</v>
      </c>
      <c r="D604" s="151">
        <f>(IF(Tabela1[[#This Row],[Início]]&lt;&gt;"",C604+E604-1,""))*1</f>
        <v>46153</v>
      </c>
      <c r="E604" s="83">
        <v>1</v>
      </c>
      <c r="F604" s="87" t="s">
        <v>11</v>
      </c>
      <c r="G604" s="88" t="s">
        <v>370</v>
      </c>
      <c r="H604" s="87" t="str">
        <f>_xlfn.XLOOKUP(Tabela1[[#This Row],[Matrícula]],Equipe!B:B,Equipe!E:E,"ERRO",0)</f>
        <v>P82</v>
      </c>
      <c r="I604" s="87" t="str">
        <f>VLOOKUP(Tabela1[[#This Row],[Matrícula]],Equipe!B:F,5,0)</f>
        <v>Experiente</v>
      </c>
    </row>
    <row r="605" spans="1:9">
      <c r="A605" s="83" t="s">
        <v>116</v>
      </c>
      <c r="B605" s="87">
        <f>_xlfn.XLOOKUP(A605,Equipe!H:H,Equipe!B:B,"",0)</f>
        <v>4612171</v>
      </c>
      <c r="C605" s="179">
        <v>46153</v>
      </c>
      <c r="D605" s="177">
        <f>(IF(Tabela1[[#This Row],[Início]]&lt;&gt;"",C605+E605-1,""))*1</f>
        <v>46157</v>
      </c>
      <c r="E605" s="83">
        <v>5</v>
      </c>
      <c r="F605" s="87" t="s">
        <v>11</v>
      </c>
      <c r="G605" s="88" t="s">
        <v>289</v>
      </c>
      <c r="H605" s="87" t="str">
        <f>_xlfn.XLOOKUP(Tabela1[[#This Row],[Matrícula]],Equipe!B:B,Equipe!E:E,"ERRO",0)</f>
        <v>P80</v>
      </c>
      <c r="I605" s="87" t="str">
        <f>VLOOKUP(Tabela1[[#This Row],[Matrícula]],Equipe!B:F,5,0)</f>
        <v>Novo</v>
      </c>
    </row>
    <row r="606" spans="1:9">
      <c r="A606" s="83" t="s">
        <v>90</v>
      </c>
      <c r="B606" s="109">
        <f>_xlfn.XLOOKUP(A606,Equipe!H:H,Equipe!B:B,"",0)</f>
        <v>9683150</v>
      </c>
      <c r="C606" s="154">
        <v>46153</v>
      </c>
      <c r="D606" s="151">
        <v>46153</v>
      </c>
      <c r="E606" s="83">
        <v>1</v>
      </c>
      <c r="F606" s="87" t="s">
        <v>14</v>
      </c>
      <c r="G606" s="88" t="s">
        <v>208</v>
      </c>
      <c r="H606" s="87" t="str">
        <f>_xlfn.XLOOKUP(Tabela1[[#This Row],[Matrícula]],Equipe!B:B,Equipe!E:E,"ERRO",0)</f>
        <v>P80</v>
      </c>
      <c r="I606" s="87" t="str">
        <f>VLOOKUP(Tabela1[[#This Row],[Matrícula]],Equipe!B:F,5,0)</f>
        <v>Experiente</v>
      </c>
    </row>
    <row r="607" spans="1:9" hidden="1">
      <c r="A607" s="83" t="s">
        <v>229</v>
      </c>
      <c r="B607" s="109">
        <f>_xlfn.XLOOKUP(A607,Equipe!H:H,Equipe!B:B,"",0)</f>
        <v>9921954</v>
      </c>
      <c r="C607" s="154">
        <v>46153</v>
      </c>
      <c r="D607" s="151">
        <f>(IF(Tabela1[[#This Row],[Início]]&lt;&gt;"",C607+E607-1,""))*1</f>
        <v>46157</v>
      </c>
      <c r="E607" s="83">
        <v>5</v>
      </c>
      <c r="F607" s="87" t="s">
        <v>11</v>
      </c>
      <c r="G607" s="88" t="s">
        <v>305</v>
      </c>
      <c r="H607" s="87" t="str">
        <f>_xlfn.XLOOKUP(Tabela1[[#This Row],[Matrícula]],Equipe!B:B,Equipe!E:E,"ERRO",0)</f>
        <v>P82</v>
      </c>
      <c r="I607" s="87" t="str">
        <f>VLOOKUP(Tabela1[[#This Row],[Matrícula]],Equipe!B:F,5,0)</f>
        <v>Experiente</v>
      </c>
    </row>
    <row r="608" spans="1:9">
      <c r="A608" s="83" t="s">
        <v>38</v>
      </c>
      <c r="B608" s="109">
        <f>_xlfn.XLOOKUP(A608,Equipe!H:H,Equipe!B:B,"",0)</f>
        <v>1385894</v>
      </c>
      <c r="C608" s="154">
        <v>46153</v>
      </c>
      <c r="D608" s="151">
        <f>(IF(Tabela1[[#This Row],[Início]]&lt;&gt;"",C608+E608-1,""))*1</f>
        <v>46154</v>
      </c>
      <c r="E608" s="83">
        <v>2</v>
      </c>
      <c r="F608" s="87" t="s">
        <v>14</v>
      </c>
      <c r="G608" s="88" t="s">
        <v>363</v>
      </c>
      <c r="H608" s="87" t="str">
        <f>_xlfn.XLOOKUP(Tabela1[[#This Row],[Matrícula]],Equipe!B:B,Equipe!E:E,"ERRO",0)</f>
        <v>P80</v>
      </c>
      <c r="I608" s="87" t="str">
        <f>VLOOKUP(Tabela1[[#This Row],[Matrícula]],Equipe!B:F,5,0)</f>
        <v>Experiente</v>
      </c>
    </row>
    <row r="609" spans="1:9" ht="57.95" hidden="1">
      <c r="A609" s="83" t="s">
        <v>57</v>
      </c>
      <c r="B609" s="109">
        <f>_xlfn.XLOOKUP(A609,Equipe!H:H,Equipe!B:B,"",0)</f>
        <v>4608684</v>
      </c>
      <c r="C609" s="154">
        <v>46153</v>
      </c>
      <c r="D609" s="151">
        <f>(IF(Tabela1[[#This Row],[Início]]&lt;&gt;"",C609+E609-1,""))*1</f>
        <v>46157</v>
      </c>
      <c r="E609" s="83">
        <v>5</v>
      </c>
      <c r="F609" s="87" t="s">
        <v>11</v>
      </c>
      <c r="G609" s="93" t="s">
        <v>371</v>
      </c>
      <c r="H609" s="87" t="str">
        <f>_xlfn.XLOOKUP(Tabela1[[#This Row],[Matrícula]],Equipe!B:B,Equipe!E:E,"ERRO",0)</f>
        <v>P82</v>
      </c>
      <c r="I609" s="87" t="str">
        <f>VLOOKUP(Tabela1[[#This Row],[Matrícula]],Equipe!B:F,5,0)</f>
        <v>Novo</v>
      </c>
    </row>
    <row r="610" spans="1:9">
      <c r="A610" s="83" t="s">
        <v>27</v>
      </c>
      <c r="B610" s="109">
        <f>_xlfn.XLOOKUP(A610,Equipe!H:H,Equipe!B:B,"",0)</f>
        <v>4608685</v>
      </c>
      <c r="C610" s="154">
        <v>46153</v>
      </c>
      <c r="D610" s="150">
        <f>(IF(Tabela1[[#This Row],[Início]]&lt;&gt;"",C610+E610-1,""))*1</f>
        <v>46157</v>
      </c>
      <c r="E610" s="83">
        <v>5</v>
      </c>
      <c r="F610" s="83" t="s">
        <v>11</v>
      </c>
      <c r="G610" s="88" t="s">
        <v>289</v>
      </c>
      <c r="H610" s="83" t="str">
        <f>_xlfn.XLOOKUP(Tabela1[[#This Row],[Matrícula]],Equipe!B:B,Equipe!E:E,"ERRO",0)</f>
        <v>P80</v>
      </c>
      <c r="I610" s="83" t="str">
        <f>VLOOKUP(Tabela1[[#This Row],[Matrícula]],Equipe!B:F,5,0)</f>
        <v>Novo</v>
      </c>
    </row>
    <row r="611" spans="1:9" hidden="1">
      <c r="A611" s="83" t="s">
        <v>142</v>
      </c>
      <c r="B611" s="109">
        <f>_xlfn.XLOOKUP(A611,Equipe!H:H,Equipe!B:B,"",0)</f>
        <v>4612228</v>
      </c>
      <c r="C611" s="154">
        <v>46153</v>
      </c>
      <c r="D611" s="151">
        <f>(IF(Tabela1[[#This Row],[Início]]&lt;&gt;"",C611+E611-1,""))*1</f>
        <v>46157</v>
      </c>
      <c r="E611" s="83">
        <v>5</v>
      </c>
      <c r="F611" s="87" t="s">
        <v>11</v>
      </c>
      <c r="G611" s="93" t="s">
        <v>305</v>
      </c>
      <c r="H611" s="87" t="str">
        <f>_xlfn.XLOOKUP(Tabela1[[#This Row],[Matrícula]],Equipe!B:B,Equipe!E:E,"ERRO",0)</f>
        <v>P82</v>
      </c>
      <c r="I611" s="87" t="str">
        <f>VLOOKUP(Tabela1[[#This Row],[Matrícula]],Equipe!B:F,5,0)</f>
        <v>Novo</v>
      </c>
    </row>
    <row r="612" spans="1:9" hidden="1">
      <c r="A612" s="83" t="s">
        <v>20</v>
      </c>
      <c r="B612" s="109">
        <f>_xlfn.XLOOKUP(A612,Equipe!H:H,Equipe!B:B,"",0)</f>
        <v>4608559</v>
      </c>
      <c r="C612" s="154">
        <v>46153</v>
      </c>
      <c r="D612" s="151">
        <f>(IF(Tabela1[[#This Row],[Início]]&lt;&gt;"",C612+E612-1,""))*1</f>
        <v>46157</v>
      </c>
      <c r="E612" s="83">
        <v>5</v>
      </c>
      <c r="F612" s="87" t="s">
        <v>11</v>
      </c>
      <c r="G612" s="88" t="s">
        <v>372</v>
      </c>
      <c r="H612" s="87" t="str">
        <f>_xlfn.XLOOKUP(Tabela1[[#This Row],[Matrícula]],Equipe!B:B,Equipe!E:E,"ERRO",0)</f>
        <v>P83</v>
      </c>
      <c r="I612" s="87" t="str">
        <f>VLOOKUP(Tabela1[[#This Row],[Matrícula]],Equipe!B:F,5,0)</f>
        <v>Novo</v>
      </c>
    </row>
    <row r="613" spans="1:9" ht="29.1">
      <c r="A613" s="83" t="s">
        <v>108</v>
      </c>
      <c r="B613" s="109">
        <f>_xlfn.XLOOKUP(A613,Equipe!H:H,Equipe!B:B,"",0)</f>
        <v>4612243</v>
      </c>
      <c r="C613" s="154">
        <v>46153</v>
      </c>
      <c r="D613" s="151">
        <f>(IF(Tabela1[[#This Row],[Início]]&lt;&gt;"",C613+E613-1,""))*1</f>
        <v>46157</v>
      </c>
      <c r="E613" s="83">
        <v>5</v>
      </c>
      <c r="F613" s="87" t="s">
        <v>11</v>
      </c>
      <c r="G613" s="88" t="s">
        <v>373</v>
      </c>
      <c r="H613" s="87" t="str">
        <f>_xlfn.XLOOKUP(Tabela1[[#This Row],[Matrícula]],Equipe!B:B,Equipe!E:E,"ERRO",0)</f>
        <v>P80</v>
      </c>
      <c r="I613" s="87" t="str">
        <f>VLOOKUP(Tabela1[[#This Row],[Matrícula]],Equipe!B:F,5,0)</f>
        <v>Novo</v>
      </c>
    </row>
    <row r="614" spans="1:9">
      <c r="A614" s="83" t="s">
        <v>36</v>
      </c>
      <c r="B614" s="109">
        <f>_xlfn.XLOOKUP(A614,Equipe!H:H,Equipe!B:B,"",0)</f>
        <v>4608721</v>
      </c>
      <c r="C614" s="154">
        <v>46153</v>
      </c>
      <c r="D614" s="151">
        <f>(IF(Tabela1[[#This Row],[Início]]&lt;&gt;"",C614+E614-1,""))*1</f>
        <v>46157</v>
      </c>
      <c r="E614" s="83">
        <v>5</v>
      </c>
      <c r="F614" s="87" t="s">
        <v>11</v>
      </c>
      <c r="G614" s="88" t="s">
        <v>374</v>
      </c>
      <c r="H614" s="87" t="str">
        <f>_xlfn.XLOOKUP(Tabela1[[#This Row],[Matrícula]],Equipe!B:B,Equipe!E:E,"ERRO",0)</f>
        <v>P80</v>
      </c>
      <c r="I614" s="87" t="str">
        <f>VLOOKUP(Tabela1[[#This Row],[Matrícula]],Equipe!B:F,5,0)</f>
        <v>Novo</v>
      </c>
    </row>
    <row r="615" spans="1:9" hidden="1">
      <c r="A615" s="83" t="s">
        <v>140</v>
      </c>
      <c r="B615" s="109">
        <f>_xlfn.XLOOKUP(A615,Equipe!H:H,Equipe!B:B,"",0)</f>
        <v>4612247</v>
      </c>
      <c r="C615" s="154">
        <v>46153</v>
      </c>
      <c r="D615" s="151">
        <f>(IF(Tabela1[[#This Row],[Início]]&lt;&gt;"",C615+E615-1,""))*1</f>
        <v>46157</v>
      </c>
      <c r="E615" s="83">
        <v>5</v>
      </c>
      <c r="F615" s="87" t="s">
        <v>11</v>
      </c>
      <c r="G615" s="146" t="s">
        <v>373</v>
      </c>
      <c r="H615" s="87" t="str">
        <f>_xlfn.XLOOKUP(Tabela1[[#This Row],[Matrícula]],Equipe!B:B,Equipe!E:E,"ERRO",0)</f>
        <v>P83</v>
      </c>
      <c r="I615" s="87" t="str">
        <f>VLOOKUP(Tabela1[[#This Row],[Matrícula]],Equipe!B:F,5,0)</f>
        <v>Novo</v>
      </c>
    </row>
    <row r="616" spans="1:9" ht="29.1">
      <c r="A616" s="83" t="s">
        <v>225</v>
      </c>
      <c r="B616" s="109">
        <f>_xlfn.XLOOKUP(A616,Equipe!H:H,Equipe!B:B,"",0)</f>
        <v>2448533</v>
      </c>
      <c r="C616" s="154">
        <v>46153</v>
      </c>
      <c r="D616" s="151">
        <f>(IF(Tabela1[[#This Row],[Início]]&lt;&gt;"",C616+E616-1,""))*1</f>
        <v>46157</v>
      </c>
      <c r="E616" s="83">
        <v>5</v>
      </c>
      <c r="F616" s="87" t="s">
        <v>11</v>
      </c>
      <c r="G616" s="88" t="s">
        <v>373</v>
      </c>
      <c r="H616" s="87" t="str">
        <f>_xlfn.XLOOKUP(Tabela1[[#This Row],[Matrícula]],Equipe!B:B,Equipe!E:E,"ERRO",0)</f>
        <v>P80</v>
      </c>
      <c r="I616" s="87" t="str">
        <f>VLOOKUP(Tabela1[[#This Row],[Matrícula]],Equipe!B:F,5,0)</f>
        <v>Experiente</v>
      </c>
    </row>
    <row r="617" spans="1:9" hidden="1">
      <c r="A617" s="83" t="s">
        <v>260</v>
      </c>
      <c r="B617" s="109">
        <f>_xlfn.XLOOKUP(A617,Equipe!H:H,Equipe!B:B,"",0)</f>
        <v>4604625</v>
      </c>
      <c r="C617" s="154">
        <v>46153</v>
      </c>
      <c r="D617" s="151">
        <f>(IF(Tabela1[[#This Row],[Início]]&lt;&gt;"",C617+E617-1,""))*1</f>
        <v>46168</v>
      </c>
      <c r="E617" s="83">
        <v>16</v>
      </c>
      <c r="F617" s="87" t="s">
        <v>232</v>
      </c>
      <c r="G617" s="88" t="s">
        <v>232</v>
      </c>
      <c r="H617" s="87" t="str">
        <f>_xlfn.XLOOKUP(Tabela1[[#This Row],[Matrícula]],Equipe!B:B,Equipe!E:E,"ERRO",0)</f>
        <v>PBAC</v>
      </c>
      <c r="I617" s="87" t="str">
        <f>VLOOKUP(Tabela1[[#This Row],[Matrícula]],Equipe!B:F,5,0)</f>
        <v>Novo</v>
      </c>
    </row>
    <row r="618" spans="1:9" hidden="1">
      <c r="A618" s="83" t="s">
        <v>34</v>
      </c>
      <c r="B618" s="109">
        <f>_xlfn.XLOOKUP(A618,Equipe!H:H,Equipe!B:B,"",0)</f>
        <v>4608474</v>
      </c>
      <c r="C618" s="154">
        <v>46154</v>
      </c>
      <c r="D618" s="151">
        <v>46156</v>
      </c>
      <c r="E618" s="83">
        <v>3</v>
      </c>
      <c r="F618" s="87" t="s">
        <v>11</v>
      </c>
      <c r="G618" s="88" t="s">
        <v>375</v>
      </c>
      <c r="H618" s="87" t="str">
        <f>_xlfn.XLOOKUP(Tabela1[[#This Row],[Matrícula]],Equipe!B:B,Equipe!E:E,"ERRO",0)</f>
        <v>P82</v>
      </c>
      <c r="I618" s="87" t="str">
        <f>VLOOKUP(Tabela1[[#This Row],[Matrícula]],Equipe!B:F,5,0)</f>
        <v>Novo</v>
      </c>
    </row>
    <row r="619" spans="1:9" hidden="1">
      <c r="A619" s="83" t="s">
        <v>10</v>
      </c>
      <c r="B619" s="109">
        <f>_xlfn.XLOOKUP(A619,Equipe!H:H,Equipe!B:B,"",0)</f>
        <v>4612393</v>
      </c>
      <c r="C619" s="154">
        <v>46154</v>
      </c>
      <c r="D619" s="151">
        <f>(IF(Tabela1[[#This Row],[Início]]&lt;&gt;"",C619+E619-1,""))*1</f>
        <v>46174</v>
      </c>
      <c r="E619" s="83">
        <v>21</v>
      </c>
      <c r="F619" s="87" t="s">
        <v>14</v>
      </c>
      <c r="G619" s="88" t="s">
        <v>19</v>
      </c>
      <c r="H619" s="87" t="str">
        <f>_xlfn.XLOOKUP(Tabela1[[#This Row],[Matrícula]],Equipe!B:B,Equipe!E:E,"ERRO",0)</f>
        <v>P83</v>
      </c>
      <c r="I619" s="87" t="str">
        <f>VLOOKUP(Tabela1[[#This Row],[Matrícula]],Equipe!B:F,5,0)</f>
        <v>Novo</v>
      </c>
    </row>
    <row r="620" spans="1:9">
      <c r="A620" s="83" t="s">
        <v>264</v>
      </c>
      <c r="B620" s="109">
        <f>_xlfn.XLOOKUP(A620,Equipe!H:H,Equipe!B:B,"",0)</f>
        <v>9678697</v>
      </c>
      <c r="C620" s="154">
        <v>46154</v>
      </c>
      <c r="D620" s="151">
        <f>(IF(Tabela1[[#This Row],[Início]]&lt;&gt;"",C620+E620-1,""))*1</f>
        <v>46174</v>
      </c>
      <c r="E620" s="83">
        <v>21</v>
      </c>
      <c r="F620" s="87" t="s">
        <v>14</v>
      </c>
      <c r="G620" s="88" t="s">
        <v>376</v>
      </c>
      <c r="H620" s="87" t="str">
        <f>_xlfn.XLOOKUP(Tabela1[[#This Row],[Matrícula]],Equipe!B:B,Equipe!E:E,"ERRO",0)</f>
        <v>P80</v>
      </c>
      <c r="I620" s="87" t="str">
        <f>VLOOKUP(Tabela1[[#This Row],[Matrícula]],Equipe!B:F,5,0)</f>
        <v>Experiente</v>
      </c>
    </row>
    <row r="621" spans="1:9" hidden="1">
      <c r="A621" s="83" t="s">
        <v>331</v>
      </c>
      <c r="B621" s="109">
        <f>_xlfn.XLOOKUP(A621,Equipe!H:H,Equipe!B:B,"",0)</f>
        <v>4613176</v>
      </c>
      <c r="C621" s="154">
        <v>46155</v>
      </c>
      <c r="D621" s="151">
        <f>(IF(Tabela1[[#This Row],[Início]]&lt;&gt;"",C621+E621-1,""))*1</f>
        <v>46175</v>
      </c>
      <c r="E621" s="83">
        <v>21</v>
      </c>
      <c r="F621" s="87" t="s">
        <v>14</v>
      </c>
      <c r="G621" s="88" t="s">
        <v>266</v>
      </c>
      <c r="H621" s="87" t="str">
        <f>_xlfn.XLOOKUP(Tabela1[[#This Row],[Matrícula]],Equipe!B:B,Equipe!E:E,"ERRO",0)</f>
        <v>P82</v>
      </c>
      <c r="I621" s="87" t="str">
        <f>VLOOKUP(Tabela1[[#This Row],[Matrícula]],Equipe!B:F,5,0)</f>
        <v>Novo</v>
      </c>
    </row>
    <row r="622" spans="1:9">
      <c r="A622" s="83" t="s">
        <v>90</v>
      </c>
      <c r="B622" s="109">
        <f>_xlfn.XLOOKUP(A622,Equipe!H:H,Equipe!B:B,"",0)</f>
        <v>9683150</v>
      </c>
      <c r="C622" s="154">
        <v>46156</v>
      </c>
      <c r="D622" s="151">
        <v>46157</v>
      </c>
      <c r="E622" s="83">
        <v>2</v>
      </c>
      <c r="F622" s="87" t="s">
        <v>14</v>
      </c>
      <c r="G622" s="88" t="s">
        <v>208</v>
      </c>
      <c r="H622" s="87" t="str">
        <f>_xlfn.XLOOKUP(Tabela1[[#This Row],[Matrícula]],Equipe!B:B,Equipe!E:E,"ERRO",0)</f>
        <v>P80</v>
      </c>
      <c r="I622" s="87" t="str">
        <f>VLOOKUP(Tabela1[[#This Row],[Matrícula]],Equipe!B:F,5,0)</f>
        <v>Experiente</v>
      </c>
    </row>
    <row r="623" spans="1:9" hidden="1">
      <c r="A623" s="83" t="s">
        <v>37</v>
      </c>
      <c r="B623" s="109">
        <f>_xlfn.XLOOKUP(A623,Equipe!H:H,Equipe!B:B,"",0)</f>
        <v>2493288</v>
      </c>
      <c r="C623" s="154">
        <v>46157</v>
      </c>
      <c r="D623" s="151">
        <f>(IF(Tabela1[[#This Row],[Início]]&lt;&gt;"",C623+E623-1,""))*1</f>
        <v>46157</v>
      </c>
      <c r="E623" s="83">
        <v>1</v>
      </c>
      <c r="F623" s="87" t="s">
        <v>11</v>
      </c>
      <c r="G623" s="88" t="s">
        <v>330</v>
      </c>
      <c r="H623" s="87" t="str">
        <f>_xlfn.XLOOKUP(Tabela1[[#This Row],[Matrícula]],Equipe!B:B,Equipe!E:E,"ERRO",0)</f>
        <v>PBAC</v>
      </c>
      <c r="I623" s="87" t="str">
        <f>VLOOKUP(Tabela1[[#This Row],[Matrícula]],Equipe!B:F,5,0)</f>
        <v>Experiente</v>
      </c>
    </row>
    <row r="624" spans="1:9" hidden="1">
      <c r="A624" s="83" t="s">
        <v>205</v>
      </c>
      <c r="B624" s="109">
        <f>_xlfn.XLOOKUP(A624,Equipe!H:H,Equipe!B:B,"",0)</f>
        <v>1385950</v>
      </c>
      <c r="C624" s="154">
        <v>46160</v>
      </c>
      <c r="D624" s="151">
        <f>(IF(Tabela1[[#This Row],[Início]]&lt;&gt;"",C624+E624-1,""))*1</f>
        <v>46160</v>
      </c>
      <c r="E624" s="83">
        <v>1</v>
      </c>
      <c r="F624" s="87" t="s">
        <v>14</v>
      </c>
      <c r="G624" s="88" t="s">
        <v>377</v>
      </c>
      <c r="H624" s="87" t="str">
        <f>_xlfn.XLOOKUP(Tabela1[[#This Row],[Matrícula]],Equipe!B:B,Equipe!E:E,"ERRO",0)</f>
        <v>P82</v>
      </c>
      <c r="I624" s="87" t="str">
        <f>VLOOKUP(Tabela1[[#This Row],[Matrícula]],Equipe!B:F,5,0)</f>
        <v>Experiente</v>
      </c>
    </row>
    <row r="625" spans="1:9" hidden="1">
      <c r="A625" s="83" t="s">
        <v>239</v>
      </c>
      <c r="B625" s="109">
        <f>_xlfn.XLOOKUP(A625,Equipe!H:H,Equipe!B:B,"",0)</f>
        <v>1387328</v>
      </c>
      <c r="C625" s="154">
        <v>46160</v>
      </c>
      <c r="D625" s="151">
        <f>(IF(Tabela1[[#This Row],[Início]]&lt;&gt;"",C625+E625-1,""))*1</f>
        <v>46162</v>
      </c>
      <c r="E625" s="83">
        <v>3</v>
      </c>
      <c r="F625" s="87" t="s">
        <v>11</v>
      </c>
      <c r="G625" s="88" t="s">
        <v>378</v>
      </c>
      <c r="H625" s="87" t="str">
        <f>_xlfn.XLOOKUP(Tabela1[[#This Row],[Matrícula]],Equipe!B:B,Equipe!E:E,"ERRO",0)</f>
        <v>P82</v>
      </c>
      <c r="I625" s="87" t="str">
        <f>VLOOKUP(Tabela1[[#This Row],[Matrícula]],Equipe!B:F,5,0)</f>
        <v>Experiente</v>
      </c>
    </row>
    <row r="626" spans="1:9" hidden="1">
      <c r="A626" s="83" t="s">
        <v>24</v>
      </c>
      <c r="B626" s="109">
        <f>_xlfn.XLOOKUP(A626,Equipe!H:H,Equipe!B:B,"",0)</f>
        <v>1385870</v>
      </c>
      <c r="C626" s="154">
        <v>46160</v>
      </c>
      <c r="D626" s="151">
        <f>(IF(Tabela1[[#This Row],[Início]]&lt;&gt;"",C626+E626-1,""))*1</f>
        <v>46164</v>
      </c>
      <c r="E626" s="83">
        <v>5</v>
      </c>
      <c r="F626" s="87" t="s">
        <v>11</v>
      </c>
      <c r="G626" s="88" t="s">
        <v>379</v>
      </c>
      <c r="H626" s="87" t="str">
        <f>_xlfn.XLOOKUP(Tabela1[[#This Row],[Matrícula]],Equipe!B:B,Equipe!E:E,"ERRO",0)</f>
        <v>P83</v>
      </c>
      <c r="I626" s="87" t="str">
        <f>VLOOKUP(Tabela1[[#This Row],[Matrícula]],Equipe!B:F,5,0)</f>
        <v>Experiente</v>
      </c>
    </row>
    <row r="627" spans="1:9" hidden="1">
      <c r="A627" s="83" t="s">
        <v>207</v>
      </c>
      <c r="B627" s="109">
        <f>_xlfn.XLOOKUP(A627,Equipe!H:H,Equipe!B:B,"",0)</f>
        <v>1386288</v>
      </c>
      <c r="C627" s="154">
        <v>46160</v>
      </c>
      <c r="D627" s="151">
        <f>(IF(Tabela1[[#This Row],[Início]]&lt;&gt;"",C627+E627-1,""))*1</f>
        <v>46164</v>
      </c>
      <c r="E627" s="83">
        <v>5</v>
      </c>
      <c r="F627" s="87" t="s">
        <v>11</v>
      </c>
      <c r="G627" s="88" t="s">
        <v>379</v>
      </c>
      <c r="H627" s="87" t="str">
        <f>_xlfn.XLOOKUP(Tabela1[[#This Row],[Matrícula]],Equipe!B:B,Equipe!E:E,"ERRO",0)</f>
        <v>P83</v>
      </c>
      <c r="I627" s="87" t="str">
        <f>VLOOKUP(Tabela1[[#This Row],[Matrícula]],Equipe!B:F,5,0)</f>
        <v>Experiente</v>
      </c>
    </row>
    <row r="628" spans="1:9">
      <c r="A628" s="83" t="s">
        <v>116</v>
      </c>
      <c r="B628" s="83">
        <f>_xlfn.XLOOKUP(A628,Equipe!H:H,Equipe!B:B,"",0)</f>
        <v>4612171</v>
      </c>
      <c r="C628" s="154">
        <v>46160</v>
      </c>
      <c r="D628" s="154">
        <f>(IF(Tabela1[[#This Row],[Início]]&lt;&gt;"",C628+E628-1,""))*1</f>
        <v>46162</v>
      </c>
      <c r="E628" s="83">
        <v>3</v>
      </c>
      <c r="F628" s="83" t="s">
        <v>11</v>
      </c>
      <c r="G628" s="88" t="s">
        <v>378</v>
      </c>
      <c r="H628" s="83" t="str">
        <f>_xlfn.XLOOKUP(Tabela1[[#This Row],[Matrícula]],Equipe!B:B,Equipe!E:E,"ERRO",0)</f>
        <v>P80</v>
      </c>
      <c r="I628" s="83" t="str">
        <f>VLOOKUP(Tabela1[[#This Row],[Matrícula]],Equipe!B:F,5,0)</f>
        <v>Novo</v>
      </c>
    </row>
    <row r="629" spans="1:9" hidden="1">
      <c r="A629" s="83" t="s">
        <v>34</v>
      </c>
      <c r="B629" s="109">
        <f>_xlfn.XLOOKUP(A629,Equipe!H:H,Equipe!B:B,"",0)</f>
        <v>4608474</v>
      </c>
      <c r="C629" s="154">
        <v>46160</v>
      </c>
      <c r="D629" s="151">
        <v>46171</v>
      </c>
      <c r="E629" s="83">
        <v>10</v>
      </c>
      <c r="F629" s="87" t="s">
        <v>11</v>
      </c>
      <c r="G629" s="88" t="s">
        <v>380</v>
      </c>
      <c r="H629" s="87" t="str">
        <f>_xlfn.XLOOKUP(Tabela1[[#This Row],[Matrícula]],Equipe!B:B,Equipe!E:E,"ERRO",0)</f>
        <v>P82</v>
      </c>
      <c r="I629" s="87" t="str">
        <f>VLOOKUP(Tabela1[[#This Row],[Matrícula]],Equipe!B:F,5,0)</f>
        <v>Novo</v>
      </c>
    </row>
    <row r="630" spans="1:9">
      <c r="A630" s="83" t="s">
        <v>90</v>
      </c>
      <c r="B630" s="109">
        <f>_xlfn.XLOOKUP(A630,Equipe!H:H,Equipe!B:B,"",0)</f>
        <v>9683150</v>
      </c>
      <c r="C630" s="154">
        <v>46160</v>
      </c>
      <c r="D630" s="151">
        <v>46160</v>
      </c>
      <c r="E630" s="83">
        <v>1</v>
      </c>
      <c r="F630" s="87" t="s">
        <v>14</v>
      </c>
      <c r="G630" s="88" t="s">
        <v>208</v>
      </c>
      <c r="H630" s="87" t="str">
        <f>_xlfn.XLOOKUP(Tabela1[[#This Row],[Matrícula]],Equipe!B:B,Equipe!E:E,"ERRO",0)</f>
        <v>P80</v>
      </c>
      <c r="I630" s="87" t="str">
        <f>VLOOKUP(Tabela1[[#This Row],[Matrícula]],Equipe!B:F,5,0)</f>
        <v>Experiente</v>
      </c>
    </row>
    <row r="631" spans="1:9" hidden="1">
      <c r="A631" s="83" t="s">
        <v>229</v>
      </c>
      <c r="B631" s="109">
        <v>9921954</v>
      </c>
      <c r="C631" s="154">
        <v>46160</v>
      </c>
      <c r="D631" s="151">
        <f>(IF(Tabela1[[#This Row],[Início]]&lt;&gt;"",C631+E631-1,""))*1</f>
        <v>46162</v>
      </c>
      <c r="E631" s="83">
        <v>3</v>
      </c>
      <c r="F631" s="87" t="s">
        <v>11</v>
      </c>
      <c r="G631" s="88" t="s">
        <v>381</v>
      </c>
      <c r="H631" s="87" t="str">
        <f>_xlfn.XLOOKUP(Tabela1[[#This Row],[Matrícula]],Equipe!B:B,Equipe!E:E,"ERRO",0)</f>
        <v>P82</v>
      </c>
      <c r="I631" s="87" t="str">
        <f>VLOOKUP(Tabela1[[#This Row],[Matrícula]],Equipe!B:F,5,0)</f>
        <v>Experiente</v>
      </c>
    </row>
    <row r="632" spans="1:9">
      <c r="A632" s="83" t="s">
        <v>27</v>
      </c>
      <c r="B632" s="109">
        <f>_xlfn.XLOOKUP(A632,Equipe!H:H,Equipe!B:B,"",0)</f>
        <v>4608685</v>
      </c>
      <c r="C632" s="154">
        <v>46160</v>
      </c>
      <c r="D632" s="151">
        <f>(IF(Tabela1[[#This Row],[Início]]&lt;&gt;"",C632+E632-1,""))*1</f>
        <v>46162</v>
      </c>
      <c r="E632" s="83">
        <v>3</v>
      </c>
      <c r="F632" s="87" t="s">
        <v>11</v>
      </c>
      <c r="G632" s="88" t="s">
        <v>381</v>
      </c>
      <c r="H632" s="87" t="str">
        <f>_xlfn.XLOOKUP(Tabela1[[#This Row],[Matrícula]],Equipe!B:B,Equipe!E:E,"ERRO",0)</f>
        <v>P80</v>
      </c>
      <c r="I632" s="87" t="str">
        <f>VLOOKUP(Tabela1[[#This Row],[Matrícula]],Equipe!B:F,5,0)</f>
        <v>Novo</v>
      </c>
    </row>
    <row r="633" spans="1:9" hidden="1">
      <c r="A633" s="83" t="s">
        <v>142</v>
      </c>
      <c r="B633" s="109">
        <f>_xlfn.XLOOKUP(A633,Equipe!H:H,Equipe!B:B,"",0)</f>
        <v>4612228</v>
      </c>
      <c r="C633" s="154">
        <v>46160</v>
      </c>
      <c r="D633" s="151">
        <f>(IF(Tabela1[[#This Row],[Início]]&lt;&gt;"",C633+E633-1,""))*1</f>
        <v>46171</v>
      </c>
      <c r="E633" s="83">
        <v>12</v>
      </c>
      <c r="F633" s="87" t="s">
        <v>11</v>
      </c>
      <c r="G633" s="93" t="s">
        <v>12</v>
      </c>
      <c r="H633" s="87" t="str">
        <f>_xlfn.XLOOKUP(Tabela1[[#This Row],[Matrícula]],Equipe!B:B,Equipe!E:E,"ERRO",0)</f>
        <v>P82</v>
      </c>
      <c r="I633" s="87" t="str">
        <f>VLOOKUP(Tabela1[[#This Row],[Matrícula]],Equipe!B:F,5,0)</f>
        <v>Novo</v>
      </c>
    </row>
    <row r="634" spans="1:9" hidden="1">
      <c r="A634" s="83" t="s">
        <v>106</v>
      </c>
      <c r="B634" s="109">
        <f>_xlfn.XLOOKUP(A634,Equipe!H:H,Equipe!B:B,"",0)</f>
        <v>4612050</v>
      </c>
      <c r="C634" s="154">
        <v>46160</v>
      </c>
      <c r="D634" s="151">
        <f>(IF(Tabela1[[#This Row],[Início]]&lt;&gt;"",C634+E634-1,""))*1</f>
        <v>46171</v>
      </c>
      <c r="E634" s="83">
        <v>12</v>
      </c>
      <c r="F634" s="83" t="s">
        <v>11</v>
      </c>
      <c r="G634" s="88" t="s">
        <v>382</v>
      </c>
      <c r="H634" s="83" t="str">
        <f>_xlfn.XLOOKUP(Tabela1[[#This Row],[Matrícula]],Equipe!B:B,Equipe!E:E,"ERRO",0)</f>
        <v>P82</v>
      </c>
      <c r="I634" s="83" t="str">
        <f>VLOOKUP(Tabela1[[#This Row],[Matrícula]],Equipe!B:F,5,0)</f>
        <v>Novo</v>
      </c>
    </row>
    <row r="635" spans="1:9">
      <c r="A635" s="83" t="s">
        <v>108</v>
      </c>
      <c r="B635" s="109">
        <f>_xlfn.XLOOKUP(A635,Equipe!H:H,Equipe!B:B,"",0)</f>
        <v>4612243</v>
      </c>
      <c r="C635" s="154">
        <v>46160</v>
      </c>
      <c r="D635" s="151">
        <f>(IF(Tabela1[[#This Row],[Início]]&lt;&gt;"",C635+E635-1,""))*1</f>
        <v>46162</v>
      </c>
      <c r="E635" s="83">
        <v>3</v>
      </c>
      <c r="F635" s="87" t="s">
        <v>11</v>
      </c>
      <c r="G635" s="88" t="s">
        <v>383</v>
      </c>
      <c r="H635" s="87" t="str">
        <f>_xlfn.XLOOKUP(Tabela1[[#This Row],[Matrícula]],Equipe!B:B,Equipe!E:E,"ERRO",0)</f>
        <v>P80</v>
      </c>
      <c r="I635" s="87" t="str">
        <f>VLOOKUP(Tabela1[[#This Row],[Matrícula]],Equipe!B:F,5,0)</f>
        <v>Novo</v>
      </c>
    </row>
    <row r="636" spans="1:9">
      <c r="A636" s="83" t="s">
        <v>36</v>
      </c>
      <c r="B636" s="109">
        <f>_xlfn.XLOOKUP(A636,Equipe!H:H,Equipe!B:B,"",0)</f>
        <v>4608721</v>
      </c>
      <c r="C636" s="154">
        <v>46160</v>
      </c>
      <c r="D636" s="151">
        <f>(IF(Tabela1[[#This Row],[Início]]&lt;&gt;"",C636+E636-1,""))*1</f>
        <v>46171</v>
      </c>
      <c r="E636" s="83">
        <v>12</v>
      </c>
      <c r="F636" s="87" t="s">
        <v>11</v>
      </c>
      <c r="G636" s="88" t="s">
        <v>12</v>
      </c>
      <c r="H636" s="87" t="str">
        <f>_xlfn.XLOOKUP(Tabela1[[#This Row],[Matrícula]],Equipe!B:B,Equipe!E:E,"ERRO",0)</f>
        <v>P80</v>
      </c>
      <c r="I636" s="87" t="str">
        <f>VLOOKUP(Tabela1[[#This Row],[Matrícula]],Equipe!B:F,5,0)</f>
        <v>Novo</v>
      </c>
    </row>
    <row r="637" spans="1:9" hidden="1">
      <c r="A637" s="83" t="s">
        <v>140</v>
      </c>
      <c r="B637" s="109">
        <f>_xlfn.XLOOKUP(A637,Equipe!H:H,Equipe!B:B,"",0)</f>
        <v>4612247</v>
      </c>
      <c r="C637" s="154">
        <v>46160</v>
      </c>
      <c r="D637" s="151">
        <f>(IF(Tabela1[[#This Row],[Início]]&lt;&gt;"",C637+E637-1,""))*1</f>
        <v>46171</v>
      </c>
      <c r="E637" s="83">
        <v>12</v>
      </c>
      <c r="F637" s="87" t="s">
        <v>11</v>
      </c>
      <c r="G637" s="88" t="s">
        <v>12</v>
      </c>
      <c r="H637" s="87" t="str">
        <f>_xlfn.XLOOKUP(Tabela1[[#This Row],[Matrícula]],Equipe!B:B,Equipe!E:E,"ERRO",0)</f>
        <v>P83</v>
      </c>
      <c r="I637" s="87" t="str">
        <f>VLOOKUP(Tabela1[[#This Row],[Matrícula]],Equipe!B:F,5,0)</f>
        <v>Novo</v>
      </c>
    </row>
    <row r="638" spans="1:9">
      <c r="A638" s="83" t="s">
        <v>225</v>
      </c>
      <c r="B638" s="109">
        <f>_xlfn.XLOOKUP(A638,Equipe!H:H,Equipe!B:B,"",0)</f>
        <v>2448533</v>
      </c>
      <c r="C638" s="154">
        <v>46160</v>
      </c>
      <c r="D638" s="151">
        <f>(IF(Tabela1[[#This Row],[Início]]&lt;&gt;"",C638+E638-1,""))*1</f>
        <v>46162</v>
      </c>
      <c r="E638" s="83">
        <v>3</v>
      </c>
      <c r="F638" s="87" t="s">
        <v>11</v>
      </c>
      <c r="G638" s="88" t="s">
        <v>383</v>
      </c>
      <c r="H638" s="87" t="str">
        <f>_xlfn.XLOOKUP(Tabela1[[#This Row],[Matrícula]],Equipe!B:B,Equipe!E:E,"ERRO",0)</f>
        <v>P80</v>
      </c>
      <c r="I638" s="87" t="str">
        <f>VLOOKUP(Tabela1[[#This Row],[Matrícula]],Equipe!B:F,5,0)</f>
        <v>Experiente</v>
      </c>
    </row>
    <row r="639" spans="1:9">
      <c r="A639" s="83" t="s">
        <v>44</v>
      </c>
      <c r="B639" s="92">
        <f>_xlfn.XLOOKUP(A639,Equipe!H:H,Equipe!B:B,"",0)</f>
        <v>1381625</v>
      </c>
      <c r="C639" s="154">
        <v>46160</v>
      </c>
      <c r="D639" s="150">
        <f>(IF(Tabela1[[#This Row],[Início]]&lt;&gt;"",C639+E639-1,""))*1</f>
        <v>46160</v>
      </c>
      <c r="E639" s="83">
        <v>1</v>
      </c>
      <c r="F639" s="83" t="s">
        <v>11</v>
      </c>
      <c r="G639" s="88" t="s">
        <v>384</v>
      </c>
      <c r="H639" s="83" t="str">
        <f>_xlfn.XLOOKUP(Tabela1[[#This Row],[Matrícula]],Equipe!B:B,Equipe!E:E,"ERRO",0)</f>
        <v>P80</v>
      </c>
      <c r="I639" s="83" t="str">
        <f>VLOOKUP(Tabela1[[#This Row],[Matrícula]],Equipe!B:F,5,0)</f>
        <v>Experiente</v>
      </c>
    </row>
    <row r="640" spans="1:9" hidden="1">
      <c r="A640" s="83" t="s">
        <v>114</v>
      </c>
      <c r="B640" s="109">
        <f>_xlfn.XLOOKUP(A640,Equipe!H:H,Equipe!B:B,"",0)</f>
        <v>4612140</v>
      </c>
      <c r="C640" s="154">
        <v>46160</v>
      </c>
      <c r="D640" s="151">
        <f>(IF(Tabela1[[#This Row],[Início]]&lt;&gt;"",C640+E640-1,""))*1</f>
        <v>46162</v>
      </c>
      <c r="E640" s="83">
        <v>3</v>
      </c>
      <c r="F640" s="87" t="s">
        <v>11</v>
      </c>
      <c r="G640" s="88" t="s">
        <v>385</v>
      </c>
      <c r="H640" s="87" t="str">
        <f>_xlfn.XLOOKUP(Tabela1[[#This Row],[Matrícula]],Equipe!B:B,Equipe!E:E,"ERRO",0)</f>
        <v>P83</v>
      </c>
      <c r="I640" s="87" t="str">
        <f>VLOOKUP(Tabela1[[#This Row],[Matrícula]],Equipe!B:F,5,0)</f>
        <v>Novo</v>
      </c>
    </row>
    <row r="641" spans="1:9" hidden="1">
      <c r="A641" s="83" t="s">
        <v>205</v>
      </c>
      <c r="B641" s="109">
        <f>_xlfn.XLOOKUP(A641,Equipe!H:H,Equipe!B:B,"",0)</f>
        <v>1385950</v>
      </c>
      <c r="C641" s="154">
        <v>46161</v>
      </c>
      <c r="D641" s="151">
        <f>(IF(Tabela1[[#This Row],[Início]]&lt;&gt;"",C641+E641-1,""))*1</f>
        <v>46161</v>
      </c>
      <c r="E641" s="83">
        <v>1</v>
      </c>
      <c r="F641" s="87" t="s">
        <v>11</v>
      </c>
      <c r="G641" s="88" t="s">
        <v>386</v>
      </c>
      <c r="H641" s="87" t="str">
        <f>_xlfn.XLOOKUP(Tabela1[[#This Row],[Matrícula]],Equipe!B:B,Equipe!E:E,"ERRO",0)</f>
        <v>P82</v>
      </c>
      <c r="I641" s="87" t="str">
        <f>VLOOKUP(Tabela1[[#This Row],[Matrícula]],Equipe!B:F,5,0)</f>
        <v>Experiente</v>
      </c>
    </row>
    <row r="642" spans="1:9" hidden="1">
      <c r="A642" s="83" t="s">
        <v>205</v>
      </c>
      <c r="B642" s="109">
        <f>_xlfn.XLOOKUP(A642,Equipe!H:H,Equipe!B:B,"",0)</f>
        <v>1385950</v>
      </c>
      <c r="C642" s="154">
        <v>46162</v>
      </c>
      <c r="D642" s="151">
        <f>(IF(Tabela1[[#This Row],[Início]]&lt;&gt;"",C642+E642-1,""))*1</f>
        <v>46164</v>
      </c>
      <c r="E642" s="83">
        <v>3</v>
      </c>
      <c r="F642" s="87" t="s">
        <v>14</v>
      </c>
      <c r="G642" s="88" t="s">
        <v>377</v>
      </c>
      <c r="H642" s="87" t="str">
        <f>_xlfn.XLOOKUP(Tabela1[[#This Row],[Matrícula]],Equipe!B:B,Equipe!E:E,"ERRO",0)</f>
        <v>P82</v>
      </c>
      <c r="I642" s="87" t="str">
        <f>VLOOKUP(Tabela1[[#This Row],[Matrícula]],Equipe!B:F,5,0)</f>
        <v>Experiente</v>
      </c>
    </row>
    <row r="643" spans="1:9" hidden="1">
      <c r="A643" s="83" t="s">
        <v>40</v>
      </c>
      <c r="B643" s="109">
        <f>_xlfn.XLOOKUP(A643,Equipe!H:H,Equipe!B:B,"",0)</f>
        <v>9724817</v>
      </c>
      <c r="C643" s="154">
        <v>46162</v>
      </c>
      <c r="D643" s="151">
        <f>(IF(Tabela1[[#This Row],[Início]]&lt;&gt;"",C643+E643-1,""))*1</f>
        <v>46163</v>
      </c>
      <c r="E643" s="83">
        <v>2</v>
      </c>
      <c r="F643" s="87" t="s">
        <v>11</v>
      </c>
      <c r="G643" s="88" t="s">
        <v>387</v>
      </c>
      <c r="H643" s="87" t="str">
        <f>_xlfn.XLOOKUP(Tabela1[[#This Row],[Matrícula]],Equipe!B:B,Equipe!E:E,"ERRO",0)</f>
        <v>P82</v>
      </c>
      <c r="I643" s="87" t="str">
        <f>VLOOKUP(Tabela1[[#This Row],[Matrícula]],Equipe!B:F,5,0)</f>
        <v>Experiente</v>
      </c>
    </row>
    <row r="644" spans="1:9">
      <c r="A644" s="83" t="s">
        <v>27</v>
      </c>
      <c r="B644" s="109">
        <f>_xlfn.XLOOKUP(A644,Equipe!H:H,Equipe!B:B,"",0)</f>
        <v>4608685</v>
      </c>
      <c r="C644" s="154">
        <v>46162</v>
      </c>
      <c r="D644" s="151">
        <f>(IF(Tabela1[[#This Row],[Início]]&lt;&gt;"",C644+E644-1,""))*1</f>
        <v>46163</v>
      </c>
      <c r="E644" s="83">
        <v>2</v>
      </c>
      <c r="F644" s="87" t="s">
        <v>11</v>
      </c>
      <c r="G644" s="88" t="s">
        <v>387</v>
      </c>
      <c r="H644" s="87" t="str">
        <f>_xlfn.XLOOKUP(Tabela1[[#This Row],[Matrícula]],Equipe!B:B,Equipe!E:E,"ERRO",0)</f>
        <v>P80</v>
      </c>
      <c r="I644" s="87" t="str">
        <f>VLOOKUP(Tabela1[[#This Row],[Matrícula]],Equipe!B:F,5,0)</f>
        <v>Novo</v>
      </c>
    </row>
    <row r="645" spans="1:9" ht="116.1" hidden="1">
      <c r="A645" s="83" t="s">
        <v>16</v>
      </c>
      <c r="B645" s="109">
        <f>_xlfn.XLOOKUP(A645,Equipe!H:H,Equipe!B:B,"",0)</f>
        <v>4608544</v>
      </c>
      <c r="C645" s="154">
        <v>46162</v>
      </c>
      <c r="D645" s="151">
        <f>(IF(Tabela1[[#This Row],[Início]]&lt;&gt;"",C645+E645-1,""))*1</f>
        <v>46163</v>
      </c>
      <c r="E645" s="83">
        <v>2</v>
      </c>
      <c r="F645" s="87" t="s">
        <v>11</v>
      </c>
      <c r="G645" s="88" t="s">
        <v>388</v>
      </c>
      <c r="H645" s="87" t="str">
        <f>_xlfn.XLOOKUP(Tabela1[[#This Row],[Matrícula]],Equipe!B:B,Equipe!E:E,"ERRO",0)</f>
        <v>P82</v>
      </c>
      <c r="I645" s="87" t="str">
        <f>VLOOKUP(Tabela1[[#This Row],[Matrícula]],Equipe!B:F,5,0)</f>
        <v>Novo</v>
      </c>
    </row>
    <row r="646" spans="1:9">
      <c r="A646" s="83" t="s">
        <v>108</v>
      </c>
      <c r="B646" s="109">
        <f>_xlfn.XLOOKUP(A646,Equipe!H:H,Equipe!B:B,"",0)</f>
        <v>4612243</v>
      </c>
      <c r="C646" s="154">
        <v>46162</v>
      </c>
      <c r="D646" s="151">
        <f>(IF(Tabela1[[#This Row],[Início]]&lt;&gt;"",C646+E646-1,""))*1</f>
        <v>46163</v>
      </c>
      <c r="E646" s="83">
        <v>2</v>
      </c>
      <c r="F646" s="87" t="s">
        <v>11</v>
      </c>
      <c r="G646" s="88" t="s">
        <v>387</v>
      </c>
      <c r="H646" s="87" t="str">
        <f>_xlfn.XLOOKUP(Tabela1[[#This Row],[Matrícula]],Equipe!B:B,Equipe!E:E,"ERRO",0)</f>
        <v>P80</v>
      </c>
      <c r="I646" s="87" t="str">
        <f>VLOOKUP(Tabela1[[#This Row],[Matrícula]],Equipe!B:F,5,0)</f>
        <v>Novo</v>
      </c>
    </row>
    <row r="647" spans="1:9" hidden="1">
      <c r="A647" s="83" t="s">
        <v>53</v>
      </c>
      <c r="B647" s="109">
        <f>_xlfn.XLOOKUP(A647,Equipe!H:H,Equipe!B:B,"",0)</f>
        <v>4608780</v>
      </c>
      <c r="C647" s="154">
        <v>46162</v>
      </c>
      <c r="D647" s="151">
        <f>(IF(Tabela1[[#This Row],[Início]]&lt;&gt;"",C647+E647-1,""))*1</f>
        <v>46163</v>
      </c>
      <c r="E647" s="83">
        <v>2</v>
      </c>
      <c r="F647" s="87" t="s">
        <v>11</v>
      </c>
      <c r="G647" s="88" t="s">
        <v>387</v>
      </c>
      <c r="H647" s="87" t="str">
        <f>_xlfn.XLOOKUP(Tabela1[[#This Row],[Matrícula]],Equipe!B:B,Equipe!E:E,"ERRO",0)</f>
        <v>P83</v>
      </c>
      <c r="I647" s="87" t="str">
        <f>VLOOKUP(Tabela1[[#This Row],[Matrícula]],Equipe!B:F,5,0)</f>
        <v>Novo</v>
      </c>
    </row>
    <row r="648" spans="1:9">
      <c r="A648" s="83" t="s">
        <v>44</v>
      </c>
      <c r="B648" s="109">
        <f>_xlfn.XLOOKUP(A648,Equipe!H:H,Equipe!B:B,"",0)</f>
        <v>1381625</v>
      </c>
      <c r="C648" s="154">
        <v>46162</v>
      </c>
      <c r="D648" s="151">
        <f>(IF(Tabela1[[#This Row],[Início]]&lt;&gt;"",C648+E648-1,""))*1</f>
        <v>46163</v>
      </c>
      <c r="E648" s="83">
        <v>2</v>
      </c>
      <c r="F648" s="87" t="s">
        <v>11</v>
      </c>
      <c r="G648" s="88" t="s">
        <v>387</v>
      </c>
      <c r="H648" s="87" t="str">
        <f>_xlfn.XLOOKUP(Tabela1[[#This Row],[Matrícula]],Equipe!B:B,Equipe!E:E,"ERRO",0)</f>
        <v>P80</v>
      </c>
      <c r="I648" s="87" t="str">
        <f>VLOOKUP(Tabela1[[#This Row],[Matrícula]],Equipe!B:F,5,0)</f>
        <v>Experiente</v>
      </c>
    </row>
    <row r="649" spans="1:9">
      <c r="A649" s="83" t="s">
        <v>116</v>
      </c>
      <c r="B649" s="87">
        <f>_xlfn.XLOOKUP(A649,Equipe!H:H,Equipe!B:B,"",0)</f>
        <v>4612171</v>
      </c>
      <c r="C649" s="179">
        <v>46163</v>
      </c>
      <c r="D649" s="177">
        <f>(IF(Tabela1[[#This Row],[Início]]&lt;&gt;"",C649+E649-1,""))*1</f>
        <v>46164</v>
      </c>
      <c r="E649" s="83">
        <v>2</v>
      </c>
      <c r="F649" s="87" t="s">
        <v>11</v>
      </c>
      <c r="G649" s="88" t="s">
        <v>387</v>
      </c>
      <c r="H649" s="87" t="str">
        <f>_xlfn.XLOOKUP(Tabela1[[#This Row],[Matrícula]],Equipe!B:B,Equipe!E:E,"ERRO",0)</f>
        <v>P80</v>
      </c>
      <c r="I649" s="87" t="str">
        <f>VLOOKUP(Tabela1[[#This Row],[Matrícula]],Equipe!B:F,5,0)</f>
        <v>Novo</v>
      </c>
    </row>
    <row r="650" spans="1:9">
      <c r="A650" s="83" t="s">
        <v>168</v>
      </c>
      <c r="B650" s="109">
        <f>_xlfn.XLOOKUP(A650,Equipe!H:H,Equipe!B:B,"",0)</f>
        <v>2440812</v>
      </c>
      <c r="C650" s="154">
        <v>46163</v>
      </c>
      <c r="D650" s="151">
        <f>(IF(Tabela1[[#This Row],[Início]]&lt;&gt;"",C650+E650-1,""))*1</f>
        <v>46163</v>
      </c>
      <c r="E650" s="83">
        <v>1</v>
      </c>
      <c r="F650" s="87" t="s">
        <v>14</v>
      </c>
      <c r="G650" s="88" t="s">
        <v>389</v>
      </c>
      <c r="H650" s="87" t="str">
        <f>_xlfn.XLOOKUP(Tabela1[[#This Row],[Matrícula]],Equipe!B:B,Equipe!E:E,"ERRO",0)</f>
        <v>P80</v>
      </c>
      <c r="I650" s="87" t="str">
        <f>VLOOKUP(Tabela1[[#This Row],[Matrícula]],Equipe!B:F,5,0)</f>
        <v>Experiente</v>
      </c>
    </row>
    <row r="651" spans="1:9" hidden="1">
      <c r="A651" s="83" t="s">
        <v>40</v>
      </c>
      <c r="B651" s="109">
        <f>_xlfn.XLOOKUP(A651,Equipe!H:H,Equipe!B:B,"",0)</f>
        <v>9724817</v>
      </c>
      <c r="C651" s="154">
        <v>46164</v>
      </c>
      <c r="D651" s="151">
        <f>(IF(Tabela1[[#This Row],[Início]]&lt;&gt;"",C651+E651-1,""))*1</f>
        <v>46163.5</v>
      </c>
      <c r="E651" s="83">
        <v>0.5</v>
      </c>
      <c r="F651" s="87" t="s">
        <v>14</v>
      </c>
      <c r="G651" s="88" t="s">
        <v>390</v>
      </c>
      <c r="H651" s="87" t="str">
        <f>_xlfn.XLOOKUP(Tabela1[[#This Row],[Matrícula]],Equipe!B:B,Equipe!E:E,"ERRO",0)</f>
        <v>P82</v>
      </c>
      <c r="I651" s="87" t="str">
        <f>VLOOKUP(Tabela1[[#This Row],[Matrícula]],Equipe!B:F,5,0)</f>
        <v>Experiente</v>
      </c>
    </row>
    <row r="652" spans="1:9" hidden="1">
      <c r="A652" s="83" t="s">
        <v>40</v>
      </c>
      <c r="B652" s="109">
        <f>_xlfn.XLOOKUP(A652,Equipe!H:H,Equipe!B:B,"",0)</f>
        <v>9724817</v>
      </c>
      <c r="C652" s="154">
        <v>46164</v>
      </c>
      <c r="D652" s="151">
        <f>(IF(Tabela1[[#This Row],[Início]]&lt;&gt;"",C652+E652-1,""))*1</f>
        <v>46164</v>
      </c>
      <c r="E652" s="83">
        <v>1</v>
      </c>
      <c r="F652" s="87" t="s">
        <v>14</v>
      </c>
      <c r="G652" s="88" t="s">
        <v>390</v>
      </c>
      <c r="H652" s="87" t="str">
        <f>_xlfn.XLOOKUP(Tabela1[[#This Row],[Matrícula]],Equipe!B:B,Equipe!E:E,"ERRO",0)</f>
        <v>P82</v>
      </c>
      <c r="I652" s="87" t="str">
        <f>VLOOKUP(Tabela1[[#This Row],[Matrícula]],Equipe!B:F,5,0)</f>
        <v>Experiente</v>
      </c>
    </row>
    <row r="653" spans="1:9">
      <c r="A653" s="83" t="s">
        <v>62</v>
      </c>
      <c r="B653" s="109">
        <f>_xlfn.XLOOKUP(A653,Equipe!H:H,Equipe!B:B,"",0)</f>
        <v>9886449</v>
      </c>
      <c r="C653" s="154">
        <v>46164</v>
      </c>
      <c r="D653" s="151">
        <f>(IF(Tabela1[[#This Row],[Início]]&lt;&gt;"",C653+E653-1,""))*1</f>
        <v>46167</v>
      </c>
      <c r="E653" s="83">
        <v>4</v>
      </c>
      <c r="F653" s="87" t="s">
        <v>14</v>
      </c>
      <c r="G653" s="88" t="s">
        <v>391</v>
      </c>
      <c r="H653" s="87" t="str">
        <f>_xlfn.XLOOKUP(Tabela1[[#This Row],[Matrícula]],Equipe!B:B,Equipe!E:E,"ERRO",0)</f>
        <v>P80</v>
      </c>
      <c r="I653" s="87" t="str">
        <f>VLOOKUP(Tabela1[[#This Row],[Matrícula]],Equipe!B:F,5,0)</f>
        <v>Experiente</v>
      </c>
    </row>
    <row r="654" spans="1:9">
      <c r="A654" s="83" t="s">
        <v>90</v>
      </c>
      <c r="B654" s="109">
        <f>_xlfn.XLOOKUP(A654,Equipe!H:H,Equipe!B:B,"",0)</f>
        <v>9683150</v>
      </c>
      <c r="C654" s="154">
        <v>46164</v>
      </c>
      <c r="D654" s="151">
        <v>46164</v>
      </c>
      <c r="E654" s="83">
        <v>1</v>
      </c>
      <c r="F654" s="87" t="s">
        <v>14</v>
      </c>
      <c r="G654" s="88" t="s">
        <v>208</v>
      </c>
      <c r="H654" s="87" t="str">
        <f>_xlfn.XLOOKUP(Tabela1[[#This Row],[Matrícula]],Equipe!B:B,Equipe!E:E,"ERRO",0)</f>
        <v>P80</v>
      </c>
      <c r="I654" s="87" t="str">
        <f>VLOOKUP(Tabela1[[#This Row],[Matrícula]],Equipe!B:F,5,0)</f>
        <v>Experiente</v>
      </c>
    </row>
    <row r="655" spans="1:9" hidden="1">
      <c r="A655" s="83" t="s">
        <v>56</v>
      </c>
      <c r="B655" s="83">
        <f>_xlfn.XLOOKUP(A655,Equipe!H:H,Equipe!B:B,"",0)</f>
        <v>2477135</v>
      </c>
      <c r="C655" s="154">
        <v>46167</v>
      </c>
      <c r="D655" s="150">
        <v>46171</v>
      </c>
      <c r="E655" s="83">
        <v>5</v>
      </c>
      <c r="F655" s="83" t="s">
        <v>11</v>
      </c>
      <c r="G655" s="88" t="s">
        <v>392</v>
      </c>
      <c r="H655" s="83" t="str">
        <f>_xlfn.XLOOKUP(Tabela1[[#This Row],[Matrícula]],Equipe!B:B,Equipe!E:E,"ERRO",0)</f>
        <v>P83</v>
      </c>
      <c r="I655" s="83" t="str">
        <f>VLOOKUP(Tabela1[[#This Row],[Matrícula]],Equipe!B:F,5,0)</f>
        <v>Experiente</v>
      </c>
    </row>
    <row r="656" spans="1:9" hidden="1">
      <c r="A656" s="83" t="s">
        <v>58</v>
      </c>
      <c r="B656" s="109">
        <f>_xlfn.XLOOKUP(A656,Equipe!H:H,Equipe!B:B,"",0)</f>
        <v>9612082</v>
      </c>
      <c r="C656" s="154">
        <v>46167</v>
      </c>
      <c r="D656" s="151">
        <f>(IF(Tabela1[[#This Row],[Início]]&lt;&gt;"",C656+E656-1,""))*1</f>
        <v>46171</v>
      </c>
      <c r="E656" s="83">
        <v>5</v>
      </c>
      <c r="F656" s="87" t="s">
        <v>11</v>
      </c>
      <c r="G656" s="93" t="s">
        <v>393</v>
      </c>
      <c r="H656" s="87" t="str">
        <f>_xlfn.XLOOKUP(Tabela1[[#This Row],[Matrícula]],Equipe!B:B,Equipe!E:E,"ERRO",0)</f>
        <v>P82</v>
      </c>
      <c r="I656" s="87" t="str">
        <f>VLOOKUP(Tabela1[[#This Row],[Matrícula]],Equipe!B:F,5,0)</f>
        <v>Experiente</v>
      </c>
    </row>
    <row r="657" spans="1:9" hidden="1">
      <c r="A657" s="83" t="s">
        <v>40</v>
      </c>
      <c r="B657" s="109">
        <f>_xlfn.XLOOKUP(A657,Equipe!H:H,Equipe!B:B,"",0)</f>
        <v>9724817</v>
      </c>
      <c r="C657" s="154">
        <v>46167</v>
      </c>
      <c r="D657" s="151">
        <f>(IF(Tabela1[[#This Row],[Início]]&lt;&gt;"",C657+E657-1,""))*1</f>
        <v>46171</v>
      </c>
      <c r="E657" s="83">
        <v>5</v>
      </c>
      <c r="F657" s="87" t="s">
        <v>11</v>
      </c>
      <c r="G657" s="88" t="s">
        <v>394</v>
      </c>
      <c r="H657" s="87" t="str">
        <f>_xlfn.XLOOKUP(Tabela1[[#This Row],[Matrícula]],Equipe!B:B,Equipe!E:E,"ERRO",0)</f>
        <v>P82</v>
      </c>
      <c r="I657" s="87" t="str">
        <f>VLOOKUP(Tabela1[[#This Row],[Matrícula]],Equipe!B:F,5,0)</f>
        <v>Experiente</v>
      </c>
    </row>
    <row r="658" spans="1:9">
      <c r="A658" s="83" t="s">
        <v>104</v>
      </c>
      <c r="B658" s="83">
        <f>_xlfn.XLOOKUP(A658,Equipe!H:H,Equipe!B:B,"",0)</f>
        <v>4612098</v>
      </c>
      <c r="C658" s="154">
        <v>46167</v>
      </c>
      <c r="D658" s="150">
        <v>46171</v>
      </c>
      <c r="E658" s="83">
        <v>5</v>
      </c>
      <c r="F658" s="83" t="s">
        <v>11</v>
      </c>
      <c r="G658" s="88" t="s">
        <v>395</v>
      </c>
      <c r="H658" s="83" t="str">
        <f>_xlfn.XLOOKUP(Tabela1[[#This Row],[Matrícula]],Equipe!B:B,Equipe!E:E,"ERRO",0)</f>
        <v>P80</v>
      </c>
      <c r="I658" s="83" t="str">
        <f>VLOOKUP(Tabela1[[#This Row],[Matrícula]],Equipe!B:F,5,0)</f>
        <v>Novo</v>
      </c>
    </row>
    <row r="659" spans="1:9" hidden="1">
      <c r="A659" s="83" t="s">
        <v>24</v>
      </c>
      <c r="B659" s="109">
        <f>_xlfn.XLOOKUP(A659,Equipe!H:H,Equipe!B:B,"",0)</f>
        <v>1385870</v>
      </c>
      <c r="C659" s="154">
        <v>46167</v>
      </c>
      <c r="D659" s="151">
        <f>(IF(Tabela1[[#This Row],[Início]]&lt;&gt;"",C659+E659-1,""))*1</f>
        <v>46171</v>
      </c>
      <c r="E659" s="83">
        <v>5</v>
      </c>
      <c r="F659" s="87" t="s">
        <v>11</v>
      </c>
      <c r="G659" s="88" t="s">
        <v>379</v>
      </c>
      <c r="H659" s="87" t="str">
        <f>_xlfn.XLOOKUP(Tabela1[[#This Row],[Matrícula]],Equipe!B:B,Equipe!E:E,"ERRO",0)</f>
        <v>P83</v>
      </c>
      <c r="I659" s="87" t="str">
        <f>VLOOKUP(Tabela1[[#This Row],[Matrícula]],Equipe!B:F,5,0)</f>
        <v>Experiente</v>
      </c>
    </row>
    <row r="660" spans="1:9" hidden="1">
      <c r="A660" s="83" t="s">
        <v>207</v>
      </c>
      <c r="B660" s="109">
        <f>_xlfn.XLOOKUP(A660,Equipe!H:H,Equipe!B:B,"",0)</f>
        <v>1386288</v>
      </c>
      <c r="C660" s="154">
        <v>46167</v>
      </c>
      <c r="D660" s="151">
        <f>(IF(Tabela1[[#This Row],[Início]]&lt;&gt;"",C660+E660-1,""))*1</f>
        <v>46171</v>
      </c>
      <c r="E660" s="83">
        <v>5</v>
      </c>
      <c r="F660" s="87" t="s">
        <v>11</v>
      </c>
      <c r="G660" s="88" t="s">
        <v>379</v>
      </c>
      <c r="H660" s="87" t="str">
        <f>_xlfn.XLOOKUP(Tabela1[[#This Row],[Matrícula]],Equipe!B:B,Equipe!E:E,"ERRO",0)</f>
        <v>P83</v>
      </c>
      <c r="I660" s="87" t="str">
        <f>VLOOKUP(Tabela1[[#This Row],[Matrícula]],Equipe!B:F,5,0)</f>
        <v>Experiente</v>
      </c>
    </row>
    <row r="661" spans="1:9" hidden="1">
      <c r="A661" s="83" t="s">
        <v>318</v>
      </c>
      <c r="B661" s="109">
        <f>_xlfn.XLOOKUP(A661,Equipe!H:H,Equipe!B:B,"",0)</f>
        <v>4613186</v>
      </c>
      <c r="C661" s="154">
        <v>46167</v>
      </c>
      <c r="D661" s="151">
        <f>(IF(Tabela1[[#This Row],[Início]]&lt;&gt;"",C661+E661-1,""))*1</f>
        <v>46171</v>
      </c>
      <c r="E661" s="83">
        <v>5</v>
      </c>
      <c r="F661" s="87" t="s">
        <v>11</v>
      </c>
      <c r="G661" s="88" t="s">
        <v>396</v>
      </c>
      <c r="H661" s="87" t="str">
        <f>_xlfn.XLOOKUP(Tabela1[[#This Row],[Matrícula]],Equipe!B:B,Equipe!E:E,"ERRO",0)</f>
        <v>P83</v>
      </c>
      <c r="I661" s="87" t="str">
        <f>VLOOKUP(Tabela1[[#This Row],[Matrícula]],Equipe!B:F,5,0)</f>
        <v>Novo</v>
      </c>
    </row>
    <row r="662" spans="1:9">
      <c r="A662" s="83" t="s">
        <v>62</v>
      </c>
      <c r="B662" s="109">
        <f>_xlfn.XLOOKUP(A662,Equipe!H:H,Equipe!B:B,"",0)</f>
        <v>9886449</v>
      </c>
      <c r="C662" s="154">
        <v>46167</v>
      </c>
      <c r="D662" s="151">
        <f>(IF(Tabela1[[#This Row],[Início]]&lt;&gt;"",C662+E662-1,""))*1</f>
        <v>46168</v>
      </c>
      <c r="E662" s="83">
        <v>2</v>
      </c>
      <c r="F662" s="87" t="s">
        <v>14</v>
      </c>
      <c r="G662" s="88" t="s">
        <v>391</v>
      </c>
      <c r="H662" s="87" t="str">
        <f>_xlfn.XLOOKUP(Tabela1[[#This Row],[Matrícula]],Equipe!B:B,Equipe!E:E,"ERRO",0)</f>
        <v>P80</v>
      </c>
      <c r="I662" s="87" t="str">
        <f>VLOOKUP(Tabela1[[#This Row],[Matrícula]],Equipe!B:F,5,0)</f>
        <v>Experiente</v>
      </c>
    </row>
    <row r="663" spans="1:9">
      <c r="A663" s="83" t="s">
        <v>90</v>
      </c>
      <c r="B663" s="109">
        <f>_xlfn.XLOOKUP(A663,Equipe!H:H,Equipe!B:B,"",0)</f>
        <v>9683150</v>
      </c>
      <c r="C663" s="154">
        <v>46167</v>
      </c>
      <c r="D663" s="151">
        <v>46167</v>
      </c>
      <c r="E663" s="83">
        <v>1</v>
      </c>
      <c r="F663" s="87" t="s">
        <v>14</v>
      </c>
      <c r="G663" s="88" t="s">
        <v>208</v>
      </c>
      <c r="H663" s="87" t="str">
        <f>_xlfn.XLOOKUP(Tabela1[[#This Row],[Matrícula]],Equipe!B:B,Equipe!E:E,"ERRO",0)</f>
        <v>P80</v>
      </c>
      <c r="I663" s="87" t="str">
        <f>VLOOKUP(Tabela1[[#This Row],[Matrícula]],Equipe!B:F,5,0)</f>
        <v>Experiente</v>
      </c>
    </row>
    <row r="664" spans="1:9" hidden="1">
      <c r="A664" s="83" t="s">
        <v>229</v>
      </c>
      <c r="B664" s="109">
        <f>_xlfn.XLOOKUP(A664,Equipe!H:H,Equipe!B:B,"",0)</f>
        <v>9921954</v>
      </c>
      <c r="C664" s="154">
        <v>46167</v>
      </c>
      <c r="D664" s="151">
        <f>(IF(Tabela1[[#This Row],[Início]]&lt;&gt;"",C664+E664-1,""))*1</f>
        <v>46168</v>
      </c>
      <c r="E664" s="83">
        <v>2</v>
      </c>
      <c r="F664" s="87" t="s">
        <v>11</v>
      </c>
      <c r="G664" s="88" t="s">
        <v>397</v>
      </c>
      <c r="H664" s="87" t="str">
        <f>_xlfn.XLOOKUP(Tabela1[[#This Row],[Matrícula]],Equipe!B:B,Equipe!E:E,"ERRO",0)</f>
        <v>P82</v>
      </c>
      <c r="I664" s="87" t="str">
        <f>VLOOKUP(Tabela1[[#This Row],[Matrícula]],Equipe!B:F,5,0)</f>
        <v>Experiente</v>
      </c>
    </row>
    <row r="665" spans="1:9" ht="87" hidden="1">
      <c r="A665" s="83" t="s">
        <v>57</v>
      </c>
      <c r="B665" s="109">
        <f>_xlfn.XLOOKUP(A665,Equipe!H:H,Equipe!B:B,"",0)</f>
        <v>4608684</v>
      </c>
      <c r="C665" s="154">
        <v>46167</v>
      </c>
      <c r="D665" s="151">
        <f>(IF(Tabela1[[#This Row],[Início]]&lt;&gt;"",C665+E665-1,""))*1</f>
        <v>46168</v>
      </c>
      <c r="E665" s="83">
        <v>2</v>
      </c>
      <c r="F665" s="87" t="s">
        <v>11</v>
      </c>
      <c r="G665" s="93" t="s">
        <v>398</v>
      </c>
      <c r="H665" s="87" t="str">
        <f>_xlfn.XLOOKUP(Tabela1[[#This Row],[Matrícula]],Equipe!B:B,Equipe!E:E,"ERRO",0)</f>
        <v>P82</v>
      </c>
      <c r="I665" s="87" t="str">
        <f>VLOOKUP(Tabela1[[#This Row],[Matrícula]],Equipe!B:F,5,0)</f>
        <v>Novo</v>
      </c>
    </row>
    <row r="666" spans="1:9" ht="29.1" hidden="1">
      <c r="A666" s="83" t="s">
        <v>16</v>
      </c>
      <c r="B666" s="109">
        <f>_xlfn.XLOOKUP(A666,Equipe!H:H,Equipe!B:B,"",0)</f>
        <v>4608544</v>
      </c>
      <c r="C666" s="154">
        <v>46167</v>
      </c>
      <c r="D666" s="151">
        <f>(IF(Tabela1[[#This Row],[Início]]&lt;&gt;"",C666+E666-1,""))*1</f>
        <v>46168</v>
      </c>
      <c r="E666" s="83">
        <v>2</v>
      </c>
      <c r="F666" s="87" t="s">
        <v>11</v>
      </c>
      <c r="G666" s="88" t="s">
        <v>399</v>
      </c>
      <c r="H666" s="87" t="str">
        <f>_xlfn.XLOOKUP(Tabela1[[#This Row],[Matrícula]],Equipe!B:B,Equipe!E:E,"ERRO",0)</f>
        <v>P82</v>
      </c>
      <c r="I666" s="87" t="str">
        <f>VLOOKUP(Tabela1[[#This Row],[Matrícula]],Equipe!B:F,5,0)</f>
        <v>Novo</v>
      </c>
    </row>
    <row r="667" spans="1:9" ht="72.599999999999994" hidden="1">
      <c r="A667" s="83" t="s">
        <v>16</v>
      </c>
      <c r="B667" s="109">
        <f>_xlfn.XLOOKUP(A667,Equipe!H:H,Equipe!B:B,"",0)</f>
        <v>4608544</v>
      </c>
      <c r="C667" s="154">
        <v>46167</v>
      </c>
      <c r="D667" s="151">
        <f>(IF(Tabela1[[#This Row],[Início]]&lt;&gt;"",C667+E667-1,""))*1</f>
        <v>46168</v>
      </c>
      <c r="E667" s="83">
        <v>2</v>
      </c>
      <c r="F667" s="87" t="s">
        <v>11</v>
      </c>
      <c r="G667" s="88" t="s">
        <v>400</v>
      </c>
      <c r="H667" s="87" t="str">
        <f>_xlfn.XLOOKUP(Tabela1[[#This Row],[Matrícula]],Equipe!B:B,Equipe!E:E,"ERRO",0)</f>
        <v>P82</v>
      </c>
      <c r="I667" s="87" t="str">
        <f>VLOOKUP(Tabela1[[#This Row],[Matrícula]],Equipe!B:F,5,0)</f>
        <v>Novo</v>
      </c>
    </row>
    <row r="668" spans="1:9" hidden="1">
      <c r="A668" s="83" t="s">
        <v>20</v>
      </c>
      <c r="B668" s="92">
        <f>_xlfn.XLOOKUP(A668,Equipe!H:H,Equipe!B:B,"",0)</f>
        <v>4608559</v>
      </c>
      <c r="C668" s="152">
        <v>46167</v>
      </c>
      <c r="D668" s="152">
        <f>((IF(Tabela1[[#This Row],[Início]]&lt;&gt;"",C668+E668-1,""))*1)*1</f>
        <v>46173</v>
      </c>
      <c r="E668" s="83">
        <v>7</v>
      </c>
      <c r="F668" s="83" t="s">
        <v>232</v>
      </c>
      <c r="G668" s="88" t="s">
        <v>316</v>
      </c>
      <c r="H668" s="83" t="str">
        <f>_xlfn.XLOOKUP(Tabela1[[#This Row],[Matrícula]],Equipe!B:B,Equipe!E:E,"ERRO",0)</f>
        <v>P83</v>
      </c>
      <c r="I668" s="83" t="str">
        <f>VLOOKUP(Tabela1[[#This Row],[Matrícula]],Equipe!B:F,5,0)</f>
        <v>Novo</v>
      </c>
    </row>
    <row r="669" spans="1:9" hidden="1">
      <c r="A669" s="83" t="s">
        <v>20</v>
      </c>
      <c r="B669" s="109">
        <f>_xlfn.XLOOKUP(A669,Equipe!H:H,Equipe!B:B,"",0)</f>
        <v>4608559</v>
      </c>
      <c r="C669" s="154">
        <v>46167</v>
      </c>
      <c r="D669" s="151">
        <f>(IF(Tabela1[[#This Row],[Início]]&lt;&gt;"",C669+E669-1,""))*1</f>
        <v>46171</v>
      </c>
      <c r="E669" s="83">
        <v>5</v>
      </c>
      <c r="F669" s="87" t="s">
        <v>232</v>
      </c>
      <c r="G669" s="88"/>
      <c r="H669" s="87" t="str">
        <f>_xlfn.XLOOKUP(Tabela1[[#This Row],[Matrícula]],Equipe!B:B,Equipe!E:E,"ERRO",0)</f>
        <v>P83</v>
      </c>
      <c r="I669" s="87" t="str">
        <f>VLOOKUP(Tabela1[[#This Row],[Matrícula]],Equipe!B:F,5,0)</f>
        <v>Novo</v>
      </c>
    </row>
    <row r="670" spans="1:9">
      <c r="A670" s="83" t="s">
        <v>108</v>
      </c>
      <c r="B670" s="109">
        <f>_xlfn.XLOOKUP(A670,Equipe!H:H,Equipe!B:B,"",0)</f>
        <v>4612243</v>
      </c>
      <c r="C670" s="154">
        <v>46167</v>
      </c>
      <c r="D670" s="151">
        <f>(IF(Tabela1[[#This Row],[Início]]&lt;&gt;"",C670+E670-1,""))*1</f>
        <v>46168</v>
      </c>
      <c r="E670" s="83">
        <v>2</v>
      </c>
      <c r="F670" s="87" t="s">
        <v>11</v>
      </c>
      <c r="G670" s="88" t="s">
        <v>397</v>
      </c>
      <c r="H670" s="87" t="str">
        <f>_xlfn.XLOOKUP(Tabela1[[#This Row],[Matrícula]],Equipe!B:B,Equipe!E:E,"ERRO",0)</f>
        <v>P80</v>
      </c>
      <c r="I670" s="87" t="str">
        <f>VLOOKUP(Tabela1[[#This Row],[Matrícula]],Equipe!B:F,5,0)</f>
        <v>Novo</v>
      </c>
    </row>
    <row r="671" spans="1:9" ht="72.599999999999994">
      <c r="A671" s="83" t="s">
        <v>225</v>
      </c>
      <c r="B671" s="109">
        <f>_xlfn.XLOOKUP(A671,Equipe!H:H,Equipe!B:B,"",0)</f>
        <v>2448533</v>
      </c>
      <c r="C671" s="154">
        <v>46167</v>
      </c>
      <c r="D671" s="151">
        <f>(IF(Tabela1[[#This Row],[Início]]&lt;&gt;"",C671+E671-1,""))*1</f>
        <v>46168</v>
      </c>
      <c r="E671" s="83">
        <v>2</v>
      </c>
      <c r="F671" s="87" t="s">
        <v>11</v>
      </c>
      <c r="G671" s="88" t="s">
        <v>400</v>
      </c>
      <c r="H671" s="87" t="str">
        <f>_xlfn.XLOOKUP(Tabela1[[#This Row],[Matrícula]],Equipe!B:B,Equipe!E:E,"ERRO",0)</f>
        <v>P80</v>
      </c>
      <c r="I671" s="87" t="str">
        <f>VLOOKUP(Tabela1[[#This Row],[Matrícula]],Equipe!B:F,5,0)</f>
        <v>Experiente</v>
      </c>
    </row>
    <row r="672" spans="1:9" hidden="1">
      <c r="A672" s="83" t="s">
        <v>30</v>
      </c>
      <c r="B672" s="109">
        <f>_xlfn.XLOOKUP(A672,Equipe!H:H,Equipe!B:B,"",0)</f>
        <v>9634180</v>
      </c>
      <c r="C672" s="154">
        <v>46167</v>
      </c>
      <c r="D672" s="151">
        <f>(IF(Tabela1[[#This Row],[Início]]&lt;&gt;"",C672+E672-1,""))*1</f>
        <v>46168</v>
      </c>
      <c r="E672" s="83">
        <v>2</v>
      </c>
      <c r="F672" s="87" t="s">
        <v>11</v>
      </c>
      <c r="G672" s="82" t="s">
        <v>401</v>
      </c>
      <c r="H672" s="87" t="str">
        <f>_xlfn.XLOOKUP(Tabela1[[#This Row],[Matrícula]],Equipe!B:B,Equipe!E:E,"ERRO",0)</f>
        <v>P83</v>
      </c>
      <c r="I672" s="87" t="str">
        <f>VLOOKUP(Tabela1[[#This Row],[Matrícula]],Equipe!B:F,5,0)</f>
        <v>Experiente</v>
      </c>
    </row>
    <row r="673" spans="1:9" ht="72.599999999999994" hidden="1">
      <c r="A673" s="83" t="s">
        <v>114</v>
      </c>
      <c r="B673" s="109">
        <f>_xlfn.XLOOKUP(A673,Equipe!H:H,Equipe!B:B,"",0)</f>
        <v>4612140</v>
      </c>
      <c r="C673" s="154">
        <v>46167</v>
      </c>
      <c r="D673" s="151">
        <f>(IF(Tabela1[[#This Row],[Início]]&lt;&gt;"",C673+E673-1,""))*1</f>
        <v>46168</v>
      </c>
      <c r="E673" s="83">
        <v>2</v>
      </c>
      <c r="F673" s="87" t="s">
        <v>11</v>
      </c>
      <c r="G673" s="93" t="s">
        <v>400</v>
      </c>
      <c r="H673" s="87" t="str">
        <f>_xlfn.XLOOKUP(Tabela1[[#This Row],[Matrícula]],Equipe!B:B,Equipe!E:E,"ERRO",0)</f>
        <v>P83</v>
      </c>
      <c r="I673" s="87" t="str">
        <f>VLOOKUP(Tabela1[[#This Row],[Matrícula]],Equipe!B:F,5,0)</f>
        <v>Novo</v>
      </c>
    </row>
    <row r="674" spans="1:9" ht="72.599999999999994" hidden="1">
      <c r="A674" s="83" t="s">
        <v>239</v>
      </c>
      <c r="B674" s="109">
        <f>_xlfn.XLOOKUP(A674,Equipe!H:H,Equipe!B:B,"",0)</f>
        <v>1387328</v>
      </c>
      <c r="C674" s="154">
        <v>46168</v>
      </c>
      <c r="D674" s="151">
        <f>(IF(Tabela1[[#This Row],[Início]]&lt;&gt;"",C674+E674-1,""))*1</f>
        <v>46168</v>
      </c>
      <c r="E674" s="83">
        <v>1</v>
      </c>
      <c r="F674" s="87" t="s">
        <v>11</v>
      </c>
      <c r="G674" s="88" t="s">
        <v>402</v>
      </c>
      <c r="H674" s="87" t="str">
        <f>_xlfn.XLOOKUP(Tabela1[[#This Row],[Matrícula]],Equipe!B:B,Equipe!E:E,"ERRO",0)</f>
        <v>P82</v>
      </c>
      <c r="I674" s="87" t="str">
        <f>VLOOKUP(Tabela1[[#This Row],[Matrícula]],Equipe!B:F,5,0)</f>
        <v>Experiente</v>
      </c>
    </row>
    <row r="675" spans="1:9">
      <c r="A675" s="83" t="s">
        <v>116</v>
      </c>
      <c r="B675" s="87">
        <f>_xlfn.XLOOKUP(A675,Equipe!H:H,Equipe!B:B,"",0)</f>
        <v>4612171</v>
      </c>
      <c r="C675" s="154">
        <v>46168</v>
      </c>
      <c r="D675" s="155">
        <f>(IF(Tabela1[[#This Row],[Início]]&lt;&gt;"",C675+E675-1,""))*1</f>
        <v>46181</v>
      </c>
      <c r="E675" s="83">
        <v>14</v>
      </c>
      <c r="F675" s="87" t="s">
        <v>17</v>
      </c>
      <c r="G675" s="88" t="s">
        <v>32</v>
      </c>
      <c r="H675" s="87" t="str">
        <f>_xlfn.XLOOKUP(Tabela1[[#This Row],[Matrícula]],Equipe!B:B,Equipe!E:E,"ERRO",0)</f>
        <v>P80</v>
      </c>
      <c r="I675" s="87" t="str">
        <f>VLOOKUP(Tabela1[[#This Row],[Matrícula]],Equipe!B:F,5,0)</f>
        <v>Novo</v>
      </c>
    </row>
    <row r="676" spans="1:9">
      <c r="A676" s="83" t="s">
        <v>62</v>
      </c>
      <c r="B676" s="109">
        <f>_xlfn.XLOOKUP(A676,Equipe!H:H,Equipe!B:B,"",0)</f>
        <v>9886449</v>
      </c>
      <c r="C676" s="154">
        <v>46168</v>
      </c>
      <c r="D676" s="151">
        <f>(IF(Tabela1[[#This Row],[Início]]&lt;&gt;"",C676+E676-1,""))*1</f>
        <v>46168</v>
      </c>
      <c r="E676" s="83">
        <v>1</v>
      </c>
      <c r="F676" s="83" t="s">
        <v>14</v>
      </c>
      <c r="G676" s="88" t="s">
        <v>391</v>
      </c>
      <c r="H676" s="83" t="str">
        <f>_xlfn.XLOOKUP(Tabela1[[#This Row],[Matrícula]],Equipe!B:B,Equipe!E:E,"ERRO",0)</f>
        <v>P80</v>
      </c>
      <c r="I676" s="83" t="str">
        <f>VLOOKUP(Tabela1[[#This Row],[Matrícula]],Equipe!B:F,5,0)</f>
        <v>Experiente</v>
      </c>
    </row>
    <row r="677" spans="1:9" ht="72.599999999999994" hidden="1">
      <c r="A677" s="83" t="s">
        <v>239</v>
      </c>
      <c r="B677" s="109">
        <f>_xlfn.XLOOKUP(A677,Equipe!H:H,Equipe!B:B,"",0)</f>
        <v>1387328</v>
      </c>
      <c r="C677" s="154">
        <v>46169</v>
      </c>
      <c r="D677" s="151">
        <f>(IF(Tabela1[[#This Row],[Início]]&lt;&gt;"",C677+E677-1,""))*1</f>
        <v>46170</v>
      </c>
      <c r="E677" s="83">
        <v>2</v>
      </c>
      <c r="F677" s="87" t="s">
        <v>11</v>
      </c>
      <c r="G677" s="88" t="s">
        <v>403</v>
      </c>
      <c r="H677" s="87" t="str">
        <f>_xlfn.XLOOKUP(Tabela1[[#This Row],[Matrícula]],Equipe!B:B,Equipe!E:E,"ERRO",0)</f>
        <v>P82</v>
      </c>
      <c r="I677" s="87" t="str">
        <f>VLOOKUP(Tabela1[[#This Row],[Matrícula]],Equipe!B:F,5,0)</f>
        <v>Experiente</v>
      </c>
    </row>
    <row r="678" spans="1:9">
      <c r="A678" s="83" t="s">
        <v>62</v>
      </c>
      <c r="B678" s="109">
        <f>_xlfn.XLOOKUP(A678,Equipe!H:H,Equipe!B:B,"",0)</f>
        <v>9886449</v>
      </c>
      <c r="C678" s="154">
        <v>46169</v>
      </c>
      <c r="D678" s="151">
        <f>(IF(Tabela1[[#This Row],[Início]]&lt;&gt;"",C678+E678-1,""))*1</f>
        <v>46182</v>
      </c>
      <c r="E678" s="83">
        <v>14</v>
      </c>
      <c r="F678" s="87" t="s">
        <v>17</v>
      </c>
      <c r="G678" s="88" t="s">
        <v>404</v>
      </c>
      <c r="H678" s="87" t="str">
        <f>_xlfn.XLOOKUP(Tabela1[[#This Row],[Matrícula]],Equipe!B:B,Equipe!E:E,"ERRO",0)</f>
        <v>P80</v>
      </c>
      <c r="I678" s="87" t="str">
        <f>VLOOKUP(Tabela1[[#This Row],[Matrícula]],Equipe!B:F,5,0)</f>
        <v>Experiente</v>
      </c>
    </row>
    <row r="679" spans="1:9">
      <c r="A679" s="83" t="s">
        <v>35</v>
      </c>
      <c r="B679" s="109">
        <f>_xlfn.XLOOKUP(A679,Equipe!H:H,Equipe!B:B,"",0)</f>
        <v>9842940</v>
      </c>
      <c r="C679" s="154">
        <v>46169</v>
      </c>
      <c r="D679" s="151">
        <f>(IF(Tabela1[[#This Row],[Início]]&lt;&gt;"",C679+E679-1,""))*1</f>
        <v>46170</v>
      </c>
      <c r="E679" s="83">
        <v>2</v>
      </c>
      <c r="F679" s="87" t="s">
        <v>11</v>
      </c>
      <c r="G679" s="88" t="s">
        <v>397</v>
      </c>
      <c r="H679" s="87" t="str">
        <f>_xlfn.XLOOKUP(Tabela1[[#This Row],[Matrícula]],Equipe!B:B,Equipe!E:E,"ERRO",0)</f>
        <v>P80</v>
      </c>
      <c r="I679" s="87" t="str">
        <f>VLOOKUP(Tabela1[[#This Row],[Matrícula]],Equipe!B:F,5,0)</f>
        <v>Novo</v>
      </c>
    </row>
    <row r="680" spans="1:9">
      <c r="A680" s="83" t="s">
        <v>27</v>
      </c>
      <c r="B680" s="109">
        <f>_xlfn.XLOOKUP(A680,Equipe!H:H,Equipe!B:B,"",0)</f>
        <v>4608685</v>
      </c>
      <c r="C680" s="154">
        <v>46169</v>
      </c>
      <c r="D680" s="150">
        <f>(IF(Tabela1[[#This Row],[Início]]&lt;&gt;"",C680+E680-1,""))*1</f>
        <v>46170</v>
      </c>
      <c r="E680" s="83">
        <v>2</v>
      </c>
      <c r="F680" s="83" t="s">
        <v>11</v>
      </c>
      <c r="G680" s="88" t="s">
        <v>397</v>
      </c>
      <c r="H680" s="83" t="str">
        <f>_xlfn.XLOOKUP(Tabela1[[#This Row],[Matrícula]],Equipe!B:B,Equipe!E:E,"ERRO",0)</f>
        <v>P80</v>
      </c>
      <c r="I680" s="83" t="str">
        <f>VLOOKUP(Tabela1[[#This Row],[Matrícula]],Equipe!B:F,5,0)</f>
        <v>Novo</v>
      </c>
    </row>
    <row r="681" spans="1:9">
      <c r="A681" s="83" t="s">
        <v>108</v>
      </c>
      <c r="B681" s="109">
        <f>_xlfn.XLOOKUP(A681,Equipe!H:H,Equipe!B:B,"",0)</f>
        <v>4612243</v>
      </c>
      <c r="C681" s="154">
        <v>46169</v>
      </c>
      <c r="D681" s="151">
        <f>(IF(Tabela1[[#This Row],[Início]]&lt;&gt;"",C681+E681-1,""))*1</f>
        <v>46170</v>
      </c>
      <c r="E681" s="83">
        <v>2</v>
      </c>
      <c r="F681" s="87" t="s">
        <v>14</v>
      </c>
      <c r="G681" s="88" t="s">
        <v>405</v>
      </c>
      <c r="H681" s="87" t="str">
        <f>_xlfn.XLOOKUP(Tabela1[[#This Row],[Matrícula]],Equipe!B:B,Equipe!E:E,"ERRO",0)</f>
        <v>P80</v>
      </c>
      <c r="I681" s="87" t="str">
        <f>VLOOKUP(Tabela1[[#This Row],[Matrícula]],Equipe!B:F,5,0)</f>
        <v>Novo</v>
      </c>
    </row>
    <row r="682" spans="1:9" ht="29.1">
      <c r="A682" s="83" t="s">
        <v>109</v>
      </c>
      <c r="B682" s="109">
        <f>_xlfn.XLOOKUP(A682,Equipe!H:H,Equipe!B:B,"",0)</f>
        <v>4612389</v>
      </c>
      <c r="C682" s="154">
        <v>46169</v>
      </c>
      <c r="D682" s="151">
        <f>(IF(Tabela1[[#This Row],[Início]]&lt;&gt;"",C682+E682-1,""))*1</f>
        <v>46170</v>
      </c>
      <c r="E682" s="83">
        <v>2</v>
      </c>
      <c r="F682" s="87" t="s">
        <v>11</v>
      </c>
      <c r="G682" s="88" t="s">
        <v>406</v>
      </c>
      <c r="H682" s="87" t="str">
        <f>_xlfn.XLOOKUP(Tabela1[[#This Row],[Matrícula]],Equipe!B:B,Equipe!E:E,"ERRO",0)</f>
        <v>P80</v>
      </c>
      <c r="I682" s="87" t="str">
        <f>VLOOKUP(Tabela1[[#This Row],[Matrícula]],Equipe!B:F,5,0)</f>
        <v>Novo</v>
      </c>
    </row>
    <row r="683" spans="1:9">
      <c r="A683" s="83" t="s">
        <v>90</v>
      </c>
      <c r="B683" s="109">
        <f>_xlfn.XLOOKUP(A683,Equipe!H:H,Equipe!B:B,"",0)</f>
        <v>9683150</v>
      </c>
      <c r="C683" s="154">
        <v>46171</v>
      </c>
      <c r="D683" s="151">
        <v>46171</v>
      </c>
      <c r="E683" s="83">
        <v>1</v>
      </c>
      <c r="F683" s="87" t="s">
        <v>14</v>
      </c>
      <c r="G683" s="88" t="s">
        <v>208</v>
      </c>
      <c r="H683" s="87" t="str">
        <f>_xlfn.XLOOKUP(Tabela1[[#This Row],[Matrícula]],Equipe!B:B,Equipe!E:E,"ERRO",0)</f>
        <v>P80</v>
      </c>
      <c r="I683" s="87" t="str">
        <f>VLOOKUP(Tabela1[[#This Row],[Matrícula]],Equipe!B:F,5,0)</f>
        <v>Experiente</v>
      </c>
    </row>
    <row r="684" spans="1:9" ht="72.599999999999994" hidden="1">
      <c r="A684" s="83" t="s">
        <v>16</v>
      </c>
      <c r="B684" s="109">
        <f>_xlfn.XLOOKUP(A684,Equipe!H:H,Equipe!B:B,"",0)</f>
        <v>4608544</v>
      </c>
      <c r="C684" s="154">
        <v>46171</v>
      </c>
      <c r="D684" s="151">
        <f>(IF(Tabela1[[#This Row],[Início]]&lt;&gt;"",C684+E684-1,""))*1</f>
        <v>46171</v>
      </c>
      <c r="E684" s="83">
        <v>1</v>
      </c>
      <c r="F684" s="87" t="s">
        <v>11</v>
      </c>
      <c r="G684" s="88" t="s">
        <v>407</v>
      </c>
      <c r="H684" s="87" t="str">
        <f>_xlfn.XLOOKUP(Tabela1[[#This Row],[Matrícula]],Equipe!B:B,Equipe!E:E,"ERRO",0)</f>
        <v>P82</v>
      </c>
      <c r="I684" s="87" t="str">
        <f>VLOOKUP(Tabela1[[#This Row],[Matrícula]],Equipe!B:F,5,0)</f>
        <v>Novo</v>
      </c>
    </row>
    <row r="685" spans="1:9" ht="72.599999999999994" hidden="1">
      <c r="A685" s="83" t="s">
        <v>16</v>
      </c>
      <c r="B685" s="109">
        <f>_xlfn.XLOOKUP(A685,Equipe!H:H,Equipe!B:B,"",0)</f>
        <v>4608544</v>
      </c>
      <c r="C685" s="154">
        <v>46171</v>
      </c>
      <c r="D685" s="151">
        <f>(IF(Tabela1[[#This Row],[Início]]&lt;&gt;"",C685+E685-1,""))*1</f>
        <v>46171</v>
      </c>
      <c r="E685" s="83">
        <v>1</v>
      </c>
      <c r="F685" s="87" t="s">
        <v>11</v>
      </c>
      <c r="G685" s="88" t="s">
        <v>408</v>
      </c>
      <c r="H685" s="87" t="str">
        <f>_xlfn.XLOOKUP(Tabela1[[#This Row],[Matrícula]],Equipe!B:B,Equipe!E:E,"ERRO",0)</f>
        <v>P82</v>
      </c>
      <c r="I685" s="87" t="str">
        <f>VLOOKUP(Tabela1[[#This Row],[Matrícula]],Equipe!B:F,5,0)</f>
        <v>Novo</v>
      </c>
    </row>
    <row r="686" spans="1:9">
      <c r="A686" s="83" t="s">
        <v>44</v>
      </c>
      <c r="B686" s="109">
        <f>_xlfn.XLOOKUP(A686,Equipe!H:H,Equipe!B:B,"",0)</f>
        <v>1381625</v>
      </c>
      <c r="C686" s="154">
        <v>46171</v>
      </c>
      <c r="D686" s="151">
        <f>(IF(Tabela1[[#This Row],[Início]]&lt;&gt;"",C686+E686-1,""))*1</f>
        <v>46171</v>
      </c>
      <c r="E686" s="83">
        <v>1</v>
      </c>
      <c r="F686" s="87" t="s">
        <v>11</v>
      </c>
      <c r="G686" s="88" t="s">
        <v>386</v>
      </c>
      <c r="H686" s="87" t="str">
        <f>_xlfn.XLOOKUP(Tabela1[[#This Row],[Matrícula]],Equipe!B:B,Equipe!E:E,"ERRO",0)</f>
        <v>P80</v>
      </c>
      <c r="I686" s="87" t="str">
        <f>VLOOKUP(Tabela1[[#This Row],[Matrícula]],Equipe!B:F,5,0)</f>
        <v>Experiente</v>
      </c>
    </row>
    <row r="687" spans="1:9" hidden="1">
      <c r="A687" s="83" t="s">
        <v>128</v>
      </c>
      <c r="B687" s="83">
        <f>_xlfn.XLOOKUP(A687,Equipe!H:H,Equipe!B:B,"",0)</f>
        <v>229316</v>
      </c>
      <c r="C687" s="154">
        <v>46171</v>
      </c>
      <c r="D687" s="150">
        <f>(IF(Tabela1[[#This Row],[Início]]&lt;&gt;"",C687+E687-1,""))*1</f>
        <v>46171</v>
      </c>
      <c r="E687" s="83">
        <v>1</v>
      </c>
      <c r="F687" s="83" t="s">
        <v>14</v>
      </c>
      <c r="G687" s="88" t="s">
        <v>409</v>
      </c>
      <c r="H687" s="83" t="str">
        <f>_xlfn.XLOOKUP(Tabela1[[#This Row],[Matrícula]],Equipe!B:B,Equipe!E:E,"ERRO",0)</f>
        <v>PBAC</v>
      </c>
      <c r="I687" s="83" t="str">
        <f>VLOOKUP(Tabela1[[#This Row],[Matrícula]],Equipe!B:F,5,0)</f>
        <v>Experiente</v>
      </c>
    </row>
    <row r="688" spans="1:9" hidden="1">
      <c r="A688" s="83" t="s">
        <v>239</v>
      </c>
      <c r="B688" s="109">
        <f>_xlfn.XLOOKUP(A688,Equipe!H:H,Equipe!B:B,"",0)</f>
        <v>1387328</v>
      </c>
      <c r="C688" s="154">
        <v>46174</v>
      </c>
      <c r="D688" s="151">
        <v>46176</v>
      </c>
      <c r="E688" s="83">
        <v>3</v>
      </c>
      <c r="F688" s="87" t="s">
        <v>11</v>
      </c>
      <c r="G688" s="88" t="s">
        <v>410</v>
      </c>
      <c r="H688" s="87" t="str">
        <f>_xlfn.XLOOKUP(Tabela1[[#This Row],[Matrícula]],Equipe!B:B,Equipe!E:E,"ERRO",0)</f>
        <v>P82</v>
      </c>
      <c r="I688" s="87" t="str">
        <f>VLOOKUP(Tabela1[[#This Row],[Matrícula]],Equipe!B:F,5,0)</f>
        <v>Experiente</v>
      </c>
    </row>
    <row r="689" spans="1:9" hidden="1">
      <c r="A689" s="83" t="s">
        <v>40</v>
      </c>
      <c r="B689" s="109">
        <f>_xlfn.XLOOKUP(A689,Equipe!H:H,Equipe!B:B,"",0)</f>
        <v>9724817</v>
      </c>
      <c r="C689" s="154">
        <v>46174</v>
      </c>
      <c r="D689" s="151">
        <f>(IF(Tabela1[[#This Row],[Início]]&lt;&gt;"",C689+E689-1,""))*1</f>
        <v>46193</v>
      </c>
      <c r="E689" s="83">
        <v>20</v>
      </c>
      <c r="F689" s="87" t="s">
        <v>232</v>
      </c>
      <c r="G689" s="88" t="s">
        <v>315</v>
      </c>
      <c r="H689" s="87" t="str">
        <f>_xlfn.XLOOKUP(Tabela1[[#This Row],[Matrícula]],Equipe!B:B,Equipe!E:E,"ERRO",0)</f>
        <v>P82</v>
      </c>
      <c r="I689" s="87" t="str">
        <f>VLOOKUP(Tabela1[[#This Row],[Matrícula]],Equipe!B:F,5,0)</f>
        <v>Experiente</v>
      </c>
    </row>
    <row r="690" spans="1:9">
      <c r="A690" s="83" t="s">
        <v>104</v>
      </c>
      <c r="B690" s="83">
        <f>_xlfn.XLOOKUP(A690,Equipe!H:H,Equipe!B:B,"",0)</f>
        <v>4612098</v>
      </c>
      <c r="C690" s="154">
        <v>46174</v>
      </c>
      <c r="D690" s="150">
        <v>46174</v>
      </c>
      <c r="E690" s="83">
        <v>1</v>
      </c>
      <c r="F690" s="83"/>
      <c r="G690" s="88" t="s">
        <v>411</v>
      </c>
      <c r="H690" s="83" t="str">
        <f>_xlfn.XLOOKUP(Tabela1[[#This Row],[Matrícula]],Equipe!B:B,Equipe!E:E,"ERRO",0)</f>
        <v>P80</v>
      </c>
      <c r="I690" s="83" t="str">
        <f>VLOOKUP(Tabela1[[#This Row],[Matrícula]],Equipe!B:F,5,0)</f>
        <v>Novo</v>
      </c>
    </row>
    <row r="691" spans="1:9" hidden="1">
      <c r="A691" s="83" t="s">
        <v>31</v>
      </c>
      <c r="B691" s="92">
        <f>_xlfn.XLOOKUP(A691,Equipe!H:H,Equipe!B:B,"",0)</f>
        <v>1386344</v>
      </c>
      <c r="C691" s="152">
        <v>46174</v>
      </c>
      <c r="D691" s="152">
        <f>((IF(Tabela1[[#This Row],[Início]]&lt;&gt;"",C691+E691-1,""))*1)*1</f>
        <v>46174</v>
      </c>
      <c r="E691" s="83">
        <v>1</v>
      </c>
      <c r="F691" s="83" t="s">
        <v>14</v>
      </c>
      <c r="G691" s="88" t="s">
        <v>412</v>
      </c>
      <c r="H691" s="83" t="str">
        <f>_xlfn.XLOOKUP(Tabela1[[#This Row],[Matrícula]],Equipe!B:B,Equipe!E:E,"ERRO",0)</f>
        <v>P82</v>
      </c>
      <c r="I691" s="83" t="str">
        <f>VLOOKUP(Tabela1[[#This Row],[Matrícula]],Equipe!B:F,5,0)</f>
        <v>Experiente</v>
      </c>
    </row>
    <row r="692" spans="1:9" hidden="1">
      <c r="A692" s="83" t="s">
        <v>57</v>
      </c>
      <c r="B692" s="109">
        <f>_xlfn.XLOOKUP(A692,Equipe!H:H,Equipe!B:B,"",0)</f>
        <v>4608684</v>
      </c>
      <c r="C692" s="154">
        <v>46174</v>
      </c>
      <c r="D692" s="151">
        <f>(IF(Tabela1[[#This Row],[Início]]&lt;&gt;"",C692+E692-1,""))*1</f>
        <v>46176</v>
      </c>
      <c r="E692" s="83">
        <v>3</v>
      </c>
      <c r="F692" s="87" t="s">
        <v>11</v>
      </c>
      <c r="G692" s="88" t="s">
        <v>413</v>
      </c>
      <c r="H692" s="87" t="str">
        <f>_xlfn.XLOOKUP(Tabela1[[#This Row],[Matrícula]],Equipe!B:B,Equipe!E:E,"ERRO",0)</f>
        <v>P82</v>
      </c>
      <c r="I692" s="87" t="str">
        <f>VLOOKUP(Tabela1[[#This Row],[Matrícula]],Equipe!B:F,5,0)</f>
        <v>Novo</v>
      </c>
    </row>
    <row r="693" spans="1:9">
      <c r="A693" s="83" t="s">
        <v>108</v>
      </c>
      <c r="B693" s="109">
        <f>_xlfn.XLOOKUP(A693,Equipe!H:H,Equipe!B:B,"",0)</f>
        <v>4612243</v>
      </c>
      <c r="C693" s="154">
        <v>46174</v>
      </c>
      <c r="D693" s="151">
        <f>(IF(Tabela1[[#This Row],[Início]]&lt;&gt;"",C693+E693-1,""))*1</f>
        <v>46176</v>
      </c>
      <c r="E693" s="83">
        <v>3</v>
      </c>
      <c r="F693" s="87" t="s">
        <v>11</v>
      </c>
      <c r="G693" s="88" t="s">
        <v>414</v>
      </c>
      <c r="H693" s="87" t="str">
        <f>_xlfn.XLOOKUP(Tabela1[[#This Row],[Matrícula]],Equipe!B:B,Equipe!E:E,"ERRO",0)</f>
        <v>P80</v>
      </c>
      <c r="I693" s="87" t="str">
        <f>VLOOKUP(Tabela1[[#This Row],[Matrícula]],Equipe!B:F,5,0)</f>
        <v>Novo</v>
      </c>
    </row>
    <row r="694" spans="1:9">
      <c r="A694" s="83" t="s">
        <v>225</v>
      </c>
      <c r="B694" s="109">
        <f>_xlfn.XLOOKUP(A694,Equipe!H:H,Equipe!B:B,"",0)</f>
        <v>2448533</v>
      </c>
      <c r="C694" s="154">
        <v>46174</v>
      </c>
      <c r="D694" s="151">
        <f>(IF(Tabela1[[#This Row],[Início]]&lt;&gt;"",C694+E694-1,""))*1</f>
        <v>46176</v>
      </c>
      <c r="E694" s="83">
        <v>3</v>
      </c>
      <c r="F694" s="87" t="s">
        <v>11</v>
      </c>
      <c r="G694" s="88" t="s">
        <v>413</v>
      </c>
      <c r="H694" s="87" t="str">
        <f>_xlfn.XLOOKUP(Tabela1[[#This Row],[Matrícula]],Equipe!B:B,Equipe!E:E,"ERRO",0)</f>
        <v>P80</v>
      </c>
      <c r="I694" s="87" t="str">
        <f>VLOOKUP(Tabela1[[#This Row],[Matrícula]],Equipe!B:F,5,0)</f>
        <v>Experiente</v>
      </c>
    </row>
    <row r="695" spans="1:9">
      <c r="A695" s="83" t="s">
        <v>109</v>
      </c>
      <c r="B695" s="109">
        <f>_xlfn.XLOOKUP(A695,Equipe!H:H,Equipe!B:B,"",0)</f>
        <v>4612389</v>
      </c>
      <c r="C695" s="154">
        <v>46174</v>
      </c>
      <c r="D695" s="151">
        <f>(IF(Tabela1[[#This Row],[Início]]&lt;&gt;"",C695+E695-1,""))*1</f>
        <v>46176</v>
      </c>
      <c r="E695" s="83">
        <v>3</v>
      </c>
      <c r="F695" s="87" t="s">
        <v>11</v>
      </c>
      <c r="G695" s="88" t="s">
        <v>415</v>
      </c>
      <c r="H695" s="87" t="str">
        <f>_xlfn.XLOOKUP(Tabela1[[#This Row],[Matrícula]],Equipe!B:B,Equipe!E:E,"ERRO",0)</f>
        <v>P80</v>
      </c>
      <c r="I695" s="87" t="str">
        <f>VLOOKUP(Tabela1[[#This Row],[Matrícula]],Equipe!B:F,5,0)</f>
        <v>Novo</v>
      </c>
    </row>
    <row r="696" spans="1:9">
      <c r="A696" s="83" t="s">
        <v>36</v>
      </c>
      <c r="B696" s="109">
        <f>_xlfn.XLOOKUP(A696,Equipe!H:H,Equipe!B:B,"",0)</f>
        <v>4608721</v>
      </c>
      <c r="C696" s="154">
        <v>46174</v>
      </c>
      <c r="D696" s="151">
        <f>(IF(Tabela1[[#This Row],[Início]]&lt;&gt;"",C696+E696-1,""))*1</f>
        <v>46176</v>
      </c>
      <c r="E696" s="83">
        <v>3</v>
      </c>
      <c r="F696" s="87" t="s">
        <v>11</v>
      </c>
      <c r="G696" s="93" t="s">
        <v>415</v>
      </c>
      <c r="H696" s="87" t="str">
        <f>_xlfn.XLOOKUP(Tabela1[[#This Row],[Matrícula]],Equipe!B:B,Equipe!E:E,"ERRO",0)</f>
        <v>P80</v>
      </c>
      <c r="I696" s="87" t="str">
        <f>VLOOKUP(Tabela1[[#This Row],[Matrícula]],Equipe!B:F,5,0)</f>
        <v>Novo</v>
      </c>
    </row>
    <row r="697" spans="1:9" hidden="1">
      <c r="A697" s="83" t="s">
        <v>46</v>
      </c>
      <c r="B697" s="109">
        <f>_xlfn.XLOOKUP(A697,Equipe!H:H,Equipe!B:B,"",0)</f>
        <v>4608411</v>
      </c>
      <c r="C697" s="154">
        <v>46174</v>
      </c>
      <c r="D697" s="151">
        <f>(IF(Tabela1[[#This Row],[Início]]&lt;&gt;"",C697+E697-1,""))*1</f>
        <v>46185</v>
      </c>
      <c r="E697" s="83">
        <v>12</v>
      </c>
      <c r="F697" s="87" t="s">
        <v>11</v>
      </c>
      <c r="G697" s="88" t="s">
        <v>416</v>
      </c>
      <c r="H697" s="87" t="str">
        <f>_xlfn.XLOOKUP(Tabela1[[#This Row],[Matrícula]],Equipe!B:B,Equipe!E:E,"ERRO",0)</f>
        <v>P83</v>
      </c>
      <c r="I697" s="87" t="str">
        <f>VLOOKUP(Tabela1[[#This Row],[Matrícula]],Equipe!B:F,5,0)</f>
        <v>Novo</v>
      </c>
    </row>
    <row r="698" spans="1:9" hidden="1">
      <c r="A698" s="83" t="s">
        <v>31</v>
      </c>
      <c r="B698" s="92">
        <f>_xlfn.XLOOKUP(A698,Equipe!H:H,Equipe!B:B,"",0)</f>
        <v>1386344</v>
      </c>
      <c r="C698" s="152">
        <v>46175</v>
      </c>
      <c r="D698" s="152">
        <f>((IF(Tabela1[[#This Row],[Início]]&lt;&gt;"",C698+E698-1,""))*1)*1</f>
        <v>46176</v>
      </c>
      <c r="E698" s="83">
        <v>2</v>
      </c>
      <c r="F698" s="83" t="s">
        <v>14</v>
      </c>
      <c r="G698" s="88" t="s">
        <v>95</v>
      </c>
      <c r="H698" s="83" t="str">
        <f>_xlfn.XLOOKUP(Tabela1[[#This Row],[Matrícula]],Equipe!B:B,Equipe!E:E,"ERRO",0)</f>
        <v>P82</v>
      </c>
      <c r="I698" s="83" t="str">
        <f>VLOOKUP(Tabela1[[#This Row],[Matrícula]],Equipe!B:F,5,0)</f>
        <v>Experiente</v>
      </c>
    </row>
    <row r="699" spans="1:9" hidden="1">
      <c r="A699" s="83" t="s">
        <v>140</v>
      </c>
      <c r="B699" s="109">
        <f>_xlfn.XLOOKUP(A699,Equipe!H:H,Equipe!B:B,"",0)</f>
        <v>4612247</v>
      </c>
      <c r="C699" s="154">
        <v>46175</v>
      </c>
      <c r="D699" s="151">
        <f>(IF(Tabela1[[#This Row],[Início]]&lt;&gt;"",C699+E699-1,""))*1</f>
        <v>46175</v>
      </c>
      <c r="E699" s="83">
        <v>1</v>
      </c>
      <c r="F699" s="87" t="s">
        <v>14</v>
      </c>
      <c r="G699" s="88" t="s">
        <v>417</v>
      </c>
      <c r="H699" s="87" t="str">
        <f>_xlfn.XLOOKUP(Tabela1[[#This Row],[Matrícula]],Equipe!B:B,Equipe!E:E,"ERRO",0)</f>
        <v>P83</v>
      </c>
      <c r="I699" s="87" t="str">
        <f>VLOOKUP(Tabela1[[#This Row],[Matrícula]],Equipe!B:F,5,0)</f>
        <v>Novo</v>
      </c>
    </row>
    <row r="700" spans="1:9" hidden="1">
      <c r="A700" s="87" t="s">
        <v>56</v>
      </c>
      <c r="B700" s="83">
        <f>_xlfn.XLOOKUP(A700,Equipe!H:H,Equipe!B:B,"",0)</f>
        <v>2477135</v>
      </c>
      <c r="C700" s="155">
        <v>46176</v>
      </c>
      <c r="D700" s="151">
        <v>46176</v>
      </c>
      <c r="E700" s="83">
        <v>1</v>
      </c>
      <c r="F700" s="83" t="s">
        <v>14</v>
      </c>
      <c r="G700" s="88" t="s">
        <v>335</v>
      </c>
      <c r="H700" s="87" t="str">
        <f>_xlfn.XLOOKUP(Tabela1[[#This Row],[Matrícula]],Equipe!B:B,Equipe!E:E,"ERRO",0)</f>
        <v>P83</v>
      </c>
      <c r="I700" s="87" t="str">
        <f>VLOOKUP(Tabela1[[#This Row],[Matrícula]],Equipe!B:F,5,0)</f>
        <v>Experiente</v>
      </c>
    </row>
    <row r="701" spans="1:9">
      <c r="A701" s="83" t="s">
        <v>90</v>
      </c>
      <c r="B701" s="109">
        <f>_xlfn.XLOOKUP(A701,Equipe!H:H,Equipe!B:B,"",0)</f>
        <v>9683150</v>
      </c>
      <c r="C701" s="154">
        <v>46176</v>
      </c>
      <c r="D701" s="151">
        <v>46176</v>
      </c>
      <c r="E701" s="83">
        <v>1</v>
      </c>
      <c r="F701" s="87" t="s">
        <v>14</v>
      </c>
      <c r="G701" s="88" t="s">
        <v>208</v>
      </c>
      <c r="H701" s="87" t="str">
        <f>_xlfn.XLOOKUP(Tabela1[[#This Row],[Matrícula]],Equipe!B:B,Equipe!E:E,"ERRO",0)</f>
        <v>P80</v>
      </c>
      <c r="I701" s="87" t="str">
        <f>VLOOKUP(Tabela1[[#This Row],[Matrícula]],Equipe!B:F,5,0)</f>
        <v>Experiente</v>
      </c>
    </row>
    <row r="702" spans="1:9">
      <c r="A702" s="83" t="s">
        <v>264</v>
      </c>
      <c r="B702" s="92">
        <f>_xlfn.XLOOKUP(A702,Equipe!H:H,Equipe!B:B,"",0)</f>
        <v>9678697</v>
      </c>
      <c r="C702" s="154">
        <v>46176</v>
      </c>
      <c r="D702" s="150">
        <f>(IF(Tabela1[[#This Row],[Início]]&lt;&gt;"",C702+E702-1,""))*1</f>
        <v>46176</v>
      </c>
      <c r="E702" s="83">
        <v>1</v>
      </c>
      <c r="F702" s="83" t="s">
        <v>14</v>
      </c>
      <c r="G702" s="88" t="s">
        <v>418</v>
      </c>
      <c r="H702" s="83" t="str">
        <f>_xlfn.XLOOKUP(Tabela1[[#This Row],[Matrícula]],Equipe!B:B,Equipe!E:E,"ERRO",0)</f>
        <v>P80</v>
      </c>
      <c r="I702" s="83" t="str">
        <f>VLOOKUP(Tabela1[[#This Row],[Matrícula]],Equipe!B:F,5,0)</f>
        <v>Experiente</v>
      </c>
    </row>
    <row r="703" spans="1:9" hidden="1">
      <c r="A703" s="83" t="s">
        <v>318</v>
      </c>
      <c r="B703" s="109">
        <f>_xlfn.XLOOKUP(A703,Equipe!H:H,Equipe!B:B,"",0)</f>
        <v>4613186</v>
      </c>
      <c r="C703" s="154">
        <v>46177</v>
      </c>
      <c r="D703" s="151">
        <f>(IF(Tabela1[[#This Row],[Início]]&lt;&gt;"",C703+E703-1,""))*1</f>
        <v>46190</v>
      </c>
      <c r="E703" s="83">
        <v>14</v>
      </c>
      <c r="F703" s="87" t="s">
        <v>17</v>
      </c>
      <c r="G703" s="88" t="s">
        <v>136</v>
      </c>
      <c r="H703" s="87" t="str">
        <f>_xlfn.XLOOKUP(Tabela1[[#This Row],[Matrícula]],Equipe!B:B,Equipe!E:E,"ERRO",0)</f>
        <v>P83</v>
      </c>
      <c r="I703" s="87" t="str">
        <f>VLOOKUP(Tabela1[[#This Row],[Matrícula]],Equipe!B:F,5,0)</f>
        <v>Novo</v>
      </c>
    </row>
    <row r="704" spans="1:9" hidden="1">
      <c r="A704" s="83" t="s">
        <v>56</v>
      </c>
      <c r="B704" s="83">
        <f>_xlfn.XLOOKUP(A704,Equipe!H:H,Equipe!B:B,"",0)</f>
        <v>2477135</v>
      </c>
      <c r="C704" s="154">
        <v>46178</v>
      </c>
      <c r="D704" s="150">
        <v>46178</v>
      </c>
      <c r="E704" s="83">
        <v>1</v>
      </c>
      <c r="F704" s="83" t="s">
        <v>14</v>
      </c>
      <c r="G704" s="88" t="s">
        <v>335</v>
      </c>
      <c r="H704" s="83" t="str">
        <f>_xlfn.XLOOKUP(Tabela1[[#This Row],[Matrícula]],Equipe!B:B,Equipe!E:E,"ERRO",0)</f>
        <v>P83</v>
      </c>
      <c r="I704" s="83" t="str">
        <f>VLOOKUP(Tabela1[[#This Row],[Matrícula]],Equipe!B:F,5,0)</f>
        <v>Experiente</v>
      </c>
    </row>
    <row r="705" spans="1:9" hidden="1">
      <c r="A705" s="83" t="s">
        <v>239</v>
      </c>
      <c r="B705" s="109">
        <f>_xlfn.XLOOKUP(A705,Equipe!H:H,Equipe!B:B,"",0)</f>
        <v>1387328</v>
      </c>
      <c r="C705" s="154">
        <v>46178</v>
      </c>
      <c r="D705" s="151">
        <f>(IF(Tabela1[[#This Row],[Início]]&lt;&gt;"",C705+E705-1,""))*1</f>
        <v>46178</v>
      </c>
      <c r="E705" s="83">
        <v>1</v>
      </c>
      <c r="F705" s="87" t="s">
        <v>11</v>
      </c>
      <c r="G705" s="88" t="s">
        <v>410</v>
      </c>
      <c r="H705" s="87" t="str">
        <f>_xlfn.XLOOKUP(Tabela1[[#This Row],[Matrícula]],Equipe!B:B,Equipe!E:E,"ERRO",0)</f>
        <v>P82</v>
      </c>
      <c r="I705" s="87" t="str">
        <f>VLOOKUP(Tabela1[[#This Row],[Matrícula]],Equipe!B:F,5,0)</f>
        <v>Experiente</v>
      </c>
    </row>
    <row r="706" spans="1:9" hidden="1">
      <c r="A706" s="83" t="s">
        <v>24</v>
      </c>
      <c r="B706" s="109">
        <f>_xlfn.XLOOKUP(A706,Equipe!H:H,Equipe!B:B,"",0)</f>
        <v>1385870</v>
      </c>
      <c r="C706" s="154">
        <v>46178</v>
      </c>
      <c r="D706" s="151">
        <f>(IF(Tabela1[[#This Row],[Início]]&lt;&gt;"",C706+E706-1,""))*1</f>
        <v>46178</v>
      </c>
      <c r="E706" s="83">
        <v>1</v>
      </c>
      <c r="F706" s="87" t="s">
        <v>14</v>
      </c>
      <c r="G706" s="88" t="s">
        <v>419</v>
      </c>
      <c r="H706" s="87" t="str">
        <f>_xlfn.XLOOKUP(Tabela1[[#This Row],[Matrícula]],Equipe!B:B,Equipe!E:E,"ERRO",0)</f>
        <v>P83</v>
      </c>
      <c r="I706" s="87" t="str">
        <f>VLOOKUP(Tabela1[[#This Row],[Matrícula]],Equipe!B:F,5,0)</f>
        <v>Experiente</v>
      </c>
    </row>
    <row r="707" spans="1:9" hidden="1">
      <c r="A707" s="83" t="s">
        <v>31</v>
      </c>
      <c r="B707" s="92">
        <f>_xlfn.XLOOKUP(A707,Equipe!H:H,Equipe!B:B,"",0)</f>
        <v>1386344</v>
      </c>
      <c r="C707" s="152">
        <v>46178</v>
      </c>
      <c r="D707" s="152">
        <f>((IF(Tabela1[[#This Row],[Início]]&lt;&gt;"",C707+E707-1,""))*1)*1</f>
        <v>46178</v>
      </c>
      <c r="E707" s="83">
        <v>1</v>
      </c>
      <c r="F707" s="83" t="s">
        <v>14</v>
      </c>
      <c r="G707" s="88" t="s">
        <v>95</v>
      </c>
      <c r="H707" s="83" t="str">
        <f>_xlfn.XLOOKUP(Tabela1[[#This Row],[Matrícula]],Equipe!B:B,Equipe!E:E,"ERRO",0)</f>
        <v>P82</v>
      </c>
      <c r="I707" s="83" t="str">
        <f>VLOOKUP(Tabela1[[#This Row],[Matrícula]],Equipe!B:F,5,0)</f>
        <v>Experiente</v>
      </c>
    </row>
    <row r="708" spans="1:9" hidden="1">
      <c r="A708" s="83" t="s">
        <v>231</v>
      </c>
      <c r="B708" s="109">
        <f>_xlfn.XLOOKUP(A708,Equipe!H:H,Equipe!B:B,"",0)</f>
        <v>2550195</v>
      </c>
      <c r="C708" s="154">
        <v>46178</v>
      </c>
      <c r="D708" s="151">
        <f>(IF(Tabela1[[#This Row],[Início]]&lt;&gt;"",C708+E708-1,""))*1</f>
        <v>46178</v>
      </c>
      <c r="E708" s="83">
        <v>1</v>
      </c>
      <c r="F708" s="87" t="s">
        <v>14</v>
      </c>
      <c r="G708" s="88" t="s">
        <v>420</v>
      </c>
      <c r="H708" s="87" t="str">
        <f>_xlfn.XLOOKUP(Tabela1[[#This Row],[Matrícula]],Equipe!B:B,Equipe!E:E,"ERRO",0)</f>
        <v>P83</v>
      </c>
      <c r="I708" s="87" t="str">
        <f>VLOOKUP(Tabela1[[#This Row],[Matrícula]],Equipe!B:F,5,0)</f>
        <v>Experiente</v>
      </c>
    </row>
    <row r="709" spans="1:9">
      <c r="A709" s="83" t="s">
        <v>90</v>
      </c>
      <c r="B709" s="109">
        <f>_xlfn.XLOOKUP(A709,Equipe!H:H,Equipe!B:B,"",0)</f>
        <v>9683150</v>
      </c>
      <c r="C709" s="154">
        <v>46178</v>
      </c>
      <c r="D709" s="151">
        <v>46178</v>
      </c>
      <c r="E709" s="83">
        <v>1</v>
      </c>
      <c r="F709" s="87" t="s">
        <v>14</v>
      </c>
      <c r="G709" s="88" t="s">
        <v>208</v>
      </c>
      <c r="H709" s="87" t="str">
        <f>_xlfn.XLOOKUP(Tabela1[[#This Row],[Matrícula]],Equipe!B:B,Equipe!E:E,"ERRO",0)</f>
        <v>P80</v>
      </c>
      <c r="I709" s="87" t="str">
        <f>VLOOKUP(Tabela1[[#This Row],[Matrícula]],Equipe!B:F,5,0)</f>
        <v>Experiente</v>
      </c>
    </row>
    <row r="710" spans="1:9">
      <c r="A710" s="83" t="s">
        <v>264</v>
      </c>
      <c r="B710" s="92">
        <f>_xlfn.XLOOKUP(A710,Equipe!H:H,Equipe!B:B,"",0)</f>
        <v>9678697</v>
      </c>
      <c r="C710" s="154">
        <v>46178</v>
      </c>
      <c r="D710" s="150">
        <f>(IF(Tabela1[[#This Row],[Início]]&lt;&gt;"",C710+E710-1,""))*1</f>
        <v>46178</v>
      </c>
      <c r="E710" s="83">
        <v>1</v>
      </c>
      <c r="F710" s="83" t="s">
        <v>14</v>
      </c>
      <c r="G710" s="88" t="s">
        <v>421</v>
      </c>
      <c r="H710" s="83" t="str">
        <f>_xlfn.XLOOKUP(Tabela1[[#This Row],[Matrícula]],Equipe!B:B,Equipe!E:E,"ERRO",0)</f>
        <v>P80</v>
      </c>
      <c r="I710" s="83" t="str">
        <f>VLOOKUP(Tabela1[[#This Row],[Matrícula]],Equipe!B:F,5,0)</f>
        <v>Experiente</v>
      </c>
    </row>
    <row r="711" spans="1:9">
      <c r="A711" s="83" t="s">
        <v>225</v>
      </c>
      <c r="B711" s="109">
        <f>_xlfn.XLOOKUP(A711,Equipe!H:H,Equipe!B:B,"",0)</f>
        <v>2448533</v>
      </c>
      <c r="C711" s="154">
        <v>46178</v>
      </c>
      <c r="D711" s="151">
        <f>(IF(Tabela1[[#This Row],[Início]]&lt;&gt;"",C711+E711-1,""))*1</f>
        <v>46178</v>
      </c>
      <c r="E711" s="83">
        <v>1</v>
      </c>
      <c r="F711" s="87" t="s">
        <v>14</v>
      </c>
      <c r="G711" s="88" t="s">
        <v>422</v>
      </c>
      <c r="H711" s="87" t="str">
        <f>_xlfn.XLOOKUP(Tabela1[[#This Row],[Matrícula]],Equipe!B:B,Equipe!E:E,"ERRO",0)</f>
        <v>P80</v>
      </c>
      <c r="I711" s="87" t="str">
        <f>VLOOKUP(Tabela1[[#This Row],[Matrícula]],Equipe!B:F,5,0)</f>
        <v>Experiente</v>
      </c>
    </row>
    <row r="712" spans="1:9" hidden="1">
      <c r="A712" s="83" t="s">
        <v>30</v>
      </c>
      <c r="B712" s="109">
        <f>_xlfn.XLOOKUP(A712,Equipe!H:H,Equipe!B:B,"",0)</f>
        <v>9634180</v>
      </c>
      <c r="C712" s="154">
        <v>46178</v>
      </c>
      <c r="D712" s="151">
        <f>(IF(Tabela1[[#This Row],[Início]]&lt;&gt;"",C712+E712-1,""))*1</f>
        <v>46178</v>
      </c>
      <c r="E712" s="83">
        <v>1</v>
      </c>
      <c r="F712" s="87" t="s">
        <v>14</v>
      </c>
      <c r="G712" s="88" t="s">
        <v>417</v>
      </c>
      <c r="H712" s="87" t="str">
        <f>_xlfn.XLOOKUP(Tabela1[[#This Row],[Matrícula]],Equipe!B:B,Equipe!E:E,"ERRO",0)</f>
        <v>P83</v>
      </c>
      <c r="I712" s="87" t="str">
        <f>VLOOKUP(Tabela1[[#This Row],[Matrícula]],Equipe!B:F,5,0)</f>
        <v>Experiente</v>
      </c>
    </row>
    <row r="713" spans="1:9" hidden="1">
      <c r="A713" s="83" t="s">
        <v>207</v>
      </c>
      <c r="B713" s="109">
        <f>_xlfn.XLOOKUP(A713,Equipe!H:H,Equipe!B:B,"",0)</f>
        <v>1386288</v>
      </c>
      <c r="C713" s="154">
        <v>46178</v>
      </c>
      <c r="D713" s="151">
        <f>(IF(Tabela1[[#This Row],[Início]]&lt;&gt;"",C713+E713-1,""))*1</f>
        <v>46178</v>
      </c>
      <c r="E713" s="83">
        <v>1</v>
      </c>
      <c r="F713" s="87" t="s">
        <v>14</v>
      </c>
      <c r="G713" s="88" t="s">
        <v>422</v>
      </c>
      <c r="H713" s="87" t="str">
        <f>_xlfn.XLOOKUP(Tabela1[[#This Row],[Matrícula]],Equipe!B:B,Equipe!E:E,"ERRO",0)</f>
        <v>P83</v>
      </c>
      <c r="I713" s="87" t="str">
        <f>VLOOKUP(Tabela1[[#This Row],[Matrícula]],Equipe!B:F,5,0)</f>
        <v>Experiente</v>
      </c>
    </row>
    <row r="714" spans="1:9" hidden="1">
      <c r="A714" s="83" t="s">
        <v>229</v>
      </c>
      <c r="B714" s="109">
        <f>_xlfn.XLOOKUP(A714,Equipe!H:H,Equipe!B:B,"",0)</f>
        <v>9921954</v>
      </c>
      <c r="C714" s="154">
        <v>46178</v>
      </c>
      <c r="D714" s="151">
        <v>46178</v>
      </c>
      <c r="E714" s="83"/>
      <c r="F714" s="87" t="s">
        <v>14</v>
      </c>
      <c r="G714" s="88" t="s">
        <v>422</v>
      </c>
      <c r="H714" s="87" t="str">
        <f>_xlfn.XLOOKUP(Tabela1[[#This Row],[Matrícula]],Equipe!B:B,Equipe!E:E,"ERRO",0)</f>
        <v>P82</v>
      </c>
      <c r="I714" s="87" t="str">
        <f>VLOOKUP(Tabela1[[#This Row],[Matrícula]],Equipe!B:F,5,0)</f>
        <v>Experiente</v>
      </c>
    </row>
    <row r="715" spans="1:9" hidden="1">
      <c r="A715" s="83" t="s">
        <v>53</v>
      </c>
      <c r="B715" s="109">
        <f>_xlfn.XLOOKUP(A715,Equipe!H:H,Equipe!B:B,"",0)</f>
        <v>4608780</v>
      </c>
      <c r="C715" s="154">
        <v>46178</v>
      </c>
      <c r="D715" s="151">
        <f>(IF(Tabela1[[#This Row],[Início]]&lt;&gt;"",C715+E715-1,""))*1</f>
        <v>46178</v>
      </c>
      <c r="E715" s="83">
        <v>1</v>
      </c>
      <c r="F715" s="87" t="s">
        <v>14</v>
      </c>
      <c r="G715" s="88" t="s">
        <v>312</v>
      </c>
      <c r="H715" s="87" t="str">
        <f>_xlfn.XLOOKUP(Tabela1[[#This Row],[Matrícula]],Equipe!B:B,Equipe!E:E,"ERRO",0)</f>
        <v>P83</v>
      </c>
      <c r="I715" s="87" t="str">
        <f>VLOOKUP(Tabela1[[#This Row],[Matrícula]],Equipe!B:F,5,0)</f>
        <v>Novo</v>
      </c>
    </row>
    <row r="716" spans="1:9" hidden="1">
      <c r="A716" s="83" t="s">
        <v>37</v>
      </c>
      <c r="B716" s="109">
        <f>_xlfn.XLOOKUP(A716,Equipe!H:H,Equipe!B:B,"",0)</f>
        <v>2493288</v>
      </c>
      <c r="C716" s="154">
        <v>46178</v>
      </c>
      <c r="D716" s="151">
        <f>(IF(Tabela1[[#This Row],[Início]]&lt;&gt;"",C716+E716-1,""))*1</f>
        <v>46178</v>
      </c>
      <c r="E716" s="83">
        <v>1</v>
      </c>
      <c r="F716" s="87" t="s">
        <v>14</v>
      </c>
      <c r="G716" s="88" t="s">
        <v>423</v>
      </c>
      <c r="H716" s="87" t="str">
        <f>_xlfn.XLOOKUP(Tabela1[[#This Row],[Matrícula]],Equipe!B:B,Equipe!E:E,"ERRO",0)</f>
        <v>PBAC</v>
      </c>
      <c r="I716" s="87" t="str">
        <f>VLOOKUP(Tabela1[[#This Row],[Matrícula]],Equipe!B:F,5,0)</f>
        <v>Experiente</v>
      </c>
    </row>
    <row r="717" spans="1:9">
      <c r="A717" s="83" t="s">
        <v>44</v>
      </c>
      <c r="B717" s="109">
        <f>_xlfn.XLOOKUP(A717,Equipe!H:H,Equipe!B:B,"",0)</f>
        <v>1381625</v>
      </c>
      <c r="C717" s="154">
        <v>46178</v>
      </c>
      <c r="D717" s="151">
        <f>(IF(Tabela1[[#This Row],[Início]]&lt;&gt;"",C717+E717-1,""))*1</f>
        <v>46178</v>
      </c>
      <c r="E717" s="83">
        <v>1</v>
      </c>
      <c r="F717" s="87" t="s">
        <v>14</v>
      </c>
      <c r="G717" s="88" t="s">
        <v>424</v>
      </c>
      <c r="H717" s="87" t="str">
        <f>_xlfn.XLOOKUP(Tabela1[[#This Row],[Matrícula]],Equipe!B:B,Equipe!E:E,"ERRO",0)</f>
        <v>P80</v>
      </c>
      <c r="I717" s="87" t="str">
        <f>VLOOKUP(Tabela1[[#This Row],[Matrícula]],Equipe!B:F,5,0)</f>
        <v>Experiente</v>
      </c>
    </row>
    <row r="718" spans="1:9" hidden="1">
      <c r="A718" s="83" t="s">
        <v>331</v>
      </c>
      <c r="B718" s="109">
        <f>_xlfn.XLOOKUP(A718,Equipe!H:H,Equipe!B:B,"",0)</f>
        <v>4613176</v>
      </c>
      <c r="C718" s="154">
        <v>46178</v>
      </c>
      <c r="D718" s="151">
        <v>46178</v>
      </c>
      <c r="E718" s="83">
        <v>1</v>
      </c>
      <c r="F718" s="87" t="s">
        <v>14</v>
      </c>
      <c r="G718" s="88" t="s">
        <v>425</v>
      </c>
      <c r="H718" s="87" t="str">
        <f>_xlfn.XLOOKUP(Tabela1[[#This Row],[Matrícula]],Equipe!B:B,Equipe!E:E,"ERRO",0)</f>
        <v>P82</v>
      </c>
      <c r="I718" s="87" t="str">
        <f>VLOOKUP(Tabela1[[#This Row],[Matrícula]],Equipe!B:F,5,0)</f>
        <v>Novo</v>
      </c>
    </row>
    <row r="719" spans="1:9" hidden="1">
      <c r="A719" s="83" t="s">
        <v>114</v>
      </c>
      <c r="B719" s="109">
        <v>4612140</v>
      </c>
      <c r="C719" s="154">
        <v>46178</v>
      </c>
      <c r="D719" s="151">
        <v>46178</v>
      </c>
      <c r="E719" s="83">
        <v>1</v>
      </c>
      <c r="F719" s="87" t="s">
        <v>14</v>
      </c>
      <c r="G719" s="88" t="s">
        <v>417</v>
      </c>
      <c r="H719" s="87" t="str">
        <f>_xlfn.XLOOKUP(Tabela1[[#This Row],[Matrícula]],Equipe!B:B,Equipe!E:E,"ERRO",0)</f>
        <v>P83</v>
      </c>
      <c r="I719" s="87" t="str">
        <f>VLOOKUP(Tabela1[[#This Row],[Matrícula]],Equipe!B:F,5,0)</f>
        <v>Novo</v>
      </c>
    </row>
    <row r="720" spans="1:9" hidden="1">
      <c r="A720" s="83" t="s">
        <v>30</v>
      </c>
      <c r="B720" s="109">
        <f>_xlfn.XLOOKUP(A720,Equipe!H:H,Equipe!B:B,"",0)</f>
        <v>9634180</v>
      </c>
      <c r="C720" s="154">
        <v>46178</v>
      </c>
      <c r="D720" s="151">
        <f>(IF(Tabela1[[#This Row],[Início]]&lt;&gt;"",C720+E720-1,""))*1</f>
        <v>46178</v>
      </c>
      <c r="E720" s="83">
        <v>1</v>
      </c>
      <c r="F720" s="87" t="s">
        <v>14</v>
      </c>
      <c r="G720" s="88" t="s">
        <v>409</v>
      </c>
      <c r="H720" s="87" t="str">
        <f>_xlfn.XLOOKUP(Tabela1[[#This Row],[Matrícula]],Equipe!B:B,Equipe!E:E,"ERRO",0)</f>
        <v>P83</v>
      </c>
      <c r="I720" s="87" t="str">
        <f>VLOOKUP(Tabela1[[#This Row],[Matrícula]],Equipe!B:F,5,0)</f>
        <v>Experiente</v>
      </c>
    </row>
    <row r="721" spans="1:9" hidden="1">
      <c r="A721" s="83" t="s">
        <v>286</v>
      </c>
      <c r="B721" s="109">
        <f>_xlfn.XLOOKUP(A721,Equipe!H:H,Equipe!B:B,"",0)</f>
        <v>4606308</v>
      </c>
      <c r="C721" s="154">
        <v>46178</v>
      </c>
      <c r="D721" s="151">
        <f>(IF(Tabela1[[#This Row],[Início]]&lt;&gt;"",C721+E721-1,""))*1</f>
        <v>46178</v>
      </c>
      <c r="E721" s="83">
        <v>1</v>
      </c>
      <c r="F721" s="87" t="s">
        <v>14</v>
      </c>
      <c r="G721" s="88" t="s">
        <v>390</v>
      </c>
      <c r="H721" s="87" t="str">
        <f>_xlfn.XLOOKUP(Tabela1[[#This Row],[Matrícula]],Equipe!B:B,Equipe!E:E,"ERRO",0)</f>
        <v>PBAC</v>
      </c>
      <c r="I721" s="87" t="str">
        <f>VLOOKUP(Tabela1[[#This Row],[Matrícula]],Equipe!B:F,5,0)</f>
        <v>Novo</v>
      </c>
    </row>
    <row r="722" spans="1:9" hidden="1">
      <c r="A722" s="83" t="s">
        <v>239</v>
      </c>
      <c r="B722" s="109">
        <f>_xlfn.XLOOKUP(A722,Equipe!H:H,Equipe!B:B,"",0)</f>
        <v>1387328</v>
      </c>
      <c r="C722" s="154">
        <v>46181</v>
      </c>
      <c r="D722" s="151">
        <f>(IF(Tabela1[[#This Row],[Início]]&lt;&gt;"",C722+E722-1,""))*1</f>
        <v>46185</v>
      </c>
      <c r="E722" s="83">
        <v>5</v>
      </c>
      <c r="F722" s="87" t="s">
        <v>11</v>
      </c>
      <c r="G722" s="88" t="s">
        <v>410</v>
      </c>
      <c r="H722" s="87" t="str">
        <f>_xlfn.XLOOKUP(Tabela1[[#This Row],[Matrícula]],Equipe!B:B,Equipe!E:E,"ERRO",0)</f>
        <v>P82</v>
      </c>
      <c r="I722" s="87" t="str">
        <f>VLOOKUP(Tabela1[[#This Row],[Matrícula]],Equipe!B:F,5,0)</f>
        <v>Experiente</v>
      </c>
    </row>
    <row r="723" spans="1:9" hidden="1">
      <c r="A723" s="83" t="s">
        <v>58</v>
      </c>
      <c r="B723" s="83">
        <f>_xlfn.XLOOKUP(A723,Equipe!H:H,Equipe!B:B,"",0)</f>
        <v>9612082</v>
      </c>
      <c r="C723" s="154">
        <v>46181</v>
      </c>
      <c r="D723" s="150">
        <v>46185</v>
      </c>
      <c r="E723" s="83">
        <v>5</v>
      </c>
      <c r="F723" s="83" t="s">
        <v>11</v>
      </c>
      <c r="G723" s="88" t="s">
        <v>426</v>
      </c>
      <c r="H723" s="83" t="str">
        <f>_xlfn.XLOOKUP(Tabela1[[#This Row],[Matrícula]],Equipe!B:B,Equipe!E:E,"ERRO",0)</f>
        <v>P82</v>
      </c>
      <c r="I723" s="83" t="str">
        <f>VLOOKUP(Tabela1[[#This Row],[Matrícula]],Equipe!B:F,5,0)</f>
        <v>Experiente</v>
      </c>
    </row>
    <row r="724" spans="1:9">
      <c r="A724" s="83" t="s">
        <v>264</v>
      </c>
      <c r="B724" s="92">
        <f>_xlfn.XLOOKUP(A724,Equipe!H:H,Equipe!B:B,"",0)</f>
        <v>9678697</v>
      </c>
      <c r="C724" s="154">
        <v>46181</v>
      </c>
      <c r="D724" s="150">
        <f>(IF(Tabela1[[#This Row],[Início]]&lt;&gt;"",C724+E724-1,""))*1</f>
        <v>46181</v>
      </c>
      <c r="E724" s="83">
        <v>1</v>
      </c>
      <c r="F724" s="83" t="s">
        <v>14</v>
      </c>
      <c r="G724" s="88" t="s">
        <v>427</v>
      </c>
      <c r="H724" s="83" t="str">
        <f>_xlfn.XLOOKUP(Tabela1[[#This Row],[Matrícula]],Equipe!B:B,Equipe!E:E,"ERRO",0)</f>
        <v>P80</v>
      </c>
      <c r="I724" s="83" t="str">
        <f>VLOOKUP(Tabela1[[#This Row],[Matrícula]],Equipe!B:F,5,0)</f>
        <v>Experiente</v>
      </c>
    </row>
    <row r="725" spans="1:9" hidden="1">
      <c r="A725" s="83" t="s">
        <v>207</v>
      </c>
      <c r="B725" s="109">
        <f>_xlfn.XLOOKUP(A725,Equipe!H:H,Equipe!B:B,"",0)</f>
        <v>1386288</v>
      </c>
      <c r="C725" s="154">
        <v>46181</v>
      </c>
      <c r="D725" s="151">
        <f>(IF(Tabela1[[#This Row],[Início]]&lt;&gt;"",C725+E725-1,""))*1</f>
        <v>46181</v>
      </c>
      <c r="E725" s="83">
        <v>1</v>
      </c>
      <c r="F725" s="87" t="s">
        <v>11</v>
      </c>
      <c r="G725" s="88" t="s">
        <v>428</v>
      </c>
      <c r="H725" s="87" t="str">
        <f>_xlfn.XLOOKUP(Tabela1[[#This Row],[Matrícula]],Equipe!B:B,Equipe!E:E,"ERRO",0)</f>
        <v>P83</v>
      </c>
      <c r="I725" s="87" t="str">
        <f>VLOOKUP(Tabela1[[#This Row],[Matrícula]],Equipe!B:F,5,0)</f>
        <v>Experiente</v>
      </c>
    </row>
    <row r="726" spans="1:9" hidden="1">
      <c r="A726" s="83" t="s">
        <v>113</v>
      </c>
      <c r="B726" s="109">
        <f>_xlfn.XLOOKUP(A726,Equipe!H:H,Equipe!B:B,"",0)</f>
        <v>4612192</v>
      </c>
      <c r="C726" s="154">
        <v>46181</v>
      </c>
      <c r="D726" s="151">
        <f>(IF(Tabela1[[#This Row],[Início]]&lt;&gt;"",C726+E726-1,""))*1</f>
        <v>46185</v>
      </c>
      <c r="E726" s="83">
        <v>5</v>
      </c>
      <c r="F726" s="87" t="s">
        <v>11</v>
      </c>
      <c r="G726" s="88" t="s">
        <v>429</v>
      </c>
      <c r="H726" s="87" t="str">
        <f>_xlfn.XLOOKUP(Tabela1[[#This Row],[Matrícula]],Equipe!B:B,Equipe!E:E,"ERRO",0)</f>
        <v>P82</v>
      </c>
      <c r="I726" s="87" t="str">
        <f>VLOOKUP(Tabela1[[#This Row],[Matrícula]],Equipe!B:F,5,0)</f>
        <v>Novo</v>
      </c>
    </row>
    <row r="727" spans="1:9" hidden="1">
      <c r="A727" s="83" t="s">
        <v>24</v>
      </c>
      <c r="B727" s="109">
        <f>_xlfn.XLOOKUP(A727,Equipe!H:H,Equipe!B:B,"",0)</f>
        <v>1385870</v>
      </c>
      <c r="C727" s="154">
        <v>46181</v>
      </c>
      <c r="D727" s="151">
        <f>(IF(Tabela1[[#This Row],[Início]]&lt;&gt;"",C727+E727-1,""))*1</f>
        <v>46185</v>
      </c>
      <c r="E727" s="83">
        <v>5</v>
      </c>
      <c r="F727" s="87" t="s">
        <v>11</v>
      </c>
      <c r="G727" s="88" t="s">
        <v>429</v>
      </c>
      <c r="H727" s="87" t="str">
        <f>_xlfn.XLOOKUP(Tabela1[[#This Row],[Matrícula]],Equipe!B:B,Equipe!E:E,"ERRO",0)</f>
        <v>P83</v>
      </c>
      <c r="I727" s="87" t="str">
        <f>VLOOKUP(Tabela1[[#This Row],[Matrícula]],Equipe!B:F,5,0)</f>
        <v>Experiente</v>
      </c>
    </row>
    <row r="728" spans="1:9">
      <c r="A728" s="83" t="s">
        <v>44</v>
      </c>
      <c r="B728" s="109">
        <f>_xlfn.XLOOKUP(A728,Equipe!H:H,Equipe!B:B,"",0)</f>
        <v>1381625</v>
      </c>
      <c r="C728" s="154">
        <v>46181</v>
      </c>
      <c r="D728" s="151">
        <f>(IF(Tabela1[[#This Row],[Início]]&lt;&gt;"",C728+E728-1,""))*1</f>
        <v>46185</v>
      </c>
      <c r="E728" s="83">
        <v>5</v>
      </c>
      <c r="F728" s="87" t="s">
        <v>11</v>
      </c>
      <c r="G728" s="88" t="s">
        <v>430</v>
      </c>
      <c r="H728" s="87" t="str">
        <f>_xlfn.XLOOKUP(Tabela1[[#This Row],[Matrícula]],Equipe!B:B,Equipe!E:E,"ERRO",0)</f>
        <v>P80</v>
      </c>
      <c r="I728" s="87" t="str">
        <f>VLOOKUP(Tabela1[[#This Row],[Matrícula]],Equipe!B:F,5,0)</f>
        <v>Experiente</v>
      </c>
    </row>
    <row r="729" spans="1:9">
      <c r="A729" s="83" t="s">
        <v>22</v>
      </c>
      <c r="B729" s="109">
        <f>_xlfn.XLOOKUP(A729,Equipe!H:H,Equipe!B:B,"",0)</f>
        <v>4608389</v>
      </c>
      <c r="C729" s="154">
        <v>46181</v>
      </c>
      <c r="D729" s="151">
        <f>(IF(Tabela1[[#This Row],[Início]]&lt;&gt;"",C729+E729-1,""))*1</f>
        <v>46185</v>
      </c>
      <c r="E729" s="83">
        <v>5</v>
      </c>
      <c r="F729" s="87" t="s">
        <v>11</v>
      </c>
      <c r="G729" s="88" t="s">
        <v>430</v>
      </c>
      <c r="H729" s="87" t="str">
        <f>_xlfn.XLOOKUP(Tabela1[[#This Row],[Matrícula]],Equipe!B:B,Equipe!E:E,"ERRO",0)</f>
        <v>P80</v>
      </c>
      <c r="I729" s="87" t="str">
        <f>VLOOKUP(Tabela1[[#This Row],[Matrícula]],Equipe!B:F,5,0)</f>
        <v>Novo</v>
      </c>
    </row>
    <row r="730" spans="1:9" hidden="1">
      <c r="A730" s="83" t="s">
        <v>56</v>
      </c>
      <c r="B730" s="83">
        <f>_xlfn.XLOOKUP(A730,Equipe!H:H,Equipe!B:B,"",0)</f>
        <v>2477135</v>
      </c>
      <c r="C730" s="154">
        <v>46182</v>
      </c>
      <c r="D730" s="150">
        <v>46182</v>
      </c>
      <c r="E730" s="83">
        <v>1</v>
      </c>
      <c r="F730" s="83" t="s">
        <v>11</v>
      </c>
      <c r="G730" s="88" t="s">
        <v>384</v>
      </c>
      <c r="H730" s="83" t="str">
        <f>_xlfn.XLOOKUP(Tabela1[[#This Row],[Matrícula]],Equipe!B:B,Equipe!E:E,"ERRO",0)</f>
        <v>P83</v>
      </c>
      <c r="I730" s="83" t="str">
        <f>VLOOKUP(Tabela1[[#This Row],[Matrícula]],Equipe!B:F,5,0)</f>
        <v>Experiente</v>
      </c>
    </row>
    <row r="731" spans="1:9">
      <c r="A731" s="83" t="s">
        <v>116</v>
      </c>
      <c r="B731" s="87">
        <f>_xlfn.XLOOKUP(A731,Equipe!H:H,Equipe!B:B,"",0)</f>
        <v>4612171</v>
      </c>
      <c r="C731" s="154">
        <v>46182</v>
      </c>
      <c r="D731" s="155">
        <f>(IF(Tabela1[[#This Row],[Início]]&lt;&gt;"",C731+E731-1,""))*1</f>
        <v>46202</v>
      </c>
      <c r="E731" s="83">
        <v>21</v>
      </c>
      <c r="F731" s="87" t="s">
        <v>14</v>
      </c>
      <c r="G731" s="88" t="s">
        <v>431</v>
      </c>
      <c r="H731" s="87" t="str">
        <f>_xlfn.XLOOKUP(Tabela1[[#This Row],[Matrícula]],Equipe!B:B,Equipe!E:E,"ERRO",0)</f>
        <v>P80</v>
      </c>
      <c r="I731" s="87" t="str">
        <f>VLOOKUP(Tabela1[[#This Row],[Matrícula]],Equipe!B:F,5,0)</f>
        <v>Novo</v>
      </c>
    </row>
    <row r="732" spans="1:9" hidden="1">
      <c r="A732" s="83" t="s">
        <v>229</v>
      </c>
      <c r="B732" s="109">
        <f>_xlfn.XLOOKUP(A732,Equipe!H:H,Equipe!B:B,"",0)</f>
        <v>9921954</v>
      </c>
      <c r="C732" s="154">
        <v>46182</v>
      </c>
      <c r="D732" s="151">
        <f>(IF(Tabela1[[#This Row],[Início]]&lt;&gt;"",C732+E732-1,""))*1</f>
        <v>46184</v>
      </c>
      <c r="E732" s="83">
        <v>3</v>
      </c>
      <c r="F732" s="87" t="s">
        <v>11</v>
      </c>
      <c r="G732" s="88" t="s">
        <v>432</v>
      </c>
      <c r="H732" s="87" t="str">
        <f>_xlfn.XLOOKUP(Tabela1[[#This Row],[Matrícula]],Equipe!B:B,Equipe!E:E,"ERRO",0)</f>
        <v>P82</v>
      </c>
      <c r="I732" s="87" t="str">
        <f>VLOOKUP(Tabela1[[#This Row],[Matrícula]],Equipe!B:F,5,0)</f>
        <v>Experiente</v>
      </c>
    </row>
    <row r="733" spans="1:9" ht="57.95" hidden="1">
      <c r="A733" s="83" t="s">
        <v>16</v>
      </c>
      <c r="B733" s="109">
        <f>_xlfn.XLOOKUP(A733,Equipe!H:H,Equipe!B:B,"",0)</f>
        <v>4608544</v>
      </c>
      <c r="C733" s="154">
        <v>46182</v>
      </c>
      <c r="D733" s="151">
        <f>(IF(Tabela1[[#This Row],[Início]]&lt;&gt;"",C733+E733-1,""))*1</f>
        <v>46184</v>
      </c>
      <c r="E733" s="83">
        <v>3</v>
      </c>
      <c r="F733" s="87" t="s">
        <v>11</v>
      </c>
      <c r="G733" s="88" t="s">
        <v>433</v>
      </c>
      <c r="H733" s="87" t="str">
        <f>_xlfn.XLOOKUP(Tabela1[[#This Row],[Matrícula]],Equipe!B:B,Equipe!E:E,"ERRO",0)</f>
        <v>P82</v>
      </c>
      <c r="I733" s="87" t="str">
        <f>VLOOKUP(Tabela1[[#This Row],[Matrícula]],Equipe!B:F,5,0)</f>
        <v>Novo</v>
      </c>
    </row>
    <row r="734" spans="1:9" hidden="1">
      <c r="A734" s="83" t="s">
        <v>53</v>
      </c>
      <c r="B734" s="109">
        <f>_xlfn.XLOOKUP(A734,Equipe!H:H,Equipe!B:B,"",0)</f>
        <v>4608780</v>
      </c>
      <c r="C734" s="154">
        <v>46182</v>
      </c>
      <c r="D734" s="151">
        <f>(IF(Tabela1[[#This Row],[Início]]&lt;&gt;"",C734+E734-1,""))*1</f>
        <v>46184</v>
      </c>
      <c r="E734" s="83">
        <v>3</v>
      </c>
      <c r="F734" s="87" t="s">
        <v>11</v>
      </c>
      <c r="G734" s="88" t="s">
        <v>432</v>
      </c>
      <c r="H734" s="87" t="str">
        <f>_xlfn.XLOOKUP(Tabela1[[#This Row],[Matrícula]],Equipe!B:B,Equipe!E:E,"ERRO",0)</f>
        <v>P83</v>
      </c>
      <c r="I734" s="87" t="str">
        <f>VLOOKUP(Tabela1[[#This Row],[Matrícula]],Equipe!B:F,5,0)</f>
        <v>Novo</v>
      </c>
    </row>
    <row r="735" spans="1:9" hidden="1">
      <c r="A735" s="83" t="s">
        <v>114</v>
      </c>
      <c r="B735" s="109">
        <v>4612140</v>
      </c>
      <c r="C735" s="154">
        <v>46182</v>
      </c>
      <c r="D735" s="151">
        <f>(IF(Tabela1[[#This Row],[Início]]&lt;&gt;"",C735+E735-1,""))*1</f>
        <v>46184</v>
      </c>
      <c r="E735" s="83">
        <v>3</v>
      </c>
      <c r="F735" s="87" t="s">
        <v>11</v>
      </c>
      <c r="G735" s="88" t="s">
        <v>434</v>
      </c>
      <c r="H735" s="87" t="str">
        <f>_xlfn.XLOOKUP(Tabela1[[#This Row],[Matrícula]],Equipe!B:B,Equipe!E:E,"ERRO",0)</f>
        <v>P83</v>
      </c>
      <c r="I735" s="87" t="str">
        <f>VLOOKUP(Tabela1[[#This Row],[Matrícula]],Equipe!B:F,5,0)</f>
        <v>Novo</v>
      </c>
    </row>
    <row r="736" spans="1:9">
      <c r="A736" s="83" t="s">
        <v>90</v>
      </c>
      <c r="B736" s="109">
        <f>_xlfn.XLOOKUP(A736,Equipe!H:H,Equipe!B:B,"",0)</f>
        <v>9683150</v>
      </c>
      <c r="C736" s="154">
        <v>46182</v>
      </c>
      <c r="D736" s="151">
        <v>46182</v>
      </c>
      <c r="E736" s="83"/>
      <c r="F736" s="87" t="s">
        <v>14</v>
      </c>
      <c r="G736" s="88" t="s">
        <v>208</v>
      </c>
      <c r="H736" s="87" t="str">
        <f>_xlfn.XLOOKUP(Tabela1[[#This Row],[Matrícula]],Equipe!B:B,Equipe!E:E,"ERRO",0)</f>
        <v>P80</v>
      </c>
      <c r="I736" s="87" t="str">
        <f>VLOOKUP(Tabela1[[#This Row],[Matrícula]],Equipe!B:F,5,0)</f>
        <v>Experiente</v>
      </c>
    </row>
    <row r="737" spans="1:9" hidden="1">
      <c r="A737" s="83" t="s">
        <v>56</v>
      </c>
      <c r="B737" s="83">
        <f>_xlfn.XLOOKUP(A737,Equipe!H:H,Equipe!B:B,"",0)</f>
        <v>2477135</v>
      </c>
      <c r="C737" s="154">
        <v>46183</v>
      </c>
      <c r="D737" s="150">
        <v>46183</v>
      </c>
      <c r="E737" s="83">
        <v>1</v>
      </c>
      <c r="F737" s="83" t="s">
        <v>11</v>
      </c>
      <c r="G737" s="88" t="s">
        <v>435</v>
      </c>
      <c r="H737" s="83" t="str">
        <f>_xlfn.XLOOKUP(Tabela1[[#This Row],[Matrícula]],Equipe!B:B,Equipe!E:E,"ERRO",0)</f>
        <v>P83</v>
      </c>
      <c r="I737" s="83" t="str">
        <f>VLOOKUP(Tabela1[[#This Row],[Matrícula]],Equipe!B:F,5,0)</f>
        <v>Experiente</v>
      </c>
    </row>
    <row r="738" spans="1:9">
      <c r="A738" s="83" t="s">
        <v>62</v>
      </c>
      <c r="B738" s="109">
        <f>_xlfn.XLOOKUP(A738,Equipe!H:H,Equipe!B:B,"",0)</f>
        <v>9886449</v>
      </c>
      <c r="C738" s="154">
        <v>46183</v>
      </c>
      <c r="D738" s="151">
        <f>(IF(Tabela1[[#This Row],[Início]]&lt;&gt;"",C738+E738-1,""))*1</f>
        <v>46203</v>
      </c>
      <c r="E738" s="83">
        <v>21</v>
      </c>
      <c r="F738" s="87" t="s">
        <v>14</v>
      </c>
      <c r="G738" s="88" t="s">
        <v>436</v>
      </c>
      <c r="H738" s="87" t="str">
        <f>_xlfn.XLOOKUP(Tabela1[[#This Row],[Matrícula]],Equipe!B:B,Equipe!E:E,"ERRO",0)</f>
        <v>P80</v>
      </c>
      <c r="I738" s="87" t="str">
        <f>VLOOKUP(Tabela1[[#This Row],[Matrícula]],Equipe!B:F,5,0)</f>
        <v>Experiente</v>
      </c>
    </row>
    <row r="739" spans="1:9">
      <c r="A739" s="83" t="s">
        <v>90</v>
      </c>
      <c r="B739" s="109">
        <f>_xlfn.XLOOKUP(A739,Equipe!H:H,Equipe!B:B,"",0)</f>
        <v>9683150</v>
      </c>
      <c r="C739" s="154">
        <v>46183</v>
      </c>
      <c r="D739" s="151">
        <v>46196</v>
      </c>
      <c r="E739" s="83">
        <v>14</v>
      </c>
      <c r="F739" s="87" t="s">
        <v>17</v>
      </c>
      <c r="G739" s="88" t="s">
        <v>437</v>
      </c>
      <c r="H739" s="87" t="str">
        <f>_xlfn.XLOOKUP(Tabela1[[#This Row],[Matrícula]],Equipe!B:B,Equipe!E:E,"ERRO",0)</f>
        <v>P80</v>
      </c>
      <c r="I739" s="87" t="str">
        <f>VLOOKUP(Tabela1[[#This Row],[Matrícula]],Equipe!B:F,5,0)</f>
        <v>Experiente</v>
      </c>
    </row>
    <row r="740" spans="1:9" hidden="1">
      <c r="A740" s="83" t="s">
        <v>229</v>
      </c>
      <c r="B740" s="109">
        <f>_xlfn.XLOOKUP(A740,Equipe!H:H,Equipe!B:B,"",0)</f>
        <v>9921954</v>
      </c>
      <c r="C740" s="154">
        <v>46183</v>
      </c>
      <c r="D740" s="151">
        <f>(IF(Tabela1[[#This Row],[Início]]&lt;&gt;"",C740+E740-1,""))*1</f>
        <v>46185</v>
      </c>
      <c r="E740" s="83">
        <v>3</v>
      </c>
      <c r="F740" s="87" t="s">
        <v>14</v>
      </c>
      <c r="G740" s="88" t="s">
        <v>438</v>
      </c>
      <c r="H740" s="87" t="str">
        <f>_xlfn.XLOOKUP(Tabela1[[#This Row],[Matrícula]],Equipe!B:B,Equipe!E:E,"ERRO",0)</f>
        <v>P82</v>
      </c>
      <c r="I740" s="87" t="str">
        <f>VLOOKUP(Tabela1[[#This Row],[Matrícula]],Equipe!B:F,5,0)</f>
        <v>Experiente</v>
      </c>
    </row>
    <row r="741" spans="1:9" ht="29.1" hidden="1">
      <c r="A741" s="83" t="s">
        <v>57</v>
      </c>
      <c r="B741" s="109">
        <f>_xlfn.XLOOKUP(A741,Equipe!H:H,Equipe!B:B,"",0)</f>
        <v>4608684</v>
      </c>
      <c r="C741" s="154">
        <v>46183</v>
      </c>
      <c r="D741" s="151">
        <f>(IF(Tabela1[[#This Row],[Início]]&lt;&gt;"",C741+E741-1,""))*1</f>
        <v>46184</v>
      </c>
      <c r="E741" s="83">
        <v>2</v>
      </c>
      <c r="F741" s="87" t="s">
        <v>11</v>
      </c>
      <c r="G741" s="93" t="s">
        <v>439</v>
      </c>
      <c r="H741" s="87" t="str">
        <f>_xlfn.XLOOKUP(Tabela1[[#This Row],[Matrícula]],Equipe!B:B,Equipe!E:E,"ERRO",0)</f>
        <v>P82</v>
      </c>
      <c r="I741" s="87" t="str">
        <f>VLOOKUP(Tabela1[[#This Row],[Matrícula]],Equipe!B:F,5,0)</f>
        <v>Novo</v>
      </c>
    </row>
    <row r="742" spans="1:9">
      <c r="A742" s="83" t="s">
        <v>27</v>
      </c>
      <c r="B742" s="109">
        <f>_xlfn.XLOOKUP(A742,Equipe!H:H,Equipe!B:B,"",0)</f>
        <v>4608685</v>
      </c>
      <c r="C742" s="154">
        <v>46183</v>
      </c>
      <c r="D742" s="150">
        <f>(IF(Tabela1[[#This Row],[Início]]&lt;&gt;"",C742+E742-1,""))*1</f>
        <v>46183</v>
      </c>
      <c r="E742" s="83">
        <v>1</v>
      </c>
      <c r="F742" s="83" t="s">
        <v>11</v>
      </c>
      <c r="G742" s="88" t="s">
        <v>440</v>
      </c>
      <c r="H742" s="83" t="str">
        <f>_xlfn.XLOOKUP(Tabela1[[#This Row],[Matrícula]],Equipe!B:B,Equipe!E:E,"ERRO",0)</f>
        <v>P80</v>
      </c>
      <c r="I742" s="83" t="str">
        <f>VLOOKUP(Tabela1[[#This Row],[Matrícula]],Equipe!B:F,5,0)</f>
        <v>Novo</v>
      </c>
    </row>
    <row r="743" spans="1:9" hidden="1">
      <c r="A743" s="83" t="s">
        <v>31</v>
      </c>
      <c r="B743" s="109">
        <f>_xlfn.XLOOKUP(A743,Equipe!H:H,Equipe!B:B,"",0)</f>
        <v>1386344</v>
      </c>
      <c r="C743" s="152">
        <v>46184</v>
      </c>
      <c r="D743" s="152">
        <f>(IF(Tabela1[[#This Row],[Início]]&lt;&gt;"",C743+E743-1,""))*1</f>
        <v>46185</v>
      </c>
      <c r="E743" s="83">
        <v>2</v>
      </c>
      <c r="F743" s="87" t="s">
        <v>14</v>
      </c>
      <c r="G743" s="88" t="s">
        <v>95</v>
      </c>
      <c r="H743" s="87" t="str">
        <f>_xlfn.XLOOKUP(Tabela1[[#This Row],[Matrícula]],Equipe!B:B,Equipe!E:E,"ERRO",0)</f>
        <v>P82</v>
      </c>
      <c r="I743" s="87" t="str">
        <f>VLOOKUP(Tabela1[[#This Row],[Matrícula]],Equipe!B:F,5,0)</f>
        <v>Experiente</v>
      </c>
    </row>
    <row r="744" spans="1:9" hidden="1">
      <c r="A744" s="83" t="s">
        <v>142</v>
      </c>
      <c r="B744" s="109">
        <f>_xlfn.XLOOKUP(A744,Equipe!H:H,Equipe!B:B,"",0)</f>
        <v>4612228</v>
      </c>
      <c r="C744" s="154">
        <v>46184</v>
      </c>
      <c r="D744" s="151">
        <f>(IF(Tabela1[[#This Row],[Início]]&lt;&gt;"",C744+E744-1,""))*1</f>
        <v>46184</v>
      </c>
      <c r="E744" s="83">
        <v>1</v>
      </c>
      <c r="F744" s="87"/>
      <c r="G744" s="88" t="s">
        <v>441</v>
      </c>
      <c r="H744" s="87" t="str">
        <f>_xlfn.XLOOKUP(Tabela1[[#This Row],[Matrícula]],Equipe!B:B,Equipe!E:E,"ERRO",0)</f>
        <v>P82</v>
      </c>
      <c r="I744" s="87" t="str">
        <f>VLOOKUP(Tabela1[[#This Row],[Matrícula]],Equipe!B:F,5,0)</f>
        <v>Novo</v>
      </c>
    </row>
    <row r="745" spans="1:9" hidden="1">
      <c r="A745" s="83" t="s">
        <v>24</v>
      </c>
      <c r="B745" s="109">
        <f>_xlfn.XLOOKUP(A745,Equipe!H:H,Equipe!B:B,"",0)</f>
        <v>1385870</v>
      </c>
      <c r="C745" s="154">
        <v>46185</v>
      </c>
      <c r="D745" s="151">
        <f>(IF(Tabela1[[#This Row],[Início]]&lt;&gt;"",C745+E745-1,""))*1</f>
        <v>46198</v>
      </c>
      <c r="E745" s="83">
        <v>14</v>
      </c>
      <c r="F745" s="87" t="s">
        <v>17</v>
      </c>
      <c r="G745" s="88" t="s">
        <v>442</v>
      </c>
      <c r="H745" s="87" t="str">
        <f>_xlfn.XLOOKUP(Tabela1[[#This Row],[Matrícula]],Equipe!B:B,Equipe!E:E,"ERRO",0)</f>
        <v>P83</v>
      </c>
      <c r="I745" s="87" t="str">
        <f>VLOOKUP(Tabela1[[#This Row],[Matrícula]],Equipe!B:F,5,0)</f>
        <v>Experiente</v>
      </c>
    </row>
    <row r="746" spans="1:9" hidden="1">
      <c r="A746" s="83" t="s">
        <v>114</v>
      </c>
      <c r="B746" s="92">
        <f>_xlfn.XLOOKUP(A746,Equipe!H:H,Equipe!B:B,"",0)</f>
        <v>4612140</v>
      </c>
      <c r="C746" s="152">
        <v>46188</v>
      </c>
      <c r="D746" s="152">
        <f>((IF(Tabela1[[#This Row],[Início]]&lt;&gt;"",C746+E746-1,""))*1)*1</f>
        <v>46202</v>
      </c>
      <c r="E746" s="83">
        <v>15</v>
      </c>
      <c r="F746" s="83" t="s">
        <v>232</v>
      </c>
      <c r="G746" s="88" t="s">
        <v>443</v>
      </c>
      <c r="H746" s="83" t="str">
        <f>_xlfn.XLOOKUP(Tabela1[[#This Row],[Matrícula]],Equipe!B:B,Equipe!E:E,"ERRO",0)</f>
        <v>P83</v>
      </c>
      <c r="I746" s="83" t="str">
        <f>VLOOKUP(Tabela1[[#This Row],[Matrícula]],Equipe!B:F,5,0)</f>
        <v>Novo</v>
      </c>
    </row>
    <row r="747" spans="1:9">
      <c r="A747" s="87" t="s">
        <v>108</v>
      </c>
      <c r="B747" s="109">
        <f>_xlfn.XLOOKUP(A747,Equipe!H:H,Equipe!B:B,"",0)</f>
        <v>4612243</v>
      </c>
      <c r="C747" s="154">
        <v>46188</v>
      </c>
      <c r="D747" s="151">
        <f>(IF(Tabela1[[#This Row],[Início]]&lt;&gt;"",C747+E747-1,""))*1</f>
        <v>46192</v>
      </c>
      <c r="E747" s="83">
        <v>5</v>
      </c>
      <c r="F747" s="87" t="s">
        <v>11</v>
      </c>
      <c r="G747" s="88" t="s">
        <v>444</v>
      </c>
      <c r="H747" s="87" t="str">
        <f>_xlfn.XLOOKUP(Tabela1[[#This Row],[Matrícula]],Equipe!B:B,Equipe!E:E,"ERRO",0)</f>
        <v>P80</v>
      </c>
      <c r="I747" s="87" t="str">
        <f>VLOOKUP(Tabela1[[#This Row],[Matrícula]],Equipe!B:F,5,0)</f>
        <v>Novo</v>
      </c>
    </row>
    <row r="748" spans="1:9" hidden="1">
      <c r="A748" s="83" t="s">
        <v>207</v>
      </c>
      <c r="B748" s="109">
        <f>_xlfn.XLOOKUP(A748,Equipe!H:H,Equipe!B:B,"",0)</f>
        <v>1386288</v>
      </c>
      <c r="C748" s="154">
        <v>46188</v>
      </c>
      <c r="D748" s="151">
        <f>(IF(Tabela1[[#This Row],[Início]]&lt;&gt;"",C748+E748-1,""))*1</f>
        <v>46192</v>
      </c>
      <c r="E748" s="83">
        <v>5</v>
      </c>
      <c r="F748" s="87" t="s">
        <v>11</v>
      </c>
      <c r="G748" s="88" t="s">
        <v>444</v>
      </c>
      <c r="H748" s="87" t="str">
        <f>_xlfn.XLOOKUP(Tabela1[[#This Row],[Matrícula]],Equipe!B:B,Equipe!E:E,"ERRO",0)</f>
        <v>P83</v>
      </c>
      <c r="I748" s="87" t="str">
        <f>VLOOKUP(Tabela1[[#This Row],[Matrícula]],Equipe!B:F,5,0)</f>
        <v>Experiente</v>
      </c>
    </row>
    <row r="749" spans="1:9" hidden="1">
      <c r="A749" s="83" t="s">
        <v>140</v>
      </c>
      <c r="B749" s="109">
        <f>_xlfn.XLOOKUP(A749,Equipe!H:H,Equipe!B:B,"",0)</f>
        <v>4612247</v>
      </c>
      <c r="C749" s="154">
        <v>46188</v>
      </c>
      <c r="D749" s="151">
        <f>(IF(Tabela1[[#This Row],[Início]]&lt;&gt;"",C749+E749-1,""))*1</f>
        <v>46192</v>
      </c>
      <c r="E749" s="83">
        <v>5</v>
      </c>
      <c r="F749" s="87" t="s">
        <v>11</v>
      </c>
      <c r="G749" s="88" t="s">
        <v>444</v>
      </c>
      <c r="H749" s="87" t="str">
        <f>_xlfn.XLOOKUP(Tabela1[[#This Row],[Matrícula]],Equipe!B:B,Equipe!E:E,"ERRO",0)</f>
        <v>P83</v>
      </c>
      <c r="I749" s="87" t="str">
        <f>VLOOKUP(Tabela1[[#This Row],[Matrícula]],Equipe!B:F,5,0)</f>
        <v>Novo</v>
      </c>
    </row>
    <row r="750" spans="1:9" hidden="1">
      <c r="A750" s="83" t="s">
        <v>142</v>
      </c>
      <c r="B750" s="109">
        <f>_xlfn.XLOOKUP(A750,Equipe!H:H,Equipe!B:B,"",0)</f>
        <v>4612228</v>
      </c>
      <c r="C750" s="154">
        <v>46188</v>
      </c>
      <c r="D750" s="151">
        <f>(IF(Tabela1[[#This Row],[Início]]&lt;&gt;"",C750+E750-1,""))*1</f>
        <v>46192</v>
      </c>
      <c r="E750" s="83">
        <v>5</v>
      </c>
      <c r="F750" s="87" t="s">
        <v>11</v>
      </c>
      <c r="G750" s="88" t="s">
        <v>445</v>
      </c>
      <c r="H750" s="87" t="str">
        <f>_xlfn.XLOOKUP(Tabela1[[#This Row],[Matrícula]],Equipe!B:B,Equipe!E:E,"ERRO",0)</f>
        <v>P82</v>
      </c>
      <c r="I750" s="87" t="str">
        <f>VLOOKUP(Tabela1[[#This Row],[Matrícula]],Equipe!B:F,5,0)</f>
        <v>Novo</v>
      </c>
    </row>
    <row r="751" spans="1:9" hidden="1">
      <c r="A751" s="83" t="s">
        <v>58</v>
      </c>
      <c r="B751" s="83">
        <f>_xlfn.XLOOKUP(A751,Equipe!H:H,Equipe!B:B,"",0)</f>
        <v>9612082</v>
      </c>
      <c r="C751" s="154">
        <v>46189</v>
      </c>
      <c r="D751" s="150">
        <v>46189</v>
      </c>
      <c r="E751" s="83">
        <v>1</v>
      </c>
      <c r="F751" s="83" t="s">
        <v>11</v>
      </c>
      <c r="G751" s="88" t="s">
        <v>98</v>
      </c>
      <c r="H751" s="83" t="str">
        <f>_xlfn.XLOOKUP(Tabela1[[#This Row],[Matrícula]],Equipe!B:B,Equipe!E:E,"ERRO",0)</f>
        <v>P82</v>
      </c>
      <c r="I751" s="83" t="str">
        <f>VLOOKUP(Tabela1[[#This Row],[Matrícula]],Equipe!B:F,5,0)</f>
        <v>Experiente</v>
      </c>
    </row>
    <row r="752" spans="1:9" hidden="1">
      <c r="A752" s="83" t="s">
        <v>10</v>
      </c>
      <c r="B752" s="92">
        <f>_xlfn.XLOOKUP(A752,Equipe!H:H,Equipe!B:B,"",0)</f>
        <v>4612393</v>
      </c>
      <c r="C752" s="152">
        <v>46189</v>
      </c>
      <c r="D752" s="152">
        <v>46206</v>
      </c>
      <c r="E752" s="83">
        <v>18</v>
      </c>
      <c r="F752" s="83" t="s">
        <v>232</v>
      </c>
      <c r="G752" s="88" t="s">
        <v>446</v>
      </c>
      <c r="H752" s="83" t="str">
        <f>_xlfn.XLOOKUP(Tabela1[[#This Row],[Matrícula]],Equipe!B:B,Equipe!E:E,"ERRO",0)</f>
        <v>P83</v>
      </c>
      <c r="I752" s="83" t="str">
        <f>VLOOKUP(Tabela1[[#This Row],[Matrícula]],Equipe!B:F,5,0)</f>
        <v>Novo</v>
      </c>
    </row>
    <row r="753" spans="1:9" hidden="1">
      <c r="A753" s="83" t="s">
        <v>53</v>
      </c>
      <c r="B753" s="109">
        <f>_xlfn.XLOOKUP(A753,Equipe!H:H,Equipe!B:B,"",0)</f>
        <v>4608780</v>
      </c>
      <c r="C753" s="154">
        <v>46189</v>
      </c>
      <c r="D753" s="151">
        <f>(IF(Tabela1[[#This Row],[Início]]&lt;&gt;"",C753+E753-1,""))*1</f>
        <v>46189</v>
      </c>
      <c r="E753" s="83">
        <v>1</v>
      </c>
      <c r="F753" s="87" t="s">
        <v>11</v>
      </c>
      <c r="G753" s="88" t="s">
        <v>447</v>
      </c>
      <c r="H753" s="87" t="str">
        <f>_xlfn.XLOOKUP(Tabela1[[#This Row],[Matrícula]],Equipe!B:B,Equipe!E:E,"ERRO",0)</f>
        <v>P83</v>
      </c>
      <c r="I753" s="87" t="str">
        <f>VLOOKUP(Tabela1[[#This Row],[Matrícula]],Equipe!B:F,5,0)</f>
        <v>Novo</v>
      </c>
    </row>
    <row r="754" spans="1:9">
      <c r="A754" s="83" t="s">
        <v>225</v>
      </c>
      <c r="B754" s="109">
        <f>_xlfn.XLOOKUP(A754,Equipe!H:H,Equipe!B:B,"",0)</f>
        <v>2448533</v>
      </c>
      <c r="C754" s="154">
        <v>46189</v>
      </c>
      <c r="D754" s="151">
        <v>46191</v>
      </c>
      <c r="E754" s="83">
        <v>3</v>
      </c>
      <c r="F754" s="87" t="s">
        <v>11</v>
      </c>
      <c r="G754" s="88" t="s">
        <v>448</v>
      </c>
      <c r="H754" s="87" t="str">
        <f>_xlfn.XLOOKUP(Tabela1[[#This Row],[Matrícula]],Equipe!B:B,Equipe!E:E,"ERRO",0)</f>
        <v>P80</v>
      </c>
      <c r="I754" s="87" t="str">
        <f>VLOOKUP(Tabela1[[#This Row],[Matrícula]],Equipe!B:F,5,0)</f>
        <v>Experiente</v>
      </c>
    </row>
    <row r="755" spans="1:9" hidden="1">
      <c r="A755" s="83" t="s">
        <v>57</v>
      </c>
      <c r="B755" s="109">
        <f>_xlfn.XLOOKUP(A755,Equipe!H:H,Equipe!B:B,"",0)</f>
        <v>4608684</v>
      </c>
      <c r="C755" s="154">
        <v>46189</v>
      </c>
      <c r="D755" s="151">
        <f>(IF(Tabela1[[#This Row],[Início]]&lt;&gt;"",C755+E755-1,""))*1</f>
        <v>46191</v>
      </c>
      <c r="E755" s="83">
        <v>3</v>
      </c>
      <c r="F755" s="87" t="s">
        <v>11</v>
      </c>
      <c r="G755" s="88" t="s">
        <v>448</v>
      </c>
      <c r="H755" s="87" t="str">
        <f>_xlfn.XLOOKUP(Tabela1[[#This Row],[Matrícula]],Equipe!B:B,Equipe!E:E,"ERRO",0)</f>
        <v>P82</v>
      </c>
      <c r="I755" s="87" t="str">
        <f>VLOOKUP(Tabela1[[#This Row],[Matrícula]],Equipe!B:F,5,0)</f>
        <v>Novo</v>
      </c>
    </row>
    <row r="756" spans="1:9" hidden="1">
      <c r="A756" s="83" t="s">
        <v>30</v>
      </c>
      <c r="B756" s="109">
        <f>_xlfn.XLOOKUP(A756,Equipe!H:H,Equipe!B:B,"",0)</f>
        <v>9634180</v>
      </c>
      <c r="C756" s="154">
        <v>46189</v>
      </c>
      <c r="D756" s="151">
        <v>46191</v>
      </c>
      <c r="E756" s="83">
        <v>3</v>
      </c>
      <c r="F756" s="87" t="s">
        <v>11</v>
      </c>
      <c r="G756" s="88" t="s">
        <v>448</v>
      </c>
      <c r="H756" s="87" t="str">
        <f>_xlfn.XLOOKUP(Tabela1[[#This Row],[Matrícula]],Equipe!B:B,Equipe!E:E,"ERRO",0)</f>
        <v>P83</v>
      </c>
      <c r="I756" s="87" t="str">
        <f>VLOOKUP(Tabela1[[#This Row],[Matrícula]],Equipe!B:F,5,0)</f>
        <v>Experiente</v>
      </c>
    </row>
    <row r="757" spans="1:9" hidden="1">
      <c r="A757" s="83" t="s">
        <v>20</v>
      </c>
      <c r="B757" s="109">
        <f>_xlfn.XLOOKUP(A757,Equipe!H:H,Equipe!B:B,"",0)</f>
        <v>4608559</v>
      </c>
      <c r="C757" s="154">
        <v>46189</v>
      </c>
      <c r="D757" s="151">
        <f>(IF(Tabela1[[#This Row],[Início]]&lt;&gt;"",C757+E757-1,""))*1</f>
        <v>46191</v>
      </c>
      <c r="E757" s="83">
        <v>3</v>
      </c>
      <c r="F757" s="87" t="s">
        <v>11</v>
      </c>
      <c r="G757" s="88" t="s">
        <v>448</v>
      </c>
      <c r="H757" s="87" t="str">
        <f>_xlfn.XLOOKUP(Tabela1[[#This Row],[Matrícula]],Equipe!B:B,Equipe!E:E,"ERRO",0)</f>
        <v>P83</v>
      </c>
      <c r="I757" s="87" t="str">
        <f>VLOOKUP(Tabela1[[#This Row],[Matrícula]],Equipe!B:F,5,0)</f>
        <v>Novo</v>
      </c>
    </row>
    <row r="758" spans="1:9">
      <c r="A758" s="83" t="s">
        <v>35</v>
      </c>
      <c r="B758" s="109">
        <f>_xlfn.XLOOKUP(A758,Equipe!H:H,Equipe!B:B,"",0)</f>
        <v>9842940</v>
      </c>
      <c r="C758" s="154">
        <v>46189</v>
      </c>
      <c r="D758" s="151">
        <f>(IF(Tabela1[[#This Row],[Início]]&lt;&gt;"",C758+E758-1,""))*1</f>
        <v>46191</v>
      </c>
      <c r="E758" s="83">
        <v>3</v>
      </c>
      <c r="F758" s="87" t="s">
        <v>11</v>
      </c>
      <c r="G758" s="88" t="s">
        <v>448</v>
      </c>
      <c r="H758" s="87" t="str">
        <f>_xlfn.XLOOKUP(Tabela1[[#This Row],[Matrícula]],Equipe!B:B,Equipe!E:E,"ERRO",0)</f>
        <v>P80</v>
      </c>
      <c r="I758" s="87" t="str">
        <f>VLOOKUP(Tabela1[[#This Row],[Matrícula]],Equipe!B:F,5,0)</f>
        <v>Novo</v>
      </c>
    </row>
    <row r="759" spans="1:9">
      <c r="A759" s="83" t="s">
        <v>27</v>
      </c>
      <c r="B759" s="109">
        <f>_xlfn.XLOOKUP(A759,Equipe!H:H,Equipe!B:B,"",0)</f>
        <v>4608685</v>
      </c>
      <c r="C759" s="154">
        <v>46189</v>
      </c>
      <c r="D759" s="150">
        <f>(IF(Tabela1[[#This Row],[Início]]&lt;&gt;"",C759+E759-1,""))*1</f>
        <v>46191</v>
      </c>
      <c r="E759" s="83">
        <v>3</v>
      </c>
      <c r="F759" s="83" t="s">
        <v>11</v>
      </c>
      <c r="G759" s="88" t="s">
        <v>448</v>
      </c>
      <c r="H759" s="83" t="str">
        <f>_xlfn.XLOOKUP(Tabela1[[#This Row],[Matrícula]],Equipe!B:B,Equipe!E:E,"ERRO",0)</f>
        <v>P80</v>
      </c>
      <c r="I759" s="83" t="str">
        <f>VLOOKUP(Tabela1[[#This Row],[Matrícula]],Equipe!B:F,5,0)</f>
        <v>Novo</v>
      </c>
    </row>
    <row r="760" spans="1:9" hidden="1">
      <c r="A760" s="83" t="s">
        <v>239</v>
      </c>
      <c r="B760" s="109">
        <f>_xlfn.XLOOKUP(A760,Equipe!H:H,Equipe!B:B,"",0)</f>
        <v>1387328</v>
      </c>
      <c r="C760" s="154">
        <v>46190</v>
      </c>
      <c r="D760" s="151">
        <f>(IF(Tabela1[[#This Row],[Início]]&lt;&gt;"",C760+E760-1,""))*1</f>
        <v>46190</v>
      </c>
      <c r="E760" s="83">
        <v>1</v>
      </c>
      <c r="F760" s="87" t="s">
        <v>11</v>
      </c>
      <c r="G760" s="88" t="s">
        <v>449</v>
      </c>
      <c r="H760" s="87" t="str">
        <f>_xlfn.XLOOKUP(Tabela1[[#This Row],[Matrícula]],Equipe!B:B,Equipe!E:E,"ERRO",0)</f>
        <v>P82</v>
      </c>
      <c r="I760" s="87" t="str">
        <f>VLOOKUP(Tabela1[[#This Row],[Matrícula]],Equipe!B:F,5,0)</f>
        <v>Experiente</v>
      </c>
    </row>
    <row r="761" spans="1:9" hidden="1">
      <c r="A761" s="87" t="s">
        <v>58</v>
      </c>
      <c r="B761" s="87">
        <f>_xlfn.XLOOKUP(A761,Equipe!H:H,Equipe!B:B,"",0)</f>
        <v>9612082</v>
      </c>
      <c r="C761" s="155">
        <v>46190</v>
      </c>
      <c r="D761" s="151">
        <v>46190</v>
      </c>
      <c r="E761" s="87">
        <v>1</v>
      </c>
      <c r="F761" s="87" t="s">
        <v>11</v>
      </c>
      <c r="G761" s="93" t="s">
        <v>450</v>
      </c>
      <c r="H761" s="87" t="str">
        <f>_xlfn.XLOOKUP(Tabela1[[#This Row],[Matrícula]],Equipe!B:B,Equipe!E:E,"ERRO",0)</f>
        <v>P82</v>
      </c>
      <c r="I761" s="87" t="str">
        <f>VLOOKUP(Tabela1[[#This Row],[Matrícula]],Equipe!B:F,5,0)</f>
        <v>Experiente</v>
      </c>
    </row>
    <row r="762" spans="1:9" hidden="1">
      <c r="A762" s="87" t="s">
        <v>56</v>
      </c>
      <c r="B762" s="83">
        <f>_xlfn.XLOOKUP(A762,Equipe!H:H,Equipe!B:B,"",0)</f>
        <v>2477135</v>
      </c>
      <c r="C762" s="155">
        <v>46191</v>
      </c>
      <c r="D762" s="151">
        <v>46192</v>
      </c>
      <c r="E762" s="83">
        <v>2</v>
      </c>
      <c r="F762" s="83" t="s">
        <v>11</v>
      </c>
      <c r="G762" s="88" t="s">
        <v>451</v>
      </c>
      <c r="H762" s="87" t="str">
        <f>_xlfn.XLOOKUP(Tabela1[[#This Row],[Matrícula]],Equipe!B:B,Equipe!E:E,"ERRO",0)</f>
        <v>P83</v>
      </c>
      <c r="I762" s="87" t="str">
        <f>VLOOKUP(Tabela1[[#This Row],[Matrícula]],Equipe!B:F,5,0)</f>
        <v>Experiente</v>
      </c>
    </row>
    <row r="763" spans="1:9" hidden="1">
      <c r="A763" s="83" t="s">
        <v>31</v>
      </c>
      <c r="B763" s="109">
        <f>_xlfn.XLOOKUP(A763,Equipe!H:H,Equipe!B:B,"",0)</f>
        <v>1386344</v>
      </c>
      <c r="C763" s="152">
        <v>46191</v>
      </c>
      <c r="D763" s="152">
        <f>(IF(Tabela1[[#This Row],[Início]]&lt;&gt;"",C763+E763-1,""))*1</f>
        <v>46192</v>
      </c>
      <c r="E763" s="83">
        <v>2</v>
      </c>
      <c r="F763" s="87" t="s">
        <v>14</v>
      </c>
      <c r="G763" s="88" t="s">
        <v>95</v>
      </c>
      <c r="H763" s="87" t="str">
        <f>_xlfn.XLOOKUP(Tabela1[[#This Row],[Matrícula]],Equipe!B:B,Equipe!E:E,"ERRO",0)</f>
        <v>P82</v>
      </c>
      <c r="I763" s="87" t="str">
        <f>VLOOKUP(Tabela1[[#This Row],[Matrícula]],Equipe!B:F,5,0)</f>
        <v>Experiente</v>
      </c>
    </row>
    <row r="764" spans="1:9" hidden="1">
      <c r="A764" s="83" t="s">
        <v>318</v>
      </c>
      <c r="B764" s="109">
        <f>_xlfn.XLOOKUP(A764,Equipe!H:H,Equipe!B:B,"",0)</f>
        <v>4613186</v>
      </c>
      <c r="C764" s="154">
        <v>46191</v>
      </c>
      <c r="D764" s="151">
        <f>(IF(Tabela1[[#This Row],[Início]]&lt;&gt;"",C764+E764-1,""))*1</f>
        <v>46211</v>
      </c>
      <c r="E764" s="83">
        <v>21</v>
      </c>
      <c r="F764" s="87" t="s">
        <v>14</v>
      </c>
      <c r="G764" s="88" t="s">
        <v>167</v>
      </c>
      <c r="H764" s="87" t="str">
        <f>_xlfn.XLOOKUP(Tabela1[[#This Row],[Matrícula]],Equipe!B:B,Equipe!E:E,"ERRO",0)</f>
        <v>P83</v>
      </c>
      <c r="I764" s="87" t="str">
        <f>VLOOKUP(Tabela1[[#This Row],[Matrícula]],Equipe!B:F,5,0)</f>
        <v>Novo</v>
      </c>
    </row>
    <row r="765" spans="1:9" hidden="1">
      <c r="A765" s="83" t="s">
        <v>331</v>
      </c>
      <c r="B765" s="109">
        <f>_xlfn.XLOOKUP(A765,Equipe!H:H,Equipe!B:B,"",0)</f>
        <v>4613176</v>
      </c>
      <c r="C765" s="154">
        <v>46191</v>
      </c>
      <c r="D765" s="151">
        <f>(IF(Tabela1[[#This Row],[Início]]&lt;&gt;"",C765+E765-1,""))*1</f>
        <v>46202</v>
      </c>
      <c r="E765" s="83">
        <v>12</v>
      </c>
      <c r="F765" s="87" t="s">
        <v>17</v>
      </c>
      <c r="G765" s="88" t="s">
        <v>178</v>
      </c>
      <c r="H765" s="87" t="str">
        <f>_xlfn.XLOOKUP(Tabela1[[#This Row],[Matrícula]],Equipe!B:B,Equipe!E:E,"ERRO",0)</f>
        <v>P82</v>
      </c>
      <c r="I765" s="87" t="str">
        <f>VLOOKUP(Tabela1[[#This Row],[Matrícula]],Equipe!B:F,5,0)</f>
        <v>Novo</v>
      </c>
    </row>
    <row r="766" spans="1:9">
      <c r="A766" s="83" t="s">
        <v>36</v>
      </c>
      <c r="B766" s="109">
        <f>_xlfn.XLOOKUP(A766,Equipe!H:H,Equipe!B:B,"",0)</f>
        <v>4608721</v>
      </c>
      <c r="C766" s="154">
        <v>46192</v>
      </c>
      <c r="D766" s="151">
        <f>(IF(Tabela1[[#This Row],[Início]]&lt;&gt;"",C766+E766-1,""))*1</f>
        <v>46192</v>
      </c>
      <c r="E766" s="83">
        <v>1</v>
      </c>
      <c r="F766" s="87" t="s">
        <v>11</v>
      </c>
      <c r="G766" s="88" t="s">
        <v>452</v>
      </c>
      <c r="H766" s="87" t="str">
        <f>_xlfn.XLOOKUP(Tabela1[[#This Row],[Matrícula]],Equipe!B:B,Equipe!E:E,"ERRO",0)</f>
        <v>P80</v>
      </c>
      <c r="I766" s="87" t="str">
        <f>VLOOKUP(Tabela1[[#This Row],[Matrícula]],Equipe!B:F,5,0)</f>
        <v>Novo</v>
      </c>
    </row>
    <row r="767" spans="1:9">
      <c r="A767" s="83" t="s">
        <v>109</v>
      </c>
      <c r="B767" s="109">
        <f>_xlfn.XLOOKUP(A767,Equipe!H:H,Equipe!B:B,"",0)</f>
        <v>4612389</v>
      </c>
      <c r="C767" s="154">
        <v>46192</v>
      </c>
      <c r="D767" s="151">
        <f>(IF(Tabela1[[#This Row],[Início]]&lt;&gt;"",C767+E767-1,""))*1</f>
        <v>46196</v>
      </c>
      <c r="E767" s="83">
        <v>5</v>
      </c>
      <c r="F767" s="87" t="s">
        <v>11</v>
      </c>
      <c r="G767" s="88" t="s">
        <v>448</v>
      </c>
      <c r="H767" s="87" t="str">
        <f>_xlfn.XLOOKUP(Tabela1[[#This Row],[Matrícula]],Equipe!B:B,Equipe!E:E,"ERRO",0)</f>
        <v>P80</v>
      </c>
      <c r="I767" s="87" t="str">
        <f>VLOOKUP(Tabela1[[#This Row],[Matrícula]],Equipe!B:F,5,0)</f>
        <v>Novo</v>
      </c>
    </row>
    <row r="768" spans="1:9" hidden="1">
      <c r="A768" s="83" t="s">
        <v>113</v>
      </c>
      <c r="B768" s="109">
        <f>_xlfn.XLOOKUP(A768,Equipe!H:H,Equipe!B:B,"",0)</f>
        <v>4612192</v>
      </c>
      <c r="C768" s="154">
        <v>46192</v>
      </c>
      <c r="D768" s="151">
        <f>(IF(Tabela1[[#This Row],[Início]]&lt;&gt;"",C768+E768-1,""))*1</f>
        <v>46196</v>
      </c>
      <c r="E768" s="83">
        <v>5</v>
      </c>
      <c r="F768" s="87" t="s">
        <v>11</v>
      </c>
      <c r="G768" s="88" t="s">
        <v>448</v>
      </c>
      <c r="H768" s="87" t="str">
        <f>_xlfn.XLOOKUP(Tabela1[[#This Row],[Matrícula]],Equipe!B:B,Equipe!E:E,"ERRO",0)</f>
        <v>P82</v>
      </c>
      <c r="I768" s="87" t="str">
        <f>VLOOKUP(Tabela1[[#This Row],[Matrícula]],Equipe!B:F,5,0)</f>
        <v>Novo</v>
      </c>
    </row>
    <row r="769" spans="1:9" hidden="1">
      <c r="A769" s="83" t="s">
        <v>239</v>
      </c>
      <c r="B769" s="109">
        <f>_xlfn.XLOOKUP(A769,Equipe!H:H,Equipe!B:B,"",0)</f>
        <v>1387328</v>
      </c>
      <c r="C769" s="154">
        <v>46192</v>
      </c>
      <c r="D769" s="151">
        <f>(IF(Tabela1[[#This Row],[Início]]&lt;&gt;"",C769+E769-1,""))*1</f>
        <v>46192</v>
      </c>
      <c r="E769" s="83">
        <v>1</v>
      </c>
      <c r="F769" s="87" t="s">
        <v>11</v>
      </c>
      <c r="G769" s="88" t="s">
        <v>448</v>
      </c>
      <c r="H769" s="87" t="str">
        <f>_xlfn.XLOOKUP(Tabela1[[#This Row],[Matrícula]],Equipe!B:B,Equipe!E:E,"ERRO",0)</f>
        <v>P82</v>
      </c>
      <c r="I769" s="87" t="str">
        <f>VLOOKUP(Tabela1[[#This Row],[Matrícula]],Equipe!B:F,5,0)</f>
        <v>Experiente</v>
      </c>
    </row>
    <row r="770" spans="1:9">
      <c r="A770" s="83" t="s">
        <v>225</v>
      </c>
      <c r="B770" s="109">
        <f>_xlfn.XLOOKUP(A770,Equipe!H:H,Equipe!B:B,"",0)</f>
        <v>2448533</v>
      </c>
      <c r="C770" s="154">
        <v>46192</v>
      </c>
      <c r="D770" s="151">
        <f>(IF(Tabela1[[#This Row],[Início]]&lt;&gt;"",C770+E770-1,""))*1</f>
        <v>46192</v>
      </c>
      <c r="E770" s="83">
        <v>1</v>
      </c>
      <c r="F770" s="87" t="s">
        <v>14</v>
      </c>
      <c r="G770" s="88" t="s">
        <v>453</v>
      </c>
      <c r="H770" s="87" t="str">
        <f>_xlfn.XLOOKUP(Tabela1[[#This Row],[Matrícula]],Equipe!B:B,Equipe!E:E,"ERRO",0)</f>
        <v>P80</v>
      </c>
      <c r="I770" s="87" t="str">
        <f>VLOOKUP(Tabela1[[#This Row],[Matrícula]],Equipe!B:F,5,0)</f>
        <v>Experiente</v>
      </c>
    </row>
    <row r="771" spans="1:9" hidden="1">
      <c r="A771" s="83" t="s">
        <v>46</v>
      </c>
      <c r="B771" s="109">
        <f>_xlfn.XLOOKUP(A771,Equipe!H:H,Equipe!B:B,"",0)</f>
        <v>4608411</v>
      </c>
      <c r="C771" s="154">
        <v>46192</v>
      </c>
      <c r="D771" s="151">
        <f>(IF(Tabela1[[#This Row],[Início]]&lt;&gt;"",C771+E771-1,""))*1</f>
        <v>46196</v>
      </c>
      <c r="E771" s="83">
        <v>5</v>
      </c>
      <c r="F771" s="87" t="s">
        <v>11</v>
      </c>
      <c r="G771" s="88" t="s">
        <v>454</v>
      </c>
      <c r="H771" s="87" t="str">
        <f>_xlfn.XLOOKUP(Tabela1[[#This Row],[Matrícula]],Equipe!B:B,Equipe!E:E,"ERRO",0)</f>
        <v>P83</v>
      </c>
      <c r="I771" s="87" t="str">
        <f>VLOOKUP(Tabela1[[#This Row],[Matrícula]],Equipe!B:F,5,0)</f>
        <v>Novo</v>
      </c>
    </row>
    <row r="772" spans="1:9" ht="29.1">
      <c r="A772" s="83" t="s">
        <v>44</v>
      </c>
      <c r="B772" s="109">
        <f>_xlfn.XLOOKUP(A772,Equipe!H:H,Equipe!B:B,"",0)</f>
        <v>1381625</v>
      </c>
      <c r="C772" s="154">
        <v>46192</v>
      </c>
      <c r="D772" s="151">
        <f>(IF(Tabela1[[#This Row],[Início]]&lt;&gt;"",C772+E772-1,""))*1</f>
        <v>46192</v>
      </c>
      <c r="E772" s="83">
        <v>1</v>
      </c>
      <c r="F772" s="87" t="s">
        <v>14</v>
      </c>
      <c r="G772" s="88" t="s">
        <v>455</v>
      </c>
      <c r="H772" s="87" t="str">
        <f>_xlfn.XLOOKUP(Tabela1[[#This Row],[Matrícula]],Equipe!B:B,Equipe!E:E,"ERRO",0)</f>
        <v>P80</v>
      </c>
      <c r="I772" s="87" t="str">
        <f>VLOOKUP(Tabela1[[#This Row],[Matrícula]],Equipe!B:F,5,0)</f>
        <v>Experiente</v>
      </c>
    </row>
    <row r="773" spans="1:9">
      <c r="A773" s="83" t="s">
        <v>264</v>
      </c>
      <c r="B773" s="109">
        <f>_xlfn.XLOOKUP(A773,Equipe!H:H,Equipe!B:B,"",0)</f>
        <v>9678697</v>
      </c>
      <c r="C773" s="154">
        <v>46192</v>
      </c>
      <c r="D773" s="151">
        <f>(IF(Tabela1[[#This Row],[Início]]&lt;&gt;"",C773+E773-1,""))*1</f>
        <v>46192</v>
      </c>
      <c r="E773" s="83">
        <v>1</v>
      </c>
      <c r="F773" s="87" t="s">
        <v>11</v>
      </c>
      <c r="G773" s="88" t="s">
        <v>448</v>
      </c>
      <c r="H773" s="87" t="str">
        <f>_xlfn.XLOOKUP(Tabela1[[#This Row],[Matrícula]],Equipe!B:B,Equipe!E:E,"ERRO",0)</f>
        <v>P80</v>
      </c>
      <c r="I773" s="87" t="str">
        <f>VLOOKUP(Tabela1[[#This Row],[Matrícula]],Equipe!B:F,5,0)</f>
        <v>Experiente</v>
      </c>
    </row>
    <row r="774" spans="1:9" hidden="1">
      <c r="A774" s="83" t="s">
        <v>286</v>
      </c>
      <c r="B774" s="109">
        <f>_xlfn.XLOOKUP(A774,Equipe!H:H,Equipe!B:B,"",0)</f>
        <v>4606308</v>
      </c>
      <c r="C774" s="154">
        <v>46192</v>
      </c>
      <c r="D774" s="151">
        <f>(IF(Tabela1[[#This Row],[Início]]&lt;&gt;"",C774+E774-1,""))*1</f>
        <v>46196</v>
      </c>
      <c r="E774" s="83">
        <v>5</v>
      </c>
      <c r="F774" s="87" t="s">
        <v>11</v>
      </c>
      <c r="G774" s="88" t="s">
        <v>454</v>
      </c>
      <c r="H774" s="87" t="str">
        <f>_xlfn.XLOOKUP(Tabela1[[#This Row],[Matrícula]],Equipe!B:B,Equipe!E:E,"ERRO",0)</f>
        <v>PBAC</v>
      </c>
      <c r="I774" s="87" t="str">
        <f>VLOOKUP(Tabela1[[#This Row],[Matrícula]],Equipe!B:F,5,0)</f>
        <v>Novo</v>
      </c>
    </row>
    <row r="775" spans="1:9" hidden="1">
      <c r="A775" s="87" t="s">
        <v>56</v>
      </c>
      <c r="B775" s="83">
        <f>_xlfn.XLOOKUP(A775,Equipe!H:H,Equipe!B:B,"",0)</f>
        <v>2477135</v>
      </c>
      <c r="C775" s="154">
        <v>46195</v>
      </c>
      <c r="D775" s="150">
        <v>46199</v>
      </c>
      <c r="E775" s="83">
        <v>5</v>
      </c>
      <c r="F775" s="83" t="s">
        <v>332</v>
      </c>
      <c r="G775" s="88" t="s">
        <v>367</v>
      </c>
      <c r="H775" s="83" t="str">
        <f>_xlfn.XLOOKUP(Tabela1[[#This Row],[Matrícula]],Equipe!B:B,Equipe!E:E,"ERRO",0)</f>
        <v>P83</v>
      </c>
      <c r="I775" s="83" t="str">
        <f>VLOOKUP(Tabela1[[#This Row],[Matrícula]],Equipe!B:F,5,0)</f>
        <v>Experiente</v>
      </c>
    </row>
    <row r="776" spans="1:9">
      <c r="A776" s="83" t="s">
        <v>27</v>
      </c>
      <c r="B776" s="92">
        <f>_xlfn.XLOOKUP(A776,Equipe!H:H,Equipe!B:B,"",0)</f>
        <v>4608685</v>
      </c>
      <c r="C776" s="155">
        <v>46195</v>
      </c>
      <c r="D776" s="151">
        <f>((IF(Tabela1[[#This Row],[Início]]&lt;&gt;"",C776+E776-1,""))*1)*1</f>
        <v>46210</v>
      </c>
      <c r="E776" s="83">
        <v>16</v>
      </c>
      <c r="F776" s="83" t="s">
        <v>232</v>
      </c>
      <c r="G776" s="88"/>
      <c r="H776" s="83" t="str">
        <f>_xlfn.XLOOKUP(Tabela1[[#This Row],[Matrícula]],Equipe!B:B,Equipe!E:E,"ERRO",0)</f>
        <v>P80</v>
      </c>
      <c r="I776" s="83" t="str">
        <f>VLOOKUP(Tabela1[[#This Row],[Matrícula]],Equipe!B:F,5,0)</f>
        <v>Novo</v>
      </c>
    </row>
    <row r="777" spans="1:9" ht="29.1" hidden="1">
      <c r="A777" s="83" t="s">
        <v>30</v>
      </c>
      <c r="B777" s="109">
        <f>_xlfn.XLOOKUP(A777,Equipe!H:H,Equipe!B:B,"",0)</f>
        <v>9634180</v>
      </c>
      <c r="C777" s="154">
        <v>46195</v>
      </c>
      <c r="D777" s="151">
        <f>(IF(Tabela1[[#This Row],[Início]]&lt;&gt;"",C777+E777-1,""))*1</f>
        <v>46195</v>
      </c>
      <c r="E777" s="83">
        <v>1</v>
      </c>
      <c r="F777" s="87" t="s">
        <v>11</v>
      </c>
      <c r="G777" s="157" t="s">
        <v>456</v>
      </c>
      <c r="H777" s="87" t="str">
        <f>_xlfn.XLOOKUP(Tabela1[[#This Row],[Matrícula]],Equipe!B:B,Equipe!E:E,"ERRO",0)</f>
        <v>P83</v>
      </c>
      <c r="I777" s="87" t="str">
        <f>VLOOKUP(Tabela1[[#This Row],[Matrícula]],Equipe!B:F,5,0)</f>
        <v>Experiente</v>
      </c>
    </row>
    <row r="778" spans="1:9" hidden="1">
      <c r="A778" s="83" t="s">
        <v>142</v>
      </c>
      <c r="B778" s="109">
        <f>_xlfn.XLOOKUP(A778,Equipe!H:H,Equipe!B:B,"",0)</f>
        <v>4612228</v>
      </c>
      <c r="C778" s="154">
        <v>46195</v>
      </c>
      <c r="D778" s="151">
        <f>(IF(Tabela1[[#This Row],[Início]]&lt;&gt;"",C778+E778-1,""))*1</f>
        <v>46199</v>
      </c>
      <c r="E778" s="83">
        <v>5</v>
      </c>
      <c r="F778" s="87" t="s">
        <v>11</v>
      </c>
      <c r="G778" s="88" t="s">
        <v>457</v>
      </c>
      <c r="H778" s="87" t="str">
        <f>_xlfn.XLOOKUP(Tabela1[[#This Row],[Matrícula]],Equipe!B:B,Equipe!E:E,"ERRO",0)</f>
        <v>P82</v>
      </c>
      <c r="I778" s="87" t="str">
        <f>VLOOKUP(Tabela1[[#This Row],[Matrícula]],Equipe!B:F,5,0)</f>
        <v>Novo</v>
      </c>
    </row>
    <row r="779" spans="1:9" hidden="1">
      <c r="A779" s="83" t="s">
        <v>239</v>
      </c>
      <c r="B779" s="109">
        <f>_xlfn.XLOOKUP(A779,Equipe!H:H,Equipe!B:B,"",0)</f>
        <v>1387328</v>
      </c>
      <c r="C779" s="154">
        <v>46195</v>
      </c>
      <c r="D779" s="151">
        <f>(IF(Tabela1[[#This Row],[Início]]&lt;&gt;"",C779+E779-1,""))*1</f>
        <v>46196</v>
      </c>
      <c r="E779" s="83">
        <v>2</v>
      </c>
      <c r="F779" s="87" t="s">
        <v>11</v>
      </c>
      <c r="G779" s="88" t="s">
        <v>448</v>
      </c>
      <c r="H779" s="87" t="str">
        <f>_xlfn.XLOOKUP(Tabela1[[#This Row],[Matrícula]],Equipe!B:B,Equipe!E:E,"ERRO",0)</f>
        <v>P82</v>
      </c>
      <c r="I779" s="87" t="str">
        <f>VLOOKUP(Tabela1[[#This Row],[Matrícula]],Equipe!B:F,5,0)</f>
        <v>Experiente</v>
      </c>
    </row>
    <row r="780" spans="1:9">
      <c r="A780" s="83" t="s">
        <v>264</v>
      </c>
      <c r="B780" s="109">
        <f>_xlfn.XLOOKUP(A780,Equipe!H:H,Equipe!B:B,"",0)</f>
        <v>9678697</v>
      </c>
      <c r="C780" s="154">
        <v>46195</v>
      </c>
      <c r="D780" s="151">
        <f>(IF(Tabela1[[#This Row],[Início]]&lt;&gt;"",C780+E780-1,""))*1</f>
        <v>46196</v>
      </c>
      <c r="E780" s="83">
        <v>2</v>
      </c>
      <c r="F780" s="87" t="s">
        <v>11</v>
      </c>
      <c r="G780" s="88" t="s">
        <v>448</v>
      </c>
      <c r="H780" s="87" t="str">
        <f>_xlfn.XLOOKUP(Tabela1[[#This Row],[Matrícula]],Equipe!B:B,Equipe!E:E,"ERRO",0)</f>
        <v>P80</v>
      </c>
      <c r="I780" s="87" t="str">
        <f>VLOOKUP(Tabela1[[#This Row],[Matrícula]],Equipe!B:F,5,0)</f>
        <v>Experiente</v>
      </c>
    </row>
    <row r="781" spans="1:9" ht="29.1">
      <c r="A781" s="83" t="s">
        <v>44</v>
      </c>
      <c r="B781" s="109">
        <f>_xlfn.XLOOKUP(A781,Equipe!H:H,Equipe!B:B,"",0)</f>
        <v>1381625</v>
      </c>
      <c r="C781" s="154">
        <v>46195</v>
      </c>
      <c r="D781" s="151">
        <f>(IF(Tabela1[[#This Row],[Início]]&lt;&gt;"",C781+E781-1,""))*1</f>
        <v>46195</v>
      </c>
      <c r="E781" s="83">
        <v>1</v>
      </c>
      <c r="F781" s="87" t="s">
        <v>14</v>
      </c>
      <c r="G781" s="88" t="s">
        <v>455</v>
      </c>
      <c r="H781" s="87" t="str">
        <f>_xlfn.XLOOKUP(Tabela1[[#This Row],[Matrícula]],Equipe!B:B,Equipe!E:E,"ERRO",0)</f>
        <v>P80</v>
      </c>
      <c r="I781" s="87" t="str">
        <f>VLOOKUP(Tabela1[[#This Row],[Matrícula]],Equipe!B:F,5,0)</f>
        <v>Experiente</v>
      </c>
    </row>
    <row r="782" spans="1:9" hidden="1">
      <c r="A782" s="83" t="s">
        <v>106</v>
      </c>
      <c r="B782" s="83">
        <f>_xlfn.XLOOKUP(A782,Equipe!H:H,Equipe!B:B,"",0)</f>
        <v>4612050</v>
      </c>
      <c r="C782" s="154">
        <v>46196</v>
      </c>
      <c r="D782" s="151">
        <f>(IF(Tabela1[[#This Row],[Início]]&lt;&gt;"",C782+E782-1,""))*1</f>
        <v>46197</v>
      </c>
      <c r="E782" s="83">
        <v>2</v>
      </c>
      <c r="F782" s="83" t="s">
        <v>11</v>
      </c>
      <c r="G782" s="88" t="s">
        <v>458</v>
      </c>
      <c r="H782" s="83" t="str">
        <f>_xlfn.XLOOKUP(Tabela1[[#This Row],[Matrícula]],Equipe!B:B,Equipe!E:E,"ERRO",0)</f>
        <v>P82</v>
      </c>
      <c r="I782" s="83" t="str">
        <f>VLOOKUP(Tabela1[[#This Row],[Matrícula]],Equipe!B:F,5,0)</f>
        <v>Novo</v>
      </c>
    </row>
    <row r="783" spans="1:9">
      <c r="A783" s="83" t="s">
        <v>44</v>
      </c>
      <c r="B783" s="109">
        <f>_xlfn.XLOOKUP(A783,Equipe!H:H,Equipe!B:B,"",0)</f>
        <v>1381625</v>
      </c>
      <c r="C783" s="154">
        <v>46196</v>
      </c>
      <c r="D783" s="151">
        <f>(IF(Tabela1[[#This Row],[Início]]&lt;&gt;"",C783+E783-1,""))*1</f>
        <v>46209</v>
      </c>
      <c r="E783" s="83">
        <v>14</v>
      </c>
      <c r="F783" s="87" t="s">
        <v>17</v>
      </c>
      <c r="G783" s="88" t="s">
        <v>32</v>
      </c>
      <c r="H783" s="87" t="str">
        <f>_xlfn.XLOOKUP(Tabela1[[#This Row],[Matrícula]],Equipe!B:B,Equipe!E:E,"ERRO",0)</f>
        <v>P80</v>
      </c>
      <c r="I783" s="87" t="str">
        <f>VLOOKUP(Tabela1[[#This Row],[Matrícula]],Equipe!B:F,5,0)</f>
        <v>Experiente</v>
      </c>
    </row>
    <row r="784" spans="1:9" hidden="1">
      <c r="A784" s="83" t="s">
        <v>239</v>
      </c>
      <c r="B784" s="109">
        <f>_xlfn.XLOOKUP(A784,Equipe!H:H,Equipe!B:B,"",0)</f>
        <v>1387328</v>
      </c>
      <c r="C784" s="154">
        <v>46197</v>
      </c>
      <c r="D784" s="151">
        <f>(IF(Tabela1[[#This Row],[Início]]&lt;&gt;"",C784+E784-1,""))*1</f>
        <v>46198</v>
      </c>
      <c r="E784" s="83">
        <v>2</v>
      </c>
      <c r="F784" s="87" t="s">
        <v>11</v>
      </c>
      <c r="G784" s="88" t="s">
        <v>459</v>
      </c>
      <c r="H784" s="87" t="str">
        <f>_xlfn.XLOOKUP(Tabela1[[#This Row],[Matrícula]],Equipe!B:B,Equipe!E:E,"ERRO",0)</f>
        <v>P82</v>
      </c>
      <c r="I784" s="87" t="str">
        <f>VLOOKUP(Tabela1[[#This Row],[Matrícula]],Equipe!B:F,5,0)</f>
        <v>Experiente</v>
      </c>
    </row>
    <row r="785" spans="1:9" hidden="1">
      <c r="A785" s="87" t="s">
        <v>58</v>
      </c>
      <c r="B785" s="87">
        <f>_xlfn.XLOOKUP(A785,Equipe!H:H,Equipe!B:B,"",0)</f>
        <v>9612082</v>
      </c>
      <c r="C785" s="155">
        <v>46197</v>
      </c>
      <c r="D785" s="151">
        <v>46197</v>
      </c>
      <c r="E785" s="87">
        <v>1</v>
      </c>
      <c r="F785" s="87" t="s">
        <v>11</v>
      </c>
      <c r="G785" s="93" t="s">
        <v>460</v>
      </c>
      <c r="H785" s="87" t="str">
        <f>_xlfn.XLOOKUP(Tabela1[[#This Row],[Matrícula]],Equipe!B:B,Equipe!E:E,"ERRO",0)</f>
        <v>P82</v>
      </c>
      <c r="I785" s="87" t="str">
        <f>VLOOKUP(Tabela1[[#This Row],[Matrícula]],Equipe!B:F,5,0)</f>
        <v>Experiente</v>
      </c>
    </row>
    <row r="786" spans="1:9" hidden="1">
      <c r="A786" s="87" t="s">
        <v>58</v>
      </c>
      <c r="B786" s="87">
        <f>_xlfn.XLOOKUP(A786,Equipe!H:H,Equipe!B:B,"",0)</f>
        <v>9612082</v>
      </c>
      <c r="C786" s="155">
        <v>46203</v>
      </c>
      <c r="D786" s="151">
        <v>46204</v>
      </c>
      <c r="E786" s="87">
        <v>1</v>
      </c>
      <c r="F786" s="87" t="s">
        <v>11</v>
      </c>
      <c r="G786" s="93" t="s">
        <v>461</v>
      </c>
      <c r="H786" s="87" t="str">
        <f>_xlfn.XLOOKUP(Tabela1[[#This Row],[Matrícula]],Equipe!B:B,Equipe!E:E,"ERRO",0)</f>
        <v>P82</v>
      </c>
      <c r="I786" s="87" t="str">
        <f>VLOOKUP(Tabela1[[#This Row],[Matrícula]],Equipe!B:F,5,0)</f>
        <v>Experiente</v>
      </c>
    </row>
    <row r="787" spans="1:9" hidden="1">
      <c r="A787" s="83" t="s">
        <v>113</v>
      </c>
      <c r="B787" s="109">
        <f>_xlfn.XLOOKUP(A787,Equipe!H:H,Equipe!B:B,"",0)</f>
        <v>4612192</v>
      </c>
      <c r="C787" s="154">
        <v>46197</v>
      </c>
      <c r="D787" s="151">
        <f>(IF(Tabela1[[#This Row],[Início]]&lt;&gt;"",C787+E787-1,""))*1</f>
        <v>46198</v>
      </c>
      <c r="E787" s="83">
        <v>2</v>
      </c>
      <c r="F787" s="87" t="s">
        <v>11</v>
      </c>
      <c r="G787" s="88" t="s">
        <v>462</v>
      </c>
      <c r="H787" s="87" t="str">
        <f>_xlfn.XLOOKUP(Tabela1[[#This Row],[Matrícula]],Equipe!B:B,Equipe!E:E,"ERRO",0)</f>
        <v>P82</v>
      </c>
      <c r="I787" s="87" t="str">
        <f>VLOOKUP(Tabela1[[#This Row],[Matrícula]],Equipe!B:F,5,0)</f>
        <v>Novo</v>
      </c>
    </row>
    <row r="788" spans="1:9" hidden="1">
      <c r="A788" s="83" t="s">
        <v>111</v>
      </c>
      <c r="B788" s="109">
        <f>_xlfn.XLOOKUP(A788,Equipe!H:H,Equipe!B:B,"",0)</f>
        <v>4612126</v>
      </c>
      <c r="C788" s="154">
        <v>46197</v>
      </c>
      <c r="D788" s="151">
        <v>46198</v>
      </c>
      <c r="E788" s="83">
        <v>2</v>
      </c>
      <c r="F788" s="87" t="s">
        <v>11</v>
      </c>
      <c r="G788" s="88" t="s">
        <v>462</v>
      </c>
      <c r="H788" s="87" t="str">
        <f>_xlfn.XLOOKUP(Tabela1[[#This Row],[Matrícula]],Equipe!B:B,Equipe!E:E,"ERRO",0)</f>
        <v>P82</v>
      </c>
      <c r="I788" s="87" t="str">
        <f>VLOOKUP(Tabela1[[#This Row],[Matrícula]],Equipe!B:F,5,0)</f>
        <v>Novo</v>
      </c>
    </row>
    <row r="789" spans="1:9">
      <c r="A789" s="83" t="s">
        <v>108</v>
      </c>
      <c r="B789" s="109">
        <f>_xlfn.XLOOKUP(A789,Equipe!H:H,Equipe!B:B,"",0)</f>
        <v>4612243</v>
      </c>
      <c r="C789" s="154">
        <v>46197</v>
      </c>
      <c r="D789" s="151">
        <f>(IF(Tabela1[[#This Row],[Início]]&lt;&gt;"",C789+E789-1,""))*1</f>
        <v>46210</v>
      </c>
      <c r="E789" s="83">
        <v>14</v>
      </c>
      <c r="F789" s="87" t="s">
        <v>17</v>
      </c>
      <c r="G789" s="88" t="s">
        <v>463</v>
      </c>
      <c r="H789" s="87" t="str">
        <f>_xlfn.XLOOKUP(Tabela1[[#This Row],[Matrícula]],Equipe!B:B,Equipe!E:E,"ERRO",0)</f>
        <v>P80</v>
      </c>
      <c r="I789" s="87" t="str">
        <f>VLOOKUP(Tabela1[[#This Row],[Matrícula]],Equipe!B:F,5,0)</f>
        <v>Novo</v>
      </c>
    </row>
    <row r="790" spans="1:9">
      <c r="A790" s="83" t="s">
        <v>22</v>
      </c>
      <c r="B790" s="109">
        <f>_xlfn.XLOOKUP(A790,Equipe!H:H,Equipe!B:B,"",0)</f>
        <v>4608389</v>
      </c>
      <c r="C790" s="154">
        <v>46197</v>
      </c>
      <c r="D790" s="151">
        <f>(IF(Tabela1[[#This Row],[Início]]&lt;&gt;"",C790+E790-1,""))*1</f>
        <v>46198</v>
      </c>
      <c r="E790" s="83">
        <v>2</v>
      </c>
      <c r="F790" s="87" t="s">
        <v>11</v>
      </c>
      <c r="G790" s="88" t="s">
        <v>462</v>
      </c>
      <c r="H790" s="87" t="str">
        <f>_xlfn.XLOOKUP(Tabela1[[#This Row],[Matrícula]],Equipe!B:B,Equipe!E:E,"ERRO",0)</f>
        <v>P80</v>
      </c>
      <c r="I790" s="87" t="str">
        <f>VLOOKUP(Tabela1[[#This Row],[Matrícula]],Equipe!B:F,5,0)</f>
        <v>Novo</v>
      </c>
    </row>
    <row r="791" spans="1:9">
      <c r="A791" s="83" t="s">
        <v>36</v>
      </c>
      <c r="B791" s="109">
        <f>_xlfn.XLOOKUP(A791,Equipe!H:H,Equipe!B:B,"",0)</f>
        <v>4608721</v>
      </c>
      <c r="C791" s="154">
        <v>46197</v>
      </c>
      <c r="D791" s="151">
        <f>(IF(Tabela1[[#This Row],[Início]]&lt;&gt;"",C791+E791-1,""))*1</f>
        <v>46198</v>
      </c>
      <c r="E791" s="83">
        <v>2</v>
      </c>
      <c r="F791" s="87" t="s">
        <v>11</v>
      </c>
      <c r="G791" s="88" t="s">
        <v>462</v>
      </c>
      <c r="H791" s="87" t="str">
        <f>_xlfn.XLOOKUP(Tabela1[[#This Row],[Matrícula]],Equipe!B:B,Equipe!E:E,"ERRO",0)</f>
        <v>P80</v>
      </c>
      <c r="I791" s="87" t="str">
        <f>VLOOKUP(Tabela1[[#This Row],[Matrícula]],Equipe!B:F,5,0)</f>
        <v>Novo</v>
      </c>
    </row>
    <row r="792" spans="1:9" hidden="1">
      <c r="A792" s="83" t="s">
        <v>142</v>
      </c>
      <c r="B792" s="109">
        <f>_xlfn.XLOOKUP(A792,Equipe!H:H,Equipe!B:B,"",0)</f>
        <v>4612228</v>
      </c>
      <c r="C792" s="154">
        <v>46197</v>
      </c>
      <c r="D792" s="151">
        <f>(IF(Tabela1[[#This Row],[Início]]&lt;&gt;"",C792+E792-1,""))*1</f>
        <v>46198</v>
      </c>
      <c r="E792" s="83">
        <v>2</v>
      </c>
      <c r="F792" s="87" t="s">
        <v>11</v>
      </c>
      <c r="G792" s="88" t="s">
        <v>464</v>
      </c>
      <c r="H792" s="87" t="str">
        <f>_xlfn.XLOOKUP(Tabela1[[#This Row],[Matrícula]],Equipe!B:B,Equipe!E:E,"ERRO",0)</f>
        <v>P82</v>
      </c>
      <c r="I792" s="87" t="str">
        <f>VLOOKUP(Tabela1[[#This Row],[Matrícula]],Equipe!B:F,5,0)</f>
        <v>Novo</v>
      </c>
    </row>
    <row r="793" spans="1:9" hidden="1">
      <c r="A793" s="83" t="s">
        <v>207</v>
      </c>
      <c r="B793" s="109">
        <f>_xlfn.XLOOKUP(A793,Equipe!H:H,Equipe!B:B,"",0)</f>
        <v>1386288</v>
      </c>
      <c r="C793" s="154">
        <v>46197</v>
      </c>
      <c r="D793" s="151">
        <f>(IF(Tabela1[[#This Row],[Início]]&lt;&gt;"",C793+E793-1,""))*1</f>
        <v>46198</v>
      </c>
      <c r="E793" s="83">
        <v>2</v>
      </c>
      <c r="F793" s="87" t="s">
        <v>11</v>
      </c>
      <c r="G793" s="88" t="s">
        <v>462</v>
      </c>
      <c r="H793" s="87" t="str">
        <f>_xlfn.XLOOKUP(Tabela1[[#This Row],[Matrícula]],Equipe!B:B,Equipe!E:E,"ERRO",0)</f>
        <v>P83</v>
      </c>
      <c r="I793" s="87" t="str">
        <f>VLOOKUP(Tabela1[[#This Row],[Matrícula]],Equipe!B:F,5,0)</f>
        <v>Experiente</v>
      </c>
    </row>
    <row r="794" spans="1:9" hidden="1">
      <c r="A794" s="83" t="s">
        <v>111</v>
      </c>
      <c r="B794" s="109">
        <f>_xlfn.XLOOKUP(A794,Equipe!H:H,Equipe!B:B,"",0)</f>
        <v>4612126</v>
      </c>
      <c r="C794" s="154">
        <v>46197</v>
      </c>
      <c r="D794" s="151">
        <v>46198</v>
      </c>
      <c r="E794" s="83">
        <v>2</v>
      </c>
      <c r="F794" s="87" t="s">
        <v>11</v>
      </c>
      <c r="G794" s="88" t="s">
        <v>465</v>
      </c>
      <c r="H794" s="87" t="str">
        <f>_xlfn.XLOOKUP(Tabela1[[#This Row],[Matrícula]],Equipe!B:B,Equipe!E:E,"ERRO",0)</f>
        <v>P82</v>
      </c>
      <c r="I794" s="87" t="str">
        <f>VLOOKUP(Tabela1[[#This Row],[Matrícula]],Equipe!B:F,5,0)</f>
        <v>Novo</v>
      </c>
    </row>
    <row r="795" spans="1:9" hidden="1">
      <c r="A795" s="83" t="s">
        <v>31</v>
      </c>
      <c r="B795" s="109">
        <f>_xlfn.XLOOKUP(A795,Equipe!H:H,Equipe!B:B,"",0)</f>
        <v>1386344</v>
      </c>
      <c r="C795" s="152">
        <v>46198</v>
      </c>
      <c r="D795" s="152">
        <f>(IF(Tabela1[[#This Row],[Início]]&lt;&gt;"",C795+E795-1,""))*1</f>
        <v>46199</v>
      </c>
      <c r="E795" s="83">
        <v>2</v>
      </c>
      <c r="F795" s="87" t="s">
        <v>14</v>
      </c>
      <c r="G795" s="88" t="s">
        <v>95</v>
      </c>
      <c r="H795" s="87" t="str">
        <f>_xlfn.XLOOKUP(Tabela1[[#This Row],[Matrícula]],Equipe!B:B,Equipe!E:E,"ERRO",0)</f>
        <v>P82</v>
      </c>
      <c r="I795" s="87" t="str">
        <f>VLOOKUP(Tabela1[[#This Row],[Matrícula]],Equipe!B:F,5,0)</f>
        <v>Experiente</v>
      </c>
    </row>
    <row r="796" spans="1:9" hidden="1">
      <c r="A796" s="83" t="s">
        <v>40</v>
      </c>
      <c r="B796" s="109">
        <f>_xlfn.XLOOKUP(A796,Equipe!H:H,Equipe!B:B,"",0)</f>
        <v>9724817</v>
      </c>
      <c r="C796" s="154">
        <v>46198</v>
      </c>
      <c r="D796" s="151">
        <f>(IF(Tabela1[[#This Row],[Início]]&lt;&gt;"",C796+E796-1,""))*1</f>
        <v>46199</v>
      </c>
      <c r="E796" s="83">
        <v>2</v>
      </c>
      <c r="F796" s="87" t="s">
        <v>14</v>
      </c>
      <c r="G796" s="88" t="s">
        <v>390</v>
      </c>
      <c r="H796" s="87" t="str">
        <f>_xlfn.XLOOKUP(Tabela1[[#This Row],[Matrícula]],Equipe!B:B,Equipe!E:E,"ERRO",0)</f>
        <v>P82</v>
      </c>
      <c r="I796" s="87" t="str">
        <f>VLOOKUP(Tabela1[[#This Row],[Matrícula]],Equipe!B:F,5,0)</f>
        <v>Experiente</v>
      </c>
    </row>
    <row r="797" spans="1:9" hidden="1">
      <c r="A797" s="87" t="s">
        <v>58</v>
      </c>
      <c r="B797" s="87">
        <f>_xlfn.XLOOKUP(A797,Equipe!H:H,Equipe!B:B,"",0)</f>
        <v>9612082</v>
      </c>
      <c r="C797" s="155">
        <v>46199</v>
      </c>
      <c r="D797" s="151">
        <v>46199</v>
      </c>
      <c r="E797" s="87">
        <v>1</v>
      </c>
      <c r="F797" s="87" t="s">
        <v>14</v>
      </c>
      <c r="G797" s="93" t="s">
        <v>466</v>
      </c>
      <c r="H797" s="87" t="str">
        <f>_xlfn.XLOOKUP(Tabela1[[#This Row],[Matrícula]],Equipe!B:B,Equipe!E:E,"ERRO",0)</f>
        <v>P82</v>
      </c>
      <c r="I797" s="87" t="str">
        <f>VLOOKUP(Tabela1[[#This Row],[Matrícula]],Equipe!B:F,5,0)</f>
        <v>Experiente</v>
      </c>
    </row>
    <row r="798" spans="1:9" hidden="1">
      <c r="A798" s="83" t="s">
        <v>24</v>
      </c>
      <c r="B798" s="109">
        <f>_xlfn.XLOOKUP(A798,Equipe!H:H,Equipe!B:B,"",0)</f>
        <v>1385870</v>
      </c>
      <c r="C798" s="154">
        <v>46199</v>
      </c>
      <c r="D798" s="151">
        <f>(IF(Tabela1[[#This Row],[Início]]&lt;&gt;"",C798+E798-1,""))*1</f>
        <v>46219</v>
      </c>
      <c r="E798" s="83">
        <v>21</v>
      </c>
      <c r="F798" s="87" t="s">
        <v>14</v>
      </c>
      <c r="G798" s="88" t="s">
        <v>467</v>
      </c>
      <c r="H798" s="87" t="str">
        <f>_xlfn.XLOOKUP(Tabela1[[#This Row],[Matrícula]],Equipe!B:B,Equipe!E:E,"ERRO",0)</f>
        <v>P83</v>
      </c>
      <c r="I798" s="87" t="str">
        <f>VLOOKUP(Tabela1[[#This Row],[Matrícula]],Equipe!B:F,5,0)</f>
        <v>Experiente</v>
      </c>
    </row>
    <row r="799" spans="1:9" hidden="1">
      <c r="A799" s="83" t="s">
        <v>20</v>
      </c>
      <c r="B799" s="109">
        <f>_xlfn.XLOOKUP(A799,Equipe!H:H,Equipe!B:B,"",0)</f>
        <v>4608559</v>
      </c>
      <c r="C799" s="154">
        <v>46199</v>
      </c>
      <c r="D799" s="151">
        <f>(IF(Tabela1[[#This Row],[Início]]&lt;&gt;"",C799+E799-1,""))*1</f>
        <v>46213</v>
      </c>
      <c r="E799" s="83">
        <v>15</v>
      </c>
      <c r="F799" s="87" t="s">
        <v>17</v>
      </c>
      <c r="G799" s="88" t="s">
        <v>178</v>
      </c>
      <c r="H799" s="87" t="str">
        <f>_xlfn.XLOOKUP(Tabela1[[#This Row],[Matrícula]],Equipe!B:B,Equipe!E:E,"ERRO",0)</f>
        <v>P83</v>
      </c>
      <c r="I799" s="87" t="str">
        <f>VLOOKUP(Tabela1[[#This Row],[Matrícula]],Equipe!B:F,5,0)</f>
        <v>Novo</v>
      </c>
    </row>
    <row r="800" spans="1:9">
      <c r="A800" s="87" t="s">
        <v>22</v>
      </c>
      <c r="B800" s="109">
        <f>_xlfn.XLOOKUP(A800,Equipe!H:H,Equipe!B:B,"",0)</f>
        <v>4608389</v>
      </c>
      <c r="C800" s="154">
        <v>46202</v>
      </c>
      <c r="D800" s="151">
        <f>(IF(Tabela1[[#This Row],[Início]]&lt;&gt;"",C800+E800-1,""))*1</f>
        <v>46215</v>
      </c>
      <c r="E800" s="83">
        <v>14</v>
      </c>
      <c r="F800" s="87" t="s">
        <v>232</v>
      </c>
      <c r="G800" s="88" t="s">
        <v>468</v>
      </c>
      <c r="H800" s="87" t="str">
        <f>_xlfn.XLOOKUP(Tabela1[[#This Row],[Matrícula]],Equipe!B:B,Equipe!E:E,"ERRO",0)</f>
        <v>P80</v>
      </c>
      <c r="I800" s="87" t="str">
        <f>VLOOKUP(Tabela1[[#This Row],[Matrícula]],Equipe!B:F,5,0)</f>
        <v>Novo</v>
      </c>
    </row>
    <row r="801" spans="1:9" ht="87" hidden="1">
      <c r="A801" s="83" t="s">
        <v>16</v>
      </c>
      <c r="B801" s="109">
        <f>_xlfn.XLOOKUP(A801,Equipe!H:H,Equipe!B:B,"",0)</f>
        <v>4608544</v>
      </c>
      <c r="C801" s="154">
        <v>46202</v>
      </c>
      <c r="D801" s="151">
        <f>(IF(Tabela1[[#This Row],[Início]]&lt;&gt;"",C801+E801-1,""))*1</f>
        <v>46206</v>
      </c>
      <c r="E801" s="83">
        <v>5</v>
      </c>
      <c r="F801" s="87" t="s">
        <v>11</v>
      </c>
      <c r="G801" s="88" t="s">
        <v>469</v>
      </c>
      <c r="H801" s="87" t="str">
        <f>_xlfn.XLOOKUP(Tabela1[[#This Row],[Matrícula]],Equipe!B:B,Equipe!E:E,"ERRO",0)</f>
        <v>P82</v>
      </c>
      <c r="I801" s="87" t="str">
        <f>VLOOKUP(Tabela1[[#This Row],[Matrícula]],Equipe!B:F,5,0)</f>
        <v>Novo</v>
      </c>
    </row>
    <row r="802" spans="1:9" hidden="1">
      <c r="A802" s="83" t="s">
        <v>106</v>
      </c>
      <c r="B802" s="109">
        <f>_xlfn.XLOOKUP(A802,Equipe!H:H,Equipe!B:B,"",0)</f>
        <v>4612050</v>
      </c>
      <c r="C802" s="154">
        <v>46202</v>
      </c>
      <c r="D802" s="151">
        <f>(IF(Tabela1[[#This Row],[Início]]&lt;&gt;"",C802+E802-1,""))*1</f>
        <v>46206</v>
      </c>
      <c r="E802" s="83">
        <v>5</v>
      </c>
      <c r="F802" s="87" t="s">
        <v>11</v>
      </c>
      <c r="G802" s="88" t="s">
        <v>470</v>
      </c>
      <c r="H802" s="87" t="str">
        <f>_xlfn.XLOOKUP(Tabela1[[#This Row],[Matrícula]],Equipe!B:B,Equipe!E:E,"ERRO",0)</f>
        <v>P82</v>
      </c>
      <c r="I802" s="87" t="str">
        <f>VLOOKUP(Tabela1[[#This Row],[Matrícula]],Equipe!B:F,5,0)</f>
        <v>Novo</v>
      </c>
    </row>
    <row r="803" spans="1:9" hidden="1">
      <c r="A803" s="83" t="s">
        <v>229</v>
      </c>
      <c r="B803" s="109">
        <f>_xlfn.XLOOKUP(A803,Equipe!H:H,Equipe!B:B,"",0)</f>
        <v>9921954</v>
      </c>
      <c r="C803" s="154">
        <v>46202</v>
      </c>
      <c r="D803" s="151">
        <v>46204</v>
      </c>
      <c r="E803" s="83"/>
      <c r="F803" s="87" t="s">
        <v>11</v>
      </c>
      <c r="G803" s="93" t="s">
        <v>415</v>
      </c>
      <c r="H803" s="87" t="str">
        <f>_xlfn.XLOOKUP(Tabela1[[#This Row],[Matrícula]],Equipe!B:B,Equipe!E:E,"ERRO",0)</f>
        <v>P82</v>
      </c>
      <c r="I803" s="87" t="str">
        <f>VLOOKUP(Tabela1[[#This Row],[Matrícula]],Equipe!B:F,5,0)</f>
        <v>Experiente</v>
      </c>
    </row>
    <row r="804" spans="1:9" ht="29.1" hidden="1">
      <c r="A804" s="83" t="s">
        <v>10</v>
      </c>
      <c r="B804" s="109">
        <f>_xlfn.XLOOKUP(A804,Equipe!H:H,Equipe!B:B,"",0)</f>
        <v>4612393</v>
      </c>
      <c r="C804" s="154">
        <v>46314</v>
      </c>
      <c r="D804" s="151">
        <f>(IF(Tabela1[[#This Row],[Início]]&lt;&gt;"",C804+E804-1,""))*1</f>
        <v>46318</v>
      </c>
      <c r="E804" s="83">
        <v>5</v>
      </c>
      <c r="F804" s="87" t="s">
        <v>11</v>
      </c>
      <c r="G804" s="93" t="s">
        <v>471</v>
      </c>
      <c r="H804" s="87" t="str">
        <f>_xlfn.XLOOKUP(Tabela1[[#This Row],[Matrícula]],Equipe!B:B,Equipe!E:E,"ERRO",0)</f>
        <v>P83</v>
      </c>
      <c r="I804" s="87" t="str">
        <f>VLOOKUP(Tabela1[[#This Row],[Matrícula]],Equipe!B:F,5,0)</f>
        <v>Novo</v>
      </c>
    </row>
    <row r="805" spans="1:9" hidden="1">
      <c r="A805" s="83" t="s">
        <v>46</v>
      </c>
      <c r="B805" s="109">
        <f>_xlfn.XLOOKUP(A805,Equipe!H:H,Equipe!B:B,"",0)</f>
        <v>4608411</v>
      </c>
      <c r="C805" s="154">
        <v>46216</v>
      </c>
      <c r="D805" s="151">
        <f>(IF(Tabela1[[#This Row],[Início]]&lt;&gt;"",C805+E805-1,""))*1</f>
        <v>46220</v>
      </c>
      <c r="E805" s="83">
        <v>5</v>
      </c>
      <c r="F805" s="87" t="s">
        <v>11</v>
      </c>
      <c r="G805" s="88" t="s">
        <v>472</v>
      </c>
      <c r="H805" s="87" t="str">
        <f>_xlfn.XLOOKUP(Tabela1[[#This Row],[Matrícula]],Equipe!B:B,Equipe!E:E,"ERRO",0)</f>
        <v>P83</v>
      </c>
      <c r="I805" s="87" t="str">
        <f>VLOOKUP(Tabela1[[#This Row],[Matrícula]],Equipe!B:F,5,0)</f>
        <v>Novo</v>
      </c>
    </row>
    <row r="806" spans="1:9">
      <c r="A806" s="83" t="s">
        <v>264</v>
      </c>
      <c r="B806" s="109">
        <f>_xlfn.XLOOKUP(A806,Equipe!H:H,Equipe!B:B,"",0)</f>
        <v>9678697</v>
      </c>
      <c r="C806" s="154">
        <v>46258</v>
      </c>
      <c r="D806" s="151">
        <f>(IF(Tabela1[[#This Row],[Início]]&lt;&gt;"",C806+E806-1,""))*1</f>
        <v>46260</v>
      </c>
      <c r="E806" s="83">
        <v>3</v>
      </c>
      <c r="F806" s="87" t="s">
        <v>11</v>
      </c>
      <c r="G806" s="88" t="s">
        <v>473</v>
      </c>
      <c r="H806" s="87" t="str">
        <f>_xlfn.XLOOKUP(Tabela1[[#This Row],[Matrícula]],Equipe!B:B,Equipe!E:E,"ERRO",0)</f>
        <v>P80</v>
      </c>
      <c r="I806" s="87" t="str">
        <f>VLOOKUP(Tabela1[[#This Row],[Matrícula]],Equipe!B:F,5,0)</f>
        <v>Experiente</v>
      </c>
    </row>
    <row r="807" spans="1:9" hidden="1">
      <c r="A807" s="83" t="s">
        <v>286</v>
      </c>
      <c r="B807" s="109">
        <f>_xlfn.XLOOKUP(A807,Equipe!H:H,Equipe!B:B,"",0)</f>
        <v>4606308</v>
      </c>
      <c r="C807" s="154">
        <v>46202</v>
      </c>
      <c r="D807" s="151">
        <f>(IF(Tabela1[[#This Row],[Início]]&lt;&gt;"",C807+E807-1,""))*1</f>
        <v>46204</v>
      </c>
      <c r="E807" s="83">
        <v>3</v>
      </c>
      <c r="F807" s="87" t="s">
        <v>11</v>
      </c>
      <c r="G807" s="88" t="s">
        <v>473</v>
      </c>
      <c r="H807" s="87" t="str">
        <f>_xlfn.XLOOKUP(Tabela1[[#This Row],[Matrícula]],Equipe!B:B,Equipe!E:E,"ERRO",0)</f>
        <v>PBAC</v>
      </c>
      <c r="I807" s="87" t="str">
        <f>VLOOKUP(Tabela1[[#This Row],[Matrícula]],Equipe!B:F,5,0)</f>
        <v>Novo</v>
      </c>
    </row>
    <row r="808" spans="1:9" hidden="1">
      <c r="A808" s="83" t="s">
        <v>65</v>
      </c>
      <c r="B808" s="109">
        <f>_xlfn.XLOOKUP(A808,Equipe!H:H,Equipe!B:B,"",0)</f>
        <v>4606246</v>
      </c>
      <c r="C808" s="154">
        <v>46202</v>
      </c>
      <c r="D808" s="151">
        <f>(IF(Tabela1[[#This Row],[Início]]&lt;&gt;"",C808+E808-1,""))*1</f>
        <v>46204</v>
      </c>
      <c r="E808" s="83">
        <v>3</v>
      </c>
      <c r="F808" s="87" t="s">
        <v>11</v>
      </c>
      <c r="G808" s="88" t="s">
        <v>474</v>
      </c>
      <c r="H808" s="87" t="str">
        <f>_xlfn.XLOOKUP(Tabela1[[#This Row],[Matrícula]],Equipe!B:B,Equipe!E:E,"ERRO",0)</f>
        <v>PBAC</v>
      </c>
      <c r="I808" s="87" t="str">
        <f>VLOOKUP(Tabela1[[#This Row],[Matrícula]],Equipe!B:F,5,0)</f>
        <v>Novo</v>
      </c>
    </row>
    <row r="809" spans="1:9" hidden="1">
      <c r="A809" s="87" t="s">
        <v>58</v>
      </c>
      <c r="B809" s="87">
        <f>_xlfn.XLOOKUP(A809,Equipe!H:H,Equipe!B:B,"",0)</f>
        <v>9612082</v>
      </c>
      <c r="C809" s="155">
        <v>46203</v>
      </c>
      <c r="D809" s="151">
        <v>46203</v>
      </c>
      <c r="E809" s="87">
        <v>1</v>
      </c>
      <c r="F809" s="87" t="s">
        <v>11</v>
      </c>
      <c r="G809" s="93" t="s">
        <v>461</v>
      </c>
      <c r="H809" s="87" t="str">
        <f>_xlfn.XLOOKUP(Tabela1[[#This Row],[Matrícula]],Equipe!B:B,Equipe!E:E,"ERRO",0)</f>
        <v>P82</v>
      </c>
      <c r="I809" s="87" t="str">
        <f>VLOOKUP(Tabela1[[#This Row],[Matrícula]],Equipe!B:F,5,0)</f>
        <v>Experiente</v>
      </c>
    </row>
    <row r="810" spans="1:9" hidden="1">
      <c r="A810" s="83" t="s">
        <v>331</v>
      </c>
      <c r="B810" s="109">
        <f>_xlfn.XLOOKUP(A810,Equipe!H:H,Equipe!B:B,"",0)</f>
        <v>4613176</v>
      </c>
      <c r="C810" s="154">
        <v>46203</v>
      </c>
      <c r="D810" s="151">
        <f>(IF(Tabela1[[#This Row],[Início]]&lt;&gt;"",C810+E810-1,""))*1</f>
        <v>46220</v>
      </c>
      <c r="E810" s="83">
        <v>18</v>
      </c>
      <c r="F810" s="87" t="s">
        <v>14</v>
      </c>
      <c r="G810" s="88" t="s">
        <v>358</v>
      </c>
      <c r="H810" s="87" t="str">
        <f>_xlfn.XLOOKUP(Tabela1[[#This Row],[Matrícula]],Equipe!B:B,Equipe!E:E,"ERRO",0)</f>
        <v>P82</v>
      </c>
      <c r="I810" s="87" t="str">
        <f>VLOOKUP(Tabela1[[#This Row],[Matrícula]],Equipe!B:F,5,0)</f>
        <v>Novo</v>
      </c>
    </row>
    <row r="811" spans="1:9">
      <c r="A811" s="83" t="s">
        <v>62</v>
      </c>
      <c r="B811" s="92">
        <f>_xlfn.XLOOKUP(A811,Equipe!H:H,Equipe!B:B,"",0)</f>
        <v>9886449</v>
      </c>
      <c r="C811" s="154">
        <v>46204</v>
      </c>
      <c r="D811" s="150">
        <f>(IF(Tabela1[[#This Row],[Início]]&lt;&gt;"",C811+E811-1,""))*1</f>
        <v>46221</v>
      </c>
      <c r="E811" s="83">
        <v>18</v>
      </c>
      <c r="F811" s="83" t="s">
        <v>232</v>
      </c>
      <c r="G811" s="88" t="s">
        <v>446</v>
      </c>
      <c r="H811" s="83" t="str">
        <f>_xlfn.XLOOKUP(Tabela1[[#This Row],[Matrícula]],Equipe!B:B,Equipe!E:E,"ERRO",0)</f>
        <v>P80</v>
      </c>
      <c r="I811" s="83" t="str">
        <f>VLOOKUP(Tabela1[[#This Row],[Matrícula]],Equipe!B:F,5,0)</f>
        <v>Experiente</v>
      </c>
    </row>
    <row r="812" spans="1:9" hidden="1">
      <c r="A812" s="83" t="s">
        <v>57</v>
      </c>
      <c r="B812" s="109">
        <f>_xlfn.XLOOKUP(A812,Equipe!H:H,Equipe!B:B,"",0)</f>
        <v>4608684</v>
      </c>
      <c r="C812" s="154">
        <v>46204</v>
      </c>
      <c r="D812" s="151">
        <f>(IF(Tabela1[[#This Row],[Início]]&lt;&gt;"",C812+E812-1,""))*1</f>
        <v>46217</v>
      </c>
      <c r="E812" s="83">
        <v>14</v>
      </c>
      <c r="F812" s="87" t="s">
        <v>17</v>
      </c>
      <c r="G812" s="88" t="s">
        <v>181</v>
      </c>
      <c r="H812" s="87" t="str">
        <f>_xlfn.XLOOKUP(Tabela1[[#This Row],[Matrícula]],Equipe!B:B,Equipe!E:E,"ERRO",0)</f>
        <v>P82</v>
      </c>
      <c r="I812" s="87" t="str">
        <f>VLOOKUP(Tabela1[[#This Row],[Matrícula]],Equipe!B:F,5,0)</f>
        <v>Novo</v>
      </c>
    </row>
    <row r="813" spans="1:9" hidden="1">
      <c r="A813" s="83" t="s">
        <v>37</v>
      </c>
      <c r="B813" s="109">
        <f>_xlfn.XLOOKUP(A813,Equipe!H:H,Equipe!B:B,"",0)</f>
        <v>2493288</v>
      </c>
      <c r="C813" s="154">
        <v>46204</v>
      </c>
      <c r="D813" s="151">
        <f>(IF(Tabela1[[#This Row],[Início]]&lt;&gt;"",C813+E813-1,""))*1</f>
        <v>46204</v>
      </c>
      <c r="E813" s="83">
        <v>1</v>
      </c>
      <c r="F813" s="87" t="s">
        <v>11</v>
      </c>
      <c r="G813" s="88" t="s">
        <v>475</v>
      </c>
      <c r="H813" s="87" t="str">
        <f>_xlfn.XLOOKUP(Tabela1[[#This Row],[Matrícula]],Equipe!B:B,Equipe!E:E,"ERRO",0)</f>
        <v>PBAC</v>
      </c>
      <c r="I813" s="87" t="str">
        <f>VLOOKUP(Tabela1[[#This Row],[Matrícula]],Equipe!B:F,5,0)</f>
        <v>Experiente</v>
      </c>
    </row>
    <row r="814" spans="1:9" hidden="1">
      <c r="A814" s="87" t="s">
        <v>58</v>
      </c>
      <c r="B814" s="87">
        <f>_xlfn.XLOOKUP(A814,Equipe!H:H,Equipe!B:B,"",0)</f>
        <v>9612082</v>
      </c>
      <c r="C814" s="155">
        <v>46205</v>
      </c>
      <c r="D814" s="151">
        <v>46206</v>
      </c>
      <c r="E814" s="87">
        <v>1</v>
      </c>
      <c r="F814" s="87" t="s">
        <v>11</v>
      </c>
      <c r="G814" s="93" t="s">
        <v>451</v>
      </c>
      <c r="H814" s="87" t="str">
        <f>_xlfn.XLOOKUP(Tabela1[[#This Row],[Matrícula]],Equipe!B:B,Equipe!E:E,"ERRO",0)</f>
        <v>P82</v>
      </c>
      <c r="I814" s="87" t="str">
        <f>VLOOKUP(Tabela1[[#This Row],[Matrícula]],Equipe!B:F,5,0)</f>
        <v>Experiente</v>
      </c>
    </row>
    <row r="815" spans="1:9" hidden="1">
      <c r="A815" s="83" t="s">
        <v>40</v>
      </c>
      <c r="B815" s="109">
        <f>_xlfn.XLOOKUP(A815,Equipe!H:H,Equipe!B:B,"",0)</f>
        <v>9724817</v>
      </c>
      <c r="C815" s="154">
        <v>46205</v>
      </c>
      <c r="D815" s="151">
        <f>(IF(Tabela1[[#This Row],[Início]]&lt;&gt;"",C815+E815-1,""))*1</f>
        <v>46206</v>
      </c>
      <c r="E815" s="83">
        <v>2</v>
      </c>
      <c r="F815" s="87" t="s">
        <v>14</v>
      </c>
      <c r="G815" s="88" t="s">
        <v>390</v>
      </c>
      <c r="H815" s="87" t="str">
        <f>_xlfn.XLOOKUP(Tabela1[[#This Row],[Matrícula]],Equipe!B:B,Equipe!E:E,"ERRO",0)</f>
        <v>P82</v>
      </c>
      <c r="I815" s="87" t="str">
        <f>VLOOKUP(Tabela1[[#This Row],[Matrícula]],Equipe!B:F,5,0)</f>
        <v>Experiente</v>
      </c>
    </row>
    <row r="816" spans="1:9" hidden="1">
      <c r="A816" s="83" t="s">
        <v>31</v>
      </c>
      <c r="B816" s="109">
        <f>_xlfn.XLOOKUP(A816,Equipe!H:H,Equipe!B:B,"",0)</f>
        <v>1386344</v>
      </c>
      <c r="C816" s="152">
        <v>46206</v>
      </c>
      <c r="D816" s="152">
        <f>(IF(Tabela1[[#This Row],[Início]]&lt;&gt;"",C816+E816-1,""))*1</f>
        <v>46206</v>
      </c>
      <c r="E816" s="83">
        <v>1</v>
      </c>
      <c r="F816" s="87" t="s">
        <v>14</v>
      </c>
      <c r="G816" s="88" t="s">
        <v>95</v>
      </c>
      <c r="H816" s="87" t="str">
        <f>_xlfn.XLOOKUP(Tabela1[[#This Row],[Matrícula]],Equipe!B:B,Equipe!E:E,"ERRO",0)</f>
        <v>P82</v>
      </c>
      <c r="I816" s="87" t="str">
        <f>VLOOKUP(Tabela1[[#This Row],[Matrícula]],Equipe!B:F,5,0)</f>
        <v>Experiente</v>
      </c>
    </row>
    <row r="817" spans="1:9" hidden="1">
      <c r="A817" s="83" t="s">
        <v>31</v>
      </c>
      <c r="B817" s="109">
        <f>_xlfn.XLOOKUP(A817,Equipe!H:H,Equipe!B:B,"",0)</f>
        <v>1386344</v>
      </c>
      <c r="C817" s="152">
        <v>46209</v>
      </c>
      <c r="D817" s="152">
        <f>(IF(Tabela1[[#This Row],[Início]]&lt;&gt;"",C817+E817-1,""))*1</f>
        <v>46213</v>
      </c>
      <c r="E817" s="83">
        <v>5</v>
      </c>
      <c r="F817" s="87" t="s">
        <v>14</v>
      </c>
      <c r="G817" s="88" t="s">
        <v>95</v>
      </c>
      <c r="H817" s="87" t="str">
        <f>_xlfn.XLOOKUP(Tabela1[[#This Row],[Matrícula]],Equipe!B:B,Equipe!E:E,"ERRO",0)</f>
        <v>P82</v>
      </c>
      <c r="I817" s="87" t="str">
        <f>VLOOKUP(Tabela1[[#This Row],[Matrícula]],Equipe!B:F,5,0)</f>
        <v>Experiente</v>
      </c>
    </row>
    <row r="818" spans="1:9" hidden="1">
      <c r="A818" s="83" t="s">
        <v>142</v>
      </c>
      <c r="B818" s="109">
        <f>_xlfn.XLOOKUP(A818,Equipe!H:H,Equipe!B:B,"",0)</f>
        <v>4612228</v>
      </c>
      <c r="C818" s="154">
        <v>46209</v>
      </c>
      <c r="D818" s="151">
        <f>(IF(Tabela1[[#This Row],[Início]]&lt;&gt;"",C818+E818-1,""))*1</f>
        <v>46226</v>
      </c>
      <c r="E818" s="83">
        <v>18</v>
      </c>
      <c r="F818" s="87" t="s">
        <v>232</v>
      </c>
      <c r="G818" s="88" t="s">
        <v>232</v>
      </c>
      <c r="H818" s="87" t="str">
        <f>_xlfn.XLOOKUP(Tabela1[[#This Row],[Matrícula]],Equipe!B:B,Equipe!E:E,"ERRO",0)</f>
        <v>P82</v>
      </c>
      <c r="I818" s="87" t="str">
        <f>VLOOKUP(Tabela1[[#This Row],[Matrícula]],Equipe!B:F,5,0)</f>
        <v>Novo</v>
      </c>
    </row>
    <row r="819" spans="1:9" hidden="1">
      <c r="A819" s="83" t="s">
        <v>42</v>
      </c>
      <c r="B819" s="109">
        <f>_xlfn.XLOOKUP(A819,Equipe!H:H,Equipe!B:B,"",0)</f>
        <v>9634222</v>
      </c>
      <c r="C819" s="154">
        <v>46209</v>
      </c>
      <c r="D819" s="151">
        <f>(IF(Tabela1[[#This Row],[Início]]&lt;&gt;"",C819+E819-1,""))*1</f>
        <v>46228</v>
      </c>
      <c r="E819" s="83">
        <v>20</v>
      </c>
      <c r="F819" s="87" t="s">
        <v>232</v>
      </c>
      <c r="G819" s="88" t="s">
        <v>476</v>
      </c>
      <c r="H819" s="87" t="str">
        <f>_xlfn.XLOOKUP(Tabela1[[#This Row],[Matrícula]],Equipe!B:B,Equipe!E:E,"ERRO",0)</f>
        <v>P83</v>
      </c>
      <c r="I819" s="87" t="str">
        <f>VLOOKUP(Tabela1[[#This Row],[Matrícula]],Equipe!B:F,5,0)</f>
        <v>Experiente</v>
      </c>
    </row>
    <row r="820" spans="1:9">
      <c r="A820" s="83" t="s">
        <v>264</v>
      </c>
      <c r="B820" s="109">
        <f>_xlfn.XLOOKUP(A820,Equipe!H:H,Equipe!B:B,"",0)</f>
        <v>9678697</v>
      </c>
      <c r="C820" s="154">
        <v>46209</v>
      </c>
      <c r="D820" s="151">
        <f>(IF(Tabela1[[#This Row],[Início]]&lt;&gt;"",C820+E820-1,""))*1</f>
        <v>46213</v>
      </c>
      <c r="E820" s="83">
        <v>5</v>
      </c>
      <c r="F820" s="87" t="s">
        <v>11</v>
      </c>
      <c r="G820" s="88" t="s">
        <v>12</v>
      </c>
      <c r="H820" s="87" t="str">
        <f>_xlfn.XLOOKUP(Tabela1[[#This Row],[Matrícula]],Equipe!B:B,Equipe!E:E,"ERRO",0)</f>
        <v>P80</v>
      </c>
      <c r="I820" s="87" t="str">
        <f>VLOOKUP(Tabela1[[#This Row],[Matrícula]],Equipe!B:F,5,0)</f>
        <v>Experiente</v>
      </c>
    </row>
    <row r="821" spans="1:9">
      <c r="A821" s="83" t="s">
        <v>44</v>
      </c>
      <c r="B821" s="109">
        <f>_xlfn.XLOOKUP(A821,Equipe!H:H,Equipe!B:B,"",0)</f>
        <v>1381625</v>
      </c>
      <c r="C821" s="154">
        <v>46210</v>
      </c>
      <c r="D821" s="151">
        <f>(IF(Tabela1[[#This Row],[Início]]&lt;&gt;"",C821+E821-1,""))*1</f>
        <v>46230</v>
      </c>
      <c r="E821" s="83">
        <v>21</v>
      </c>
      <c r="F821" s="87" t="s">
        <v>14</v>
      </c>
      <c r="G821" s="88" t="s">
        <v>477</v>
      </c>
      <c r="H821" s="87" t="str">
        <f>_xlfn.XLOOKUP(Tabela1[[#This Row],[Matrícula]],Equipe!B:B,Equipe!E:E,"ERRO",0)</f>
        <v>P80</v>
      </c>
      <c r="I821" s="87" t="str">
        <f>VLOOKUP(Tabela1[[#This Row],[Matrícula]],Equipe!B:F,5,0)</f>
        <v>Experiente</v>
      </c>
    </row>
    <row r="822" spans="1:9" hidden="1">
      <c r="A822" s="83" t="s">
        <v>106</v>
      </c>
      <c r="B822" s="83">
        <f>_xlfn.XLOOKUP(A822,Equipe!H:H,Equipe!B:B,"",0)</f>
        <v>4612050</v>
      </c>
      <c r="C822" s="154">
        <v>46211</v>
      </c>
      <c r="D822" s="151">
        <f>(IF(Tabela1[[#This Row],[Início]]&lt;&gt;"",C822+E822-1,""))*1</f>
        <v>46212</v>
      </c>
      <c r="E822" s="83">
        <v>2</v>
      </c>
      <c r="F822" s="83" t="s">
        <v>11</v>
      </c>
      <c r="G822" s="88" t="s">
        <v>478</v>
      </c>
      <c r="H822" s="83" t="str">
        <f>_xlfn.XLOOKUP(Tabela1[[#This Row],[Matrícula]],Equipe!B:B,Equipe!E:E,"ERRO",0)</f>
        <v>P82</v>
      </c>
      <c r="I822" s="83" t="str">
        <f>VLOOKUP(Tabela1[[#This Row],[Matrícula]],Equipe!B:F,5,0)</f>
        <v>Novo</v>
      </c>
    </row>
    <row r="823" spans="1:9" hidden="1">
      <c r="A823" s="83" t="s">
        <v>140</v>
      </c>
      <c r="B823" s="109">
        <f>_xlfn.XLOOKUP(A823,Equipe!H:H,Equipe!B:B,"",0)</f>
        <v>4612247</v>
      </c>
      <c r="C823" s="154">
        <v>46211</v>
      </c>
      <c r="D823" s="151">
        <f>(IF(Tabela1[[#This Row],[Início]]&lt;&gt;"",C823+E823-1,""))*1</f>
        <v>46225</v>
      </c>
      <c r="E823" s="83">
        <v>15</v>
      </c>
      <c r="F823" s="87" t="s">
        <v>232</v>
      </c>
      <c r="G823" s="182" t="s">
        <v>259</v>
      </c>
      <c r="H823" s="87" t="str">
        <f>_xlfn.XLOOKUP(Tabela1[[#This Row],[Matrícula]],Equipe!B:B,Equipe!E:E,"ERRO",0)</f>
        <v>P83</v>
      </c>
      <c r="I823" s="87" t="str">
        <f>VLOOKUP(Tabela1[[#This Row],[Matrícula]],Equipe!B:F,5,0)</f>
        <v>Novo</v>
      </c>
    </row>
    <row r="824" spans="1:9">
      <c r="A824" s="83" t="s">
        <v>108</v>
      </c>
      <c r="B824" s="109">
        <f>_xlfn.XLOOKUP(A824,Equipe!H:H,Equipe!B:B,"",0)</f>
        <v>4612243</v>
      </c>
      <c r="C824" s="154">
        <v>46211</v>
      </c>
      <c r="D824" s="151">
        <f>(IF(Tabela1[[#This Row],[Início]]&lt;&gt;"",C824+E824-1,""))*1</f>
        <v>46231</v>
      </c>
      <c r="E824" s="83">
        <v>21</v>
      </c>
      <c r="F824" s="87" t="s">
        <v>14</v>
      </c>
      <c r="G824" s="88" t="s">
        <v>479</v>
      </c>
      <c r="H824" s="87" t="str">
        <f>_xlfn.XLOOKUP(Tabela1[[#This Row],[Matrícula]],Equipe!B:B,Equipe!E:E,"ERRO",0)</f>
        <v>P80</v>
      </c>
      <c r="I824" s="87" t="str">
        <f>VLOOKUP(Tabela1[[#This Row],[Matrícula]],Equipe!B:F,5,0)</f>
        <v>Novo</v>
      </c>
    </row>
    <row r="825" spans="1:9">
      <c r="A825" s="83" t="s">
        <v>116</v>
      </c>
      <c r="B825" s="83">
        <f>_xlfn.XLOOKUP(A825,Equipe!H:H,Equipe!B:B,"",0)</f>
        <v>4612171</v>
      </c>
      <c r="C825" s="154">
        <v>46211</v>
      </c>
      <c r="D825" s="154">
        <f>(IF(Tabela1[[#This Row],[Início]]&lt;&gt;"",C825+E825-1,""))*1</f>
        <v>46212</v>
      </c>
      <c r="E825" s="83">
        <v>2</v>
      </c>
      <c r="F825" s="83" t="s">
        <v>11</v>
      </c>
      <c r="G825" s="88" t="s">
        <v>480</v>
      </c>
      <c r="H825" s="83" t="str">
        <f>_xlfn.XLOOKUP(Tabela1[[#This Row],[Matrícula]],Equipe!B:B,Equipe!E:E,"ERRO",0)</f>
        <v>P80</v>
      </c>
      <c r="I825" s="83" t="str">
        <f>VLOOKUP(Tabela1[[#This Row],[Matrícula]],Equipe!B:F,5,0)</f>
        <v>Novo</v>
      </c>
    </row>
    <row r="826" spans="1:9" hidden="1">
      <c r="A826" s="83" t="s">
        <v>31</v>
      </c>
      <c r="B826" s="109">
        <f>_xlfn.XLOOKUP(A826,Equipe!H:H,Equipe!B:B,"",0)</f>
        <v>1386344</v>
      </c>
      <c r="C826" s="152">
        <v>46216</v>
      </c>
      <c r="D826" s="152">
        <f>(IF(Tabela1[[#This Row],[Início]]&lt;&gt;"",C826+E826-1,""))*1</f>
        <v>46220</v>
      </c>
      <c r="E826" s="83">
        <v>5</v>
      </c>
      <c r="F826" s="87" t="s">
        <v>14</v>
      </c>
      <c r="G826" s="88" t="s">
        <v>95</v>
      </c>
      <c r="H826" s="87" t="str">
        <f>_xlfn.XLOOKUP(Tabela1[[#This Row],[Matrícula]],Equipe!B:B,Equipe!E:E,"ERRO",0)</f>
        <v>P82</v>
      </c>
      <c r="I826" s="87" t="str">
        <f>VLOOKUP(Tabela1[[#This Row],[Matrícula]],Equipe!B:F,5,0)</f>
        <v>Experiente</v>
      </c>
    </row>
    <row r="827" spans="1:9" hidden="1">
      <c r="A827" s="87" t="s">
        <v>28</v>
      </c>
      <c r="B827" s="109">
        <f>_xlfn.XLOOKUP(A827,Equipe!H:H,Equipe!B:B,"",0)</f>
        <v>2430855</v>
      </c>
      <c r="C827" s="152">
        <v>46216</v>
      </c>
      <c r="D827" s="152">
        <f>((IF(Tabela1[[#This Row],[Início]]&lt;&gt;"",C827+E827-1,""))*1)*1</f>
        <v>46233</v>
      </c>
      <c r="E827" s="87">
        <v>18</v>
      </c>
      <c r="F827" s="87" t="s">
        <v>232</v>
      </c>
      <c r="G827" s="93" t="s">
        <v>446</v>
      </c>
      <c r="H827" s="87" t="str">
        <f>_xlfn.XLOOKUP(Tabela1[[#This Row],[Matrícula]],Equipe!B:B,Equipe!E:E,"ERRO",0)</f>
        <v>PBAC</v>
      </c>
      <c r="I827" s="87" t="str">
        <f>VLOOKUP(Tabela1[[#This Row],[Matrícula]],Equipe!B:F,5,0)</f>
        <v>Experiente</v>
      </c>
    </row>
    <row r="828" spans="1:9">
      <c r="A828" s="83" t="s">
        <v>264</v>
      </c>
      <c r="B828" s="109">
        <f>_xlfn.XLOOKUP(A828,Equipe!H:H,Equipe!B:B,"",0)</f>
        <v>9678697</v>
      </c>
      <c r="C828" s="154">
        <v>46216</v>
      </c>
      <c r="D828" s="151">
        <f>(IF(Tabela1[[#This Row],[Início]]&lt;&gt;"",C828+E828-1,""))*1</f>
        <v>46220</v>
      </c>
      <c r="E828" s="83">
        <v>5</v>
      </c>
      <c r="F828" s="87" t="s">
        <v>11</v>
      </c>
      <c r="G828" s="88" t="s">
        <v>12</v>
      </c>
      <c r="H828" s="87" t="str">
        <f>_xlfn.XLOOKUP(Tabela1[[#This Row],[Matrícula]],Equipe!B:B,Equipe!E:E,"ERRO",0)</f>
        <v>P80</v>
      </c>
      <c r="I828" s="87" t="str">
        <f>VLOOKUP(Tabela1[[#This Row],[Matrícula]],Equipe!B:F,5,0)</f>
        <v>Experiente</v>
      </c>
    </row>
    <row r="829" spans="1:9" hidden="1">
      <c r="A829" s="83" t="s">
        <v>113</v>
      </c>
      <c r="B829" s="109">
        <f>_xlfn.XLOOKUP(A829,Equipe!H:H,Equipe!B:B,"",0)</f>
        <v>4612192</v>
      </c>
      <c r="C829" s="154">
        <v>46217</v>
      </c>
      <c r="D829" s="151">
        <f>(IF(Tabela1[[#This Row],[Início]]&lt;&gt;"",C829+E829-1,""))*1</f>
        <v>46230</v>
      </c>
      <c r="E829" s="83">
        <v>14</v>
      </c>
      <c r="F829" s="87" t="s">
        <v>17</v>
      </c>
      <c r="G829" s="88" t="s">
        <v>32</v>
      </c>
      <c r="H829" s="87" t="str">
        <f>_xlfn.XLOOKUP(Tabela1[[#This Row],[Matrícula]],Equipe!B:B,Equipe!E:E,"ERRO",0)</f>
        <v>P82</v>
      </c>
      <c r="I829" s="87" t="str">
        <f>VLOOKUP(Tabela1[[#This Row],[Matrícula]],Equipe!B:F,5,0)</f>
        <v>Novo</v>
      </c>
    </row>
    <row r="830" spans="1:9" hidden="1">
      <c r="A830" s="83" t="s">
        <v>57</v>
      </c>
      <c r="B830" s="109">
        <f>_xlfn.XLOOKUP(A830,Equipe!H:H,Equipe!B:B,"",0)</f>
        <v>4608684</v>
      </c>
      <c r="C830" s="154">
        <v>46218</v>
      </c>
      <c r="D830" s="151">
        <f>(IF(Tabela1[[#This Row],[Início]]&lt;&gt;"",C830+E830-1,""))*1</f>
        <v>46238</v>
      </c>
      <c r="E830" s="83">
        <v>21</v>
      </c>
      <c r="F830" s="87" t="s">
        <v>14</v>
      </c>
      <c r="G830" s="88" t="s">
        <v>481</v>
      </c>
      <c r="H830" s="87" t="str">
        <f>_xlfn.XLOOKUP(Tabela1[[#This Row],[Matrícula]],Equipe!B:B,Equipe!E:E,"ERRO",0)</f>
        <v>P82</v>
      </c>
      <c r="I830" s="87" t="str">
        <f>VLOOKUP(Tabela1[[#This Row],[Matrícula]],Equipe!B:F,5,0)</f>
        <v>Novo</v>
      </c>
    </row>
    <row r="831" spans="1:9" hidden="1">
      <c r="A831" s="87" t="s">
        <v>58</v>
      </c>
      <c r="B831" s="87">
        <f>_xlfn.XLOOKUP(A831,Equipe!H:H,Equipe!B:B,"",0)</f>
        <v>9612082</v>
      </c>
      <c r="C831" s="155">
        <v>46220</v>
      </c>
      <c r="D831" s="151">
        <v>46220</v>
      </c>
      <c r="E831" s="87">
        <v>1</v>
      </c>
      <c r="F831" s="87" t="s">
        <v>232</v>
      </c>
      <c r="G831" s="93" t="s">
        <v>482</v>
      </c>
      <c r="H831" s="87" t="str">
        <f>_xlfn.XLOOKUP(Tabela1[[#This Row],[Matrícula]],Equipe!B:B,Equipe!E:E,"ERRO",0)</f>
        <v>P82</v>
      </c>
      <c r="I831" s="87" t="str">
        <f>VLOOKUP(Tabela1[[#This Row],[Matrícula]],Equipe!B:F,5,0)</f>
        <v>Experiente</v>
      </c>
    </row>
    <row r="832" spans="1:9" hidden="1">
      <c r="A832" s="83" t="s">
        <v>58</v>
      </c>
      <c r="B832" s="83">
        <f>_xlfn.XLOOKUP(A832,Equipe!H:H,Equipe!B:B,"",0)</f>
        <v>9612082</v>
      </c>
      <c r="C832" s="154">
        <v>46223</v>
      </c>
      <c r="D832" s="150">
        <v>46232</v>
      </c>
      <c r="E832" s="83">
        <v>10</v>
      </c>
      <c r="F832" s="83" t="s">
        <v>232</v>
      </c>
      <c r="G832" s="88" t="s">
        <v>232</v>
      </c>
      <c r="H832" s="83" t="str">
        <f>_xlfn.XLOOKUP(Tabela1[[#This Row],[Matrícula]],Equipe!B:B,Equipe!E:E,"ERRO",0)</f>
        <v>P82</v>
      </c>
      <c r="I832" s="83" t="str">
        <f>VLOOKUP(Tabela1[[#This Row],[Matrícula]],Equipe!B:F,5,0)</f>
        <v>Experiente</v>
      </c>
    </row>
    <row r="833" spans="1:9" hidden="1">
      <c r="A833" s="83" t="s">
        <v>57</v>
      </c>
      <c r="B833" s="109">
        <f>_xlfn.XLOOKUP(A833,Equipe!H:H,Equipe!B:B,"",0)</f>
        <v>4608684</v>
      </c>
      <c r="C833" s="154">
        <v>46223</v>
      </c>
      <c r="D833" s="151">
        <f>(IF(Tabela1[[#This Row],[Início]]&lt;&gt;"",C833+E833-1,""))*1</f>
        <v>46226</v>
      </c>
      <c r="E833" s="83">
        <v>4</v>
      </c>
      <c r="F833" s="87" t="s">
        <v>11</v>
      </c>
      <c r="G833" s="93" t="s">
        <v>483</v>
      </c>
      <c r="H833" s="87" t="str">
        <f>_xlfn.XLOOKUP(Tabela1[[#This Row],[Matrícula]],Equipe!B:B,Equipe!E:E,"ERRO",0)</f>
        <v>P82</v>
      </c>
      <c r="I833" s="87" t="str">
        <f>VLOOKUP(Tabela1[[#This Row],[Matrícula]],Equipe!B:F,5,0)</f>
        <v>Novo</v>
      </c>
    </row>
    <row r="834" spans="1:9" hidden="1">
      <c r="A834" s="83" t="s">
        <v>231</v>
      </c>
      <c r="B834" s="109">
        <f>_xlfn.XLOOKUP(A834,Equipe!H:H,Equipe!B:B,"",0)</f>
        <v>2550195</v>
      </c>
      <c r="C834" s="154">
        <v>46223</v>
      </c>
      <c r="D834" s="151">
        <f>(IF(Tabela1[[#This Row],[Início]]&lt;&gt;"",C834+E834-1,""))*1</f>
        <v>46227</v>
      </c>
      <c r="E834" s="83">
        <v>5</v>
      </c>
      <c r="F834" s="87" t="s">
        <v>232</v>
      </c>
      <c r="G834" s="88"/>
      <c r="H834" s="87" t="str">
        <f>_xlfn.XLOOKUP(Tabela1[[#This Row],[Matrícula]],Equipe!B:B,Equipe!E:E,"ERRO",0)</f>
        <v>P83</v>
      </c>
      <c r="I834" s="87" t="str">
        <f>VLOOKUP(Tabela1[[#This Row],[Matrícula]],Equipe!B:F,5,0)</f>
        <v>Experiente</v>
      </c>
    </row>
    <row r="835" spans="1:9" hidden="1">
      <c r="A835" s="87" t="s">
        <v>65</v>
      </c>
      <c r="B835" s="92">
        <f>_xlfn.XLOOKUP(A835,Equipe!H:H,Equipe!B:B,"",0)</f>
        <v>4606246</v>
      </c>
      <c r="C835" s="154">
        <v>46223</v>
      </c>
      <c r="D835" s="151">
        <f>((IF(Tabela1[[#This Row],[Início]]&lt;&gt;"",C835+E835-1,""))*1)*1</f>
        <v>46228</v>
      </c>
      <c r="E835" s="83">
        <v>6</v>
      </c>
      <c r="F835" s="83" t="s">
        <v>232</v>
      </c>
      <c r="G835" s="88" t="s">
        <v>484</v>
      </c>
      <c r="H835" s="83" t="str">
        <f>_xlfn.XLOOKUP(Tabela1[[#This Row],[Matrícula]],Equipe!B:B,Equipe!E:E,"ERRO",0)</f>
        <v>PBAC</v>
      </c>
      <c r="I835" s="83" t="str">
        <f>VLOOKUP(Tabela1[[#This Row],[Matrícula]],Equipe!B:F,5,0)</f>
        <v>Novo</v>
      </c>
    </row>
    <row r="836" spans="1:9">
      <c r="A836" s="83" t="s">
        <v>264</v>
      </c>
      <c r="B836" s="109">
        <f>_xlfn.XLOOKUP(A836,Equipe!H:H,Equipe!B:B,"",0)</f>
        <v>9678697</v>
      </c>
      <c r="C836" s="154">
        <v>46225</v>
      </c>
      <c r="D836" s="151">
        <f>(IF(Tabela1[[#This Row],[Início]]&lt;&gt;"",C836+E836-1,""))*1</f>
        <v>46225</v>
      </c>
      <c r="E836" s="83">
        <v>1</v>
      </c>
      <c r="F836" s="87" t="s">
        <v>11</v>
      </c>
      <c r="G836" s="88" t="s">
        <v>485</v>
      </c>
      <c r="H836" s="87" t="str">
        <f>_xlfn.XLOOKUP(Tabela1[[#This Row],[Matrícula]],Equipe!B:B,Equipe!E:E,"ERRO",0)</f>
        <v>P80</v>
      </c>
      <c r="I836" s="87" t="str">
        <f>VLOOKUP(Tabela1[[#This Row],[Matrícula]],Equipe!B:F,5,0)</f>
        <v>Experiente</v>
      </c>
    </row>
    <row r="837" spans="1:9">
      <c r="A837" s="83" t="s">
        <v>168</v>
      </c>
      <c r="B837" s="109">
        <f>_xlfn.XLOOKUP(A837,Equipe!H:H,Equipe!B:B,"",0)</f>
        <v>2440812</v>
      </c>
      <c r="C837" s="154">
        <v>46230</v>
      </c>
      <c r="D837" s="151">
        <f>(IF(Tabela1[[#This Row],[Início]]&lt;&gt;"",C837+E837-1,""))*1</f>
        <v>46241</v>
      </c>
      <c r="E837" s="83">
        <v>12</v>
      </c>
      <c r="F837" s="87" t="s">
        <v>232</v>
      </c>
      <c r="G837" s="88" t="s">
        <v>486</v>
      </c>
      <c r="H837" s="87" t="str">
        <f>_xlfn.XLOOKUP(Tabela1[[#This Row],[Matrícula]],Equipe!B:B,Equipe!E:E,"ERRO",0)</f>
        <v>P80</v>
      </c>
      <c r="I837" s="87" t="str">
        <f>VLOOKUP(Tabela1[[#This Row],[Matrícula]],Equipe!B:F,5,0)</f>
        <v>Experiente</v>
      </c>
    </row>
    <row r="838" spans="1:9" ht="29.1" hidden="1">
      <c r="A838" s="83" t="s">
        <v>57</v>
      </c>
      <c r="B838" s="109">
        <f>_xlfn.XLOOKUP(A838,Equipe!H:H,Equipe!B:B,"",0)</f>
        <v>4608684</v>
      </c>
      <c r="C838" s="154">
        <v>46231</v>
      </c>
      <c r="D838" s="151">
        <f>(IF(Tabela1[[#This Row],[Início]]&lt;&gt;"",C838+E838-1,""))*1</f>
        <v>46233</v>
      </c>
      <c r="E838" s="83">
        <v>3</v>
      </c>
      <c r="F838" s="87" t="s">
        <v>11</v>
      </c>
      <c r="G838" s="88" t="s">
        <v>487</v>
      </c>
      <c r="H838" s="87" t="str">
        <f>_xlfn.XLOOKUP(Tabela1[[#This Row],[Matrícula]],Equipe!B:B,Equipe!E:E,"ERRO",0)</f>
        <v>P82</v>
      </c>
      <c r="I838" s="87" t="str">
        <f>VLOOKUP(Tabela1[[#This Row],[Matrícula]],Equipe!B:F,5,0)</f>
        <v>Novo</v>
      </c>
    </row>
    <row r="839" spans="1:9">
      <c r="A839" s="83" t="s">
        <v>36</v>
      </c>
      <c r="B839" s="109">
        <f>_xlfn.XLOOKUP(A839,Equipe!H:H,Equipe!B:B,"",0)</f>
        <v>4608721</v>
      </c>
      <c r="C839" s="154">
        <v>46273</v>
      </c>
      <c r="D839" s="151">
        <f>(IF(Tabela1[[#This Row],[Início]]&lt;&gt;"",C839+E839-1,""))*1</f>
        <v>46275</v>
      </c>
      <c r="E839" s="83">
        <v>3</v>
      </c>
      <c r="F839" s="87" t="s">
        <v>11</v>
      </c>
      <c r="G839" s="88" t="s">
        <v>488</v>
      </c>
      <c r="H839" s="87" t="str">
        <f>_xlfn.XLOOKUP(Tabela1[[#This Row],[Matrícula]],Equipe!B:B,Equipe!E:E,"ERRO",0)</f>
        <v>P80</v>
      </c>
      <c r="I839" s="87" t="str">
        <f>VLOOKUP(Tabela1[[#This Row],[Matrícula]],Equipe!B:F,5,0)</f>
        <v>Novo</v>
      </c>
    </row>
    <row r="840" spans="1:9" hidden="1">
      <c r="A840" s="87" t="s">
        <v>53</v>
      </c>
      <c r="B840" s="109">
        <f>_xlfn.XLOOKUP(A840,Equipe!H:H,Equipe!B:B,"",0)</f>
        <v>4608780</v>
      </c>
      <c r="C840" s="155">
        <v>46231</v>
      </c>
      <c r="D840" s="151">
        <f>(IF(Tabela1[[#This Row],[Início]]&lt;&gt;"",C840+E840-1,""))*1</f>
        <v>46233</v>
      </c>
      <c r="E840" s="87">
        <v>3</v>
      </c>
      <c r="F840" s="87" t="s">
        <v>11</v>
      </c>
      <c r="G840" s="93" t="s">
        <v>432</v>
      </c>
      <c r="H840" s="87" t="str">
        <f>_xlfn.XLOOKUP(Tabela1[[#This Row],[Matrícula]],Equipe!B:B,Equipe!E:E,"ERRO",0)</f>
        <v>P83</v>
      </c>
      <c r="I840" s="87" t="str">
        <f>VLOOKUP(Tabela1[[#This Row],[Matrícula]],Equipe!B:F,5,0)</f>
        <v>Novo</v>
      </c>
    </row>
    <row r="841" spans="1:9" hidden="1">
      <c r="A841" s="83" t="s">
        <v>113</v>
      </c>
      <c r="B841" s="109">
        <f>_xlfn.XLOOKUP(A841,Equipe!H:H,Equipe!B:B,"",0)</f>
        <v>4612192</v>
      </c>
      <c r="C841" s="154">
        <v>46231</v>
      </c>
      <c r="D841" s="151">
        <f>(IF(Tabela1[[#This Row],[Início]]&lt;&gt;"",C841+E841-1,""))*1</f>
        <v>46251</v>
      </c>
      <c r="E841" s="83">
        <v>21</v>
      </c>
      <c r="F841" s="87" t="s">
        <v>14</v>
      </c>
      <c r="G841" s="88" t="s">
        <v>477</v>
      </c>
      <c r="H841" s="87" t="str">
        <f>_xlfn.XLOOKUP(Tabela1[[#This Row],[Matrícula]],Equipe!B:B,Equipe!E:E,"ERRO",0)</f>
        <v>P82</v>
      </c>
      <c r="I841" s="87" t="str">
        <f>VLOOKUP(Tabela1[[#This Row],[Matrícula]],Equipe!B:F,5,0)</f>
        <v>Novo</v>
      </c>
    </row>
    <row r="842" spans="1:9" hidden="1">
      <c r="A842" s="83" t="s">
        <v>111</v>
      </c>
      <c r="B842" s="83">
        <v>4612126</v>
      </c>
      <c r="C842" s="154">
        <v>46223</v>
      </c>
      <c r="D842" s="150">
        <v>46227</v>
      </c>
      <c r="E842" s="83">
        <v>5</v>
      </c>
      <c r="F842" s="83" t="s">
        <v>11</v>
      </c>
      <c r="G842" s="88" t="s">
        <v>305</v>
      </c>
      <c r="H842" s="83" t="s">
        <v>489</v>
      </c>
      <c r="I842" s="83" t="s">
        <v>490</v>
      </c>
    </row>
    <row r="843" spans="1:9" hidden="1">
      <c r="A843" s="83" t="s">
        <v>140</v>
      </c>
      <c r="B843" s="109">
        <f>_xlfn.XLOOKUP(A843,Equipe!H:H,Equipe!B:B,"",0)</f>
        <v>4612247</v>
      </c>
      <c r="C843" s="154">
        <v>46239</v>
      </c>
      <c r="D843" s="151">
        <f>(IF(Tabela1[[#This Row],[Início]]&lt;&gt;"",C843+E843-1,""))*1</f>
        <v>46253</v>
      </c>
      <c r="E843" s="83">
        <v>15</v>
      </c>
      <c r="F843" s="87" t="s">
        <v>232</v>
      </c>
      <c r="G843" s="88" t="s">
        <v>443</v>
      </c>
      <c r="H843" s="87" t="str">
        <f>_xlfn.XLOOKUP(Tabela1[[#This Row],[Matrícula]],Equipe!B:B,Equipe!E:E,"ERRO",0)</f>
        <v>P83</v>
      </c>
      <c r="I843" s="87" t="str">
        <f>VLOOKUP(Tabela1[[#This Row],[Matrícula]],Equipe!B:F,5,0)</f>
        <v>Novo</v>
      </c>
    </row>
    <row r="844" spans="1:9" hidden="1">
      <c r="A844" s="87" t="s">
        <v>34</v>
      </c>
      <c r="B844" s="83">
        <v>4608474</v>
      </c>
      <c r="C844" s="154">
        <v>46211</v>
      </c>
      <c r="D844" s="150">
        <v>46212</v>
      </c>
      <c r="E844" s="83">
        <v>2</v>
      </c>
      <c r="F844" s="83" t="s">
        <v>11</v>
      </c>
      <c r="G844" s="88" t="s">
        <v>465</v>
      </c>
      <c r="H844" s="83" t="str">
        <f>_xlfn.XLOOKUP(Tabela1[[#This Row],[Matrícula]],Equipe!B:B,Equipe!E:E,"ERRO",0)</f>
        <v>P82</v>
      </c>
      <c r="I844" s="83" t="str">
        <f>VLOOKUP(Tabela1[[#This Row],[Matrícula]],Equipe!B:F,5,0)</f>
        <v>Novo</v>
      </c>
    </row>
    <row r="845" spans="1:9" hidden="1">
      <c r="A845" s="83" t="s">
        <v>34</v>
      </c>
      <c r="B845" s="109">
        <f>_xlfn.XLOOKUP(A845,Equipe!H:H,Equipe!B:B,"",0)</f>
        <v>4608474</v>
      </c>
      <c r="C845" s="154">
        <v>46244</v>
      </c>
      <c r="D845" s="151">
        <v>46246</v>
      </c>
      <c r="E845" s="83">
        <v>3</v>
      </c>
      <c r="F845" s="87" t="s">
        <v>11</v>
      </c>
      <c r="G845" s="88" t="s">
        <v>491</v>
      </c>
      <c r="H845" s="87" t="str">
        <f>_xlfn.XLOOKUP(Tabela1[[#This Row],[Matrícula]],Equipe!B:B,Equipe!E:E,"ERRO",0)</f>
        <v>P82</v>
      </c>
      <c r="I845" s="87" t="str">
        <f>VLOOKUP(Tabela1[[#This Row],[Matrícula]],Equipe!B:F,5,0)</f>
        <v>Novo</v>
      </c>
    </row>
    <row r="846" spans="1:9" hidden="1">
      <c r="A846" s="83" t="s">
        <v>34</v>
      </c>
      <c r="B846" s="109">
        <f>_xlfn.XLOOKUP(A846,Equipe!H:H,Equipe!B:B,"",0)</f>
        <v>4608474</v>
      </c>
      <c r="C846" s="154">
        <v>46251</v>
      </c>
      <c r="D846" s="151">
        <v>46253</v>
      </c>
      <c r="E846" s="83">
        <v>3</v>
      </c>
      <c r="F846" s="87" t="s">
        <v>11</v>
      </c>
      <c r="G846" s="88" t="s">
        <v>492</v>
      </c>
      <c r="H846" s="87" t="str">
        <f>_xlfn.XLOOKUP(Tabela1[[#This Row],[Matrícula]],Equipe!B:B,Equipe!E:E,"ERRO",0)</f>
        <v>P82</v>
      </c>
      <c r="I846" s="87" t="str">
        <f>VLOOKUP(Tabela1[[#This Row],[Matrícula]],Equipe!B:F,5,0)</f>
        <v>Novo</v>
      </c>
    </row>
    <row r="847" spans="1:9" hidden="1">
      <c r="A847" s="83" t="s">
        <v>229</v>
      </c>
      <c r="B847" s="109">
        <f>_xlfn.XLOOKUP(A847,Equipe!H:H,Equipe!B:B,"",0)</f>
        <v>9921954</v>
      </c>
      <c r="C847" s="154">
        <v>46244</v>
      </c>
      <c r="D847" s="151">
        <f>(IF(Tabela1[[#This Row],[Início]]&lt;&gt;"",C847+E847-1,""))*1</f>
        <v>46248</v>
      </c>
      <c r="E847" s="83">
        <v>5</v>
      </c>
      <c r="F847" s="87" t="s">
        <v>11</v>
      </c>
      <c r="G847" s="88" t="s">
        <v>493</v>
      </c>
      <c r="H847" s="87" t="str">
        <f>_xlfn.XLOOKUP(Tabela1[[#This Row],[Matrícula]],Equipe!B:B,Equipe!E:E,"ERRO",0)</f>
        <v>P82</v>
      </c>
      <c r="I847" s="87" t="str">
        <f>VLOOKUP(Tabela1[[#This Row],[Matrícula]],Equipe!B:F,5,0)</f>
        <v>Experiente</v>
      </c>
    </row>
    <row r="848" spans="1:9" hidden="1">
      <c r="A848" s="87" t="s">
        <v>65</v>
      </c>
      <c r="B848" s="92">
        <f>_xlfn.XLOOKUP(A848,Equipe!H:H,Equipe!B:B,"",0)</f>
        <v>4606246</v>
      </c>
      <c r="C848" s="154">
        <v>46244</v>
      </c>
      <c r="D848" s="151">
        <f>((IF(Tabela1[[#This Row],[Início]]&lt;&gt;"",C848+E848-1,""))*1)*1</f>
        <v>46248</v>
      </c>
      <c r="E848" s="83">
        <v>5</v>
      </c>
      <c r="F848" s="83" t="s">
        <v>11</v>
      </c>
      <c r="G848" s="88" t="s">
        <v>494</v>
      </c>
      <c r="H848" s="83" t="str">
        <f>_xlfn.XLOOKUP(Tabela1[[#This Row],[Matrícula]],Equipe!B:B,Equipe!E:E,"ERRO",0)</f>
        <v>PBAC</v>
      </c>
      <c r="I848" s="83" t="str">
        <f>VLOOKUP(Tabela1[[#This Row],[Matrícula]],Equipe!B:F,5,0)</f>
        <v>Novo</v>
      </c>
    </row>
    <row r="849" spans="1:9" hidden="1">
      <c r="A849" s="83" t="s">
        <v>495</v>
      </c>
      <c r="B849" s="92">
        <f>_xlfn.XLOOKUP(A849,Equipe!H:H,Equipe!B:B,"",0)</f>
        <v>2460800</v>
      </c>
      <c r="C849" s="154">
        <v>46246</v>
      </c>
      <c r="D849" s="150">
        <f>(IF(Tabela1[[#This Row],[Início]]&lt;&gt;"",C849+E849-1,""))*1</f>
        <v>46255</v>
      </c>
      <c r="E849" s="83">
        <v>10</v>
      </c>
      <c r="F849" s="83" t="s">
        <v>232</v>
      </c>
      <c r="G849" s="88" t="s">
        <v>496</v>
      </c>
      <c r="H849" s="83" t="str">
        <f>_xlfn.XLOOKUP(Tabela1[[#This Row],[Matrícula]],Equipe!B:B,Equipe!E:E,"ERRO",0)</f>
        <v>P82</v>
      </c>
      <c r="I849" s="83" t="str">
        <f>VLOOKUP(Tabela1[[#This Row],[Matrícula]],Equipe!B:F,5,0)</f>
        <v>Experiente</v>
      </c>
    </row>
    <row r="850" spans="1:9">
      <c r="A850" s="83" t="s">
        <v>108</v>
      </c>
      <c r="B850" s="109">
        <f>_xlfn.XLOOKUP(A850,Equipe!H:H,Equipe!B:B,"",0)</f>
        <v>4612243</v>
      </c>
      <c r="C850" s="154">
        <v>46246</v>
      </c>
      <c r="D850" s="151">
        <f>(IF(Tabela1[[#This Row],[Início]]&lt;&gt;"",C850+E850-1,""))*1</f>
        <v>46247</v>
      </c>
      <c r="E850" s="83">
        <v>2</v>
      </c>
      <c r="F850" s="87" t="s">
        <v>11</v>
      </c>
      <c r="G850" s="88" t="s">
        <v>462</v>
      </c>
      <c r="H850" s="87" t="str">
        <f>_xlfn.XLOOKUP(Tabela1[[#This Row],[Matrícula]],Equipe!B:B,Equipe!E:E,"ERRO",0)</f>
        <v>P80</v>
      </c>
      <c r="I850" s="87" t="str">
        <f>VLOOKUP(Tabela1[[#This Row],[Matrícula]],Equipe!B:F,5,0)</f>
        <v>Novo</v>
      </c>
    </row>
    <row r="851" spans="1:9" hidden="1">
      <c r="A851" s="83" t="s">
        <v>58</v>
      </c>
      <c r="B851" s="83">
        <f>_xlfn.XLOOKUP(A851,Equipe!H:H,Equipe!B:B,"",0)</f>
        <v>9612082</v>
      </c>
      <c r="C851" s="154">
        <v>46240</v>
      </c>
      <c r="D851" s="150">
        <v>46241</v>
      </c>
      <c r="E851" s="83">
        <v>2</v>
      </c>
      <c r="F851" s="83" t="s">
        <v>11</v>
      </c>
      <c r="G851" s="88" t="s">
        <v>497</v>
      </c>
      <c r="H851" s="83" t="str">
        <f>_xlfn.XLOOKUP(Tabela1[[#This Row],[Matrícula]],Equipe!B:B,Equipe!E:E,"ERRO",0)</f>
        <v>P82</v>
      </c>
      <c r="I851" s="83" t="str">
        <f>VLOOKUP(Tabela1[[#This Row],[Matrícula]],Equipe!B:F,5,0)</f>
        <v>Experiente</v>
      </c>
    </row>
    <row r="852" spans="1:9" hidden="1">
      <c r="A852" s="87" t="s">
        <v>58</v>
      </c>
      <c r="B852" s="83">
        <f>_xlfn.XLOOKUP(A852,Equipe!H:H,Equipe!B:B,"",0)</f>
        <v>9612082</v>
      </c>
      <c r="C852" s="155">
        <v>46251</v>
      </c>
      <c r="D852" s="151">
        <v>46255</v>
      </c>
      <c r="E852" s="83">
        <v>5</v>
      </c>
      <c r="F852" s="83" t="s">
        <v>11</v>
      </c>
      <c r="G852" s="88" t="s">
        <v>498</v>
      </c>
      <c r="H852" s="87" t="str">
        <f>_xlfn.XLOOKUP(Tabela1[[#This Row],[Matrícula]],Equipe!B:B,Equipe!E:E,"ERRO",0)</f>
        <v>P82</v>
      </c>
      <c r="I852" s="87" t="str">
        <f>VLOOKUP(Tabela1[[#This Row],[Matrícula]],Equipe!B:F,5,0)</f>
        <v>Experiente</v>
      </c>
    </row>
    <row r="853" spans="1:9" ht="29.1" hidden="1">
      <c r="A853" s="83" t="s">
        <v>34</v>
      </c>
      <c r="B853" s="109">
        <f>_xlfn.XLOOKUP(A853,Equipe!H:H,Equipe!B:B,"",0)</f>
        <v>4608474</v>
      </c>
      <c r="C853" s="154">
        <v>46258</v>
      </c>
      <c r="D853" s="151">
        <v>46259</v>
      </c>
      <c r="E853" s="83">
        <v>2</v>
      </c>
      <c r="F853" s="87" t="s">
        <v>11</v>
      </c>
      <c r="G853" s="88" t="s">
        <v>499</v>
      </c>
      <c r="H853" s="87" t="str">
        <f>_xlfn.XLOOKUP(Tabela1[[#This Row],[Matrícula]],Equipe!B:B,Equipe!E:E,"ERRO",0)</f>
        <v>P82</v>
      </c>
      <c r="I853" s="87" t="str">
        <f>VLOOKUP(Tabela1[[#This Row],[Matrícula]],Equipe!B:F,5,0)</f>
        <v>Novo</v>
      </c>
    </row>
    <row r="854" spans="1:9" ht="29.1">
      <c r="A854" s="83" t="s">
        <v>225</v>
      </c>
      <c r="B854" s="109">
        <f>_xlfn.XLOOKUP(A854,Equipe!H:H,Equipe!B:B,"",0)</f>
        <v>2448533</v>
      </c>
      <c r="C854" s="154">
        <v>46251</v>
      </c>
      <c r="D854" s="151">
        <f>(IF(Tabela1[[#This Row],[Início]]&lt;&gt;"",C854+E854-1,""))*1</f>
        <v>46255</v>
      </c>
      <c r="E854" s="83">
        <v>5</v>
      </c>
      <c r="F854" s="87" t="s">
        <v>11</v>
      </c>
      <c r="G854" s="88" t="s">
        <v>471</v>
      </c>
      <c r="H854" s="87" t="str">
        <f>_xlfn.XLOOKUP(Tabela1[[#This Row],[Matrícula]],Equipe!B:B,Equipe!E:E,"ERRO",0)</f>
        <v>P80</v>
      </c>
      <c r="I854" s="87" t="str">
        <f>VLOOKUP(Tabela1[[#This Row],[Matrícula]],Equipe!B:F,5,0)</f>
        <v>Experiente</v>
      </c>
    </row>
    <row r="855" spans="1:9">
      <c r="A855" s="83" t="s">
        <v>109</v>
      </c>
      <c r="B855" s="109">
        <f>_xlfn.XLOOKUP(A855,Equipe!H:H,Equipe!B:B,"",0)</f>
        <v>4612389</v>
      </c>
      <c r="C855" s="154">
        <v>46251</v>
      </c>
      <c r="D855" s="151">
        <f>(IF(Tabela1[[#This Row],[Início]]&lt;&gt;"",C855+E855-1,""))*1</f>
        <v>46255</v>
      </c>
      <c r="E855" s="83">
        <v>5</v>
      </c>
      <c r="F855" s="87" t="s">
        <v>11</v>
      </c>
      <c r="G855" s="88" t="s">
        <v>500</v>
      </c>
      <c r="H855" s="87" t="str">
        <f>_xlfn.XLOOKUP(Tabela1[[#This Row],[Matrícula]],Equipe!B:B,Equipe!E:E,"ERRO",0)</f>
        <v>P80</v>
      </c>
      <c r="I855" s="87" t="str">
        <f>VLOOKUP(Tabela1[[#This Row],[Matrícula]],Equipe!B:F,5,0)</f>
        <v>Novo</v>
      </c>
    </row>
    <row r="856" spans="1:9">
      <c r="A856" s="83" t="s">
        <v>108</v>
      </c>
      <c r="B856" s="92">
        <f>_xlfn.XLOOKUP(A856,Equipe!H:H,Equipe!B:B,"",0)</f>
        <v>4612243</v>
      </c>
      <c r="C856" s="152">
        <v>46252</v>
      </c>
      <c r="D856" s="152">
        <f>((IF(Tabela1[[#This Row],[Início]]&lt;&gt;"",C856+E856-1,""))*1)*1</f>
        <v>46269</v>
      </c>
      <c r="E856" s="83">
        <v>18</v>
      </c>
      <c r="F856" s="83" t="s">
        <v>232</v>
      </c>
      <c r="G856" s="88" t="s">
        <v>446</v>
      </c>
      <c r="H856" s="83" t="str">
        <f>_xlfn.XLOOKUP(Tabela1[[#This Row],[Matrícula]],Equipe!B:B,Equipe!E:E,"ERRO",0)</f>
        <v>P80</v>
      </c>
      <c r="I856" s="83" t="str">
        <f>VLOOKUP(Tabela1[[#This Row],[Matrícula]],Equipe!B:F,5,0)</f>
        <v>Novo</v>
      </c>
    </row>
    <row r="857" spans="1:9" hidden="1">
      <c r="A857" s="87" t="s">
        <v>58</v>
      </c>
      <c r="B857" s="83">
        <f>_xlfn.XLOOKUP(A857,Equipe!H:H,Equipe!B:B,"",0)</f>
        <v>9612082</v>
      </c>
      <c r="C857" s="155">
        <v>46258</v>
      </c>
      <c r="D857" s="151">
        <v>46262</v>
      </c>
      <c r="E857" s="83">
        <v>5</v>
      </c>
      <c r="F857" s="83" t="s">
        <v>11</v>
      </c>
      <c r="G857" s="88" t="s">
        <v>501</v>
      </c>
      <c r="H857" s="87" t="str">
        <f>_xlfn.XLOOKUP(Tabela1[[#This Row],[Matrícula]],Equipe!B:B,Equipe!E:E,"ERRO",0)</f>
        <v>P82</v>
      </c>
      <c r="I857" s="87" t="str">
        <f>VLOOKUP(Tabela1[[#This Row],[Matrícula]],Equipe!B:F,5,0)</f>
        <v>Experiente</v>
      </c>
    </row>
    <row r="858" spans="1:9" hidden="1">
      <c r="A858" s="87" t="s">
        <v>34</v>
      </c>
      <c r="B858" s="83">
        <v>4608474</v>
      </c>
      <c r="C858" s="155">
        <v>46273</v>
      </c>
      <c r="D858" s="150">
        <v>46275</v>
      </c>
      <c r="E858" s="83">
        <v>3</v>
      </c>
      <c r="F858" s="83" t="s">
        <v>11</v>
      </c>
      <c r="G858" s="88" t="s">
        <v>502</v>
      </c>
      <c r="H858" s="83" t="str">
        <f>_xlfn.XLOOKUP(Tabela1[[#This Row],[Matrícula]],Equipe!B:B,Equipe!E:E,"ERRO",0)</f>
        <v>P82</v>
      </c>
      <c r="I858" s="83" t="str">
        <f>VLOOKUP(Tabela1[[#This Row],[Matrícula]],Equipe!B:F,5,0)</f>
        <v>Novo</v>
      </c>
    </row>
    <row r="859" spans="1:9" ht="101.45" hidden="1">
      <c r="A859" s="83" t="s">
        <v>16</v>
      </c>
      <c r="B859" s="109">
        <f>_xlfn.XLOOKUP(A859,Equipe!H:H,Equipe!B:B,"",0)</f>
        <v>4608544</v>
      </c>
      <c r="C859" s="154">
        <v>46258</v>
      </c>
      <c r="D859" s="151">
        <f>(IF(Tabela1[[#This Row],[Início]]&lt;&gt;"",C859+E859-1,""))*1</f>
        <v>46262</v>
      </c>
      <c r="E859" s="83">
        <v>5</v>
      </c>
      <c r="F859" s="87" t="s">
        <v>11</v>
      </c>
      <c r="G859" s="88" t="s">
        <v>503</v>
      </c>
      <c r="H859" s="87" t="str">
        <f>_xlfn.XLOOKUP(Tabela1[[#This Row],[Matrícula]],Equipe!B:B,Equipe!E:E,"ERRO",0)</f>
        <v>P82</v>
      </c>
      <c r="I859" s="87" t="str">
        <f>VLOOKUP(Tabela1[[#This Row],[Matrícula]],Equipe!B:F,5,0)</f>
        <v>Novo</v>
      </c>
    </row>
    <row r="860" spans="1:9" ht="29.1" hidden="1">
      <c r="A860" s="83" t="s">
        <v>114</v>
      </c>
      <c r="B860" s="109">
        <v>4612140</v>
      </c>
      <c r="C860" s="154">
        <v>46258</v>
      </c>
      <c r="D860" s="151">
        <f>(IF(Tabela1[[#This Row],[Início]]&lt;&gt;"",C860+E860-1,""))*1</f>
        <v>46262</v>
      </c>
      <c r="E860" s="83">
        <v>5</v>
      </c>
      <c r="F860" s="87" t="s">
        <v>11</v>
      </c>
      <c r="G860" s="88" t="s">
        <v>504</v>
      </c>
      <c r="H860" s="87" t="str">
        <f>_xlfn.XLOOKUP(Tabela1[[#This Row],[Matrícula]],Equipe!B:B,Equipe!E:E,"ERRO",0)</f>
        <v>P83</v>
      </c>
      <c r="I860" s="87" t="str">
        <f>VLOOKUP(Tabela1[[#This Row],[Matrícula]],Equipe!B:F,5,0)</f>
        <v>Novo</v>
      </c>
    </row>
    <row r="861" spans="1:9" ht="29.1" hidden="1">
      <c r="A861" s="83" t="s">
        <v>114</v>
      </c>
      <c r="B861" s="109">
        <v>4612140</v>
      </c>
      <c r="C861" s="154">
        <v>46266</v>
      </c>
      <c r="D861" s="151">
        <f>(IF(Tabela1[[#This Row],[Início]]&lt;&gt;"",C861+E861-1,""))*1</f>
        <v>46267</v>
      </c>
      <c r="E861" s="83">
        <v>2</v>
      </c>
      <c r="F861" s="87" t="s">
        <v>11</v>
      </c>
      <c r="G861" s="93" t="s">
        <v>505</v>
      </c>
      <c r="H861" s="87" t="str">
        <f>_xlfn.XLOOKUP(Tabela1[[#This Row],[Matrícula]],Equipe!B:B,Equipe!E:E,"ERRO",0)</f>
        <v>P83</v>
      </c>
      <c r="I861" s="87" t="str">
        <f>VLOOKUP(Tabela1[[#This Row],[Matrícula]],Equipe!B:F,5,0)</f>
        <v>Novo</v>
      </c>
    </row>
    <row r="862" spans="1:9">
      <c r="A862" s="83" t="s">
        <v>116</v>
      </c>
      <c r="B862" s="83">
        <f>_xlfn.XLOOKUP(A862,Equipe!H:H,Equipe!B:B,"",0)</f>
        <v>4612171</v>
      </c>
      <c r="C862" s="154">
        <v>46273</v>
      </c>
      <c r="D862" s="154">
        <f>(IF(Tabela1[[#This Row],[Início]]&lt;&gt;"",C862+E862-1,""))*1</f>
        <v>46286</v>
      </c>
      <c r="E862" s="83">
        <v>14</v>
      </c>
      <c r="F862" s="83" t="s">
        <v>17</v>
      </c>
      <c r="G862" s="88" t="s">
        <v>136</v>
      </c>
      <c r="H862" s="83" t="str">
        <f>_xlfn.XLOOKUP(Tabela1[[#This Row],[Matrícula]],Equipe!B:B,Equipe!E:E,"ERRO",0)</f>
        <v>P80</v>
      </c>
      <c r="I862" s="83" t="str">
        <f>VLOOKUP(Tabela1[[#This Row],[Matrícula]],Equipe!B:F,5,0)</f>
        <v>Novo</v>
      </c>
    </row>
    <row r="863" spans="1:9">
      <c r="A863" s="83" t="s">
        <v>38</v>
      </c>
      <c r="B863" s="109">
        <f>_xlfn.XLOOKUP(A863,Equipe!H:H,Equipe!B:B,"",0)</f>
        <v>1385894</v>
      </c>
      <c r="C863" s="154">
        <v>46273</v>
      </c>
      <c r="D863" s="151">
        <f>(IF(Tabela1[[#This Row],[Início]]&lt;&gt;"",C863+E863-1,""))*1</f>
        <v>46302</v>
      </c>
      <c r="E863" s="83">
        <v>30</v>
      </c>
      <c r="F863" s="87" t="s">
        <v>232</v>
      </c>
      <c r="G863" s="88" t="s">
        <v>506</v>
      </c>
      <c r="H863" s="87" t="str">
        <f>_xlfn.XLOOKUP(Tabela1[[#This Row],[Matrícula]],Equipe!B:B,Equipe!E:E,"ERRO",0)</f>
        <v>P80</v>
      </c>
      <c r="I863" s="87" t="str">
        <f>VLOOKUP(Tabela1[[#This Row],[Matrícula]],Equipe!B:F,5,0)</f>
        <v>Experiente</v>
      </c>
    </row>
    <row r="864" spans="1:9">
      <c r="A864" s="83" t="s">
        <v>109</v>
      </c>
      <c r="B864" s="92">
        <f>_xlfn.XLOOKUP(A864,Equipe!H:H,Equipe!B:B,"",0)</f>
        <v>4612389</v>
      </c>
      <c r="C864" s="152">
        <v>46273</v>
      </c>
      <c r="D864" s="152">
        <f>((IF(Tabela1[[#This Row],[Início]]&lt;&gt;"",C864+E864-1,""))*1)*1</f>
        <v>46287</v>
      </c>
      <c r="E864" s="83">
        <v>15</v>
      </c>
      <c r="F864" s="83" t="s">
        <v>232</v>
      </c>
      <c r="G864" s="88" t="s">
        <v>443</v>
      </c>
      <c r="H864" s="83" t="str">
        <f>_xlfn.XLOOKUP(Tabela1[[#This Row],[Matrícula]],Equipe!B:B,Equipe!E:E,"ERRO",0)</f>
        <v>P80</v>
      </c>
      <c r="I864" s="83" t="str">
        <f>VLOOKUP(Tabela1[[#This Row],[Matrícula]],Equipe!B:F,5,0)</f>
        <v>Novo</v>
      </c>
    </row>
    <row r="865" spans="1:9">
      <c r="A865" s="83" t="s">
        <v>168</v>
      </c>
      <c r="B865" s="109">
        <f>_xlfn.XLOOKUP(A865,Equipe!H:H,Equipe!B:B,"",0)</f>
        <v>2440812</v>
      </c>
      <c r="C865" s="154">
        <v>46273</v>
      </c>
      <c r="D865" s="151">
        <f>(IF(Tabela1[[#This Row],[Início]]&lt;&gt;"",C865+E865-1,""))*1</f>
        <v>46290</v>
      </c>
      <c r="E865" s="83">
        <v>18</v>
      </c>
      <c r="F865" s="87" t="s">
        <v>232</v>
      </c>
      <c r="G865" s="88" t="s">
        <v>507</v>
      </c>
      <c r="H865" s="87" t="str">
        <f>_xlfn.XLOOKUP(Tabela1[[#This Row],[Matrícula]],Equipe!B:B,Equipe!E:E,"ERRO",0)</f>
        <v>P80</v>
      </c>
      <c r="I865" s="87" t="str">
        <f>VLOOKUP(Tabela1[[#This Row],[Matrícula]],Equipe!B:F,5,0)</f>
        <v>Experiente</v>
      </c>
    </row>
    <row r="866" spans="1:9" hidden="1">
      <c r="A866" s="83" t="s">
        <v>58</v>
      </c>
      <c r="B866" s="83">
        <f>_xlfn.XLOOKUP(A866,Equipe!H:H,Equipe!B:B,"",0)</f>
        <v>9612082</v>
      </c>
      <c r="C866" s="154">
        <v>46279</v>
      </c>
      <c r="D866" s="151">
        <v>46281</v>
      </c>
      <c r="E866" s="83">
        <v>3</v>
      </c>
      <c r="F866" s="83" t="s">
        <v>11</v>
      </c>
      <c r="G866" s="88" t="s">
        <v>508</v>
      </c>
      <c r="H866" s="83" t="str">
        <f>_xlfn.XLOOKUP(Tabela1[[#This Row],[Matrícula]],Equipe!B:B,Equipe!E:E,"ERRO",0)</f>
        <v>P82</v>
      </c>
      <c r="I866" s="83" t="str">
        <f>VLOOKUP(Tabela1[[#This Row],[Matrícula]],Equipe!B:F,5,0)</f>
        <v>Experiente</v>
      </c>
    </row>
    <row r="867" spans="1:9" ht="29.1" hidden="1">
      <c r="A867" s="87" t="s">
        <v>34</v>
      </c>
      <c r="B867" s="83">
        <f>_xlfn.XLOOKUP(A867,Equipe!H:H,Equipe!B:B,"",0)</f>
        <v>4608474</v>
      </c>
      <c r="C867" s="154">
        <v>46279</v>
      </c>
      <c r="D867" s="150">
        <v>46283</v>
      </c>
      <c r="E867" s="83">
        <v>5</v>
      </c>
      <c r="F867" s="83" t="s">
        <v>11</v>
      </c>
      <c r="G867" s="88" t="s">
        <v>509</v>
      </c>
      <c r="H867" s="83" t="str">
        <f>_xlfn.XLOOKUP(Tabela1[[#This Row],[Matrícula]],Equipe!B:B,Equipe!E:E,"ERRO",0)</f>
        <v>P82</v>
      </c>
      <c r="I867" s="83" t="str">
        <f>VLOOKUP(Tabela1[[#This Row],[Matrícula]],Equipe!B:F,5,0)</f>
        <v>Novo</v>
      </c>
    </row>
    <row r="868" spans="1:9">
      <c r="A868" s="83" t="s">
        <v>116</v>
      </c>
      <c r="B868" s="83">
        <f>_xlfn.XLOOKUP(A868,Equipe!H:H,Equipe!B:B,"",0)</f>
        <v>4612171</v>
      </c>
      <c r="C868" s="179">
        <v>46287</v>
      </c>
      <c r="D868" s="179">
        <f>(IF(Tabela1[[#This Row],[Início]]&lt;&gt;"",C868+E868-1,""))*1</f>
        <v>46307</v>
      </c>
      <c r="E868" s="83">
        <v>21</v>
      </c>
      <c r="F868" s="83" t="s">
        <v>14</v>
      </c>
      <c r="G868" s="88" t="s">
        <v>510</v>
      </c>
      <c r="H868" s="83" t="str">
        <f>_xlfn.XLOOKUP(Tabela1[[#This Row],[Matrícula]],Equipe!B:B,Equipe!E:E,"ERRO",0)</f>
        <v>P80</v>
      </c>
      <c r="I868" s="83" t="str">
        <f>VLOOKUP(Tabela1[[#This Row],[Matrícula]],Equipe!B:F,5,0)</f>
        <v>Novo</v>
      </c>
    </row>
    <row r="869" spans="1:9" hidden="1">
      <c r="A869" s="83" t="s">
        <v>229</v>
      </c>
      <c r="B869" s="109">
        <f>_xlfn.XLOOKUP(A869,Equipe!H:H,Equipe!B:B,"",0)</f>
        <v>9921954</v>
      </c>
      <c r="C869" s="154">
        <v>46287</v>
      </c>
      <c r="D869" s="151">
        <f>(IF(Tabela1[[#This Row],[Início]]&lt;&gt;"",C869+E869-1,""))*1</f>
        <v>46289</v>
      </c>
      <c r="E869" s="83">
        <v>3</v>
      </c>
      <c r="F869" s="87" t="s">
        <v>11</v>
      </c>
      <c r="G869" s="88" t="s">
        <v>511</v>
      </c>
      <c r="H869" s="87" t="str">
        <f>_xlfn.XLOOKUP(Tabela1[[#This Row],[Matrícula]],Equipe!B:B,Equipe!E:E,"ERRO",0)</f>
        <v>P82</v>
      </c>
      <c r="I869" s="87" t="str">
        <f>VLOOKUP(Tabela1[[#This Row],[Matrícula]],Equipe!B:F,5,0)</f>
        <v>Experiente</v>
      </c>
    </row>
    <row r="870" spans="1:9">
      <c r="A870" s="83" t="s">
        <v>225</v>
      </c>
      <c r="B870" s="109">
        <f>_xlfn.XLOOKUP(A870,Equipe!H:H,Equipe!B:B,"",0)</f>
        <v>2448533</v>
      </c>
      <c r="C870" s="154">
        <v>46287</v>
      </c>
      <c r="D870" s="151">
        <f>(IF(Tabela1[[#This Row],[Início]]&lt;&gt;"",C870+E870-1,""))*1</f>
        <v>46289</v>
      </c>
      <c r="E870" s="83">
        <v>3</v>
      </c>
      <c r="F870" s="87" t="s">
        <v>11</v>
      </c>
      <c r="G870" s="88" t="s">
        <v>512</v>
      </c>
      <c r="H870" s="87" t="str">
        <f>_xlfn.XLOOKUP(Tabela1[[#This Row],[Matrícula]],Equipe!B:B,Equipe!E:E,"ERRO",0)</f>
        <v>P80</v>
      </c>
      <c r="I870" s="87" t="str">
        <f>VLOOKUP(Tabela1[[#This Row],[Matrícula]],Equipe!B:F,5,0)</f>
        <v>Experiente</v>
      </c>
    </row>
    <row r="871" spans="1:9">
      <c r="A871" s="83" t="s">
        <v>264</v>
      </c>
      <c r="B871" s="92">
        <f>_xlfn.XLOOKUP(A871,Equipe!H:H,Equipe!B:B,"",0)</f>
        <v>9678697</v>
      </c>
      <c r="C871" s="152">
        <v>46293</v>
      </c>
      <c r="D871" s="152">
        <f>((IF(Tabela1[[#This Row],[Início]]&lt;&gt;"",C871+E871-1,""))*1)*1</f>
        <v>46305</v>
      </c>
      <c r="E871" s="83">
        <v>13</v>
      </c>
      <c r="F871" s="83" t="s">
        <v>232</v>
      </c>
      <c r="G871" s="88" t="s">
        <v>513</v>
      </c>
      <c r="H871" s="83" t="str">
        <f>_xlfn.XLOOKUP(Tabela1[[#This Row],[Matrícula]],Equipe!B:B,Equipe!E:E,"ERRO",0)</f>
        <v>P80</v>
      </c>
      <c r="I871" s="83" t="str">
        <f>VLOOKUP(Tabela1[[#This Row],[Matrícula]],Equipe!B:F,5,0)</f>
        <v>Experiente</v>
      </c>
    </row>
    <row r="872" spans="1:9" hidden="1">
      <c r="A872" s="83" t="s">
        <v>111</v>
      </c>
      <c r="B872" s="83">
        <f>_xlfn.XLOOKUP(A872,Equipe!H:H,Equipe!B:B,"",0)</f>
        <v>4612126</v>
      </c>
      <c r="C872" s="154">
        <v>46231</v>
      </c>
      <c r="D872" s="150">
        <v>46233</v>
      </c>
      <c r="E872" s="83">
        <v>3</v>
      </c>
      <c r="F872" s="83" t="s">
        <v>11</v>
      </c>
      <c r="G872" s="93" t="s">
        <v>514</v>
      </c>
      <c r="H872" s="83" t="str">
        <f>_xlfn.XLOOKUP(Tabela1[[#This Row],[Matrícula]],Equipe!B:B,Equipe!E:E,"ERRO",0)</f>
        <v>P82</v>
      </c>
      <c r="I872" s="83" t="str">
        <f>VLOOKUP(Tabela1[[#This Row],[Matrícula]],Equipe!B:F,5,0)</f>
        <v>Novo</v>
      </c>
    </row>
    <row r="873" spans="1:9">
      <c r="A873" s="87" t="s">
        <v>22</v>
      </c>
      <c r="B873" s="109">
        <f>_xlfn.XLOOKUP(A873,Equipe!H:H,Equipe!B:B,"",0)</f>
        <v>4608389</v>
      </c>
      <c r="C873" s="154">
        <v>46308</v>
      </c>
      <c r="D873" s="151">
        <f>(IF(Tabela1[[#This Row],[Início]]&lt;&gt;"",C873+E873-1,""))*1</f>
        <v>46323</v>
      </c>
      <c r="E873" s="83">
        <v>16</v>
      </c>
      <c r="F873" s="87" t="s">
        <v>232</v>
      </c>
      <c r="G873" s="88" t="s">
        <v>515</v>
      </c>
      <c r="H873" s="87" t="str">
        <f>_xlfn.XLOOKUP(Tabela1[[#This Row],[Matrícula]],Equipe!B:B,Equipe!E:E,"ERRO",0)</f>
        <v>P80</v>
      </c>
      <c r="I873" s="87" t="str">
        <f>VLOOKUP(Tabela1[[#This Row],[Matrícula]],Equipe!B:F,5,0)</f>
        <v>Novo</v>
      </c>
    </row>
    <row r="874" spans="1:9" hidden="1">
      <c r="A874" s="83" t="s">
        <v>254</v>
      </c>
      <c r="B874" s="92" t="str">
        <f>_xlfn.XLOOKUP(A874,Equipe!H:H,Equipe!B:B,"",0)</f>
        <v/>
      </c>
      <c r="C874" s="152">
        <v>46308</v>
      </c>
      <c r="D874" s="152">
        <v>46320</v>
      </c>
      <c r="E874" s="83">
        <v>13</v>
      </c>
      <c r="F874" s="83" t="s">
        <v>232</v>
      </c>
      <c r="G874" s="93" t="s">
        <v>257</v>
      </c>
      <c r="H874" s="83" t="str">
        <f>_xlfn.XLOOKUP(Tabela1[[#This Row],[Matrícula]],Equipe!B:B,Equipe!E:E,"ERRO",0)</f>
        <v>ERRO</v>
      </c>
      <c r="I874" s="83" t="e">
        <f>VLOOKUP(Tabela1[[#This Row],[Matrícula]],Equipe!B:F,5,0)</f>
        <v>#N/A</v>
      </c>
    </row>
    <row r="875" spans="1:9">
      <c r="A875" s="83" t="s">
        <v>225</v>
      </c>
      <c r="B875" s="92">
        <f>_xlfn.XLOOKUP(A875,Equipe!H:H,Equipe!B:B,"",0)</f>
        <v>2448533</v>
      </c>
      <c r="C875" s="152">
        <v>46308</v>
      </c>
      <c r="D875" s="152">
        <f>((IF(Tabela1[[#This Row],[Início]]&lt;&gt;"",C875+E875-1,""))*1)*1</f>
        <v>46325</v>
      </c>
      <c r="E875" s="83">
        <v>18</v>
      </c>
      <c r="F875" s="83" t="s">
        <v>232</v>
      </c>
      <c r="G875" s="93" t="s">
        <v>257</v>
      </c>
      <c r="H875" s="83" t="str">
        <f>_xlfn.XLOOKUP(Tabela1[[#This Row],[Matrícula]],Equipe!B:B,Equipe!E:E,"ERRO",0)</f>
        <v>P80</v>
      </c>
      <c r="I875" s="83" t="str">
        <f>VLOOKUP(Tabela1[[#This Row],[Matrícula]],Equipe!B:F,5,0)</f>
        <v>Experiente</v>
      </c>
    </row>
    <row r="876" spans="1:9" hidden="1">
      <c r="A876" s="83" t="s">
        <v>113</v>
      </c>
      <c r="B876" s="92">
        <f>_xlfn.XLOOKUP(A876,Equipe!H:H,Equipe!B:B,"",0)</f>
        <v>4612192</v>
      </c>
      <c r="C876" s="152">
        <v>46273</v>
      </c>
      <c r="D876" s="152">
        <f>((IF(Tabela1[[#This Row],[Início]]&lt;&gt;"",C876+E876-1,""))*1)*1</f>
        <v>46290</v>
      </c>
      <c r="E876" s="83">
        <v>18</v>
      </c>
      <c r="F876" s="83" t="s">
        <v>232</v>
      </c>
      <c r="G876" s="88" t="s">
        <v>446</v>
      </c>
      <c r="H876" s="83" t="str">
        <f>_xlfn.XLOOKUP(Tabela1[[#This Row],[Matrícula]],Equipe!B:B,Equipe!E:E,"ERRO",0)</f>
        <v>P82</v>
      </c>
      <c r="I876" s="83" t="str">
        <f>VLOOKUP(Tabela1[[#This Row],[Matrícula]],Equipe!B:F,5,0)</f>
        <v>Novo</v>
      </c>
    </row>
    <row r="877" spans="1:9" hidden="1">
      <c r="A877" s="83" t="s">
        <v>37</v>
      </c>
      <c r="B877" s="109">
        <f>_xlfn.XLOOKUP(A877,Equipe!H:H,Equipe!B:B,"",0)</f>
        <v>2493288</v>
      </c>
      <c r="C877" s="154">
        <v>46308</v>
      </c>
      <c r="D877" s="151">
        <f>(IF(Tabela1[[#This Row],[Início]]&lt;&gt;"",C877+E877-1,""))*1</f>
        <v>46325</v>
      </c>
      <c r="E877" s="83">
        <v>18</v>
      </c>
      <c r="F877" s="87" t="s">
        <v>232</v>
      </c>
      <c r="G877" s="88" t="s">
        <v>516</v>
      </c>
      <c r="H877" s="87" t="str">
        <f>_xlfn.XLOOKUP(Tabela1[[#This Row],[Matrícula]],Equipe!B:B,Equipe!E:E,"ERRO",0)</f>
        <v>PBAC</v>
      </c>
      <c r="I877" s="87" t="str">
        <f>VLOOKUP(Tabela1[[#This Row],[Matrícula]],Equipe!B:F,5,0)</f>
        <v>Experiente</v>
      </c>
    </row>
    <row r="878" spans="1:9">
      <c r="A878" s="83" t="s">
        <v>116</v>
      </c>
      <c r="B878" s="87">
        <f>_xlfn.XLOOKUP(A878,Equipe!H:H,Equipe!B:B,"",0)</f>
        <v>4612171</v>
      </c>
      <c r="C878" s="179">
        <v>46314</v>
      </c>
      <c r="D878" s="177">
        <f>(IF(Tabela1[[#This Row],[Início]]&lt;&gt;"",C878+E878-1,""))*1</f>
        <v>46318</v>
      </c>
      <c r="E878" s="83">
        <v>5</v>
      </c>
      <c r="F878" s="87" t="s">
        <v>11</v>
      </c>
      <c r="G878" s="88" t="s">
        <v>517</v>
      </c>
      <c r="H878" s="87" t="str">
        <f>_xlfn.XLOOKUP(Tabela1[[#This Row],[Matrícula]],Equipe!B:B,Equipe!E:E,"ERRO",0)</f>
        <v>P80</v>
      </c>
      <c r="I878" s="87" t="str">
        <f>VLOOKUP(Tabela1[[#This Row],[Matrícula]],Equipe!B:F,5,0)</f>
        <v>Novo</v>
      </c>
    </row>
    <row r="879" spans="1:9" ht="29.1" hidden="1">
      <c r="A879" s="83" t="s">
        <v>113</v>
      </c>
      <c r="B879" s="109">
        <f>_xlfn.XLOOKUP(A879,Equipe!H:H,Equipe!B:B,"",0)</f>
        <v>4612192</v>
      </c>
      <c r="C879" s="154">
        <v>46314</v>
      </c>
      <c r="D879" s="151">
        <f>(IF(Tabela1[[#This Row],[Início]]&lt;&gt;"",C879+E879-1,""))*1</f>
        <v>46318</v>
      </c>
      <c r="E879" s="83">
        <v>5</v>
      </c>
      <c r="F879" s="87" t="s">
        <v>11</v>
      </c>
      <c r="G879" s="88" t="s">
        <v>471</v>
      </c>
      <c r="H879" s="87" t="str">
        <f>_xlfn.XLOOKUP(Tabela1[[#This Row],[Matrícula]],Equipe!B:B,Equipe!E:E,"ERRO",0)</f>
        <v>P82</v>
      </c>
      <c r="I879" s="87" t="str">
        <f>VLOOKUP(Tabela1[[#This Row],[Matrícula]],Equipe!B:F,5,0)</f>
        <v>Novo</v>
      </c>
    </row>
    <row r="880" spans="1:9">
      <c r="A880" s="83" t="s">
        <v>116</v>
      </c>
      <c r="B880" s="87">
        <f>_xlfn.XLOOKUP(A880,Equipe!H:H,Equipe!B:B,"",0)</f>
        <v>4612171</v>
      </c>
      <c r="C880" s="179">
        <v>46225</v>
      </c>
      <c r="D880" s="177">
        <f>(IF(Tabela1[[#This Row],[Início]]&lt;&gt;"",C880+E880-1,""))*1</f>
        <v>46227</v>
      </c>
      <c r="E880" s="83">
        <v>3</v>
      </c>
      <c r="F880" s="87" t="s">
        <v>11</v>
      </c>
      <c r="G880" s="88" t="s">
        <v>518</v>
      </c>
      <c r="H880" s="87" t="str">
        <f>_xlfn.XLOOKUP(Tabela1[[#This Row],[Matrícula]],Equipe!B:B,Equipe!E:E,"ERRO",0)</f>
        <v>P80</v>
      </c>
      <c r="I880" s="87" t="str">
        <f>VLOOKUP(Tabela1[[#This Row],[Matrícula]],Equipe!B:F,5,0)</f>
        <v>Novo</v>
      </c>
    </row>
    <row r="881" spans="1:9" ht="29.1" hidden="1">
      <c r="A881" s="83" t="s">
        <v>114</v>
      </c>
      <c r="B881" s="109">
        <f>_xlfn.XLOOKUP(A881,Equipe!H:H,Equipe!B:B,"",0)</f>
        <v>4612140</v>
      </c>
      <c r="C881" s="154">
        <v>46314</v>
      </c>
      <c r="D881" s="151">
        <f>(IF(Tabela1[[#This Row],[Início]]&lt;&gt;"",C881+E881-1,""))*1</f>
        <v>46318</v>
      </c>
      <c r="E881" s="83">
        <v>5</v>
      </c>
      <c r="F881" s="87" t="s">
        <v>11</v>
      </c>
      <c r="G881" s="88" t="s">
        <v>471</v>
      </c>
      <c r="H881" s="87" t="str">
        <f>_xlfn.XLOOKUP(Tabela1[[#This Row],[Matrícula]],Equipe!B:B,Equipe!E:E,"ERRO",0)</f>
        <v>P83</v>
      </c>
      <c r="I881" s="87" t="str">
        <f>VLOOKUP(Tabela1[[#This Row],[Matrícula]],Equipe!B:F,5,0)</f>
        <v>Novo</v>
      </c>
    </row>
    <row r="882" spans="1:9" hidden="1">
      <c r="A882" s="83" t="s">
        <v>229</v>
      </c>
      <c r="B882" s="92">
        <f>_xlfn.XLOOKUP(A882,Equipe!H:H,Equipe!B:B,"",0)</f>
        <v>9921954</v>
      </c>
      <c r="C882" s="152">
        <v>46329</v>
      </c>
      <c r="D882" s="152">
        <v>46345</v>
      </c>
      <c r="E882" s="83">
        <v>17</v>
      </c>
      <c r="F882" s="83" t="s">
        <v>232</v>
      </c>
      <c r="G882" s="93" t="s">
        <v>296</v>
      </c>
      <c r="H882" s="83" t="str">
        <f>_xlfn.XLOOKUP(Tabela1[[#This Row],[Matrícula]],Equipe!B:B,Equipe!E:E,"ERRO",0)</f>
        <v>P82</v>
      </c>
      <c r="I882" s="83" t="str">
        <f>VLOOKUP(Tabela1[[#This Row],[Matrícula]],Equipe!B:F,5,0)</f>
        <v>Experiente</v>
      </c>
    </row>
    <row r="883" spans="1:9" hidden="1">
      <c r="A883" s="83" t="s">
        <v>26</v>
      </c>
      <c r="B883" s="92" t="str">
        <f>_xlfn.XLOOKUP(A883,Equipe!H:H,Equipe!B:B,"",0)</f>
        <v/>
      </c>
      <c r="C883" s="152">
        <v>46329</v>
      </c>
      <c r="D883" s="152">
        <f>((IF(Tabela1[[#This Row],[Início]]&lt;&gt;"",C883+E883-1,""))*1)*1</f>
        <v>46345</v>
      </c>
      <c r="E883" s="83">
        <v>17</v>
      </c>
      <c r="F883" s="83" t="s">
        <v>232</v>
      </c>
      <c r="G883" s="88" t="s">
        <v>519</v>
      </c>
      <c r="H883" s="83" t="str">
        <f>_xlfn.XLOOKUP(Tabela1[[#This Row],[Matrícula]],Equipe!B:B,Equipe!E:E,"ERRO",0)</f>
        <v>ERRO</v>
      </c>
      <c r="I883" s="83" t="e">
        <f>VLOOKUP(Tabela1[[#This Row],[Matrícula]],Equipe!B:F,5,0)</f>
        <v>#N/A</v>
      </c>
    </row>
    <row r="884" spans="1:9" hidden="1">
      <c r="A884" s="83" t="s">
        <v>20</v>
      </c>
      <c r="B884" s="92">
        <f>_xlfn.XLOOKUP(A884,Equipe!H:H,Equipe!B:B,"",0)</f>
        <v>4608559</v>
      </c>
      <c r="C884" s="152">
        <v>46329</v>
      </c>
      <c r="D884" s="152">
        <f>((IF(Tabela1[[#This Row],[Início]]&lt;&gt;"",C884+E884-1,""))*1)*1</f>
        <v>46337</v>
      </c>
      <c r="E884" s="83">
        <v>9</v>
      </c>
      <c r="F884" s="83" t="s">
        <v>232</v>
      </c>
      <c r="G884" s="88" t="s">
        <v>316</v>
      </c>
      <c r="H884" s="83" t="str">
        <f>_xlfn.XLOOKUP(Tabela1[[#This Row],[Matrícula]],Equipe!B:B,Equipe!E:E,"ERRO",0)</f>
        <v>P83</v>
      </c>
      <c r="I884" s="83" t="str">
        <f>VLOOKUP(Tabela1[[#This Row],[Matrícula]],Equipe!B:F,5,0)</f>
        <v>Novo</v>
      </c>
    </row>
    <row r="885" spans="1:9">
      <c r="A885" s="83" t="s">
        <v>36</v>
      </c>
      <c r="B885" s="92">
        <f>_xlfn.XLOOKUP(A885,Equipe!H:H,Equipe!B:B,"",0)</f>
        <v>4608721</v>
      </c>
      <c r="C885" s="152">
        <v>46329</v>
      </c>
      <c r="D885" s="152">
        <f>((IF(Tabela1[[#This Row],[Início]]&lt;&gt;"",C885+E885-1,""))*1)*1</f>
        <v>46343</v>
      </c>
      <c r="E885" s="83">
        <v>15</v>
      </c>
      <c r="F885" s="83" t="s">
        <v>232</v>
      </c>
      <c r="G885" s="88" t="s">
        <v>443</v>
      </c>
      <c r="H885" s="83" t="str">
        <f>_xlfn.XLOOKUP(Tabela1[[#This Row],[Matrícula]],Equipe!B:B,Equipe!E:E,"ERRO",0)</f>
        <v>P80</v>
      </c>
      <c r="I885" s="83" t="str">
        <f>VLOOKUP(Tabela1[[#This Row],[Matrícula]],Equipe!B:F,5,0)</f>
        <v>Novo</v>
      </c>
    </row>
    <row r="886" spans="1:9" hidden="1">
      <c r="A886" s="83" t="s">
        <v>231</v>
      </c>
      <c r="B886" s="109">
        <f>_xlfn.XLOOKUP(A886,Equipe!H:H,Equipe!B:B,"",0)</f>
        <v>2550195</v>
      </c>
      <c r="C886" s="154">
        <v>46329</v>
      </c>
      <c r="D886" s="151">
        <f>(IF(Tabela1[[#This Row],[Início]]&lt;&gt;"",C886+E886-1,""))*1</f>
        <v>46343</v>
      </c>
      <c r="E886" s="83">
        <v>15</v>
      </c>
      <c r="F886" s="87" t="s">
        <v>232</v>
      </c>
      <c r="G886" s="88"/>
      <c r="H886" s="87" t="str">
        <f>_xlfn.XLOOKUP(Tabela1[[#This Row],[Matrícula]],Equipe!B:B,Equipe!E:E,"ERRO",0)</f>
        <v>P83</v>
      </c>
      <c r="I886" s="87" t="str">
        <f>VLOOKUP(Tabela1[[#This Row],[Matrícula]],Equipe!B:F,5,0)</f>
        <v>Experiente</v>
      </c>
    </row>
    <row r="887" spans="1:9" ht="101.45" hidden="1">
      <c r="A887" s="83" t="s">
        <v>16</v>
      </c>
      <c r="B887" s="109">
        <f>_xlfn.XLOOKUP(A887,Equipe!H:H,Equipe!B:B,"",0)</f>
        <v>4608544</v>
      </c>
      <c r="C887" s="154">
        <v>46336</v>
      </c>
      <c r="D887" s="151">
        <f>(IF(Tabela1[[#This Row],[Início]]&lt;&gt;"",C887+E887-1,""))*1</f>
        <v>46339</v>
      </c>
      <c r="E887" s="83">
        <v>4</v>
      </c>
      <c r="F887" s="87" t="s">
        <v>11</v>
      </c>
      <c r="G887" s="88" t="s">
        <v>520</v>
      </c>
      <c r="H887" s="87" t="str">
        <f>_xlfn.XLOOKUP(Tabela1[[#This Row],[Matrícula]],Equipe!B:B,Equipe!E:E,"ERRO",0)</f>
        <v>P82</v>
      </c>
      <c r="I887" s="87" t="str">
        <f>VLOOKUP(Tabela1[[#This Row],[Matrícula]],Equipe!B:F,5,0)</f>
        <v>Novo</v>
      </c>
    </row>
    <row r="888" spans="1:9" hidden="1">
      <c r="A888" s="83" t="s">
        <v>58</v>
      </c>
      <c r="B888" s="83">
        <v>9612082</v>
      </c>
      <c r="C888" s="154">
        <v>46342</v>
      </c>
      <c r="D888" s="150">
        <v>46346</v>
      </c>
      <c r="E888" s="83">
        <v>5</v>
      </c>
      <c r="F888" s="83" t="s">
        <v>232</v>
      </c>
      <c r="G888" s="88" t="s">
        <v>232</v>
      </c>
      <c r="H888" s="83" t="str">
        <f>_xlfn.XLOOKUP(Tabela1[[#This Row],[Matrícula]],Equipe!B:B,Equipe!E:E,"ERRO",0)</f>
        <v>P82</v>
      </c>
      <c r="I888" s="83" t="str">
        <f>VLOOKUP(Tabela1[[#This Row],[Matrícula]],Equipe!B:F,5,0)</f>
        <v>Experiente</v>
      </c>
    </row>
    <row r="889" spans="1:9">
      <c r="A889" s="83" t="s">
        <v>13</v>
      </c>
      <c r="B889" s="92">
        <f>_xlfn.XLOOKUP(A889,Equipe!H:H,Equipe!B:B,"",0)</f>
        <v>9762281</v>
      </c>
      <c r="C889" s="152">
        <v>46342</v>
      </c>
      <c r="D889" s="152">
        <f>((IF(Tabela1[[#This Row],[Início]]&lt;&gt;"",C889+E889-1,""))*1)*1</f>
        <v>46361</v>
      </c>
      <c r="E889" s="83">
        <v>20</v>
      </c>
      <c r="F889" s="83" t="s">
        <v>232</v>
      </c>
      <c r="G889" s="88"/>
      <c r="H889" s="83" t="str">
        <f>_xlfn.XLOOKUP(Tabela1[[#This Row],[Matrícula]],Equipe!B:B,Equipe!E:E,"ERRO",0)</f>
        <v>P80</v>
      </c>
      <c r="I889" s="83" t="str">
        <f>VLOOKUP(Tabela1[[#This Row],[Matrícula]],Equipe!B:F,5,0)</f>
        <v>Experiente</v>
      </c>
    </row>
    <row r="890" spans="1:9">
      <c r="A890" s="87" t="s">
        <v>27</v>
      </c>
      <c r="B890" s="83">
        <f>_xlfn.XLOOKUP(A890,Equipe!H:H,Equipe!B:B,"",0)</f>
        <v>4608685</v>
      </c>
      <c r="C890" s="154">
        <v>46222</v>
      </c>
      <c r="D890" s="151">
        <f>((IF(Tabela1[[#This Row],[Início]]&lt;&gt;"",C890+E890-1,""))*1)*1</f>
        <v>46228</v>
      </c>
      <c r="E890" s="83">
        <v>7</v>
      </c>
      <c r="F890" s="83" t="s">
        <v>17</v>
      </c>
      <c r="G890" s="88" t="s">
        <v>521</v>
      </c>
      <c r="H890" s="83" t="str">
        <f>_xlfn.XLOOKUP(Tabela1[[#This Row],[Matrícula]],Equipe!B:B,Equipe!E:E,"ERRO",0)</f>
        <v>P80</v>
      </c>
      <c r="I890" s="83" t="str">
        <f>VLOOKUP(Tabela1[[#This Row],[Matrícula]],Equipe!B:F,5,0)</f>
        <v>Novo</v>
      </c>
    </row>
    <row r="891" spans="1:9">
      <c r="A891" s="87" t="s">
        <v>27</v>
      </c>
      <c r="B891" s="83">
        <f>_xlfn.XLOOKUP(A891,Equipe!H:H,Equipe!B:B,"",0)</f>
        <v>4608685</v>
      </c>
      <c r="C891" s="154">
        <v>46229</v>
      </c>
      <c r="D891" s="151">
        <f>((IF(Tabela1[[#This Row],[Início]]&lt;&gt;"",C891+E891-1,""))*1)*1</f>
        <v>46239</v>
      </c>
      <c r="E891" s="83">
        <v>11</v>
      </c>
      <c r="F891" s="83" t="s">
        <v>14</v>
      </c>
      <c r="G891" s="88" t="s">
        <v>522</v>
      </c>
      <c r="H891" s="83" t="str">
        <f>_xlfn.XLOOKUP(Tabela1[[#This Row],[Matrícula]],Equipe!B:B,Equipe!E:E,"ERRO",0)</f>
        <v>P80</v>
      </c>
      <c r="I891" s="83" t="str">
        <f>VLOOKUP(Tabela1[[#This Row],[Matrícula]],Equipe!B:F,5,0)</f>
        <v>Novo</v>
      </c>
    </row>
    <row r="892" spans="1:9">
      <c r="A892" s="83" t="s">
        <v>27</v>
      </c>
      <c r="B892" s="109">
        <f>_xlfn.XLOOKUP(A892,Equipe!H:H,Equipe!B:B,"",0)</f>
        <v>4608685</v>
      </c>
      <c r="C892" s="154">
        <v>46343</v>
      </c>
      <c r="D892" s="151">
        <f>(IF(Tabela1[[#This Row],[Início]]&lt;&gt;"",C892+E892-1,""))*1</f>
        <v>46344</v>
      </c>
      <c r="E892" s="83">
        <v>2</v>
      </c>
      <c r="F892" s="87" t="s">
        <v>11</v>
      </c>
      <c r="G892" s="88" t="s">
        <v>523</v>
      </c>
      <c r="H892" s="87" t="str">
        <f>_xlfn.XLOOKUP(Tabela1[[#This Row],[Matrícula]],Equipe!B:B,Equipe!E:E,"ERRO",0)</f>
        <v>P80</v>
      </c>
      <c r="I892" s="87" t="str">
        <f>VLOOKUP(Tabela1[[#This Row],[Matrícula]],Equipe!B:F,5,0)</f>
        <v>Novo</v>
      </c>
    </row>
    <row r="893" spans="1:9" hidden="1">
      <c r="A893" s="83" t="s">
        <v>58</v>
      </c>
      <c r="B893" s="83">
        <f>_xlfn.XLOOKUP(A893,Equipe!H:H,Equipe!B:B,"",0)</f>
        <v>9612082</v>
      </c>
      <c r="C893" s="154">
        <v>46349</v>
      </c>
      <c r="D893" s="150">
        <v>46350</v>
      </c>
      <c r="E893" s="83">
        <v>2</v>
      </c>
      <c r="F893" s="83" t="s">
        <v>11</v>
      </c>
      <c r="G893" s="88" t="s">
        <v>524</v>
      </c>
      <c r="H893" s="83" t="str">
        <f>_xlfn.XLOOKUP(Tabela1[[#This Row],[Matrícula]],Equipe!B:B,Equipe!E:E,"ERRO",0)</f>
        <v>P82</v>
      </c>
      <c r="I893" s="83" t="str">
        <f>VLOOKUP(Tabela1[[#This Row],[Matrícula]],Equipe!B:F,5,0)</f>
        <v>Experiente</v>
      </c>
    </row>
    <row r="894" spans="1:9" hidden="1">
      <c r="A894" s="83" t="s">
        <v>239</v>
      </c>
      <c r="B894" s="109">
        <f>_xlfn.XLOOKUP(A894,Equipe!H:H,Equipe!B:B,"",0)</f>
        <v>1387328</v>
      </c>
      <c r="C894" s="154">
        <v>46351</v>
      </c>
      <c r="D894" s="151">
        <f>(IF(Tabela1[[#This Row],[Início]]&lt;&gt;"",C894+E894-1,""))*1</f>
        <v>46352</v>
      </c>
      <c r="E894" s="83">
        <v>2</v>
      </c>
      <c r="F894" s="87" t="s">
        <v>11</v>
      </c>
      <c r="G894" s="88" t="s">
        <v>525</v>
      </c>
      <c r="H894" s="87" t="str">
        <f>_xlfn.XLOOKUP(Tabela1[[#This Row],[Matrícula]],Equipe!B:B,Equipe!E:E,"ERRO",0)</f>
        <v>P82</v>
      </c>
      <c r="I894" s="87" t="str">
        <f>VLOOKUP(Tabela1[[#This Row],[Matrícula]],Equipe!B:F,5,0)</f>
        <v>Experiente</v>
      </c>
    </row>
    <row r="895" spans="1:9" hidden="1">
      <c r="A895" s="83" t="s">
        <v>34</v>
      </c>
      <c r="B895" s="109">
        <f>_xlfn.XLOOKUP(A895,Equipe!H:H,Equipe!B:B,"",0)</f>
        <v>4608474</v>
      </c>
      <c r="C895" s="154">
        <v>46356</v>
      </c>
      <c r="D895" s="151">
        <v>46360</v>
      </c>
      <c r="E895" s="83">
        <v>5</v>
      </c>
      <c r="F895" s="87" t="s">
        <v>11</v>
      </c>
      <c r="G895" s="88" t="s">
        <v>526</v>
      </c>
      <c r="H895" s="87" t="str">
        <f>_xlfn.XLOOKUP(Tabela1[[#This Row],[Matrícula]],Equipe!B:B,Equipe!E:E,"ERRO",0)</f>
        <v>P82</v>
      </c>
      <c r="I895" s="87" t="str">
        <f>VLOOKUP(Tabela1[[#This Row],[Matrícula]],Equipe!B:F,5,0)</f>
        <v>Novo</v>
      </c>
    </row>
    <row r="896" spans="1:9">
      <c r="A896" s="83" t="s">
        <v>225</v>
      </c>
      <c r="B896" s="92">
        <f>_xlfn.XLOOKUP(A896,Equipe!H:H,Equipe!B:B,"",0)</f>
        <v>2448533</v>
      </c>
      <c r="C896" s="152">
        <v>46356</v>
      </c>
      <c r="D896" s="152">
        <f>((IF(Tabela1[[#This Row],[Início]]&lt;&gt;"",C896+E896-1,""))*1)*1</f>
        <v>46367</v>
      </c>
      <c r="E896" s="83">
        <v>12</v>
      </c>
      <c r="F896" s="83" t="s">
        <v>232</v>
      </c>
      <c r="G896" s="93" t="s">
        <v>296</v>
      </c>
      <c r="H896" s="83" t="str">
        <f>_xlfn.XLOOKUP(Tabela1[[#This Row],[Matrícula]],Equipe!B:B,Equipe!E:E,"ERRO",0)</f>
        <v>P80</v>
      </c>
      <c r="I896" s="83" t="str">
        <f>VLOOKUP(Tabela1[[#This Row],[Matrícula]],Equipe!B:F,5,0)</f>
        <v>Experiente</v>
      </c>
    </row>
    <row r="897" spans="1:9" hidden="1">
      <c r="A897" s="83" t="s">
        <v>495</v>
      </c>
      <c r="B897" s="109">
        <f>_xlfn.XLOOKUP(A897,Equipe!H:H,Equipe!B:B,"",0)</f>
        <v>2460800</v>
      </c>
      <c r="C897" s="154">
        <v>46365</v>
      </c>
      <c r="D897" s="151">
        <f>(IF(Tabela1[[#This Row],[Início]]&lt;&gt;"",C897+E897-1,""))*1</f>
        <v>46379</v>
      </c>
      <c r="E897" s="83">
        <v>15</v>
      </c>
      <c r="F897" s="87" t="s">
        <v>232</v>
      </c>
      <c r="G897" s="88" t="s">
        <v>527</v>
      </c>
      <c r="H897" s="87" t="str">
        <f>_xlfn.XLOOKUP(Tabela1[[#This Row],[Matrícula]],Equipe!B:B,Equipe!E:E,"ERRO",0)</f>
        <v>P82</v>
      </c>
      <c r="I897" s="87" t="str">
        <f>VLOOKUP(Tabela1[[#This Row],[Matrícula]],Equipe!B:F,5,0)</f>
        <v>Experiente</v>
      </c>
    </row>
    <row r="898" spans="1:9">
      <c r="A898" s="83" t="s">
        <v>168</v>
      </c>
      <c r="B898" s="92">
        <f>_xlfn.XLOOKUP(A898,Equipe!H:H,Equipe!B:B,"",0)</f>
        <v>2440812</v>
      </c>
      <c r="C898" s="152">
        <v>46368</v>
      </c>
      <c r="D898" s="152">
        <f>((IF(Tabela1[[#This Row],[Início]]&lt;&gt;"",C898+E898-1,""))*1)*1</f>
        <v>46368</v>
      </c>
      <c r="E898" s="83">
        <v>1</v>
      </c>
      <c r="F898" s="83" t="s">
        <v>14</v>
      </c>
      <c r="G898" s="88" t="s">
        <v>248</v>
      </c>
      <c r="H898" s="83" t="str">
        <f>_xlfn.XLOOKUP(Tabela1[[#This Row],[Matrícula]],Equipe!B:B,Equipe!E:E,"ERRO",0)</f>
        <v>P80</v>
      </c>
      <c r="I898" s="83" t="str">
        <f>VLOOKUP(Tabela1[[#This Row],[Matrícula]],Equipe!B:F,5,0)</f>
        <v>Experiente</v>
      </c>
    </row>
    <row r="899" spans="1:9" hidden="1">
      <c r="A899" s="83" t="s">
        <v>58</v>
      </c>
      <c r="B899" s="83">
        <f>_xlfn.XLOOKUP(A899,Equipe!H:H,Equipe!B:B,"",0)</f>
        <v>9612082</v>
      </c>
      <c r="C899" s="154">
        <v>46391</v>
      </c>
      <c r="D899" s="150">
        <v>46405</v>
      </c>
      <c r="E899" s="83">
        <v>15</v>
      </c>
      <c r="F899" s="83" t="s">
        <v>232</v>
      </c>
      <c r="G899" s="88" t="s">
        <v>232</v>
      </c>
      <c r="H899" s="83" t="str">
        <f>_xlfn.XLOOKUP(Tabela1[[#This Row],[Matrícula]],Equipe!B:B,Equipe!E:E,"ERRO",0)</f>
        <v>P82</v>
      </c>
      <c r="I899" s="83" t="str">
        <f>VLOOKUP(Tabela1[[#This Row],[Matrícula]],Equipe!B:F,5,0)</f>
        <v>Experiente</v>
      </c>
    </row>
    <row r="900" spans="1:9" hidden="1">
      <c r="A900" s="83" t="s">
        <v>495</v>
      </c>
      <c r="B900" s="109">
        <f>_xlfn.XLOOKUP(A900,Equipe!H:H,Equipe!B:B,"",0)</f>
        <v>2460800</v>
      </c>
      <c r="C900" s="154">
        <v>46391</v>
      </c>
      <c r="D900" s="151">
        <f>(IF(Tabela1[[#This Row],[Início]]&lt;&gt;"",C900+E900-1,""))*1</f>
        <v>46395</v>
      </c>
      <c r="E900" s="83">
        <v>5</v>
      </c>
      <c r="F900" s="87" t="s">
        <v>232</v>
      </c>
      <c r="G900" s="88" t="s">
        <v>528</v>
      </c>
      <c r="H900" s="87" t="str">
        <f>_xlfn.XLOOKUP(Tabela1[[#This Row],[Matrícula]],Equipe!B:B,Equipe!E:E,"ERRO",0)</f>
        <v>P82</v>
      </c>
      <c r="I900" s="87" t="str">
        <f>VLOOKUP(Tabela1[[#This Row],[Matrícula]],Equipe!B:F,5,0)</f>
        <v>Experiente</v>
      </c>
    </row>
    <row r="901" spans="1:9" hidden="1">
      <c r="A901" s="83" t="s">
        <v>31</v>
      </c>
      <c r="B901" s="109">
        <f>_xlfn.XLOOKUP(A901,Equipe!H:H,Equipe!B:B,"",0)</f>
        <v>1386344</v>
      </c>
      <c r="C901" s="154">
        <v>46391</v>
      </c>
      <c r="D901" s="151">
        <f>(IF(Tabela1[[#This Row],[Início]]&lt;&gt;"",C901+E901-1,""))*1</f>
        <v>46420</v>
      </c>
      <c r="E901" s="83">
        <v>30</v>
      </c>
      <c r="F901" s="87" t="s">
        <v>232</v>
      </c>
      <c r="G901" s="88" t="s">
        <v>529</v>
      </c>
      <c r="H901" s="87" t="str">
        <f>_xlfn.XLOOKUP(Tabela1[[#This Row],[Matrícula]],Equipe!B:B,Equipe!E:E,"ERRO",0)</f>
        <v>P82</v>
      </c>
      <c r="I901" s="87" t="str">
        <f>VLOOKUP(Tabela1[[#This Row],[Matrícula]],Equipe!B:F,5,0)</f>
        <v>Experiente</v>
      </c>
    </row>
    <row r="902" spans="1:9" hidden="1">
      <c r="A902" s="83" t="s">
        <v>37</v>
      </c>
      <c r="B902" s="109">
        <f>_xlfn.XLOOKUP(A902,Equipe!H:H,Equipe!B:B,"",0)</f>
        <v>2493288</v>
      </c>
      <c r="C902" s="154">
        <v>46433</v>
      </c>
      <c r="D902" s="151">
        <f>(IF(Tabela1[[#This Row],[Início]]&lt;&gt;"",C902+E902-1,""))*1</f>
        <v>46444</v>
      </c>
      <c r="E902" s="83">
        <v>12</v>
      </c>
      <c r="F902" s="87" t="s">
        <v>232</v>
      </c>
      <c r="G902" s="88" t="s">
        <v>530</v>
      </c>
      <c r="H902" s="87" t="str">
        <f>_xlfn.XLOOKUP(Tabela1[[#This Row],[Matrícula]],Equipe!B:B,Equipe!E:E,"ERRO",0)</f>
        <v>PBAC</v>
      </c>
      <c r="I902" s="87" t="str">
        <f>VLOOKUP(Tabela1[[#This Row],[Matrícula]],Equipe!B:F,5,0)</f>
        <v>Experiente</v>
      </c>
    </row>
    <row r="903" spans="1:9" hidden="1">
      <c r="A903" s="120" t="s">
        <v>40</v>
      </c>
      <c r="B903" s="128">
        <f>_xlfn.XLOOKUP(A903,Equipe!H:H,Equipe!B:B,"",0)</f>
        <v>9724817</v>
      </c>
      <c r="C903" s="156">
        <v>46154</v>
      </c>
      <c r="D903" s="181">
        <f>(IF(Tabela1[[#This Row],[Início]]&lt;&gt;"",C903+E903-1,""))*1</f>
        <v>46157</v>
      </c>
      <c r="E903" s="120">
        <v>4</v>
      </c>
      <c r="F903" s="129" t="s">
        <v>14</v>
      </c>
      <c r="G903" s="121" t="s">
        <v>341</v>
      </c>
      <c r="H903" s="129" t="str">
        <f>_xlfn.XLOOKUP(Tabela1[[#This Row],[Matrícula]],Equipe!B:B,Equipe!E:E,"ERRO",0)</f>
        <v>P82</v>
      </c>
      <c r="I903" s="129" t="str">
        <f>VLOOKUP(Tabela1[[#This Row],[Matrícula]],Equipe!B:F,5,0)</f>
        <v>Experiente</v>
      </c>
    </row>
    <row r="904" spans="1:9" ht="29.1" hidden="1">
      <c r="A904" s="83" t="s">
        <v>31</v>
      </c>
      <c r="B904" s="83">
        <f>_xlfn.XLOOKUP(A904,Equipe!H:H,Equipe!B:B,"",0)</f>
        <v>1386344</v>
      </c>
      <c r="C904" s="154">
        <v>46205</v>
      </c>
      <c r="D904" s="181">
        <f>(IF(Tabela1[[#This Row],[Início]]&lt;&gt;"",C904+E904-1,""))*1</f>
        <v>46205</v>
      </c>
      <c r="E904" s="83">
        <v>1</v>
      </c>
      <c r="F904" s="83" t="s">
        <v>11</v>
      </c>
      <c r="G904" s="88" t="s">
        <v>456</v>
      </c>
      <c r="H904" s="83" t="str">
        <f>_xlfn.XLOOKUP(Tabela1[[#This Row],[Matrícula]],Equipe!B:B,Equipe!E:E,"ERRO",0)</f>
        <v>P82</v>
      </c>
      <c r="I904" s="83" t="str">
        <f>VLOOKUP(Tabela1[[#This Row],[Matrícula]],Equipe!B:F,5,0)</f>
        <v>Experiente</v>
      </c>
    </row>
    <row r="905" spans="1:9" ht="87" hidden="1">
      <c r="A905" s="120" t="s">
        <v>16</v>
      </c>
      <c r="B905" s="87">
        <f>_xlfn.XLOOKUP(A905,Equipe!H:H,Equipe!B:B,"",0)</f>
        <v>4608544</v>
      </c>
      <c r="C905" s="156">
        <v>46225</v>
      </c>
      <c r="D905" s="181">
        <f>(IF(Tabela1[[#This Row],[Início]]&lt;&gt;"",C905+E905-1,""))*1</f>
        <v>46226</v>
      </c>
      <c r="E905" s="120">
        <v>2</v>
      </c>
      <c r="F905" s="120" t="s">
        <v>11</v>
      </c>
      <c r="G905" s="121" t="s">
        <v>531</v>
      </c>
      <c r="H905" s="87" t="str">
        <f>_xlfn.XLOOKUP(Tabela1[[#This Row],[Matrícula]],Equipe!B:B,Equipe!E:E,"ERRO",0)</f>
        <v>P82</v>
      </c>
      <c r="I905" s="87" t="str">
        <f>VLOOKUP(Tabela1[[#This Row],[Matrícula]],Equipe!B:F,5,0)</f>
        <v>Novo</v>
      </c>
    </row>
    <row r="906" spans="1:9" hidden="1">
      <c r="A906" s="120" t="s">
        <v>16</v>
      </c>
      <c r="B906" s="87">
        <f>_xlfn.XLOOKUP(A906,Equipe!H:H,Equipe!B:B,"",0)</f>
        <v>4608544</v>
      </c>
      <c r="C906" s="156">
        <v>46209</v>
      </c>
      <c r="D906" s="181">
        <v>46220</v>
      </c>
      <c r="E906" s="120">
        <v>10</v>
      </c>
      <c r="F906" s="120" t="s">
        <v>11</v>
      </c>
      <c r="G906" s="121" t="s">
        <v>532</v>
      </c>
      <c r="H906" s="87" t="str">
        <f>_xlfn.XLOOKUP(Tabela1[[#This Row],[Matrícula]],Equipe!B:B,Equipe!E:E,"ERRO",0)</f>
        <v>P82</v>
      </c>
      <c r="I906" s="87" t="str">
        <f>VLOOKUP(Tabela1[[#This Row],[Matrícula]],Equipe!B:F,5,0)</f>
        <v>Novo</v>
      </c>
    </row>
    <row r="907" spans="1:9" hidden="1">
      <c r="A907" s="120" t="s">
        <v>16</v>
      </c>
      <c r="B907" s="87">
        <f>_xlfn.XLOOKUP(A907,Equipe!H:H,Equipe!B:B,"",0)</f>
        <v>4608544</v>
      </c>
      <c r="C907" s="156">
        <v>46230</v>
      </c>
      <c r="D907" s="181">
        <f>(IF(Tabela1[[#This Row],[Início]]&lt;&gt;"",C907+E907-1,""))*1</f>
        <v>46232</v>
      </c>
      <c r="E907" s="120">
        <v>3</v>
      </c>
      <c r="F907" s="120" t="s">
        <v>11</v>
      </c>
      <c r="G907" s="121" t="s">
        <v>533</v>
      </c>
      <c r="H907" s="87" t="str">
        <f>_xlfn.XLOOKUP(Tabela1[[#This Row],[Matrícula]],Equipe!B:B,Equipe!E:E,"ERRO",0)</f>
        <v>P82</v>
      </c>
      <c r="I907" s="87" t="str">
        <f>VLOOKUP(Tabela1[[#This Row],[Matrícula]],Equipe!B:F,5,0)</f>
        <v>Novo</v>
      </c>
    </row>
    <row r="908" spans="1:9" hidden="1">
      <c r="A908" s="120" t="s">
        <v>142</v>
      </c>
      <c r="B908" s="87">
        <f>_xlfn.XLOOKUP(A908,Equipe!H:H,Equipe!B:B,"",0)</f>
        <v>4612228</v>
      </c>
      <c r="C908" s="156">
        <v>46209</v>
      </c>
      <c r="D908" s="181">
        <f>(IF(Tabela1[[#This Row],[Início]]&lt;&gt;"",C908+E908-1,""))*1</f>
        <v>46226</v>
      </c>
      <c r="E908" s="120">
        <v>18</v>
      </c>
      <c r="F908" s="120" t="s">
        <v>232</v>
      </c>
      <c r="G908" s="121" t="s">
        <v>534</v>
      </c>
      <c r="H908" s="87" t="str">
        <f>_xlfn.XLOOKUP(Tabela1[[#This Row],[Matrícula]],Equipe!B:B,Equipe!E:E,"ERRO",0)</f>
        <v>P82</v>
      </c>
      <c r="I908" s="87" t="str">
        <f>VLOOKUP(Tabela1[[#This Row],[Matrícula]],Equipe!B:F,5,0)</f>
        <v>Novo</v>
      </c>
    </row>
    <row r="909" spans="1:9" hidden="1">
      <c r="A909" s="83" t="s">
        <v>40</v>
      </c>
      <c r="B909" s="83">
        <f>_xlfn.XLOOKUP(A909,Equipe!H:H,Equipe!B:B,"",0)</f>
        <v>9724817</v>
      </c>
      <c r="C909" s="154">
        <v>46202</v>
      </c>
      <c r="D909" s="150">
        <f>(IF(Tabela1[[#This Row],[Início]]&lt;&gt;"",C909+E909-1,""))*1</f>
        <v>46202</v>
      </c>
      <c r="E909" s="83">
        <v>1</v>
      </c>
      <c r="F909" s="83" t="s">
        <v>14</v>
      </c>
      <c r="G909" s="88" t="s">
        <v>341</v>
      </c>
      <c r="H909" s="83" t="str">
        <f>_xlfn.XLOOKUP(Tabela1[[#This Row],[Matrícula]],Equipe!B:B,Equipe!E:E,"ERRO",0)</f>
        <v>P82</v>
      </c>
      <c r="I909" s="83" t="str">
        <f>VLOOKUP(Tabela1[[#This Row],[Matrícula]],Equipe!B:F,5,0)</f>
        <v>Experiente</v>
      </c>
    </row>
    <row r="910" spans="1:9" hidden="1">
      <c r="A910" s="83" t="s">
        <v>239</v>
      </c>
      <c r="B910" s="83">
        <f>_xlfn.XLOOKUP(A910,Equipe!H:H,Equipe!B:B,"",0)</f>
        <v>1387328</v>
      </c>
      <c r="C910" s="154">
        <v>46314</v>
      </c>
      <c r="D910" s="181">
        <f>(IF(Tabela1[[#This Row],[Início]]&lt;&gt;"",C910+E910-1,""))*1</f>
        <v>46318</v>
      </c>
      <c r="E910" s="83">
        <v>5</v>
      </c>
      <c r="F910" s="83" t="s">
        <v>11</v>
      </c>
      <c r="G910" s="88" t="s">
        <v>517</v>
      </c>
      <c r="H910" s="83" t="str">
        <f>_xlfn.XLOOKUP(Tabela1[[#This Row],[Matrícula]],Equipe!B:B,Equipe!E:E,"ERRO",0)</f>
        <v>P82</v>
      </c>
      <c r="I910" s="87" t="str">
        <f>VLOOKUP(Tabela1[[#This Row],[Matrícula]],Equipe!B:F,5,0)</f>
        <v>Experiente</v>
      </c>
    </row>
    <row r="911" spans="1:9">
      <c r="A911" s="120" t="s">
        <v>264</v>
      </c>
      <c r="B911" s="120">
        <f>_xlfn.XLOOKUP(A911,Equipe!H:H,Equipe!B:B,"",0)</f>
        <v>9678697</v>
      </c>
      <c r="C911" s="156">
        <v>46246</v>
      </c>
      <c r="D911" s="153">
        <v>46247</v>
      </c>
      <c r="E911" s="120">
        <v>2</v>
      </c>
      <c r="F911" s="120" t="s">
        <v>11</v>
      </c>
      <c r="G911" s="93" t="s">
        <v>462</v>
      </c>
      <c r="H911" s="120" t="str">
        <f>_xlfn.XLOOKUP(Tabela1[[#This Row],[Matrícula]],Equipe!B:B,Equipe!E:E,"ERRO",0)</f>
        <v>P80</v>
      </c>
      <c r="I911" s="120" t="str">
        <f>VLOOKUP(Tabela1[[#This Row],[Matrícula]],Equipe!B:F,5,0)</f>
        <v>Experiente</v>
      </c>
    </row>
    <row r="912" spans="1:9">
      <c r="A912" s="120" t="s">
        <v>264</v>
      </c>
      <c r="B912" s="120">
        <f>_xlfn.XLOOKUP(A912,Equipe!H:H,Equipe!B:B,"",0)</f>
        <v>9678697</v>
      </c>
      <c r="C912" s="156">
        <v>46314</v>
      </c>
      <c r="D912" s="153">
        <f>(IF(Tabela1[[#This Row],[Início]]&lt;&gt;"",C912+E912-1,""))*1</f>
        <v>46318</v>
      </c>
      <c r="E912" s="120">
        <v>5</v>
      </c>
      <c r="F912" s="120" t="s">
        <v>11</v>
      </c>
      <c r="G912" s="121" t="s">
        <v>517</v>
      </c>
      <c r="H912" s="120" t="str">
        <f>_xlfn.XLOOKUP(Tabela1[[#This Row],[Matrícula]],Equipe!B:B,Equipe!E:E,"ERRO",0)</f>
        <v>P80</v>
      </c>
      <c r="I912" s="120" t="str">
        <f>VLOOKUP(Tabela1[[#This Row],[Matrícula]],Equipe!B:F,5,0)</f>
        <v>Experiente</v>
      </c>
    </row>
    <row r="913" spans="1:9" hidden="1">
      <c r="A913" s="83" t="s">
        <v>10</v>
      </c>
      <c r="B913" s="83">
        <v>4612393</v>
      </c>
      <c r="C913" s="184">
        <v>46225</v>
      </c>
      <c r="D913" s="181">
        <v>46238</v>
      </c>
      <c r="E913" s="83">
        <v>14</v>
      </c>
      <c r="F913" s="83" t="s">
        <v>17</v>
      </c>
      <c r="G913" s="88" t="s">
        <v>352</v>
      </c>
      <c r="H913" s="83" t="s">
        <v>294</v>
      </c>
      <c r="I913" s="83" t="s">
        <v>490</v>
      </c>
    </row>
    <row r="914" spans="1:9" hidden="1">
      <c r="A914" s="87" t="s">
        <v>10</v>
      </c>
      <c r="B914" s="83">
        <v>4612393</v>
      </c>
      <c r="C914" s="184">
        <v>46239</v>
      </c>
      <c r="D914" s="181">
        <v>46259</v>
      </c>
      <c r="E914" s="83">
        <v>21</v>
      </c>
      <c r="F914" s="83" t="s">
        <v>14</v>
      </c>
      <c r="G914" s="88" t="s">
        <v>19</v>
      </c>
      <c r="H914" s="83" t="s">
        <v>294</v>
      </c>
      <c r="I914" s="83" t="s">
        <v>490</v>
      </c>
    </row>
    <row r="915" spans="1:9">
      <c r="A915" s="120" t="s">
        <v>108</v>
      </c>
      <c r="B915" s="120">
        <f>_xlfn.XLOOKUP(A915,Equipe!H:H,Equipe!B:B,"",0)</f>
        <v>4612243</v>
      </c>
      <c r="C915" s="156">
        <v>46241</v>
      </c>
      <c r="D915" s="181">
        <f>(IF(Tabela1[[#This Row],[Início]]&lt;&gt;"",C915+E915-1,""))*1</f>
        <v>46241</v>
      </c>
      <c r="E915" s="120">
        <v>1</v>
      </c>
      <c r="F915" s="120" t="s">
        <v>11</v>
      </c>
      <c r="G915" s="121" t="s">
        <v>485</v>
      </c>
      <c r="H915" s="120" t="str">
        <f>_xlfn.XLOOKUP(Tabela1[[#This Row],[Matrícula]],Equipe!B:B,Equipe!E:E,"ERRO",0)</f>
        <v>P80</v>
      </c>
      <c r="I915" s="120" t="str">
        <f>VLOOKUP(Tabela1[[#This Row],[Matrícula]],Equipe!B:F,5,0)</f>
        <v>Novo</v>
      </c>
    </row>
    <row r="916" spans="1:9">
      <c r="A916" s="120" t="s">
        <v>36</v>
      </c>
      <c r="B916" s="120">
        <f>_xlfn.XLOOKUP(A916,Equipe!H:H,Equipe!B:B,"",0)</f>
        <v>4608721</v>
      </c>
      <c r="C916" s="156">
        <v>46226</v>
      </c>
      <c r="D916" s="181">
        <f>(IF(Tabela1[[#This Row],[Início]]&lt;&gt;"",C916+E916-1,""))*1</f>
        <v>46227</v>
      </c>
      <c r="E916" s="120">
        <v>2</v>
      </c>
      <c r="F916" s="120" t="s">
        <v>14</v>
      </c>
      <c r="G916" s="121" t="s">
        <v>535</v>
      </c>
      <c r="H916" s="120" t="str">
        <f>_xlfn.XLOOKUP(Tabela1[[#This Row],[Matrícula]],Equipe!B:B,Equipe!E:E,"ERRO",0)</f>
        <v>P80</v>
      </c>
      <c r="I916" s="120" t="str">
        <f>VLOOKUP(Tabela1[[#This Row],[Matrícula]],Equipe!B:F,5,0)</f>
        <v>Novo</v>
      </c>
    </row>
    <row r="917" spans="1:9">
      <c r="A917" s="120" t="s">
        <v>35</v>
      </c>
      <c r="B917" s="120">
        <f>_xlfn.XLOOKUP(A917,Equipe!H:H,Equipe!B:B,"",0)</f>
        <v>9842940</v>
      </c>
      <c r="C917" s="156">
        <v>46209</v>
      </c>
      <c r="D917" s="153">
        <v>46213</v>
      </c>
      <c r="E917" s="120">
        <v>5</v>
      </c>
      <c r="F917" s="120" t="s">
        <v>11</v>
      </c>
      <c r="G917" s="121" t="s">
        <v>536</v>
      </c>
      <c r="H917" s="120" t="str">
        <f>_xlfn.XLOOKUP(Tabela1[[#This Row],[Matrícula]],Equipe!B:B,Equipe!E:E,"ERRO",0)</f>
        <v>P80</v>
      </c>
      <c r="I917" s="120" t="str">
        <f>VLOOKUP(Tabela1[[#This Row],[Matrícula]],Equipe!B:F,5,0)</f>
        <v>Novo</v>
      </c>
    </row>
    <row r="918" spans="1:9" hidden="1">
      <c r="A918" s="120" t="s">
        <v>114</v>
      </c>
      <c r="B918" s="120">
        <f>_xlfn.XLOOKUP(A918,Equipe!H:H,Equipe!B:B,"",0)</f>
        <v>4612140</v>
      </c>
      <c r="C918" s="156">
        <v>46217</v>
      </c>
      <c r="D918" s="153">
        <v>46230</v>
      </c>
      <c r="E918" s="120">
        <v>14</v>
      </c>
      <c r="F918" s="120" t="s">
        <v>17</v>
      </c>
      <c r="G918" s="121" t="s">
        <v>537</v>
      </c>
      <c r="H918" s="120" t="str">
        <f>_xlfn.XLOOKUP(Tabela1[[#This Row],[Matrícula]],Equipe!B:B,Equipe!E:E,"ERRO",0)</f>
        <v>P83</v>
      </c>
      <c r="I918" s="120" t="str">
        <f>VLOOKUP(Tabela1[[#This Row],[Matrícula]],Equipe!B:F,5,0)</f>
        <v>Novo</v>
      </c>
    </row>
    <row r="919" spans="1:9" hidden="1">
      <c r="A919" s="120" t="s">
        <v>114</v>
      </c>
      <c r="B919" s="120">
        <f>_xlfn.XLOOKUP(A919,Equipe!H:H,Equipe!B:B,"",0)</f>
        <v>4612140</v>
      </c>
      <c r="C919" s="156">
        <v>46231</v>
      </c>
      <c r="D919" s="153">
        <v>46251</v>
      </c>
      <c r="E919" s="120">
        <v>21</v>
      </c>
      <c r="F919" s="120" t="s">
        <v>14</v>
      </c>
      <c r="G919" s="121" t="s">
        <v>538</v>
      </c>
      <c r="H919" s="120" t="str">
        <f>_xlfn.XLOOKUP(Tabela1[[#This Row],[Matrícula]],Equipe!B:B,Equipe!E:E,"ERRO",0)</f>
        <v>P83</v>
      </c>
      <c r="I919" s="120" t="str">
        <f>VLOOKUP(Tabela1[[#This Row],[Matrícula]],Equipe!B:F,5,0)</f>
        <v>Novo</v>
      </c>
    </row>
    <row r="920" spans="1:9" hidden="1">
      <c r="A920" s="120" t="s">
        <v>114</v>
      </c>
      <c r="B920" s="120">
        <f>_xlfn.XLOOKUP(A920,Equipe!H:H,Equipe!B:B,"",0)</f>
        <v>4612140</v>
      </c>
      <c r="C920" s="156">
        <v>46253</v>
      </c>
      <c r="D920" s="153">
        <v>46254</v>
      </c>
      <c r="E920" s="120">
        <v>2</v>
      </c>
      <c r="F920" s="120" t="s">
        <v>11</v>
      </c>
      <c r="G920" s="93" t="s">
        <v>462</v>
      </c>
      <c r="H920" s="120" t="str">
        <f>_xlfn.XLOOKUP(Tabela1[[#This Row],[Matrícula]],Equipe!B:B,Equipe!E:E,"ERRO",0)</f>
        <v>P83</v>
      </c>
      <c r="I920" s="120" t="str">
        <f>VLOOKUP(Tabela1[[#This Row],[Matrícula]],Equipe!B:F,5,0)</f>
        <v>Novo</v>
      </c>
    </row>
    <row r="921" spans="1:9">
      <c r="A921" s="83" t="s">
        <v>225</v>
      </c>
      <c r="B921" s="83">
        <f>_xlfn.XLOOKUP(A921,Equipe!H:H,Equipe!B:B,"",0)</f>
        <v>2448533</v>
      </c>
      <c r="C921" s="154">
        <v>46213</v>
      </c>
      <c r="D921" s="150">
        <v>46213</v>
      </c>
      <c r="E921" s="83">
        <v>1</v>
      </c>
      <c r="F921" s="83" t="s">
        <v>14</v>
      </c>
      <c r="G921" s="88" t="s">
        <v>453</v>
      </c>
      <c r="H921" s="83" t="s">
        <v>539</v>
      </c>
      <c r="I921" s="83" t="s">
        <v>540</v>
      </c>
    </row>
    <row r="922" spans="1:9" hidden="1">
      <c r="A922" s="83" t="s">
        <v>111</v>
      </c>
      <c r="B922" s="92">
        <f>_xlfn.XLOOKUP(A922,Equipe!H:H,Equipe!B:B,"",0)</f>
        <v>4612126</v>
      </c>
      <c r="C922" s="152">
        <v>46237</v>
      </c>
      <c r="D922" s="152">
        <v>46256</v>
      </c>
      <c r="E922" s="83">
        <v>20</v>
      </c>
      <c r="F922" s="83" t="s">
        <v>232</v>
      </c>
      <c r="G922" s="88" t="s">
        <v>541</v>
      </c>
      <c r="H922" s="83" t="str">
        <f>_xlfn.XLOOKUP(Tabela1[[#This Row],[Matrícula]],Equipe!B:B,Equipe!E:E,"ERRO",0)</f>
        <v>P82</v>
      </c>
      <c r="I922" s="83" t="str">
        <f>VLOOKUP(Tabela1[[#This Row],[Matrícula]],Equipe!B:F,5,0)</f>
        <v>Novo</v>
      </c>
    </row>
    <row r="923" spans="1:9">
      <c r="A923" s="83" t="s">
        <v>22</v>
      </c>
      <c r="B923" s="83">
        <f>_xlfn.XLOOKUP(A923,Equipe!H:H,Equipe!B:B,"",0)</f>
        <v>4608389</v>
      </c>
      <c r="C923" s="154">
        <v>46215</v>
      </c>
      <c r="D923" s="150">
        <v>46216</v>
      </c>
      <c r="E923" s="83">
        <v>1</v>
      </c>
      <c r="F923" s="83" t="s">
        <v>11</v>
      </c>
      <c r="G923" s="88" t="s">
        <v>542</v>
      </c>
      <c r="H923" s="83" t="s">
        <v>539</v>
      </c>
      <c r="I923" s="83" t="s">
        <v>490</v>
      </c>
    </row>
    <row r="924" spans="1:9" hidden="1">
      <c r="A924" s="83" t="s">
        <v>318</v>
      </c>
      <c r="B924" s="83">
        <f>_xlfn.XLOOKUP(A924,Equipe!H:H,Equipe!B:B,"",0)</f>
        <v>4613186</v>
      </c>
      <c r="C924" s="154">
        <v>46225</v>
      </c>
      <c r="D924" s="150">
        <v>46226</v>
      </c>
      <c r="E924" s="83">
        <v>2</v>
      </c>
      <c r="F924" s="83" t="s">
        <v>11</v>
      </c>
      <c r="G924" s="88" t="s">
        <v>543</v>
      </c>
      <c r="H924" s="83" t="s">
        <v>294</v>
      </c>
      <c r="I924" s="83" t="s">
        <v>490</v>
      </c>
    </row>
    <row r="925" spans="1:9" hidden="1">
      <c r="A925" s="83" t="s">
        <v>318</v>
      </c>
      <c r="B925" s="83">
        <f>_xlfn.XLOOKUP(A925,Equipe!H:H,Equipe!B:B,"",0)</f>
        <v>4613186</v>
      </c>
      <c r="C925" s="154">
        <v>46314</v>
      </c>
      <c r="D925" s="150">
        <v>46318</v>
      </c>
      <c r="E925" s="83">
        <v>5</v>
      </c>
      <c r="F925" s="83" t="s">
        <v>11</v>
      </c>
      <c r="G925" s="88" t="s">
        <v>544</v>
      </c>
      <c r="H925" s="83" t="s">
        <v>294</v>
      </c>
      <c r="I925" s="83" t="s">
        <v>490</v>
      </c>
    </row>
    <row r="926" spans="1:9">
      <c r="A926" s="83" t="s">
        <v>22</v>
      </c>
      <c r="B926" s="83">
        <f>_xlfn.XLOOKUP(A926,Equipe!H:H,Equipe!B:B,"",0)</f>
        <v>4608389</v>
      </c>
      <c r="C926" s="154">
        <v>46219</v>
      </c>
      <c r="D926" s="150">
        <v>46220</v>
      </c>
      <c r="E926" s="83">
        <v>1</v>
      </c>
      <c r="F926" s="83" t="s">
        <v>11</v>
      </c>
      <c r="G926" s="88" t="s">
        <v>545</v>
      </c>
      <c r="H926" s="83" t="s">
        <v>539</v>
      </c>
      <c r="I926" s="83" t="s">
        <v>490</v>
      </c>
    </row>
    <row r="927" spans="1:9" hidden="1">
      <c r="A927" s="83" t="s">
        <v>106</v>
      </c>
      <c r="B927" s="83">
        <f>_xlfn.XLOOKUP(A927,Equipe!H:H,Equipe!B:B,"",0)</f>
        <v>4612050</v>
      </c>
      <c r="C927" s="154">
        <v>46225</v>
      </c>
      <c r="D927" s="150">
        <v>46227</v>
      </c>
      <c r="E927" s="83">
        <v>3</v>
      </c>
      <c r="F927" s="83" t="s">
        <v>11</v>
      </c>
      <c r="G927" s="88" t="s">
        <v>546</v>
      </c>
      <c r="H927" s="83" t="s">
        <v>489</v>
      </c>
      <c r="I927" s="83" t="s">
        <v>490</v>
      </c>
    </row>
    <row r="928" spans="1:9" hidden="1">
      <c r="A928" s="83" t="s">
        <v>318</v>
      </c>
      <c r="B928" s="83">
        <f>_xlfn.XLOOKUP(A928,Equipe!H:H,Equipe!B:B,"",0)</f>
        <v>4613186</v>
      </c>
      <c r="C928" s="154">
        <v>46225</v>
      </c>
      <c r="D928" s="150">
        <v>46238</v>
      </c>
      <c r="E928" s="83">
        <v>14</v>
      </c>
      <c r="F928" s="83" t="s">
        <v>17</v>
      </c>
      <c r="G928" s="88" t="s">
        <v>547</v>
      </c>
      <c r="H928" s="83" t="s">
        <v>294</v>
      </c>
      <c r="I928" s="83" t="s">
        <v>490</v>
      </c>
    </row>
    <row r="929" spans="1:9" hidden="1">
      <c r="A929" s="83" t="s">
        <v>318</v>
      </c>
      <c r="B929" s="83">
        <f>_xlfn.XLOOKUP(A929,Equipe!H:H,Equipe!B:B,"",0)</f>
        <v>4613186</v>
      </c>
      <c r="C929" s="154">
        <v>46239</v>
      </c>
      <c r="D929" s="150">
        <v>46259</v>
      </c>
      <c r="E929" s="83">
        <v>21</v>
      </c>
      <c r="F929" s="83" t="s">
        <v>14</v>
      </c>
      <c r="G929" s="88" t="s">
        <v>547</v>
      </c>
      <c r="H929" s="83" t="s">
        <v>294</v>
      </c>
      <c r="I929" s="83" t="s">
        <v>490</v>
      </c>
    </row>
    <row r="930" spans="1:9">
      <c r="A930" s="83" t="s">
        <v>35</v>
      </c>
      <c r="B930" s="83">
        <v>9842940</v>
      </c>
      <c r="C930" s="154">
        <v>46370</v>
      </c>
      <c r="D930" s="150">
        <v>46379</v>
      </c>
      <c r="E930" s="83">
        <v>10</v>
      </c>
      <c r="F930" s="83" t="s">
        <v>232</v>
      </c>
      <c r="G930" s="88" t="s">
        <v>548</v>
      </c>
      <c r="H930" s="83" t="s">
        <v>539</v>
      </c>
      <c r="I930" s="83" t="s">
        <v>490</v>
      </c>
    </row>
    <row r="931" spans="1:9">
      <c r="A931" s="83" t="s">
        <v>35</v>
      </c>
      <c r="B931" s="83">
        <v>9842940</v>
      </c>
      <c r="C931" s="154">
        <v>46391</v>
      </c>
      <c r="D931" s="150">
        <v>46410</v>
      </c>
      <c r="E931" s="83">
        <v>20</v>
      </c>
      <c r="F931" s="83" t="s">
        <v>232</v>
      </c>
      <c r="G931" s="88" t="s">
        <v>549</v>
      </c>
      <c r="H931" s="83" t="s">
        <v>539</v>
      </c>
      <c r="I931" s="83" t="s">
        <v>490</v>
      </c>
    </row>
    <row r="932" spans="1:9" hidden="1">
      <c r="A932" s="83" t="s">
        <v>229</v>
      </c>
      <c r="B932" s="83">
        <v>9921954</v>
      </c>
      <c r="C932" s="154">
        <v>46223</v>
      </c>
      <c r="D932" s="150">
        <v>46234</v>
      </c>
      <c r="E932" s="83">
        <v>12</v>
      </c>
      <c r="F932" s="83" t="s">
        <v>550</v>
      </c>
      <c r="G932" s="88" t="s">
        <v>551</v>
      </c>
      <c r="H932" s="83" t="s">
        <v>489</v>
      </c>
      <c r="I932" s="83" t="s">
        <v>490</v>
      </c>
    </row>
    <row r="933" spans="1:9">
      <c r="A933" s="83" t="s">
        <v>264</v>
      </c>
      <c r="B933" s="83">
        <v>9678697</v>
      </c>
      <c r="C933" s="154">
        <v>46227</v>
      </c>
      <c r="D933" s="150">
        <v>46227</v>
      </c>
      <c r="E933" s="83">
        <v>1</v>
      </c>
      <c r="F933" s="83" t="s">
        <v>14</v>
      </c>
      <c r="G933" s="88" t="s">
        <v>552</v>
      </c>
      <c r="H933" s="83" t="s">
        <v>539</v>
      </c>
      <c r="I933" s="83" t="s">
        <v>540</v>
      </c>
    </row>
    <row r="934" spans="1:9">
      <c r="A934" s="83" t="s">
        <v>22</v>
      </c>
      <c r="B934" s="83">
        <f>_xlfn.XLOOKUP(A934,Equipe!H:H,Equipe!B:B,"",0)</f>
        <v>4608389</v>
      </c>
      <c r="C934" s="154">
        <v>46314</v>
      </c>
      <c r="D934" s="150">
        <v>46318</v>
      </c>
      <c r="E934" s="83">
        <v>5</v>
      </c>
      <c r="F934" s="83" t="s">
        <v>11</v>
      </c>
      <c r="G934" s="88" t="s">
        <v>544</v>
      </c>
      <c r="H934" s="83" t="s">
        <v>539</v>
      </c>
      <c r="I934" s="83" t="s">
        <v>490</v>
      </c>
    </row>
    <row r="935" spans="1:9" hidden="1">
      <c r="A935" s="83" t="s">
        <v>331</v>
      </c>
      <c r="B935" s="83">
        <v>4613176</v>
      </c>
      <c r="C935" s="154">
        <v>46222</v>
      </c>
      <c r="D935" s="150">
        <f>(IF(Tabela1[[#This Row],[Início]]&lt;&gt;"",C935+E935-1,""))*1</f>
        <v>46230</v>
      </c>
      <c r="E935" s="83">
        <v>9</v>
      </c>
      <c r="F935" s="83" t="s">
        <v>17</v>
      </c>
      <c r="G935" s="88" t="s">
        <v>553</v>
      </c>
      <c r="H935" s="83" t="str">
        <f>_xlfn.XLOOKUP(Tabela1[[#This Row],[Matrícula]],Equipe!B:B,Equipe!E:E,"ERRO",0)</f>
        <v>P82</v>
      </c>
      <c r="I935" s="83" t="str">
        <f>VLOOKUP(Tabela1[[#This Row],[Matrícula]],Equipe!B:F,5,0)</f>
        <v>Novo</v>
      </c>
    </row>
    <row r="936" spans="1:9">
      <c r="A936" s="83" t="s">
        <v>62</v>
      </c>
      <c r="B936" s="83">
        <f>_xlfn.XLOOKUP(A936,Equipe!H:H,Equipe!B:B,"",0)</f>
        <v>9886449</v>
      </c>
      <c r="C936" s="154">
        <v>46223</v>
      </c>
      <c r="D936" s="150">
        <f>(IF(Tabela1[[#This Row],[Início]]&lt;&gt;"",C936+E936-1,""))*1</f>
        <v>46225</v>
      </c>
      <c r="E936" s="83">
        <v>3</v>
      </c>
      <c r="F936" s="83" t="s">
        <v>14</v>
      </c>
      <c r="G936" s="88" t="s">
        <v>391</v>
      </c>
      <c r="H936" s="83" t="str">
        <f>_xlfn.XLOOKUP(Tabela1[[#This Row],[Matrícula]],Equipe!B:B,Equipe!E:E,"ERRO",0)</f>
        <v>P80</v>
      </c>
      <c r="I936" s="83" t="str">
        <f>VLOOKUP(Tabela1[[#This Row],[Matrícula]],Equipe!B:F,5,0)</f>
        <v>Experiente</v>
      </c>
    </row>
    <row r="937" spans="1:9" hidden="1">
      <c r="A937" s="83" t="s">
        <v>331</v>
      </c>
      <c r="B937" s="83">
        <v>4613176</v>
      </c>
      <c r="C937" s="154">
        <v>46231</v>
      </c>
      <c r="D937" s="150">
        <f>(IF(Tabela1[[#This Row],[Início]]&lt;&gt;"",C937+E937-1,""))*1</f>
        <v>46244</v>
      </c>
      <c r="E937" s="83">
        <v>14</v>
      </c>
      <c r="F937" s="83" t="s">
        <v>14</v>
      </c>
      <c r="G937" s="88" t="s">
        <v>554</v>
      </c>
      <c r="H937" s="83" t="str">
        <f>_xlfn.XLOOKUP(Tabela1[[#This Row],[Matrícula]],Equipe!B:B,Equipe!E:E,"ERRO",0)</f>
        <v>P82</v>
      </c>
      <c r="I937" s="83" t="str">
        <f>VLOOKUP(Tabela1[[#This Row],[Matrícula]],Equipe!B:F,5,0)</f>
        <v>Novo</v>
      </c>
    </row>
    <row r="938" spans="1:9" hidden="1">
      <c r="A938" s="87" t="s">
        <v>331</v>
      </c>
      <c r="B938" s="83">
        <v>4613176</v>
      </c>
      <c r="C938" s="154">
        <v>46251</v>
      </c>
      <c r="D938" s="150">
        <f>(IF(Tabela1[[#This Row],[Início]]&lt;&gt;"",C938+E938-1,""))*1</f>
        <v>46255</v>
      </c>
      <c r="E938" s="83">
        <v>5</v>
      </c>
      <c r="F938" s="83" t="s">
        <v>11</v>
      </c>
      <c r="G938" s="88" t="s">
        <v>544</v>
      </c>
      <c r="H938" s="83" t="str">
        <f>_xlfn.XLOOKUP(Tabela1[[#This Row],[Matrícula]],Equipe!B:B,Equipe!E:E,"ERRO",0)</f>
        <v>P82</v>
      </c>
      <c r="I938" s="83" t="str">
        <f>VLOOKUP(Tabela1[[#This Row],[Matrícula]],Equipe!B:F,5,0)</f>
        <v>Novo</v>
      </c>
    </row>
    <row r="939" spans="1:9">
      <c r="A939" s="120" t="s">
        <v>264</v>
      </c>
      <c r="B939" s="120">
        <v>9678697</v>
      </c>
      <c r="C939" s="156">
        <v>46329</v>
      </c>
      <c r="D939" s="153">
        <v>46345</v>
      </c>
      <c r="E939" s="120">
        <v>17</v>
      </c>
      <c r="F939" s="120" t="s">
        <v>232</v>
      </c>
      <c r="G939" s="121" t="s">
        <v>555</v>
      </c>
      <c r="H939" s="120" t="s">
        <v>539</v>
      </c>
      <c r="I939" s="120" t="str">
        <f>VLOOKUP(Tabela1[[#This Row],[Matrícula]],Equipe!B:F,5,0)</f>
        <v>Experiente</v>
      </c>
    </row>
    <row r="940" spans="1:9">
      <c r="A940" s="83"/>
      <c r="B940" s="83"/>
      <c r="C940" s="154"/>
      <c r="D940" s="150"/>
      <c r="E940" s="83"/>
      <c r="F940" s="83"/>
      <c r="G940" s="88"/>
      <c r="H940" s="83" t="str">
        <f>_xlfn.XLOOKUP(Tabela1[[#This Row],[Matrícula]],Equipe!B:B,Equipe!E:E,"ERRO",0)</f>
        <v>ERRO</v>
      </c>
      <c r="I940" s="83" t="e">
        <f>VLOOKUP(Tabela1[[#This Row],[Matrícula]],Equipe!B:F,5,0)</f>
        <v>#N/A</v>
      </c>
    </row>
    <row r="941" spans="1:9">
      <c r="A941" s="83" t="s">
        <v>111</v>
      </c>
      <c r="B941" s="92">
        <f>_xlfn.XLOOKUP(A941,Equipe!H:H,Equipe!B:B,"",0)</f>
        <v>4612126</v>
      </c>
      <c r="C941" s="152">
        <v>46293</v>
      </c>
      <c r="D941" s="152">
        <v>46302</v>
      </c>
      <c r="E941" s="83">
        <v>10</v>
      </c>
      <c r="F941" s="83" t="s">
        <v>232</v>
      </c>
      <c r="G941" s="88" t="s">
        <v>556</v>
      </c>
      <c r="H941" s="83" t="str">
        <f>_xlfn.XLOOKUP(Tabela1[[#This Row],[Matrícula]],Equipe!B:B,Equipe!E:E,"ERRO",0)</f>
        <v>P82</v>
      </c>
      <c r="I941" s="83" t="str">
        <f>VLOOKUP(Tabela1[[#This Row],[Matrícula]],Equipe!B:F,5,0)</f>
        <v>Novo</v>
      </c>
    </row>
    <row r="942" spans="1:9">
      <c r="A942" s="83" t="s">
        <v>207</v>
      </c>
      <c r="B942" s="83">
        <f>_xlfn.XLOOKUP(A942,Equipe!H:H,Equipe!B:B,"",0)</f>
        <v>1386288</v>
      </c>
      <c r="C942" s="154">
        <v>46227</v>
      </c>
      <c r="D942" s="150">
        <f>(IF(Tabela1[[#This Row],[Início]]&lt;&gt;"",C942+E942-1,""))*1</f>
        <v>46240</v>
      </c>
      <c r="E942" s="83">
        <v>14</v>
      </c>
      <c r="F942" s="83" t="s">
        <v>17</v>
      </c>
      <c r="G942" s="88" t="s">
        <v>557</v>
      </c>
      <c r="H942" s="83" t="str">
        <f>_xlfn.XLOOKUP(Tabela1[[#This Row],[Matrícula]],Equipe!B:B,Equipe!E:E,"ERRO",0)</f>
        <v>P83</v>
      </c>
      <c r="I942" s="83" t="str">
        <f>VLOOKUP(Tabela1[[#This Row],[Matrícula]],Equipe!B:F,5,0)</f>
        <v>Experiente</v>
      </c>
    </row>
    <row r="943" spans="1:9">
      <c r="A943" s="83" t="s">
        <v>207</v>
      </c>
      <c r="B943" s="83">
        <f>_xlfn.XLOOKUP(A943,Equipe!H:H,Equipe!B:B,"",0)</f>
        <v>1386288</v>
      </c>
      <c r="C943" s="154">
        <v>46241</v>
      </c>
      <c r="D943" s="150">
        <f>(IF(Tabela1[[#This Row],[Início]]&lt;&gt;"",C943+E943-1,""))*1</f>
        <v>46261</v>
      </c>
      <c r="E943" s="83">
        <v>21</v>
      </c>
      <c r="F943" s="83" t="s">
        <v>17</v>
      </c>
      <c r="G943" s="88" t="s">
        <v>558</v>
      </c>
      <c r="H943" s="83" t="str">
        <f>_xlfn.XLOOKUP(Tabela1[[#This Row],[Matrícula]],Equipe!B:B,Equipe!E:E,"ERRO",0)</f>
        <v>P83</v>
      </c>
      <c r="I943" s="83" t="str">
        <f>VLOOKUP(Tabela1[[#This Row],[Matrícula]],Equipe!B:F,5,0)</f>
        <v>Experiente</v>
      </c>
    </row>
    <row r="944" spans="1:9">
      <c r="A944" s="83" t="s">
        <v>225</v>
      </c>
      <c r="B944" s="83">
        <f>_xlfn.XLOOKUP(A944,Equipe!H:H,Equipe!B:B,"",0)</f>
        <v>2448533</v>
      </c>
      <c r="C944" s="154">
        <v>46246</v>
      </c>
      <c r="D944" s="150">
        <f>(IF(Tabela1[[#This Row],[Início]]&lt;&gt;"",C944+E944-1,""))*1</f>
        <v>46246</v>
      </c>
      <c r="E944" s="83">
        <v>1</v>
      </c>
      <c r="F944" s="83" t="s">
        <v>11</v>
      </c>
      <c r="G944" s="88" t="s">
        <v>559</v>
      </c>
      <c r="H944" s="83" t="str">
        <f>_xlfn.XLOOKUP(Tabela1[[#This Row],[Matrícula]],Equipe!B:B,Equipe!E:E,"ERRO",0)</f>
        <v>P80</v>
      </c>
      <c r="I944" s="83" t="str">
        <f>VLOOKUP(Tabela1[[#This Row],[Matrícula]],Equipe!B:F,5,0)</f>
        <v>Experiente</v>
      </c>
    </row>
    <row r="945" spans="1:9" ht="57.95">
      <c r="A945" s="83" t="s">
        <v>109</v>
      </c>
      <c r="B945" s="83">
        <f>_xlfn.XLOOKUP(A945,Equipe!H:H,Equipe!B:B,"",0)</f>
        <v>4612389</v>
      </c>
      <c r="C945" s="154">
        <v>46246</v>
      </c>
      <c r="D945" s="150">
        <f>(IF(Tabela1[[#This Row],[Início]]&lt;&gt;"",C945+E945-1,""))*1</f>
        <v>46247</v>
      </c>
      <c r="E945" s="83">
        <v>2</v>
      </c>
      <c r="F945" s="83" t="s">
        <v>11</v>
      </c>
      <c r="G945" s="88" t="s">
        <v>560</v>
      </c>
      <c r="H945" s="83" t="str">
        <f>_xlfn.XLOOKUP(Tabela1[[#This Row],[Matrícula]],Equipe!B:B,Equipe!E:E,"ERRO",0)</f>
        <v>P80</v>
      </c>
      <c r="I945" s="83" t="str">
        <f>VLOOKUP(Tabela1[[#This Row],[Matrícula]],Equipe!B:F,5,0)</f>
        <v>Novo</v>
      </c>
    </row>
    <row r="946" spans="1:9">
      <c r="A946" s="83" t="s">
        <v>205</v>
      </c>
      <c r="B946" s="83">
        <f>_xlfn.XLOOKUP(A946,Equipe!H:H,Equipe!B:B,"",0)</f>
        <v>1385950</v>
      </c>
      <c r="C946" s="154">
        <v>46230</v>
      </c>
      <c r="D946" s="150">
        <f>(IF(Tabela1[[#This Row],[Início]]&lt;&gt;"",C946+E946-1,""))*1</f>
        <v>46234</v>
      </c>
      <c r="E946" s="83">
        <v>5</v>
      </c>
      <c r="F946" s="83" t="s">
        <v>14</v>
      </c>
      <c r="G946" s="88" t="s">
        <v>95</v>
      </c>
      <c r="H946" s="83" t="str">
        <f>_xlfn.XLOOKUP(Tabela1[[#This Row],[Matrícula]],Equipe!B:B,Equipe!E:E,"ERRO",0)</f>
        <v>P82</v>
      </c>
      <c r="I946" s="83" t="str">
        <f>VLOOKUP(Tabela1[[#This Row],[Matrícula]],Equipe!B:F,5,0)</f>
        <v>Experiente</v>
      </c>
    </row>
    <row r="947" spans="1:9">
      <c r="A947" s="83" t="s">
        <v>87</v>
      </c>
      <c r="B947" s="83">
        <f>_xlfn.XLOOKUP(A947,Equipe!H:H,Equipe!B:B,"",0)</f>
        <v>2475130</v>
      </c>
      <c r="C947" s="154">
        <v>46226</v>
      </c>
      <c r="D947" s="150">
        <f>(IF(Tabela1[[#This Row],[Início]]&lt;&gt;"",C947+E947-1,""))*1</f>
        <v>46226</v>
      </c>
      <c r="E947" s="83">
        <v>1</v>
      </c>
      <c r="F947" s="83" t="s">
        <v>11</v>
      </c>
      <c r="G947" s="88" t="s">
        <v>561</v>
      </c>
      <c r="H947" s="83" t="str">
        <f>_xlfn.XLOOKUP(Tabela1[[#This Row],[Matrícula]],Equipe!B:B,Equipe!E:E,"ERRO",0)</f>
        <v>P83</v>
      </c>
      <c r="I947" s="83" t="str">
        <f>VLOOKUP(Tabela1[[#This Row],[Matrícula]],Equipe!B:F,5,0)</f>
        <v>Experiente</v>
      </c>
    </row>
    <row r="948" spans="1:9">
      <c r="A948" s="83" t="s">
        <v>87</v>
      </c>
      <c r="B948" s="83">
        <f>_xlfn.XLOOKUP(A948,Equipe!H:H,Equipe!B:B,"",0)</f>
        <v>2475130</v>
      </c>
      <c r="C948" s="154">
        <v>46231</v>
      </c>
      <c r="D948" s="150">
        <f>(IF(Tabela1[[#This Row],[Início]]&lt;&gt;"",C948+E948-1,""))*1</f>
        <v>46233</v>
      </c>
      <c r="E948" s="83">
        <v>3</v>
      </c>
      <c r="F948" s="83" t="s">
        <v>11</v>
      </c>
      <c r="G948" s="88" t="s">
        <v>432</v>
      </c>
      <c r="H948" s="83" t="str">
        <f>_xlfn.XLOOKUP(Tabela1[[#This Row],[Matrícula]],Equipe!B:B,Equipe!E:E,"ERRO",0)</f>
        <v>P83</v>
      </c>
      <c r="I948" s="83" t="str">
        <f>VLOOKUP(Tabela1[[#This Row],[Matrícula]],Equipe!B:F,5,0)</f>
        <v>Experiente</v>
      </c>
    </row>
    <row r="949" spans="1:9">
      <c r="A949" s="83" t="s">
        <v>87</v>
      </c>
      <c r="B949" s="83">
        <f>_xlfn.XLOOKUP(A949,Equipe!H:H,Equipe!B:B,"",0)</f>
        <v>2475130</v>
      </c>
      <c r="C949" s="154">
        <v>46246</v>
      </c>
      <c r="D949" s="151">
        <f>(IF(Tabela1[[#This Row],[Início]]&lt;&gt;"",C949+E949-1,""))*1</f>
        <v>46246</v>
      </c>
      <c r="E949" s="83">
        <v>1</v>
      </c>
      <c r="F949" s="83" t="s">
        <v>11</v>
      </c>
      <c r="G949" s="88" t="s">
        <v>562</v>
      </c>
      <c r="H949" s="83" t="str">
        <f>_xlfn.XLOOKUP(Tabela1[[#This Row],[Matrícula]],Equipe!B:B,Equipe!E:E,"ERRO",0)</f>
        <v>P83</v>
      </c>
      <c r="I949" s="83" t="str">
        <f>VLOOKUP(Tabela1[[#This Row],[Matrícula]],Equipe!B:F,5,0)</f>
        <v>Experiente</v>
      </c>
    </row>
    <row r="950" spans="1:9">
      <c r="A950" s="83" t="s">
        <v>87</v>
      </c>
      <c r="B950" s="83">
        <f>_xlfn.XLOOKUP(A950,Equipe!H:H,Equipe!B:B,"",0)</f>
        <v>2475130</v>
      </c>
      <c r="C950" s="154">
        <v>46260</v>
      </c>
      <c r="D950" s="150">
        <f>(IF(Tabela1[[#This Row],[Início]]&lt;&gt;"",C950+E950-1,""))*1</f>
        <v>46260</v>
      </c>
      <c r="E950" s="83">
        <v>1</v>
      </c>
      <c r="F950" s="83" t="s">
        <v>11</v>
      </c>
      <c r="G950" s="88" t="s">
        <v>563</v>
      </c>
      <c r="H950" s="83" t="str">
        <f>_xlfn.XLOOKUP(Tabela1[[#This Row],[Matrícula]],Equipe!B:B,Equipe!E:E,"ERRO",0)</f>
        <v>P83</v>
      </c>
      <c r="I950" s="83" t="str">
        <f>VLOOKUP(Tabela1[[#This Row],[Matrícula]],Equipe!B:F,5,0)</f>
        <v>Experiente</v>
      </c>
    </row>
    <row r="951" spans="1:9">
      <c r="A951" s="83" t="s">
        <v>24</v>
      </c>
      <c r="B951" s="83">
        <f>_xlfn.XLOOKUP(A951,Equipe!H:H,Equipe!B:B,"",0)</f>
        <v>1385870</v>
      </c>
      <c r="C951" s="154">
        <v>46251</v>
      </c>
      <c r="D951" s="150">
        <f>(IF(Tabela1[[#This Row],[Início]]&lt;&gt;"",C951+E951-1,""))*1</f>
        <v>46255</v>
      </c>
      <c r="E951" s="83">
        <v>5</v>
      </c>
      <c r="F951" s="83" t="s">
        <v>11</v>
      </c>
      <c r="G951" s="88" t="s">
        <v>544</v>
      </c>
      <c r="H951" s="83" t="str">
        <f>_xlfn.XLOOKUP(Tabela1[[#This Row],[Matrícula]],Equipe!B:B,Equipe!E:E,"ERRO",0)</f>
        <v>P83</v>
      </c>
      <c r="I951" s="83" t="str">
        <f>VLOOKUP(Tabela1[[#This Row],[Matrícula]],Equipe!B:F,5,0)</f>
        <v>Experiente</v>
      </c>
    </row>
    <row r="952" spans="1:9">
      <c r="A952" s="83" t="s">
        <v>24</v>
      </c>
      <c r="B952" s="83">
        <f>_xlfn.XLOOKUP(A952,Equipe!H:H,Equipe!B:B,"",0)</f>
        <v>1385870</v>
      </c>
      <c r="C952" s="154">
        <v>46246</v>
      </c>
      <c r="D952" s="150">
        <f>(IF(Tabela1[[#This Row],[Início]]&lt;&gt;"",C952+E952-1,""))*1</f>
        <v>46246</v>
      </c>
      <c r="E952" s="83">
        <v>1</v>
      </c>
      <c r="F952" s="83" t="s">
        <v>11</v>
      </c>
      <c r="G952" s="88" t="s">
        <v>561</v>
      </c>
      <c r="H952" s="83" t="str">
        <f>_xlfn.XLOOKUP(Tabela1[[#This Row],[Matrícula]],Equipe!B:B,Equipe!E:E,"ERRO",0)</f>
        <v>P83</v>
      </c>
      <c r="I952" s="83" t="str">
        <f>VLOOKUP(Tabela1[[#This Row],[Matrícula]],Equipe!B:F,5,0)</f>
        <v>Experiente</v>
      </c>
    </row>
    <row r="953" spans="1:9">
      <c r="A953" s="83" t="s">
        <v>116</v>
      </c>
      <c r="B953" s="83">
        <f>_xlfn.XLOOKUP(A953,Equipe!H:H,Equipe!B:B,"",0)</f>
        <v>4612171</v>
      </c>
      <c r="C953" s="154">
        <v>46258</v>
      </c>
      <c r="D953" s="154">
        <f>(IF(Tabela1[[#This Row],[Início]]&lt;&gt;"",C953+E953-1,""))*1</f>
        <v>46260</v>
      </c>
      <c r="E953" s="83">
        <v>3</v>
      </c>
      <c r="F953" s="87" t="s">
        <v>11</v>
      </c>
      <c r="G953" s="88" t="s">
        <v>564</v>
      </c>
      <c r="H953" s="83" t="str">
        <f>_xlfn.XLOOKUP(Tabela1[[#This Row],[Matrícula]],Equipe!B:B,Equipe!E:E,"ERRO",0)</f>
        <v>P80</v>
      </c>
      <c r="I953" s="83" t="str">
        <f>VLOOKUP(Tabela1[[#This Row],[Matrícula]],Equipe!B:F,5,0)</f>
        <v>Novo</v>
      </c>
    </row>
    <row r="954" spans="1:9" ht="101.45">
      <c r="A954" s="83" t="s">
        <v>16</v>
      </c>
      <c r="B954" s="83">
        <f>_xlfn.XLOOKUP(A954,Equipe!H:H,Equipe!B:B,"",0)</f>
        <v>4608544</v>
      </c>
      <c r="C954" s="154">
        <v>46275</v>
      </c>
      <c r="D954" s="150">
        <f>(IF(Tabela1[[#This Row],[Início]]&lt;&gt;"",C954+E954-1,""))*1</f>
        <v>46275</v>
      </c>
      <c r="E954" s="83">
        <v>1</v>
      </c>
      <c r="F954" s="83" t="s">
        <v>11</v>
      </c>
      <c r="G954" s="88" t="s">
        <v>565</v>
      </c>
      <c r="H954" s="83" t="str">
        <f>_xlfn.XLOOKUP(Tabela1[[#This Row],[Matrícula]],Equipe!B:B,Equipe!E:E,"ERRO",0)</f>
        <v>P82</v>
      </c>
      <c r="I954" s="83" t="str">
        <f>VLOOKUP(Tabela1[[#This Row],[Matrícula]],Equipe!B:F,5,0)</f>
        <v>Novo</v>
      </c>
    </row>
    <row r="955" spans="1:9" ht="87">
      <c r="A955" s="83" t="s">
        <v>16</v>
      </c>
      <c r="B955" s="83">
        <f>_xlfn.XLOOKUP(A955,Equipe!H:H,Equipe!B:B,"",0)</f>
        <v>4608544</v>
      </c>
      <c r="C955" s="154">
        <v>46280</v>
      </c>
      <c r="D955" s="150">
        <f>(IF(Tabela1[[#This Row],[Início]]&lt;&gt;"",C955+E955-1,""))*1</f>
        <v>46289</v>
      </c>
      <c r="E955" s="83">
        <v>10</v>
      </c>
      <c r="F955" s="83" t="s">
        <v>11</v>
      </c>
      <c r="G955" s="88" t="s">
        <v>566</v>
      </c>
      <c r="H955" s="83" t="str">
        <f>_xlfn.XLOOKUP(Tabela1[[#This Row],[Matrícula]],Equipe!B:B,Equipe!E:E,"ERRO",0)</f>
        <v>P82</v>
      </c>
      <c r="I955" s="83" t="str">
        <f>VLOOKUP(Tabela1[[#This Row],[Matrícula]],Equipe!B:F,5,0)</f>
        <v>Novo</v>
      </c>
    </row>
    <row r="956" spans="1:9">
      <c r="A956" s="83" t="s">
        <v>140</v>
      </c>
      <c r="B956" s="83">
        <v>4612247</v>
      </c>
      <c r="C956" s="154">
        <v>46230</v>
      </c>
      <c r="D956" s="150">
        <f>(IF(Tabela1[[#This Row],[Início]]&lt;&gt;"",C956+E956-1,""))*1</f>
        <v>46232</v>
      </c>
      <c r="E956" s="83">
        <v>3</v>
      </c>
      <c r="F956" s="83" t="s">
        <v>11</v>
      </c>
      <c r="G956" s="88" t="s">
        <v>567</v>
      </c>
      <c r="H956" s="83" t="str">
        <f>_xlfn.XLOOKUP(Tabela1[[#This Row],[Matrícula]],Equipe!B:B,Equipe!E:E,"ERRO",0)</f>
        <v>P83</v>
      </c>
      <c r="I956" s="83" t="str">
        <f>VLOOKUP(Tabela1[[#This Row],[Matrícula]],Equipe!B:F,5,0)</f>
        <v>Novo</v>
      </c>
    </row>
    <row r="957" spans="1:9">
      <c r="A957" s="83" t="s">
        <v>20</v>
      </c>
      <c r="B957" s="83">
        <v>4608559</v>
      </c>
      <c r="C957" s="154">
        <v>46213</v>
      </c>
      <c r="D957" s="150">
        <f>(IF(Tabela1[[#This Row],[Início]]&lt;&gt;"",C957+E957-1,""))*1</f>
        <v>46232</v>
      </c>
      <c r="E957" s="83">
        <v>20</v>
      </c>
      <c r="F957" s="83" t="s">
        <v>14</v>
      </c>
      <c r="G957" s="88" t="s">
        <v>167</v>
      </c>
      <c r="H957" s="83" t="str">
        <f>_xlfn.XLOOKUP(Tabela1[[#This Row],[Matrícula]],Equipe!B:B,Equipe!E:E,"ERRO",0)</f>
        <v>P83</v>
      </c>
      <c r="I957" s="83" t="str">
        <f>VLOOKUP(Tabela1[[#This Row],[Matrícula]],Equipe!B:F,5,0)</f>
        <v>Novo</v>
      </c>
    </row>
    <row r="958" spans="1:9">
      <c r="A958" s="83" t="s">
        <v>568</v>
      </c>
      <c r="B958" s="83">
        <v>9842940</v>
      </c>
      <c r="C958" s="154">
        <v>46258</v>
      </c>
      <c r="D958" s="150">
        <f>(IF(Tabela1[[#This Row],[Início]]&lt;&gt;"",C958+E958-1,""))*1</f>
        <v>46260</v>
      </c>
      <c r="E958" s="83">
        <v>3</v>
      </c>
      <c r="F958" s="83" t="s">
        <v>11</v>
      </c>
      <c r="G958" s="88" t="s">
        <v>569</v>
      </c>
      <c r="H958" s="83" t="str">
        <f>_xlfn.XLOOKUP(Tabela1[[#This Row],[Matrícula]],Equipe!B:B,Equipe!E:E,"ERRO",0)</f>
        <v>P80</v>
      </c>
      <c r="I958" s="83" t="str">
        <f>VLOOKUP(Tabela1[[#This Row],[Matrícula]],Equipe!B:F,5,0)</f>
        <v>Novo</v>
      </c>
    </row>
    <row r="959" spans="1:9" ht="29.1">
      <c r="A959" s="83" t="s">
        <v>568</v>
      </c>
      <c r="B959" s="83">
        <v>9842940</v>
      </c>
      <c r="C959" s="154">
        <v>46246</v>
      </c>
      <c r="D959" s="150">
        <f>(IF(Tabela1[[#This Row],[Início]]&lt;&gt;"",C959+E959-1,""))*1</f>
        <v>46247</v>
      </c>
      <c r="E959" s="83">
        <v>2</v>
      </c>
      <c r="F959" s="83" t="s">
        <v>11</v>
      </c>
      <c r="G959" s="88" t="s">
        <v>570</v>
      </c>
      <c r="H959" s="83" t="str">
        <f>_xlfn.XLOOKUP(Tabela1[[#This Row],[Matrícula]],Equipe!B:B,Equipe!E:E,"ERRO",0)</f>
        <v>P80</v>
      </c>
      <c r="I959" s="83" t="str">
        <f>VLOOKUP(Tabela1[[#This Row],[Matrícula]],Equipe!B:F,5,0)</f>
        <v>Novo</v>
      </c>
    </row>
    <row r="960" spans="1:9" ht="43.5">
      <c r="A960" s="83" t="s">
        <v>225</v>
      </c>
      <c r="B960" s="83">
        <f>_xlfn.XLOOKUP(A960,Equipe!H:H,Equipe!B:B,"",0)</f>
        <v>2448533</v>
      </c>
      <c r="C960" s="154">
        <v>46279</v>
      </c>
      <c r="D960" s="150">
        <f>(IF(Tabela1[[#This Row],[Início]]&lt;&gt;"",C960+E960-1,""))*1</f>
        <v>46280</v>
      </c>
      <c r="E960" s="83">
        <v>2</v>
      </c>
      <c r="F960" s="83" t="s">
        <v>11</v>
      </c>
      <c r="G960" s="88" t="s">
        <v>571</v>
      </c>
      <c r="H960" s="83" t="str">
        <f>_xlfn.XLOOKUP(Tabela1[[#This Row],[Matrícula]],Equipe!B:B,Equipe!E:E,"ERRO",0)</f>
        <v>P80</v>
      </c>
      <c r="I960" s="83" t="str">
        <f>VLOOKUP(Tabela1[[#This Row],[Matrícula]],Equipe!B:F,5,0)</f>
        <v>Experiente</v>
      </c>
    </row>
    <row r="961" spans="1:9">
      <c r="A961" s="83" t="s">
        <v>113</v>
      </c>
      <c r="B961" s="83">
        <f>_xlfn.XLOOKUP(A961,Equipe!H:H,Equipe!B:B,"",0)</f>
        <v>4612192</v>
      </c>
      <c r="C961" s="154">
        <v>46255</v>
      </c>
      <c r="D961" s="150">
        <f>(IF(Tabela1[[#This Row],[Início]]&lt;&gt;"",C961+E961-1,""))*1</f>
        <v>46255</v>
      </c>
      <c r="E961" s="83">
        <v>1</v>
      </c>
      <c r="F961" s="83" t="s">
        <v>11</v>
      </c>
      <c r="G961" s="88" t="s">
        <v>572</v>
      </c>
      <c r="H961" s="83" t="str">
        <f>_xlfn.XLOOKUP(Tabela1[[#This Row],[Matrícula]],Equipe!B:B,Equipe!E:E,"ERRO",0)</f>
        <v>P82</v>
      </c>
      <c r="I961" s="83" t="str">
        <f>VLOOKUP(Tabela1[[#This Row],[Matrícula]],Equipe!B:F,5,0)</f>
        <v>Novo</v>
      </c>
    </row>
    <row r="962" spans="1:9" ht="29.1">
      <c r="A962" s="83" t="s">
        <v>140</v>
      </c>
      <c r="B962" s="83">
        <v>4612247</v>
      </c>
      <c r="C962" s="154">
        <v>46288</v>
      </c>
      <c r="D962" s="150">
        <f>(IF(Tabela1[[#This Row],[Início]]&lt;&gt;"",C962+E962-1,""))*1</f>
        <v>46289</v>
      </c>
      <c r="E962" s="83">
        <v>2</v>
      </c>
      <c r="F962" s="83" t="s">
        <v>11</v>
      </c>
      <c r="G962" s="88" t="s">
        <v>573</v>
      </c>
      <c r="H962" s="83" t="str">
        <f>_xlfn.XLOOKUP(Tabela1[[#This Row],[Matrícula]],Equipe!B:B,Equipe!E:E,"ERRO",0)</f>
        <v>P83</v>
      </c>
      <c r="I962" s="83" t="str">
        <f>VLOOKUP(Tabela1[[#This Row],[Matrícula]],Equipe!B:F,5,0)</f>
        <v>Novo</v>
      </c>
    </row>
    <row r="963" spans="1:9">
      <c r="A963" s="83" t="s">
        <v>225</v>
      </c>
      <c r="B963" s="83">
        <f>_xlfn.XLOOKUP(A963,Equipe!H:H,Equipe!B:B,"",0)</f>
        <v>2448533</v>
      </c>
      <c r="C963" s="154">
        <v>46233</v>
      </c>
      <c r="D963" s="150">
        <f>(IF(Tabela1[[#This Row],[Início]]&lt;&gt;"",C963+E963-1,""))*1</f>
        <v>46234</v>
      </c>
      <c r="E963" s="83">
        <v>2</v>
      </c>
      <c r="F963" s="87" t="s">
        <v>14</v>
      </c>
      <c r="G963" s="88" t="s">
        <v>453</v>
      </c>
      <c r="H963" s="83" t="str">
        <f>_xlfn.XLOOKUP(Tabela1[[#This Row],[Matrícula]],Equipe!B:B,Equipe!E:E,"ERRO",0)</f>
        <v>P80</v>
      </c>
      <c r="I963" s="83" t="str">
        <f>VLOOKUP(Tabela1[[#This Row],[Matrícula]],Equipe!B:F,5,0)</f>
        <v>Experiente</v>
      </c>
    </row>
    <row r="964" spans="1:9">
      <c r="A964" s="83" t="s">
        <v>24</v>
      </c>
      <c r="B964" s="83">
        <f>_xlfn.XLOOKUP(A964,Equipe!H:H,Equipe!B:B,"",0)</f>
        <v>1385870</v>
      </c>
      <c r="C964" s="154">
        <v>46237</v>
      </c>
      <c r="D964" s="150">
        <f>(IF(Tabela1[[#This Row],[Início]]&lt;&gt;"",C964+E964-1,""))*1</f>
        <v>46237</v>
      </c>
      <c r="E964" s="83">
        <v>1</v>
      </c>
      <c r="F964" s="87" t="s">
        <v>14</v>
      </c>
      <c r="G964" s="88" t="s">
        <v>453</v>
      </c>
      <c r="H964" s="83" t="str">
        <f>_xlfn.XLOOKUP(Tabela1[[#This Row],[Matrícula]],Equipe!B:B,Equipe!E:E,"ERRO",0)</f>
        <v>P83</v>
      </c>
      <c r="I964" s="83" t="str">
        <f>VLOOKUP(Tabela1[[#This Row],[Matrícula]],Equipe!B:F,5,0)</f>
        <v>Experiente</v>
      </c>
    </row>
    <row r="965" spans="1:9">
      <c r="A965" s="83" t="s">
        <v>24</v>
      </c>
      <c r="B965" s="83">
        <f>_xlfn.XLOOKUP(A965,Equipe!H:H,Equipe!B:B,"",0)</f>
        <v>1385870</v>
      </c>
      <c r="C965" s="154">
        <v>46279</v>
      </c>
      <c r="D965" s="150">
        <f>(IF(Tabela1[[#This Row],[Início]]&lt;&gt;"",C965+E965-1,""))*1</f>
        <v>46279</v>
      </c>
      <c r="E965" s="83">
        <v>1</v>
      </c>
      <c r="F965" s="83" t="s">
        <v>14</v>
      </c>
      <c r="G965" s="88" t="s">
        <v>453</v>
      </c>
      <c r="H965" s="83" t="str">
        <f>_xlfn.XLOOKUP(Tabela1[[#This Row],[Matrícula]],Equipe!B:B,Equipe!E:E,"ERRO",0)</f>
        <v>P83</v>
      </c>
      <c r="I965" s="83" t="str">
        <f>VLOOKUP(Tabela1[[#This Row],[Matrícula]],Equipe!B:F,5,0)</f>
        <v>Experiente</v>
      </c>
    </row>
    <row r="966" spans="1:9">
      <c r="A966" s="87" t="s">
        <v>53</v>
      </c>
      <c r="B966" s="109">
        <f>_xlfn.XLOOKUP(A966,Equipe!H:H,Equipe!B:B,"",0)</f>
        <v>4608780</v>
      </c>
      <c r="C966" s="155">
        <v>46273</v>
      </c>
      <c r="D966" s="151">
        <f>(IF(Tabela1[[#This Row],[Início]]&lt;&gt;"",C966+E966-1,""))*1</f>
        <v>46275</v>
      </c>
      <c r="E966" s="87">
        <v>3</v>
      </c>
      <c r="F966" s="87" t="s">
        <v>11</v>
      </c>
      <c r="G966" s="93" t="s">
        <v>432</v>
      </c>
      <c r="H966" s="87" t="str">
        <f>_xlfn.XLOOKUP(Tabela1[[#This Row],[Matrícula]],Equipe!B:B,Equipe!E:E,"ERRO",0)</f>
        <v>P83</v>
      </c>
      <c r="I966" s="87" t="str">
        <f>VLOOKUP(Tabela1[[#This Row],[Matrícula]],Equipe!B:F,5,0)</f>
        <v>Novo</v>
      </c>
    </row>
    <row r="967" spans="1:9">
      <c r="A967" s="87" t="s">
        <v>53</v>
      </c>
      <c r="B967" s="109">
        <f>_xlfn.XLOOKUP(A967,Equipe!H:H,Equipe!B:B,"",0)</f>
        <v>4608780</v>
      </c>
      <c r="C967" s="155">
        <v>46251</v>
      </c>
      <c r="D967" s="151">
        <f>(IF(Tabela1[[#This Row],[Início]]&lt;&gt;"",C967+E967-1,""))*1</f>
        <v>46251</v>
      </c>
      <c r="E967" s="87">
        <v>1</v>
      </c>
      <c r="F967" s="87" t="s">
        <v>11</v>
      </c>
      <c r="G967" s="93" t="s">
        <v>574</v>
      </c>
      <c r="H967" s="87" t="str">
        <f>_xlfn.XLOOKUP(Tabela1[[#This Row],[Matrícula]],Equipe!B:B,Equipe!E:E,"ERRO",0)</f>
        <v>P83</v>
      </c>
      <c r="I967" s="87" t="str">
        <f>VLOOKUP(Tabela1[[#This Row],[Matrícula]],Equipe!B:F,5,0)</f>
        <v>Novo</v>
      </c>
    </row>
    <row r="968" spans="1:9">
      <c r="A968" s="87" t="s">
        <v>53</v>
      </c>
      <c r="B968" s="109">
        <f>_xlfn.XLOOKUP(A968,Equipe!H:H,Equipe!B:B,"",0)</f>
        <v>4608780</v>
      </c>
      <c r="C968" s="155">
        <v>46254</v>
      </c>
      <c r="D968" s="151">
        <f>(IF(Tabela1[[#This Row],[Início]]&lt;&gt;"",C968+E968-1,""))*1</f>
        <v>46255</v>
      </c>
      <c r="E968" s="87">
        <v>2</v>
      </c>
      <c r="F968" s="87" t="s">
        <v>11</v>
      </c>
      <c r="G968" s="93" t="s">
        <v>575</v>
      </c>
      <c r="H968" s="87" t="str">
        <f>_xlfn.XLOOKUP(Tabela1[[#This Row],[Matrícula]],Equipe!B:B,Equipe!E:E,"ERRO",0)</f>
        <v>P83</v>
      </c>
      <c r="I968" s="87" t="str">
        <f>VLOOKUP(Tabela1[[#This Row],[Matrícula]],Equipe!B:F,5,0)</f>
        <v>Novo</v>
      </c>
    </row>
    <row r="969" spans="1:9">
      <c r="A969" s="120" t="s">
        <v>116</v>
      </c>
      <c r="B969" s="120">
        <f>_xlfn.XLOOKUP(A969,Equipe!H:H,Equipe!B:B,"",0)</f>
        <v>4612171</v>
      </c>
      <c r="C969" s="156">
        <v>46478</v>
      </c>
      <c r="D969" s="156">
        <f>(IF(Tabela1[[#This Row],[Início]]&lt;&gt;"",C969+E969-1,""))*1</f>
        <v>46497</v>
      </c>
      <c r="E969" s="120">
        <v>20</v>
      </c>
      <c r="F969" s="87" t="s">
        <v>232</v>
      </c>
      <c r="G969" s="121" t="s">
        <v>232</v>
      </c>
      <c r="H969" s="120" t="str">
        <f>_xlfn.XLOOKUP(Tabela1[[#This Row],[Matrícula]],Equipe!B:B,Equipe!E:E,"ERRO",0)</f>
        <v>P80</v>
      </c>
      <c r="I969" s="120" t="str">
        <f>VLOOKUP(Tabela1[[#This Row],[Matrícula]],Equipe!B:F,5,0)</f>
        <v>Novo</v>
      </c>
    </row>
    <row r="970" spans="1:9">
      <c r="A970" s="83" t="s">
        <v>46</v>
      </c>
      <c r="B970" s="109">
        <f>_xlfn.XLOOKUP(A970,Equipe!H:H,Equipe!B:B,"",0)</f>
        <v>4608411</v>
      </c>
      <c r="C970" s="156">
        <v>46258</v>
      </c>
      <c r="D970" s="153">
        <v>46260</v>
      </c>
      <c r="E970" s="120">
        <v>3</v>
      </c>
      <c r="F970" s="87" t="s">
        <v>11</v>
      </c>
      <c r="G970" s="121" t="s">
        <v>576</v>
      </c>
      <c r="H970" s="120" t="str">
        <f>_xlfn.XLOOKUP(Tabela1[[#This Row],[Matrícula]],Equipe!B:B,Equipe!E:E,"ERRO",0)</f>
        <v>P83</v>
      </c>
      <c r="I970" s="120" t="str">
        <f>VLOOKUP(Tabela1[[#This Row],[Matrícula]],Equipe!B:F,5,0)</f>
        <v>Novo</v>
      </c>
    </row>
    <row r="971" spans="1:9">
      <c r="A971" s="83" t="s">
        <v>46</v>
      </c>
      <c r="B971" s="83">
        <f>_xlfn.XLOOKUP(A971,Equipe!H:H,Equipe!B:B,"",0)</f>
        <v>4608411</v>
      </c>
      <c r="C971" s="154">
        <v>46261</v>
      </c>
      <c r="D971" s="150">
        <f>(IF(Tabela1[[#This Row],[Início]]&lt;&gt;"",C971+E971-1,""))*1</f>
        <v>46261</v>
      </c>
      <c r="E971" s="83">
        <v>1</v>
      </c>
      <c r="F971" s="87" t="s">
        <v>11</v>
      </c>
      <c r="G971" s="88" t="s">
        <v>577</v>
      </c>
      <c r="H971" s="83" t="str">
        <f>_xlfn.XLOOKUP(Tabela1[[#This Row],[Matrícula]],Equipe!B:B,Equipe!E:E,"ERRO",0)</f>
        <v>P83</v>
      </c>
      <c r="I971" s="83" t="str">
        <f>VLOOKUP(Tabela1[[#This Row],[Matrícula]],Equipe!B:F,5,0)</f>
        <v>Novo</v>
      </c>
    </row>
    <row r="972" spans="1:9">
      <c r="A972" s="83" t="s">
        <v>24</v>
      </c>
      <c r="B972" s="83">
        <f>_xlfn.XLOOKUP(A972,Equipe!H:H,Equipe!B:B,"",0)</f>
        <v>1385870</v>
      </c>
      <c r="C972" s="154">
        <v>46241</v>
      </c>
      <c r="D972" s="150">
        <f>(IF(Tabela1[[#This Row],[Início]]&lt;&gt;"",C972+E972-1,""))*1</f>
        <v>46241</v>
      </c>
      <c r="E972" s="83">
        <v>1</v>
      </c>
      <c r="F972" s="87" t="s">
        <v>11</v>
      </c>
      <c r="G972" t="s">
        <v>578</v>
      </c>
      <c r="H972" s="83" t="str">
        <f>_xlfn.XLOOKUP(Tabela1[[#This Row],[Matrícula]],Equipe!B:B,Equipe!E:E,"ERRO",0)</f>
        <v>P83</v>
      </c>
      <c r="I972" s="83" t="str">
        <f>VLOOKUP(Tabela1[[#This Row],[Matrícula]],Equipe!B:F,5,0)</f>
        <v>Experiente</v>
      </c>
    </row>
    <row r="973" spans="1:9">
      <c r="A973" s="83" t="s">
        <v>44</v>
      </c>
      <c r="B973" s="83">
        <f>_xlfn.XLOOKUP(A973,Equipe!H:H,Equipe!B:B,"",0)</f>
        <v>1381625</v>
      </c>
      <c r="C973" s="154">
        <v>46274</v>
      </c>
      <c r="D973" s="150">
        <f>(IF(Tabela1[[#This Row],[Início]]&lt;&gt;"",C973+E973-1,""))*1</f>
        <v>46276</v>
      </c>
      <c r="E973" s="83">
        <v>3</v>
      </c>
      <c r="F973" s="87" t="s">
        <v>11</v>
      </c>
      <c r="G973" s="88" t="s">
        <v>579</v>
      </c>
      <c r="H973" s="83" t="str">
        <f>_xlfn.XLOOKUP(Tabela1[[#This Row],[Matrícula]],Equipe!B:B,Equipe!E:E,"ERRO",0)</f>
        <v>P80</v>
      </c>
      <c r="I973" s="83" t="str">
        <f>VLOOKUP(Tabela1[[#This Row],[Matrícula]],Equipe!B:F,5,0)</f>
        <v>Experiente</v>
      </c>
    </row>
    <row r="974" spans="1:9">
      <c r="A974" s="83" t="s">
        <v>580</v>
      </c>
      <c r="B974" s="83">
        <v>4614524</v>
      </c>
      <c r="C974" s="154">
        <v>46234</v>
      </c>
      <c r="D974" s="150">
        <f>(IF(Tabela1[[#This Row],[Início]]&lt;&gt;"",C974+E974-1,""))*1</f>
        <v>46234</v>
      </c>
      <c r="E974" s="83">
        <v>1</v>
      </c>
      <c r="F974" s="83" t="s">
        <v>14</v>
      </c>
      <c r="G974" s="88" t="s">
        <v>581</v>
      </c>
      <c r="H974" s="83" t="str">
        <f>_xlfn.XLOOKUP(Tabela1[[#This Row],[Matrícula]],Equipe!B:B,Equipe!E:E,"ERRO",0)</f>
        <v>PBAC</v>
      </c>
      <c r="I974" s="83" t="str">
        <f>VLOOKUP(Tabela1[[#This Row],[Matrícula]],Equipe!B:F,5,0)</f>
        <v>Novo</v>
      </c>
    </row>
    <row r="975" spans="1:9">
      <c r="A975" s="83" t="s">
        <v>580</v>
      </c>
      <c r="B975" s="83">
        <f>_xlfn.XLOOKUP(A975,Equipe!H:H,Equipe!B:B,"",0)</f>
        <v>4614524</v>
      </c>
      <c r="C975" s="154">
        <v>46239</v>
      </c>
      <c r="D975" s="150">
        <f>(IF(Tabela1[[#This Row],[Início]]&lt;&gt;"",C975+E975-1,""))*1</f>
        <v>46239</v>
      </c>
      <c r="E975" s="83">
        <v>1</v>
      </c>
      <c r="F975" s="87" t="s">
        <v>11</v>
      </c>
      <c r="G975" s="88" t="s">
        <v>582</v>
      </c>
      <c r="H975" s="83" t="str">
        <f>_xlfn.XLOOKUP(Tabela1[[#This Row],[Matrícula]],Equipe!B:B,Equipe!E:E,"ERRO",0)</f>
        <v>PBAC</v>
      </c>
      <c r="I975" s="83" t="str">
        <f>VLOOKUP(Tabela1[[#This Row],[Matrícula]],Equipe!B:F,5,0)</f>
        <v>Novo</v>
      </c>
    </row>
    <row r="976" spans="1:9" ht="30.75">
      <c r="A976" s="83" t="s">
        <v>580</v>
      </c>
      <c r="B976" s="83">
        <f>_xlfn.XLOOKUP(A976,Equipe!H:H,Equipe!B:B,"",0)</f>
        <v>4614524</v>
      </c>
      <c r="C976" s="154">
        <v>46241</v>
      </c>
      <c r="D976" s="150">
        <f>(IF(Tabela1[[#This Row],[Início]]&lt;&gt;"",C976+E976-1,""))*1</f>
        <v>46241</v>
      </c>
      <c r="E976" s="83">
        <v>1</v>
      </c>
      <c r="F976" s="87" t="s">
        <v>11</v>
      </c>
      <c r="G976" s="88" t="s">
        <v>583</v>
      </c>
      <c r="H976" s="83" t="str">
        <f>_xlfn.XLOOKUP(Tabela1[[#This Row],[Matrícula]],Equipe!B:B,Equipe!E:E,"ERRO",0)</f>
        <v>PBAC</v>
      </c>
      <c r="I976" s="83" t="str">
        <f>VLOOKUP(Tabela1[[#This Row],[Matrícula]],Equipe!B:F,5,0)</f>
        <v>Novo</v>
      </c>
    </row>
    <row r="977" spans="1:9" ht="15">
      <c r="A977" s="83" t="s">
        <v>580</v>
      </c>
      <c r="B977" s="83">
        <f>_xlfn.XLOOKUP(A977,Equipe!H:H,Equipe!B:B,"",0)</f>
        <v>4614524</v>
      </c>
      <c r="C977" s="154">
        <v>46244</v>
      </c>
      <c r="D977" s="150">
        <f>(IF(Tabela1[[#This Row],[Início]]&lt;&gt;"",C977+E977-1,""))*1</f>
        <v>46248</v>
      </c>
      <c r="E977" s="83">
        <v>5</v>
      </c>
      <c r="F977" s="87" t="s">
        <v>11</v>
      </c>
      <c r="G977" s="88" t="s">
        <v>584</v>
      </c>
      <c r="H977" s="83" t="str">
        <f>_xlfn.XLOOKUP(Tabela1[[#This Row],[Matrícula]],Equipe!B:B,Equipe!E:E,"ERRO",0)</f>
        <v>PBAC</v>
      </c>
      <c r="I977" s="83" t="str">
        <f>VLOOKUP(Tabela1[[#This Row],[Matrícula]],Equipe!B:F,5,0)</f>
        <v>Novo</v>
      </c>
    </row>
    <row r="978" spans="1:9">
      <c r="A978" s="83" t="s">
        <v>580</v>
      </c>
      <c r="B978" s="83">
        <f>_xlfn.XLOOKUP(A978,Equipe!H:H,Equipe!B:B,"",0)</f>
        <v>4614524</v>
      </c>
      <c r="C978" s="154">
        <v>46251</v>
      </c>
      <c r="D978" s="150">
        <f>(IF(Tabela1[[#This Row],[Início]]&lt;&gt;"",C978+E978-1,""))*1</f>
        <v>46255</v>
      </c>
      <c r="E978" s="83">
        <v>5</v>
      </c>
      <c r="F978" s="87" t="s">
        <v>11</v>
      </c>
      <c r="G978" s="88" t="s">
        <v>500</v>
      </c>
      <c r="H978" s="83" t="str">
        <f>_xlfn.XLOOKUP(Tabela1[[#This Row],[Matrícula]],Equipe!B:B,Equipe!E:E,"ERRO",0)</f>
        <v>PBAC</v>
      </c>
      <c r="I978" s="83" t="str">
        <f>VLOOKUP(Tabela1[[#This Row],[Matrícula]],Equipe!B:F,5,0)</f>
        <v>Novo</v>
      </c>
    </row>
    <row r="979" spans="1:9">
      <c r="A979" s="83" t="s">
        <v>580</v>
      </c>
      <c r="B979" s="83">
        <f>_xlfn.XLOOKUP(A979,Equipe!H:H,Equipe!B:B,"",0)</f>
        <v>4614524</v>
      </c>
      <c r="C979" s="154">
        <v>46302</v>
      </c>
      <c r="D979" s="150">
        <f>(IF(Tabela1[[#This Row],[Início]]&lt;&gt;"",C979+E979-1,""))*1</f>
        <v>46302</v>
      </c>
      <c r="E979" s="83">
        <v>1</v>
      </c>
      <c r="F979" s="87" t="s">
        <v>11</v>
      </c>
      <c r="G979" s="88" t="s">
        <v>563</v>
      </c>
      <c r="H979" s="83" t="str">
        <f>_xlfn.XLOOKUP(Tabela1[[#This Row],[Matrícula]],Equipe!B:B,Equipe!E:E,"ERRO",0)</f>
        <v>PBAC</v>
      </c>
      <c r="I979" s="83" t="str">
        <f>VLOOKUP(Tabela1[[#This Row],[Matrícula]],Equipe!B:F,5,0)</f>
        <v>Novo</v>
      </c>
    </row>
    <row r="980" spans="1:9">
      <c r="A980" s="83" t="s">
        <v>568</v>
      </c>
      <c r="B980" s="83">
        <v>9842940</v>
      </c>
      <c r="C980" s="154">
        <v>46244</v>
      </c>
      <c r="D980" s="150">
        <f>(IF(Tabela1[[#This Row],[Início]]&lt;&gt;"",C980+E980-1,""))*1</f>
        <v>46244</v>
      </c>
      <c r="E980" s="83">
        <v>1</v>
      </c>
      <c r="F980" s="87" t="s">
        <v>11</v>
      </c>
      <c r="G980" s="5" t="s">
        <v>578</v>
      </c>
      <c r="H980" s="83" t="str">
        <f>_xlfn.XLOOKUP(Tabela1[[#This Row],[Matrícula]],Equipe!B:B,Equipe!E:E,"ERRO",0)</f>
        <v>P80</v>
      </c>
      <c r="I980" s="83" t="str">
        <f>VLOOKUP(Tabela1[[#This Row],[Matrícula]],Equipe!B:F,5,0)</f>
        <v>Novo</v>
      </c>
    </row>
    <row r="981" spans="1:9">
      <c r="A981" s="83" t="s">
        <v>225</v>
      </c>
      <c r="B981" s="83">
        <f>_xlfn.XLOOKUP(A981,Equipe!H:H,Equipe!B:B,"",0)</f>
        <v>2448533</v>
      </c>
      <c r="C981" s="154">
        <v>46258</v>
      </c>
      <c r="D981" s="150">
        <f>(IF(Tabela1[[#This Row],[Início]]&lt;&gt;"",C981+E981-1,""))*1</f>
        <v>46258</v>
      </c>
      <c r="E981" s="83">
        <v>1</v>
      </c>
      <c r="F981" s="87" t="s">
        <v>11</v>
      </c>
      <c r="G981" s="149" t="s">
        <v>585</v>
      </c>
      <c r="H981" s="83" t="str">
        <f>_xlfn.XLOOKUP(Tabela1[[#This Row],[Matrícula]],Equipe!B:B,Equipe!E:E,"ERRO",0)</f>
        <v>P80</v>
      </c>
      <c r="I981" s="83" t="str">
        <f>VLOOKUP(Tabela1[[#This Row],[Matrícula]],Equipe!B:F,5,0)</f>
        <v>Experiente</v>
      </c>
    </row>
    <row r="982" spans="1:9">
      <c r="A982" s="83" t="s">
        <v>205</v>
      </c>
      <c r="B982" s="83">
        <f>_xlfn.XLOOKUP(A982,Equipe!H:H,Equipe!B:B,"",0)</f>
        <v>1385950</v>
      </c>
      <c r="C982" s="154">
        <v>46237</v>
      </c>
      <c r="D982" s="150">
        <f>(IF(Tabela1[[#This Row],[Início]]&lt;&gt;"",C982+E982-1,""))*1</f>
        <v>46246</v>
      </c>
      <c r="E982" s="83">
        <v>10</v>
      </c>
      <c r="F982" s="83" t="s">
        <v>11</v>
      </c>
      <c r="G982" s="88" t="s">
        <v>12</v>
      </c>
      <c r="H982" s="83" t="str">
        <f>_xlfn.XLOOKUP(Tabela1[[#This Row],[Matrícula]],Equipe!B:B,Equipe!E:E,"ERRO",0)</f>
        <v>P82</v>
      </c>
      <c r="I982" s="83" t="str">
        <f>VLOOKUP(Tabela1[[#This Row],[Matrícula]],Equipe!B:F,5,0)</f>
        <v>Experiente</v>
      </c>
    </row>
    <row r="983" spans="1:9">
      <c r="A983" s="83" t="s">
        <v>44</v>
      </c>
      <c r="B983" s="83">
        <f>_xlfn.XLOOKUP(A983,Equipe!H:H,Equipe!B:B,"",0)</f>
        <v>1381625</v>
      </c>
      <c r="C983" s="154">
        <v>46246</v>
      </c>
      <c r="D983" s="150">
        <f>(IF(Tabela1[[#This Row],[Início]]&lt;&gt;"",C983+E983-1,""))*1</f>
        <v>46247</v>
      </c>
      <c r="E983" s="83">
        <v>2</v>
      </c>
      <c r="F983" s="83" t="s">
        <v>11</v>
      </c>
      <c r="G983" s="88" t="s">
        <v>586</v>
      </c>
      <c r="H983" s="83" t="str">
        <f>_xlfn.XLOOKUP(Tabela1[[#This Row],[Matrícula]],Equipe!B:B,Equipe!E:E,"ERRO",0)</f>
        <v>P80</v>
      </c>
      <c r="I983" s="83" t="str">
        <f>VLOOKUP(Tabela1[[#This Row],[Matrícula]],Equipe!B:F,5,0)</f>
        <v>Experiente</v>
      </c>
    </row>
    <row r="984" spans="1:9">
      <c r="A984" s="83" t="s">
        <v>108</v>
      </c>
      <c r="B984" s="83">
        <f>_xlfn.XLOOKUP(A984,Equipe!H:H,Equipe!B:B,"",0)</f>
        <v>4612243</v>
      </c>
      <c r="C984" s="154">
        <v>46273</v>
      </c>
      <c r="D984" s="150">
        <f>(IF(Tabela1[[#This Row],[Início]]&lt;&gt;"",C984+E984-1,""))*1</f>
        <v>46275</v>
      </c>
      <c r="E984" s="83">
        <v>3</v>
      </c>
      <c r="F984" s="83" t="s">
        <v>11</v>
      </c>
      <c r="G984" s="88" t="s">
        <v>488</v>
      </c>
      <c r="H984" s="83" t="str">
        <f>_xlfn.XLOOKUP(Tabela1[[#This Row],[Matrícula]],Equipe!B:B,Equipe!E:E,"ERRO",0)</f>
        <v>P80</v>
      </c>
      <c r="I984" s="83" t="str">
        <f>VLOOKUP(Tabela1[[#This Row],[Matrícula]],Equipe!B:F,5,0)</f>
        <v>Novo</v>
      </c>
    </row>
    <row r="985" spans="1:9" ht="15">
      <c r="A985" s="83" t="s">
        <v>587</v>
      </c>
      <c r="B985" s="83">
        <f>_xlfn.XLOOKUP(A985,Equipe!H:H,Equipe!B:B,"",0)</f>
        <v>4614583</v>
      </c>
      <c r="C985" s="154">
        <v>46244</v>
      </c>
      <c r="D985" s="150">
        <f>(IF(Tabela1[[#This Row],[Início]]&lt;&gt;"",C985+E985-1,""))*1</f>
        <v>46248</v>
      </c>
      <c r="E985" s="83">
        <v>5</v>
      </c>
      <c r="F985" s="83" t="s">
        <v>11</v>
      </c>
      <c r="G985" s="186" t="s">
        <v>584</v>
      </c>
      <c r="H985" s="83" t="str">
        <f>_xlfn.XLOOKUP(Tabela1[[#This Row],[Matrícula]],Equipe!B:B,Equipe!E:E,"ERRO",0)</f>
        <v>PBAC</v>
      </c>
      <c r="I985" s="83" t="str">
        <f>VLOOKUP(Tabela1[[#This Row],[Matrícula]],Equipe!B:F,5,0)</f>
        <v>Novo</v>
      </c>
    </row>
    <row r="986" spans="1:9" ht="30.75">
      <c r="A986" s="83" t="s">
        <v>587</v>
      </c>
      <c r="B986" s="83">
        <f>_xlfn.XLOOKUP(A986,Equipe!H:H,Equipe!B:B,"",0)</f>
        <v>4614583</v>
      </c>
      <c r="C986" s="154">
        <v>46251</v>
      </c>
      <c r="D986" s="150">
        <f>(IF(Tabela1[[#This Row],[Início]]&lt;&gt;"",C986+E986-1,""))*1</f>
        <v>46251</v>
      </c>
      <c r="E986" s="83">
        <v>1</v>
      </c>
      <c r="F986" s="83" t="s">
        <v>11</v>
      </c>
      <c r="G986" s="88" t="s">
        <v>583</v>
      </c>
      <c r="H986" s="83" t="str">
        <f>_xlfn.XLOOKUP(Tabela1[[#This Row],[Matrícula]],Equipe!B:B,Equipe!E:E,"ERRO",0)</f>
        <v>PBAC</v>
      </c>
      <c r="I986" s="83" t="str">
        <f>VLOOKUP(Tabela1[[#This Row],[Matrícula]],Equipe!B:F,5,0)</f>
        <v>Novo</v>
      </c>
    </row>
    <row r="987" spans="1:9" ht="15">
      <c r="A987" s="83" t="s">
        <v>587</v>
      </c>
      <c r="B987" s="83">
        <f>_xlfn.XLOOKUP(A987,Equipe!H:H,Equipe!B:B,"",0)</f>
        <v>4614583</v>
      </c>
      <c r="C987" s="154">
        <v>46314</v>
      </c>
      <c r="D987" s="150">
        <f>(IF(Tabela1[[#This Row],[Início]]&lt;&gt;"",C987+E987-1,""))*1</f>
        <v>46318</v>
      </c>
      <c r="E987" s="83">
        <v>5</v>
      </c>
      <c r="F987" s="83" t="s">
        <v>11</v>
      </c>
      <c r="G987" s="88" t="s">
        <v>500</v>
      </c>
      <c r="H987" s="83" t="str">
        <f>_xlfn.XLOOKUP(Tabela1[[#This Row],[Matrícula]],Equipe!B:B,Equipe!E:E,"ERRO",0)</f>
        <v>PBAC</v>
      </c>
      <c r="I987" s="83" t="str">
        <f>VLOOKUP(Tabela1[[#This Row],[Matrícula]],Equipe!B:F,5,0)</f>
        <v>Novo</v>
      </c>
    </row>
    <row r="988" spans="1:9" ht="15">
      <c r="A988" s="83" t="s">
        <v>588</v>
      </c>
      <c r="B988" s="83">
        <f>_xlfn.XLOOKUP(A988,Equipe!H:H,Equipe!B:B,"",0)</f>
        <v>4614627</v>
      </c>
      <c r="C988" s="154">
        <v>46244</v>
      </c>
      <c r="D988" s="150">
        <f>(IF(Tabela1[[#This Row],[Início]]&lt;&gt;"",C988+E988-1,""))*1</f>
        <v>46248</v>
      </c>
      <c r="E988" s="83">
        <v>5</v>
      </c>
      <c r="F988" s="83" t="s">
        <v>589</v>
      </c>
      <c r="G988" s="88" t="s">
        <v>584</v>
      </c>
      <c r="H988" s="83" t="str">
        <f>_xlfn.XLOOKUP(Tabela1[[#This Row],[Matrícula]],Equipe!B:B,Equipe!E:E,"ERRO",0)</f>
        <v>PBAC</v>
      </c>
      <c r="I988" s="83" t="str">
        <f>VLOOKUP(Tabela1[[#This Row],[Matrícula]],Equipe!B:F,5,0)</f>
        <v>Novo</v>
      </c>
    </row>
    <row r="989" spans="1:9" ht="30.75">
      <c r="A989" s="83" t="s">
        <v>588</v>
      </c>
      <c r="B989" s="83">
        <f>_xlfn.XLOOKUP(A989,Equipe!H:H,Equipe!B:B,"",0)</f>
        <v>4614627</v>
      </c>
      <c r="C989" s="154">
        <v>46251</v>
      </c>
      <c r="D989" s="150">
        <f>(IF(Tabela1[[#This Row],[Início]]&lt;&gt;"",C989+E989-1,""))*1</f>
        <v>46251</v>
      </c>
      <c r="E989" s="83">
        <v>1</v>
      </c>
      <c r="F989" s="83" t="s">
        <v>589</v>
      </c>
      <c r="G989" s="88" t="s">
        <v>583</v>
      </c>
      <c r="H989" s="83" t="str">
        <f>_xlfn.XLOOKUP(Tabela1[[#This Row],[Matrícula]],Equipe!B:B,Equipe!E:E,"ERRO",0)</f>
        <v>PBAC</v>
      </c>
      <c r="I989" s="83" t="str">
        <f>VLOOKUP(Tabela1[[#This Row],[Matrícula]],Equipe!B:F,5,0)</f>
        <v>Novo</v>
      </c>
    </row>
    <row r="990" spans="1:9" ht="15">
      <c r="A990" s="83" t="s">
        <v>588</v>
      </c>
      <c r="B990" s="83">
        <f>_xlfn.XLOOKUP(A990,Equipe!H:H,Equipe!B:B,"",0)</f>
        <v>4614627</v>
      </c>
      <c r="C990" s="154">
        <v>46314</v>
      </c>
      <c r="D990" s="150">
        <f>(IF(Tabela1[[#This Row],[Início]]&lt;&gt;"",C990+E990-1,""))*1</f>
        <v>46318</v>
      </c>
      <c r="E990" s="83">
        <v>5</v>
      </c>
      <c r="F990" s="83" t="s">
        <v>589</v>
      </c>
      <c r="G990" s="93" t="s">
        <v>500</v>
      </c>
      <c r="H990" s="83" t="str">
        <f>_xlfn.XLOOKUP(Tabela1[[#This Row],[Matrícula]],Equipe!B:B,Equipe!E:E,"ERRO",0)</f>
        <v>PBAC</v>
      </c>
      <c r="I990" s="83" t="str">
        <f>VLOOKUP(Tabela1[[#This Row],[Matrícula]],Equipe!B:F,5,0)</f>
        <v>Novo</v>
      </c>
    </row>
    <row r="991" spans="1:9" ht="30.75">
      <c r="A991" s="83" t="s">
        <v>590</v>
      </c>
      <c r="B991" s="83">
        <v>4614577</v>
      </c>
      <c r="C991" s="154">
        <v>46241</v>
      </c>
      <c r="D991" s="150">
        <v>46241</v>
      </c>
      <c r="E991" s="83">
        <v>1</v>
      </c>
      <c r="F991" s="83" t="s">
        <v>11</v>
      </c>
      <c r="G991" s="88" t="s">
        <v>591</v>
      </c>
      <c r="H991" s="83" t="str">
        <f>_xlfn.XLOOKUP(Tabela1[[#This Row],[Matrícula]],Equipe!B:B,Equipe!E:E,"ERRO",0)</f>
        <v>PBAC</v>
      </c>
      <c r="I991" s="83" t="str">
        <f>VLOOKUP(Tabela1[[#This Row],[Matrícula]],Equipe!B:F,5,0)</f>
        <v>Novo</v>
      </c>
    </row>
    <row r="992" spans="1:9" ht="15">
      <c r="A992" s="83" t="s">
        <v>590</v>
      </c>
      <c r="B992" s="83">
        <v>4614577</v>
      </c>
      <c r="C992" s="154">
        <v>46244</v>
      </c>
      <c r="D992" s="150">
        <f>(IF(Tabela1[[#This Row],[Início]]&lt;&gt;"",C992+E992-1,""))*1</f>
        <v>46248</v>
      </c>
      <c r="E992" s="83">
        <v>5</v>
      </c>
      <c r="F992" s="83" t="s">
        <v>11</v>
      </c>
      <c r="G992" s="88" t="s">
        <v>592</v>
      </c>
      <c r="H992" s="83" t="str">
        <f>_xlfn.XLOOKUP(Tabela1[[#This Row],[Matrícula]],Equipe!B:B,Equipe!E:E,"ERRO",0)</f>
        <v>PBAC</v>
      </c>
      <c r="I992" s="83" t="str">
        <f>VLOOKUP(Tabela1[[#This Row],[Matrícula]],Equipe!B:F,5,0)</f>
        <v>Novo</v>
      </c>
    </row>
    <row r="993" spans="1:9" ht="15">
      <c r="A993" s="83" t="s">
        <v>590</v>
      </c>
      <c r="B993" s="83">
        <v>4614577</v>
      </c>
      <c r="C993" s="154">
        <v>46251</v>
      </c>
      <c r="D993" s="150">
        <f>(IF(Tabela1[[#This Row],[Início]]&lt;&gt;"",C993+E993-1,""))*1</f>
        <v>46255</v>
      </c>
      <c r="E993" s="83">
        <v>5</v>
      </c>
      <c r="F993" s="83" t="s">
        <v>11</v>
      </c>
      <c r="G993" s="88" t="s">
        <v>500</v>
      </c>
      <c r="H993" s="83" t="str">
        <f>_xlfn.XLOOKUP(Tabela1[[#This Row],[Matrícula]],Equipe!B:B,Equipe!E:E,"ERRO",0)</f>
        <v>PBAC</v>
      </c>
      <c r="I993" s="83" t="str">
        <f>VLOOKUP(Tabela1[[#This Row],[Matrícula]],Equipe!B:F,5,0)</f>
        <v>Novo</v>
      </c>
    </row>
    <row r="994" spans="1:9" ht="15">
      <c r="A994" s="83" t="s">
        <v>593</v>
      </c>
      <c r="B994" s="83">
        <v>4614579</v>
      </c>
      <c r="C994" s="154">
        <v>46241</v>
      </c>
      <c r="D994" s="150">
        <v>46241</v>
      </c>
      <c r="E994" s="83">
        <v>1</v>
      </c>
      <c r="F994" s="83" t="s">
        <v>14</v>
      </c>
      <c r="G994" s="88" t="s">
        <v>581</v>
      </c>
      <c r="H994" s="83" t="str">
        <f>_xlfn.XLOOKUP(Tabela1[[#This Row],[Matrícula]],Equipe!B:B,Equipe!E:E,"ERRO",0)</f>
        <v>PBAC</v>
      </c>
      <c r="I994" s="83" t="str">
        <f>VLOOKUP(Tabela1[[#This Row],[Matrícula]],Equipe!B:F,5,0)</f>
        <v>Novo</v>
      </c>
    </row>
    <row r="995" spans="1:9" ht="15">
      <c r="A995" s="83" t="s">
        <v>593</v>
      </c>
      <c r="B995" s="83">
        <v>4614579</v>
      </c>
      <c r="C995" s="154">
        <v>46244</v>
      </c>
      <c r="D995" s="150">
        <v>46248</v>
      </c>
      <c r="E995" s="83">
        <v>5</v>
      </c>
      <c r="F995" s="83" t="s">
        <v>11</v>
      </c>
      <c r="G995" s="88" t="s">
        <v>592</v>
      </c>
      <c r="H995" s="83" t="str">
        <f>_xlfn.XLOOKUP(Tabela1[[#This Row],[Matrícula]],Equipe!B:B,Equipe!E:E,"ERRO",0)</f>
        <v>PBAC</v>
      </c>
      <c r="I995" s="83" t="str">
        <f>VLOOKUP(Tabela1[[#This Row],[Matrícula]],Equipe!B:F,5,0)</f>
        <v>Novo</v>
      </c>
    </row>
    <row r="996" spans="1:9" ht="30.75">
      <c r="A996" s="83" t="s">
        <v>593</v>
      </c>
      <c r="B996" s="83">
        <v>4614579</v>
      </c>
      <c r="C996" s="154">
        <v>46251</v>
      </c>
      <c r="D996" s="150">
        <v>46251</v>
      </c>
      <c r="E996" s="83">
        <v>1</v>
      </c>
      <c r="F996" s="83" t="s">
        <v>11</v>
      </c>
      <c r="G996" s="93" t="s">
        <v>591</v>
      </c>
      <c r="H996" s="83" t="str">
        <f>_xlfn.XLOOKUP(Tabela1[[#This Row],[Matrícula]],Equipe!B:B,Equipe!E:E,"ERRO",0)</f>
        <v>PBAC</v>
      </c>
      <c r="I996" s="83" t="str">
        <f>VLOOKUP(Tabela1[[#This Row],[Matrícula]],Equipe!B:F,5,0)</f>
        <v>Novo</v>
      </c>
    </row>
    <row r="997" spans="1:9" ht="15">
      <c r="A997" s="83" t="s">
        <v>593</v>
      </c>
      <c r="B997" s="83">
        <v>4614579</v>
      </c>
      <c r="C997" s="154">
        <v>46275</v>
      </c>
      <c r="D997" s="150">
        <v>46275</v>
      </c>
      <c r="E997" s="83">
        <v>1</v>
      </c>
      <c r="F997" s="83" t="s">
        <v>11</v>
      </c>
      <c r="G997" s="88" t="s">
        <v>594</v>
      </c>
      <c r="H997" s="83" t="str">
        <f>_xlfn.XLOOKUP(Tabela1[[#This Row],[Matrícula]],Equipe!B:B,Equipe!E:E,"ERRO",0)</f>
        <v>PBAC</v>
      </c>
      <c r="I997" s="83" t="str">
        <f>VLOOKUP(Tabela1[[#This Row],[Matrícula]],Equipe!B:F,5,0)</f>
        <v>Novo</v>
      </c>
    </row>
    <row r="998" spans="1:9" ht="15">
      <c r="A998" s="83" t="s">
        <v>593</v>
      </c>
      <c r="B998" s="83">
        <v>4614579</v>
      </c>
      <c r="C998" s="154">
        <v>46314</v>
      </c>
      <c r="D998" s="150">
        <v>46318</v>
      </c>
      <c r="E998" s="83">
        <v>5</v>
      </c>
      <c r="F998" s="83" t="s">
        <v>11</v>
      </c>
      <c r="G998" s="88" t="s">
        <v>500</v>
      </c>
      <c r="H998" s="83" t="str">
        <f>_xlfn.XLOOKUP(Tabela1[[#This Row],[Matrícula]],Equipe!B:B,Equipe!E:E,"ERRO",0)</f>
        <v>PBAC</v>
      </c>
      <c r="I998" s="83" t="str">
        <f>VLOOKUP(Tabela1[[#This Row],[Matrícula]],Equipe!B:F,5,0)</f>
        <v>Novo</v>
      </c>
    </row>
    <row r="999" spans="1:9" ht="15">
      <c r="A999" s="83"/>
      <c r="B999" s="83">
        <f>_xlfn.XLOOKUP(A999,Equipe!H:H,Equipe!B:B,"",0)</f>
        <v>0</v>
      </c>
      <c r="C999" s="154"/>
      <c r="D999" s="150" t="e">
        <f>(IF(Tabela1[[#This Row],[Início]]&lt;&gt;"",C999+E999-1,""))*1</f>
        <v>#VALUE!</v>
      </c>
      <c r="E999" s="83"/>
      <c r="F999" s="83"/>
      <c r="G999" s="88"/>
      <c r="H999" s="83" t="str">
        <f>_xlfn.XLOOKUP(Tabela1[[#This Row],[Matrícula]],Equipe!B:B,Equipe!E:E,"ERRO",0)</f>
        <v>ERRO</v>
      </c>
      <c r="I999" s="83" t="e">
        <f>VLOOKUP(Tabela1[[#This Row],[Matrícula]],Equipe!B:F,5,0)</f>
        <v>#N/A</v>
      </c>
    </row>
    <row r="1000" spans="1:9">
      <c r="A1000" s="83"/>
      <c r="B1000" s="83">
        <f>_xlfn.XLOOKUP(A1000,Equipe!H:H,Equipe!B:B,"",0)</f>
        <v>0</v>
      </c>
      <c r="C1000" s="154"/>
      <c r="D1000" s="150" t="e">
        <f>(IF(Tabela1[[#This Row],[Início]]&lt;&gt;"",C1000+E1000-1,""))*1</f>
        <v>#VALUE!</v>
      </c>
      <c r="E1000" s="83"/>
      <c r="F1000" s="83"/>
      <c r="G1000" s="88"/>
      <c r="H1000" s="83" t="str">
        <f>_xlfn.XLOOKUP(Tabela1[[#This Row],[Matrícula]],Equipe!B:B,Equipe!E:E,"ERRO",0)</f>
        <v>ERRO</v>
      </c>
      <c r="I1000" s="83" t="e">
        <f>VLOOKUP(Tabela1[[#This Row],[Matrícula]],Equipe!B:F,5,0)</f>
        <v>#N/A</v>
      </c>
    </row>
    <row r="1001" spans="1:9">
      <c r="A1001" s="83"/>
      <c r="B1001" s="83">
        <f>_xlfn.XLOOKUP(A1001,Equipe!H:H,Equipe!B:B,"",0)</f>
        <v>0</v>
      </c>
      <c r="C1001" s="154"/>
      <c r="D1001" s="150" t="e">
        <f>(IF(Tabela1[[#This Row],[Início]]&lt;&gt;"",C1001+E1001-1,""))*1</f>
        <v>#VALUE!</v>
      </c>
      <c r="E1001" s="83"/>
      <c r="F1001" s="83"/>
      <c r="G1001" s="88"/>
      <c r="H1001" s="83" t="str">
        <f>_xlfn.XLOOKUP(Tabela1[[#This Row],[Matrícula]],Equipe!B:B,Equipe!E:E,"ERRO",0)</f>
        <v>ERRO</v>
      </c>
      <c r="I1001" s="83" t="e">
        <f>VLOOKUP(Tabela1[[#This Row],[Matrícula]],Equipe!B:F,5,0)</f>
        <v>#N/A</v>
      </c>
    </row>
    <row r="1002" spans="1:9">
      <c r="A1002" s="83"/>
      <c r="B1002" s="83">
        <f>_xlfn.XLOOKUP(A1002,Equipe!H:H,Equipe!B:B,"",0)</f>
        <v>0</v>
      </c>
      <c r="C1002" s="154"/>
      <c r="D1002" s="150" t="e">
        <f>(IF(Tabela1[[#This Row],[Início]]&lt;&gt;"",C1002+E1002-1,""))*1</f>
        <v>#VALUE!</v>
      </c>
      <c r="E1002" s="83"/>
      <c r="F1002" s="83"/>
      <c r="G1002" s="88"/>
      <c r="H1002" s="83" t="str">
        <f>_xlfn.XLOOKUP(Tabela1[[#This Row],[Matrícula]],Equipe!B:B,Equipe!E:E,"ERRO",0)</f>
        <v>ERRO</v>
      </c>
      <c r="I1002" s="83" t="e">
        <f>VLOOKUP(Tabela1[[#This Row],[Matrícula]],Equipe!B:F,5,0)</f>
        <v>#N/A</v>
      </c>
    </row>
    <row r="1003" spans="1:9">
      <c r="A1003" s="83"/>
      <c r="B1003" s="83">
        <f>_xlfn.XLOOKUP(A1003,Equipe!H:H,Equipe!B:B,"",0)</f>
        <v>0</v>
      </c>
      <c r="C1003" s="154"/>
      <c r="D1003" s="150" t="e">
        <f>(IF(Tabela1[[#This Row],[Início]]&lt;&gt;"",C1003+E1003-1,""))*1</f>
        <v>#VALUE!</v>
      </c>
      <c r="E1003" s="83"/>
      <c r="F1003" s="83"/>
      <c r="G1003" s="88"/>
      <c r="H1003" s="83" t="str">
        <f>_xlfn.XLOOKUP(Tabela1[[#This Row],[Matrícula]],Equipe!B:B,Equipe!E:E,"ERRO",0)</f>
        <v>ERRO</v>
      </c>
      <c r="I1003" s="83" t="e">
        <f>VLOOKUP(Tabela1[[#This Row],[Matrícula]],Equipe!B:F,5,0)</f>
        <v>#N/A</v>
      </c>
    </row>
    <row r="1004" spans="1:9">
      <c r="A1004" s="83"/>
      <c r="B1004" s="83">
        <f>_xlfn.XLOOKUP(A1004,Equipe!H:H,Equipe!B:B,"",0)</f>
        <v>0</v>
      </c>
      <c r="C1004" s="154"/>
      <c r="D1004" s="150" t="e">
        <f>(IF(Tabela1[[#This Row],[Início]]&lt;&gt;"",C1004+E1004-1,""))*1</f>
        <v>#VALUE!</v>
      </c>
      <c r="E1004" s="83"/>
      <c r="F1004" s="83"/>
      <c r="G1004" s="88"/>
      <c r="H1004" s="83" t="str">
        <f>_xlfn.XLOOKUP(Tabela1[[#This Row],[Matrícula]],Equipe!B:B,Equipe!E:E,"ERRO",0)</f>
        <v>ERRO</v>
      </c>
      <c r="I1004" s="83" t="e">
        <f>VLOOKUP(Tabela1[[#This Row],[Matrícula]],Equipe!B:F,5,0)</f>
        <v>#N/A</v>
      </c>
    </row>
    <row r="1005" spans="1:9">
      <c r="A1005" s="83"/>
      <c r="B1005" s="83">
        <f>_xlfn.XLOOKUP(A1005,Equipe!H:H,Equipe!B:B,"",0)</f>
        <v>0</v>
      </c>
      <c r="C1005" s="154"/>
      <c r="D1005" s="150" t="e">
        <f>(IF(Tabela1[[#This Row],[Início]]&lt;&gt;"",C1005+E1005-1,""))*1</f>
        <v>#VALUE!</v>
      </c>
      <c r="E1005" s="83"/>
      <c r="F1005" s="83"/>
      <c r="G1005" s="88"/>
      <c r="H1005" s="83" t="str">
        <f>_xlfn.XLOOKUP(Tabela1[[#This Row],[Matrícula]],Equipe!B:B,Equipe!E:E,"ERRO",0)</f>
        <v>ERRO</v>
      </c>
      <c r="I1005" s="83" t="e">
        <f>VLOOKUP(Tabela1[[#This Row],[Matrícula]],Equipe!B:F,5,0)</f>
        <v>#N/A</v>
      </c>
    </row>
    <row r="1006" spans="1:9">
      <c r="A1006" s="83"/>
      <c r="B1006" s="83">
        <f>_xlfn.XLOOKUP(A1006,Equipe!H:H,Equipe!B:B,"",0)</f>
        <v>0</v>
      </c>
      <c r="C1006" s="154"/>
      <c r="D1006" s="150" t="e">
        <f>(IF(Tabela1[[#This Row],[Início]]&lt;&gt;"",C1006+E1006-1,""))*1</f>
        <v>#VALUE!</v>
      </c>
      <c r="E1006" s="83"/>
      <c r="F1006" s="83"/>
      <c r="G1006" s="88"/>
      <c r="H1006" s="83" t="str">
        <f>_xlfn.XLOOKUP(Tabela1[[#This Row],[Matrícula]],Equipe!B:B,Equipe!E:E,"ERRO",0)</f>
        <v>ERRO</v>
      </c>
      <c r="I1006" s="83" t="e">
        <f>VLOOKUP(Tabela1[[#This Row],[Matrícula]],Equipe!B:F,5,0)</f>
        <v>#N/A</v>
      </c>
    </row>
    <row r="1007" spans="1:9">
      <c r="A1007" s="83"/>
      <c r="B1007" s="83">
        <f>_xlfn.XLOOKUP(A1007,Equipe!H:H,Equipe!B:B,"",0)</f>
        <v>0</v>
      </c>
      <c r="C1007" s="154"/>
      <c r="D1007" s="150" t="e">
        <f>(IF(Tabela1[[#This Row],[Início]]&lt;&gt;"",C1007+E1007-1,""))*1</f>
        <v>#VALUE!</v>
      </c>
      <c r="E1007" s="83"/>
      <c r="F1007" s="83"/>
      <c r="G1007" s="88"/>
      <c r="H1007" s="83" t="str">
        <f>_xlfn.XLOOKUP(Tabela1[[#This Row],[Matrícula]],Equipe!B:B,Equipe!E:E,"ERRO",0)</f>
        <v>ERRO</v>
      </c>
      <c r="I1007" s="83" t="e">
        <f>VLOOKUP(Tabela1[[#This Row],[Matrícula]],Equipe!B:F,5,0)</f>
        <v>#N/A</v>
      </c>
    </row>
    <row r="1008" spans="1:9">
      <c r="A1008" s="83"/>
      <c r="B1008" s="83">
        <f>_xlfn.XLOOKUP(A1008,Equipe!H:H,Equipe!B:B,"",0)</f>
        <v>0</v>
      </c>
      <c r="C1008" s="154"/>
      <c r="D1008" s="150" t="e">
        <f>(IF(Tabela1[[#This Row],[Início]]&lt;&gt;"",C1008+E1008-1,""))*1</f>
        <v>#VALUE!</v>
      </c>
      <c r="E1008" s="83"/>
      <c r="F1008" s="83"/>
      <c r="G1008" s="88"/>
      <c r="H1008" s="83" t="str">
        <f>_xlfn.XLOOKUP(Tabela1[[#This Row],[Matrícula]],Equipe!B:B,Equipe!E:E,"ERRO",0)</f>
        <v>ERRO</v>
      </c>
      <c r="I1008" s="83" t="e">
        <f>VLOOKUP(Tabela1[[#This Row],[Matrícula]],Equipe!B:F,5,0)</f>
        <v>#N/A</v>
      </c>
    </row>
    <row r="1009" spans="1:9">
      <c r="A1009" s="83"/>
      <c r="B1009" s="83">
        <f>_xlfn.XLOOKUP(A1009,Equipe!H:H,Equipe!B:B,"",0)</f>
        <v>0</v>
      </c>
      <c r="C1009" s="154"/>
      <c r="D1009" s="150" t="e">
        <f>(IF(Tabela1[[#This Row],[Início]]&lt;&gt;"",C1009+E1009-1,""))*1</f>
        <v>#VALUE!</v>
      </c>
      <c r="E1009" s="83"/>
      <c r="F1009" s="83"/>
      <c r="G1009" s="88"/>
      <c r="H1009" s="83" t="str">
        <f>_xlfn.XLOOKUP(Tabela1[[#This Row],[Matrícula]],Equipe!B:B,Equipe!E:E,"ERRO",0)</f>
        <v>ERRO</v>
      </c>
      <c r="I1009" s="83" t="e">
        <f>VLOOKUP(Tabela1[[#This Row],[Matrícula]],Equipe!B:F,5,0)</f>
        <v>#N/A</v>
      </c>
    </row>
    <row r="1010" spans="1:9">
      <c r="A1010" s="83"/>
      <c r="B1010" s="83">
        <f>_xlfn.XLOOKUP(A1010,Equipe!H:H,Equipe!B:B,"",0)</f>
        <v>0</v>
      </c>
      <c r="C1010" s="154"/>
      <c r="D1010" s="150" t="e">
        <f>(IF(Tabela1[[#This Row],[Início]]&lt;&gt;"",C1010+E1010-1,""))*1</f>
        <v>#VALUE!</v>
      </c>
      <c r="E1010" s="83"/>
      <c r="F1010" s="83"/>
      <c r="G1010" s="88"/>
      <c r="H1010" s="83" t="str">
        <f>_xlfn.XLOOKUP(Tabela1[[#This Row],[Matrícula]],Equipe!B:B,Equipe!E:E,"ERRO",0)</f>
        <v>ERRO</v>
      </c>
      <c r="I1010" s="83" t="e">
        <f>VLOOKUP(Tabela1[[#This Row],[Matrícula]],Equipe!B:F,5,0)</f>
        <v>#N/A</v>
      </c>
    </row>
    <row r="1011" spans="1:9">
      <c r="A1011" s="83"/>
      <c r="B1011" s="83">
        <f>_xlfn.XLOOKUP(A1011,Equipe!H:H,Equipe!B:B,"",0)</f>
        <v>0</v>
      </c>
      <c r="C1011" s="154"/>
      <c r="D1011" s="150" t="e">
        <f>(IF(Tabela1[[#This Row],[Início]]&lt;&gt;"",C1011+E1011-1,""))*1</f>
        <v>#VALUE!</v>
      </c>
      <c r="E1011" s="83"/>
      <c r="F1011" s="83"/>
      <c r="G1011" s="88"/>
      <c r="H1011" s="83" t="str">
        <f>_xlfn.XLOOKUP(Tabela1[[#This Row],[Matrícula]],Equipe!B:B,Equipe!E:E,"ERRO",0)</f>
        <v>ERRO</v>
      </c>
      <c r="I1011" s="83" t="e">
        <f>VLOOKUP(Tabela1[[#This Row],[Matrícula]],Equipe!B:F,5,0)</f>
        <v>#N/A</v>
      </c>
    </row>
    <row r="1012" spans="1:9">
      <c r="A1012" s="83"/>
      <c r="B1012" s="83">
        <f>_xlfn.XLOOKUP(A1012,Equipe!H:H,Equipe!B:B,"",0)</f>
        <v>0</v>
      </c>
      <c r="C1012" s="154"/>
      <c r="D1012" s="150" t="e">
        <f>(IF(Tabela1[[#This Row],[Início]]&lt;&gt;"",C1012+E1012-1,""))*1</f>
        <v>#VALUE!</v>
      </c>
      <c r="E1012" s="83"/>
      <c r="F1012" s="83"/>
      <c r="G1012" s="88"/>
      <c r="H1012" s="83" t="str">
        <f>_xlfn.XLOOKUP(Tabela1[[#This Row],[Matrícula]],Equipe!B:B,Equipe!E:E,"ERRO",0)</f>
        <v>ERRO</v>
      </c>
      <c r="I1012" s="83" t="e">
        <f>VLOOKUP(Tabela1[[#This Row],[Matrícula]],Equipe!B:F,5,0)</f>
        <v>#N/A</v>
      </c>
    </row>
    <row r="1013" spans="1:9">
      <c r="A1013" s="83"/>
      <c r="B1013" s="83">
        <f>_xlfn.XLOOKUP(A1013,Equipe!H:H,Equipe!B:B,"",0)</f>
        <v>0</v>
      </c>
      <c r="C1013" s="154"/>
      <c r="D1013" s="150" t="e">
        <f>(IF(Tabela1[[#This Row],[Início]]&lt;&gt;"",C1013+E1013-1,""))*1</f>
        <v>#VALUE!</v>
      </c>
      <c r="E1013" s="83"/>
      <c r="F1013" s="83"/>
      <c r="G1013" s="88"/>
      <c r="H1013" s="83" t="str">
        <f>_xlfn.XLOOKUP(Tabela1[[#This Row],[Matrícula]],Equipe!B:B,Equipe!E:E,"ERRO",0)</f>
        <v>ERRO</v>
      </c>
      <c r="I1013" s="83" t="e">
        <f>VLOOKUP(Tabela1[[#This Row],[Matrícula]],Equipe!B:F,5,0)</f>
        <v>#N/A</v>
      </c>
    </row>
    <row r="1014" spans="1:9">
      <c r="A1014" s="83"/>
      <c r="B1014" s="83">
        <f>_xlfn.XLOOKUP(A1014,Equipe!H:H,Equipe!B:B,"",0)</f>
        <v>0</v>
      </c>
      <c r="C1014" s="154"/>
      <c r="D1014" s="150" t="e">
        <f>(IF(Tabela1[[#This Row],[Início]]&lt;&gt;"",C1014+E1014-1,""))*1</f>
        <v>#VALUE!</v>
      </c>
      <c r="E1014" s="83"/>
      <c r="F1014" s="83"/>
      <c r="G1014" s="88"/>
      <c r="H1014" s="83" t="str">
        <f>_xlfn.XLOOKUP(Tabela1[[#This Row],[Matrícula]],Equipe!B:B,Equipe!E:E,"ERRO",0)</f>
        <v>ERRO</v>
      </c>
      <c r="I1014" s="83" t="e">
        <f>VLOOKUP(Tabela1[[#This Row],[Matrícula]],Equipe!B:F,5,0)</f>
        <v>#N/A</v>
      </c>
    </row>
    <row r="1015" spans="1:9">
      <c r="A1015" s="83"/>
      <c r="B1015" s="83">
        <f>_xlfn.XLOOKUP(A1015,Equipe!H:H,Equipe!B:B,"",0)</f>
        <v>0</v>
      </c>
      <c r="C1015" s="154"/>
      <c r="D1015" s="150" t="e">
        <f>(IF(Tabela1[[#This Row],[Início]]&lt;&gt;"",C1015+E1015-1,""))*1</f>
        <v>#VALUE!</v>
      </c>
      <c r="E1015" s="83"/>
      <c r="F1015" s="83"/>
      <c r="G1015" s="88"/>
      <c r="H1015" s="83" t="str">
        <f>_xlfn.XLOOKUP(Tabela1[[#This Row],[Matrícula]],Equipe!B:B,Equipe!E:E,"ERRO",0)</f>
        <v>ERRO</v>
      </c>
      <c r="I1015" s="83" t="e">
        <f>VLOOKUP(Tabela1[[#This Row],[Matrícula]],Equipe!B:F,5,0)</f>
        <v>#N/A</v>
      </c>
    </row>
    <row r="1016" spans="1:9">
      <c r="A1016" s="83"/>
      <c r="B1016" s="83">
        <f>_xlfn.XLOOKUP(A1016,Equipe!H:H,Equipe!B:B,"",0)</f>
        <v>0</v>
      </c>
      <c r="C1016" s="154"/>
      <c r="D1016" s="150" t="e">
        <f>(IF(Tabela1[[#This Row],[Início]]&lt;&gt;"",C1016+E1016-1,""))*1</f>
        <v>#VALUE!</v>
      </c>
      <c r="E1016" s="83"/>
      <c r="F1016" s="83"/>
      <c r="G1016" s="88"/>
      <c r="H1016" s="83" t="str">
        <f>_xlfn.XLOOKUP(Tabela1[[#This Row],[Matrícula]],Equipe!B:B,Equipe!E:E,"ERRO",0)</f>
        <v>ERRO</v>
      </c>
      <c r="I1016" s="83" t="e">
        <f>VLOOKUP(Tabela1[[#This Row],[Matrícula]],Equipe!B:F,5,0)</f>
        <v>#N/A</v>
      </c>
    </row>
    <row r="1017" spans="1:9">
      <c r="A1017" s="83"/>
      <c r="B1017" s="83">
        <f>_xlfn.XLOOKUP(A1017,Equipe!H:H,Equipe!B:B,"",0)</f>
        <v>0</v>
      </c>
      <c r="C1017" s="154"/>
      <c r="D1017" s="150" t="e">
        <f>(IF(Tabela1[[#This Row],[Início]]&lt;&gt;"",C1017+E1017-1,""))*1</f>
        <v>#VALUE!</v>
      </c>
      <c r="E1017" s="83"/>
      <c r="F1017" s="83"/>
      <c r="G1017" s="88"/>
      <c r="H1017" s="83" t="str">
        <f>_xlfn.XLOOKUP(Tabela1[[#This Row],[Matrícula]],Equipe!B:B,Equipe!E:E,"ERRO",0)</f>
        <v>ERRO</v>
      </c>
      <c r="I1017" s="83" t="e">
        <f>VLOOKUP(Tabela1[[#This Row],[Matrícula]],Equipe!B:F,5,0)</f>
        <v>#N/A</v>
      </c>
    </row>
    <row r="1018" spans="1:9">
      <c r="A1018" s="83"/>
      <c r="B1018" s="83">
        <f>_xlfn.XLOOKUP(A1018,Equipe!H:H,Equipe!B:B,"",0)</f>
        <v>0</v>
      </c>
      <c r="C1018" s="154"/>
      <c r="D1018" s="150" t="e">
        <f>(IF(Tabela1[[#This Row],[Início]]&lt;&gt;"",C1018+E1018-1,""))*1</f>
        <v>#VALUE!</v>
      </c>
      <c r="E1018" s="83"/>
      <c r="F1018" s="83"/>
      <c r="G1018" s="88"/>
      <c r="H1018" s="83" t="str">
        <f>_xlfn.XLOOKUP(Tabela1[[#This Row],[Matrícula]],Equipe!B:B,Equipe!E:E,"ERRO",0)</f>
        <v>ERRO</v>
      </c>
      <c r="I1018" s="83" t="e">
        <f>VLOOKUP(Tabela1[[#This Row],[Matrícula]],Equipe!B:F,5,0)</f>
        <v>#N/A</v>
      </c>
    </row>
    <row r="1019" spans="1:9">
      <c r="A1019" s="83"/>
      <c r="B1019" s="83">
        <f>_xlfn.XLOOKUP(A1019,Equipe!H:H,Equipe!B:B,"",0)</f>
        <v>0</v>
      </c>
      <c r="C1019" s="154"/>
      <c r="D1019" s="150" t="e">
        <f>(IF(Tabela1[[#This Row],[Início]]&lt;&gt;"",C1019+E1019-1,""))*1</f>
        <v>#VALUE!</v>
      </c>
      <c r="E1019" s="83"/>
      <c r="F1019" s="83"/>
      <c r="G1019" s="88"/>
      <c r="H1019" s="83" t="str">
        <f>_xlfn.XLOOKUP(Tabela1[[#This Row],[Matrícula]],Equipe!B:B,Equipe!E:E,"ERRO",0)</f>
        <v>ERRO</v>
      </c>
      <c r="I1019" s="83" t="e">
        <f>VLOOKUP(Tabela1[[#This Row],[Matrícula]],Equipe!B:F,5,0)</f>
        <v>#N/A</v>
      </c>
    </row>
    <row r="1020" spans="1:9">
      <c r="A1020" s="83"/>
      <c r="B1020" s="83">
        <f>_xlfn.XLOOKUP(A1020,Equipe!H:H,Equipe!B:B,"",0)</f>
        <v>0</v>
      </c>
      <c r="C1020" s="154"/>
      <c r="D1020" s="150" t="e">
        <f>(IF(Tabela1[[#This Row],[Início]]&lt;&gt;"",C1020+E1020-1,""))*1</f>
        <v>#VALUE!</v>
      </c>
      <c r="E1020" s="83"/>
      <c r="F1020" s="83"/>
      <c r="G1020" s="88"/>
      <c r="H1020" s="83" t="str">
        <f>_xlfn.XLOOKUP(Tabela1[[#This Row],[Matrícula]],Equipe!B:B,Equipe!E:E,"ERRO",0)</f>
        <v>ERRO</v>
      </c>
      <c r="I1020" s="83" t="e">
        <f>VLOOKUP(Tabela1[[#This Row],[Matrícula]],Equipe!B:F,5,0)</f>
        <v>#N/A</v>
      </c>
    </row>
    <row r="1021" spans="1:9">
      <c r="A1021" s="83"/>
      <c r="B1021" s="83">
        <f>_xlfn.XLOOKUP(A1021,Equipe!H:H,Equipe!B:B,"",0)</f>
        <v>0</v>
      </c>
      <c r="C1021" s="154"/>
      <c r="D1021" s="150" t="e">
        <f>(IF(Tabela1[[#This Row],[Início]]&lt;&gt;"",C1021+E1021-1,""))*1</f>
        <v>#VALUE!</v>
      </c>
      <c r="E1021" s="83"/>
      <c r="F1021" s="83"/>
      <c r="G1021" s="88"/>
      <c r="H1021" s="83" t="str">
        <f>_xlfn.XLOOKUP(Tabela1[[#This Row],[Matrícula]],Equipe!B:B,Equipe!E:E,"ERRO",0)</f>
        <v>ERRO</v>
      </c>
      <c r="I1021" s="83" t="e">
        <f>VLOOKUP(Tabela1[[#This Row],[Matrícula]],Equipe!B:F,5,0)</f>
        <v>#N/A</v>
      </c>
    </row>
    <row r="1022" spans="1:9">
      <c r="A1022" s="83"/>
      <c r="B1022" s="83">
        <f>_xlfn.XLOOKUP(A1022,Equipe!H:H,Equipe!B:B,"",0)</f>
        <v>0</v>
      </c>
      <c r="C1022" s="154"/>
      <c r="D1022" s="150" t="e">
        <f>(IF(Tabela1[[#This Row],[Início]]&lt;&gt;"",C1022+E1022-1,""))*1</f>
        <v>#VALUE!</v>
      </c>
      <c r="E1022" s="83"/>
      <c r="F1022" s="83"/>
      <c r="G1022" s="88"/>
      <c r="H1022" s="83" t="str">
        <f>_xlfn.XLOOKUP(Tabela1[[#This Row],[Matrícula]],Equipe!B:B,Equipe!E:E,"ERRO",0)</f>
        <v>ERRO</v>
      </c>
      <c r="I1022" s="83" t="e">
        <f>VLOOKUP(Tabela1[[#This Row],[Matrícula]],Equipe!B:F,5,0)</f>
        <v>#N/A</v>
      </c>
    </row>
    <row r="1023" spans="1:9">
      <c r="A1023" s="83"/>
      <c r="B1023" s="83">
        <f>_xlfn.XLOOKUP(A1023,Equipe!H:H,Equipe!B:B,"",0)</f>
        <v>0</v>
      </c>
      <c r="C1023" s="154"/>
      <c r="D1023" s="150" t="e">
        <f>(IF(Tabela1[[#This Row],[Início]]&lt;&gt;"",C1023+E1023-1,""))*1</f>
        <v>#VALUE!</v>
      </c>
      <c r="E1023" s="83"/>
      <c r="F1023" s="83"/>
      <c r="G1023" s="88"/>
      <c r="H1023" s="83" t="str">
        <f>_xlfn.XLOOKUP(Tabela1[[#This Row],[Matrícula]],Equipe!B:B,Equipe!E:E,"ERRO",0)</f>
        <v>ERRO</v>
      </c>
      <c r="I1023" s="83" t="e">
        <f>VLOOKUP(Tabela1[[#This Row],[Matrícula]],Equipe!B:F,5,0)</f>
        <v>#N/A</v>
      </c>
    </row>
    <row r="1024" spans="1:9">
      <c r="A1024" s="83"/>
      <c r="B1024" s="83">
        <f>_xlfn.XLOOKUP(A1024,Equipe!H:H,Equipe!B:B,"",0)</f>
        <v>0</v>
      </c>
      <c r="C1024" s="154"/>
      <c r="D1024" s="150" t="e">
        <f>(IF(Tabela1[[#This Row],[Início]]&lt;&gt;"",C1024+E1024-1,""))*1</f>
        <v>#VALUE!</v>
      </c>
      <c r="E1024" s="83"/>
      <c r="F1024" s="83"/>
      <c r="G1024" s="88"/>
      <c r="H1024" s="83" t="str">
        <f>_xlfn.XLOOKUP(Tabela1[[#This Row],[Matrícula]],Equipe!B:B,Equipe!E:E,"ERRO",0)</f>
        <v>ERRO</v>
      </c>
      <c r="I1024" s="83" t="e">
        <f>VLOOKUP(Tabela1[[#This Row],[Matrícula]],Equipe!B:F,5,0)</f>
        <v>#N/A</v>
      </c>
    </row>
    <row r="1025" spans="1:9">
      <c r="A1025" s="83"/>
      <c r="B1025" s="83">
        <f>_xlfn.XLOOKUP(A1025,Equipe!H:H,Equipe!B:B,"",0)</f>
        <v>0</v>
      </c>
      <c r="C1025" s="154"/>
      <c r="D1025" s="150" t="e">
        <f>(IF(Tabela1[[#This Row],[Início]]&lt;&gt;"",C1025+E1025-1,""))*1</f>
        <v>#VALUE!</v>
      </c>
      <c r="E1025" s="83"/>
      <c r="F1025" s="83"/>
      <c r="G1025" s="88"/>
      <c r="H1025" s="83" t="str">
        <f>_xlfn.XLOOKUP(Tabela1[[#This Row],[Matrícula]],Equipe!B:B,Equipe!E:E,"ERRO",0)</f>
        <v>ERRO</v>
      </c>
      <c r="I1025" s="83" t="e">
        <f>VLOOKUP(Tabela1[[#This Row],[Matrícula]],Equipe!B:F,5,0)</f>
        <v>#N/A</v>
      </c>
    </row>
    <row r="1026" spans="1:9">
      <c r="A1026" s="83"/>
      <c r="B1026" s="83">
        <f>_xlfn.XLOOKUP(A1026,Equipe!H:H,Equipe!B:B,"",0)</f>
        <v>0</v>
      </c>
      <c r="C1026" s="154"/>
      <c r="D1026" s="150" t="e">
        <f>(IF(Tabela1[[#This Row],[Início]]&lt;&gt;"",C1026+E1026-1,""))*1</f>
        <v>#VALUE!</v>
      </c>
      <c r="E1026" s="83"/>
      <c r="F1026" s="83"/>
      <c r="G1026" s="88"/>
      <c r="H1026" s="83" t="str">
        <f>_xlfn.XLOOKUP(Tabela1[[#This Row],[Matrícula]],Equipe!B:B,Equipe!E:E,"ERRO",0)</f>
        <v>ERRO</v>
      </c>
      <c r="I1026" s="83" t="e">
        <f>VLOOKUP(Tabela1[[#This Row],[Matrícula]],Equipe!B:F,5,0)</f>
        <v>#N/A</v>
      </c>
    </row>
    <row r="1027" spans="1:9">
      <c r="A1027" s="83"/>
      <c r="B1027" s="83">
        <f>_xlfn.XLOOKUP(A1027,Equipe!H:H,Equipe!B:B,"",0)</f>
        <v>0</v>
      </c>
      <c r="C1027" s="154"/>
      <c r="D1027" s="150" t="e">
        <f>(IF(Tabela1[[#This Row],[Início]]&lt;&gt;"",C1027+E1027-1,""))*1</f>
        <v>#VALUE!</v>
      </c>
      <c r="E1027" s="83"/>
      <c r="F1027" s="83"/>
      <c r="G1027" s="88"/>
      <c r="H1027" s="83" t="str">
        <f>_xlfn.XLOOKUP(Tabela1[[#This Row],[Matrícula]],Equipe!B:B,Equipe!E:E,"ERRO",0)</f>
        <v>ERRO</v>
      </c>
      <c r="I1027" s="83" t="e">
        <f>VLOOKUP(Tabela1[[#This Row],[Matrícula]],Equipe!B:F,5,0)</f>
        <v>#N/A</v>
      </c>
    </row>
    <row r="1028" spans="1:9">
      <c r="A1028" s="83"/>
      <c r="B1028" s="83">
        <f>_xlfn.XLOOKUP(A1028,Equipe!H:H,Equipe!B:B,"",0)</f>
        <v>0</v>
      </c>
      <c r="C1028" s="154"/>
      <c r="D1028" s="150" t="e">
        <f>(IF(Tabela1[[#This Row],[Início]]&lt;&gt;"",C1028+E1028-1,""))*1</f>
        <v>#VALUE!</v>
      </c>
      <c r="E1028" s="83"/>
      <c r="F1028" s="83"/>
      <c r="G1028" s="88"/>
      <c r="H1028" s="83" t="str">
        <f>_xlfn.XLOOKUP(Tabela1[[#This Row],[Matrícula]],Equipe!B:B,Equipe!E:E,"ERRO",0)</f>
        <v>ERRO</v>
      </c>
      <c r="I1028" s="83" t="e">
        <f>VLOOKUP(Tabela1[[#This Row],[Matrícula]],Equipe!B:F,5,0)</f>
        <v>#N/A</v>
      </c>
    </row>
    <row r="1029" spans="1:9">
      <c r="A1029" s="83"/>
      <c r="B1029" s="83">
        <f>_xlfn.XLOOKUP(A1029,Equipe!H:H,Equipe!B:B,"",0)</f>
        <v>0</v>
      </c>
      <c r="C1029" s="154"/>
      <c r="D1029" s="150" t="e">
        <f>(IF(Tabela1[[#This Row],[Início]]&lt;&gt;"",C1029+E1029-1,""))*1</f>
        <v>#VALUE!</v>
      </c>
      <c r="E1029" s="83"/>
      <c r="F1029" s="83"/>
      <c r="G1029" s="88"/>
      <c r="H1029" s="83" t="str">
        <f>_xlfn.XLOOKUP(Tabela1[[#This Row],[Matrícula]],Equipe!B:B,Equipe!E:E,"ERRO",0)</f>
        <v>ERRO</v>
      </c>
      <c r="I1029" s="83" t="e">
        <f>VLOOKUP(Tabela1[[#This Row],[Matrícula]],Equipe!B:F,5,0)</f>
        <v>#N/A</v>
      </c>
    </row>
    <row r="1030" spans="1:9">
      <c r="A1030" s="83"/>
      <c r="B1030" s="83">
        <f>_xlfn.XLOOKUP(A1030,Equipe!H:H,Equipe!B:B,"",0)</f>
        <v>0</v>
      </c>
      <c r="C1030" s="154"/>
      <c r="D1030" s="150" t="e">
        <f>(IF(Tabela1[[#This Row],[Início]]&lt;&gt;"",C1030+E1030-1,""))*1</f>
        <v>#VALUE!</v>
      </c>
      <c r="E1030" s="83"/>
      <c r="F1030" s="83"/>
      <c r="G1030" s="88"/>
      <c r="H1030" s="83" t="str">
        <f>_xlfn.XLOOKUP(Tabela1[[#This Row],[Matrícula]],Equipe!B:B,Equipe!E:E,"ERRO",0)</f>
        <v>ERRO</v>
      </c>
      <c r="I1030" s="83" t="e">
        <f>VLOOKUP(Tabela1[[#This Row],[Matrícula]],Equipe!B:F,5,0)</f>
        <v>#N/A</v>
      </c>
    </row>
    <row r="1031" spans="1:9">
      <c r="A1031" s="83"/>
      <c r="B1031" s="83">
        <f>_xlfn.XLOOKUP(A1031,Equipe!H:H,Equipe!B:B,"",0)</f>
        <v>0</v>
      </c>
      <c r="C1031" s="154"/>
      <c r="D1031" s="150" t="e">
        <f>(IF(Tabela1[[#This Row],[Início]]&lt;&gt;"",C1031+E1031-1,""))*1</f>
        <v>#VALUE!</v>
      </c>
      <c r="E1031" s="83"/>
      <c r="F1031" s="83"/>
      <c r="G1031" s="88"/>
      <c r="H1031" s="83" t="str">
        <f>_xlfn.XLOOKUP(Tabela1[[#This Row],[Matrícula]],Equipe!B:B,Equipe!E:E,"ERRO",0)</f>
        <v>ERRO</v>
      </c>
      <c r="I1031" s="83" t="e">
        <f>VLOOKUP(Tabela1[[#This Row],[Matrícula]],Equipe!B:F,5,0)</f>
        <v>#N/A</v>
      </c>
    </row>
    <row r="1032" spans="1:9">
      <c r="A1032" s="83"/>
      <c r="B1032" s="83">
        <f>_xlfn.XLOOKUP(A1032,Equipe!H:H,Equipe!B:B,"",0)</f>
        <v>0</v>
      </c>
      <c r="C1032" s="154"/>
      <c r="D1032" s="150" t="e">
        <f>(IF(Tabela1[[#This Row],[Início]]&lt;&gt;"",C1032+E1032-1,""))*1</f>
        <v>#VALUE!</v>
      </c>
      <c r="E1032" s="83"/>
      <c r="F1032" s="83"/>
      <c r="G1032" s="88"/>
      <c r="H1032" s="83" t="str">
        <f>_xlfn.XLOOKUP(Tabela1[[#This Row],[Matrícula]],Equipe!B:B,Equipe!E:E,"ERRO",0)</f>
        <v>ERRO</v>
      </c>
      <c r="I1032" s="83" t="e">
        <f>VLOOKUP(Tabela1[[#This Row],[Matrícula]],Equipe!B:F,5,0)</f>
        <v>#N/A</v>
      </c>
    </row>
    <row r="1033" spans="1:9">
      <c r="A1033" s="83"/>
      <c r="B1033" s="83">
        <f>_xlfn.XLOOKUP(A1033,Equipe!H:H,Equipe!B:B,"",0)</f>
        <v>0</v>
      </c>
      <c r="C1033" s="154"/>
      <c r="D1033" s="150" t="e">
        <f>(IF(Tabela1[[#This Row],[Início]]&lt;&gt;"",C1033+E1033-1,""))*1</f>
        <v>#VALUE!</v>
      </c>
      <c r="E1033" s="83"/>
      <c r="F1033" s="83"/>
      <c r="G1033" s="88"/>
      <c r="H1033" s="83" t="str">
        <f>_xlfn.XLOOKUP(Tabela1[[#This Row],[Matrícula]],Equipe!B:B,Equipe!E:E,"ERRO",0)</f>
        <v>ERRO</v>
      </c>
      <c r="I1033" s="83" t="e">
        <f>VLOOKUP(Tabela1[[#This Row],[Matrícula]],Equipe!B:F,5,0)</f>
        <v>#N/A</v>
      </c>
    </row>
    <row r="1034" spans="1:9">
      <c r="A1034" s="83"/>
      <c r="B1034" s="83">
        <f>_xlfn.XLOOKUP(A1034,Equipe!H:H,Equipe!B:B,"",0)</f>
        <v>0</v>
      </c>
      <c r="C1034" s="154"/>
      <c r="D1034" s="150" t="e">
        <f>(IF(Tabela1[[#This Row],[Início]]&lt;&gt;"",C1034+E1034-1,""))*1</f>
        <v>#VALUE!</v>
      </c>
      <c r="E1034" s="83"/>
      <c r="F1034" s="83"/>
      <c r="G1034" s="88"/>
      <c r="H1034" s="83" t="str">
        <f>_xlfn.XLOOKUP(Tabela1[[#This Row],[Matrícula]],Equipe!B:B,Equipe!E:E,"ERRO",0)</f>
        <v>ERRO</v>
      </c>
      <c r="I1034" s="83" t="e">
        <f>VLOOKUP(Tabela1[[#This Row],[Matrícula]],Equipe!B:F,5,0)</f>
        <v>#N/A</v>
      </c>
    </row>
    <row r="1035" spans="1:9">
      <c r="A1035" s="83"/>
      <c r="B1035" s="83">
        <f>_xlfn.XLOOKUP(A1035,Equipe!H:H,Equipe!B:B,"",0)</f>
        <v>0</v>
      </c>
      <c r="C1035" s="154"/>
      <c r="D1035" s="150" t="e">
        <f>(IF(Tabela1[[#This Row],[Início]]&lt;&gt;"",C1035+E1035-1,""))*1</f>
        <v>#VALUE!</v>
      </c>
      <c r="E1035" s="83"/>
      <c r="F1035" s="83"/>
      <c r="G1035" s="88"/>
      <c r="H1035" s="83" t="str">
        <f>_xlfn.XLOOKUP(Tabela1[[#This Row],[Matrícula]],Equipe!B:B,Equipe!E:E,"ERRO",0)</f>
        <v>ERRO</v>
      </c>
      <c r="I1035" s="83" t="e">
        <f>VLOOKUP(Tabela1[[#This Row],[Matrícula]],Equipe!B:F,5,0)</f>
        <v>#N/A</v>
      </c>
    </row>
    <row r="1036" spans="1:9">
      <c r="A1036" s="83"/>
      <c r="B1036" s="83">
        <f>_xlfn.XLOOKUP(A1036,Equipe!H:H,Equipe!B:B,"",0)</f>
        <v>0</v>
      </c>
      <c r="C1036" s="154"/>
      <c r="D1036" s="150" t="e">
        <f>(IF(Tabela1[[#This Row],[Início]]&lt;&gt;"",C1036+E1036-1,""))*1</f>
        <v>#VALUE!</v>
      </c>
      <c r="E1036" s="83"/>
      <c r="F1036" s="83"/>
      <c r="G1036" s="88"/>
      <c r="H1036" s="83" t="str">
        <f>_xlfn.XLOOKUP(Tabela1[[#This Row],[Matrícula]],Equipe!B:B,Equipe!E:E,"ERRO",0)</f>
        <v>ERRO</v>
      </c>
      <c r="I1036" s="83" t="e">
        <f>VLOOKUP(Tabela1[[#This Row],[Matrícula]],Equipe!B:F,5,0)</f>
        <v>#N/A</v>
      </c>
    </row>
    <row r="1037" spans="1:9">
      <c r="A1037" s="83"/>
      <c r="B1037" s="83">
        <f>_xlfn.XLOOKUP(A1037,Equipe!H:H,Equipe!B:B,"",0)</f>
        <v>0</v>
      </c>
      <c r="C1037" s="154"/>
      <c r="D1037" s="150" t="e">
        <f>(IF(Tabela1[[#This Row],[Início]]&lt;&gt;"",C1037+E1037-1,""))*1</f>
        <v>#VALUE!</v>
      </c>
      <c r="E1037" s="83"/>
      <c r="F1037" s="83"/>
      <c r="G1037" s="88"/>
      <c r="H1037" s="83" t="str">
        <f>_xlfn.XLOOKUP(Tabela1[[#This Row],[Matrícula]],Equipe!B:B,Equipe!E:E,"ERRO",0)</f>
        <v>ERRO</v>
      </c>
      <c r="I1037" s="83" t="e">
        <f>VLOOKUP(Tabela1[[#This Row],[Matrícula]],Equipe!B:F,5,0)</f>
        <v>#N/A</v>
      </c>
    </row>
    <row r="1038" spans="1:9">
      <c r="A1038" s="83"/>
      <c r="B1038" s="83">
        <f>_xlfn.XLOOKUP(A1038,Equipe!H:H,Equipe!B:B,"",0)</f>
        <v>0</v>
      </c>
      <c r="C1038" s="154"/>
      <c r="D1038" s="150" t="e">
        <f>(IF(Tabela1[[#This Row],[Início]]&lt;&gt;"",C1038+E1038-1,""))*1</f>
        <v>#VALUE!</v>
      </c>
      <c r="E1038" s="83"/>
      <c r="F1038" s="83"/>
      <c r="G1038" s="88"/>
      <c r="H1038" s="83" t="str">
        <f>_xlfn.XLOOKUP(Tabela1[[#This Row],[Matrícula]],Equipe!B:B,Equipe!E:E,"ERRO",0)</f>
        <v>ERRO</v>
      </c>
      <c r="I1038" s="83" t="e">
        <f>VLOOKUP(Tabela1[[#This Row],[Matrícula]],Equipe!B:F,5,0)</f>
        <v>#N/A</v>
      </c>
    </row>
    <row r="1039" spans="1:9">
      <c r="A1039" s="83"/>
      <c r="B1039" s="83">
        <f>_xlfn.XLOOKUP(A1039,Equipe!H:H,Equipe!B:B,"",0)</f>
        <v>0</v>
      </c>
      <c r="C1039" s="154"/>
      <c r="D1039" s="150" t="e">
        <f>(IF(Tabela1[[#This Row],[Início]]&lt;&gt;"",C1039+E1039-1,""))*1</f>
        <v>#VALUE!</v>
      </c>
      <c r="E1039" s="83"/>
      <c r="F1039" s="83"/>
      <c r="G1039" s="88"/>
      <c r="H1039" s="83" t="str">
        <f>_xlfn.XLOOKUP(Tabela1[[#This Row],[Matrícula]],Equipe!B:B,Equipe!E:E,"ERRO",0)</f>
        <v>ERRO</v>
      </c>
      <c r="I1039" s="83" t="e">
        <f>VLOOKUP(Tabela1[[#This Row],[Matrícula]],Equipe!B:F,5,0)</f>
        <v>#N/A</v>
      </c>
    </row>
    <row r="1040" spans="1:9">
      <c r="A1040" s="83"/>
      <c r="B1040" s="83">
        <f>_xlfn.XLOOKUP(A1040,Equipe!H:H,Equipe!B:B,"",0)</f>
        <v>0</v>
      </c>
      <c r="C1040" s="154"/>
      <c r="D1040" s="150" t="e">
        <f>(IF(Tabela1[[#This Row],[Início]]&lt;&gt;"",C1040+E1040-1,""))*1</f>
        <v>#VALUE!</v>
      </c>
      <c r="E1040" s="83"/>
      <c r="F1040" s="83"/>
      <c r="G1040" s="88"/>
      <c r="H1040" s="83" t="str">
        <f>_xlfn.XLOOKUP(Tabela1[[#This Row],[Matrícula]],Equipe!B:B,Equipe!E:E,"ERRO",0)</f>
        <v>ERRO</v>
      </c>
      <c r="I1040" s="83" t="e">
        <f>VLOOKUP(Tabela1[[#This Row],[Matrícula]],Equipe!B:F,5,0)</f>
        <v>#N/A</v>
      </c>
    </row>
    <row r="1041" spans="1:9">
      <c r="A1041" s="83"/>
      <c r="B1041" s="83">
        <f>_xlfn.XLOOKUP(A1041,Equipe!H:H,Equipe!B:B,"",0)</f>
        <v>0</v>
      </c>
      <c r="C1041" s="154"/>
      <c r="D1041" s="150" t="e">
        <f>(IF(Tabela1[[#This Row],[Início]]&lt;&gt;"",C1041+E1041-1,""))*1</f>
        <v>#VALUE!</v>
      </c>
      <c r="E1041" s="83"/>
      <c r="F1041" s="83"/>
      <c r="G1041" s="88"/>
      <c r="H1041" s="83" t="str">
        <f>_xlfn.XLOOKUP(Tabela1[[#This Row],[Matrícula]],Equipe!B:B,Equipe!E:E,"ERRO",0)</f>
        <v>ERRO</v>
      </c>
      <c r="I1041" s="83" t="e">
        <f>VLOOKUP(Tabela1[[#This Row],[Matrícula]],Equipe!B:F,5,0)</f>
        <v>#N/A</v>
      </c>
    </row>
    <row r="1042" spans="1:9">
      <c r="A1042" s="83"/>
      <c r="B1042" s="83">
        <f>_xlfn.XLOOKUP(A1042,Equipe!H:H,Equipe!B:B,"",0)</f>
        <v>0</v>
      </c>
      <c r="C1042" s="154"/>
      <c r="D1042" s="150" t="e">
        <f>(IF(Tabela1[[#This Row],[Início]]&lt;&gt;"",C1042+E1042-1,""))*1</f>
        <v>#VALUE!</v>
      </c>
      <c r="E1042" s="83"/>
      <c r="F1042" s="83"/>
      <c r="G1042" s="88"/>
      <c r="H1042" s="83" t="str">
        <f>_xlfn.XLOOKUP(Tabela1[[#This Row],[Matrícula]],Equipe!B:B,Equipe!E:E,"ERRO",0)</f>
        <v>ERRO</v>
      </c>
      <c r="I1042" s="83" t="e">
        <f>VLOOKUP(Tabela1[[#This Row],[Matrícula]],Equipe!B:F,5,0)</f>
        <v>#N/A</v>
      </c>
    </row>
    <row r="1043" spans="1:9">
      <c r="A1043" s="83"/>
      <c r="B1043" s="83">
        <f>_xlfn.XLOOKUP(A1043,Equipe!H:H,Equipe!B:B,"",0)</f>
        <v>0</v>
      </c>
      <c r="C1043" s="154"/>
      <c r="D1043" s="150" t="e">
        <f>(IF(Tabela1[[#This Row],[Início]]&lt;&gt;"",C1043+E1043-1,""))*1</f>
        <v>#VALUE!</v>
      </c>
      <c r="E1043" s="83"/>
      <c r="F1043" s="83"/>
      <c r="G1043" s="88"/>
      <c r="H1043" s="83" t="str">
        <f>_xlfn.XLOOKUP(Tabela1[[#This Row],[Matrícula]],Equipe!B:B,Equipe!E:E,"ERRO",0)</f>
        <v>ERRO</v>
      </c>
      <c r="I1043" s="83" t="e">
        <f>VLOOKUP(Tabela1[[#This Row],[Matrícula]],Equipe!B:F,5,0)</f>
        <v>#N/A</v>
      </c>
    </row>
    <row r="1044" spans="1:9">
      <c r="A1044" s="83"/>
      <c r="B1044" s="83">
        <f>_xlfn.XLOOKUP(A1044,Equipe!H:H,Equipe!B:B,"",0)</f>
        <v>0</v>
      </c>
      <c r="C1044" s="154"/>
      <c r="D1044" s="150" t="e">
        <f>(IF(Tabela1[[#This Row],[Início]]&lt;&gt;"",C1044+E1044-1,""))*1</f>
        <v>#VALUE!</v>
      </c>
      <c r="E1044" s="83"/>
      <c r="F1044" s="83"/>
      <c r="G1044" s="88"/>
      <c r="H1044" s="83" t="str">
        <f>_xlfn.XLOOKUP(Tabela1[[#This Row],[Matrícula]],Equipe!B:B,Equipe!E:E,"ERRO",0)</f>
        <v>ERRO</v>
      </c>
      <c r="I1044" s="83" t="e">
        <f>VLOOKUP(Tabela1[[#This Row],[Matrícula]],Equipe!B:F,5,0)</f>
        <v>#N/A</v>
      </c>
    </row>
    <row r="1045" spans="1:9">
      <c r="A1045" s="83"/>
      <c r="B1045" s="83">
        <f>_xlfn.XLOOKUP(A1045,Equipe!H:H,Equipe!B:B,"",0)</f>
        <v>0</v>
      </c>
      <c r="C1045" s="154"/>
      <c r="D1045" s="150" t="e">
        <f>(IF(Tabela1[[#This Row],[Início]]&lt;&gt;"",C1045+E1045-1,""))*1</f>
        <v>#VALUE!</v>
      </c>
      <c r="E1045" s="83"/>
      <c r="F1045" s="83"/>
      <c r="G1045" s="88"/>
      <c r="H1045" s="83" t="str">
        <f>_xlfn.XLOOKUP(Tabela1[[#This Row],[Matrícula]],Equipe!B:B,Equipe!E:E,"ERRO",0)</f>
        <v>ERRO</v>
      </c>
      <c r="I1045" s="83" t="e">
        <f>VLOOKUP(Tabela1[[#This Row],[Matrícula]],Equipe!B:F,5,0)</f>
        <v>#N/A</v>
      </c>
    </row>
    <row r="1046" spans="1:9">
      <c r="A1046" s="83"/>
      <c r="B1046" s="83">
        <f>_xlfn.XLOOKUP(A1046,Equipe!H:H,Equipe!B:B,"",0)</f>
        <v>0</v>
      </c>
      <c r="C1046" s="154"/>
      <c r="D1046" s="150" t="e">
        <f>(IF(Tabela1[[#This Row],[Início]]&lt;&gt;"",C1046+E1046-1,""))*1</f>
        <v>#VALUE!</v>
      </c>
      <c r="E1046" s="83"/>
      <c r="F1046" s="83"/>
      <c r="G1046" s="88"/>
      <c r="H1046" s="83" t="str">
        <f>_xlfn.XLOOKUP(Tabela1[[#This Row],[Matrícula]],Equipe!B:B,Equipe!E:E,"ERRO",0)</f>
        <v>ERRO</v>
      </c>
      <c r="I1046" s="83" t="e">
        <f>VLOOKUP(Tabela1[[#This Row],[Matrícula]],Equipe!B:F,5,0)</f>
        <v>#N/A</v>
      </c>
    </row>
    <row r="1047" spans="1:9">
      <c r="A1047" s="83"/>
      <c r="B1047" s="83">
        <f>_xlfn.XLOOKUP(A1047,Equipe!H:H,Equipe!B:B,"",0)</f>
        <v>0</v>
      </c>
      <c r="C1047" s="154"/>
      <c r="D1047" s="150" t="e">
        <f>(IF(Tabela1[[#This Row],[Início]]&lt;&gt;"",C1047+E1047-1,""))*1</f>
        <v>#VALUE!</v>
      </c>
      <c r="E1047" s="83"/>
      <c r="F1047" s="83"/>
      <c r="G1047" s="88"/>
      <c r="H1047" s="83" t="str">
        <f>_xlfn.XLOOKUP(Tabela1[[#This Row],[Matrícula]],Equipe!B:B,Equipe!E:E,"ERRO",0)</f>
        <v>ERRO</v>
      </c>
      <c r="I1047" s="83" t="e">
        <f>VLOOKUP(Tabela1[[#This Row],[Matrícula]],Equipe!B:F,5,0)</f>
        <v>#N/A</v>
      </c>
    </row>
    <row r="1048" spans="1:9">
      <c r="A1048" s="83"/>
      <c r="B1048" s="83">
        <f>_xlfn.XLOOKUP(A1048,Equipe!H:H,Equipe!B:B,"",0)</f>
        <v>0</v>
      </c>
      <c r="C1048" s="154"/>
      <c r="D1048" s="150" t="e">
        <f>(IF(Tabela1[[#This Row],[Início]]&lt;&gt;"",C1048+E1048-1,""))*1</f>
        <v>#VALUE!</v>
      </c>
      <c r="E1048" s="83"/>
      <c r="F1048" s="83"/>
      <c r="G1048" s="88"/>
      <c r="H1048" s="83" t="str">
        <f>_xlfn.XLOOKUP(Tabela1[[#This Row],[Matrícula]],Equipe!B:B,Equipe!E:E,"ERRO",0)</f>
        <v>ERRO</v>
      </c>
      <c r="I1048" s="83" t="e">
        <f>VLOOKUP(Tabela1[[#This Row],[Matrícula]],Equipe!B:F,5,0)</f>
        <v>#N/A</v>
      </c>
    </row>
    <row r="1049" spans="1:9">
      <c r="A1049" s="83"/>
      <c r="B1049" s="83">
        <f>_xlfn.XLOOKUP(A1049,Equipe!H:H,Equipe!B:B,"",0)</f>
        <v>0</v>
      </c>
      <c r="C1049" s="154"/>
      <c r="D1049" s="150" t="e">
        <f>(IF(Tabela1[[#This Row],[Início]]&lt;&gt;"",C1049+E1049-1,""))*1</f>
        <v>#VALUE!</v>
      </c>
      <c r="E1049" s="83"/>
      <c r="F1049" s="83"/>
      <c r="G1049" s="88"/>
      <c r="H1049" s="83" t="str">
        <f>_xlfn.XLOOKUP(Tabela1[[#This Row],[Matrícula]],Equipe!B:B,Equipe!E:E,"ERRO",0)</f>
        <v>ERRO</v>
      </c>
      <c r="I1049" s="83" t="e">
        <f>VLOOKUP(Tabela1[[#This Row],[Matrícula]],Equipe!B:F,5,0)</f>
        <v>#N/A</v>
      </c>
    </row>
    <row r="1050" spans="1:9">
      <c r="A1050" s="83"/>
      <c r="B1050" s="83">
        <f>_xlfn.XLOOKUP(A1050,Equipe!H:H,Equipe!B:B,"",0)</f>
        <v>0</v>
      </c>
      <c r="C1050" s="154"/>
      <c r="D1050" s="150" t="e">
        <f>(IF(Tabela1[[#This Row],[Início]]&lt;&gt;"",C1050+E1050-1,""))*1</f>
        <v>#VALUE!</v>
      </c>
      <c r="E1050" s="83"/>
      <c r="F1050" s="83"/>
      <c r="G1050" s="88"/>
      <c r="H1050" s="83" t="str">
        <f>_xlfn.XLOOKUP(Tabela1[[#This Row],[Matrícula]],Equipe!B:B,Equipe!E:E,"ERRO",0)</f>
        <v>ERRO</v>
      </c>
      <c r="I1050" s="83" t="e">
        <f>VLOOKUP(Tabela1[[#This Row],[Matrícula]],Equipe!B:F,5,0)</f>
        <v>#N/A</v>
      </c>
    </row>
    <row r="1051" spans="1:9">
      <c r="A1051" s="83"/>
      <c r="B1051" s="83">
        <f>_xlfn.XLOOKUP(A1051,Equipe!H:H,Equipe!B:B,"",0)</f>
        <v>0</v>
      </c>
      <c r="C1051" s="154"/>
      <c r="D1051" s="150" t="e">
        <f>(IF(Tabela1[[#This Row],[Início]]&lt;&gt;"",C1051+E1051-1,""))*1</f>
        <v>#VALUE!</v>
      </c>
      <c r="E1051" s="83"/>
      <c r="F1051" s="83"/>
      <c r="G1051" s="88"/>
      <c r="H1051" s="83" t="str">
        <f>_xlfn.XLOOKUP(Tabela1[[#This Row],[Matrícula]],Equipe!B:B,Equipe!E:E,"ERRO",0)</f>
        <v>ERRO</v>
      </c>
      <c r="I1051" s="83" t="e">
        <f>VLOOKUP(Tabela1[[#This Row],[Matrícula]],Equipe!B:F,5,0)</f>
        <v>#N/A</v>
      </c>
    </row>
    <row r="1052" spans="1:9">
      <c r="A1052" s="83"/>
      <c r="B1052" s="83">
        <f>_xlfn.XLOOKUP(A1052,Equipe!H:H,Equipe!B:B,"",0)</f>
        <v>0</v>
      </c>
      <c r="C1052" s="154"/>
      <c r="D1052" s="150" t="e">
        <f>(IF(Tabela1[[#This Row],[Início]]&lt;&gt;"",C1052+E1052-1,""))*1</f>
        <v>#VALUE!</v>
      </c>
      <c r="E1052" s="83"/>
      <c r="F1052" s="83"/>
      <c r="G1052" s="88"/>
      <c r="H1052" s="83" t="str">
        <f>_xlfn.XLOOKUP(Tabela1[[#This Row],[Matrícula]],Equipe!B:B,Equipe!E:E,"ERRO",0)</f>
        <v>ERRO</v>
      </c>
      <c r="I1052" s="83" t="e">
        <f>VLOOKUP(Tabela1[[#This Row],[Matrícula]],Equipe!B:F,5,0)</f>
        <v>#N/A</v>
      </c>
    </row>
    <row r="1053" spans="1:9">
      <c r="A1053" s="83"/>
      <c r="B1053" s="83">
        <f>_xlfn.XLOOKUP(A1053,Equipe!H:H,Equipe!B:B,"",0)</f>
        <v>0</v>
      </c>
      <c r="C1053" s="154"/>
      <c r="D1053" s="150" t="e">
        <f>(IF(Tabela1[[#This Row],[Início]]&lt;&gt;"",C1053+E1053-1,""))*1</f>
        <v>#VALUE!</v>
      </c>
      <c r="E1053" s="83"/>
      <c r="F1053" s="83"/>
      <c r="G1053" s="88"/>
      <c r="H1053" s="83" t="str">
        <f>_xlfn.XLOOKUP(Tabela1[[#This Row],[Matrícula]],Equipe!B:B,Equipe!E:E,"ERRO",0)</f>
        <v>ERRO</v>
      </c>
      <c r="I1053" s="83" t="e">
        <f>VLOOKUP(Tabela1[[#This Row],[Matrícula]],Equipe!B:F,5,0)</f>
        <v>#N/A</v>
      </c>
    </row>
    <row r="1054" spans="1:9">
      <c r="A1054" s="83"/>
      <c r="B1054" s="83">
        <f>_xlfn.XLOOKUP(A1054,Equipe!H:H,Equipe!B:B,"",0)</f>
        <v>0</v>
      </c>
      <c r="C1054" s="154"/>
      <c r="D1054" s="150" t="e">
        <f>(IF(Tabela1[[#This Row],[Início]]&lt;&gt;"",C1054+E1054-1,""))*1</f>
        <v>#VALUE!</v>
      </c>
      <c r="E1054" s="83"/>
      <c r="F1054" s="83"/>
      <c r="G1054" s="88"/>
      <c r="H1054" s="83" t="str">
        <f>_xlfn.XLOOKUP(Tabela1[[#This Row],[Matrícula]],Equipe!B:B,Equipe!E:E,"ERRO",0)</f>
        <v>ERRO</v>
      </c>
      <c r="I1054" s="83" t="e">
        <f>VLOOKUP(Tabela1[[#This Row],[Matrícula]],Equipe!B:F,5,0)</f>
        <v>#N/A</v>
      </c>
    </row>
    <row r="1055" spans="1:9">
      <c r="A1055" s="83"/>
      <c r="B1055" s="83">
        <f>_xlfn.XLOOKUP(A1055,Equipe!H:H,Equipe!B:B,"",0)</f>
        <v>0</v>
      </c>
      <c r="C1055" s="154"/>
      <c r="D1055" s="150" t="e">
        <f>(IF(Tabela1[[#This Row],[Início]]&lt;&gt;"",C1055+E1055-1,""))*1</f>
        <v>#VALUE!</v>
      </c>
      <c r="E1055" s="83"/>
      <c r="F1055" s="83"/>
      <c r="G1055" s="88"/>
      <c r="H1055" s="83" t="str">
        <f>_xlfn.XLOOKUP(Tabela1[[#This Row],[Matrícula]],Equipe!B:B,Equipe!E:E,"ERRO",0)</f>
        <v>ERRO</v>
      </c>
      <c r="I1055" s="83" t="e">
        <f>VLOOKUP(Tabela1[[#This Row],[Matrícula]],Equipe!B:F,5,0)</f>
        <v>#N/A</v>
      </c>
    </row>
    <row r="1056" spans="1:9">
      <c r="A1056" s="83"/>
      <c r="B1056" s="83">
        <f>_xlfn.XLOOKUP(A1056,Equipe!H:H,Equipe!B:B,"",0)</f>
        <v>0</v>
      </c>
      <c r="C1056" s="154"/>
      <c r="D1056" s="150" t="e">
        <f>(IF(Tabela1[[#This Row],[Início]]&lt;&gt;"",C1056+E1056-1,""))*1</f>
        <v>#VALUE!</v>
      </c>
      <c r="E1056" s="83"/>
      <c r="F1056" s="83"/>
      <c r="G1056" s="88"/>
      <c r="H1056" s="83" t="str">
        <f>_xlfn.XLOOKUP(Tabela1[[#This Row],[Matrícula]],Equipe!B:B,Equipe!E:E,"ERRO",0)</f>
        <v>ERRO</v>
      </c>
      <c r="I1056" s="83" t="e">
        <f>VLOOKUP(Tabela1[[#This Row],[Matrícula]],Equipe!B:F,5,0)</f>
        <v>#N/A</v>
      </c>
    </row>
    <row r="1057" spans="1:9">
      <c r="A1057" s="83"/>
      <c r="B1057" s="83">
        <f>_xlfn.XLOOKUP(A1057,Equipe!H:H,Equipe!B:B,"",0)</f>
        <v>0</v>
      </c>
      <c r="C1057" s="154"/>
      <c r="D1057" s="150" t="e">
        <f>(IF(Tabela1[[#This Row],[Início]]&lt;&gt;"",C1057+E1057-1,""))*1</f>
        <v>#VALUE!</v>
      </c>
      <c r="E1057" s="83"/>
      <c r="F1057" s="83"/>
      <c r="G1057" s="88"/>
      <c r="H1057" s="83" t="str">
        <f>_xlfn.XLOOKUP(Tabela1[[#This Row],[Matrícula]],Equipe!B:B,Equipe!E:E,"ERRO",0)</f>
        <v>ERRO</v>
      </c>
      <c r="I1057" s="83" t="e">
        <f>VLOOKUP(Tabela1[[#This Row],[Matrícula]],Equipe!B:F,5,0)</f>
        <v>#N/A</v>
      </c>
    </row>
    <row r="1058" spans="1:9">
      <c r="A1058" s="83"/>
      <c r="B1058" s="83">
        <f>_xlfn.XLOOKUP(A1058,Equipe!H:H,Equipe!B:B,"",0)</f>
        <v>0</v>
      </c>
      <c r="C1058" s="154"/>
      <c r="D1058" s="150" t="e">
        <f>(IF(Tabela1[[#This Row],[Início]]&lt;&gt;"",C1058+E1058-1,""))*1</f>
        <v>#VALUE!</v>
      </c>
      <c r="E1058" s="83"/>
      <c r="F1058" s="83"/>
      <c r="G1058" s="88"/>
      <c r="H1058" s="83" t="str">
        <f>_xlfn.XLOOKUP(Tabela1[[#This Row],[Matrícula]],Equipe!B:B,Equipe!E:E,"ERRO",0)</f>
        <v>ERRO</v>
      </c>
      <c r="I1058" s="83" t="e">
        <f>VLOOKUP(Tabela1[[#This Row],[Matrícula]],Equipe!B:F,5,0)</f>
        <v>#N/A</v>
      </c>
    </row>
    <row r="1059" spans="1:9">
      <c r="A1059" s="83"/>
      <c r="B1059" s="83">
        <f>_xlfn.XLOOKUP(A1059,Equipe!H:H,Equipe!B:B,"",0)</f>
        <v>0</v>
      </c>
      <c r="C1059" s="154"/>
      <c r="D1059" s="150" t="e">
        <f>(IF(Tabela1[[#This Row],[Início]]&lt;&gt;"",C1059+E1059-1,""))*1</f>
        <v>#VALUE!</v>
      </c>
      <c r="E1059" s="83"/>
      <c r="F1059" s="83"/>
      <c r="G1059" s="88"/>
      <c r="H1059" s="83" t="str">
        <f>_xlfn.XLOOKUP(Tabela1[[#This Row],[Matrícula]],Equipe!B:B,Equipe!E:E,"ERRO",0)</f>
        <v>ERRO</v>
      </c>
      <c r="I1059" s="83" t="e">
        <f>VLOOKUP(Tabela1[[#This Row],[Matrícula]],Equipe!B:F,5,0)</f>
        <v>#N/A</v>
      </c>
    </row>
    <row r="1060" spans="1:9">
      <c r="A1060" s="83"/>
      <c r="B1060" s="83">
        <f>_xlfn.XLOOKUP(A1060,Equipe!H:H,Equipe!B:B,"",0)</f>
        <v>0</v>
      </c>
      <c r="C1060" s="154"/>
      <c r="D1060" s="150" t="e">
        <f>(IF(Tabela1[[#This Row],[Início]]&lt;&gt;"",C1060+E1060-1,""))*1</f>
        <v>#VALUE!</v>
      </c>
      <c r="E1060" s="83"/>
      <c r="F1060" s="83"/>
      <c r="G1060" s="88"/>
      <c r="H1060" s="83" t="str">
        <f>_xlfn.XLOOKUP(Tabela1[[#This Row],[Matrícula]],Equipe!B:B,Equipe!E:E,"ERRO",0)</f>
        <v>ERRO</v>
      </c>
      <c r="I1060" s="83" t="e">
        <f>VLOOKUP(Tabela1[[#This Row],[Matrícula]],Equipe!B:F,5,0)</f>
        <v>#N/A</v>
      </c>
    </row>
    <row r="1061" spans="1:9">
      <c r="A1061" s="83"/>
      <c r="B1061" s="83">
        <f>_xlfn.XLOOKUP(A1061,Equipe!H:H,Equipe!B:B,"",0)</f>
        <v>0</v>
      </c>
      <c r="C1061" s="154"/>
      <c r="D1061" s="150" t="e">
        <f>(IF(Tabela1[[#This Row],[Início]]&lt;&gt;"",C1061+E1061-1,""))*1</f>
        <v>#VALUE!</v>
      </c>
      <c r="E1061" s="83"/>
      <c r="F1061" s="83"/>
      <c r="G1061" s="88"/>
      <c r="H1061" s="83" t="str">
        <f>_xlfn.XLOOKUP(Tabela1[[#This Row],[Matrícula]],Equipe!B:B,Equipe!E:E,"ERRO",0)</f>
        <v>ERRO</v>
      </c>
      <c r="I1061" s="83" t="e">
        <f>VLOOKUP(Tabela1[[#This Row],[Matrícula]],Equipe!B:F,5,0)</f>
        <v>#N/A</v>
      </c>
    </row>
    <row r="1062" spans="1:9">
      <c r="A1062" s="83"/>
      <c r="B1062" s="83">
        <f>_xlfn.XLOOKUP(A1062,Equipe!H:H,Equipe!B:B,"",0)</f>
        <v>0</v>
      </c>
      <c r="C1062" s="154"/>
      <c r="D1062" s="150" t="e">
        <f>(IF(Tabela1[[#This Row],[Início]]&lt;&gt;"",C1062+E1062-1,""))*1</f>
        <v>#VALUE!</v>
      </c>
      <c r="E1062" s="83"/>
      <c r="F1062" s="83"/>
      <c r="G1062" s="88"/>
      <c r="H1062" s="83" t="str">
        <f>_xlfn.XLOOKUP(Tabela1[[#This Row],[Matrícula]],Equipe!B:B,Equipe!E:E,"ERRO",0)</f>
        <v>ERRO</v>
      </c>
      <c r="I1062" s="83" t="e">
        <f>VLOOKUP(Tabela1[[#This Row],[Matrícula]],Equipe!B:F,5,0)</f>
        <v>#N/A</v>
      </c>
    </row>
    <row r="1063" spans="1:9">
      <c r="A1063" s="83"/>
      <c r="B1063" s="83">
        <f>_xlfn.XLOOKUP(A1063,Equipe!H:H,Equipe!B:B,"",0)</f>
        <v>0</v>
      </c>
      <c r="C1063" s="154"/>
      <c r="D1063" s="150" t="e">
        <f>(IF(Tabela1[[#This Row],[Início]]&lt;&gt;"",C1063+E1063-1,""))*1</f>
        <v>#VALUE!</v>
      </c>
      <c r="E1063" s="83"/>
      <c r="F1063" s="83"/>
      <c r="G1063" s="88"/>
      <c r="H1063" s="83" t="str">
        <f>_xlfn.XLOOKUP(Tabela1[[#This Row],[Matrícula]],Equipe!B:B,Equipe!E:E,"ERRO",0)</f>
        <v>ERRO</v>
      </c>
      <c r="I1063" s="83" t="e">
        <f>VLOOKUP(Tabela1[[#This Row],[Matrícula]],Equipe!B:F,5,0)</f>
        <v>#N/A</v>
      </c>
    </row>
    <row r="1064" spans="1:9">
      <c r="A1064" s="83"/>
      <c r="B1064" s="83">
        <f>_xlfn.XLOOKUP(A1064,Equipe!H:H,Equipe!B:B,"",0)</f>
        <v>0</v>
      </c>
      <c r="C1064" s="154"/>
      <c r="D1064" s="150" t="e">
        <f>(IF(Tabela1[[#This Row],[Início]]&lt;&gt;"",C1064+E1064-1,""))*1</f>
        <v>#VALUE!</v>
      </c>
      <c r="E1064" s="83"/>
      <c r="F1064" s="83"/>
      <c r="G1064" s="88"/>
      <c r="H1064" s="83" t="str">
        <f>_xlfn.XLOOKUP(Tabela1[[#This Row],[Matrícula]],Equipe!B:B,Equipe!E:E,"ERRO",0)</f>
        <v>ERRO</v>
      </c>
      <c r="I1064" s="83" t="e">
        <f>VLOOKUP(Tabela1[[#This Row],[Matrícula]],Equipe!B:F,5,0)</f>
        <v>#N/A</v>
      </c>
    </row>
    <row r="1065" spans="1:9">
      <c r="A1065" s="83"/>
      <c r="B1065" s="83">
        <f>_xlfn.XLOOKUP(A1065,Equipe!H:H,Equipe!B:B,"",0)</f>
        <v>0</v>
      </c>
      <c r="C1065" s="154"/>
      <c r="D1065" s="150" t="e">
        <f>(IF(Tabela1[[#This Row],[Início]]&lt;&gt;"",C1065+E1065-1,""))*1</f>
        <v>#VALUE!</v>
      </c>
      <c r="E1065" s="83"/>
      <c r="F1065" s="83"/>
      <c r="G1065" s="88"/>
      <c r="H1065" s="83" t="str">
        <f>_xlfn.XLOOKUP(Tabela1[[#This Row],[Matrícula]],Equipe!B:B,Equipe!E:E,"ERRO",0)</f>
        <v>ERRO</v>
      </c>
      <c r="I1065" s="83" t="e">
        <f>VLOOKUP(Tabela1[[#This Row],[Matrícula]],Equipe!B:F,5,0)</f>
        <v>#N/A</v>
      </c>
    </row>
    <row r="1066" spans="1:9">
      <c r="A1066" s="83"/>
      <c r="B1066" s="83">
        <f>_xlfn.XLOOKUP(A1066,Equipe!H:H,Equipe!B:B,"",0)</f>
        <v>0</v>
      </c>
      <c r="C1066" s="154"/>
      <c r="D1066" s="150" t="e">
        <f>(IF(Tabela1[[#This Row],[Início]]&lt;&gt;"",C1066+E1066-1,""))*1</f>
        <v>#VALUE!</v>
      </c>
      <c r="E1066" s="83"/>
      <c r="F1066" s="83"/>
      <c r="G1066" s="88"/>
      <c r="H1066" s="83" t="str">
        <f>_xlfn.XLOOKUP(Tabela1[[#This Row],[Matrícula]],Equipe!B:B,Equipe!E:E,"ERRO",0)</f>
        <v>ERRO</v>
      </c>
      <c r="I1066" s="83" t="e">
        <f>VLOOKUP(Tabela1[[#This Row],[Matrícula]],Equipe!B:F,5,0)</f>
        <v>#N/A</v>
      </c>
    </row>
    <row r="1067" spans="1:9">
      <c r="A1067" s="83"/>
      <c r="B1067" s="83">
        <f>_xlfn.XLOOKUP(A1067,Equipe!H:H,Equipe!B:B,"",0)</f>
        <v>0</v>
      </c>
      <c r="C1067" s="154"/>
      <c r="D1067" s="150" t="e">
        <f>(IF(Tabela1[[#This Row],[Início]]&lt;&gt;"",C1067+E1067-1,""))*1</f>
        <v>#VALUE!</v>
      </c>
      <c r="E1067" s="83"/>
      <c r="F1067" s="83"/>
      <c r="G1067" s="88"/>
      <c r="H1067" s="83" t="str">
        <f>_xlfn.XLOOKUP(Tabela1[[#This Row],[Matrícula]],Equipe!B:B,Equipe!E:E,"ERRO",0)</f>
        <v>ERRO</v>
      </c>
      <c r="I1067" s="83" t="e">
        <f>VLOOKUP(Tabela1[[#This Row],[Matrícula]],Equipe!B:F,5,0)</f>
        <v>#N/A</v>
      </c>
    </row>
    <row r="1068" spans="1:9">
      <c r="A1068" s="83"/>
      <c r="B1068" s="83">
        <f>_xlfn.XLOOKUP(A1068,Equipe!H:H,Equipe!B:B,"",0)</f>
        <v>0</v>
      </c>
      <c r="C1068" s="154"/>
      <c r="D1068" s="150" t="e">
        <f>(IF(Tabela1[[#This Row],[Início]]&lt;&gt;"",C1068+E1068-1,""))*1</f>
        <v>#VALUE!</v>
      </c>
      <c r="E1068" s="83"/>
      <c r="F1068" s="83"/>
      <c r="G1068" s="88"/>
      <c r="H1068" s="83" t="str">
        <f>_xlfn.XLOOKUP(Tabela1[[#This Row],[Matrícula]],Equipe!B:B,Equipe!E:E,"ERRO",0)</f>
        <v>ERRO</v>
      </c>
      <c r="I1068" s="83" t="e">
        <f>VLOOKUP(Tabela1[[#This Row],[Matrícula]],Equipe!B:F,5,0)</f>
        <v>#N/A</v>
      </c>
    </row>
    <row r="1069" spans="1:9">
      <c r="A1069" s="83"/>
      <c r="B1069" s="83">
        <f>_xlfn.XLOOKUP(A1069,Equipe!H:H,Equipe!B:B,"",0)</f>
        <v>0</v>
      </c>
      <c r="C1069" s="154"/>
      <c r="D1069" s="150" t="e">
        <f>(IF(Tabela1[[#This Row],[Início]]&lt;&gt;"",C1069+E1069-1,""))*1</f>
        <v>#VALUE!</v>
      </c>
      <c r="E1069" s="83"/>
      <c r="F1069" s="83"/>
      <c r="G1069" s="88"/>
      <c r="H1069" s="83" t="str">
        <f>_xlfn.XLOOKUP(Tabela1[[#This Row],[Matrícula]],Equipe!B:B,Equipe!E:E,"ERRO",0)</f>
        <v>ERRO</v>
      </c>
      <c r="I1069" s="83" t="e">
        <f>VLOOKUP(Tabela1[[#This Row],[Matrícula]],Equipe!B:F,5,0)</f>
        <v>#N/A</v>
      </c>
    </row>
    <row r="1070" spans="1:9">
      <c r="A1070" s="83"/>
      <c r="B1070" s="83">
        <f>_xlfn.XLOOKUP(A1070,Equipe!H:H,Equipe!B:B,"",0)</f>
        <v>0</v>
      </c>
      <c r="C1070" s="154"/>
      <c r="D1070" s="150" t="e">
        <f>(IF(Tabela1[[#This Row],[Início]]&lt;&gt;"",C1070+E1070-1,""))*1</f>
        <v>#VALUE!</v>
      </c>
      <c r="E1070" s="83"/>
      <c r="F1070" s="83"/>
      <c r="G1070" s="88"/>
      <c r="H1070" s="83" t="str">
        <f>_xlfn.XLOOKUP(Tabela1[[#This Row],[Matrícula]],Equipe!B:B,Equipe!E:E,"ERRO",0)</f>
        <v>ERRO</v>
      </c>
      <c r="I1070" s="83" t="e">
        <f>VLOOKUP(Tabela1[[#This Row],[Matrícula]],Equipe!B:F,5,0)</f>
        <v>#N/A</v>
      </c>
    </row>
    <row r="1071" spans="1:9">
      <c r="A1071" s="83"/>
      <c r="B1071" s="83">
        <f>_xlfn.XLOOKUP(A1071,Equipe!H:H,Equipe!B:B,"",0)</f>
        <v>0</v>
      </c>
      <c r="C1071" s="154"/>
      <c r="D1071" s="150" t="e">
        <f>(IF(Tabela1[[#This Row],[Início]]&lt;&gt;"",C1071+E1071-1,""))*1</f>
        <v>#VALUE!</v>
      </c>
      <c r="E1071" s="83"/>
      <c r="F1071" s="83"/>
      <c r="G1071" s="88"/>
      <c r="H1071" s="83" t="str">
        <f>_xlfn.XLOOKUP(Tabela1[[#This Row],[Matrícula]],Equipe!B:B,Equipe!E:E,"ERRO",0)</f>
        <v>ERRO</v>
      </c>
      <c r="I1071" s="83" t="e">
        <f>VLOOKUP(Tabela1[[#This Row],[Matrícula]],Equipe!B:F,5,0)</f>
        <v>#N/A</v>
      </c>
    </row>
    <row r="1072" spans="1:9">
      <c r="A1072" s="83"/>
      <c r="B1072" s="83">
        <f>_xlfn.XLOOKUP(A1072,Equipe!H:H,Equipe!B:B,"",0)</f>
        <v>0</v>
      </c>
      <c r="C1072" s="154"/>
      <c r="D1072" s="150" t="e">
        <f>(IF(Tabela1[[#This Row],[Início]]&lt;&gt;"",C1072+E1072-1,""))*1</f>
        <v>#VALUE!</v>
      </c>
      <c r="E1072" s="83"/>
      <c r="F1072" s="83"/>
      <c r="G1072" s="88"/>
      <c r="H1072" s="83" t="str">
        <f>_xlfn.XLOOKUP(Tabela1[[#This Row],[Matrícula]],Equipe!B:B,Equipe!E:E,"ERRO",0)</f>
        <v>ERRO</v>
      </c>
      <c r="I1072" s="83" t="e">
        <f>VLOOKUP(Tabela1[[#This Row],[Matrícula]],Equipe!B:F,5,0)</f>
        <v>#N/A</v>
      </c>
    </row>
    <row r="1073" spans="1:9">
      <c r="A1073" s="83"/>
      <c r="B1073" s="83">
        <f>_xlfn.XLOOKUP(A1073,Equipe!H:H,Equipe!B:B,"",0)</f>
        <v>0</v>
      </c>
      <c r="C1073" s="154"/>
      <c r="D1073" s="150" t="e">
        <f>(IF(Tabela1[[#This Row],[Início]]&lt;&gt;"",C1073+E1073-1,""))*1</f>
        <v>#VALUE!</v>
      </c>
      <c r="E1073" s="83"/>
      <c r="F1073" s="83"/>
      <c r="G1073" s="88"/>
      <c r="H1073" s="83" t="str">
        <f>_xlfn.XLOOKUP(Tabela1[[#This Row],[Matrícula]],Equipe!B:B,Equipe!E:E,"ERRO",0)</f>
        <v>ERRO</v>
      </c>
      <c r="I1073" s="83" t="e">
        <f>VLOOKUP(Tabela1[[#This Row],[Matrícula]],Equipe!B:F,5,0)</f>
        <v>#N/A</v>
      </c>
    </row>
    <row r="1074" spans="1:9">
      <c r="A1074" s="83"/>
      <c r="B1074" s="83">
        <f>_xlfn.XLOOKUP(A1074,Equipe!H:H,Equipe!B:B,"",0)</f>
        <v>0</v>
      </c>
      <c r="C1074" s="154"/>
      <c r="D1074" s="150" t="e">
        <f>(IF(Tabela1[[#This Row],[Início]]&lt;&gt;"",C1074+E1074-1,""))*1</f>
        <v>#VALUE!</v>
      </c>
      <c r="E1074" s="83"/>
      <c r="F1074" s="83"/>
      <c r="G1074" s="88"/>
      <c r="H1074" s="83" t="str">
        <f>_xlfn.XLOOKUP(Tabela1[[#This Row],[Matrícula]],Equipe!B:B,Equipe!E:E,"ERRO",0)</f>
        <v>ERRO</v>
      </c>
      <c r="I1074" s="83" t="e">
        <f>VLOOKUP(Tabela1[[#This Row],[Matrícula]],Equipe!B:F,5,0)</f>
        <v>#N/A</v>
      </c>
    </row>
    <row r="1075" spans="1:9">
      <c r="A1075" s="83"/>
      <c r="B1075" s="83">
        <f>_xlfn.XLOOKUP(A1075,Equipe!H:H,Equipe!B:B,"",0)</f>
        <v>0</v>
      </c>
      <c r="C1075" s="154"/>
      <c r="D1075" s="150" t="e">
        <f>(IF(Tabela1[[#This Row],[Início]]&lt;&gt;"",C1075+E1075-1,""))*1</f>
        <v>#VALUE!</v>
      </c>
      <c r="E1075" s="83"/>
      <c r="F1075" s="83"/>
      <c r="G1075" s="88"/>
      <c r="H1075" s="83" t="str">
        <f>_xlfn.XLOOKUP(Tabela1[[#This Row],[Matrícula]],Equipe!B:B,Equipe!E:E,"ERRO",0)</f>
        <v>ERRO</v>
      </c>
      <c r="I1075" s="83" t="e">
        <f>VLOOKUP(Tabela1[[#This Row],[Matrícula]],Equipe!B:F,5,0)</f>
        <v>#N/A</v>
      </c>
    </row>
    <row r="1076" spans="1:9">
      <c r="A1076" s="83"/>
      <c r="B1076" s="83">
        <f>_xlfn.XLOOKUP(A1076,Equipe!H:H,Equipe!B:B,"",0)</f>
        <v>0</v>
      </c>
      <c r="C1076" s="154"/>
      <c r="D1076" s="150" t="e">
        <f>(IF(Tabela1[[#This Row],[Início]]&lt;&gt;"",C1076+E1076-1,""))*1</f>
        <v>#VALUE!</v>
      </c>
      <c r="E1076" s="83"/>
      <c r="F1076" s="83"/>
      <c r="G1076" s="88"/>
      <c r="H1076" s="83" t="str">
        <f>_xlfn.XLOOKUP(Tabela1[[#This Row],[Matrícula]],Equipe!B:B,Equipe!E:E,"ERRO",0)</f>
        <v>ERRO</v>
      </c>
      <c r="I1076" s="83" t="e">
        <f>VLOOKUP(Tabela1[[#This Row],[Matrícula]],Equipe!B:F,5,0)</f>
        <v>#N/A</v>
      </c>
    </row>
    <row r="1077" spans="1:9">
      <c r="A1077" s="83"/>
      <c r="B1077" s="83">
        <f>_xlfn.XLOOKUP(A1077,Equipe!H:H,Equipe!B:B,"",0)</f>
        <v>0</v>
      </c>
      <c r="C1077" s="154"/>
      <c r="D1077" s="150" t="e">
        <f>(IF(Tabela1[[#This Row],[Início]]&lt;&gt;"",C1077+E1077-1,""))*1</f>
        <v>#VALUE!</v>
      </c>
      <c r="E1077" s="83"/>
      <c r="F1077" s="83"/>
      <c r="G1077" s="88"/>
      <c r="H1077" s="83" t="str">
        <f>_xlfn.XLOOKUP(Tabela1[[#This Row],[Matrícula]],Equipe!B:B,Equipe!E:E,"ERRO",0)</f>
        <v>ERRO</v>
      </c>
      <c r="I1077" s="83" t="e">
        <f>VLOOKUP(Tabela1[[#This Row],[Matrícula]],Equipe!B:F,5,0)</f>
        <v>#N/A</v>
      </c>
    </row>
    <row r="1078" spans="1:9">
      <c r="A1078" s="83"/>
      <c r="B1078" s="83">
        <f>_xlfn.XLOOKUP(A1078,Equipe!H:H,Equipe!B:B,"",0)</f>
        <v>0</v>
      </c>
      <c r="C1078" s="154"/>
      <c r="D1078" s="150" t="e">
        <f>(IF(Tabela1[[#This Row],[Início]]&lt;&gt;"",C1078+E1078-1,""))*1</f>
        <v>#VALUE!</v>
      </c>
      <c r="E1078" s="83"/>
      <c r="F1078" s="83"/>
      <c r="G1078" s="88"/>
      <c r="H1078" s="83" t="str">
        <f>_xlfn.XLOOKUP(Tabela1[[#This Row],[Matrícula]],Equipe!B:B,Equipe!E:E,"ERRO",0)</f>
        <v>ERRO</v>
      </c>
      <c r="I1078" s="83" t="e">
        <f>VLOOKUP(Tabela1[[#This Row],[Matrícula]],Equipe!B:F,5,0)</f>
        <v>#N/A</v>
      </c>
    </row>
    <row r="1079" spans="1:9">
      <c r="A1079" s="83"/>
      <c r="B1079" s="83">
        <f>_xlfn.XLOOKUP(A1079,Equipe!H:H,Equipe!B:B,"",0)</f>
        <v>0</v>
      </c>
      <c r="C1079" s="154"/>
      <c r="D1079" s="150" t="e">
        <f>(IF(Tabela1[[#This Row],[Início]]&lt;&gt;"",C1079+E1079-1,""))*1</f>
        <v>#VALUE!</v>
      </c>
      <c r="E1079" s="83"/>
      <c r="F1079" s="83"/>
      <c r="G1079" s="88"/>
      <c r="H1079" s="83" t="str">
        <f>_xlfn.XLOOKUP(Tabela1[[#This Row],[Matrícula]],Equipe!B:B,Equipe!E:E,"ERRO",0)</f>
        <v>ERRO</v>
      </c>
      <c r="I1079" s="83" t="e">
        <f>VLOOKUP(Tabela1[[#This Row],[Matrícula]],Equipe!B:F,5,0)</f>
        <v>#N/A</v>
      </c>
    </row>
    <row r="1080" spans="1:9">
      <c r="A1080" s="83"/>
      <c r="B1080" s="83">
        <f>_xlfn.XLOOKUP(A1080,Equipe!H:H,Equipe!B:B,"",0)</f>
        <v>0</v>
      </c>
      <c r="C1080" s="154"/>
      <c r="D1080" s="150" t="e">
        <f>(IF(Tabela1[[#This Row],[Início]]&lt;&gt;"",C1080+E1080-1,""))*1</f>
        <v>#VALUE!</v>
      </c>
      <c r="E1080" s="83"/>
      <c r="F1080" s="83"/>
      <c r="G1080" s="88"/>
      <c r="H1080" s="83" t="str">
        <f>_xlfn.XLOOKUP(Tabela1[[#This Row],[Matrícula]],Equipe!B:B,Equipe!E:E,"ERRO",0)</f>
        <v>ERRO</v>
      </c>
      <c r="I1080" s="83" t="e">
        <f>VLOOKUP(Tabela1[[#This Row],[Matrícula]],Equipe!B:F,5,0)</f>
        <v>#N/A</v>
      </c>
    </row>
    <row r="1081" spans="1:9">
      <c r="A1081" s="83"/>
      <c r="B1081" s="83">
        <f>_xlfn.XLOOKUP(A1081,Equipe!H:H,Equipe!B:B,"",0)</f>
        <v>0</v>
      </c>
      <c r="C1081" s="154"/>
      <c r="D1081" s="150" t="e">
        <f>(IF(Tabela1[[#This Row],[Início]]&lt;&gt;"",C1081+E1081-1,""))*1</f>
        <v>#VALUE!</v>
      </c>
      <c r="E1081" s="83"/>
      <c r="F1081" s="83"/>
      <c r="G1081" s="88"/>
      <c r="H1081" s="83" t="str">
        <f>_xlfn.XLOOKUP(Tabela1[[#This Row],[Matrícula]],Equipe!B:B,Equipe!E:E,"ERRO",0)</f>
        <v>ERRO</v>
      </c>
      <c r="I1081" s="83" t="e">
        <f>VLOOKUP(Tabela1[[#This Row],[Matrícula]],Equipe!B:F,5,0)</f>
        <v>#N/A</v>
      </c>
    </row>
    <row r="1082" spans="1:9">
      <c r="A1082" s="83"/>
      <c r="B1082" s="83">
        <f>_xlfn.XLOOKUP(A1082,Equipe!H:H,Equipe!B:B,"",0)</f>
        <v>0</v>
      </c>
      <c r="C1082" s="154"/>
      <c r="D1082" s="150" t="e">
        <f>(IF(Tabela1[[#This Row],[Início]]&lt;&gt;"",C1082+E1082-1,""))*1</f>
        <v>#VALUE!</v>
      </c>
      <c r="E1082" s="83"/>
      <c r="F1082" s="83"/>
      <c r="G1082" s="88"/>
      <c r="H1082" s="83" t="str">
        <f>_xlfn.XLOOKUP(Tabela1[[#This Row],[Matrícula]],Equipe!B:B,Equipe!E:E,"ERRO",0)</f>
        <v>ERRO</v>
      </c>
      <c r="I1082" s="83" t="e">
        <f>VLOOKUP(Tabela1[[#This Row],[Matrícula]],Equipe!B:F,5,0)</f>
        <v>#N/A</v>
      </c>
    </row>
    <row r="1083" spans="1:9">
      <c r="A1083" s="83"/>
      <c r="B1083" s="83">
        <f>_xlfn.XLOOKUP(A1083,Equipe!H:H,Equipe!B:B,"",0)</f>
        <v>0</v>
      </c>
      <c r="C1083" s="154"/>
      <c r="D1083" s="150" t="e">
        <f>(IF(Tabela1[[#This Row],[Início]]&lt;&gt;"",C1083+E1083-1,""))*1</f>
        <v>#VALUE!</v>
      </c>
      <c r="E1083" s="83"/>
      <c r="F1083" s="83"/>
      <c r="G1083" s="88"/>
      <c r="H1083" s="83" t="str">
        <f>_xlfn.XLOOKUP(Tabela1[[#This Row],[Matrícula]],Equipe!B:B,Equipe!E:E,"ERRO",0)</f>
        <v>ERRO</v>
      </c>
      <c r="I1083" s="83" t="e">
        <f>VLOOKUP(Tabela1[[#This Row],[Matrícula]],Equipe!B:F,5,0)</f>
        <v>#N/A</v>
      </c>
    </row>
    <row r="1084" spans="1:9">
      <c r="A1084" s="83"/>
      <c r="B1084" s="83">
        <f>_xlfn.XLOOKUP(A1084,Equipe!H:H,Equipe!B:B,"",0)</f>
        <v>0</v>
      </c>
      <c r="C1084" s="154"/>
      <c r="D1084" s="150" t="e">
        <f>(IF(Tabela1[[#This Row],[Início]]&lt;&gt;"",C1084+E1084-1,""))*1</f>
        <v>#VALUE!</v>
      </c>
      <c r="E1084" s="83"/>
      <c r="F1084" s="83"/>
      <c r="G1084" s="88"/>
      <c r="H1084" s="83" t="str">
        <f>_xlfn.XLOOKUP(Tabela1[[#This Row],[Matrícula]],Equipe!B:B,Equipe!E:E,"ERRO",0)</f>
        <v>ERRO</v>
      </c>
      <c r="I1084" s="83" t="e">
        <f>VLOOKUP(Tabela1[[#This Row],[Matrícula]],Equipe!B:F,5,0)</f>
        <v>#N/A</v>
      </c>
    </row>
    <row r="1085" spans="1:9">
      <c r="A1085" s="83"/>
      <c r="B1085" s="83">
        <f>_xlfn.XLOOKUP(A1085,Equipe!H:H,Equipe!B:B,"",0)</f>
        <v>0</v>
      </c>
      <c r="C1085" s="154"/>
      <c r="D1085" s="150" t="e">
        <f>(IF(Tabela1[[#This Row],[Início]]&lt;&gt;"",C1085+E1085-1,""))*1</f>
        <v>#VALUE!</v>
      </c>
      <c r="E1085" s="83"/>
      <c r="F1085" s="83"/>
      <c r="G1085" s="88"/>
      <c r="H1085" s="83" t="str">
        <f>_xlfn.XLOOKUP(Tabela1[[#This Row],[Matrícula]],Equipe!B:B,Equipe!E:E,"ERRO",0)</f>
        <v>ERRO</v>
      </c>
      <c r="I1085" s="83" t="e">
        <f>VLOOKUP(Tabela1[[#This Row],[Matrícula]],Equipe!B:F,5,0)</f>
        <v>#N/A</v>
      </c>
    </row>
    <row r="1086" spans="1:9">
      <c r="A1086" s="83"/>
      <c r="B1086" s="83">
        <f>_xlfn.XLOOKUP(A1086,Equipe!H:H,Equipe!B:B,"",0)</f>
        <v>0</v>
      </c>
      <c r="C1086" s="154"/>
      <c r="D1086" s="150" t="e">
        <f>(IF(Tabela1[[#This Row],[Início]]&lt;&gt;"",C1086+E1086-1,""))*1</f>
        <v>#VALUE!</v>
      </c>
      <c r="E1086" s="83"/>
      <c r="F1086" s="83"/>
      <c r="G1086" s="88"/>
      <c r="H1086" s="83" t="str">
        <f>_xlfn.XLOOKUP(Tabela1[[#This Row],[Matrícula]],Equipe!B:B,Equipe!E:E,"ERRO",0)</f>
        <v>ERRO</v>
      </c>
      <c r="I1086" s="83" t="e">
        <f>VLOOKUP(Tabela1[[#This Row],[Matrícula]],Equipe!B:F,5,0)</f>
        <v>#N/A</v>
      </c>
    </row>
    <row r="1087" spans="1:9">
      <c r="A1087" s="83"/>
      <c r="B1087" s="83">
        <f>_xlfn.XLOOKUP(A1087,Equipe!H:H,Equipe!B:B,"",0)</f>
        <v>0</v>
      </c>
      <c r="C1087" s="154"/>
      <c r="D1087" s="150" t="e">
        <f>(IF(Tabela1[[#This Row],[Início]]&lt;&gt;"",C1087+E1087-1,""))*1</f>
        <v>#VALUE!</v>
      </c>
      <c r="E1087" s="83"/>
      <c r="F1087" s="83"/>
      <c r="G1087" s="88"/>
      <c r="H1087" s="83" t="str">
        <f>_xlfn.XLOOKUP(Tabela1[[#This Row],[Matrícula]],Equipe!B:B,Equipe!E:E,"ERRO",0)</f>
        <v>ERRO</v>
      </c>
      <c r="I1087" s="83" t="e">
        <f>VLOOKUP(Tabela1[[#This Row],[Matrícula]],Equipe!B:F,5,0)</f>
        <v>#N/A</v>
      </c>
    </row>
    <row r="1088" spans="1:9">
      <c r="A1088" s="83"/>
      <c r="B1088" s="83">
        <f>_xlfn.XLOOKUP(A1088,Equipe!H:H,Equipe!B:B,"",0)</f>
        <v>0</v>
      </c>
      <c r="C1088" s="154"/>
      <c r="D1088" s="150" t="e">
        <f>(IF(Tabela1[[#This Row],[Início]]&lt;&gt;"",C1088+E1088-1,""))*1</f>
        <v>#VALUE!</v>
      </c>
      <c r="E1088" s="83"/>
      <c r="F1088" s="83"/>
      <c r="G1088" s="88"/>
      <c r="H1088" s="83" t="str">
        <f>_xlfn.XLOOKUP(Tabela1[[#This Row],[Matrícula]],Equipe!B:B,Equipe!E:E,"ERRO",0)</f>
        <v>ERRO</v>
      </c>
      <c r="I1088" s="83" t="e">
        <f>VLOOKUP(Tabela1[[#This Row],[Matrícula]],Equipe!B:F,5,0)</f>
        <v>#N/A</v>
      </c>
    </row>
    <row r="1089" spans="1:9">
      <c r="A1089" s="83"/>
      <c r="B1089" s="83">
        <f>_xlfn.XLOOKUP(A1089,Equipe!H:H,Equipe!B:B,"",0)</f>
        <v>0</v>
      </c>
      <c r="C1089" s="154"/>
      <c r="D1089" s="150" t="e">
        <f>(IF(Tabela1[[#This Row],[Início]]&lt;&gt;"",C1089+E1089-1,""))*1</f>
        <v>#VALUE!</v>
      </c>
      <c r="E1089" s="83"/>
      <c r="F1089" s="83"/>
      <c r="G1089" s="88"/>
      <c r="H1089" s="83" t="str">
        <f>_xlfn.XLOOKUP(Tabela1[[#This Row],[Matrícula]],Equipe!B:B,Equipe!E:E,"ERRO",0)</f>
        <v>ERRO</v>
      </c>
      <c r="I1089" s="83" t="e">
        <f>VLOOKUP(Tabela1[[#This Row],[Matrícula]],Equipe!B:F,5,0)</f>
        <v>#N/A</v>
      </c>
    </row>
    <row r="1090" spans="1:9">
      <c r="A1090" s="83"/>
      <c r="B1090" s="83">
        <f>_xlfn.XLOOKUP(A1090,Equipe!H:H,Equipe!B:B,"",0)</f>
        <v>0</v>
      </c>
      <c r="C1090" s="154"/>
      <c r="D1090" s="150" t="e">
        <f>(IF(Tabela1[[#This Row],[Início]]&lt;&gt;"",C1090+E1090-1,""))*1</f>
        <v>#VALUE!</v>
      </c>
      <c r="E1090" s="83"/>
      <c r="F1090" s="83"/>
      <c r="G1090" s="88"/>
      <c r="H1090" s="83" t="str">
        <f>_xlfn.XLOOKUP(Tabela1[[#This Row],[Matrícula]],Equipe!B:B,Equipe!E:E,"ERRO",0)</f>
        <v>ERRO</v>
      </c>
      <c r="I1090" s="83" t="e">
        <f>VLOOKUP(Tabela1[[#This Row],[Matrícula]],Equipe!B:F,5,0)</f>
        <v>#N/A</v>
      </c>
    </row>
    <row r="1091" spans="1:9">
      <c r="A1091" s="83"/>
      <c r="B1091" s="83">
        <f>_xlfn.XLOOKUP(A1091,Equipe!H:H,Equipe!B:B,"",0)</f>
        <v>0</v>
      </c>
      <c r="C1091" s="154"/>
      <c r="D1091" s="150" t="e">
        <f>(IF(Tabela1[[#This Row],[Início]]&lt;&gt;"",C1091+E1091-1,""))*1</f>
        <v>#VALUE!</v>
      </c>
      <c r="E1091" s="83"/>
      <c r="F1091" s="83"/>
      <c r="G1091" s="88"/>
      <c r="H1091" s="83" t="str">
        <f>_xlfn.XLOOKUP(Tabela1[[#This Row],[Matrícula]],Equipe!B:B,Equipe!E:E,"ERRO",0)</f>
        <v>ERRO</v>
      </c>
      <c r="I1091" s="83" t="e">
        <f>VLOOKUP(Tabela1[[#This Row],[Matrícula]],Equipe!B:F,5,0)</f>
        <v>#N/A</v>
      </c>
    </row>
    <row r="1092" spans="1:9">
      <c r="A1092" s="83"/>
      <c r="B1092" s="83">
        <f>_xlfn.XLOOKUP(A1092,Equipe!H:H,Equipe!B:B,"",0)</f>
        <v>0</v>
      </c>
      <c r="C1092" s="154"/>
      <c r="D1092" s="150" t="e">
        <f>(IF(Tabela1[[#This Row],[Início]]&lt;&gt;"",C1092+E1092-1,""))*1</f>
        <v>#VALUE!</v>
      </c>
      <c r="E1092" s="83"/>
      <c r="F1092" s="83"/>
      <c r="G1092" s="88"/>
      <c r="H1092" s="83" t="str">
        <f>_xlfn.XLOOKUP(Tabela1[[#This Row],[Matrícula]],Equipe!B:B,Equipe!E:E,"ERRO",0)</f>
        <v>ERRO</v>
      </c>
      <c r="I1092" s="83" t="e">
        <f>VLOOKUP(Tabela1[[#This Row],[Matrícula]],Equipe!B:F,5,0)</f>
        <v>#N/A</v>
      </c>
    </row>
    <row r="1093" spans="1:9">
      <c r="A1093" s="83"/>
      <c r="B1093" s="83">
        <f>_xlfn.XLOOKUP(A1093,Equipe!H:H,Equipe!B:B,"",0)</f>
        <v>0</v>
      </c>
      <c r="C1093" s="154"/>
      <c r="D1093" s="150" t="e">
        <f>(IF(Tabela1[[#This Row],[Início]]&lt;&gt;"",C1093+E1093-1,""))*1</f>
        <v>#VALUE!</v>
      </c>
      <c r="E1093" s="83"/>
      <c r="F1093" s="83"/>
      <c r="G1093" s="88"/>
      <c r="H1093" s="83" t="str">
        <f>_xlfn.XLOOKUP(Tabela1[[#This Row],[Matrícula]],Equipe!B:B,Equipe!E:E,"ERRO",0)</f>
        <v>ERRO</v>
      </c>
      <c r="I1093" s="83" t="e">
        <f>VLOOKUP(Tabela1[[#This Row],[Matrícula]],Equipe!B:F,5,0)</f>
        <v>#N/A</v>
      </c>
    </row>
    <row r="1094" spans="1:9">
      <c r="A1094" s="83"/>
      <c r="B1094" s="83">
        <f>_xlfn.XLOOKUP(A1094,Equipe!H:H,Equipe!B:B,"",0)</f>
        <v>0</v>
      </c>
      <c r="C1094" s="154"/>
      <c r="D1094" s="150" t="e">
        <f>(IF(Tabela1[[#This Row],[Início]]&lt;&gt;"",C1094+E1094-1,""))*1</f>
        <v>#VALUE!</v>
      </c>
      <c r="E1094" s="83"/>
      <c r="F1094" s="83"/>
      <c r="G1094" s="88"/>
      <c r="H1094" s="83" t="str">
        <f>_xlfn.XLOOKUP(Tabela1[[#This Row],[Matrícula]],Equipe!B:B,Equipe!E:E,"ERRO",0)</f>
        <v>ERRO</v>
      </c>
      <c r="I1094" s="83" t="e">
        <f>VLOOKUP(Tabela1[[#This Row],[Matrícula]],Equipe!B:F,5,0)</f>
        <v>#N/A</v>
      </c>
    </row>
    <row r="1095" spans="1:9">
      <c r="A1095" s="83"/>
      <c r="B1095" s="83">
        <f>_xlfn.XLOOKUP(A1095,Equipe!H:H,Equipe!B:B,"",0)</f>
        <v>0</v>
      </c>
      <c r="C1095" s="154"/>
      <c r="D1095" s="150" t="e">
        <f>(IF(Tabela1[[#This Row],[Início]]&lt;&gt;"",C1095+E1095-1,""))*1</f>
        <v>#VALUE!</v>
      </c>
      <c r="E1095" s="83"/>
      <c r="F1095" s="83"/>
      <c r="G1095" s="88"/>
      <c r="H1095" s="83" t="str">
        <f>_xlfn.XLOOKUP(Tabela1[[#This Row],[Matrícula]],Equipe!B:B,Equipe!E:E,"ERRO",0)</f>
        <v>ERRO</v>
      </c>
      <c r="I1095" s="83" t="e">
        <f>VLOOKUP(Tabela1[[#This Row],[Matrícula]],Equipe!B:F,5,0)</f>
        <v>#N/A</v>
      </c>
    </row>
    <row r="1096" spans="1:9">
      <c r="A1096" s="83"/>
      <c r="B1096" s="83">
        <f>_xlfn.XLOOKUP(A1096,Equipe!H:H,Equipe!B:B,"",0)</f>
        <v>0</v>
      </c>
      <c r="C1096" s="154"/>
      <c r="D1096" s="150" t="e">
        <f>(IF(Tabela1[[#This Row],[Início]]&lt;&gt;"",C1096+E1096-1,""))*1</f>
        <v>#VALUE!</v>
      </c>
      <c r="E1096" s="83"/>
      <c r="F1096" s="83"/>
      <c r="G1096" s="88"/>
      <c r="H1096" s="83" t="str">
        <f>_xlfn.XLOOKUP(Tabela1[[#This Row],[Matrícula]],Equipe!B:B,Equipe!E:E,"ERRO",0)</f>
        <v>ERRO</v>
      </c>
      <c r="I1096" s="83" t="e">
        <f>VLOOKUP(Tabela1[[#This Row],[Matrícula]],Equipe!B:F,5,0)</f>
        <v>#N/A</v>
      </c>
    </row>
    <row r="1097" spans="1:9">
      <c r="A1097" s="83"/>
      <c r="B1097" s="83">
        <f>_xlfn.XLOOKUP(A1097,Equipe!H:H,Equipe!B:B,"",0)</f>
        <v>0</v>
      </c>
      <c r="C1097" s="154"/>
      <c r="D1097" s="150" t="e">
        <f>(IF(Tabela1[[#This Row],[Início]]&lt;&gt;"",C1097+E1097-1,""))*1</f>
        <v>#VALUE!</v>
      </c>
      <c r="E1097" s="83"/>
      <c r="F1097" s="83"/>
      <c r="G1097" s="88"/>
      <c r="H1097" s="83" t="str">
        <f>_xlfn.XLOOKUP(Tabela1[[#This Row],[Matrícula]],Equipe!B:B,Equipe!E:E,"ERRO",0)</f>
        <v>ERRO</v>
      </c>
      <c r="I1097" s="83" t="e">
        <f>VLOOKUP(Tabela1[[#This Row],[Matrícula]],Equipe!B:F,5,0)</f>
        <v>#N/A</v>
      </c>
    </row>
    <row r="1098" spans="1:9">
      <c r="A1098" s="83"/>
      <c r="B1098" s="83">
        <f>_xlfn.XLOOKUP(A1098,Equipe!H:H,Equipe!B:B,"",0)</f>
        <v>0</v>
      </c>
      <c r="C1098" s="154"/>
      <c r="D1098" s="150" t="e">
        <f>(IF(Tabela1[[#This Row],[Início]]&lt;&gt;"",C1098+E1098-1,""))*1</f>
        <v>#VALUE!</v>
      </c>
      <c r="E1098" s="83"/>
      <c r="F1098" s="83"/>
      <c r="G1098" s="88"/>
      <c r="H1098" s="83" t="str">
        <f>_xlfn.XLOOKUP(Tabela1[[#This Row],[Matrícula]],Equipe!B:B,Equipe!E:E,"ERRO",0)</f>
        <v>ERRO</v>
      </c>
      <c r="I1098" s="83" t="e">
        <f>VLOOKUP(Tabela1[[#This Row],[Matrícula]],Equipe!B:F,5,0)</f>
        <v>#N/A</v>
      </c>
    </row>
    <row r="1099" spans="1:9">
      <c r="A1099" s="83"/>
      <c r="B1099" s="83">
        <f>_xlfn.XLOOKUP(A1099,Equipe!H:H,Equipe!B:B,"",0)</f>
        <v>0</v>
      </c>
      <c r="C1099" s="154"/>
      <c r="D1099" s="150" t="e">
        <f>(IF(Tabela1[[#This Row],[Início]]&lt;&gt;"",C1099+E1099-1,""))*1</f>
        <v>#VALUE!</v>
      </c>
      <c r="E1099" s="83"/>
      <c r="F1099" s="83"/>
      <c r="G1099" s="88"/>
      <c r="H1099" s="83" t="str">
        <f>_xlfn.XLOOKUP(Tabela1[[#This Row],[Matrícula]],Equipe!B:B,Equipe!E:E,"ERRO",0)</f>
        <v>ERRO</v>
      </c>
      <c r="I1099" s="83" t="e">
        <f>VLOOKUP(Tabela1[[#This Row],[Matrícula]],Equipe!B:F,5,0)</f>
        <v>#N/A</v>
      </c>
    </row>
    <row r="1100" spans="1:9">
      <c r="A1100" s="83"/>
      <c r="B1100" s="83">
        <f>_xlfn.XLOOKUP(A1100,Equipe!H:H,Equipe!B:B,"",0)</f>
        <v>0</v>
      </c>
      <c r="C1100" s="154"/>
      <c r="D1100" s="150" t="e">
        <f>(IF(Tabela1[[#This Row],[Início]]&lt;&gt;"",C1100+E1100-1,""))*1</f>
        <v>#VALUE!</v>
      </c>
      <c r="E1100" s="83"/>
      <c r="F1100" s="83"/>
      <c r="G1100" s="88"/>
      <c r="H1100" s="83" t="str">
        <f>_xlfn.XLOOKUP(Tabela1[[#This Row],[Matrícula]],Equipe!B:B,Equipe!E:E,"ERRO",0)</f>
        <v>ERRO</v>
      </c>
      <c r="I1100" s="83" t="e">
        <f>VLOOKUP(Tabela1[[#This Row],[Matrícula]],Equipe!B:F,5,0)</f>
        <v>#N/A</v>
      </c>
    </row>
    <row r="1101" spans="1:9">
      <c r="A1101" s="83"/>
      <c r="B1101" s="83">
        <f>_xlfn.XLOOKUP(A1101,Equipe!H:H,Equipe!B:B,"",0)</f>
        <v>0</v>
      </c>
      <c r="C1101" s="154"/>
      <c r="D1101" s="150" t="e">
        <f>(IF(Tabela1[[#This Row],[Início]]&lt;&gt;"",C1101+E1101-1,""))*1</f>
        <v>#VALUE!</v>
      </c>
      <c r="E1101" s="83"/>
      <c r="F1101" s="83"/>
      <c r="G1101" s="88"/>
      <c r="H1101" s="83" t="str">
        <f>_xlfn.XLOOKUP(Tabela1[[#This Row],[Matrícula]],Equipe!B:B,Equipe!E:E,"ERRO",0)</f>
        <v>ERRO</v>
      </c>
      <c r="I1101" s="83" t="e">
        <f>VLOOKUP(Tabela1[[#This Row],[Matrícula]],Equipe!B:F,5,0)</f>
        <v>#N/A</v>
      </c>
    </row>
    <row r="1102" spans="1:9">
      <c r="A1102" s="83"/>
      <c r="B1102" s="83">
        <f>_xlfn.XLOOKUP(A1102,Equipe!H:H,Equipe!B:B,"",0)</f>
        <v>0</v>
      </c>
      <c r="C1102" s="154"/>
      <c r="D1102" s="150" t="e">
        <f>(IF(Tabela1[[#This Row],[Início]]&lt;&gt;"",C1102+E1102-1,""))*1</f>
        <v>#VALUE!</v>
      </c>
      <c r="E1102" s="83"/>
      <c r="F1102" s="83"/>
      <c r="G1102" s="88"/>
      <c r="H1102" s="83" t="str">
        <f>_xlfn.XLOOKUP(Tabela1[[#This Row],[Matrícula]],Equipe!B:B,Equipe!E:E,"ERRO",0)</f>
        <v>ERRO</v>
      </c>
      <c r="I1102" s="83" t="e">
        <f>VLOOKUP(Tabela1[[#This Row],[Matrícula]],Equipe!B:F,5,0)</f>
        <v>#N/A</v>
      </c>
    </row>
    <row r="1103" spans="1:9">
      <c r="A1103" s="83"/>
      <c r="B1103" s="83">
        <f>_xlfn.XLOOKUP(A1103,Equipe!H:H,Equipe!B:B,"",0)</f>
        <v>0</v>
      </c>
      <c r="C1103" s="154"/>
      <c r="D1103" s="150" t="e">
        <f>(IF(Tabela1[[#This Row],[Início]]&lt;&gt;"",C1103+E1103-1,""))*1</f>
        <v>#VALUE!</v>
      </c>
      <c r="E1103" s="83"/>
      <c r="F1103" s="83"/>
      <c r="G1103" s="88"/>
      <c r="H1103" s="83" t="str">
        <f>_xlfn.XLOOKUP(Tabela1[[#This Row],[Matrícula]],Equipe!B:B,Equipe!E:E,"ERRO",0)</f>
        <v>ERRO</v>
      </c>
      <c r="I1103" s="83" t="e">
        <f>VLOOKUP(Tabela1[[#This Row],[Matrícula]],Equipe!B:F,5,0)</f>
        <v>#N/A</v>
      </c>
    </row>
    <row r="1104" spans="1:9">
      <c r="A1104" s="83"/>
      <c r="B1104" s="83">
        <f>_xlfn.XLOOKUP(A1104,Equipe!H:H,Equipe!B:B,"",0)</f>
        <v>0</v>
      </c>
      <c r="C1104" s="154"/>
      <c r="D1104" s="150" t="e">
        <f>(IF(Tabela1[[#This Row],[Início]]&lt;&gt;"",C1104+E1104-1,""))*1</f>
        <v>#VALUE!</v>
      </c>
      <c r="E1104" s="83"/>
      <c r="F1104" s="83"/>
      <c r="G1104" s="88"/>
      <c r="H1104" s="83" t="str">
        <f>_xlfn.XLOOKUP(Tabela1[[#This Row],[Matrícula]],Equipe!B:B,Equipe!E:E,"ERRO",0)</f>
        <v>ERRO</v>
      </c>
      <c r="I1104" s="83" t="e">
        <f>VLOOKUP(Tabela1[[#This Row],[Matrícula]],Equipe!B:F,5,0)</f>
        <v>#N/A</v>
      </c>
    </row>
    <row r="1105" spans="1:9">
      <c r="A1105" s="83"/>
      <c r="B1105" s="83">
        <f>_xlfn.XLOOKUP(A1105,Equipe!H:H,Equipe!B:B,"",0)</f>
        <v>0</v>
      </c>
      <c r="C1105" s="154"/>
      <c r="D1105" s="150" t="e">
        <f>(IF(Tabela1[[#This Row],[Início]]&lt;&gt;"",C1105+E1105-1,""))*1</f>
        <v>#VALUE!</v>
      </c>
      <c r="E1105" s="83"/>
      <c r="F1105" s="83"/>
      <c r="G1105" s="88"/>
      <c r="H1105" s="83" t="str">
        <f>_xlfn.XLOOKUP(Tabela1[[#This Row],[Matrícula]],Equipe!B:B,Equipe!E:E,"ERRO",0)</f>
        <v>ERRO</v>
      </c>
      <c r="I1105" s="83" t="e">
        <f>VLOOKUP(Tabela1[[#This Row],[Matrícula]],Equipe!B:F,5,0)</f>
        <v>#N/A</v>
      </c>
    </row>
    <row r="1106" spans="1:9">
      <c r="A1106" s="83"/>
      <c r="B1106" s="83">
        <f>_xlfn.XLOOKUP(A1106,Equipe!H:H,Equipe!B:B,"",0)</f>
        <v>0</v>
      </c>
      <c r="C1106" s="154"/>
      <c r="D1106" s="150" t="e">
        <f>(IF(Tabela1[[#This Row],[Início]]&lt;&gt;"",C1106+E1106-1,""))*1</f>
        <v>#VALUE!</v>
      </c>
      <c r="E1106" s="83"/>
      <c r="F1106" s="83"/>
      <c r="G1106" s="88"/>
      <c r="H1106" s="83" t="str">
        <f>_xlfn.XLOOKUP(Tabela1[[#This Row],[Matrícula]],Equipe!B:B,Equipe!E:E,"ERRO",0)</f>
        <v>ERRO</v>
      </c>
      <c r="I1106" s="83" t="e">
        <f>VLOOKUP(Tabela1[[#This Row],[Matrícula]],Equipe!B:F,5,0)</f>
        <v>#N/A</v>
      </c>
    </row>
    <row r="1107" spans="1:9">
      <c r="A1107" s="83"/>
      <c r="B1107" s="83">
        <f>_xlfn.XLOOKUP(A1107,Equipe!H:H,Equipe!B:B,"",0)</f>
        <v>0</v>
      </c>
      <c r="C1107" s="154"/>
      <c r="D1107" s="150" t="e">
        <f>(IF(Tabela1[[#This Row],[Início]]&lt;&gt;"",C1107+E1107-1,""))*1</f>
        <v>#VALUE!</v>
      </c>
      <c r="E1107" s="83"/>
      <c r="F1107" s="83"/>
      <c r="G1107" s="88"/>
      <c r="H1107" s="83" t="str">
        <f>_xlfn.XLOOKUP(Tabela1[[#This Row],[Matrícula]],Equipe!B:B,Equipe!E:E,"ERRO",0)</f>
        <v>ERRO</v>
      </c>
      <c r="I1107" s="83" t="e">
        <f>VLOOKUP(Tabela1[[#This Row],[Matrícula]],Equipe!B:F,5,0)</f>
        <v>#N/A</v>
      </c>
    </row>
    <row r="1108" spans="1:9">
      <c r="A1108" s="83"/>
      <c r="B1108" s="83">
        <f>_xlfn.XLOOKUP(A1108,Equipe!H:H,Equipe!B:B,"",0)</f>
        <v>0</v>
      </c>
      <c r="C1108" s="154"/>
      <c r="D1108" s="150" t="e">
        <f>(IF(Tabela1[[#This Row],[Início]]&lt;&gt;"",C1108+E1108-1,""))*1</f>
        <v>#VALUE!</v>
      </c>
      <c r="E1108" s="83"/>
      <c r="F1108" s="83"/>
      <c r="G1108" s="88"/>
      <c r="H1108" s="83" t="str">
        <f>_xlfn.XLOOKUP(Tabela1[[#This Row],[Matrícula]],Equipe!B:B,Equipe!E:E,"ERRO",0)</f>
        <v>ERRO</v>
      </c>
      <c r="I1108" s="83" t="e">
        <f>VLOOKUP(Tabela1[[#This Row],[Matrícula]],Equipe!B:F,5,0)</f>
        <v>#N/A</v>
      </c>
    </row>
    <row r="1109" spans="1:9">
      <c r="A1109" s="83"/>
      <c r="B1109" s="83">
        <f>_xlfn.XLOOKUP(A1109,Equipe!H:H,Equipe!B:B,"",0)</f>
        <v>0</v>
      </c>
      <c r="C1109" s="154"/>
      <c r="D1109" s="150" t="e">
        <f>(IF(Tabela1[[#This Row],[Início]]&lt;&gt;"",C1109+E1109-1,""))*1</f>
        <v>#VALUE!</v>
      </c>
      <c r="E1109" s="83"/>
      <c r="F1109" s="83"/>
      <c r="G1109" s="88"/>
      <c r="H1109" s="83" t="str">
        <f>_xlfn.XLOOKUP(Tabela1[[#This Row],[Matrícula]],Equipe!B:B,Equipe!E:E,"ERRO",0)</f>
        <v>ERRO</v>
      </c>
      <c r="I1109" s="83" t="e">
        <f>VLOOKUP(Tabela1[[#This Row],[Matrícula]],Equipe!B:F,5,0)</f>
        <v>#N/A</v>
      </c>
    </row>
    <row r="1110" spans="1:9">
      <c r="A1110" s="83"/>
      <c r="B1110" s="83">
        <f>_xlfn.XLOOKUP(A1110,Equipe!H:H,Equipe!B:B,"",0)</f>
        <v>0</v>
      </c>
      <c r="C1110" s="154"/>
      <c r="D1110" s="150" t="e">
        <f>(IF(Tabela1[[#This Row],[Início]]&lt;&gt;"",C1110+E1110-1,""))*1</f>
        <v>#VALUE!</v>
      </c>
      <c r="E1110" s="83"/>
      <c r="F1110" s="83"/>
      <c r="G1110" s="88"/>
      <c r="H1110" s="83" t="str">
        <f>_xlfn.XLOOKUP(Tabela1[[#This Row],[Matrícula]],Equipe!B:B,Equipe!E:E,"ERRO",0)</f>
        <v>ERRO</v>
      </c>
      <c r="I1110" s="83" t="e">
        <f>VLOOKUP(Tabela1[[#This Row],[Matrícula]],Equipe!B:F,5,0)</f>
        <v>#N/A</v>
      </c>
    </row>
    <row r="1111" spans="1:9">
      <c r="A1111" s="83"/>
      <c r="B1111" s="83">
        <f>_xlfn.XLOOKUP(A1111,Equipe!H:H,Equipe!B:B,"",0)</f>
        <v>0</v>
      </c>
      <c r="C1111" s="154"/>
      <c r="D1111" s="150" t="e">
        <f>(IF(Tabela1[[#This Row],[Início]]&lt;&gt;"",C1111+E1111-1,""))*1</f>
        <v>#VALUE!</v>
      </c>
      <c r="E1111" s="83"/>
      <c r="F1111" s="83"/>
      <c r="G1111" s="88"/>
      <c r="H1111" s="83" t="str">
        <f>_xlfn.XLOOKUP(Tabela1[[#This Row],[Matrícula]],Equipe!B:B,Equipe!E:E,"ERRO",0)</f>
        <v>ERRO</v>
      </c>
      <c r="I1111" s="83" t="e">
        <f>VLOOKUP(Tabela1[[#This Row],[Matrícula]],Equipe!B:F,5,0)</f>
        <v>#N/A</v>
      </c>
    </row>
    <row r="1112" spans="1:9">
      <c r="A1112" s="83"/>
      <c r="B1112" s="83">
        <f>_xlfn.XLOOKUP(A1112,Equipe!H:H,Equipe!B:B,"",0)</f>
        <v>0</v>
      </c>
      <c r="C1112" s="154"/>
      <c r="D1112" s="150" t="e">
        <f>(IF(Tabela1[[#This Row],[Início]]&lt;&gt;"",C1112+E1112-1,""))*1</f>
        <v>#VALUE!</v>
      </c>
      <c r="E1112" s="83"/>
      <c r="F1112" s="83"/>
      <c r="G1112" s="88"/>
      <c r="H1112" s="83" t="str">
        <f>_xlfn.XLOOKUP(Tabela1[[#This Row],[Matrícula]],Equipe!B:B,Equipe!E:E,"ERRO",0)</f>
        <v>ERRO</v>
      </c>
      <c r="I1112" s="83" t="e">
        <f>VLOOKUP(Tabela1[[#This Row],[Matrícula]],Equipe!B:F,5,0)</f>
        <v>#N/A</v>
      </c>
    </row>
    <row r="1113" spans="1:9">
      <c r="A1113" s="83"/>
      <c r="B1113" s="83">
        <f>_xlfn.XLOOKUP(A1113,Equipe!H:H,Equipe!B:B,"",0)</f>
        <v>0</v>
      </c>
      <c r="C1113" s="154"/>
      <c r="D1113" s="150" t="e">
        <f>(IF(Tabela1[[#This Row],[Início]]&lt;&gt;"",C1113+E1113-1,""))*1</f>
        <v>#VALUE!</v>
      </c>
      <c r="E1113" s="83"/>
      <c r="F1113" s="83"/>
      <c r="G1113" s="88"/>
      <c r="H1113" s="83" t="str">
        <f>_xlfn.XLOOKUP(Tabela1[[#This Row],[Matrícula]],Equipe!B:B,Equipe!E:E,"ERRO",0)</f>
        <v>ERRO</v>
      </c>
      <c r="I1113" s="83" t="e">
        <f>VLOOKUP(Tabela1[[#This Row],[Matrícula]],Equipe!B:F,5,0)</f>
        <v>#N/A</v>
      </c>
    </row>
    <row r="1114" spans="1:9">
      <c r="A1114" s="83"/>
      <c r="B1114" s="83">
        <f>_xlfn.XLOOKUP(A1114,Equipe!H:H,Equipe!B:B,"",0)</f>
        <v>0</v>
      </c>
      <c r="C1114" s="154"/>
      <c r="D1114" s="150" t="e">
        <f>(IF(Tabela1[[#This Row],[Início]]&lt;&gt;"",C1114+E1114-1,""))*1</f>
        <v>#VALUE!</v>
      </c>
      <c r="E1114" s="83"/>
      <c r="F1114" s="83"/>
      <c r="G1114" s="88"/>
      <c r="H1114" s="83" t="str">
        <f>_xlfn.XLOOKUP(Tabela1[[#This Row],[Matrícula]],Equipe!B:B,Equipe!E:E,"ERRO",0)</f>
        <v>ERRO</v>
      </c>
      <c r="I1114" s="83" t="e">
        <f>VLOOKUP(Tabela1[[#This Row],[Matrícula]],Equipe!B:F,5,0)</f>
        <v>#N/A</v>
      </c>
    </row>
    <row r="1115" spans="1:9">
      <c r="A1115" s="83"/>
      <c r="B1115" s="83">
        <f>_xlfn.XLOOKUP(A1115,Equipe!H:H,Equipe!B:B,"",0)</f>
        <v>0</v>
      </c>
      <c r="C1115" s="154"/>
      <c r="D1115" s="150" t="e">
        <f>(IF(Tabela1[[#This Row],[Início]]&lt;&gt;"",C1115+E1115-1,""))*1</f>
        <v>#VALUE!</v>
      </c>
      <c r="E1115" s="83"/>
      <c r="F1115" s="83"/>
      <c r="G1115" s="88"/>
      <c r="H1115" s="83" t="str">
        <f>_xlfn.XLOOKUP(Tabela1[[#This Row],[Matrícula]],Equipe!B:B,Equipe!E:E,"ERRO",0)</f>
        <v>ERRO</v>
      </c>
      <c r="I1115" s="83" t="e">
        <f>VLOOKUP(Tabela1[[#This Row],[Matrícula]],Equipe!B:F,5,0)</f>
        <v>#N/A</v>
      </c>
    </row>
    <row r="1116" spans="1:9">
      <c r="A1116" s="83"/>
      <c r="B1116" s="83">
        <f>_xlfn.XLOOKUP(A1116,Equipe!H:H,Equipe!B:B,"",0)</f>
        <v>0</v>
      </c>
      <c r="C1116" s="154"/>
      <c r="D1116" s="150" t="e">
        <f>(IF(Tabela1[[#This Row],[Início]]&lt;&gt;"",C1116+E1116-1,""))*1</f>
        <v>#VALUE!</v>
      </c>
      <c r="E1116" s="83"/>
      <c r="F1116" s="83"/>
      <c r="G1116" s="88"/>
      <c r="H1116" s="83" t="str">
        <f>_xlfn.XLOOKUP(Tabela1[[#This Row],[Matrícula]],Equipe!B:B,Equipe!E:E,"ERRO",0)</f>
        <v>ERRO</v>
      </c>
      <c r="I1116" s="83" t="e">
        <f>VLOOKUP(Tabela1[[#This Row],[Matrícula]],Equipe!B:F,5,0)</f>
        <v>#N/A</v>
      </c>
    </row>
    <row r="1117" spans="1:9">
      <c r="A1117" s="83"/>
      <c r="B1117" s="83">
        <f>_xlfn.XLOOKUP(A1117,Equipe!H:H,Equipe!B:B,"",0)</f>
        <v>0</v>
      </c>
      <c r="C1117" s="154"/>
      <c r="D1117" s="150" t="e">
        <f>(IF(Tabela1[[#This Row],[Início]]&lt;&gt;"",C1117+E1117-1,""))*1</f>
        <v>#VALUE!</v>
      </c>
      <c r="E1117" s="83"/>
      <c r="F1117" s="83"/>
      <c r="G1117" s="88"/>
      <c r="H1117" s="83" t="str">
        <f>_xlfn.XLOOKUP(Tabela1[[#This Row],[Matrícula]],Equipe!B:B,Equipe!E:E,"ERRO",0)</f>
        <v>ERRO</v>
      </c>
      <c r="I1117" s="83" t="e">
        <f>VLOOKUP(Tabela1[[#This Row],[Matrícula]],Equipe!B:F,5,0)</f>
        <v>#N/A</v>
      </c>
    </row>
    <row r="1118" spans="1:9">
      <c r="A1118" s="83"/>
      <c r="B1118" s="83">
        <f>_xlfn.XLOOKUP(A1118,Equipe!H:H,Equipe!B:B,"",0)</f>
        <v>0</v>
      </c>
      <c r="C1118" s="154"/>
      <c r="D1118" s="150" t="e">
        <f>(IF(Tabela1[[#This Row],[Início]]&lt;&gt;"",C1118+E1118-1,""))*1</f>
        <v>#VALUE!</v>
      </c>
      <c r="E1118" s="83"/>
      <c r="F1118" s="83"/>
      <c r="G1118" s="88"/>
      <c r="H1118" s="83" t="str">
        <f>_xlfn.XLOOKUP(Tabela1[[#This Row],[Matrícula]],Equipe!B:B,Equipe!E:E,"ERRO",0)</f>
        <v>ERRO</v>
      </c>
      <c r="I1118" s="83" t="e">
        <f>VLOOKUP(Tabela1[[#This Row],[Matrícula]],Equipe!B:F,5,0)</f>
        <v>#N/A</v>
      </c>
    </row>
    <row r="1119" spans="1:9">
      <c r="A1119" s="83"/>
      <c r="B1119" s="83">
        <f>_xlfn.XLOOKUP(A1119,Equipe!H:H,Equipe!B:B,"",0)</f>
        <v>0</v>
      </c>
      <c r="C1119" s="154"/>
      <c r="D1119" s="150" t="e">
        <f>(IF(Tabela1[[#This Row],[Início]]&lt;&gt;"",C1119+E1119-1,""))*1</f>
        <v>#VALUE!</v>
      </c>
      <c r="E1119" s="83"/>
      <c r="F1119" s="83"/>
      <c r="G1119" s="88"/>
      <c r="H1119" s="83" t="str">
        <f>_xlfn.XLOOKUP(Tabela1[[#This Row],[Matrícula]],Equipe!B:B,Equipe!E:E,"ERRO",0)</f>
        <v>ERRO</v>
      </c>
      <c r="I1119" s="83" t="e">
        <f>VLOOKUP(Tabela1[[#This Row],[Matrícula]],Equipe!B:F,5,0)</f>
        <v>#N/A</v>
      </c>
    </row>
    <row r="1120" spans="1:9">
      <c r="A1120" s="83"/>
      <c r="B1120" s="83">
        <f>_xlfn.XLOOKUP(A1120,Equipe!H:H,Equipe!B:B,"",0)</f>
        <v>0</v>
      </c>
      <c r="C1120" s="154"/>
      <c r="D1120" s="150" t="e">
        <f>(IF(Tabela1[[#This Row],[Início]]&lt;&gt;"",C1120+E1120-1,""))*1</f>
        <v>#VALUE!</v>
      </c>
      <c r="E1120" s="83"/>
      <c r="F1120" s="83"/>
      <c r="G1120" s="88"/>
      <c r="H1120" s="83" t="str">
        <f>_xlfn.XLOOKUP(Tabela1[[#This Row],[Matrícula]],Equipe!B:B,Equipe!E:E,"ERRO",0)</f>
        <v>ERRO</v>
      </c>
      <c r="I1120" s="83" t="e">
        <f>VLOOKUP(Tabela1[[#This Row],[Matrícula]],Equipe!B:F,5,0)</f>
        <v>#N/A</v>
      </c>
    </row>
    <row r="1121" spans="1:9">
      <c r="A1121" s="83"/>
      <c r="B1121" s="83">
        <f>_xlfn.XLOOKUP(A1121,Equipe!H:H,Equipe!B:B,"",0)</f>
        <v>0</v>
      </c>
      <c r="C1121" s="154"/>
      <c r="D1121" s="150" t="e">
        <f>(IF(Tabela1[[#This Row],[Início]]&lt;&gt;"",C1121+E1121-1,""))*1</f>
        <v>#VALUE!</v>
      </c>
      <c r="E1121" s="83"/>
      <c r="F1121" s="83"/>
      <c r="G1121" s="88"/>
      <c r="H1121" s="83" t="str">
        <f>_xlfn.XLOOKUP(Tabela1[[#This Row],[Matrícula]],Equipe!B:B,Equipe!E:E,"ERRO",0)</f>
        <v>ERRO</v>
      </c>
      <c r="I1121" s="83" t="e">
        <f>VLOOKUP(Tabela1[[#This Row],[Matrícula]],Equipe!B:F,5,0)</f>
        <v>#N/A</v>
      </c>
    </row>
    <row r="1122" spans="1:9">
      <c r="A1122" s="83"/>
      <c r="B1122" s="83">
        <f>_xlfn.XLOOKUP(A1122,Equipe!H:H,Equipe!B:B,"",0)</f>
        <v>0</v>
      </c>
      <c r="C1122" s="154"/>
      <c r="D1122" s="150" t="e">
        <f>(IF(Tabela1[[#This Row],[Início]]&lt;&gt;"",C1122+E1122-1,""))*1</f>
        <v>#VALUE!</v>
      </c>
      <c r="E1122" s="83"/>
      <c r="F1122" s="83"/>
      <c r="G1122" s="88"/>
      <c r="H1122" s="83" t="str">
        <f>_xlfn.XLOOKUP(Tabela1[[#This Row],[Matrícula]],Equipe!B:B,Equipe!E:E,"ERRO",0)</f>
        <v>ERRO</v>
      </c>
      <c r="I1122" s="83" t="e">
        <f>VLOOKUP(Tabela1[[#This Row],[Matrícula]],Equipe!B:F,5,0)</f>
        <v>#N/A</v>
      </c>
    </row>
    <row r="1123" spans="1:9">
      <c r="A1123" s="83"/>
      <c r="B1123" s="83">
        <f>_xlfn.XLOOKUP(A1123,Equipe!H:H,Equipe!B:B,"",0)</f>
        <v>0</v>
      </c>
      <c r="C1123" s="154"/>
      <c r="D1123" s="150" t="e">
        <f>(IF(Tabela1[[#This Row],[Início]]&lt;&gt;"",C1123+E1123-1,""))*1</f>
        <v>#VALUE!</v>
      </c>
      <c r="E1123" s="83"/>
      <c r="F1123" s="83"/>
      <c r="G1123" s="88"/>
      <c r="H1123" s="83" t="str">
        <f>_xlfn.XLOOKUP(Tabela1[[#This Row],[Matrícula]],Equipe!B:B,Equipe!E:E,"ERRO",0)</f>
        <v>ERRO</v>
      </c>
      <c r="I1123" s="83" t="e">
        <f>VLOOKUP(Tabela1[[#This Row],[Matrícula]],Equipe!B:F,5,0)</f>
        <v>#N/A</v>
      </c>
    </row>
    <row r="1124" spans="1:9">
      <c r="A1124" s="83"/>
      <c r="B1124" s="83">
        <f>_xlfn.XLOOKUP(A1124,Equipe!H:H,Equipe!B:B,"",0)</f>
        <v>0</v>
      </c>
      <c r="C1124" s="154"/>
      <c r="D1124" s="150" t="e">
        <f>(IF(Tabela1[[#This Row],[Início]]&lt;&gt;"",C1124+E1124-1,""))*1</f>
        <v>#VALUE!</v>
      </c>
      <c r="E1124" s="83"/>
      <c r="F1124" s="83"/>
      <c r="G1124" s="88"/>
      <c r="H1124" s="83" t="str">
        <f>_xlfn.XLOOKUP(Tabela1[[#This Row],[Matrícula]],Equipe!B:B,Equipe!E:E,"ERRO",0)</f>
        <v>ERRO</v>
      </c>
      <c r="I1124" s="83" t="e">
        <f>VLOOKUP(Tabela1[[#This Row],[Matrícula]],Equipe!B:F,5,0)</f>
        <v>#N/A</v>
      </c>
    </row>
    <row r="1125" spans="1:9">
      <c r="A1125" s="83"/>
      <c r="B1125" s="83">
        <f>_xlfn.XLOOKUP(A1125,Equipe!H:H,Equipe!B:B,"",0)</f>
        <v>0</v>
      </c>
      <c r="C1125" s="154"/>
      <c r="D1125" s="150" t="e">
        <f>(IF(Tabela1[[#This Row],[Início]]&lt;&gt;"",C1125+E1125-1,""))*1</f>
        <v>#VALUE!</v>
      </c>
      <c r="E1125" s="83"/>
      <c r="F1125" s="83"/>
      <c r="G1125" s="88"/>
      <c r="H1125" s="83" t="str">
        <f>_xlfn.XLOOKUP(Tabela1[[#This Row],[Matrícula]],Equipe!B:B,Equipe!E:E,"ERRO",0)</f>
        <v>ERRO</v>
      </c>
      <c r="I1125" s="83" t="e">
        <f>VLOOKUP(Tabela1[[#This Row],[Matrícula]],Equipe!B:F,5,0)</f>
        <v>#N/A</v>
      </c>
    </row>
    <row r="1126" spans="1:9">
      <c r="A1126" s="83"/>
      <c r="B1126" s="83">
        <f>_xlfn.XLOOKUP(A1126,Equipe!H:H,Equipe!B:B,"",0)</f>
        <v>0</v>
      </c>
      <c r="C1126" s="154"/>
      <c r="D1126" s="150" t="e">
        <f>(IF(Tabela1[[#This Row],[Início]]&lt;&gt;"",C1126+E1126-1,""))*1</f>
        <v>#VALUE!</v>
      </c>
      <c r="E1126" s="83"/>
      <c r="F1126" s="83"/>
      <c r="G1126" s="88"/>
      <c r="H1126" s="83" t="str">
        <f>_xlfn.XLOOKUP(Tabela1[[#This Row],[Matrícula]],Equipe!B:B,Equipe!E:E,"ERRO",0)</f>
        <v>ERRO</v>
      </c>
      <c r="I1126" s="83" t="e">
        <f>VLOOKUP(Tabela1[[#This Row],[Matrícula]],Equipe!B:F,5,0)</f>
        <v>#N/A</v>
      </c>
    </row>
    <row r="1127" spans="1:9">
      <c r="A1127" s="83"/>
      <c r="B1127" s="83">
        <f>_xlfn.XLOOKUP(A1127,Equipe!H:H,Equipe!B:B,"",0)</f>
        <v>0</v>
      </c>
      <c r="C1127" s="154"/>
      <c r="D1127" s="150" t="e">
        <f>(IF(Tabela1[[#This Row],[Início]]&lt;&gt;"",C1127+E1127-1,""))*1</f>
        <v>#VALUE!</v>
      </c>
      <c r="E1127" s="83"/>
      <c r="F1127" s="83"/>
      <c r="G1127" s="88"/>
      <c r="H1127" s="83" t="str">
        <f>_xlfn.XLOOKUP(Tabela1[[#This Row],[Matrícula]],Equipe!B:B,Equipe!E:E,"ERRO",0)</f>
        <v>ERRO</v>
      </c>
      <c r="I1127" s="83" t="e">
        <f>VLOOKUP(Tabela1[[#This Row],[Matrícula]],Equipe!B:F,5,0)</f>
        <v>#N/A</v>
      </c>
    </row>
    <row r="1128" spans="1:9">
      <c r="A1128" s="83"/>
      <c r="B1128" s="83">
        <f>_xlfn.XLOOKUP(A1128,Equipe!H:H,Equipe!B:B,"",0)</f>
        <v>0</v>
      </c>
      <c r="C1128" s="154"/>
      <c r="D1128" s="150" t="e">
        <f>(IF(Tabela1[[#This Row],[Início]]&lt;&gt;"",C1128+E1128-1,""))*1</f>
        <v>#VALUE!</v>
      </c>
      <c r="E1128" s="83"/>
      <c r="F1128" s="83"/>
      <c r="G1128" s="88"/>
      <c r="H1128" s="83" t="str">
        <f>_xlfn.XLOOKUP(Tabela1[[#This Row],[Matrícula]],Equipe!B:B,Equipe!E:E,"ERRO",0)</f>
        <v>ERRO</v>
      </c>
      <c r="I1128" s="83" t="e">
        <f>VLOOKUP(Tabela1[[#This Row],[Matrícula]],Equipe!B:F,5,0)</f>
        <v>#N/A</v>
      </c>
    </row>
    <row r="1129" spans="1:9">
      <c r="A1129" s="83"/>
      <c r="B1129" s="83">
        <f>_xlfn.XLOOKUP(A1129,Equipe!H:H,Equipe!B:B,"",0)</f>
        <v>0</v>
      </c>
      <c r="C1129" s="154"/>
      <c r="D1129" s="150" t="e">
        <f>(IF(Tabela1[[#This Row],[Início]]&lt;&gt;"",C1129+E1129-1,""))*1</f>
        <v>#VALUE!</v>
      </c>
      <c r="E1129" s="83"/>
      <c r="F1129" s="83"/>
      <c r="G1129" s="88"/>
      <c r="H1129" s="83" t="str">
        <f>_xlfn.XLOOKUP(Tabela1[[#This Row],[Matrícula]],Equipe!B:B,Equipe!E:E,"ERRO",0)</f>
        <v>ERRO</v>
      </c>
      <c r="I1129" s="83" t="e">
        <f>VLOOKUP(Tabela1[[#This Row],[Matrícula]],Equipe!B:F,5,0)</f>
        <v>#N/A</v>
      </c>
    </row>
    <row r="1130" spans="1:9">
      <c r="A1130" s="83"/>
      <c r="B1130" s="83">
        <f>_xlfn.XLOOKUP(A1130,Equipe!H:H,Equipe!B:B,"",0)</f>
        <v>0</v>
      </c>
      <c r="C1130" s="154"/>
      <c r="D1130" s="150" t="e">
        <f>(IF(Tabela1[[#This Row],[Início]]&lt;&gt;"",C1130+E1130-1,""))*1</f>
        <v>#VALUE!</v>
      </c>
      <c r="E1130" s="83"/>
      <c r="F1130" s="83"/>
      <c r="G1130" s="88"/>
      <c r="H1130" s="83" t="str">
        <f>_xlfn.XLOOKUP(Tabela1[[#This Row],[Matrícula]],Equipe!B:B,Equipe!E:E,"ERRO",0)</f>
        <v>ERRO</v>
      </c>
      <c r="I1130" s="83" t="e">
        <f>VLOOKUP(Tabela1[[#This Row],[Matrícula]],Equipe!B:F,5,0)</f>
        <v>#N/A</v>
      </c>
    </row>
    <row r="1131" spans="1:9">
      <c r="A1131" s="83"/>
      <c r="B1131" s="83">
        <f>_xlfn.XLOOKUP(A1131,Equipe!H:H,Equipe!B:B,"",0)</f>
        <v>0</v>
      </c>
      <c r="C1131" s="154"/>
      <c r="D1131" s="150" t="e">
        <f>(IF(Tabela1[[#This Row],[Início]]&lt;&gt;"",C1131+E1131-1,""))*1</f>
        <v>#VALUE!</v>
      </c>
      <c r="E1131" s="83"/>
      <c r="F1131" s="83"/>
      <c r="G1131" s="88"/>
      <c r="H1131" s="83" t="str">
        <f>_xlfn.XLOOKUP(Tabela1[[#This Row],[Matrícula]],Equipe!B:B,Equipe!E:E,"ERRO",0)</f>
        <v>ERRO</v>
      </c>
      <c r="I1131" s="83" t="e">
        <f>VLOOKUP(Tabela1[[#This Row],[Matrícula]],Equipe!B:F,5,0)</f>
        <v>#N/A</v>
      </c>
    </row>
    <row r="1132" spans="1:9">
      <c r="A1132" s="83"/>
      <c r="B1132" s="83">
        <f>_xlfn.XLOOKUP(A1132,Equipe!H:H,Equipe!B:B,"",0)</f>
        <v>0</v>
      </c>
      <c r="C1132" s="154"/>
      <c r="D1132" s="150" t="e">
        <f>(IF(Tabela1[[#This Row],[Início]]&lt;&gt;"",C1132+E1132-1,""))*1</f>
        <v>#VALUE!</v>
      </c>
      <c r="E1132" s="83"/>
      <c r="F1132" s="83"/>
      <c r="G1132" s="88"/>
      <c r="H1132" s="83" t="str">
        <f>_xlfn.XLOOKUP(Tabela1[[#This Row],[Matrícula]],Equipe!B:B,Equipe!E:E,"ERRO",0)</f>
        <v>ERRO</v>
      </c>
      <c r="I1132" s="83" t="e">
        <f>VLOOKUP(Tabela1[[#This Row],[Matrícula]],Equipe!B:F,5,0)</f>
        <v>#N/A</v>
      </c>
    </row>
    <row r="1133" spans="1:9">
      <c r="A1133" s="83"/>
      <c r="B1133" s="83">
        <f>_xlfn.XLOOKUP(A1133,Equipe!H:H,Equipe!B:B,"",0)</f>
        <v>0</v>
      </c>
      <c r="C1133" s="154"/>
      <c r="D1133" s="150" t="e">
        <f>(IF(Tabela1[[#This Row],[Início]]&lt;&gt;"",C1133+E1133-1,""))*1</f>
        <v>#VALUE!</v>
      </c>
      <c r="E1133" s="83"/>
      <c r="F1133" s="83"/>
      <c r="G1133" s="88"/>
      <c r="H1133" s="83" t="str">
        <f>_xlfn.XLOOKUP(Tabela1[[#This Row],[Matrícula]],Equipe!B:B,Equipe!E:E,"ERRO",0)</f>
        <v>ERRO</v>
      </c>
      <c r="I1133" s="83" t="e">
        <f>VLOOKUP(Tabela1[[#This Row],[Matrícula]],Equipe!B:F,5,0)</f>
        <v>#N/A</v>
      </c>
    </row>
    <row r="1134" spans="1:9">
      <c r="A1134" s="83"/>
      <c r="B1134" s="83">
        <f>_xlfn.XLOOKUP(A1134,Equipe!H:H,Equipe!B:B,"",0)</f>
        <v>0</v>
      </c>
      <c r="C1134" s="154"/>
      <c r="D1134" s="150" t="e">
        <f>(IF(Tabela1[[#This Row],[Início]]&lt;&gt;"",C1134+E1134-1,""))*1</f>
        <v>#VALUE!</v>
      </c>
      <c r="E1134" s="83"/>
      <c r="F1134" s="83"/>
      <c r="G1134" s="88"/>
      <c r="H1134" s="83" t="str">
        <f>_xlfn.XLOOKUP(Tabela1[[#This Row],[Matrícula]],Equipe!B:B,Equipe!E:E,"ERRO",0)</f>
        <v>ERRO</v>
      </c>
      <c r="I1134" s="83" t="e">
        <f>VLOOKUP(Tabela1[[#This Row],[Matrícula]],Equipe!B:F,5,0)</f>
        <v>#N/A</v>
      </c>
    </row>
    <row r="1135" spans="1:9">
      <c r="A1135" s="83"/>
      <c r="B1135" s="83">
        <f>_xlfn.XLOOKUP(A1135,Equipe!H:H,Equipe!B:B,"",0)</f>
        <v>0</v>
      </c>
      <c r="C1135" s="154"/>
      <c r="D1135" s="150" t="e">
        <f>(IF(Tabela1[[#This Row],[Início]]&lt;&gt;"",C1135+E1135-1,""))*1</f>
        <v>#VALUE!</v>
      </c>
      <c r="E1135" s="83"/>
      <c r="F1135" s="83"/>
      <c r="G1135" s="88"/>
      <c r="H1135" s="83" t="str">
        <f>_xlfn.XLOOKUP(Tabela1[[#This Row],[Matrícula]],Equipe!B:B,Equipe!E:E,"ERRO",0)</f>
        <v>ERRO</v>
      </c>
      <c r="I1135" s="83" t="e">
        <f>VLOOKUP(Tabela1[[#This Row],[Matrícula]],Equipe!B:F,5,0)</f>
        <v>#N/A</v>
      </c>
    </row>
    <row r="1136" spans="1:9">
      <c r="A1136" s="83"/>
      <c r="B1136" s="83">
        <f>_xlfn.XLOOKUP(A1136,Equipe!H:H,Equipe!B:B,"",0)</f>
        <v>0</v>
      </c>
      <c r="C1136" s="154"/>
      <c r="D1136" s="150" t="e">
        <f>(IF(Tabela1[[#This Row],[Início]]&lt;&gt;"",C1136+E1136-1,""))*1</f>
        <v>#VALUE!</v>
      </c>
      <c r="E1136" s="83"/>
      <c r="F1136" s="83"/>
      <c r="G1136" s="88"/>
      <c r="H1136" s="83" t="str">
        <f>_xlfn.XLOOKUP(Tabela1[[#This Row],[Matrícula]],Equipe!B:B,Equipe!E:E,"ERRO",0)</f>
        <v>ERRO</v>
      </c>
      <c r="I1136" s="83" t="e">
        <f>VLOOKUP(Tabela1[[#This Row],[Matrícula]],Equipe!B:F,5,0)</f>
        <v>#N/A</v>
      </c>
    </row>
    <row r="1137" spans="1:9">
      <c r="A1137" s="83"/>
      <c r="B1137" s="83">
        <f>_xlfn.XLOOKUP(A1137,Equipe!H:H,Equipe!B:B,"",0)</f>
        <v>0</v>
      </c>
      <c r="C1137" s="154"/>
      <c r="D1137" s="150" t="e">
        <f>(IF(Tabela1[[#This Row],[Início]]&lt;&gt;"",C1137+E1137-1,""))*1</f>
        <v>#VALUE!</v>
      </c>
      <c r="E1137" s="83"/>
      <c r="F1137" s="83"/>
      <c r="G1137" s="88"/>
      <c r="H1137" s="83" t="str">
        <f>_xlfn.XLOOKUP(Tabela1[[#This Row],[Matrícula]],Equipe!B:B,Equipe!E:E,"ERRO",0)</f>
        <v>ERRO</v>
      </c>
      <c r="I1137" s="83" t="e">
        <f>VLOOKUP(Tabela1[[#This Row],[Matrícula]],Equipe!B:F,5,0)</f>
        <v>#N/A</v>
      </c>
    </row>
    <row r="1138" spans="1:9">
      <c r="A1138" s="83"/>
      <c r="B1138" s="83">
        <f>_xlfn.XLOOKUP(A1138,Equipe!H:H,Equipe!B:B,"",0)</f>
        <v>0</v>
      </c>
      <c r="C1138" s="154"/>
      <c r="D1138" s="150" t="e">
        <f>(IF(Tabela1[[#This Row],[Início]]&lt;&gt;"",C1138+E1138-1,""))*1</f>
        <v>#VALUE!</v>
      </c>
      <c r="E1138" s="83"/>
      <c r="F1138" s="83"/>
      <c r="G1138" s="88"/>
      <c r="H1138" s="83" t="str">
        <f>_xlfn.XLOOKUP(Tabela1[[#This Row],[Matrícula]],Equipe!B:B,Equipe!E:E,"ERRO",0)</f>
        <v>ERRO</v>
      </c>
      <c r="I1138" s="83" t="e">
        <f>VLOOKUP(Tabela1[[#This Row],[Matrícula]],Equipe!B:F,5,0)</f>
        <v>#N/A</v>
      </c>
    </row>
    <row r="1139" spans="1:9">
      <c r="A1139" s="83"/>
      <c r="B1139" s="83">
        <f>_xlfn.XLOOKUP(A1139,Equipe!H:H,Equipe!B:B,"",0)</f>
        <v>0</v>
      </c>
      <c r="C1139" s="154"/>
      <c r="D1139" s="150" t="e">
        <f>(IF(Tabela1[[#This Row],[Início]]&lt;&gt;"",C1139+E1139-1,""))*1</f>
        <v>#VALUE!</v>
      </c>
      <c r="E1139" s="83"/>
      <c r="F1139" s="83"/>
      <c r="G1139" s="88"/>
      <c r="H1139" s="83" t="str">
        <f>_xlfn.XLOOKUP(Tabela1[[#This Row],[Matrícula]],Equipe!B:B,Equipe!E:E,"ERRO",0)</f>
        <v>ERRO</v>
      </c>
      <c r="I1139" s="83" t="e">
        <f>VLOOKUP(Tabela1[[#This Row],[Matrícula]],Equipe!B:F,5,0)</f>
        <v>#N/A</v>
      </c>
    </row>
    <row r="1140" spans="1:9">
      <c r="A1140" s="83"/>
      <c r="B1140" s="83">
        <f>_xlfn.XLOOKUP(A1140,Equipe!H:H,Equipe!B:B,"",0)</f>
        <v>0</v>
      </c>
      <c r="C1140" s="154"/>
      <c r="D1140" s="150" t="e">
        <f>(IF(Tabela1[[#This Row],[Início]]&lt;&gt;"",C1140+E1140-1,""))*1</f>
        <v>#VALUE!</v>
      </c>
      <c r="E1140" s="83"/>
      <c r="F1140" s="83"/>
      <c r="G1140" s="88"/>
      <c r="H1140" s="83" t="str">
        <f>_xlfn.XLOOKUP(Tabela1[[#This Row],[Matrícula]],Equipe!B:B,Equipe!E:E,"ERRO",0)</f>
        <v>ERRO</v>
      </c>
      <c r="I1140" s="83" t="e">
        <f>VLOOKUP(Tabela1[[#This Row],[Matrícula]],Equipe!B:F,5,0)</f>
        <v>#N/A</v>
      </c>
    </row>
    <row r="1141" spans="1:9">
      <c r="A1141" s="83"/>
      <c r="B1141" s="83">
        <f>_xlfn.XLOOKUP(A1141,Equipe!H:H,Equipe!B:B,"",0)</f>
        <v>0</v>
      </c>
      <c r="C1141" s="154"/>
      <c r="D1141" s="150" t="e">
        <f>(IF(Tabela1[[#This Row],[Início]]&lt;&gt;"",C1141+E1141-1,""))*1</f>
        <v>#VALUE!</v>
      </c>
      <c r="E1141" s="83"/>
      <c r="F1141" s="83"/>
      <c r="G1141" s="88"/>
      <c r="H1141" s="83" t="str">
        <f>_xlfn.XLOOKUP(Tabela1[[#This Row],[Matrícula]],Equipe!B:B,Equipe!E:E,"ERRO",0)</f>
        <v>ERRO</v>
      </c>
      <c r="I1141" s="83" t="e">
        <f>VLOOKUP(Tabela1[[#This Row],[Matrícula]],Equipe!B:F,5,0)</f>
        <v>#N/A</v>
      </c>
    </row>
    <row r="1142" spans="1:9">
      <c r="A1142" s="83"/>
      <c r="B1142" s="83">
        <f>_xlfn.XLOOKUP(A1142,Equipe!H:H,Equipe!B:B,"",0)</f>
        <v>0</v>
      </c>
      <c r="C1142" s="154"/>
      <c r="D1142" s="150" t="e">
        <f>(IF(Tabela1[[#This Row],[Início]]&lt;&gt;"",C1142+E1142-1,""))*1</f>
        <v>#VALUE!</v>
      </c>
      <c r="E1142" s="83"/>
      <c r="F1142" s="83"/>
      <c r="G1142" s="88"/>
      <c r="H1142" s="83" t="str">
        <f>_xlfn.XLOOKUP(Tabela1[[#This Row],[Matrícula]],Equipe!B:B,Equipe!E:E,"ERRO",0)</f>
        <v>ERRO</v>
      </c>
      <c r="I1142" s="83" t="e">
        <f>VLOOKUP(Tabela1[[#This Row],[Matrícula]],Equipe!B:F,5,0)</f>
        <v>#N/A</v>
      </c>
    </row>
    <row r="1143" spans="1:9">
      <c r="A1143" s="83"/>
      <c r="B1143" s="83">
        <f>_xlfn.XLOOKUP(A1143,Equipe!H:H,Equipe!B:B,"",0)</f>
        <v>0</v>
      </c>
      <c r="C1143" s="154"/>
      <c r="D1143" s="150" t="e">
        <f>(IF(Tabela1[[#This Row],[Início]]&lt;&gt;"",C1143+E1143-1,""))*1</f>
        <v>#VALUE!</v>
      </c>
      <c r="E1143" s="83"/>
      <c r="F1143" s="83"/>
      <c r="G1143" s="88"/>
      <c r="H1143" s="83" t="str">
        <f>_xlfn.XLOOKUP(Tabela1[[#This Row],[Matrícula]],Equipe!B:B,Equipe!E:E,"ERRO",0)</f>
        <v>ERRO</v>
      </c>
      <c r="I1143" s="83" t="e">
        <f>VLOOKUP(Tabela1[[#This Row],[Matrícula]],Equipe!B:F,5,0)</f>
        <v>#N/A</v>
      </c>
    </row>
    <row r="1144" spans="1:9">
      <c r="A1144" s="83"/>
      <c r="B1144" s="83">
        <f>_xlfn.XLOOKUP(A1144,Equipe!H:H,Equipe!B:B,"",0)</f>
        <v>0</v>
      </c>
      <c r="C1144" s="154"/>
      <c r="D1144" s="150" t="e">
        <f>(IF(Tabela1[[#This Row],[Início]]&lt;&gt;"",C1144+E1144-1,""))*1</f>
        <v>#VALUE!</v>
      </c>
      <c r="E1144" s="83"/>
      <c r="F1144" s="83"/>
      <c r="G1144" s="88"/>
      <c r="H1144" s="83" t="str">
        <f>_xlfn.XLOOKUP(Tabela1[[#This Row],[Matrícula]],Equipe!B:B,Equipe!E:E,"ERRO",0)</f>
        <v>ERRO</v>
      </c>
      <c r="I1144" s="83" t="e">
        <f>VLOOKUP(Tabela1[[#This Row],[Matrícula]],Equipe!B:F,5,0)</f>
        <v>#N/A</v>
      </c>
    </row>
    <row r="1145" spans="1:9">
      <c r="A1145" s="83"/>
      <c r="B1145" s="83">
        <f>_xlfn.XLOOKUP(A1145,Equipe!H:H,Equipe!B:B,"",0)</f>
        <v>0</v>
      </c>
      <c r="C1145" s="154"/>
      <c r="D1145" s="150" t="e">
        <f>(IF(Tabela1[[#This Row],[Início]]&lt;&gt;"",C1145+E1145-1,""))*1</f>
        <v>#VALUE!</v>
      </c>
      <c r="E1145" s="83"/>
      <c r="F1145" s="83"/>
      <c r="G1145" s="88"/>
      <c r="H1145" s="83" t="str">
        <f>_xlfn.XLOOKUP(Tabela1[[#This Row],[Matrícula]],Equipe!B:B,Equipe!E:E,"ERRO",0)</f>
        <v>ERRO</v>
      </c>
      <c r="I1145" s="83" t="e">
        <f>VLOOKUP(Tabela1[[#This Row],[Matrícula]],Equipe!B:F,5,0)</f>
        <v>#N/A</v>
      </c>
    </row>
    <row r="1146" spans="1:9">
      <c r="A1146" s="83"/>
      <c r="B1146" s="83">
        <f>_xlfn.XLOOKUP(A1146,Equipe!H:H,Equipe!B:B,"",0)</f>
        <v>0</v>
      </c>
      <c r="C1146" s="154"/>
      <c r="D1146" s="150" t="e">
        <f>(IF(Tabela1[[#This Row],[Início]]&lt;&gt;"",C1146+E1146-1,""))*1</f>
        <v>#VALUE!</v>
      </c>
      <c r="E1146" s="83"/>
      <c r="F1146" s="83"/>
      <c r="G1146" s="88"/>
      <c r="H1146" s="83" t="str">
        <f>_xlfn.XLOOKUP(Tabela1[[#This Row],[Matrícula]],Equipe!B:B,Equipe!E:E,"ERRO",0)</f>
        <v>ERRO</v>
      </c>
      <c r="I1146" s="83" t="e">
        <f>VLOOKUP(Tabela1[[#This Row],[Matrícula]],Equipe!B:F,5,0)</f>
        <v>#N/A</v>
      </c>
    </row>
    <row r="1147" spans="1:9">
      <c r="A1147" s="83"/>
      <c r="B1147" s="83">
        <f>_xlfn.XLOOKUP(A1147,Equipe!H:H,Equipe!B:B,"",0)</f>
        <v>0</v>
      </c>
      <c r="C1147" s="154"/>
      <c r="D1147" s="150" t="e">
        <f>(IF(Tabela1[[#This Row],[Início]]&lt;&gt;"",C1147+E1147-1,""))*1</f>
        <v>#VALUE!</v>
      </c>
      <c r="E1147" s="83"/>
      <c r="F1147" s="83"/>
      <c r="G1147" s="88"/>
      <c r="H1147" s="83" t="str">
        <f>_xlfn.XLOOKUP(Tabela1[[#This Row],[Matrícula]],Equipe!B:B,Equipe!E:E,"ERRO",0)</f>
        <v>ERRO</v>
      </c>
      <c r="I1147" s="83" t="e">
        <f>VLOOKUP(Tabela1[[#This Row],[Matrícula]],Equipe!B:F,5,0)</f>
        <v>#N/A</v>
      </c>
    </row>
    <row r="1148" spans="1:9">
      <c r="A1148" s="83"/>
      <c r="B1148" s="83">
        <f>_xlfn.XLOOKUP(A1148,Equipe!H:H,Equipe!B:B,"",0)</f>
        <v>0</v>
      </c>
      <c r="C1148" s="154"/>
      <c r="D1148" s="150" t="e">
        <f>(IF(Tabela1[[#This Row],[Início]]&lt;&gt;"",C1148+E1148-1,""))*1</f>
        <v>#VALUE!</v>
      </c>
      <c r="E1148" s="83"/>
      <c r="F1148" s="83"/>
      <c r="G1148" s="88"/>
      <c r="H1148" s="83" t="str">
        <f>_xlfn.XLOOKUP(Tabela1[[#This Row],[Matrícula]],Equipe!B:B,Equipe!E:E,"ERRO",0)</f>
        <v>ERRO</v>
      </c>
      <c r="I1148" s="83" t="e">
        <f>VLOOKUP(Tabela1[[#This Row],[Matrícula]],Equipe!B:F,5,0)</f>
        <v>#N/A</v>
      </c>
    </row>
    <row r="1149" spans="1:9">
      <c r="A1149" s="83"/>
      <c r="B1149" s="83">
        <f>_xlfn.XLOOKUP(A1149,Equipe!H:H,Equipe!B:B,"",0)</f>
        <v>0</v>
      </c>
      <c r="C1149" s="154"/>
      <c r="D1149" s="150" t="e">
        <f>(IF(Tabela1[[#This Row],[Início]]&lt;&gt;"",C1149+E1149-1,""))*1</f>
        <v>#VALUE!</v>
      </c>
      <c r="E1149" s="83"/>
      <c r="F1149" s="83"/>
      <c r="G1149" s="88"/>
      <c r="H1149" s="83" t="str">
        <f>_xlfn.XLOOKUP(Tabela1[[#This Row],[Matrícula]],Equipe!B:B,Equipe!E:E,"ERRO",0)</f>
        <v>ERRO</v>
      </c>
      <c r="I1149" s="83" t="e">
        <f>VLOOKUP(Tabela1[[#This Row],[Matrícula]],Equipe!B:F,5,0)</f>
        <v>#N/A</v>
      </c>
    </row>
    <row r="1150" spans="1:9">
      <c r="A1150" s="83"/>
      <c r="B1150" s="83">
        <f>_xlfn.XLOOKUP(A1150,Equipe!H:H,Equipe!B:B,"",0)</f>
        <v>0</v>
      </c>
      <c r="C1150" s="154"/>
      <c r="D1150" s="150" t="e">
        <f>(IF(Tabela1[[#This Row],[Início]]&lt;&gt;"",C1150+E1150-1,""))*1</f>
        <v>#VALUE!</v>
      </c>
      <c r="E1150" s="83"/>
      <c r="F1150" s="83"/>
      <c r="G1150" s="88"/>
      <c r="H1150" s="83" t="str">
        <f>_xlfn.XLOOKUP(Tabela1[[#This Row],[Matrícula]],Equipe!B:B,Equipe!E:E,"ERRO",0)</f>
        <v>ERRO</v>
      </c>
      <c r="I1150" s="83" t="e">
        <f>VLOOKUP(Tabela1[[#This Row],[Matrícula]],Equipe!B:F,5,0)</f>
        <v>#N/A</v>
      </c>
    </row>
    <row r="1151" spans="1:9">
      <c r="A1151" s="83"/>
      <c r="B1151" s="83">
        <f>_xlfn.XLOOKUP(A1151,Equipe!H:H,Equipe!B:B,"",0)</f>
        <v>0</v>
      </c>
      <c r="C1151" s="154"/>
      <c r="D1151" s="150" t="e">
        <f>(IF(Tabela1[[#This Row],[Início]]&lt;&gt;"",C1151+E1151-1,""))*1</f>
        <v>#VALUE!</v>
      </c>
      <c r="E1151" s="83"/>
      <c r="F1151" s="83"/>
      <c r="G1151" s="88"/>
      <c r="H1151" s="83" t="str">
        <f>_xlfn.XLOOKUP(Tabela1[[#This Row],[Matrícula]],Equipe!B:B,Equipe!E:E,"ERRO",0)</f>
        <v>ERRO</v>
      </c>
      <c r="I1151" s="83" t="e">
        <f>VLOOKUP(Tabela1[[#This Row],[Matrícula]],Equipe!B:F,5,0)</f>
        <v>#N/A</v>
      </c>
    </row>
    <row r="1152" spans="1:9">
      <c r="A1152" s="83"/>
      <c r="B1152" s="83">
        <f>_xlfn.XLOOKUP(A1152,Equipe!H:H,Equipe!B:B,"",0)</f>
        <v>0</v>
      </c>
      <c r="C1152" s="154"/>
      <c r="D1152" s="150" t="e">
        <f>(IF(Tabela1[[#This Row],[Início]]&lt;&gt;"",C1152+E1152-1,""))*1</f>
        <v>#VALUE!</v>
      </c>
      <c r="E1152" s="83"/>
      <c r="F1152" s="83"/>
      <c r="G1152" s="88"/>
      <c r="H1152" s="83" t="str">
        <f>_xlfn.XLOOKUP(Tabela1[[#This Row],[Matrícula]],Equipe!B:B,Equipe!E:E,"ERRO",0)</f>
        <v>ERRO</v>
      </c>
      <c r="I1152" s="83" t="e">
        <f>VLOOKUP(Tabela1[[#This Row],[Matrícula]],Equipe!B:F,5,0)</f>
        <v>#N/A</v>
      </c>
    </row>
    <row r="1153" spans="1:9">
      <c r="A1153" s="83"/>
      <c r="B1153" s="83">
        <f>_xlfn.XLOOKUP(A1153,Equipe!H:H,Equipe!B:B,"",0)</f>
        <v>0</v>
      </c>
      <c r="C1153" s="154"/>
      <c r="D1153" s="150" t="e">
        <f>(IF(Tabela1[[#This Row],[Início]]&lt;&gt;"",C1153+E1153-1,""))*1</f>
        <v>#VALUE!</v>
      </c>
      <c r="E1153" s="83"/>
      <c r="F1153" s="83"/>
      <c r="G1153" s="88"/>
      <c r="H1153" s="83" t="str">
        <f>_xlfn.XLOOKUP(Tabela1[[#This Row],[Matrícula]],Equipe!B:B,Equipe!E:E,"ERRO",0)</f>
        <v>ERRO</v>
      </c>
      <c r="I1153" s="83" t="e">
        <f>VLOOKUP(Tabela1[[#This Row],[Matrícula]],Equipe!B:F,5,0)</f>
        <v>#N/A</v>
      </c>
    </row>
    <row r="1154" spans="1:9">
      <c r="A1154" s="83"/>
      <c r="B1154" s="83">
        <f>_xlfn.XLOOKUP(A1154,Equipe!H:H,Equipe!B:B,"",0)</f>
        <v>0</v>
      </c>
      <c r="C1154" s="154"/>
      <c r="D1154" s="150" t="e">
        <f>(IF(Tabela1[[#This Row],[Início]]&lt;&gt;"",C1154+E1154-1,""))*1</f>
        <v>#VALUE!</v>
      </c>
      <c r="E1154" s="83"/>
      <c r="F1154" s="83"/>
      <c r="G1154" s="88"/>
      <c r="H1154" s="83" t="str">
        <f>_xlfn.XLOOKUP(Tabela1[[#This Row],[Matrícula]],Equipe!B:B,Equipe!E:E,"ERRO",0)</f>
        <v>ERRO</v>
      </c>
      <c r="I1154" s="83" t="e">
        <f>VLOOKUP(Tabela1[[#This Row],[Matrícula]],Equipe!B:F,5,0)</f>
        <v>#N/A</v>
      </c>
    </row>
    <row r="1155" spans="1:9">
      <c r="A1155" s="83"/>
      <c r="B1155" s="83">
        <f>_xlfn.XLOOKUP(A1155,Equipe!H:H,Equipe!B:B,"",0)</f>
        <v>0</v>
      </c>
      <c r="C1155" s="154"/>
      <c r="D1155" s="150" t="e">
        <f>(IF(Tabela1[[#This Row],[Início]]&lt;&gt;"",C1155+E1155-1,""))*1</f>
        <v>#VALUE!</v>
      </c>
      <c r="E1155" s="83"/>
      <c r="F1155" s="83"/>
      <c r="G1155" s="88"/>
      <c r="H1155" s="83" t="str">
        <f>_xlfn.XLOOKUP(Tabela1[[#This Row],[Matrícula]],Equipe!B:B,Equipe!E:E,"ERRO",0)</f>
        <v>ERRO</v>
      </c>
      <c r="I1155" s="83" t="e">
        <f>VLOOKUP(Tabela1[[#This Row],[Matrícula]],Equipe!B:F,5,0)</f>
        <v>#N/A</v>
      </c>
    </row>
    <row r="1156" spans="1:9">
      <c r="A1156" s="83"/>
      <c r="B1156" s="83">
        <f>_xlfn.XLOOKUP(A1156,Equipe!H:H,Equipe!B:B,"",0)</f>
        <v>0</v>
      </c>
      <c r="C1156" s="154"/>
      <c r="D1156" s="150" t="e">
        <f>(IF(Tabela1[[#This Row],[Início]]&lt;&gt;"",C1156+E1156-1,""))*1</f>
        <v>#VALUE!</v>
      </c>
      <c r="E1156" s="83"/>
      <c r="F1156" s="83"/>
      <c r="G1156" s="88"/>
      <c r="H1156" s="83" t="str">
        <f>_xlfn.XLOOKUP(Tabela1[[#This Row],[Matrícula]],Equipe!B:B,Equipe!E:E,"ERRO",0)</f>
        <v>ERRO</v>
      </c>
      <c r="I1156" s="83" t="e">
        <f>VLOOKUP(Tabela1[[#This Row],[Matrícula]],Equipe!B:F,5,0)</f>
        <v>#N/A</v>
      </c>
    </row>
    <row r="1157" spans="1:9">
      <c r="A1157" s="83"/>
      <c r="B1157" s="83">
        <f>_xlfn.XLOOKUP(A1157,Equipe!H:H,Equipe!B:B,"",0)</f>
        <v>0</v>
      </c>
      <c r="C1157" s="154"/>
      <c r="D1157" s="150" t="e">
        <f>(IF(Tabela1[[#This Row],[Início]]&lt;&gt;"",C1157+E1157-1,""))*1</f>
        <v>#VALUE!</v>
      </c>
      <c r="E1157" s="83"/>
      <c r="F1157" s="83"/>
      <c r="G1157" s="88"/>
      <c r="H1157" s="83" t="str">
        <f>_xlfn.XLOOKUP(Tabela1[[#This Row],[Matrícula]],Equipe!B:B,Equipe!E:E,"ERRO",0)</f>
        <v>ERRO</v>
      </c>
      <c r="I1157" s="83" t="e">
        <f>VLOOKUP(Tabela1[[#This Row],[Matrícula]],Equipe!B:F,5,0)</f>
        <v>#N/A</v>
      </c>
    </row>
    <row r="1158" spans="1:9">
      <c r="A1158" s="83"/>
      <c r="B1158" s="83">
        <f>_xlfn.XLOOKUP(A1158,Equipe!H:H,Equipe!B:B,"",0)</f>
        <v>0</v>
      </c>
      <c r="C1158" s="154"/>
      <c r="D1158" s="150" t="e">
        <f>(IF(Tabela1[[#This Row],[Início]]&lt;&gt;"",C1158+E1158-1,""))*1</f>
        <v>#VALUE!</v>
      </c>
      <c r="E1158" s="83"/>
      <c r="F1158" s="83"/>
      <c r="G1158" s="88"/>
      <c r="H1158" s="83" t="str">
        <f>_xlfn.XLOOKUP(Tabela1[[#This Row],[Matrícula]],Equipe!B:B,Equipe!E:E,"ERRO",0)</f>
        <v>ERRO</v>
      </c>
      <c r="I1158" s="83" t="e">
        <f>VLOOKUP(Tabela1[[#This Row],[Matrícula]],Equipe!B:F,5,0)</f>
        <v>#N/A</v>
      </c>
    </row>
    <row r="1159" spans="1:9">
      <c r="A1159" s="83"/>
      <c r="B1159" s="83">
        <f>_xlfn.XLOOKUP(A1159,Equipe!H:H,Equipe!B:B,"",0)</f>
        <v>0</v>
      </c>
      <c r="C1159" s="154"/>
      <c r="D1159" s="150" t="e">
        <f>(IF(Tabela1[[#This Row],[Início]]&lt;&gt;"",C1159+E1159-1,""))*1</f>
        <v>#VALUE!</v>
      </c>
      <c r="E1159" s="83"/>
      <c r="F1159" s="83"/>
      <c r="G1159" s="88"/>
      <c r="H1159" s="83" t="str">
        <f>_xlfn.XLOOKUP(Tabela1[[#This Row],[Matrícula]],Equipe!B:B,Equipe!E:E,"ERRO",0)</f>
        <v>ERRO</v>
      </c>
      <c r="I1159" s="83" t="e">
        <f>VLOOKUP(Tabela1[[#This Row],[Matrícula]],Equipe!B:F,5,0)</f>
        <v>#N/A</v>
      </c>
    </row>
    <row r="1160" spans="1:9">
      <c r="A1160" s="83"/>
      <c r="B1160" s="83">
        <f>_xlfn.XLOOKUP(A1160,Equipe!H:H,Equipe!B:B,"",0)</f>
        <v>0</v>
      </c>
      <c r="C1160" s="154"/>
      <c r="D1160" s="150" t="e">
        <f>(IF(Tabela1[[#This Row],[Início]]&lt;&gt;"",C1160+E1160-1,""))*1</f>
        <v>#VALUE!</v>
      </c>
      <c r="E1160" s="83"/>
      <c r="F1160" s="83"/>
      <c r="G1160" s="88"/>
      <c r="H1160" s="83" t="str">
        <f>_xlfn.XLOOKUP(Tabela1[[#This Row],[Matrícula]],Equipe!B:B,Equipe!E:E,"ERRO",0)</f>
        <v>ERRO</v>
      </c>
      <c r="I1160" s="83" t="e">
        <f>VLOOKUP(Tabela1[[#This Row],[Matrícula]],Equipe!B:F,5,0)</f>
        <v>#N/A</v>
      </c>
    </row>
    <row r="1161" spans="1:9">
      <c r="A1161" s="83"/>
      <c r="B1161" s="83">
        <f>_xlfn.XLOOKUP(A1161,Equipe!H:H,Equipe!B:B,"",0)</f>
        <v>0</v>
      </c>
      <c r="C1161" s="154"/>
      <c r="D1161" s="150" t="e">
        <f>(IF(Tabela1[[#This Row],[Início]]&lt;&gt;"",C1161+E1161-1,""))*1</f>
        <v>#VALUE!</v>
      </c>
      <c r="E1161" s="83"/>
      <c r="F1161" s="83"/>
      <c r="G1161" s="88"/>
      <c r="H1161" s="83" t="str">
        <f>_xlfn.XLOOKUP(Tabela1[[#This Row],[Matrícula]],Equipe!B:B,Equipe!E:E,"ERRO",0)</f>
        <v>ERRO</v>
      </c>
      <c r="I1161" s="83" t="e">
        <f>VLOOKUP(Tabela1[[#This Row],[Matrícula]],Equipe!B:F,5,0)</f>
        <v>#N/A</v>
      </c>
    </row>
    <row r="1162" spans="1:9">
      <c r="A1162" s="83"/>
      <c r="B1162" s="83">
        <f>_xlfn.XLOOKUP(A1162,Equipe!H:H,Equipe!B:B,"",0)</f>
        <v>0</v>
      </c>
      <c r="C1162" s="154"/>
      <c r="D1162" s="150" t="e">
        <f>(IF(Tabela1[[#This Row],[Início]]&lt;&gt;"",C1162+E1162-1,""))*1</f>
        <v>#VALUE!</v>
      </c>
      <c r="E1162" s="83"/>
      <c r="F1162" s="83"/>
      <c r="G1162" s="88"/>
      <c r="H1162" s="83" t="str">
        <f>_xlfn.XLOOKUP(Tabela1[[#This Row],[Matrícula]],Equipe!B:B,Equipe!E:E,"ERRO",0)</f>
        <v>ERRO</v>
      </c>
      <c r="I1162" s="83" t="e">
        <f>VLOOKUP(Tabela1[[#This Row],[Matrícula]],Equipe!B:F,5,0)</f>
        <v>#N/A</v>
      </c>
    </row>
    <row r="1163" spans="1:9">
      <c r="A1163" s="83"/>
      <c r="B1163" s="83">
        <f>_xlfn.XLOOKUP(A1163,Equipe!H:H,Equipe!B:B,"",0)</f>
        <v>0</v>
      </c>
      <c r="C1163" s="154"/>
      <c r="D1163" s="150" t="e">
        <f>(IF(Tabela1[[#This Row],[Início]]&lt;&gt;"",C1163+E1163-1,""))*1</f>
        <v>#VALUE!</v>
      </c>
      <c r="E1163" s="83"/>
      <c r="F1163" s="83"/>
      <c r="G1163" s="88"/>
      <c r="H1163" s="83" t="str">
        <f>_xlfn.XLOOKUP(Tabela1[[#This Row],[Matrícula]],Equipe!B:B,Equipe!E:E,"ERRO",0)</f>
        <v>ERRO</v>
      </c>
      <c r="I1163" s="83" t="e">
        <f>VLOOKUP(Tabela1[[#This Row],[Matrícula]],Equipe!B:F,5,0)</f>
        <v>#N/A</v>
      </c>
    </row>
    <row r="1164" spans="1:9">
      <c r="A1164" s="83"/>
      <c r="B1164" s="83">
        <f>_xlfn.XLOOKUP(A1164,Equipe!H:H,Equipe!B:B,"",0)</f>
        <v>0</v>
      </c>
      <c r="C1164" s="154"/>
      <c r="D1164" s="150" t="e">
        <f>(IF(Tabela1[[#This Row],[Início]]&lt;&gt;"",C1164+E1164-1,""))*1</f>
        <v>#VALUE!</v>
      </c>
      <c r="E1164" s="83"/>
      <c r="F1164" s="83"/>
      <c r="G1164" s="88"/>
      <c r="H1164" s="83" t="str">
        <f>_xlfn.XLOOKUP(Tabela1[[#This Row],[Matrícula]],Equipe!B:B,Equipe!E:E,"ERRO",0)</f>
        <v>ERRO</v>
      </c>
      <c r="I1164" s="83" t="e">
        <f>VLOOKUP(Tabela1[[#This Row],[Matrícula]],Equipe!B:F,5,0)</f>
        <v>#N/A</v>
      </c>
    </row>
    <row r="1165" spans="1:9">
      <c r="A1165" s="83"/>
      <c r="B1165" s="83">
        <f>_xlfn.XLOOKUP(A1165,Equipe!H:H,Equipe!B:B,"",0)</f>
        <v>0</v>
      </c>
      <c r="C1165" s="154"/>
      <c r="D1165" s="150" t="e">
        <f>(IF(Tabela1[[#This Row],[Início]]&lt;&gt;"",C1165+E1165-1,""))*1</f>
        <v>#VALUE!</v>
      </c>
      <c r="E1165" s="83"/>
      <c r="F1165" s="83"/>
      <c r="G1165" s="88"/>
      <c r="H1165" s="83" t="str">
        <f>_xlfn.XLOOKUP(Tabela1[[#This Row],[Matrícula]],Equipe!B:B,Equipe!E:E,"ERRO",0)</f>
        <v>ERRO</v>
      </c>
      <c r="I1165" s="83" t="e">
        <f>VLOOKUP(Tabela1[[#This Row],[Matrícula]],Equipe!B:F,5,0)</f>
        <v>#N/A</v>
      </c>
    </row>
    <row r="1166" spans="1:9">
      <c r="A1166" s="83"/>
      <c r="B1166" s="83">
        <f>_xlfn.XLOOKUP(A1166,Equipe!H:H,Equipe!B:B,"",0)</f>
        <v>0</v>
      </c>
      <c r="C1166" s="154"/>
      <c r="D1166" s="150" t="e">
        <f>(IF(Tabela1[[#This Row],[Início]]&lt;&gt;"",C1166+E1166-1,""))*1</f>
        <v>#VALUE!</v>
      </c>
      <c r="E1166" s="83"/>
      <c r="F1166" s="83"/>
      <c r="G1166" s="88"/>
      <c r="H1166" s="83" t="str">
        <f>_xlfn.XLOOKUP(Tabela1[[#This Row],[Matrícula]],Equipe!B:B,Equipe!E:E,"ERRO",0)</f>
        <v>ERRO</v>
      </c>
      <c r="I1166" s="83" t="e">
        <f>VLOOKUP(Tabela1[[#This Row],[Matrícula]],Equipe!B:F,5,0)</f>
        <v>#N/A</v>
      </c>
    </row>
    <row r="1167" spans="1:9">
      <c r="A1167" s="83"/>
      <c r="B1167" s="83">
        <f>_xlfn.XLOOKUP(A1167,Equipe!H:H,Equipe!B:B,"",0)</f>
        <v>0</v>
      </c>
      <c r="C1167" s="154"/>
      <c r="D1167" s="150" t="e">
        <f>(IF(Tabela1[[#This Row],[Início]]&lt;&gt;"",C1167+E1167-1,""))*1</f>
        <v>#VALUE!</v>
      </c>
      <c r="E1167" s="83"/>
      <c r="F1167" s="83"/>
      <c r="G1167" s="88"/>
      <c r="H1167" s="83" t="str">
        <f>_xlfn.XLOOKUP(Tabela1[[#This Row],[Matrícula]],Equipe!B:B,Equipe!E:E,"ERRO",0)</f>
        <v>ERRO</v>
      </c>
      <c r="I1167" s="83" t="e">
        <f>VLOOKUP(Tabela1[[#This Row],[Matrícula]],Equipe!B:F,5,0)</f>
        <v>#N/A</v>
      </c>
    </row>
    <row r="1168" spans="1:9">
      <c r="A1168" s="83"/>
      <c r="B1168" s="83">
        <f>_xlfn.XLOOKUP(A1168,Equipe!H:H,Equipe!B:B,"",0)</f>
        <v>0</v>
      </c>
      <c r="C1168" s="154"/>
      <c r="D1168" s="150" t="e">
        <f>(IF(Tabela1[[#This Row],[Início]]&lt;&gt;"",C1168+E1168-1,""))*1</f>
        <v>#VALUE!</v>
      </c>
      <c r="E1168" s="83"/>
      <c r="F1168" s="83"/>
      <c r="G1168" s="88"/>
      <c r="H1168" s="83" t="str">
        <f>_xlfn.XLOOKUP(Tabela1[[#This Row],[Matrícula]],Equipe!B:B,Equipe!E:E,"ERRO",0)</f>
        <v>ERRO</v>
      </c>
      <c r="I1168" s="83" t="e">
        <f>VLOOKUP(Tabela1[[#This Row],[Matrícula]],Equipe!B:F,5,0)</f>
        <v>#N/A</v>
      </c>
    </row>
    <row r="1169" spans="1:9">
      <c r="A1169" s="83"/>
      <c r="B1169" s="83">
        <f>_xlfn.XLOOKUP(A1169,Equipe!H:H,Equipe!B:B,"",0)</f>
        <v>0</v>
      </c>
      <c r="C1169" s="154"/>
      <c r="D1169" s="150" t="e">
        <f>(IF(Tabela1[[#This Row],[Início]]&lt;&gt;"",C1169+E1169-1,""))*1</f>
        <v>#VALUE!</v>
      </c>
      <c r="E1169" s="83"/>
      <c r="F1169" s="83"/>
      <c r="G1169" s="88"/>
      <c r="H1169" s="83" t="str">
        <f>_xlfn.XLOOKUP(Tabela1[[#This Row],[Matrícula]],Equipe!B:B,Equipe!E:E,"ERRO",0)</f>
        <v>ERRO</v>
      </c>
      <c r="I1169" s="83" t="e">
        <f>VLOOKUP(Tabela1[[#This Row],[Matrícula]],Equipe!B:F,5,0)</f>
        <v>#N/A</v>
      </c>
    </row>
    <row r="1170" spans="1:9">
      <c r="A1170" s="83"/>
      <c r="B1170" s="83">
        <f>_xlfn.XLOOKUP(A1170,Equipe!H:H,Equipe!B:B,"",0)</f>
        <v>0</v>
      </c>
      <c r="C1170" s="154"/>
      <c r="D1170" s="150" t="e">
        <f>(IF(Tabela1[[#This Row],[Início]]&lt;&gt;"",C1170+E1170-1,""))*1</f>
        <v>#VALUE!</v>
      </c>
      <c r="E1170" s="83"/>
      <c r="F1170" s="83"/>
      <c r="G1170" s="88"/>
      <c r="H1170" s="83" t="str">
        <f>_xlfn.XLOOKUP(Tabela1[[#This Row],[Matrícula]],Equipe!B:B,Equipe!E:E,"ERRO",0)</f>
        <v>ERRO</v>
      </c>
      <c r="I1170" s="83" t="e">
        <f>VLOOKUP(Tabela1[[#This Row],[Matrícula]],Equipe!B:F,5,0)</f>
        <v>#N/A</v>
      </c>
    </row>
    <row r="1171" spans="1:9">
      <c r="A1171" s="83"/>
      <c r="B1171" s="83">
        <f>_xlfn.XLOOKUP(A1171,Equipe!H:H,Equipe!B:B,"",0)</f>
        <v>0</v>
      </c>
      <c r="C1171" s="154"/>
      <c r="D1171" s="150" t="e">
        <f>(IF(Tabela1[[#This Row],[Início]]&lt;&gt;"",C1171+E1171-1,""))*1</f>
        <v>#VALUE!</v>
      </c>
      <c r="E1171" s="83"/>
      <c r="F1171" s="83"/>
      <c r="G1171" s="88"/>
      <c r="H1171" s="83" t="str">
        <f>_xlfn.XLOOKUP(Tabela1[[#This Row],[Matrícula]],Equipe!B:B,Equipe!E:E,"ERRO",0)</f>
        <v>ERRO</v>
      </c>
      <c r="I1171" s="83" t="e">
        <f>VLOOKUP(Tabela1[[#This Row],[Matrícula]],Equipe!B:F,5,0)</f>
        <v>#N/A</v>
      </c>
    </row>
    <row r="1172" spans="1:9">
      <c r="A1172" s="83"/>
      <c r="B1172" s="83">
        <f>_xlfn.XLOOKUP(A1172,Equipe!H:H,Equipe!B:B,"",0)</f>
        <v>0</v>
      </c>
      <c r="C1172" s="154"/>
      <c r="D1172" s="150" t="e">
        <f>(IF(Tabela1[[#This Row],[Início]]&lt;&gt;"",C1172+E1172-1,""))*1</f>
        <v>#VALUE!</v>
      </c>
      <c r="E1172" s="83"/>
      <c r="F1172" s="83"/>
      <c r="G1172" s="88"/>
      <c r="H1172" s="83" t="str">
        <f>_xlfn.XLOOKUP(Tabela1[[#This Row],[Matrícula]],Equipe!B:B,Equipe!E:E,"ERRO",0)</f>
        <v>ERRO</v>
      </c>
      <c r="I1172" s="83" t="e">
        <f>VLOOKUP(Tabela1[[#This Row],[Matrícula]],Equipe!B:F,5,0)</f>
        <v>#N/A</v>
      </c>
    </row>
    <row r="1173" spans="1:9">
      <c r="A1173" s="83"/>
      <c r="B1173" s="83">
        <f>_xlfn.XLOOKUP(A1173,Equipe!H:H,Equipe!B:B,"",0)</f>
        <v>0</v>
      </c>
      <c r="C1173" s="154"/>
      <c r="D1173" s="150" t="e">
        <f>(IF(Tabela1[[#This Row],[Início]]&lt;&gt;"",C1173+E1173-1,""))*1</f>
        <v>#VALUE!</v>
      </c>
      <c r="E1173" s="83"/>
      <c r="F1173" s="83"/>
      <c r="G1173" s="88"/>
      <c r="H1173" s="83" t="str">
        <f>_xlfn.XLOOKUP(Tabela1[[#This Row],[Matrícula]],Equipe!B:B,Equipe!E:E,"ERRO",0)</f>
        <v>ERRO</v>
      </c>
      <c r="I1173" s="83" t="e">
        <f>VLOOKUP(Tabela1[[#This Row],[Matrícula]],Equipe!B:F,5,0)</f>
        <v>#N/A</v>
      </c>
    </row>
    <row r="1174" spans="1:9">
      <c r="A1174" s="83"/>
      <c r="B1174" s="83">
        <f>_xlfn.XLOOKUP(A1174,Equipe!H:H,Equipe!B:B,"",0)</f>
        <v>0</v>
      </c>
      <c r="C1174" s="154"/>
      <c r="D1174" s="150" t="e">
        <f>(IF(Tabela1[[#This Row],[Início]]&lt;&gt;"",C1174+E1174-1,""))*1</f>
        <v>#VALUE!</v>
      </c>
      <c r="E1174" s="83"/>
      <c r="F1174" s="83"/>
      <c r="G1174" s="88"/>
      <c r="H1174" s="83" t="str">
        <f>_xlfn.XLOOKUP(Tabela1[[#This Row],[Matrícula]],Equipe!B:B,Equipe!E:E,"ERRO",0)</f>
        <v>ERRO</v>
      </c>
      <c r="I1174" s="83" t="e">
        <f>VLOOKUP(Tabela1[[#This Row],[Matrícula]],Equipe!B:F,5,0)</f>
        <v>#N/A</v>
      </c>
    </row>
    <row r="1175" spans="1:9">
      <c r="A1175" s="83"/>
      <c r="B1175" s="83">
        <f>_xlfn.XLOOKUP(A1175,Equipe!H:H,Equipe!B:B,"",0)</f>
        <v>0</v>
      </c>
      <c r="C1175" s="154"/>
      <c r="D1175" s="150" t="e">
        <f>(IF(Tabela1[[#This Row],[Início]]&lt;&gt;"",C1175+E1175-1,""))*1</f>
        <v>#VALUE!</v>
      </c>
      <c r="E1175" s="83"/>
      <c r="F1175" s="83"/>
      <c r="G1175" s="88"/>
      <c r="H1175" s="83" t="str">
        <f>_xlfn.XLOOKUP(Tabela1[[#This Row],[Matrícula]],Equipe!B:B,Equipe!E:E,"ERRO",0)</f>
        <v>ERRO</v>
      </c>
      <c r="I1175" s="83" t="e">
        <f>VLOOKUP(Tabela1[[#This Row],[Matrícula]],Equipe!B:F,5,0)</f>
        <v>#N/A</v>
      </c>
    </row>
    <row r="1176" spans="1:9">
      <c r="A1176" s="83"/>
      <c r="B1176" s="83">
        <f>_xlfn.XLOOKUP(A1176,Equipe!H:H,Equipe!B:B,"",0)</f>
        <v>0</v>
      </c>
      <c r="C1176" s="154"/>
      <c r="D1176" s="150" t="e">
        <f>(IF(Tabela1[[#This Row],[Início]]&lt;&gt;"",C1176+E1176-1,""))*1</f>
        <v>#VALUE!</v>
      </c>
      <c r="E1176" s="83"/>
      <c r="F1176" s="83"/>
      <c r="G1176" s="88"/>
      <c r="H1176" s="83" t="str">
        <f>_xlfn.XLOOKUP(Tabela1[[#This Row],[Matrícula]],Equipe!B:B,Equipe!E:E,"ERRO",0)</f>
        <v>ERRO</v>
      </c>
      <c r="I1176" s="83" t="e">
        <f>VLOOKUP(Tabela1[[#This Row],[Matrícula]],Equipe!B:F,5,0)</f>
        <v>#N/A</v>
      </c>
    </row>
    <row r="1177" spans="1:9">
      <c r="A1177" s="83"/>
      <c r="B1177" s="83">
        <f>_xlfn.XLOOKUP(A1177,Equipe!H:H,Equipe!B:B,"",0)</f>
        <v>0</v>
      </c>
      <c r="C1177" s="154"/>
      <c r="D1177" s="150" t="e">
        <f>(IF(Tabela1[[#This Row],[Início]]&lt;&gt;"",C1177+E1177-1,""))*1</f>
        <v>#VALUE!</v>
      </c>
      <c r="E1177" s="83"/>
      <c r="F1177" s="83"/>
      <c r="G1177" s="88"/>
      <c r="H1177" s="83" t="str">
        <f>_xlfn.XLOOKUP(Tabela1[[#This Row],[Matrícula]],Equipe!B:B,Equipe!E:E,"ERRO",0)</f>
        <v>ERRO</v>
      </c>
      <c r="I1177" s="83" t="e">
        <f>VLOOKUP(Tabela1[[#This Row],[Matrícula]],Equipe!B:F,5,0)</f>
        <v>#N/A</v>
      </c>
    </row>
    <row r="1178" spans="1:9">
      <c r="A1178" s="83"/>
      <c r="B1178" s="83">
        <f>_xlfn.XLOOKUP(A1178,Equipe!H:H,Equipe!B:B,"",0)</f>
        <v>0</v>
      </c>
      <c r="C1178" s="154"/>
      <c r="D1178" s="150" t="e">
        <f>(IF(Tabela1[[#This Row],[Início]]&lt;&gt;"",C1178+E1178-1,""))*1</f>
        <v>#VALUE!</v>
      </c>
      <c r="E1178" s="83"/>
      <c r="F1178" s="83"/>
      <c r="G1178" s="88"/>
      <c r="H1178" s="83" t="str">
        <f>_xlfn.XLOOKUP(Tabela1[[#This Row],[Matrícula]],Equipe!B:B,Equipe!E:E,"ERRO",0)</f>
        <v>ERRO</v>
      </c>
      <c r="I1178" s="83" t="e">
        <f>VLOOKUP(Tabela1[[#This Row],[Matrícula]],Equipe!B:F,5,0)</f>
        <v>#N/A</v>
      </c>
    </row>
    <row r="1179" spans="1:9">
      <c r="A1179" s="83"/>
      <c r="B1179" s="83">
        <f>_xlfn.XLOOKUP(A1179,Equipe!H:H,Equipe!B:B,"",0)</f>
        <v>0</v>
      </c>
      <c r="C1179" s="154"/>
      <c r="D1179" s="150" t="e">
        <f>(IF(Tabela1[[#This Row],[Início]]&lt;&gt;"",C1179+E1179-1,""))*1</f>
        <v>#VALUE!</v>
      </c>
      <c r="E1179" s="83"/>
      <c r="F1179" s="83"/>
      <c r="G1179" s="88"/>
      <c r="H1179" s="83" t="str">
        <f>_xlfn.XLOOKUP(Tabela1[[#This Row],[Matrícula]],Equipe!B:B,Equipe!E:E,"ERRO",0)</f>
        <v>ERRO</v>
      </c>
      <c r="I1179" s="83" t="e">
        <f>VLOOKUP(Tabela1[[#This Row],[Matrícula]],Equipe!B:F,5,0)</f>
        <v>#N/A</v>
      </c>
    </row>
    <row r="1180" spans="1:9">
      <c r="A1180" s="83"/>
      <c r="B1180" s="83">
        <f>_xlfn.XLOOKUP(A1180,Equipe!H:H,Equipe!B:B,"",0)</f>
        <v>0</v>
      </c>
      <c r="C1180" s="154"/>
      <c r="D1180" s="150" t="e">
        <f>(IF(Tabela1[[#This Row],[Início]]&lt;&gt;"",C1180+E1180-1,""))*1</f>
        <v>#VALUE!</v>
      </c>
      <c r="E1180" s="83"/>
      <c r="F1180" s="83"/>
      <c r="G1180" s="88"/>
      <c r="H1180" s="83" t="str">
        <f>_xlfn.XLOOKUP(Tabela1[[#This Row],[Matrícula]],Equipe!B:B,Equipe!E:E,"ERRO",0)</f>
        <v>ERRO</v>
      </c>
      <c r="I1180" s="83" t="e">
        <f>VLOOKUP(Tabela1[[#This Row],[Matrícula]],Equipe!B:F,5,0)</f>
        <v>#N/A</v>
      </c>
    </row>
    <row r="1181" spans="1:9">
      <c r="A1181" s="83"/>
      <c r="B1181" s="83">
        <f>_xlfn.XLOOKUP(A1181,Equipe!H:H,Equipe!B:B,"",0)</f>
        <v>0</v>
      </c>
      <c r="C1181" s="154"/>
      <c r="D1181" s="150" t="e">
        <f>(IF(Tabela1[[#This Row],[Início]]&lt;&gt;"",C1181+E1181-1,""))*1</f>
        <v>#VALUE!</v>
      </c>
      <c r="E1181" s="83"/>
      <c r="F1181" s="83"/>
      <c r="G1181" s="88"/>
      <c r="H1181" s="83" t="str">
        <f>_xlfn.XLOOKUP(Tabela1[[#This Row],[Matrícula]],Equipe!B:B,Equipe!E:E,"ERRO",0)</f>
        <v>ERRO</v>
      </c>
      <c r="I1181" s="83" t="e">
        <f>VLOOKUP(Tabela1[[#This Row],[Matrícula]],Equipe!B:F,5,0)</f>
        <v>#N/A</v>
      </c>
    </row>
    <row r="1182" spans="1:9">
      <c r="A1182" s="83"/>
      <c r="B1182" s="83">
        <f>_xlfn.XLOOKUP(A1182,Equipe!H:H,Equipe!B:B,"",0)</f>
        <v>0</v>
      </c>
      <c r="C1182" s="154"/>
      <c r="D1182" s="150" t="e">
        <f>(IF(Tabela1[[#This Row],[Início]]&lt;&gt;"",C1182+E1182-1,""))*1</f>
        <v>#VALUE!</v>
      </c>
      <c r="E1182" s="83"/>
      <c r="F1182" s="83"/>
      <c r="G1182" s="88"/>
      <c r="H1182" s="83" t="str">
        <f>_xlfn.XLOOKUP(Tabela1[[#This Row],[Matrícula]],Equipe!B:B,Equipe!E:E,"ERRO",0)</f>
        <v>ERRO</v>
      </c>
      <c r="I1182" s="83" t="e">
        <f>VLOOKUP(Tabela1[[#This Row],[Matrícula]],Equipe!B:F,5,0)</f>
        <v>#N/A</v>
      </c>
    </row>
    <row r="1183" spans="1:9">
      <c r="A1183" s="83"/>
      <c r="B1183" s="83">
        <f>_xlfn.XLOOKUP(A1183,Equipe!H:H,Equipe!B:B,"",0)</f>
        <v>0</v>
      </c>
      <c r="C1183" s="154"/>
      <c r="D1183" s="150" t="e">
        <f>(IF(Tabela1[[#This Row],[Início]]&lt;&gt;"",C1183+E1183-1,""))*1</f>
        <v>#VALUE!</v>
      </c>
      <c r="E1183" s="83"/>
      <c r="F1183" s="83"/>
      <c r="G1183" s="88"/>
      <c r="H1183" s="83" t="str">
        <f>_xlfn.XLOOKUP(Tabela1[[#This Row],[Matrícula]],Equipe!B:B,Equipe!E:E,"ERRO",0)</f>
        <v>ERRO</v>
      </c>
      <c r="I1183" s="83" t="e">
        <f>VLOOKUP(Tabela1[[#This Row],[Matrícula]],Equipe!B:F,5,0)</f>
        <v>#N/A</v>
      </c>
    </row>
    <row r="1184" spans="1:9">
      <c r="A1184" s="83"/>
      <c r="B1184" s="83">
        <f>_xlfn.XLOOKUP(A1184,Equipe!H:H,Equipe!B:B,"",0)</f>
        <v>0</v>
      </c>
      <c r="C1184" s="154"/>
      <c r="D1184" s="150" t="e">
        <f>(IF(Tabela1[[#This Row],[Início]]&lt;&gt;"",C1184+E1184-1,""))*1</f>
        <v>#VALUE!</v>
      </c>
      <c r="E1184" s="83"/>
      <c r="F1184" s="83"/>
      <c r="G1184" s="88"/>
      <c r="H1184" s="83" t="str">
        <f>_xlfn.XLOOKUP(Tabela1[[#This Row],[Matrícula]],Equipe!B:B,Equipe!E:E,"ERRO",0)</f>
        <v>ERRO</v>
      </c>
      <c r="I1184" s="83" t="e">
        <f>VLOOKUP(Tabela1[[#This Row],[Matrícula]],Equipe!B:F,5,0)</f>
        <v>#N/A</v>
      </c>
    </row>
    <row r="1185" spans="1:9">
      <c r="A1185" s="83"/>
      <c r="B1185" s="83">
        <f>_xlfn.XLOOKUP(A1185,Equipe!H:H,Equipe!B:B,"",0)</f>
        <v>0</v>
      </c>
      <c r="C1185" s="154"/>
      <c r="D1185" s="150" t="e">
        <f>(IF(Tabela1[[#This Row],[Início]]&lt;&gt;"",C1185+E1185-1,""))*1</f>
        <v>#VALUE!</v>
      </c>
      <c r="E1185" s="83"/>
      <c r="F1185" s="83"/>
      <c r="G1185" s="88"/>
      <c r="H1185" s="83" t="str">
        <f>_xlfn.XLOOKUP(Tabela1[[#This Row],[Matrícula]],Equipe!B:B,Equipe!E:E,"ERRO",0)</f>
        <v>ERRO</v>
      </c>
      <c r="I1185" s="83" t="e">
        <f>VLOOKUP(Tabela1[[#This Row],[Matrícula]],Equipe!B:F,5,0)</f>
        <v>#N/A</v>
      </c>
    </row>
    <row r="1186" spans="1:9">
      <c r="A1186" s="83"/>
      <c r="B1186" s="83">
        <f>_xlfn.XLOOKUP(A1186,Equipe!H:H,Equipe!B:B,"",0)</f>
        <v>0</v>
      </c>
      <c r="C1186" s="154"/>
      <c r="D1186" s="150" t="e">
        <f>(IF(Tabela1[[#This Row],[Início]]&lt;&gt;"",C1186+E1186-1,""))*1</f>
        <v>#VALUE!</v>
      </c>
      <c r="E1186" s="83"/>
      <c r="F1186" s="83"/>
      <c r="G1186" s="88"/>
      <c r="H1186" s="83" t="str">
        <f>_xlfn.XLOOKUP(Tabela1[[#This Row],[Matrícula]],Equipe!B:B,Equipe!E:E,"ERRO",0)</f>
        <v>ERRO</v>
      </c>
      <c r="I1186" s="83" t="e">
        <f>VLOOKUP(Tabela1[[#This Row],[Matrícula]],Equipe!B:F,5,0)</f>
        <v>#N/A</v>
      </c>
    </row>
    <row r="1187" spans="1:9">
      <c r="A1187" s="83"/>
      <c r="B1187" s="83">
        <f>_xlfn.XLOOKUP(A1187,Equipe!H:H,Equipe!B:B,"",0)</f>
        <v>0</v>
      </c>
      <c r="C1187" s="154"/>
      <c r="D1187" s="150" t="e">
        <f>(IF(Tabela1[[#This Row],[Início]]&lt;&gt;"",C1187+E1187-1,""))*1</f>
        <v>#VALUE!</v>
      </c>
      <c r="E1187" s="83"/>
      <c r="F1187" s="83"/>
      <c r="G1187" s="88"/>
      <c r="H1187" s="83" t="str">
        <f>_xlfn.XLOOKUP(Tabela1[[#This Row],[Matrícula]],Equipe!B:B,Equipe!E:E,"ERRO",0)</f>
        <v>ERRO</v>
      </c>
      <c r="I1187" s="83" t="e">
        <f>VLOOKUP(Tabela1[[#This Row],[Matrícula]],Equipe!B:F,5,0)</f>
        <v>#N/A</v>
      </c>
    </row>
    <row r="1188" spans="1:9">
      <c r="A1188" s="83"/>
      <c r="B1188" s="83">
        <f>_xlfn.XLOOKUP(A1188,Equipe!H:H,Equipe!B:B,"",0)</f>
        <v>0</v>
      </c>
      <c r="C1188" s="154"/>
      <c r="D1188" s="150" t="e">
        <f>(IF(Tabela1[[#This Row],[Início]]&lt;&gt;"",C1188+E1188-1,""))*1</f>
        <v>#VALUE!</v>
      </c>
      <c r="E1188" s="83"/>
      <c r="F1188" s="83"/>
      <c r="G1188" s="88"/>
      <c r="H1188" s="83" t="str">
        <f>_xlfn.XLOOKUP(Tabela1[[#This Row],[Matrícula]],Equipe!B:B,Equipe!E:E,"ERRO",0)</f>
        <v>ERRO</v>
      </c>
      <c r="I1188" s="83" t="e">
        <f>VLOOKUP(Tabela1[[#This Row],[Matrícula]],Equipe!B:F,5,0)</f>
        <v>#N/A</v>
      </c>
    </row>
    <row r="1189" spans="1:9">
      <c r="A1189" s="83"/>
      <c r="B1189" s="83">
        <f>_xlfn.XLOOKUP(A1189,Equipe!H:H,Equipe!B:B,"",0)</f>
        <v>0</v>
      </c>
      <c r="C1189" s="154"/>
      <c r="D1189" s="150" t="e">
        <f>(IF(Tabela1[[#This Row],[Início]]&lt;&gt;"",C1189+E1189-1,""))*1</f>
        <v>#VALUE!</v>
      </c>
      <c r="E1189" s="83"/>
      <c r="F1189" s="83"/>
      <c r="G1189" s="88"/>
      <c r="H1189" s="83" t="str">
        <f>_xlfn.XLOOKUP(Tabela1[[#This Row],[Matrícula]],Equipe!B:B,Equipe!E:E,"ERRO",0)</f>
        <v>ERRO</v>
      </c>
      <c r="I1189" s="83" t="e">
        <f>VLOOKUP(Tabela1[[#This Row],[Matrícula]],Equipe!B:F,5,0)</f>
        <v>#N/A</v>
      </c>
    </row>
    <row r="1190" spans="1:9">
      <c r="A1190" s="83"/>
      <c r="B1190" s="83">
        <f>_xlfn.XLOOKUP(A1190,Equipe!H:H,Equipe!B:B,"",0)</f>
        <v>0</v>
      </c>
      <c r="C1190" s="154"/>
      <c r="D1190" s="150" t="e">
        <f>(IF(Tabela1[[#This Row],[Início]]&lt;&gt;"",C1190+E1190-1,""))*1</f>
        <v>#VALUE!</v>
      </c>
      <c r="E1190" s="83"/>
      <c r="F1190" s="83"/>
      <c r="G1190" s="88"/>
      <c r="H1190" s="83" t="str">
        <f>_xlfn.XLOOKUP(Tabela1[[#This Row],[Matrícula]],Equipe!B:B,Equipe!E:E,"ERRO",0)</f>
        <v>ERRO</v>
      </c>
      <c r="I1190" s="83" t="e">
        <f>VLOOKUP(Tabela1[[#This Row],[Matrícula]],Equipe!B:F,5,0)</f>
        <v>#N/A</v>
      </c>
    </row>
    <row r="1191" spans="1:9">
      <c r="A1191" s="83"/>
      <c r="B1191" s="83">
        <f>_xlfn.XLOOKUP(A1191,Equipe!H:H,Equipe!B:B,"",0)</f>
        <v>0</v>
      </c>
      <c r="C1191" s="154"/>
      <c r="D1191" s="150" t="e">
        <f>(IF(Tabela1[[#This Row],[Início]]&lt;&gt;"",C1191+E1191-1,""))*1</f>
        <v>#VALUE!</v>
      </c>
      <c r="E1191" s="83"/>
      <c r="F1191" s="83"/>
      <c r="G1191" s="88"/>
      <c r="H1191" s="83" t="str">
        <f>_xlfn.XLOOKUP(Tabela1[[#This Row],[Matrícula]],Equipe!B:B,Equipe!E:E,"ERRO",0)</f>
        <v>ERRO</v>
      </c>
      <c r="I1191" s="83" t="e">
        <f>VLOOKUP(Tabela1[[#This Row],[Matrícula]],Equipe!B:F,5,0)</f>
        <v>#N/A</v>
      </c>
    </row>
    <row r="1192" spans="1:9">
      <c r="A1192" s="83"/>
      <c r="B1192" s="83">
        <f>_xlfn.XLOOKUP(A1192,Equipe!H:H,Equipe!B:B,"",0)</f>
        <v>0</v>
      </c>
      <c r="C1192" s="154"/>
      <c r="D1192" s="150" t="e">
        <f>(IF(Tabela1[[#This Row],[Início]]&lt;&gt;"",C1192+E1192-1,""))*1</f>
        <v>#VALUE!</v>
      </c>
      <c r="E1192" s="83"/>
      <c r="F1192" s="83"/>
      <c r="G1192" s="88"/>
      <c r="H1192" s="83" t="str">
        <f>_xlfn.XLOOKUP(Tabela1[[#This Row],[Matrícula]],Equipe!B:B,Equipe!E:E,"ERRO",0)</f>
        <v>ERRO</v>
      </c>
      <c r="I1192" s="83" t="e">
        <f>VLOOKUP(Tabela1[[#This Row],[Matrícula]],Equipe!B:F,5,0)</f>
        <v>#N/A</v>
      </c>
    </row>
    <row r="1193" spans="1:9">
      <c r="A1193" s="83"/>
      <c r="B1193" s="83">
        <f>_xlfn.XLOOKUP(A1193,Equipe!H:H,Equipe!B:B,"",0)</f>
        <v>0</v>
      </c>
      <c r="C1193" s="154"/>
      <c r="D1193" s="150" t="e">
        <f>(IF(Tabela1[[#This Row],[Início]]&lt;&gt;"",C1193+E1193-1,""))*1</f>
        <v>#VALUE!</v>
      </c>
      <c r="E1193" s="83"/>
      <c r="F1193" s="83"/>
      <c r="G1193" s="88"/>
      <c r="H1193" s="83" t="str">
        <f>_xlfn.XLOOKUP(Tabela1[[#This Row],[Matrícula]],Equipe!B:B,Equipe!E:E,"ERRO",0)</f>
        <v>ERRO</v>
      </c>
      <c r="I1193" s="83" t="e">
        <f>VLOOKUP(Tabela1[[#This Row],[Matrícula]],Equipe!B:F,5,0)</f>
        <v>#N/A</v>
      </c>
    </row>
    <row r="1194" spans="1:9">
      <c r="A1194" s="83"/>
      <c r="B1194" s="83">
        <f>_xlfn.XLOOKUP(A1194,Equipe!H:H,Equipe!B:B,"",0)</f>
        <v>0</v>
      </c>
      <c r="C1194" s="154"/>
      <c r="D1194" s="150" t="e">
        <f>(IF(Tabela1[[#This Row],[Início]]&lt;&gt;"",C1194+E1194-1,""))*1</f>
        <v>#VALUE!</v>
      </c>
      <c r="E1194" s="83"/>
      <c r="F1194" s="83"/>
      <c r="G1194" s="88"/>
      <c r="H1194" s="83" t="str">
        <f>_xlfn.XLOOKUP(Tabela1[[#This Row],[Matrícula]],Equipe!B:B,Equipe!E:E,"ERRO",0)</f>
        <v>ERRO</v>
      </c>
      <c r="I1194" s="83" t="e">
        <f>VLOOKUP(Tabela1[[#This Row],[Matrícula]],Equipe!B:F,5,0)</f>
        <v>#N/A</v>
      </c>
    </row>
    <row r="1195" spans="1:9">
      <c r="A1195" s="83"/>
      <c r="B1195" s="83">
        <f>_xlfn.XLOOKUP(A1195,Equipe!H:H,Equipe!B:B,"",0)</f>
        <v>0</v>
      </c>
      <c r="C1195" s="154"/>
      <c r="D1195" s="150" t="e">
        <f>(IF(Tabela1[[#This Row],[Início]]&lt;&gt;"",C1195+E1195-1,""))*1</f>
        <v>#VALUE!</v>
      </c>
      <c r="E1195" s="83"/>
      <c r="F1195" s="83"/>
      <c r="G1195" s="88"/>
      <c r="H1195" s="83" t="str">
        <f>_xlfn.XLOOKUP(Tabela1[[#This Row],[Matrícula]],Equipe!B:B,Equipe!E:E,"ERRO",0)</f>
        <v>ERRO</v>
      </c>
      <c r="I1195" s="83" t="e">
        <f>VLOOKUP(Tabela1[[#This Row],[Matrícula]],Equipe!B:F,5,0)</f>
        <v>#N/A</v>
      </c>
    </row>
    <row r="1196" spans="1:9">
      <c r="A1196" s="83"/>
      <c r="B1196" s="83">
        <f>_xlfn.XLOOKUP(A1196,Equipe!H:H,Equipe!B:B,"",0)</f>
        <v>0</v>
      </c>
      <c r="C1196" s="154"/>
      <c r="D1196" s="150" t="e">
        <f>(IF(Tabela1[[#This Row],[Início]]&lt;&gt;"",C1196+E1196-1,""))*1</f>
        <v>#VALUE!</v>
      </c>
      <c r="E1196" s="83"/>
      <c r="F1196" s="83"/>
      <c r="G1196" s="88"/>
      <c r="H1196" s="83" t="str">
        <f>_xlfn.XLOOKUP(Tabela1[[#This Row],[Matrícula]],Equipe!B:B,Equipe!E:E,"ERRO",0)</f>
        <v>ERRO</v>
      </c>
      <c r="I1196" s="83" t="e">
        <f>VLOOKUP(Tabela1[[#This Row],[Matrícula]],Equipe!B:F,5,0)</f>
        <v>#N/A</v>
      </c>
    </row>
    <row r="1197" spans="1:9">
      <c r="A1197" s="83"/>
      <c r="B1197" s="83">
        <f>_xlfn.XLOOKUP(A1197,Equipe!H:H,Equipe!B:B,"",0)</f>
        <v>0</v>
      </c>
      <c r="C1197" s="154"/>
      <c r="D1197" s="150" t="e">
        <f>(IF(Tabela1[[#This Row],[Início]]&lt;&gt;"",C1197+E1197-1,""))*1</f>
        <v>#VALUE!</v>
      </c>
      <c r="E1197" s="83"/>
      <c r="F1197" s="83"/>
      <c r="G1197" s="88"/>
      <c r="H1197" s="83" t="str">
        <f>_xlfn.XLOOKUP(Tabela1[[#This Row],[Matrícula]],Equipe!B:B,Equipe!E:E,"ERRO",0)</f>
        <v>ERRO</v>
      </c>
      <c r="I1197" s="83" t="e">
        <f>VLOOKUP(Tabela1[[#This Row],[Matrícula]],Equipe!B:F,5,0)</f>
        <v>#N/A</v>
      </c>
    </row>
    <row r="1198" spans="1:9">
      <c r="A1198" s="83"/>
      <c r="B1198" s="83">
        <f>_xlfn.XLOOKUP(A1198,Equipe!H:H,Equipe!B:B,"",0)</f>
        <v>0</v>
      </c>
      <c r="C1198" s="154"/>
      <c r="D1198" s="150" t="e">
        <f>(IF(Tabela1[[#This Row],[Início]]&lt;&gt;"",C1198+E1198-1,""))*1</f>
        <v>#VALUE!</v>
      </c>
      <c r="E1198" s="83"/>
      <c r="F1198" s="83"/>
      <c r="G1198" s="88"/>
      <c r="H1198" s="83" t="str">
        <f>_xlfn.XLOOKUP(Tabela1[[#This Row],[Matrícula]],Equipe!B:B,Equipe!E:E,"ERRO",0)</f>
        <v>ERRO</v>
      </c>
      <c r="I1198" s="83" t="e">
        <f>VLOOKUP(Tabela1[[#This Row],[Matrícula]],Equipe!B:F,5,0)</f>
        <v>#N/A</v>
      </c>
    </row>
    <row r="1199" spans="1:9">
      <c r="A1199" s="83"/>
      <c r="B1199" s="83">
        <f>_xlfn.XLOOKUP(A1199,Equipe!H:H,Equipe!B:B,"",0)</f>
        <v>0</v>
      </c>
      <c r="C1199" s="154"/>
      <c r="D1199" s="150" t="e">
        <f>(IF(Tabela1[[#This Row],[Início]]&lt;&gt;"",C1199+E1199-1,""))*1</f>
        <v>#VALUE!</v>
      </c>
      <c r="E1199" s="83"/>
      <c r="F1199" s="83"/>
      <c r="G1199" s="88"/>
      <c r="H1199" s="83" t="str">
        <f>_xlfn.XLOOKUP(Tabela1[[#This Row],[Matrícula]],Equipe!B:B,Equipe!E:E,"ERRO",0)</f>
        <v>ERRO</v>
      </c>
      <c r="I1199" s="83" t="e">
        <f>VLOOKUP(Tabela1[[#This Row],[Matrícula]],Equipe!B:F,5,0)</f>
        <v>#N/A</v>
      </c>
    </row>
    <row r="1200" spans="1:9">
      <c r="A1200" s="83"/>
      <c r="B1200" s="83">
        <f>_xlfn.XLOOKUP(A1200,Equipe!H:H,Equipe!B:B,"",0)</f>
        <v>0</v>
      </c>
      <c r="C1200" s="154"/>
      <c r="D1200" s="150" t="e">
        <f>(IF(Tabela1[[#This Row],[Início]]&lt;&gt;"",C1200+E1200-1,""))*1</f>
        <v>#VALUE!</v>
      </c>
      <c r="E1200" s="83"/>
      <c r="F1200" s="83"/>
      <c r="G1200" s="88"/>
      <c r="H1200" s="83" t="str">
        <f>_xlfn.XLOOKUP(Tabela1[[#This Row],[Matrícula]],Equipe!B:B,Equipe!E:E,"ERRO",0)</f>
        <v>ERRO</v>
      </c>
      <c r="I1200" s="83" t="e">
        <f>VLOOKUP(Tabela1[[#This Row],[Matrícula]],Equipe!B:F,5,0)</f>
        <v>#N/A</v>
      </c>
    </row>
    <row r="1201" spans="1:9">
      <c r="A1201" s="83"/>
      <c r="B1201" s="83">
        <f>_xlfn.XLOOKUP(A1201,Equipe!H:H,Equipe!B:B,"",0)</f>
        <v>0</v>
      </c>
      <c r="C1201" s="154"/>
      <c r="D1201" s="150" t="e">
        <f>(IF(Tabela1[[#This Row],[Início]]&lt;&gt;"",C1201+E1201-1,""))*1</f>
        <v>#VALUE!</v>
      </c>
      <c r="E1201" s="83"/>
      <c r="F1201" s="83"/>
      <c r="G1201" s="88"/>
      <c r="H1201" s="83" t="str">
        <f>_xlfn.XLOOKUP(Tabela1[[#This Row],[Matrícula]],Equipe!B:B,Equipe!E:E,"ERRO",0)</f>
        <v>ERRO</v>
      </c>
      <c r="I1201" s="83" t="e">
        <f>VLOOKUP(Tabela1[[#This Row],[Matrícula]],Equipe!B:F,5,0)</f>
        <v>#N/A</v>
      </c>
    </row>
    <row r="1202" spans="1:9">
      <c r="A1202" s="83"/>
      <c r="B1202" s="83">
        <f>_xlfn.XLOOKUP(A1202,Equipe!H:H,Equipe!B:B,"",0)</f>
        <v>0</v>
      </c>
      <c r="C1202" s="154"/>
      <c r="D1202" s="150" t="e">
        <f>(IF(Tabela1[[#This Row],[Início]]&lt;&gt;"",C1202+E1202-1,""))*1</f>
        <v>#VALUE!</v>
      </c>
      <c r="E1202" s="83"/>
      <c r="F1202" s="83"/>
      <c r="G1202" s="88"/>
      <c r="H1202" s="83" t="str">
        <f>_xlfn.XLOOKUP(Tabela1[[#This Row],[Matrícula]],Equipe!B:B,Equipe!E:E,"ERRO",0)</f>
        <v>ERRO</v>
      </c>
      <c r="I1202" s="83" t="e">
        <f>VLOOKUP(Tabela1[[#This Row],[Matrícula]],Equipe!B:F,5,0)</f>
        <v>#N/A</v>
      </c>
    </row>
    <row r="1203" spans="1:9">
      <c r="A1203" s="83"/>
      <c r="B1203" s="83">
        <f>_xlfn.XLOOKUP(A1203,Equipe!H:H,Equipe!B:B,"",0)</f>
        <v>0</v>
      </c>
      <c r="C1203" s="154"/>
      <c r="D1203" s="150" t="e">
        <f>(IF(Tabela1[[#This Row],[Início]]&lt;&gt;"",C1203+E1203-1,""))*1</f>
        <v>#VALUE!</v>
      </c>
      <c r="E1203" s="83"/>
      <c r="F1203" s="83"/>
      <c r="G1203" s="88"/>
      <c r="H1203" s="83" t="str">
        <f>_xlfn.XLOOKUP(Tabela1[[#This Row],[Matrícula]],Equipe!B:B,Equipe!E:E,"ERRO",0)</f>
        <v>ERRO</v>
      </c>
      <c r="I1203" s="83" t="e">
        <f>VLOOKUP(Tabela1[[#This Row],[Matrícula]],Equipe!B:F,5,0)</f>
        <v>#N/A</v>
      </c>
    </row>
    <row r="1204" spans="1:9">
      <c r="A1204" s="83"/>
      <c r="B1204" s="83">
        <f>_xlfn.XLOOKUP(A1204,Equipe!H:H,Equipe!B:B,"",0)</f>
        <v>0</v>
      </c>
      <c r="C1204" s="154"/>
      <c r="D1204" s="150" t="e">
        <f>(IF(Tabela1[[#This Row],[Início]]&lt;&gt;"",C1204+E1204-1,""))*1</f>
        <v>#VALUE!</v>
      </c>
      <c r="E1204" s="83"/>
      <c r="F1204" s="83"/>
      <c r="G1204" s="88"/>
      <c r="H1204" s="83" t="str">
        <f>_xlfn.XLOOKUP(Tabela1[[#This Row],[Matrícula]],Equipe!B:B,Equipe!E:E,"ERRO",0)</f>
        <v>ERRO</v>
      </c>
      <c r="I1204" s="83" t="e">
        <f>VLOOKUP(Tabela1[[#This Row],[Matrícula]],Equipe!B:F,5,0)</f>
        <v>#N/A</v>
      </c>
    </row>
    <row r="1205" spans="1:9">
      <c r="A1205" s="83"/>
      <c r="B1205" s="83">
        <f>_xlfn.XLOOKUP(A1205,Equipe!H:H,Equipe!B:B,"",0)</f>
        <v>0</v>
      </c>
      <c r="C1205" s="154"/>
      <c r="D1205" s="150" t="e">
        <f>(IF(Tabela1[[#This Row],[Início]]&lt;&gt;"",C1205+E1205-1,""))*1</f>
        <v>#VALUE!</v>
      </c>
      <c r="E1205" s="83"/>
      <c r="F1205" s="83"/>
      <c r="G1205" s="88"/>
      <c r="H1205" s="83" t="str">
        <f>_xlfn.XLOOKUP(Tabela1[[#This Row],[Matrícula]],Equipe!B:B,Equipe!E:E,"ERRO",0)</f>
        <v>ERRO</v>
      </c>
      <c r="I1205" s="83" t="e">
        <f>VLOOKUP(Tabela1[[#This Row],[Matrícula]],Equipe!B:F,5,0)</f>
        <v>#N/A</v>
      </c>
    </row>
    <row r="1206" spans="1:9">
      <c r="A1206" s="83"/>
      <c r="B1206" s="83">
        <f>_xlfn.XLOOKUP(A1206,Equipe!H:H,Equipe!B:B,"",0)</f>
        <v>0</v>
      </c>
      <c r="C1206" s="154"/>
      <c r="D1206" s="150" t="e">
        <f>(IF(Tabela1[[#This Row],[Início]]&lt;&gt;"",C1206+E1206-1,""))*1</f>
        <v>#VALUE!</v>
      </c>
      <c r="E1206" s="83"/>
      <c r="F1206" s="83"/>
      <c r="G1206" s="88"/>
      <c r="H1206" s="83" t="str">
        <f>_xlfn.XLOOKUP(Tabela1[[#This Row],[Matrícula]],Equipe!B:B,Equipe!E:E,"ERRO",0)</f>
        <v>ERRO</v>
      </c>
      <c r="I1206" s="83" t="e">
        <f>VLOOKUP(Tabela1[[#This Row],[Matrícula]],Equipe!B:F,5,0)</f>
        <v>#N/A</v>
      </c>
    </row>
    <row r="1207" spans="1:9">
      <c r="A1207" s="83"/>
      <c r="B1207" s="83">
        <f>_xlfn.XLOOKUP(A1207,Equipe!H:H,Equipe!B:B,"",0)</f>
        <v>0</v>
      </c>
      <c r="C1207" s="154"/>
      <c r="D1207" s="150" t="e">
        <f>(IF(Tabela1[[#This Row],[Início]]&lt;&gt;"",C1207+E1207-1,""))*1</f>
        <v>#VALUE!</v>
      </c>
      <c r="E1207" s="83"/>
      <c r="F1207" s="83"/>
      <c r="G1207" s="88"/>
      <c r="H1207" s="83" t="str">
        <f>_xlfn.XLOOKUP(Tabela1[[#This Row],[Matrícula]],Equipe!B:B,Equipe!E:E,"ERRO",0)</f>
        <v>ERRO</v>
      </c>
      <c r="I1207" s="83" t="e">
        <f>VLOOKUP(Tabela1[[#This Row],[Matrícula]],Equipe!B:F,5,0)</f>
        <v>#N/A</v>
      </c>
    </row>
    <row r="1208" spans="1:9">
      <c r="A1208" s="83"/>
      <c r="B1208" s="83">
        <f>_xlfn.XLOOKUP(A1208,Equipe!H:H,Equipe!B:B,"",0)</f>
        <v>0</v>
      </c>
      <c r="C1208" s="154"/>
      <c r="D1208" s="150" t="e">
        <f>(IF(Tabela1[[#This Row],[Início]]&lt;&gt;"",C1208+E1208-1,""))*1</f>
        <v>#VALUE!</v>
      </c>
      <c r="E1208" s="83"/>
      <c r="F1208" s="83"/>
      <c r="G1208" s="88"/>
      <c r="H1208" s="83" t="str">
        <f>_xlfn.XLOOKUP(Tabela1[[#This Row],[Matrícula]],Equipe!B:B,Equipe!E:E,"ERRO",0)</f>
        <v>ERRO</v>
      </c>
      <c r="I1208" s="83" t="e">
        <f>VLOOKUP(Tabela1[[#This Row],[Matrícula]],Equipe!B:F,5,0)</f>
        <v>#N/A</v>
      </c>
    </row>
    <row r="1209" spans="1:9">
      <c r="A1209" s="83"/>
      <c r="B1209" s="83">
        <f>_xlfn.XLOOKUP(A1209,Equipe!H:H,Equipe!B:B,"",0)</f>
        <v>0</v>
      </c>
      <c r="C1209" s="154"/>
      <c r="D1209" s="150" t="e">
        <f>(IF(Tabela1[[#This Row],[Início]]&lt;&gt;"",C1209+E1209-1,""))*1</f>
        <v>#VALUE!</v>
      </c>
      <c r="E1209" s="83"/>
      <c r="F1209" s="83"/>
      <c r="G1209" s="88"/>
      <c r="H1209" s="83" t="str">
        <f>_xlfn.XLOOKUP(Tabela1[[#This Row],[Matrícula]],Equipe!B:B,Equipe!E:E,"ERRO",0)</f>
        <v>ERRO</v>
      </c>
      <c r="I1209" s="83" t="e">
        <f>VLOOKUP(Tabela1[[#This Row],[Matrícula]],Equipe!B:F,5,0)</f>
        <v>#N/A</v>
      </c>
    </row>
    <row r="1210" spans="1:9">
      <c r="A1210" s="83"/>
      <c r="B1210" s="83">
        <f>_xlfn.XLOOKUP(A1210,Equipe!H:H,Equipe!B:B,"",0)</f>
        <v>0</v>
      </c>
      <c r="C1210" s="154"/>
      <c r="D1210" s="150" t="e">
        <f>(IF(Tabela1[[#This Row],[Início]]&lt;&gt;"",C1210+E1210-1,""))*1</f>
        <v>#VALUE!</v>
      </c>
      <c r="E1210" s="83"/>
      <c r="F1210" s="83"/>
      <c r="G1210" s="88"/>
      <c r="H1210" s="83" t="str">
        <f>_xlfn.XLOOKUP(Tabela1[[#This Row],[Matrícula]],Equipe!B:B,Equipe!E:E,"ERRO",0)</f>
        <v>ERRO</v>
      </c>
      <c r="I1210" s="83" t="e">
        <f>VLOOKUP(Tabela1[[#This Row],[Matrícula]],Equipe!B:F,5,0)</f>
        <v>#N/A</v>
      </c>
    </row>
    <row r="1211" spans="1:9">
      <c r="A1211" s="83"/>
      <c r="B1211" s="83">
        <f>_xlfn.XLOOKUP(A1211,Equipe!H:H,Equipe!B:B,"",0)</f>
        <v>0</v>
      </c>
      <c r="C1211" s="154"/>
      <c r="D1211" s="150" t="e">
        <f>(IF(Tabela1[[#This Row],[Início]]&lt;&gt;"",C1211+E1211-1,""))*1</f>
        <v>#VALUE!</v>
      </c>
      <c r="E1211" s="83"/>
      <c r="F1211" s="83"/>
      <c r="G1211" s="88"/>
      <c r="H1211" s="83" t="str">
        <f>_xlfn.XLOOKUP(Tabela1[[#This Row],[Matrícula]],Equipe!B:B,Equipe!E:E,"ERRO",0)</f>
        <v>ERRO</v>
      </c>
      <c r="I1211" s="83" t="e">
        <f>VLOOKUP(Tabela1[[#This Row],[Matrícula]],Equipe!B:F,5,0)</f>
        <v>#N/A</v>
      </c>
    </row>
    <row r="1212" spans="1:9">
      <c r="A1212" s="83"/>
      <c r="B1212" s="83">
        <f>_xlfn.XLOOKUP(A1212,Equipe!H:H,Equipe!B:B,"",0)</f>
        <v>0</v>
      </c>
      <c r="C1212" s="154"/>
      <c r="D1212" s="150" t="e">
        <f>(IF(Tabela1[[#This Row],[Início]]&lt;&gt;"",C1212+E1212-1,""))*1</f>
        <v>#VALUE!</v>
      </c>
      <c r="E1212" s="83"/>
      <c r="F1212" s="83"/>
      <c r="G1212" s="88"/>
      <c r="H1212" s="83" t="str">
        <f>_xlfn.XLOOKUP(Tabela1[[#This Row],[Matrícula]],Equipe!B:B,Equipe!E:E,"ERRO",0)</f>
        <v>ERRO</v>
      </c>
      <c r="I1212" s="83" t="e">
        <f>VLOOKUP(Tabela1[[#This Row],[Matrícula]],Equipe!B:F,5,0)</f>
        <v>#N/A</v>
      </c>
    </row>
    <row r="1213" spans="1:9">
      <c r="A1213" s="83"/>
      <c r="B1213" s="83">
        <f>_xlfn.XLOOKUP(A1213,Equipe!H:H,Equipe!B:B,"",0)</f>
        <v>0</v>
      </c>
      <c r="C1213" s="154"/>
      <c r="D1213" s="150" t="e">
        <f>(IF(Tabela1[[#This Row],[Início]]&lt;&gt;"",C1213+E1213-1,""))*1</f>
        <v>#VALUE!</v>
      </c>
      <c r="E1213" s="83"/>
      <c r="F1213" s="83"/>
      <c r="G1213" s="88"/>
      <c r="H1213" s="83" t="str">
        <f>_xlfn.XLOOKUP(Tabela1[[#This Row],[Matrícula]],Equipe!B:B,Equipe!E:E,"ERRO",0)</f>
        <v>ERRO</v>
      </c>
      <c r="I1213" s="83" t="e">
        <f>VLOOKUP(Tabela1[[#This Row],[Matrícula]],Equipe!B:F,5,0)</f>
        <v>#N/A</v>
      </c>
    </row>
    <row r="1214" spans="1:9">
      <c r="A1214" s="83"/>
      <c r="B1214" s="83">
        <f>_xlfn.XLOOKUP(A1214,Equipe!H:H,Equipe!B:B,"",0)</f>
        <v>0</v>
      </c>
      <c r="C1214" s="154"/>
      <c r="D1214" s="150" t="e">
        <f>(IF(Tabela1[[#This Row],[Início]]&lt;&gt;"",C1214+E1214-1,""))*1</f>
        <v>#VALUE!</v>
      </c>
      <c r="E1214" s="83"/>
      <c r="F1214" s="83"/>
      <c r="G1214" s="88"/>
      <c r="H1214" s="83" t="str">
        <f>_xlfn.XLOOKUP(Tabela1[[#This Row],[Matrícula]],Equipe!B:B,Equipe!E:E,"ERRO",0)</f>
        <v>ERRO</v>
      </c>
      <c r="I1214" s="83" t="e">
        <f>VLOOKUP(Tabela1[[#This Row],[Matrícula]],Equipe!B:F,5,0)</f>
        <v>#N/A</v>
      </c>
    </row>
    <row r="1215" spans="1:9">
      <c r="A1215" s="83"/>
      <c r="B1215" s="83">
        <f>_xlfn.XLOOKUP(A1215,Equipe!H:H,Equipe!B:B,"",0)</f>
        <v>0</v>
      </c>
      <c r="C1215" s="154"/>
      <c r="D1215" s="150" t="e">
        <f>(IF(Tabela1[[#This Row],[Início]]&lt;&gt;"",C1215+E1215-1,""))*1</f>
        <v>#VALUE!</v>
      </c>
      <c r="E1215" s="83"/>
      <c r="F1215" s="83"/>
      <c r="G1215" s="88"/>
      <c r="H1215" s="83" t="str">
        <f>_xlfn.XLOOKUP(Tabela1[[#This Row],[Matrícula]],Equipe!B:B,Equipe!E:E,"ERRO",0)</f>
        <v>ERRO</v>
      </c>
      <c r="I1215" s="83" t="e">
        <f>VLOOKUP(Tabela1[[#This Row],[Matrícula]],Equipe!B:F,5,0)</f>
        <v>#N/A</v>
      </c>
    </row>
    <row r="1216" spans="1:9">
      <c r="A1216" s="83"/>
      <c r="B1216" s="83">
        <f>_xlfn.XLOOKUP(A1216,Equipe!H:H,Equipe!B:B,"",0)</f>
        <v>0</v>
      </c>
      <c r="C1216" s="154"/>
      <c r="D1216" s="150" t="e">
        <f>(IF(Tabela1[[#This Row],[Início]]&lt;&gt;"",C1216+E1216-1,""))*1</f>
        <v>#VALUE!</v>
      </c>
      <c r="E1216" s="83"/>
      <c r="F1216" s="83"/>
      <c r="G1216" s="88"/>
      <c r="H1216" s="83" t="str">
        <f>_xlfn.XLOOKUP(Tabela1[[#This Row],[Matrícula]],Equipe!B:B,Equipe!E:E,"ERRO",0)</f>
        <v>ERRO</v>
      </c>
      <c r="I1216" s="83" t="e">
        <f>VLOOKUP(Tabela1[[#This Row],[Matrícula]],Equipe!B:F,5,0)</f>
        <v>#N/A</v>
      </c>
    </row>
    <row r="1217" spans="1:9">
      <c r="A1217" s="83"/>
      <c r="B1217" s="83">
        <f>_xlfn.XLOOKUP(A1217,Equipe!H:H,Equipe!B:B,"",0)</f>
        <v>0</v>
      </c>
      <c r="C1217" s="154"/>
      <c r="D1217" s="150" t="e">
        <f>(IF(Tabela1[[#This Row],[Início]]&lt;&gt;"",C1217+E1217-1,""))*1</f>
        <v>#VALUE!</v>
      </c>
      <c r="E1217" s="83"/>
      <c r="F1217" s="83"/>
      <c r="G1217" s="88"/>
      <c r="H1217" s="83" t="str">
        <f>_xlfn.XLOOKUP(Tabela1[[#This Row],[Matrícula]],Equipe!B:B,Equipe!E:E,"ERRO",0)</f>
        <v>ERRO</v>
      </c>
      <c r="I1217" s="83" t="e">
        <f>VLOOKUP(Tabela1[[#This Row],[Matrícula]],Equipe!B:F,5,0)</f>
        <v>#N/A</v>
      </c>
    </row>
    <row r="1218" spans="1:9">
      <c r="A1218" s="83"/>
      <c r="B1218" s="83">
        <f>_xlfn.XLOOKUP(A1218,Equipe!H:H,Equipe!B:B,"",0)</f>
        <v>0</v>
      </c>
      <c r="C1218" s="154"/>
      <c r="D1218" s="150" t="e">
        <f>(IF(Tabela1[[#This Row],[Início]]&lt;&gt;"",C1218+E1218-1,""))*1</f>
        <v>#VALUE!</v>
      </c>
      <c r="E1218" s="83"/>
      <c r="F1218" s="83"/>
      <c r="G1218" s="88"/>
      <c r="H1218" s="83" t="str">
        <f>_xlfn.XLOOKUP(Tabela1[[#This Row],[Matrícula]],Equipe!B:B,Equipe!E:E,"ERRO",0)</f>
        <v>ERRO</v>
      </c>
      <c r="I1218" s="83" t="e">
        <f>VLOOKUP(Tabela1[[#This Row],[Matrícula]],Equipe!B:F,5,0)</f>
        <v>#N/A</v>
      </c>
    </row>
    <row r="1219" spans="1:9">
      <c r="A1219" s="83"/>
      <c r="B1219" s="83">
        <f>_xlfn.XLOOKUP(A1219,Equipe!H:H,Equipe!B:B,"",0)</f>
        <v>0</v>
      </c>
      <c r="C1219" s="154"/>
      <c r="D1219" s="150" t="e">
        <f>(IF(Tabela1[[#This Row],[Início]]&lt;&gt;"",C1219+E1219-1,""))*1</f>
        <v>#VALUE!</v>
      </c>
      <c r="E1219" s="83"/>
      <c r="F1219" s="83"/>
      <c r="G1219" s="88"/>
      <c r="H1219" s="83" t="str">
        <f>_xlfn.XLOOKUP(Tabela1[[#This Row],[Matrícula]],Equipe!B:B,Equipe!E:E,"ERRO",0)</f>
        <v>ERRO</v>
      </c>
      <c r="I1219" s="83" t="e">
        <f>VLOOKUP(Tabela1[[#This Row],[Matrícula]],Equipe!B:F,5,0)</f>
        <v>#N/A</v>
      </c>
    </row>
    <row r="1220" spans="1:9">
      <c r="A1220" s="83"/>
      <c r="B1220" s="83">
        <f>_xlfn.XLOOKUP(A1220,Equipe!H:H,Equipe!B:B,"",0)</f>
        <v>0</v>
      </c>
      <c r="C1220" s="154"/>
      <c r="D1220" s="150" t="e">
        <f>(IF(Tabela1[[#This Row],[Início]]&lt;&gt;"",C1220+E1220-1,""))*1</f>
        <v>#VALUE!</v>
      </c>
      <c r="E1220" s="83"/>
      <c r="F1220" s="83"/>
      <c r="G1220" s="88"/>
      <c r="H1220" s="83" t="str">
        <f>_xlfn.XLOOKUP(Tabela1[[#This Row],[Matrícula]],Equipe!B:B,Equipe!E:E,"ERRO",0)</f>
        <v>ERRO</v>
      </c>
      <c r="I1220" s="83" t="e">
        <f>VLOOKUP(Tabela1[[#This Row],[Matrícula]],Equipe!B:F,5,0)</f>
        <v>#N/A</v>
      </c>
    </row>
    <row r="1221" spans="1:9">
      <c r="A1221" s="83"/>
      <c r="B1221" s="83">
        <f>_xlfn.XLOOKUP(A1221,Equipe!H:H,Equipe!B:B,"",0)</f>
        <v>0</v>
      </c>
      <c r="C1221" s="154"/>
      <c r="D1221" s="150" t="e">
        <f>(IF(Tabela1[[#This Row],[Início]]&lt;&gt;"",C1221+E1221-1,""))*1</f>
        <v>#VALUE!</v>
      </c>
      <c r="E1221" s="83"/>
      <c r="F1221" s="83"/>
      <c r="G1221" s="88"/>
      <c r="H1221" s="83" t="str">
        <f>_xlfn.XLOOKUP(Tabela1[[#This Row],[Matrícula]],Equipe!B:B,Equipe!E:E,"ERRO",0)</f>
        <v>ERRO</v>
      </c>
      <c r="I1221" s="83" t="e">
        <f>VLOOKUP(Tabela1[[#This Row],[Matrícula]],Equipe!B:F,5,0)</f>
        <v>#N/A</v>
      </c>
    </row>
    <row r="1222" spans="1:9">
      <c r="A1222" s="83"/>
      <c r="B1222" s="83">
        <f>_xlfn.XLOOKUP(A1222,Equipe!H:H,Equipe!B:B,"",0)</f>
        <v>0</v>
      </c>
      <c r="C1222" s="154"/>
      <c r="D1222" s="150" t="e">
        <f>(IF(Tabela1[[#This Row],[Início]]&lt;&gt;"",C1222+E1222-1,""))*1</f>
        <v>#VALUE!</v>
      </c>
      <c r="E1222" s="83"/>
      <c r="F1222" s="83"/>
      <c r="G1222" s="88"/>
      <c r="H1222" s="83" t="str">
        <f>_xlfn.XLOOKUP(Tabela1[[#This Row],[Matrícula]],Equipe!B:B,Equipe!E:E,"ERRO",0)</f>
        <v>ERRO</v>
      </c>
      <c r="I1222" s="83" t="e">
        <f>VLOOKUP(Tabela1[[#This Row],[Matrícula]],Equipe!B:F,5,0)</f>
        <v>#N/A</v>
      </c>
    </row>
    <row r="1223" spans="1:9">
      <c r="A1223" s="83"/>
      <c r="B1223" s="83">
        <f>_xlfn.XLOOKUP(A1223,Equipe!H:H,Equipe!B:B,"",0)</f>
        <v>0</v>
      </c>
      <c r="C1223" s="154"/>
      <c r="D1223" s="150" t="e">
        <f>(IF(Tabela1[[#This Row],[Início]]&lt;&gt;"",C1223+E1223-1,""))*1</f>
        <v>#VALUE!</v>
      </c>
      <c r="E1223" s="83"/>
      <c r="F1223" s="83"/>
      <c r="G1223" s="88"/>
      <c r="H1223" s="83" t="str">
        <f>_xlfn.XLOOKUP(Tabela1[[#This Row],[Matrícula]],Equipe!B:B,Equipe!E:E,"ERRO",0)</f>
        <v>ERRO</v>
      </c>
      <c r="I1223" s="83" t="e">
        <f>VLOOKUP(Tabela1[[#This Row],[Matrícula]],Equipe!B:F,5,0)</f>
        <v>#N/A</v>
      </c>
    </row>
    <row r="1224" spans="1:9">
      <c r="A1224" s="83"/>
      <c r="B1224" s="83">
        <f>_xlfn.XLOOKUP(A1224,Equipe!H:H,Equipe!B:B,"",0)</f>
        <v>0</v>
      </c>
      <c r="C1224" s="154"/>
      <c r="D1224" s="150" t="e">
        <f>(IF(Tabela1[[#This Row],[Início]]&lt;&gt;"",C1224+E1224-1,""))*1</f>
        <v>#VALUE!</v>
      </c>
      <c r="E1224" s="83"/>
      <c r="F1224" s="83"/>
      <c r="G1224" s="88"/>
      <c r="H1224" s="83" t="str">
        <f>_xlfn.XLOOKUP(Tabela1[[#This Row],[Matrícula]],Equipe!B:B,Equipe!E:E,"ERRO",0)</f>
        <v>ERRO</v>
      </c>
      <c r="I1224" s="83" t="e">
        <f>VLOOKUP(Tabela1[[#This Row],[Matrícula]],Equipe!B:F,5,0)</f>
        <v>#N/A</v>
      </c>
    </row>
    <row r="1225" spans="1:9">
      <c r="A1225" s="83"/>
      <c r="B1225" s="83">
        <f>_xlfn.XLOOKUP(A1225,Equipe!H:H,Equipe!B:B,"",0)</f>
        <v>0</v>
      </c>
      <c r="C1225" s="154"/>
      <c r="D1225" s="150" t="e">
        <f>(IF(Tabela1[[#This Row],[Início]]&lt;&gt;"",C1225+E1225-1,""))*1</f>
        <v>#VALUE!</v>
      </c>
      <c r="E1225" s="83"/>
      <c r="F1225" s="83"/>
      <c r="G1225" s="88"/>
      <c r="H1225" s="83" t="str">
        <f>_xlfn.XLOOKUP(Tabela1[[#This Row],[Matrícula]],Equipe!B:B,Equipe!E:E,"ERRO",0)</f>
        <v>ERRO</v>
      </c>
      <c r="I1225" s="83" t="e">
        <f>VLOOKUP(Tabela1[[#This Row],[Matrícula]],Equipe!B:F,5,0)</f>
        <v>#N/A</v>
      </c>
    </row>
    <row r="1226" spans="1:9">
      <c r="A1226" s="83"/>
      <c r="B1226" s="83">
        <f>_xlfn.XLOOKUP(A1226,Equipe!H:H,Equipe!B:B,"",0)</f>
        <v>0</v>
      </c>
      <c r="C1226" s="154"/>
      <c r="D1226" s="150" t="e">
        <f>(IF(Tabela1[[#This Row],[Início]]&lt;&gt;"",C1226+E1226-1,""))*1</f>
        <v>#VALUE!</v>
      </c>
      <c r="E1226" s="83"/>
      <c r="F1226" s="83"/>
      <c r="G1226" s="88"/>
      <c r="H1226" s="83" t="str">
        <f>_xlfn.XLOOKUP(Tabela1[[#This Row],[Matrícula]],Equipe!B:B,Equipe!E:E,"ERRO",0)</f>
        <v>ERRO</v>
      </c>
      <c r="I1226" s="83" t="e">
        <f>VLOOKUP(Tabela1[[#This Row],[Matrícula]],Equipe!B:F,5,0)</f>
        <v>#N/A</v>
      </c>
    </row>
    <row r="1227" spans="1:9">
      <c r="A1227" s="83"/>
      <c r="B1227" s="83">
        <f>_xlfn.XLOOKUP(A1227,Equipe!H:H,Equipe!B:B,"",0)</f>
        <v>0</v>
      </c>
      <c r="C1227" s="154"/>
      <c r="D1227" s="150" t="e">
        <f>(IF(Tabela1[[#This Row],[Início]]&lt;&gt;"",C1227+E1227-1,""))*1</f>
        <v>#VALUE!</v>
      </c>
      <c r="E1227" s="83"/>
      <c r="F1227" s="83"/>
      <c r="G1227" s="88"/>
      <c r="H1227" s="83" t="str">
        <f>_xlfn.XLOOKUP(Tabela1[[#This Row],[Matrícula]],Equipe!B:B,Equipe!E:E,"ERRO",0)</f>
        <v>ERRO</v>
      </c>
      <c r="I1227" s="83" t="e">
        <f>VLOOKUP(Tabela1[[#This Row],[Matrícula]],Equipe!B:F,5,0)</f>
        <v>#N/A</v>
      </c>
    </row>
    <row r="1228" spans="1:9">
      <c r="A1228" s="83"/>
      <c r="B1228" s="83">
        <f>_xlfn.XLOOKUP(A1228,Equipe!H:H,Equipe!B:B,"",0)</f>
        <v>0</v>
      </c>
      <c r="C1228" s="154"/>
      <c r="D1228" s="150" t="e">
        <f>(IF(Tabela1[[#This Row],[Início]]&lt;&gt;"",C1228+E1228-1,""))*1</f>
        <v>#VALUE!</v>
      </c>
      <c r="E1228" s="83"/>
      <c r="F1228" s="83"/>
      <c r="G1228" s="88"/>
      <c r="H1228" s="83" t="str">
        <f>_xlfn.XLOOKUP(Tabela1[[#This Row],[Matrícula]],Equipe!B:B,Equipe!E:E,"ERRO",0)</f>
        <v>ERRO</v>
      </c>
      <c r="I1228" s="83" t="e">
        <f>VLOOKUP(Tabela1[[#This Row],[Matrícula]],Equipe!B:F,5,0)</f>
        <v>#N/A</v>
      </c>
    </row>
    <row r="1229" spans="1:9">
      <c r="A1229" s="83"/>
      <c r="B1229" s="83">
        <f>_xlfn.XLOOKUP(A1229,Equipe!H:H,Equipe!B:B,"",0)</f>
        <v>0</v>
      </c>
      <c r="C1229" s="154"/>
      <c r="D1229" s="150" t="e">
        <f>(IF(Tabela1[[#This Row],[Início]]&lt;&gt;"",C1229+E1229-1,""))*1</f>
        <v>#VALUE!</v>
      </c>
      <c r="E1229" s="83"/>
      <c r="F1229" s="83"/>
      <c r="G1229" s="88"/>
      <c r="H1229" s="83" t="str">
        <f>_xlfn.XLOOKUP(Tabela1[[#This Row],[Matrícula]],Equipe!B:B,Equipe!E:E,"ERRO",0)</f>
        <v>ERRO</v>
      </c>
      <c r="I1229" s="83" t="e">
        <f>VLOOKUP(Tabela1[[#This Row],[Matrícula]],Equipe!B:F,5,0)</f>
        <v>#N/A</v>
      </c>
    </row>
    <row r="1230" spans="1:9">
      <c r="A1230" s="83"/>
      <c r="B1230" s="83">
        <f>_xlfn.XLOOKUP(A1230,Equipe!H:H,Equipe!B:B,"",0)</f>
        <v>0</v>
      </c>
      <c r="C1230" s="154"/>
      <c r="D1230" s="150" t="e">
        <f>(IF(Tabela1[[#This Row],[Início]]&lt;&gt;"",C1230+E1230-1,""))*1</f>
        <v>#VALUE!</v>
      </c>
      <c r="E1230" s="83"/>
      <c r="F1230" s="83"/>
      <c r="G1230" s="88"/>
      <c r="H1230" s="83" t="str">
        <f>_xlfn.XLOOKUP(Tabela1[[#This Row],[Matrícula]],Equipe!B:B,Equipe!E:E,"ERRO",0)</f>
        <v>ERRO</v>
      </c>
      <c r="I1230" s="83" t="e">
        <f>VLOOKUP(Tabela1[[#This Row],[Matrícula]],Equipe!B:F,5,0)</f>
        <v>#N/A</v>
      </c>
    </row>
    <row r="1231" spans="1:9">
      <c r="A1231" s="83"/>
      <c r="B1231" s="83">
        <f>_xlfn.XLOOKUP(A1231,Equipe!H:H,Equipe!B:B,"",0)</f>
        <v>0</v>
      </c>
      <c r="C1231" s="154"/>
      <c r="D1231" s="150" t="e">
        <f>(IF(Tabela1[[#This Row],[Início]]&lt;&gt;"",C1231+E1231-1,""))*1</f>
        <v>#VALUE!</v>
      </c>
      <c r="E1231" s="83"/>
      <c r="F1231" s="83"/>
      <c r="G1231" s="88"/>
      <c r="H1231" s="83" t="str">
        <f>_xlfn.XLOOKUP(Tabela1[[#This Row],[Matrícula]],Equipe!B:B,Equipe!E:E,"ERRO",0)</f>
        <v>ERRO</v>
      </c>
      <c r="I1231" s="83" t="e">
        <f>VLOOKUP(Tabela1[[#This Row],[Matrícula]],Equipe!B:F,5,0)</f>
        <v>#N/A</v>
      </c>
    </row>
    <row r="1232" spans="1:9">
      <c r="A1232" s="83"/>
      <c r="B1232" s="83">
        <f>_xlfn.XLOOKUP(A1232,Equipe!H:H,Equipe!B:B,"",0)</f>
        <v>0</v>
      </c>
      <c r="C1232" s="154"/>
      <c r="D1232" s="150" t="e">
        <f>(IF(Tabela1[[#This Row],[Início]]&lt;&gt;"",C1232+E1232-1,""))*1</f>
        <v>#VALUE!</v>
      </c>
      <c r="E1232" s="83"/>
      <c r="F1232" s="83"/>
      <c r="G1232" s="88"/>
      <c r="H1232" s="83" t="str">
        <f>_xlfn.XLOOKUP(Tabela1[[#This Row],[Matrícula]],Equipe!B:B,Equipe!E:E,"ERRO",0)</f>
        <v>ERRO</v>
      </c>
      <c r="I1232" s="83" t="e">
        <f>VLOOKUP(Tabela1[[#This Row],[Matrícula]],Equipe!B:F,5,0)</f>
        <v>#N/A</v>
      </c>
    </row>
    <row r="1233" spans="1:9">
      <c r="A1233" s="83"/>
      <c r="B1233" s="83">
        <f>_xlfn.XLOOKUP(A1233,Equipe!H:H,Equipe!B:B,"",0)</f>
        <v>0</v>
      </c>
      <c r="C1233" s="154"/>
      <c r="D1233" s="150" t="e">
        <f>(IF(Tabela1[[#This Row],[Início]]&lt;&gt;"",C1233+E1233-1,""))*1</f>
        <v>#VALUE!</v>
      </c>
      <c r="E1233" s="83"/>
      <c r="F1233" s="83"/>
      <c r="G1233" s="88"/>
      <c r="H1233" s="83" t="str">
        <f>_xlfn.XLOOKUP(Tabela1[[#This Row],[Matrícula]],Equipe!B:B,Equipe!E:E,"ERRO",0)</f>
        <v>ERRO</v>
      </c>
      <c r="I1233" s="83" t="e">
        <f>VLOOKUP(Tabela1[[#This Row],[Matrícula]],Equipe!B:F,5,0)</f>
        <v>#N/A</v>
      </c>
    </row>
    <row r="1234" spans="1:9">
      <c r="A1234" s="83"/>
      <c r="B1234" s="83">
        <f>_xlfn.XLOOKUP(A1234,Equipe!H:H,Equipe!B:B,"",0)</f>
        <v>0</v>
      </c>
      <c r="C1234" s="154"/>
      <c r="D1234" s="150" t="e">
        <f>(IF(Tabela1[[#This Row],[Início]]&lt;&gt;"",C1234+E1234-1,""))*1</f>
        <v>#VALUE!</v>
      </c>
      <c r="E1234" s="83"/>
      <c r="F1234" s="83"/>
      <c r="G1234" s="88"/>
      <c r="H1234" s="83" t="str">
        <f>_xlfn.XLOOKUP(Tabela1[[#This Row],[Matrícula]],Equipe!B:B,Equipe!E:E,"ERRO",0)</f>
        <v>ERRO</v>
      </c>
      <c r="I1234" s="83" t="e">
        <f>VLOOKUP(Tabela1[[#This Row],[Matrícula]],Equipe!B:F,5,0)</f>
        <v>#N/A</v>
      </c>
    </row>
    <row r="1235" spans="1:9">
      <c r="A1235" s="83"/>
      <c r="B1235" s="83">
        <f>_xlfn.XLOOKUP(A1235,Equipe!H:H,Equipe!B:B,"",0)</f>
        <v>0</v>
      </c>
      <c r="C1235" s="154"/>
      <c r="D1235" s="150" t="e">
        <f>(IF(Tabela1[[#This Row],[Início]]&lt;&gt;"",C1235+E1235-1,""))*1</f>
        <v>#VALUE!</v>
      </c>
      <c r="E1235" s="83"/>
      <c r="F1235" s="83"/>
      <c r="G1235" s="88"/>
      <c r="H1235" s="83" t="str">
        <f>_xlfn.XLOOKUP(Tabela1[[#This Row],[Matrícula]],Equipe!B:B,Equipe!E:E,"ERRO",0)</f>
        <v>ERRO</v>
      </c>
      <c r="I1235" s="83" t="e">
        <f>VLOOKUP(Tabela1[[#This Row],[Matrícula]],Equipe!B:F,5,0)</f>
        <v>#N/A</v>
      </c>
    </row>
    <row r="1236" spans="1:9">
      <c r="A1236" s="83"/>
      <c r="B1236" s="83">
        <f>_xlfn.XLOOKUP(A1236,Equipe!H:H,Equipe!B:B,"",0)</f>
        <v>0</v>
      </c>
      <c r="C1236" s="154"/>
      <c r="D1236" s="150" t="e">
        <f>(IF(Tabela1[[#This Row],[Início]]&lt;&gt;"",C1236+E1236-1,""))*1</f>
        <v>#VALUE!</v>
      </c>
      <c r="E1236" s="83"/>
      <c r="F1236" s="83"/>
      <c r="G1236" s="88"/>
      <c r="H1236" s="83" t="str">
        <f>_xlfn.XLOOKUP(Tabela1[[#This Row],[Matrícula]],Equipe!B:B,Equipe!E:E,"ERRO",0)</f>
        <v>ERRO</v>
      </c>
      <c r="I1236" s="83" t="e">
        <f>VLOOKUP(Tabela1[[#This Row],[Matrícula]],Equipe!B:F,5,0)</f>
        <v>#N/A</v>
      </c>
    </row>
    <row r="1237" spans="1:9">
      <c r="A1237" s="83"/>
      <c r="B1237" s="83">
        <f>_xlfn.XLOOKUP(A1237,Equipe!H:H,Equipe!B:B,"",0)</f>
        <v>0</v>
      </c>
      <c r="C1237" s="154"/>
      <c r="D1237" s="150" t="e">
        <f>(IF(Tabela1[[#This Row],[Início]]&lt;&gt;"",C1237+E1237-1,""))*1</f>
        <v>#VALUE!</v>
      </c>
      <c r="E1237" s="83"/>
      <c r="F1237" s="83"/>
      <c r="G1237" s="88"/>
      <c r="H1237" s="83" t="str">
        <f>_xlfn.XLOOKUP(Tabela1[[#This Row],[Matrícula]],Equipe!B:B,Equipe!E:E,"ERRO",0)</f>
        <v>ERRO</v>
      </c>
      <c r="I1237" s="83" t="e">
        <f>VLOOKUP(Tabela1[[#This Row],[Matrícula]],Equipe!B:F,5,0)</f>
        <v>#N/A</v>
      </c>
    </row>
    <row r="1238" spans="1:9">
      <c r="A1238" s="83"/>
      <c r="B1238" s="83">
        <f>_xlfn.XLOOKUP(A1238,Equipe!H:H,Equipe!B:B,"",0)</f>
        <v>0</v>
      </c>
      <c r="C1238" s="154"/>
      <c r="D1238" s="150" t="e">
        <f>(IF(Tabela1[[#This Row],[Início]]&lt;&gt;"",C1238+E1238-1,""))*1</f>
        <v>#VALUE!</v>
      </c>
      <c r="E1238" s="83"/>
      <c r="F1238" s="83"/>
      <c r="G1238" s="88"/>
      <c r="H1238" s="83" t="str">
        <f>_xlfn.XLOOKUP(Tabela1[[#This Row],[Matrícula]],Equipe!B:B,Equipe!E:E,"ERRO",0)</f>
        <v>ERRO</v>
      </c>
      <c r="I1238" s="83" t="e">
        <f>VLOOKUP(Tabela1[[#This Row],[Matrícula]],Equipe!B:F,5,0)</f>
        <v>#N/A</v>
      </c>
    </row>
    <row r="1239" spans="1:9">
      <c r="A1239" s="83"/>
      <c r="B1239" s="83">
        <f>_xlfn.XLOOKUP(A1239,Equipe!H:H,Equipe!B:B,"",0)</f>
        <v>0</v>
      </c>
      <c r="C1239" s="154"/>
      <c r="D1239" s="150" t="e">
        <f>(IF(Tabela1[[#This Row],[Início]]&lt;&gt;"",C1239+E1239-1,""))*1</f>
        <v>#VALUE!</v>
      </c>
      <c r="E1239" s="83"/>
      <c r="F1239" s="83"/>
      <c r="G1239" s="88"/>
      <c r="H1239" s="83" t="str">
        <f>_xlfn.XLOOKUP(Tabela1[[#This Row],[Matrícula]],Equipe!B:B,Equipe!E:E,"ERRO",0)</f>
        <v>ERRO</v>
      </c>
      <c r="I1239" s="83" t="e">
        <f>VLOOKUP(Tabela1[[#This Row],[Matrícula]],Equipe!B:F,5,0)</f>
        <v>#N/A</v>
      </c>
    </row>
    <row r="1240" spans="1:9">
      <c r="A1240" s="83"/>
      <c r="B1240" s="83">
        <f>_xlfn.XLOOKUP(A1240,Equipe!H:H,Equipe!B:B,"",0)</f>
        <v>0</v>
      </c>
      <c r="C1240" s="154"/>
      <c r="D1240" s="150" t="e">
        <f>(IF(Tabela1[[#This Row],[Início]]&lt;&gt;"",C1240+E1240-1,""))*1</f>
        <v>#VALUE!</v>
      </c>
      <c r="E1240" s="83"/>
      <c r="F1240" s="83"/>
      <c r="G1240" s="88"/>
      <c r="H1240" s="83" t="str">
        <f>_xlfn.XLOOKUP(Tabela1[[#This Row],[Matrícula]],Equipe!B:B,Equipe!E:E,"ERRO",0)</f>
        <v>ERRO</v>
      </c>
      <c r="I1240" s="83" t="e">
        <f>VLOOKUP(Tabela1[[#This Row],[Matrícula]],Equipe!B:F,5,0)</f>
        <v>#N/A</v>
      </c>
    </row>
    <row r="1241" spans="1:9">
      <c r="A1241" s="83"/>
      <c r="B1241" s="83">
        <f>_xlfn.XLOOKUP(A1241,Equipe!H:H,Equipe!B:B,"",0)</f>
        <v>0</v>
      </c>
      <c r="C1241" s="154"/>
      <c r="D1241" s="150" t="e">
        <f>(IF(Tabela1[[#This Row],[Início]]&lt;&gt;"",C1241+E1241-1,""))*1</f>
        <v>#VALUE!</v>
      </c>
      <c r="E1241" s="83"/>
      <c r="F1241" s="83"/>
      <c r="G1241" s="88"/>
      <c r="H1241" s="83" t="str">
        <f>_xlfn.XLOOKUP(Tabela1[[#This Row],[Matrícula]],Equipe!B:B,Equipe!E:E,"ERRO",0)</f>
        <v>ERRO</v>
      </c>
      <c r="I1241" s="83" t="e">
        <f>VLOOKUP(Tabela1[[#This Row],[Matrícula]],Equipe!B:F,5,0)</f>
        <v>#N/A</v>
      </c>
    </row>
    <row r="1242" spans="1:9">
      <c r="A1242" s="83"/>
      <c r="B1242" s="83">
        <f>_xlfn.XLOOKUP(A1242,Equipe!H:H,Equipe!B:B,"",0)</f>
        <v>0</v>
      </c>
      <c r="C1242" s="154"/>
      <c r="D1242" s="150" t="e">
        <f>(IF(Tabela1[[#This Row],[Início]]&lt;&gt;"",C1242+E1242-1,""))*1</f>
        <v>#VALUE!</v>
      </c>
      <c r="E1242" s="83"/>
      <c r="F1242" s="83"/>
      <c r="G1242" s="88"/>
      <c r="H1242" s="83" t="str">
        <f>_xlfn.XLOOKUP(Tabela1[[#This Row],[Matrícula]],Equipe!B:B,Equipe!E:E,"ERRO",0)</f>
        <v>ERRO</v>
      </c>
      <c r="I1242" s="83" t="e">
        <f>VLOOKUP(Tabela1[[#This Row],[Matrícula]],Equipe!B:F,5,0)</f>
        <v>#N/A</v>
      </c>
    </row>
    <row r="1243" spans="1:9">
      <c r="A1243" s="83"/>
      <c r="B1243" s="83">
        <f>_xlfn.XLOOKUP(A1243,Equipe!H:H,Equipe!B:B,"",0)</f>
        <v>0</v>
      </c>
      <c r="C1243" s="154"/>
      <c r="D1243" s="150" t="e">
        <f>(IF(Tabela1[[#This Row],[Início]]&lt;&gt;"",C1243+E1243-1,""))*1</f>
        <v>#VALUE!</v>
      </c>
      <c r="E1243" s="83"/>
      <c r="F1243" s="83"/>
      <c r="G1243" s="88"/>
      <c r="H1243" s="83" t="str">
        <f>_xlfn.XLOOKUP(Tabela1[[#This Row],[Matrícula]],Equipe!B:B,Equipe!E:E,"ERRO",0)</f>
        <v>ERRO</v>
      </c>
      <c r="I1243" s="83" t="e">
        <f>VLOOKUP(Tabela1[[#This Row],[Matrícula]],Equipe!B:F,5,0)</f>
        <v>#N/A</v>
      </c>
    </row>
    <row r="1244" spans="1:9">
      <c r="A1244" s="83"/>
      <c r="B1244" s="83">
        <f>_xlfn.XLOOKUP(A1244,Equipe!H:H,Equipe!B:B,"",0)</f>
        <v>0</v>
      </c>
      <c r="C1244" s="154"/>
      <c r="D1244" s="150" t="e">
        <f>(IF(Tabela1[[#This Row],[Início]]&lt;&gt;"",C1244+E1244-1,""))*1</f>
        <v>#VALUE!</v>
      </c>
      <c r="E1244" s="83"/>
      <c r="F1244" s="83"/>
      <c r="G1244" s="88"/>
      <c r="H1244" s="83" t="str">
        <f>_xlfn.XLOOKUP(Tabela1[[#This Row],[Matrícula]],Equipe!B:B,Equipe!E:E,"ERRO",0)</f>
        <v>ERRO</v>
      </c>
      <c r="I1244" s="83" t="e">
        <f>VLOOKUP(Tabela1[[#This Row],[Matrícula]],Equipe!B:F,5,0)</f>
        <v>#N/A</v>
      </c>
    </row>
    <row r="1245" spans="1:9">
      <c r="A1245" s="83"/>
      <c r="B1245" s="83">
        <f>_xlfn.XLOOKUP(A1245,Equipe!H:H,Equipe!B:B,"",0)</f>
        <v>0</v>
      </c>
      <c r="C1245" s="154"/>
      <c r="D1245" s="150" t="e">
        <f>(IF(Tabela1[[#This Row],[Início]]&lt;&gt;"",C1245+E1245-1,""))*1</f>
        <v>#VALUE!</v>
      </c>
      <c r="E1245" s="83"/>
      <c r="F1245" s="83"/>
      <c r="G1245" s="88"/>
      <c r="H1245" s="83" t="str">
        <f>_xlfn.XLOOKUP(Tabela1[[#This Row],[Matrícula]],Equipe!B:B,Equipe!E:E,"ERRO",0)</f>
        <v>ERRO</v>
      </c>
      <c r="I1245" s="83" t="e">
        <f>VLOOKUP(Tabela1[[#This Row],[Matrícula]],Equipe!B:F,5,0)</f>
        <v>#N/A</v>
      </c>
    </row>
    <row r="1246" spans="1:9">
      <c r="A1246" s="83"/>
      <c r="B1246" s="83">
        <f>_xlfn.XLOOKUP(A1246,Equipe!H:H,Equipe!B:B,"",0)</f>
        <v>0</v>
      </c>
      <c r="C1246" s="154"/>
      <c r="D1246" s="150" t="e">
        <f>(IF(Tabela1[[#This Row],[Início]]&lt;&gt;"",C1246+E1246-1,""))*1</f>
        <v>#VALUE!</v>
      </c>
      <c r="E1246" s="83"/>
      <c r="F1246" s="83"/>
      <c r="G1246" s="88"/>
      <c r="H1246" s="83" t="str">
        <f>_xlfn.XLOOKUP(Tabela1[[#This Row],[Matrícula]],Equipe!B:B,Equipe!E:E,"ERRO",0)</f>
        <v>ERRO</v>
      </c>
      <c r="I1246" s="83" t="e">
        <f>VLOOKUP(Tabela1[[#This Row],[Matrícula]],Equipe!B:F,5,0)</f>
        <v>#N/A</v>
      </c>
    </row>
    <row r="1247" spans="1:9">
      <c r="A1247" s="83"/>
      <c r="B1247" s="83">
        <f>_xlfn.XLOOKUP(A1247,Equipe!H:H,Equipe!B:B,"",0)</f>
        <v>0</v>
      </c>
      <c r="C1247" s="154"/>
      <c r="D1247" s="150" t="e">
        <f>(IF(Tabela1[[#This Row],[Início]]&lt;&gt;"",C1247+E1247-1,""))*1</f>
        <v>#VALUE!</v>
      </c>
      <c r="E1247" s="83"/>
      <c r="F1247" s="83"/>
      <c r="G1247" s="88"/>
      <c r="H1247" s="83" t="str">
        <f>_xlfn.XLOOKUP(Tabela1[[#This Row],[Matrícula]],Equipe!B:B,Equipe!E:E,"ERRO",0)</f>
        <v>ERRO</v>
      </c>
      <c r="I1247" s="83" t="e">
        <f>VLOOKUP(Tabela1[[#This Row],[Matrícula]],Equipe!B:F,5,0)</f>
        <v>#N/A</v>
      </c>
    </row>
    <row r="1248" spans="1:9">
      <c r="A1248" s="83"/>
      <c r="B1248" s="83">
        <f>_xlfn.XLOOKUP(A1248,Equipe!H:H,Equipe!B:B,"",0)</f>
        <v>0</v>
      </c>
      <c r="C1248" s="154"/>
      <c r="D1248" s="150" t="e">
        <f>(IF(Tabela1[[#This Row],[Início]]&lt;&gt;"",C1248+E1248-1,""))*1</f>
        <v>#VALUE!</v>
      </c>
      <c r="E1248" s="83"/>
      <c r="F1248" s="83"/>
      <c r="G1248" s="88"/>
      <c r="H1248" s="83" t="str">
        <f>_xlfn.XLOOKUP(Tabela1[[#This Row],[Matrícula]],Equipe!B:B,Equipe!E:E,"ERRO",0)</f>
        <v>ERRO</v>
      </c>
      <c r="I1248" s="83" t="e">
        <f>VLOOKUP(Tabela1[[#This Row],[Matrícula]],Equipe!B:F,5,0)</f>
        <v>#N/A</v>
      </c>
    </row>
    <row r="1249" spans="1:9">
      <c r="A1249" s="83"/>
      <c r="B1249" s="83">
        <f>_xlfn.XLOOKUP(A1249,Equipe!H:H,Equipe!B:B,"",0)</f>
        <v>0</v>
      </c>
      <c r="C1249" s="154"/>
      <c r="D1249" s="150" t="e">
        <f>(IF(Tabela1[[#This Row],[Início]]&lt;&gt;"",C1249+E1249-1,""))*1</f>
        <v>#VALUE!</v>
      </c>
      <c r="E1249" s="83"/>
      <c r="F1249" s="83"/>
      <c r="G1249" s="88"/>
      <c r="H1249" s="83" t="str">
        <f>_xlfn.XLOOKUP(Tabela1[[#This Row],[Matrícula]],Equipe!B:B,Equipe!E:E,"ERRO",0)</f>
        <v>ERRO</v>
      </c>
      <c r="I1249" s="83" t="e">
        <f>VLOOKUP(Tabela1[[#This Row],[Matrícula]],Equipe!B:F,5,0)</f>
        <v>#N/A</v>
      </c>
    </row>
    <row r="1250" spans="1:9">
      <c r="A1250" s="83"/>
      <c r="B1250" s="83">
        <f>_xlfn.XLOOKUP(A1250,Equipe!H:H,Equipe!B:B,"",0)</f>
        <v>0</v>
      </c>
      <c r="C1250" s="154"/>
      <c r="D1250" s="150" t="e">
        <f>(IF(Tabela1[[#This Row],[Início]]&lt;&gt;"",C1250+E1250-1,""))*1</f>
        <v>#VALUE!</v>
      </c>
      <c r="E1250" s="83"/>
      <c r="F1250" s="83"/>
      <c r="G1250" s="88"/>
      <c r="H1250" s="83" t="str">
        <f>_xlfn.XLOOKUP(Tabela1[[#This Row],[Matrícula]],Equipe!B:B,Equipe!E:E,"ERRO",0)</f>
        <v>ERRO</v>
      </c>
      <c r="I1250" s="83" t="e">
        <f>VLOOKUP(Tabela1[[#This Row],[Matrícula]],Equipe!B:F,5,0)</f>
        <v>#N/A</v>
      </c>
    </row>
    <row r="1251" spans="1:9">
      <c r="A1251" s="83"/>
      <c r="B1251" s="83">
        <f>_xlfn.XLOOKUP(A1251,Equipe!H:H,Equipe!B:B,"",0)</f>
        <v>0</v>
      </c>
      <c r="C1251" s="154"/>
      <c r="D1251" s="150" t="e">
        <f>(IF(Tabela1[[#This Row],[Início]]&lt;&gt;"",C1251+E1251-1,""))*1</f>
        <v>#VALUE!</v>
      </c>
      <c r="E1251" s="83"/>
      <c r="F1251" s="83"/>
      <c r="G1251" s="88"/>
      <c r="H1251" s="83" t="str">
        <f>_xlfn.XLOOKUP(Tabela1[[#This Row],[Matrícula]],Equipe!B:B,Equipe!E:E,"ERRO",0)</f>
        <v>ERRO</v>
      </c>
      <c r="I1251" s="83" t="e">
        <f>VLOOKUP(Tabela1[[#This Row],[Matrícula]],Equipe!B:F,5,0)</f>
        <v>#N/A</v>
      </c>
    </row>
    <row r="1252" spans="1:9">
      <c r="A1252" s="83"/>
      <c r="B1252" s="83">
        <f>_xlfn.XLOOKUP(A1252,Equipe!H:H,Equipe!B:B,"",0)</f>
        <v>0</v>
      </c>
      <c r="C1252" s="154"/>
      <c r="D1252" s="150" t="e">
        <f>(IF(Tabela1[[#This Row],[Início]]&lt;&gt;"",C1252+E1252-1,""))*1</f>
        <v>#VALUE!</v>
      </c>
      <c r="E1252" s="83"/>
      <c r="F1252" s="83"/>
      <c r="G1252" s="88"/>
      <c r="H1252" s="83" t="str">
        <f>_xlfn.XLOOKUP(Tabela1[[#This Row],[Matrícula]],Equipe!B:B,Equipe!E:E,"ERRO",0)</f>
        <v>ERRO</v>
      </c>
      <c r="I1252" s="83" t="e">
        <f>VLOOKUP(Tabela1[[#This Row],[Matrícula]],Equipe!B:F,5,0)</f>
        <v>#N/A</v>
      </c>
    </row>
    <row r="1253" spans="1:9">
      <c r="A1253" s="83"/>
      <c r="B1253" s="83">
        <f>_xlfn.XLOOKUP(A1253,Equipe!H:H,Equipe!B:B,"",0)</f>
        <v>0</v>
      </c>
      <c r="C1253" s="154"/>
      <c r="D1253" s="150" t="e">
        <f>(IF(Tabela1[[#This Row],[Início]]&lt;&gt;"",C1253+E1253-1,""))*1</f>
        <v>#VALUE!</v>
      </c>
      <c r="E1253" s="83"/>
      <c r="F1253" s="83"/>
      <c r="G1253" s="88"/>
      <c r="H1253" s="83" t="str">
        <f>_xlfn.XLOOKUP(Tabela1[[#This Row],[Matrícula]],Equipe!B:B,Equipe!E:E,"ERRO",0)</f>
        <v>ERRO</v>
      </c>
      <c r="I1253" s="83" t="e">
        <f>VLOOKUP(Tabela1[[#This Row],[Matrícula]],Equipe!B:F,5,0)</f>
        <v>#N/A</v>
      </c>
    </row>
    <row r="1254" spans="1:9">
      <c r="A1254" s="83"/>
      <c r="B1254" s="83">
        <f>_xlfn.XLOOKUP(A1254,Equipe!H:H,Equipe!B:B,"",0)</f>
        <v>0</v>
      </c>
      <c r="C1254" s="154"/>
      <c r="D1254" s="150" t="e">
        <f>(IF(Tabela1[[#This Row],[Início]]&lt;&gt;"",C1254+E1254-1,""))*1</f>
        <v>#VALUE!</v>
      </c>
      <c r="E1254" s="83"/>
      <c r="F1254" s="83"/>
      <c r="G1254" s="88"/>
      <c r="H1254" s="83" t="str">
        <f>_xlfn.XLOOKUP(Tabela1[[#This Row],[Matrícula]],Equipe!B:B,Equipe!E:E,"ERRO",0)</f>
        <v>ERRO</v>
      </c>
      <c r="I1254" s="83" t="e">
        <f>VLOOKUP(Tabela1[[#This Row],[Matrícula]],Equipe!B:F,5,0)</f>
        <v>#N/A</v>
      </c>
    </row>
    <row r="1255" spans="1:9">
      <c r="A1255" s="83"/>
      <c r="B1255" s="83">
        <f>_xlfn.XLOOKUP(A1255,Equipe!H:H,Equipe!B:B,"",0)</f>
        <v>0</v>
      </c>
      <c r="C1255" s="154"/>
      <c r="D1255" s="150" t="e">
        <f>(IF(Tabela1[[#This Row],[Início]]&lt;&gt;"",C1255+E1255-1,""))*1</f>
        <v>#VALUE!</v>
      </c>
      <c r="E1255" s="83"/>
      <c r="F1255" s="83"/>
      <c r="G1255" s="88"/>
      <c r="H1255" s="83" t="str">
        <f>_xlfn.XLOOKUP(Tabela1[[#This Row],[Matrícula]],Equipe!B:B,Equipe!E:E,"ERRO",0)</f>
        <v>ERRO</v>
      </c>
      <c r="I1255" s="83" t="e">
        <f>VLOOKUP(Tabela1[[#This Row],[Matrícula]],Equipe!B:F,5,0)</f>
        <v>#N/A</v>
      </c>
    </row>
    <row r="1256" spans="1:9">
      <c r="A1256" s="83"/>
      <c r="B1256" s="83">
        <f>_xlfn.XLOOKUP(A1256,Equipe!H:H,Equipe!B:B,"",0)</f>
        <v>0</v>
      </c>
      <c r="C1256" s="154"/>
      <c r="D1256" s="150" t="e">
        <f>(IF(Tabela1[[#This Row],[Início]]&lt;&gt;"",C1256+E1256-1,""))*1</f>
        <v>#VALUE!</v>
      </c>
      <c r="E1256" s="83"/>
      <c r="F1256" s="83"/>
      <c r="G1256" s="88"/>
      <c r="H1256" s="83" t="str">
        <f>_xlfn.XLOOKUP(Tabela1[[#This Row],[Matrícula]],Equipe!B:B,Equipe!E:E,"ERRO",0)</f>
        <v>ERRO</v>
      </c>
      <c r="I1256" s="83" t="e">
        <f>VLOOKUP(Tabela1[[#This Row],[Matrícula]],Equipe!B:F,5,0)</f>
        <v>#N/A</v>
      </c>
    </row>
    <row r="1257" spans="1:9">
      <c r="A1257" s="83"/>
      <c r="B1257" s="83">
        <f>_xlfn.XLOOKUP(A1257,Equipe!H:H,Equipe!B:B,"",0)</f>
        <v>0</v>
      </c>
      <c r="C1257" s="154"/>
      <c r="D1257" s="150" t="e">
        <f>(IF(Tabela1[[#This Row],[Início]]&lt;&gt;"",C1257+E1257-1,""))*1</f>
        <v>#VALUE!</v>
      </c>
      <c r="E1257" s="83"/>
      <c r="F1257" s="83"/>
      <c r="G1257" s="88"/>
      <c r="H1257" s="83" t="str">
        <f>_xlfn.XLOOKUP(Tabela1[[#This Row],[Matrícula]],Equipe!B:B,Equipe!E:E,"ERRO",0)</f>
        <v>ERRO</v>
      </c>
      <c r="I1257" s="83" t="e">
        <f>VLOOKUP(Tabela1[[#This Row],[Matrícula]],Equipe!B:F,5,0)</f>
        <v>#N/A</v>
      </c>
    </row>
    <row r="1258" spans="1:9">
      <c r="A1258" s="83"/>
      <c r="B1258" s="83">
        <f>_xlfn.XLOOKUP(A1258,Equipe!H:H,Equipe!B:B,"",0)</f>
        <v>0</v>
      </c>
      <c r="C1258" s="154"/>
      <c r="D1258" s="150" t="e">
        <f>(IF(Tabela1[[#This Row],[Início]]&lt;&gt;"",C1258+E1258-1,""))*1</f>
        <v>#VALUE!</v>
      </c>
      <c r="E1258" s="83"/>
      <c r="F1258" s="83"/>
      <c r="G1258" s="88"/>
      <c r="H1258" s="83" t="str">
        <f>_xlfn.XLOOKUP(Tabela1[[#This Row],[Matrícula]],Equipe!B:B,Equipe!E:E,"ERRO",0)</f>
        <v>ERRO</v>
      </c>
      <c r="I1258" s="83" t="e">
        <f>VLOOKUP(Tabela1[[#This Row],[Matrícula]],Equipe!B:F,5,0)</f>
        <v>#N/A</v>
      </c>
    </row>
    <row r="1259" spans="1:9">
      <c r="A1259" s="83"/>
      <c r="B1259" s="83">
        <f>_xlfn.XLOOKUP(A1259,Equipe!H:H,Equipe!B:B,"",0)</f>
        <v>0</v>
      </c>
      <c r="C1259" s="154"/>
      <c r="D1259" s="150" t="e">
        <f>(IF(Tabela1[[#This Row],[Início]]&lt;&gt;"",C1259+E1259-1,""))*1</f>
        <v>#VALUE!</v>
      </c>
      <c r="E1259" s="83"/>
      <c r="F1259" s="83"/>
      <c r="G1259" s="88"/>
      <c r="H1259" s="83" t="str">
        <f>_xlfn.XLOOKUP(Tabela1[[#This Row],[Matrícula]],Equipe!B:B,Equipe!E:E,"ERRO",0)</f>
        <v>ERRO</v>
      </c>
      <c r="I1259" s="83" t="e">
        <f>VLOOKUP(Tabela1[[#This Row],[Matrícula]],Equipe!B:F,5,0)</f>
        <v>#N/A</v>
      </c>
    </row>
    <row r="1260" spans="1:9">
      <c r="A1260" s="83"/>
      <c r="B1260" s="83">
        <f>_xlfn.XLOOKUP(A1260,Equipe!H:H,Equipe!B:B,"",0)</f>
        <v>0</v>
      </c>
      <c r="C1260" s="154"/>
      <c r="D1260" s="150" t="e">
        <f>(IF(Tabela1[[#This Row],[Início]]&lt;&gt;"",C1260+E1260-1,""))*1</f>
        <v>#VALUE!</v>
      </c>
      <c r="E1260" s="83"/>
      <c r="F1260" s="83"/>
      <c r="G1260" s="88"/>
      <c r="H1260" s="83" t="str">
        <f>_xlfn.XLOOKUP(Tabela1[[#This Row],[Matrícula]],Equipe!B:B,Equipe!E:E,"ERRO",0)</f>
        <v>ERRO</v>
      </c>
      <c r="I1260" s="83" t="e">
        <f>VLOOKUP(Tabela1[[#This Row],[Matrícula]],Equipe!B:F,5,0)</f>
        <v>#N/A</v>
      </c>
    </row>
    <row r="1261" spans="1:9">
      <c r="A1261" s="83"/>
      <c r="B1261" s="83">
        <f>_xlfn.XLOOKUP(A1261,Equipe!H:H,Equipe!B:B,"",0)</f>
        <v>0</v>
      </c>
      <c r="C1261" s="154"/>
      <c r="D1261" s="150" t="e">
        <f>(IF(Tabela1[[#This Row],[Início]]&lt;&gt;"",C1261+E1261-1,""))*1</f>
        <v>#VALUE!</v>
      </c>
      <c r="E1261" s="83"/>
      <c r="F1261" s="83"/>
      <c r="G1261" s="88"/>
      <c r="H1261" s="83" t="str">
        <f>_xlfn.XLOOKUP(Tabela1[[#This Row],[Matrícula]],Equipe!B:B,Equipe!E:E,"ERRO",0)</f>
        <v>ERRO</v>
      </c>
      <c r="I1261" s="83" t="e">
        <f>VLOOKUP(Tabela1[[#This Row],[Matrícula]],Equipe!B:F,5,0)</f>
        <v>#N/A</v>
      </c>
    </row>
    <row r="1262" spans="1:9">
      <c r="A1262" s="83"/>
      <c r="B1262" s="83">
        <f>_xlfn.XLOOKUP(A1262,Equipe!H:H,Equipe!B:B,"",0)</f>
        <v>0</v>
      </c>
      <c r="C1262" s="154"/>
      <c r="D1262" s="150" t="e">
        <f>(IF(Tabela1[[#This Row],[Início]]&lt;&gt;"",C1262+E1262-1,""))*1</f>
        <v>#VALUE!</v>
      </c>
      <c r="E1262" s="83"/>
      <c r="F1262" s="83"/>
      <c r="G1262" s="88"/>
      <c r="H1262" s="83" t="str">
        <f>_xlfn.XLOOKUP(Tabela1[[#This Row],[Matrícula]],Equipe!B:B,Equipe!E:E,"ERRO",0)</f>
        <v>ERRO</v>
      </c>
      <c r="I1262" s="83" t="e">
        <f>VLOOKUP(Tabela1[[#This Row],[Matrícula]],Equipe!B:F,5,0)</f>
        <v>#N/A</v>
      </c>
    </row>
    <row r="1263" spans="1:9">
      <c r="A1263" s="83"/>
      <c r="B1263" s="83">
        <f>_xlfn.XLOOKUP(A1263,Equipe!H:H,Equipe!B:B,"",0)</f>
        <v>0</v>
      </c>
      <c r="C1263" s="154"/>
      <c r="D1263" s="150" t="e">
        <f>(IF(Tabela1[[#This Row],[Início]]&lt;&gt;"",C1263+E1263-1,""))*1</f>
        <v>#VALUE!</v>
      </c>
      <c r="E1263" s="83"/>
      <c r="F1263" s="83"/>
      <c r="G1263" s="88"/>
      <c r="H1263" s="83" t="str">
        <f>_xlfn.XLOOKUP(Tabela1[[#This Row],[Matrícula]],Equipe!B:B,Equipe!E:E,"ERRO",0)</f>
        <v>ERRO</v>
      </c>
      <c r="I1263" s="83" t="e">
        <f>VLOOKUP(Tabela1[[#This Row],[Matrícula]],Equipe!B:F,5,0)</f>
        <v>#N/A</v>
      </c>
    </row>
    <row r="1264" spans="1:9">
      <c r="A1264" s="83"/>
      <c r="B1264" s="83">
        <f>_xlfn.XLOOKUP(A1264,Equipe!H:H,Equipe!B:B,"",0)</f>
        <v>0</v>
      </c>
      <c r="C1264" s="154"/>
      <c r="D1264" s="150" t="e">
        <f>(IF(Tabela1[[#This Row],[Início]]&lt;&gt;"",C1264+E1264-1,""))*1</f>
        <v>#VALUE!</v>
      </c>
      <c r="E1264" s="83"/>
      <c r="F1264" s="83"/>
      <c r="G1264" s="88"/>
      <c r="H1264" s="83" t="str">
        <f>_xlfn.XLOOKUP(Tabela1[[#This Row],[Matrícula]],Equipe!B:B,Equipe!E:E,"ERRO",0)</f>
        <v>ERRO</v>
      </c>
      <c r="I1264" s="83" t="e">
        <f>VLOOKUP(Tabela1[[#This Row],[Matrícula]],Equipe!B:F,5,0)</f>
        <v>#N/A</v>
      </c>
    </row>
    <row r="1265" spans="1:9">
      <c r="A1265" s="83"/>
      <c r="B1265" s="83">
        <f>_xlfn.XLOOKUP(A1265,Equipe!H:H,Equipe!B:B,"",0)</f>
        <v>0</v>
      </c>
      <c r="C1265" s="154"/>
      <c r="D1265" s="150" t="e">
        <f>(IF(Tabela1[[#This Row],[Início]]&lt;&gt;"",C1265+E1265-1,""))*1</f>
        <v>#VALUE!</v>
      </c>
      <c r="E1265" s="83"/>
      <c r="F1265" s="83"/>
      <c r="G1265" s="88"/>
      <c r="H1265" s="83" t="str">
        <f>_xlfn.XLOOKUP(Tabela1[[#This Row],[Matrícula]],Equipe!B:B,Equipe!E:E,"ERRO",0)</f>
        <v>ERRO</v>
      </c>
      <c r="I1265" s="83" t="e">
        <f>VLOOKUP(Tabela1[[#This Row],[Matrícula]],Equipe!B:F,5,0)</f>
        <v>#N/A</v>
      </c>
    </row>
    <row r="1266" spans="1:9">
      <c r="A1266" s="83"/>
      <c r="B1266" s="83">
        <f>_xlfn.XLOOKUP(A1266,Equipe!H:H,Equipe!B:B,"",0)</f>
        <v>0</v>
      </c>
      <c r="C1266" s="154"/>
      <c r="D1266" s="150" t="e">
        <f>(IF(Tabela1[[#This Row],[Início]]&lt;&gt;"",C1266+E1266-1,""))*1</f>
        <v>#VALUE!</v>
      </c>
      <c r="E1266" s="83"/>
      <c r="F1266" s="83"/>
      <c r="G1266" s="88"/>
      <c r="H1266" s="83" t="str">
        <f>_xlfn.XLOOKUP(Tabela1[[#This Row],[Matrícula]],Equipe!B:B,Equipe!E:E,"ERRO",0)</f>
        <v>ERRO</v>
      </c>
      <c r="I1266" s="83" t="e">
        <f>VLOOKUP(Tabela1[[#This Row],[Matrícula]],Equipe!B:F,5,0)</f>
        <v>#N/A</v>
      </c>
    </row>
    <row r="1267" spans="1:9">
      <c r="A1267" s="83"/>
      <c r="B1267" s="83">
        <f>_xlfn.XLOOKUP(A1267,Equipe!H:H,Equipe!B:B,"",0)</f>
        <v>0</v>
      </c>
      <c r="C1267" s="154"/>
      <c r="D1267" s="150" t="e">
        <f>(IF(Tabela1[[#This Row],[Início]]&lt;&gt;"",C1267+E1267-1,""))*1</f>
        <v>#VALUE!</v>
      </c>
      <c r="E1267" s="83"/>
      <c r="F1267" s="83"/>
      <c r="G1267" s="88"/>
      <c r="H1267" s="83" t="str">
        <f>_xlfn.XLOOKUP(Tabela1[[#This Row],[Matrícula]],Equipe!B:B,Equipe!E:E,"ERRO",0)</f>
        <v>ERRO</v>
      </c>
      <c r="I1267" s="83" t="e">
        <f>VLOOKUP(Tabela1[[#This Row],[Matrícula]],Equipe!B:F,5,0)</f>
        <v>#N/A</v>
      </c>
    </row>
    <row r="1268" spans="1:9">
      <c r="A1268" s="83"/>
      <c r="B1268" s="83">
        <f>_xlfn.XLOOKUP(A1268,Equipe!H:H,Equipe!B:B,"",0)</f>
        <v>0</v>
      </c>
      <c r="C1268" s="154"/>
      <c r="D1268" s="150" t="e">
        <f>(IF(Tabela1[[#This Row],[Início]]&lt;&gt;"",C1268+E1268-1,""))*1</f>
        <v>#VALUE!</v>
      </c>
      <c r="E1268" s="83"/>
      <c r="F1268" s="83"/>
      <c r="G1268" s="88"/>
      <c r="H1268" s="83" t="str">
        <f>_xlfn.XLOOKUP(Tabela1[[#This Row],[Matrícula]],Equipe!B:B,Equipe!E:E,"ERRO",0)</f>
        <v>ERRO</v>
      </c>
      <c r="I1268" s="83" t="e">
        <f>VLOOKUP(Tabela1[[#This Row],[Matrícula]],Equipe!B:F,5,0)</f>
        <v>#N/A</v>
      </c>
    </row>
    <row r="1269" spans="1:9">
      <c r="A1269" s="83"/>
      <c r="B1269" s="83">
        <f>_xlfn.XLOOKUP(A1269,Equipe!H:H,Equipe!B:B,"",0)</f>
        <v>0</v>
      </c>
      <c r="C1269" s="154"/>
      <c r="D1269" s="150" t="e">
        <f>(IF(Tabela1[[#This Row],[Início]]&lt;&gt;"",C1269+E1269-1,""))*1</f>
        <v>#VALUE!</v>
      </c>
      <c r="E1269" s="83"/>
      <c r="F1269" s="83"/>
      <c r="G1269" s="88"/>
      <c r="H1269" s="83" t="str">
        <f>_xlfn.XLOOKUP(Tabela1[[#This Row],[Matrícula]],Equipe!B:B,Equipe!E:E,"ERRO",0)</f>
        <v>ERRO</v>
      </c>
      <c r="I1269" s="83" t="e">
        <f>VLOOKUP(Tabela1[[#This Row],[Matrícula]],Equipe!B:F,5,0)</f>
        <v>#N/A</v>
      </c>
    </row>
    <row r="1270" spans="1:9">
      <c r="A1270" s="83"/>
      <c r="B1270" s="83">
        <f>_xlfn.XLOOKUP(A1270,Equipe!H:H,Equipe!B:B,"",0)</f>
        <v>0</v>
      </c>
      <c r="C1270" s="154"/>
      <c r="D1270" s="150" t="e">
        <f>(IF(Tabela1[[#This Row],[Início]]&lt;&gt;"",C1270+E1270-1,""))*1</f>
        <v>#VALUE!</v>
      </c>
      <c r="E1270" s="83"/>
      <c r="F1270" s="83"/>
      <c r="G1270" s="88"/>
      <c r="H1270" s="83" t="str">
        <f>_xlfn.XLOOKUP(Tabela1[[#This Row],[Matrícula]],Equipe!B:B,Equipe!E:E,"ERRO",0)</f>
        <v>ERRO</v>
      </c>
      <c r="I1270" s="83" t="e">
        <f>VLOOKUP(Tabela1[[#This Row],[Matrícula]],Equipe!B:F,5,0)</f>
        <v>#N/A</v>
      </c>
    </row>
    <row r="1271" spans="1:9">
      <c r="A1271" s="83"/>
      <c r="B1271" s="83">
        <f>_xlfn.XLOOKUP(A1271,Equipe!H:H,Equipe!B:B,"",0)</f>
        <v>0</v>
      </c>
      <c r="C1271" s="154"/>
      <c r="D1271" s="150" t="e">
        <f>(IF(Tabela1[[#This Row],[Início]]&lt;&gt;"",C1271+E1271-1,""))*1</f>
        <v>#VALUE!</v>
      </c>
      <c r="E1271" s="83"/>
      <c r="F1271" s="83"/>
      <c r="G1271" s="88"/>
      <c r="H1271" s="83" t="str">
        <f>_xlfn.XLOOKUP(Tabela1[[#This Row],[Matrícula]],Equipe!B:B,Equipe!E:E,"ERRO",0)</f>
        <v>ERRO</v>
      </c>
      <c r="I1271" s="83" t="e">
        <f>VLOOKUP(Tabela1[[#This Row],[Matrícula]],Equipe!B:F,5,0)</f>
        <v>#N/A</v>
      </c>
    </row>
    <row r="1272" spans="1:9">
      <c r="A1272" s="83"/>
      <c r="B1272" s="83">
        <f>_xlfn.XLOOKUP(A1272,Equipe!H:H,Equipe!B:B,"",0)</f>
        <v>0</v>
      </c>
      <c r="C1272" s="154"/>
      <c r="D1272" s="150" t="e">
        <f>(IF(Tabela1[[#This Row],[Início]]&lt;&gt;"",C1272+E1272-1,""))*1</f>
        <v>#VALUE!</v>
      </c>
      <c r="E1272" s="83"/>
      <c r="F1272" s="83"/>
      <c r="G1272" s="88"/>
      <c r="H1272" s="83" t="str">
        <f>_xlfn.XLOOKUP(Tabela1[[#This Row],[Matrícula]],Equipe!B:B,Equipe!E:E,"ERRO",0)</f>
        <v>ERRO</v>
      </c>
      <c r="I1272" s="83" t="e">
        <f>VLOOKUP(Tabela1[[#This Row],[Matrícula]],Equipe!B:F,5,0)</f>
        <v>#N/A</v>
      </c>
    </row>
    <row r="1273" spans="1:9">
      <c r="A1273" s="83"/>
      <c r="B1273" s="83">
        <f>_xlfn.XLOOKUP(A1273,Equipe!H:H,Equipe!B:B,"",0)</f>
        <v>0</v>
      </c>
      <c r="C1273" s="154"/>
      <c r="D1273" s="150" t="e">
        <f>(IF(Tabela1[[#This Row],[Início]]&lt;&gt;"",C1273+E1273-1,""))*1</f>
        <v>#VALUE!</v>
      </c>
      <c r="E1273" s="83"/>
      <c r="F1273" s="83"/>
      <c r="G1273" s="88"/>
      <c r="H1273" s="83" t="str">
        <f>_xlfn.XLOOKUP(Tabela1[[#This Row],[Matrícula]],Equipe!B:B,Equipe!E:E,"ERRO",0)</f>
        <v>ERRO</v>
      </c>
      <c r="I1273" s="83" t="e">
        <f>VLOOKUP(Tabela1[[#This Row],[Matrícula]],Equipe!B:F,5,0)</f>
        <v>#N/A</v>
      </c>
    </row>
    <row r="1274" spans="1:9">
      <c r="A1274" s="83"/>
      <c r="B1274" s="83">
        <f>_xlfn.XLOOKUP(A1274,Equipe!H:H,Equipe!B:B,"",0)</f>
        <v>0</v>
      </c>
      <c r="C1274" s="154"/>
      <c r="D1274" s="150" t="e">
        <f>(IF(Tabela1[[#This Row],[Início]]&lt;&gt;"",C1274+E1274-1,""))*1</f>
        <v>#VALUE!</v>
      </c>
      <c r="E1274" s="83"/>
      <c r="F1274" s="83"/>
      <c r="G1274" s="88"/>
      <c r="H1274" s="83" t="str">
        <f>_xlfn.XLOOKUP(Tabela1[[#This Row],[Matrícula]],Equipe!B:B,Equipe!E:E,"ERRO",0)</f>
        <v>ERRO</v>
      </c>
      <c r="I1274" s="83" t="e">
        <f>VLOOKUP(Tabela1[[#This Row],[Matrícula]],Equipe!B:F,5,0)</f>
        <v>#N/A</v>
      </c>
    </row>
    <row r="1275" spans="1:9">
      <c r="A1275" s="83"/>
      <c r="B1275" s="83">
        <f>_xlfn.XLOOKUP(A1275,Equipe!H:H,Equipe!B:B,"",0)</f>
        <v>0</v>
      </c>
      <c r="C1275" s="154"/>
      <c r="D1275" s="150" t="e">
        <f>(IF(Tabela1[[#This Row],[Início]]&lt;&gt;"",C1275+E1275-1,""))*1</f>
        <v>#VALUE!</v>
      </c>
      <c r="E1275" s="83"/>
      <c r="F1275" s="83"/>
      <c r="G1275" s="88"/>
      <c r="H1275" s="83" t="str">
        <f>_xlfn.XLOOKUP(Tabela1[[#This Row],[Matrícula]],Equipe!B:B,Equipe!E:E,"ERRO",0)</f>
        <v>ERRO</v>
      </c>
      <c r="I1275" s="83" t="e">
        <f>VLOOKUP(Tabela1[[#This Row],[Matrícula]],Equipe!B:F,5,0)</f>
        <v>#N/A</v>
      </c>
    </row>
    <row r="1276" spans="1:9">
      <c r="A1276" s="83"/>
      <c r="B1276" s="83">
        <f>_xlfn.XLOOKUP(A1276,Equipe!H:H,Equipe!B:B,"",0)</f>
        <v>0</v>
      </c>
      <c r="C1276" s="154"/>
      <c r="D1276" s="150" t="e">
        <f>(IF(Tabela1[[#This Row],[Início]]&lt;&gt;"",C1276+E1276-1,""))*1</f>
        <v>#VALUE!</v>
      </c>
      <c r="E1276" s="83"/>
      <c r="F1276" s="83"/>
      <c r="G1276" s="88"/>
      <c r="H1276" s="83" t="str">
        <f>_xlfn.XLOOKUP(Tabela1[[#This Row],[Matrícula]],Equipe!B:B,Equipe!E:E,"ERRO",0)</f>
        <v>ERRO</v>
      </c>
      <c r="I1276" s="83" t="e">
        <f>VLOOKUP(Tabela1[[#This Row],[Matrícula]],Equipe!B:F,5,0)</f>
        <v>#N/A</v>
      </c>
    </row>
    <row r="1277" spans="1:9">
      <c r="A1277" s="83"/>
      <c r="B1277" s="83">
        <f>_xlfn.XLOOKUP(A1277,Equipe!H:H,Equipe!B:B,"",0)</f>
        <v>0</v>
      </c>
      <c r="C1277" s="154"/>
      <c r="D1277" s="150" t="e">
        <f>(IF(Tabela1[[#This Row],[Início]]&lt;&gt;"",C1277+E1277-1,""))*1</f>
        <v>#VALUE!</v>
      </c>
      <c r="E1277" s="83"/>
      <c r="F1277" s="83"/>
      <c r="G1277" s="88"/>
      <c r="H1277" s="83" t="str">
        <f>_xlfn.XLOOKUP(Tabela1[[#This Row],[Matrícula]],Equipe!B:B,Equipe!E:E,"ERRO",0)</f>
        <v>ERRO</v>
      </c>
      <c r="I1277" s="83" t="e">
        <f>VLOOKUP(Tabela1[[#This Row],[Matrícula]],Equipe!B:F,5,0)</f>
        <v>#N/A</v>
      </c>
    </row>
    <row r="1278" spans="1:9">
      <c r="A1278" s="83"/>
      <c r="B1278" s="83">
        <f>_xlfn.XLOOKUP(A1278,Equipe!H:H,Equipe!B:B,"",0)</f>
        <v>0</v>
      </c>
      <c r="C1278" s="154"/>
      <c r="D1278" s="150" t="e">
        <f>(IF(Tabela1[[#This Row],[Início]]&lt;&gt;"",C1278+E1278-1,""))*1</f>
        <v>#VALUE!</v>
      </c>
      <c r="E1278" s="83"/>
      <c r="F1278" s="83"/>
      <c r="G1278" s="88"/>
      <c r="H1278" s="83" t="str">
        <f>_xlfn.XLOOKUP(Tabela1[[#This Row],[Matrícula]],Equipe!B:B,Equipe!E:E,"ERRO",0)</f>
        <v>ERRO</v>
      </c>
      <c r="I1278" s="83" t="e">
        <f>VLOOKUP(Tabela1[[#This Row],[Matrícula]],Equipe!B:F,5,0)</f>
        <v>#N/A</v>
      </c>
    </row>
    <row r="1279" spans="1:9">
      <c r="A1279" s="83"/>
      <c r="B1279" s="83">
        <f>_xlfn.XLOOKUP(A1279,Equipe!H:H,Equipe!B:B,"",0)</f>
        <v>0</v>
      </c>
      <c r="C1279" s="154"/>
      <c r="D1279" s="150" t="e">
        <f>(IF(Tabela1[[#This Row],[Início]]&lt;&gt;"",C1279+E1279-1,""))*1</f>
        <v>#VALUE!</v>
      </c>
      <c r="E1279" s="83"/>
      <c r="F1279" s="83"/>
      <c r="G1279" s="88"/>
      <c r="H1279" s="83" t="str">
        <f>_xlfn.XLOOKUP(Tabela1[[#This Row],[Matrícula]],Equipe!B:B,Equipe!E:E,"ERRO",0)</f>
        <v>ERRO</v>
      </c>
      <c r="I1279" s="83" t="e">
        <f>VLOOKUP(Tabela1[[#This Row],[Matrícula]],Equipe!B:F,5,0)</f>
        <v>#N/A</v>
      </c>
    </row>
    <row r="1280" spans="1:9">
      <c r="A1280" s="83"/>
      <c r="B1280" s="83">
        <f>_xlfn.XLOOKUP(A1280,Equipe!H:H,Equipe!B:B,"",0)</f>
        <v>0</v>
      </c>
      <c r="C1280" s="154"/>
      <c r="D1280" s="150" t="e">
        <f>(IF(Tabela1[[#This Row],[Início]]&lt;&gt;"",C1280+E1280-1,""))*1</f>
        <v>#VALUE!</v>
      </c>
      <c r="E1280" s="83"/>
      <c r="F1280" s="83"/>
      <c r="G1280" s="88"/>
      <c r="H1280" s="83" t="str">
        <f>_xlfn.XLOOKUP(Tabela1[[#This Row],[Matrícula]],Equipe!B:B,Equipe!E:E,"ERRO",0)</f>
        <v>ERRO</v>
      </c>
      <c r="I1280" s="83" t="e">
        <f>VLOOKUP(Tabela1[[#This Row],[Matrícula]],Equipe!B:F,5,0)</f>
        <v>#N/A</v>
      </c>
    </row>
    <row r="1281" spans="1:9">
      <c r="A1281" s="83"/>
      <c r="B1281" s="83">
        <f>_xlfn.XLOOKUP(A1281,Equipe!H:H,Equipe!B:B,"",0)</f>
        <v>0</v>
      </c>
      <c r="C1281" s="154"/>
      <c r="D1281" s="150" t="e">
        <f>(IF(Tabela1[[#This Row],[Início]]&lt;&gt;"",C1281+E1281-1,""))*1</f>
        <v>#VALUE!</v>
      </c>
      <c r="E1281" s="83"/>
      <c r="F1281" s="83"/>
      <c r="G1281" s="88"/>
      <c r="H1281" s="83" t="str">
        <f>_xlfn.XLOOKUP(Tabela1[[#This Row],[Matrícula]],Equipe!B:B,Equipe!E:E,"ERRO",0)</f>
        <v>ERRO</v>
      </c>
      <c r="I1281" s="83" t="e">
        <f>VLOOKUP(Tabela1[[#This Row],[Matrícula]],Equipe!B:F,5,0)</f>
        <v>#N/A</v>
      </c>
    </row>
    <row r="1282" spans="1:9">
      <c r="A1282" s="83"/>
      <c r="B1282" s="83">
        <f>_xlfn.XLOOKUP(A1282,Equipe!H:H,Equipe!B:B,"",0)</f>
        <v>0</v>
      </c>
      <c r="C1282" s="154"/>
      <c r="D1282" s="150" t="e">
        <f>(IF(Tabela1[[#This Row],[Início]]&lt;&gt;"",C1282+E1282-1,""))*1</f>
        <v>#VALUE!</v>
      </c>
      <c r="E1282" s="83"/>
      <c r="F1282" s="83"/>
      <c r="G1282" s="88"/>
      <c r="H1282" s="83" t="str">
        <f>_xlfn.XLOOKUP(Tabela1[[#This Row],[Matrícula]],Equipe!B:B,Equipe!E:E,"ERRO",0)</f>
        <v>ERRO</v>
      </c>
      <c r="I1282" s="83" t="e">
        <f>VLOOKUP(Tabela1[[#This Row],[Matrícula]],Equipe!B:F,5,0)</f>
        <v>#N/A</v>
      </c>
    </row>
    <row r="1283" spans="1:9">
      <c r="A1283" s="83"/>
      <c r="B1283" s="83">
        <f>_xlfn.XLOOKUP(A1283,Equipe!H:H,Equipe!B:B,"",0)</f>
        <v>0</v>
      </c>
      <c r="C1283" s="154"/>
      <c r="D1283" s="150" t="e">
        <f>(IF(Tabela1[[#This Row],[Início]]&lt;&gt;"",C1283+E1283-1,""))*1</f>
        <v>#VALUE!</v>
      </c>
      <c r="E1283" s="83"/>
      <c r="F1283" s="83"/>
      <c r="G1283" s="88"/>
      <c r="H1283" s="83" t="str">
        <f>_xlfn.XLOOKUP(Tabela1[[#This Row],[Matrícula]],Equipe!B:B,Equipe!E:E,"ERRO",0)</f>
        <v>ERRO</v>
      </c>
      <c r="I1283" s="83" t="e">
        <f>VLOOKUP(Tabela1[[#This Row],[Matrícula]],Equipe!B:F,5,0)</f>
        <v>#N/A</v>
      </c>
    </row>
    <row r="1284" spans="1:9">
      <c r="A1284" s="83"/>
      <c r="B1284" s="83">
        <f>_xlfn.XLOOKUP(A1284,Equipe!H:H,Equipe!B:B,"",0)</f>
        <v>0</v>
      </c>
      <c r="C1284" s="154"/>
      <c r="D1284" s="150" t="e">
        <f>(IF(Tabela1[[#This Row],[Início]]&lt;&gt;"",C1284+E1284-1,""))*1</f>
        <v>#VALUE!</v>
      </c>
      <c r="E1284" s="83"/>
      <c r="F1284" s="83"/>
      <c r="G1284" s="88"/>
      <c r="H1284" s="83" t="str">
        <f>_xlfn.XLOOKUP(Tabela1[[#This Row],[Matrícula]],Equipe!B:B,Equipe!E:E,"ERRO",0)</f>
        <v>ERRO</v>
      </c>
      <c r="I1284" s="83" t="e">
        <f>VLOOKUP(Tabela1[[#This Row],[Matrícula]],Equipe!B:F,5,0)</f>
        <v>#N/A</v>
      </c>
    </row>
    <row r="1285" spans="1:9">
      <c r="A1285" s="83"/>
      <c r="B1285" s="83">
        <f>_xlfn.XLOOKUP(A1285,Equipe!H:H,Equipe!B:B,"",0)</f>
        <v>0</v>
      </c>
      <c r="C1285" s="154"/>
      <c r="D1285" s="150" t="e">
        <f>(IF(Tabela1[[#This Row],[Início]]&lt;&gt;"",C1285+E1285-1,""))*1</f>
        <v>#VALUE!</v>
      </c>
      <c r="E1285" s="83"/>
      <c r="F1285" s="83"/>
      <c r="G1285" s="88"/>
      <c r="H1285" s="83" t="str">
        <f>_xlfn.XLOOKUP(Tabela1[[#This Row],[Matrícula]],Equipe!B:B,Equipe!E:E,"ERRO",0)</f>
        <v>ERRO</v>
      </c>
      <c r="I1285" s="83" t="e">
        <f>VLOOKUP(Tabela1[[#This Row],[Matrícula]],Equipe!B:F,5,0)</f>
        <v>#N/A</v>
      </c>
    </row>
    <row r="1286" spans="1:9">
      <c r="A1286" s="83"/>
      <c r="B1286" s="83">
        <f>_xlfn.XLOOKUP(A1286,Equipe!H:H,Equipe!B:B,"",0)</f>
        <v>0</v>
      </c>
      <c r="C1286" s="154"/>
      <c r="D1286" s="150" t="e">
        <f>(IF(Tabela1[[#This Row],[Início]]&lt;&gt;"",C1286+E1286-1,""))*1</f>
        <v>#VALUE!</v>
      </c>
      <c r="E1286" s="83"/>
      <c r="F1286" s="83"/>
      <c r="G1286" s="88"/>
      <c r="H1286" s="83" t="str">
        <f>_xlfn.XLOOKUP(Tabela1[[#This Row],[Matrícula]],Equipe!B:B,Equipe!E:E,"ERRO",0)</f>
        <v>ERRO</v>
      </c>
      <c r="I1286" s="83" t="e">
        <f>VLOOKUP(Tabela1[[#This Row],[Matrícula]],Equipe!B:F,5,0)</f>
        <v>#N/A</v>
      </c>
    </row>
    <row r="1287" spans="1:9">
      <c r="A1287" s="83"/>
      <c r="B1287" s="83">
        <f>_xlfn.XLOOKUP(A1287,Equipe!H:H,Equipe!B:B,"",0)</f>
        <v>0</v>
      </c>
      <c r="C1287" s="154"/>
      <c r="D1287" s="150" t="e">
        <f>(IF(Tabela1[[#This Row],[Início]]&lt;&gt;"",C1287+E1287-1,""))*1</f>
        <v>#VALUE!</v>
      </c>
      <c r="E1287" s="83"/>
      <c r="F1287" s="83"/>
      <c r="G1287" s="88"/>
      <c r="H1287" s="83" t="str">
        <f>_xlfn.XLOOKUP(Tabela1[[#This Row],[Matrícula]],Equipe!B:B,Equipe!E:E,"ERRO",0)</f>
        <v>ERRO</v>
      </c>
      <c r="I1287" s="83" t="e">
        <f>VLOOKUP(Tabela1[[#This Row],[Matrícula]],Equipe!B:F,5,0)</f>
        <v>#N/A</v>
      </c>
    </row>
    <row r="1288" spans="1:9">
      <c r="A1288" s="83"/>
      <c r="B1288" s="83">
        <f>_xlfn.XLOOKUP(A1288,Equipe!H:H,Equipe!B:B,"",0)</f>
        <v>0</v>
      </c>
      <c r="C1288" s="154"/>
      <c r="D1288" s="150" t="e">
        <f>(IF(Tabela1[[#This Row],[Início]]&lt;&gt;"",C1288+E1288-1,""))*1</f>
        <v>#VALUE!</v>
      </c>
      <c r="E1288" s="83"/>
      <c r="F1288" s="83"/>
      <c r="G1288" s="88"/>
      <c r="H1288" s="83" t="str">
        <f>_xlfn.XLOOKUP(Tabela1[[#This Row],[Matrícula]],Equipe!B:B,Equipe!E:E,"ERRO",0)</f>
        <v>ERRO</v>
      </c>
      <c r="I1288" s="83" t="e">
        <f>VLOOKUP(Tabela1[[#This Row],[Matrícula]],Equipe!B:F,5,0)</f>
        <v>#N/A</v>
      </c>
    </row>
    <row r="1289" spans="1:9">
      <c r="A1289" s="83"/>
      <c r="B1289" s="83">
        <f>_xlfn.XLOOKUP(A1289,Equipe!H:H,Equipe!B:B,"",0)</f>
        <v>0</v>
      </c>
      <c r="C1289" s="154"/>
      <c r="D1289" s="150" t="e">
        <f>(IF(Tabela1[[#This Row],[Início]]&lt;&gt;"",C1289+E1289-1,""))*1</f>
        <v>#VALUE!</v>
      </c>
      <c r="E1289" s="83"/>
      <c r="F1289" s="83"/>
      <c r="G1289" s="88"/>
      <c r="H1289" s="83" t="str">
        <f>_xlfn.XLOOKUP(Tabela1[[#This Row],[Matrícula]],Equipe!B:B,Equipe!E:E,"ERRO",0)</f>
        <v>ERRO</v>
      </c>
      <c r="I1289" s="83" t="e">
        <f>VLOOKUP(Tabela1[[#This Row],[Matrícula]],Equipe!B:F,5,0)</f>
        <v>#N/A</v>
      </c>
    </row>
    <row r="1290" spans="1:9">
      <c r="A1290" s="83"/>
      <c r="B1290" s="83">
        <f>_xlfn.XLOOKUP(A1290,Equipe!H:H,Equipe!B:B,"",0)</f>
        <v>0</v>
      </c>
      <c r="C1290" s="154"/>
      <c r="D1290" s="150" t="e">
        <f>(IF(Tabela1[[#This Row],[Início]]&lt;&gt;"",C1290+E1290-1,""))*1</f>
        <v>#VALUE!</v>
      </c>
      <c r="E1290" s="83"/>
      <c r="F1290" s="83"/>
      <c r="G1290" s="88"/>
      <c r="H1290" s="83" t="str">
        <f>_xlfn.XLOOKUP(Tabela1[[#This Row],[Matrícula]],Equipe!B:B,Equipe!E:E,"ERRO",0)</f>
        <v>ERRO</v>
      </c>
      <c r="I1290" s="83" t="e">
        <f>VLOOKUP(Tabela1[[#This Row],[Matrícula]],Equipe!B:F,5,0)</f>
        <v>#N/A</v>
      </c>
    </row>
    <row r="1291" spans="1:9">
      <c r="A1291" s="83"/>
      <c r="B1291" s="83">
        <f>_xlfn.XLOOKUP(A1291,Equipe!H:H,Equipe!B:B,"",0)</f>
        <v>0</v>
      </c>
      <c r="C1291" s="154"/>
      <c r="D1291" s="150" t="e">
        <f>(IF(Tabela1[[#This Row],[Início]]&lt;&gt;"",C1291+E1291-1,""))*1</f>
        <v>#VALUE!</v>
      </c>
      <c r="E1291" s="83"/>
      <c r="F1291" s="83"/>
      <c r="G1291" s="88"/>
      <c r="H1291" s="83" t="str">
        <f>_xlfn.XLOOKUP(Tabela1[[#This Row],[Matrícula]],Equipe!B:B,Equipe!E:E,"ERRO",0)</f>
        <v>ERRO</v>
      </c>
      <c r="I1291" s="83" t="e">
        <f>VLOOKUP(Tabela1[[#This Row],[Matrícula]],Equipe!B:F,5,0)</f>
        <v>#N/A</v>
      </c>
    </row>
    <row r="1292" spans="1:9">
      <c r="A1292" s="83"/>
      <c r="B1292" s="83">
        <f>_xlfn.XLOOKUP(A1292,Equipe!H:H,Equipe!B:B,"",0)</f>
        <v>0</v>
      </c>
      <c r="C1292" s="154"/>
      <c r="D1292" s="150" t="e">
        <f>(IF(Tabela1[[#This Row],[Início]]&lt;&gt;"",C1292+E1292-1,""))*1</f>
        <v>#VALUE!</v>
      </c>
      <c r="E1292" s="83"/>
      <c r="F1292" s="83"/>
      <c r="G1292" s="88"/>
      <c r="H1292" s="83" t="str">
        <f>_xlfn.XLOOKUP(Tabela1[[#This Row],[Matrícula]],Equipe!B:B,Equipe!E:E,"ERRO",0)</f>
        <v>ERRO</v>
      </c>
      <c r="I1292" s="83" t="e">
        <f>VLOOKUP(Tabela1[[#This Row],[Matrícula]],Equipe!B:F,5,0)</f>
        <v>#N/A</v>
      </c>
    </row>
    <row r="1293" spans="1:9">
      <c r="A1293" s="83"/>
      <c r="B1293" s="83">
        <f>_xlfn.XLOOKUP(A1293,Equipe!H:H,Equipe!B:B,"",0)</f>
        <v>0</v>
      </c>
      <c r="C1293" s="154"/>
      <c r="D1293" s="150" t="e">
        <f>(IF(Tabela1[[#This Row],[Início]]&lt;&gt;"",C1293+E1293-1,""))*1</f>
        <v>#VALUE!</v>
      </c>
      <c r="E1293" s="83"/>
      <c r="F1293" s="83"/>
      <c r="G1293" s="88"/>
      <c r="H1293" s="83" t="str">
        <f>_xlfn.XLOOKUP(Tabela1[[#This Row],[Matrícula]],Equipe!B:B,Equipe!E:E,"ERRO",0)</f>
        <v>ERRO</v>
      </c>
      <c r="I1293" s="83" t="e">
        <f>VLOOKUP(Tabela1[[#This Row],[Matrícula]],Equipe!B:F,5,0)</f>
        <v>#N/A</v>
      </c>
    </row>
    <row r="1294" spans="1:9">
      <c r="A1294" s="83"/>
      <c r="B1294" s="83">
        <f>_xlfn.XLOOKUP(A1294,Equipe!H:H,Equipe!B:B,"",0)</f>
        <v>0</v>
      </c>
      <c r="C1294" s="154"/>
      <c r="D1294" s="150" t="e">
        <f>(IF(Tabela1[[#This Row],[Início]]&lt;&gt;"",C1294+E1294-1,""))*1</f>
        <v>#VALUE!</v>
      </c>
      <c r="E1294" s="83"/>
      <c r="F1294" s="83"/>
      <c r="G1294" s="88"/>
      <c r="H1294" s="83" t="str">
        <f>_xlfn.XLOOKUP(Tabela1[[#This Row],[Matrícula]],Equipe!B:B,Equipe!E:E,"ERRO",0)</f>
        <v>ERRO</v>
      </c>
      <c r="I1294" s="83" t="e">
        <f>VLOOKUP(Tabela1[[#This Row],[Matrícula]],Equipe!B:F,5,0)</f>
        <v>#N/A</v>
      </c>
    </row>
    <row r="1295" spans="1:9">
      <c r="A1295" s="83"/>
      <c r="B1295" s="83">
        <f>_xlfn.XLOOKUP(A1295,Equipe!H:H,Equipe!B:B,"",0)</f>
        <v>0</v>
      </c>
      <c r="C1295" s="154"/>
      <c r="D1295" s="150" t="e">
        <f>(IF(Tabela1[[#This Row],[Início]]&lt;&gt;"",C1295+E1295-1,""))*1</f>
        <v>#VALUE!</v>
      </c>
      <c r="E1295" s="83"/>
      <c r="F1295" s="83"/>
      <c r="G1295" s="88"/>
      <c r="H1295" s="83" t="str">
        <f>_xlfn.XLOOKUP(Tabela1[[#This Row],[Matrícula]],Equipe!B:B,Equipe!E:E,"ERRO",0)</f>
        <v>ERRO</v>
      </c>
      <c r="I1295" s="83" t="e">
        <f>VLOOKUP(Tabela1[[#This Row],[Matrícula]],Equipe!B:F,5,0)</f>
        <v>#N/A</v>
      </c>
    </row>
    <row r="1296" spans="1:9">
      <c r="A1296" s="83"/>
      <c r="B1296" s="83">
        <f>_xlfn.XLOOKUP(A1296,Equipe!H:H,Equipe!B:B,"",0)</f>
        <v>0</v>
      </c>
      <c r="C1296" s="154"/>
      <c r="D1296" s="150" t="e">
        <f>(IF(Tabela1[[#This Row],[Início]]&lt;&gt;"",C1296+E1296-1,""))*1</f>
        <v>#VALUE!</v>
      </c>
      <c r="E1296" s="83"/>
      <c r="F1296" s="83"/>
      <c r="G1296" s="88"/>
      <c r="H1296" s="83" t="str">
        <f>_xlfn.XLOOKUP(Tabela1[[#This Row],[Matrícula]],Equipe!B:B,Equipe!E:E,"ERRO",0)</f>
        <v>ERRO</v>
      </c>
      <c r="I1296" s="83" t="e">
        <f>VLOOKUP(Tabela1[[#This Row],[Matrícula]],Equipe!B:F,5,0)</f>
        <v>#N/A</v>
      </c>
    </row>
    <row r="1297" spans="1:9">
      <c r="A1297" s="83"/>
      <c r="B1297" s="83">
        <f>_xlfn.XLOOKUP(A1297,Equipe!H:H,Equipe!B:B,"",0)</f>
        <v>0</v>
      </c>
      <c r="C1297" s="154"/>
      <c r="D1297" s="150" t="e">
        <f>(IF(Tabela1[[#This Row],[Início]]&lt;&gt;"",C1297+E1297-1,""))*1</f>
        <v>#VALUE!</v>
      </c>
      <c r="E1297" s="83"/>
      <c r="F1297" s="83"/>
      <c r="G1297" s="88"/>
      <c r="H1297" s="83" t="str">
        <f>_xlfn.XLOOKUP(Tabela1[[#This Row],[Matrícula]],Equipe!B:B,Equipe!E:E,"ERRO",0)</f>
        <v>ERRO</v>
      </c>
      <c r="I1297" s="83" t="e">
        <f>VLOOKUP(Tabela1[[#This Row],[Matrícula]],Equipe!B:F,5,0)</f>
        <v>#N/A</v>
      </c>
    </row>
    <row r="1298" spans="1:9">
      <c r="A1298" s="83"/>
      <c r="B1298" s="83">
        <f>_xlfn.XLOOKUP(A1298,Equipe!H:H,Equipe!B:B,"",0)</f>
        <v>0</v>
      </c>
      <c r="C1298" s="154"/>
      <c r="D1298" s="150" t="e">
        <f>(IF(Tabela1[[#This Row],[Início]]&lt;&gt;"",C1298+E1298-1,""))*1</f>
        <v>#VALUE!</v>
      </c>
      <c r="E1298" s="83"/>
      <c r="F1298" s="83"/>
      <c r="G1298" s="88"/>
      <c r="H1298" s="83" t="str">
        <f>_xlfn.XLOOKUP(Tabela1[[#This Row],[Matrícula]],Equipe!B:B,Equipe!E:E,"ERRO",0)</f>
        <v>ERRO</v>
      </c>
      <c r="I1298" s="83" t="e">
        <f>VLOOKUP(Tabela1[[#This Row],[Matrícula]],Equipe!B:F,5,0)</f>
        <v>#N/A</v>
      </c>
    </row>
    <row r="1299" spans="1:9">
      <c r="A1299" s="83"/>
      <c r="B1299" s="83">
        <f>_xlfn.XLOOKUP(A1299,Equipe!H:H,Equipe!B:B,"",0)</f>
        <v>0</v>
      </c>
      <c r="C1299" s="154"/>
      <c r="D1299" s="150" t="e">
        <f>(IF(Tabela1[[#This Row],[Início]]&lt;&gt;"",C1299+E1299-1,""))*1</f>
        <v>#VALUE!</v>
      </c>
      <c r="E1299" s="83"/>
      <c r="F1299" s="83"/>
      <c r="G1299" s="88"/>
      <c r="H1299" s="83" t="str">
        <f>_xlfn.XLOOKUP(Tabela1[[#This Row],[Matrícula]],Equipe!B:B,Equipe!E:E,"ERRO",0)</f>
        <v>ERRO</v>
      </c>
      <c r="I1299" s="83" t="e">
        <f>VLOOKUP(Tabela1[[#This Row],[Matrícula]],Equipe!B:F,5,0)</f>
        <v>#N/A</v>
      </c>
    </row>
    <row r="1300" spans="1:9">
      <c r="A1300" s="83"/>
      <c r="B1300" s="83">
        <f>_xlfn.XLOOKUP(A1300,Equipe!H:H,Equipe!B:B,"",0)</f>
        <v>0</v>
      </c>
      <c r="C1300" s="154"/>
      <c r="D1300" s="150" t="e">
        <f>(IF(Tabela1[[#This Row],[Início]]&lt;&gt;"",C1300+E1300-1,""))*1</f>
        <v>#VALUE!</v>
      </c>
      <c r="E1300" s="83"/>
      <c r="F1300" s="83"/>
      <c r="G1300" s="88"/>
      <c r="H1300" s="83" t="str">
        <f>_xlfn.XLOOKUP(Tabela1[[#This Row],[Matrícula]],Equipe!B:B,Equipe!E:E,"ERRO",0)</f>
        <v>ERRO</v>
      </c>
      <c r="I1300" s="83" t="e">
        <f>VLOOKUP(Tabela1[[#This Row],[Matrícula]],Equipe!B:F,5,0)</f>
        <v>#N/A</v>
      </c>
    </row>
    <row r="1301" spans="1:9">
      <c r="A1301" s="83"/>
      <c r="B1301" s="83">
        <f>_xlfn.XLOOKUP(A1301,Equipe!H:H,Equipe!B:B,"",0)</f>
        <v>0</v>
      </c>
      <c r="C1301" s="154"/>
      <c r="D1301" s="150" t="e">
        <f>(IF(Tabela1[[#This Row],[Início]]&lt;&gt;"",C1301+E1301-1,""))*1</f>
        <v>#VALUE!</v>
      </c>
      <c r="E1301" s="83"/>
      <c r="F1301" s="83"/>
      <c r="G1301" s="88"/>
      <c r="H1301" s="83" t="str">
        <f>_xlfn.XLOOKUP(Tabela1[[#This Row],[Matrícula]],Equipe!B:B,Equipe!E:E,"ERRO",0)</f>
        <v>ERRO</v>
      </c>
      <c r="I1301" s="83" t="e">
        <f>VLOOKUP(Tabela1[[#This Row],[Matrícula]],Equipe!B:F,5,0)</f>
        <v>#N/A</v>
      </c>
    </row>
    <row r="1302" spans="1:9">
      <c r="A1302" s="83"/>
      <c r="B1302" s="83">
        <f>_xlfn.XLOOKUP(A1302,Equipe!H:H,Equipe!B:B,"",0)</f>
        <v>0</v>
      </c>
      <c r="C1302" s="154"/>
      <c r="D1302" s="150" t="e">
        <f>(IF(Tabela1[[#This Row],[Início]]&lt;&gt;"",C1302+E1302-1,""))*1</f>
        <v>#VALUE!</v>
      </c>
      <c r="E1302" s="83"/>
      <c r="F1302" s="83"/>
      <c r="G1302" s="88"/>
      <c r="H1302" s="83" t="str">
        <f>_xlfn.XLOOKUP(Tabela1[[#This Row],[Matrícula]],Equipe!B:B,Equipe!E:E,"ERRO",0)</f>
        <v>ERRO</v>
      </c>
      <c r="I1302" s="83" t="e">
        <f>VLOOKUP(Tabela1[[#This Row],[Matrícula]],Equipe!B:F,5,0)</f>
        <v>#N/A</v>
      </c>
    </row>
    <row r="1303" spans="1:9">
      <c r="A1303" s="83"/>
      <c r="B1303" s="83">
        <f>_xlfn.XLOOKUP(A1303,Equipe!H:H,Equipe!B:B,"",0)</f>
        <v>0</v>
      </c>
      <c r="C1303" s="154"/>
      <c r="D1303" s="150" t="e">
        <f>(IF(Tabela1[[#This Row],[Início]]&lt;&gt;"",C1303+E1303-1,""))*1</f>
        <v>#VALUE!</v>
      </c>
      <c r="E1303" s="83"/>
      <c r="F1303" s="83"/>
      <c r="G1303" s="88"/>
      <c r="H1303" s="83" t="str">
        <f>_xlfn.XLOOKUP(Tabela1[[#This Row],[Matrícula]],Equipe!B:B,Equipe!E:E,"ERRO",0)</f>
        <v>ERRO</v>
      </c>
      <c r="I1303" s="83" t="e">
        <f>VLOOKUP(Tabela1[[#This Row],[Matrícula]],Equipe!B:F,5,0)</f>
        <v>#N/A</v>
      </c>
    </row>
    <row r="1304" spans="1:9">
      <c r="A1304" s="83"/>
      <c r="B1304" s="83">
        <f>_xlfn.XLOOKUP(A1304,Equipe!H:H,Equipe!B:B,"",0)</f>
        <v>0</v>
      </c>
      <c r="C1304" s="154"/>
      <c r="D1304" s="150" t="e">
        <f>(IF(Tabela1[[#This Row],[Início]]&lt;&gt;"",C1304+E1304-1,""))*1</f>
        <v>#VALUE!</v>
      </c>
      <c r="E1304" s="83"/>
      <c r="F1304" s="83"/>
      <c r="G1304" s="88"/>
      <c r="H1304" s="83" t="str">
        <f>_xlfn.XLOOKUP(Tabela1[[#This Row],[Matrícula]],Equipe!B:B,Equipe!E:E,"ERRO",0)</f>
        <v>ERRO</v>
      </c>
      <c r="I1304" s="83" t="e">
        <f>VLOOKUP(Tabela1[[#This Row],[Matrícula]],Equipe!B:F,5,0)</f>
        <v>#N/A</v>
      </c>
    </row>
    <row r="1305" spans="1:9">
      <c r="A1305" s="83"/>
      <c r="B1305" s="83">
        <f>_xlfn.XLOOKUP(A1305,Equipe!H:H,Equipe!B:B,"",0)</f>
        <v>0</v>
      </c>
      <c r="C1305" s="154"/>
      <c r="D1305" s="150" t="e">
        <f>(IF(Tabela1[[#This Row],[Início]]&lt;&gt;"",C1305+E1305-1,""))*1</f>
        <v>#VALUE!</v>
      </c>
      <c r="E1305" s="83"/>
      <c r="F1305" s="83"/>
      <c r="G1305" s="88"/>
      <c r="H1305" s="83" t="str">
        <f>_xlfn.XLOOKUP(Tabela1[[#This Row],[Matrícula]],Equipe!B:B,Equipe!E:E,"ERRO",0)</f>
        <v>ERRO</v>
      </c>
      <c r="I1305" s="83" t="e">
        <f>VLOOKUP(Tabela1[[#This Row],[Matrícula]],Equipe!B:F,5,0)</f>
        <v>#N/A</v>
      </c>
    </row>
    <row r="1306" spans="1:9">
      <c r="A1306" s="83"/>
      <c r="B1306" s="83">
        <f>_xlfn.XLOOKUP(A1306,Equipe!H:H,Equipe!B:B,"",0)</f>
        <v>0</v>
      </c>
      <c r="C1306" s="154"/>
      <c r="D1306" s="150" t="e">
        <f>(IF(Tabela1[[#This Row],[Início]]&lt;&gt;"",C1306+E1306-1,""))*1</f>
        <v>#VALUE!</v>
      </c>
      <c r="E1306" s="83"/>
      <c r="F1306" s="83"/>
      <c r="G1306" s="88"/>
      <c r="H1306" s="83" t="str">
        <f>_xlfn.XLOOKUP(Tabela1[[#This Row],[Matrícula]],Equipe!B:B,Equipe!E:E,"ERRO",0)</f>
        <v>ERRO</v>
      </c>
      <c r="I1306" s="83" t="e">
        <f>VLOOKUP(Tabela1[[#This Row],[Matrícula]],Equipe!B:F,5,0)</f>
        <v>#N/A</v>
      </c>
    </row>
    <row r="1307" spans="1:9">
      <c r="A1307" s="83"/>
      <c r="B1307" s="83">
        <f>_xlfn.XLOOKUP(A1307,Equipe!H:H,Equipe!B:B,"",0)</f>
        <v>0</v>
      </c>
      <c r="C1307" s="154"/>
      <c r="D1307" s="150" t="e">
        <f>(IF(Tabela1[[#This Row],[Início]]&lt;&gt;"",C1307+E1307-1,""))*1</f>
        <v>#VALUE!</v>
      </c>
      <c r="E1307" s="83"/>
      <c r="F1307" s="83"/>
      <c r="G1307" s="88"/>
      <c r="H1307" s="83" t="str">
        <f>_xlfn.XLOOKUP(Tabela1[[#This Row],[Matrícula]],Equipe!B:B,Equipe!E:E,"ERRO",0)</f>
        <v>ERRO</v>
      </c>
      <c r="I1307" s="83" t="e">
        <f>VLOOKUP(Tabela1[[#This Row],[Matrícula]],Equipe!B:F,5,0)</f>
        <v>#N/A</v>
      </c>
    </row>
    <row r="1308" spans="1:9">
      <c r="A1308" s="83"/>
      <c r="B1308" s="83">
        <f>_xlfn.XLOOKUP(A1308,Equipe!H:H,Equipe!B:B,"",0)</f>
        <v>0</v>
      </c>
      <c r="C1308" s="154"/>
      <c r="D1308" s="150" t="e">
        <f>(IF(Tabela1[[#This Row],[Início]]&lt;&gt;"",C1308+E1308-1,""))*1</f>
        <v>#VALUE!</v>
      </c>
      <c r="E1308" s="83"/>
      <c r="F1308" s="83"/>
      <c r="G1308" s="88"/>
      <c r="H1308" s="83" t="str">
        <f>_xlfn.XLOOKUP(Tabela1[[#This Row],[Matrícula]],Equipe!B:B,Equipe!E:E,"ERRO",0)</f>
        <v>ERRO</v>
      </c>
      <c r="I1308" s="83" t="e">
        <f>VLOOKUP(Tabela1[[#This Row],[Matrícula]],Equipe!B:F,5,0)</f>
        <v>#N/A</v>
      </c>
    </row>
    <row r="1309" spans="1:9">
      <c r="A1309" s="83"/>
      <c r="B1309" s="83">
        <f>_xlfn.XLOOKUP(A1309,Equipe!H:H,Equipe!B:B,"",0)</f>
        <v>0</v>
      </c>
      <c r="C1309" s="154"/>
      <c r="D1309" s="150" t="e">
        <f>(IF(Tabela1[[#This Row],[Início]]&lt;&gt;"",C1309+E1309-1,""))*1</f>
        <v>#VALUE!</v>
      </c>
      <c r="E1309" s="83"/>
      <c r="F1309" s="83"/>
      <c r="G1309" s="88"/>
      <c r="H1309" s="83" t="str">
        <f>_xlfn.XLOOKUP(Tabela1[[#This Row],[Matrícula]],Equipe!B:B,Equipe!E:E,"ERRO",0)</f>
        <v>ERRO</v>
      </c>
      <c r="I1309" s="83" t="e">
        <f>VLOOKUP(Tabela1[[#This Row],[Matrícula]],Equipe!B:F,5,0)</f>
        <v>#N/A</v>
      </c>
    </row>
    <row r="1310" spans="1:9">
      <c r="A1310" s="83"/>
      <c r="B1310" s="83">
        <f>_xlfn.XLOOKUP(A1310,Equipe!H:H,Equipe!B:B,"",0)</f>
        <v>0</v>
      </c>
      <c r="C1310" s="154"/>
      <c r="D1310" s="150" t="e">
        <f>(IF(Tabela1[[#This Row],[Início]]&lt;&gt;"",C1310+E1310-1,""))*1</f>
        <v>#VALUE!</v>
      </c>
      <c r="E1310" s="83"/>
      <c r="F1310" s="83"/>
      <c r="G1310" s="88"/>
      <c r="H1310" s="83" t="str">
        <f>_xlfn.XLOOKUP(Tabela1[[#This Row],[Matrícula]],Equipe!B:B,Equipe!E:E,"ERRO",0)</f>
        <v>ERRO</v>
      </c>
      <c r="I1310" s="83" t="e">
        <f>VLOOKUP(Tabela1[[#This Row],[Matrícula]],Equipe!B:F,5,0)</f>
        <v>#N/A</v>
      </c>
    </row>
    <row r="1311" spans="1:9">
      <c r="A1311" s="83"/>
      <c r="B1311" s="83">
        <f>_xlfn.XLOOKUP(A1311,Equipe!H:H,Equipe!B:B,"",0)</f>
        <v>0</v>
      </c>
      <c r="C1311" s="154"/>
      <c r="D1311" s="150" t="e">
        <f>(IF(Tabela1[[#This Row],[Início]]&lt;&gt;"",C1311+E1311-1,""))*1</f>
        <v>#VALUE!</v>
      </c>
      <c r="E1311" s="83"/>
      <c r="F1311" s="83"/>
      <c r="G1311" s="88"/>
      <c r="H1311" s="83" t="str">
        <f>_xlfn.XLOOKUP(Tabela1[[#This Row],[Matrícula]],Equipe!B:B,Equipe!E:E,"ERRO",0)</f>
        <v>ERRO</v>
      </c>
      <c r="I1311" s="83" t="e">
        <f>VLOOKUP(Tabela1[[#This Row],[Matrícula]],Equipe!B:F,5,0)</f>
        <v>#N/A</v>
      </c>
    </row>
    <row r="1312" spans="1:9">
      <c r="A1312" s="83"/>
      <c r="B1312" s="83">
        <f>_xlfn.XLOOKUP(A1312,Equipe!H:H,Equipe!B:B,"",0)</f>
        <v>0</v>
      </c>
      <c r="C1312" s="154"/>
      <c r="D1312" s="150" t="e">
        <f>(IF(Tabela1[[#This Row],[Início]]&lt;&gt;"",C1312+E1312-1,""))*1</f>
        <v>#VALUE!</v>
      </c>
      <c r="E1312" s="83"/>
      <c r="F1312" s="83"/>
      <c r="G1312" s="88"/>
      <c r="H1312" s="83" t="str">
        <f>_xlfn.XLOOKUP(Tabela1[[#This Row],[Matrícula]],Equipe!B:B,Equipe!E:E,"ERRO",0)</f>
        <v>ERRO</v>
      </c>
      <c r="I1312" s="83" t="e">
        <f>VLOOKUP(Tabela1[[#This Row],[Matrícula]],Equipe!B:F,5,0)</f>
        <v>#N/A</v>
      </c>
    </row>
    <row r="1313" spans="1:9">
      <c r="A1313" s="83"/>
      <c r="B1313" s="83">
        <f>_xlfn.XLOOKUP(A1313,Equipe!H:H,Equipe!B:B,"",0)</f>
        <v>0</v>
      </c>
      <c r="C1313" s="154"/>
      <c r="D1313" s="150" t="e">
        <f>(IF(Tabela1[[#This Row],[Início]]&lt;&gt;"",C1313+E1313-1,""))*1</f>
        <v>#VALUE!</v>
      </c>
      <c r="E1313" s="83"/>
      <c r="F1313" s="83"/>
      <c r="G1313" s="88"/>
      <c r="H1313" s="83" t="str">
        <f>_xlfn.XLOOKUP(Tabela1[[#This Row],[Matrícula]],Equipe!B:B,Equipe!E:E,"ERRO",0)</f>
        <v>ERRO</v>
      </c>
      <c r="I1313" s="83" t="e">
        <f>VLOOKUP(Tabela1[[#This Row],[Matrícula]],Equipe!B:F,5,0)</f>
        <v>#N/A</v>
      </c>
    </row>
    <row r="1314" spans="1:9">
      <c r="A1314" s="83"/>
      <c r="B1314" s="83">
        <f>_xlfn.XLOOKUP(A1314,Equipe!H:H,Equipe!B:B,"",0)</f>
        <v>0</v>
      </c>
      <c r="C1314" s="154"/>
      <c r="D1314" s="150" t="e">
        <f>(IF(Tabela1[[#This Row],[Início]]&lt;&gt;"",C1314+E1314-1,""))*1</f>
        <v>#VALUE!</v>
      </c>
      <c r="E1314" s="83"/>
      <c r="F1314" s="83"/>
      <c r="G1314" s="88"/>
      <c r="H1314" s="83" t="str">
        <f>_xlfn.XLOOKUP(Tabela1[[#This Row],[Matrícula]],Equipe!B:B,Equipe!E:E,"ERRO",0)</f>
        <v>ERRO</v>
      </c>
      <c r="I1314" s="83" t="e">
        <f>VLOOKUP(Tabela1[[#This Row],[Matrícula]],Equipe!B:F,5,0)</f>
        <v>#N/A</v>
      </c>
    </row>
    <row r="1315" spans="1:9">
      <c r="A1315" s="83"/>
      <c r="B1315" s="83">
        <f>_xlfn.XLOOKUP(A1315,Equipe!H:H,Equipe!B:B,"",0)</f>
        <v>0</v>
      </c>
      <c r="C1315" s="154"/>
      <c r="D1315" s="150" t="e">
        <f>(IF(Tabela1[[#This Row],[Início]]&lt;&gt;"",C1315+E1315-1,""))*1</f>
        <v>#VALUE!</v>
      </c>
      <c r="E1315" s="83"/>
      <c r="F1315" s="83"/>
      <c r="G1315" s="88"/>
      <c r="H1315" s="83" t="str">
        <f>_xlfn.XLOOKUP(Tabela1[[#This Row],[Matrícula]],Equipe!B:B,Equipe!E:E,"ERRO",0)</f>
        <v>ERRO</v>
      </c>
      <c r="I1315" s="83" t="e">
        <f>VLOOKUP(Tabela1[[#This Row],[Matrícula]],Equipe!B:F,5,0)</f>
        <v>#N/A</v>
      </c>
    </row>
    <row r="1316" spans="1:9">
      <c r="A1316" s="83"/>
      <c r="B1316" s="83">
        <f>_xlfn.XLOOKUP(A1316,Equipe!H:H,Equipe!B:B,"",0)</f>
        <v>0</v>
      </c>
      <c r="C1316" s="154"/>
      <c r="D1316" s="150" t="e">
        <f>(IF(Tabela1[[#This Row],[Início]]&lt;&gt;"",C1316+E1316-1,""))*1</f>
        <v>#VALUE!</v>
      </c>
      <c r="E1316" s="83"/>
      <c r="F1316" s="83"/>
      <c r="G1316" s="88"/>
      <c r="H1316" s="83" t="str">
        <f>_xlfn.XLOOKUP(Tabela1[[#This Row],[Matrícula]],Equipe!B:B,Equipe!E:E,"ERRO",0)</f>
        <v>ERRO</v>
      </c>
      <c r="I1316" s="83" t="e">
        <f>VLOOKUP(Tabela1[[#This Row],[Matrícula]],Equipe!B:F,5,0)</f>
        <v>#N/A</v>
      </c>
    </row>
    <row r="1317" spans="1:9">
      <c r="A1317" s="83"/>
      <c r="B1317" s="83">
        <f>_xlfn.XLOOKUP(A1317,Equipe!H:H,Equipe!B:B,"",0)</f>
        <v>0</v>
      </c>
      <c r="C1317" s="154"/>
      <c r="D1317" s="150" t="e">
        <f>(IF(Tabela1[[#This Row],[Início]]&lt;&gt;"",C1317+E1317-1,""))*1</f>
        <v>#VALUE!</v>
      </c>
      <c r="E1317" s="83"/>
      <c r="F1317" s="83"/>
      <c r="G1317" s="88"/>
      <c r="H1317" s="83" t="str">
        <f>_xlfn.XLOOKUP(Tabela1[[#This Row],[Matrícula]],Equipe!B:B,Equipe!E:E,"ERRO",0)</f>
        <v>ERRO</v>
      </c>
      <c r="I1317" s="83" t="e">
        <f>VLOOKUP(Tabela1[[#This Row],[Matrícula]],Equipe!B:F,5,0)</f>
        <v>#N/A</v>
      </c>
    </row>
    <row r="1318" spans="1:9">
      <c r="A1318" s="83"/>
      <c r="B1318" s="83">
        <f>_xlfn.XLOOKUP(A1318,Equipe!H:H,Equipe!B:B,"",0)</f>
        <v>0</v>
      </c>
      <c r="C1318" s="154"/>
      <c r="D1318" s="150" t="e">
        <f>(IF(Tabela1[[#This Row],[Início]]&lt;&gt;"",C1318+E1318-1,""))*1</f>
        <v>#VALUE!</v>
      </c>
      <c r="E1318" s="83"/>
      <c r="F1318" s="83"/>
      <c r="G1318" s="88"/>
      <c r="H1318" s="83" t="str">
        <f>_xlfn.XLOOKUP(Tabela1[[#This Row],[Matrícula]],Equipe!B:B,Equipe!E:E,"ERRO",0)</f>
        <v>ERRO</v>
      </c>
      <c r="I1318" s="83" t="e">
        <f>VLOOKUP(Tabela1[[#This Row],[Matrícula]],Equipe!B:F,5,0)</f>
        <v>#N/A</v>
      </c>
    </row>
    <row r="1319" spans="1:9">
      <c r="A1319" s="83"/>
      <c r="B1319" s="83">
        <f>_xlfn.XLOOKUP(A1319,Equipe!H:H,Equipe!B:B,"",0)</f>
        <v>0</v>
      </c>
      <c r="C1319" s="154"/>
      <c r="D1319" s="150" t="e">
        <f>(IF(Tabela1[[#This Row],[Início]]&lt;&gt;"",C1319+E1319-1,""))*1</f>
        <v>#VALUE!</v>
      </c>
      <c r="E1319" s="83"/>
      <c r="F1319" s="83"/>
      <c r="G1319" s="88"/>
      <c r="H1319" s="83" t="str">
        <f>_xlfn.XLOOKUP(Tabela1[[#This Row],[Matrícula]],Equipe!B:B,Equipe!E:E,"ERRO",0)</f>
        <v>ERRO</v>
      </c>
      <c r="I1319" s="83" t="e">
        <f>VLOOKUP(Tabela1[[#This Row],[Matrícula]],Equipe!B:F,5,0)</f>
        <v>#N/A</v>
      </c>
    </row>
    <row r="1320" spans="1:9">
      <c r="A1320" s="83"/>
      <c r="B1320" s="83">
        <f>_xlfn.XLOOKUP(A1320,Equipe!H:H,Equipe!B:B,"",0)</f>
        <v>0</v>
      </c>
      <c r="C1320" s="154"/>
      <c r="D1320" s="150" t="e">
        <f>(IF(Tabela1[[#This Row],[Início]]&lt;&gt;"",C1320+E1320-1,""))*1</f>
        <v>#VALUE!</v>
      </c>
      <c r="E1320" s="83"/>
      <c r="F1320" s="83"/>
      <c r="G1320" s="88"/>
      <c r="H1320" s="83" t="str">
        <f>_xlfn.XLOOKUP(Tabela1[[#This Row],[Matrícula]],Equipe!B:B,Equipe!E:E,"ERRO",0)</f>
        <v>ERRO</v>
      </c>
      <c r="I1320" s="83" t="e">
        <f>VLOOKUP(Tabela1[[#This Row],[Matrícula]],Equipe!B:F,5,0)</f>
        <v>#N/A</v>
      </c>
    </row>
    <row r="1321" spans="1:9">
      <c r="A1321" s="83"/>
      <c r="B1321" s="83">
        <f>_xlfn.XLOOKUP(A1321,Equipe!H:H,Equipe!B:B,"",0)</f>
        <v>0</v>
      </c>
      <c r="C1321" s="154"/>
      <c r="D1321" s="150" t="e">
        <f>(IF(Tabela1[[#This Row],[Início]]&lt;&gt;"",C1321+E1321-1,""))*1</f>
        <v>#VALUE!</v>
      </c>
      <c r="E1321" s="83"/>
      <c r="F1321" s="83"/>
      <c r="G1321" s="88"/>
      <c r="H1321" s="83" t="str">
        <f>_xlfn.XLOOKUP(Tabela1[[#This Row],[Matrícula]],Equipe!B:B,Equipe!E:E,"ERRO",0)</f>
        <v>ERRO</v>
      </c>
      <c r="I1321" s="83" t="e">
        <f>VLOOKUP(Tabela1[[#This Row],[Matrícula]],Equipe!B:F,5,0)</f>
        <v>#N/A</v>
      </c>
    </row>
    <row r="1322" spans="1:9">
      <c r="A1322" s="83"/>
      <c r="B1322" s="83">
        <f>_xlfn.XLOOKUP(A1322,Equipe!H:H,Equipe!B:B,"",0)</f>
        <v>0</v>
      </c>
      <c r="C1322" s="154"/>
      <c r="D1322" s="150" t="e">
        <f>(IF(Tabela1[[#This Row],[Início]]&lt;&gt;"",C1322+E1322-1,""))*1</f>
        <v>#VALUE!</v>
      </c>
      <c r="E1322" s="83"/>
      <c r="F1322" s="83"/>
      <c r="G1322" s="88"/>
      <c r="H1322" s="83" t="str">
        <f>_xlfn.XLOOKUP(Tabela1[[#This Row],[Matrícula]],Equipe!B:B,Equipe!E:E,"ERRO",0)</f>
        <v>ERRO</v>
      </c>
      <c r="I1322" s="83" t="e">
        <f>VLOOKUP(Tabela1[[#This Row],[Matrícula]],Equipe!B:F,5,0)</f>
        <v>#N/A</v>
      </c>
    </row>
    <row r="1323" spans="1:9">
      <c r="A1323" s="83"/>
      <c r="B1323" s="83">
        <f>_xlfn.XLOOKUP(A1323,Equipe!H:H,Equipe!B:B,"",0)</f>
        <v>0</v>
      </c>
      <c r="C1323" s="154"/>
      <c r="D1323" s="150" t="e">
        <f>(IF(Tabela1[[#This Row],[Início]]&lt;&gt;"",C1323+E1323-1,""))*1</f>
        <v>#VALUE!</v>
      </c>
      <c r="E1323" s="83"/>
      <c r="F1323" s="83"/>
      <c r="G1323" s="88"/>
      <c r="H1323" s="83" t="str">
        <f>_xlfn.XLOOKUP(Tabela1[[#This Row],[Matrícula]],Equipe!B:B,Equipe!E:E,"ERRO",0)</f>
        <v>ERRO</v>
      </c>
      <c r="I1323" s="83" t="e">
        <f>VLOOKUP(Tabela1[[#This Row],[Matrícula]],Equipe!B:F,5,0)</f>
        <v>#N/A</v>
      </c>
    </row>
    <row r="1324" spans="1:9">
      <c r="A1324" s="83"/>
      <c r="B1324" s="83">
        <f>_xlfn.XLOOKUP(A1324,Equipe!H:H,Equipe!B:B,"",0)</f>
        <v>0</v>
      </c>
      <c r="C1324" s="154"/>
      <c r="D1324" s="150" t="e">
        <f>(IF(Tabela1[[#This Row],[Início]]&lt;&gt;"",C1324+E1324-1,""))*1</f>
        <v>#VALUE!</v>
      </c>
      <c r="E1324" s="83"/>
      <c r="F1324" s="83"/>
      <c r="G1324" s="88"/>
      <c r="H1324" s="83" t="str">
        <f>_xlfn.XLOOKUP(Tabela1[[#This Row],[Matrícula]],Equipe!B:B,Equipe!E:E,"ERRO",0)</f>
        <v>ERRO</v>
      </c>
      <c r="I1324" s="83" t="e">
        <f>VLOOKUP(Tabela1[[#This Row],[Matrícula]],Equipe!B:F,5,0)</f>
        <v>#N/A</v>
      </c>
    </row>
    <row r="1325" spans="1:9">
      <c r="A1325" s="83"/>
      <c r="B1325" s="83">
        <f>_xlfn.XLOOKUP(A1325,Equipe!H:H,Equipe!B:B,"",0)</f>
        <v>0</v>
      </c>
      <c r="C1325" s="154"/>
      <c r="D1325" s="150" t="e">
        <f>(IF(Tabela1[[#This Row],[Início]]&lt;&gt;"",C1325+E1325-1,""))*1</f>
        <v>#VALUE!</v>
      </c>
      <c r="E1325" s="83"/>
      <c r="F1325" s="83"/>
      <c r="G1325" s="88"/>
      <c r="H1325" s="83" t="str">
        <f>_xlfn.XLOOKUP(Tabela1[[#This Row],[Matrícula]],Equipe!B:B,Equipe!E:E,"ERRO",0)</f>
        <v>ERRO</v>
      </c>
      <c r="I1325" s="83" t="e">
        <f>VLOOKUP(Tabela1[[#This Row],[Matrícula]],Equipe!B:F,5,0)</f>
        <v>#N/A</v>
      </c>
    </row>
    <row r="1326" spans="1:9">
      <c r="A1326" s="83"/>
      <c r="B1326" s="83">
        <f>_xlfn.XLOOKUP(A1326,Equipe!H:H,Equipe!B:B,"",0)</f>
        <v>0</v>
      </c>
      <c r="C1326" s="154"/>
      <c r="D1326" s="150" t="e">
        <f>(IF(Tabela1[[#This Row],[Início]]&lt;&gt;"",C1326+E1326-1,""))*1</f>
        <v>#VALUE!</v>
      </c>
      <c r="E1326" s="83"/>
      <c r="F1326" s="83"/>
      <c r="G1326" s="88"/>
      <c r="H1326" s="83" t="str">
        <f>_xlfn.XLOOKUP(Tabela1[[#This Row],[Matrícula]],Equipe!B:B,Equipe!E:E,"ERRO",0)</f>
        <v>ERRO</v>
      </c>
      <c r="I1326" s="83" t="e">
        <f>VLOOKUP(Tabela1[[#This Row],[Matrícula]],Equipe!B:F,5,0)</f>
        <v>#N/A</v>
      </c>
    </row>
    <row r="1327" spans="1:9">
      <c r="A1327" s="83"/>
      <c r="B1327" s="83">
        <f>_xlfn.XLOOKUP(A1327,Equipe!H:H,Equipe!B:B,"",0)</f>
        <v>0</v>
      </c>
      <c r="C1327" s="154"/>
      <c r="D1327" s="150" t="e">
        <f>(IF(Tabela1[[#This Row],[Início]]&lt;&gt;"",C1327+E1327-1,""))*1</f>
        <v>#VALUE!</v>
      </c>
      <c r="E1327" s="83"/>
      <c r="F1327" s="83"/>
      <c r="G1327" s="88"/>
      <c r="H1327" s="83" t="str">
        <f>_xlfn.XLOOKUP(Tabela1[[#This Row],[Matrícula]],Equipe!B:B,Equipe!E:E,"ERRO",0)</f>
        <v>ERRO</v>
      </c>
      <c r="I1327" s="83" t="e">
        <f>VLOOKUP(Tabela1[[#This Row],[Matrícula]],Equipe!B:F,5,0)</f>
        <v>#N/A</v>
      </c>
    </row>
    <row r="1328" spans="1:9">
      <c r="A1328" s="83"/>
      <c r="B1328" s="83">
        <f>_xlfn.XLOOKUP(A1328,Equipe!H:H,Equipe!B:B,"",0)</f>
        <v>0</v>
      </c>
      <c r="C1328" s="154"/>
      <c r="D1328" s="150" t="e">
        <f>(IF(Tabela1[[#This Row],[Início]]&lt;&gt;"",C1328+E1328-1,""))*1</f>
        <v>#VALUE!</v>
      </c>
      <c r="E1328" s="83"/>
      <c r="F1328" s="83"/>
      <c r="G1328" s="88"/>
      <c r="H1328" s="83" t="str">
        <f>_xlfn.XLOOKUP(Tabela1[[#This Row],[Matrícula]],Equipe!B:B,Equipe!E:E,"ERRO",0)</f>
        <v>ERRO</v>
      </c>
      <c r="I1328" s="83" t="e">
        <f>VLOOKUP(Tabela1[[#This Row],[Matrícula]],Equipe!B:F,5,0)</f>
        <v>#N/A</v>
      </c>
    </row>
    <row r="1329" spans="1:9">
      <c r="A1329" s="83"/>
      <c r="B1329" s="83">
        <f>_xlfn.XLOOKUP(A1329,Equipe!H:H,Equipe!B:B,"",0)</f>
        <v>0</v>
      </c>
      <c r="C1329" s="154"/>
      <c r="D1329" s="150" t="e">
        <f>(IF(Tabela1[[#This Row],[Início]]&lt;&gt;"",C1329+E1329-1,""))*1</f>
        <v>#VALUE!</v>
      </c>
      <c r="E1329" s="83"/>
      <c r="F1329" s="83"/>
      <c r="G1329" s="88"/>
      <c r="H1329" s="83" t="str">
        <f>_xlfn.XLOOKUP(Tabela1[[#This Row],[Matrícula]],Equipe!B:B,Equipe!E:E,"ERRO",0)</f>
        <v>ERRO</v>
      </c>
      <c r="I1329" s="83" t="e">
        <f>VLOOKUP(Tabela1[[#This Row],[Matrícula]],Equipe!B:F,5,0)</f>
        <v>#N/A</v>
      </c>
    </row>
    <row r="1330" spans="1:9">
      <c r="A1330" s="83"/>
      <c r="B1330" s="83">
        <f>_xlfn.XLOOKUP(A1330,Equipe!H:H,Equipe!B:B,"",0)</f>
        <v>0</v>
      </c>
      <c r="C1330" s="154"/>
      <c r="D1330" s="150" t="e">
        <f>(IF(Tabela1[[#This Row],[Início]]&lt;&gt;"",C1330+E1330-1,""))*1</f>
        <v>#VALUE!</v>
      </c>
      <c r="E1330" s="83"/>
      <c r="F1330" s="83"/>
      <c r="G1330" s="88"/>
      <c r="H1330" s="83" t="str">
        <f>_xlfn.XLOOKUP(Tabela1[[#This Row],[Matrícula]],Equipe!B:B,Equipe!E:E,"ERRO",0)</f>
        <v>ERRO</v>
      </c>
      <c r="I1330" s="83" t="e">
        <f>VLOOKUP(Tabela1[[#This Row],[Matrícula]],Equipe!B:F,5,0)</f>
        <v>#N/A</v>
      </c>
    </row>
    <row r="1331" spans="1:9">
      <c r="A1331" s="83"/>
      <c r="B1331" s="83">
        <f>_xlfn.XLOOKUP(A1331,Equipe!H:H,Equipe!B:B,"",0)</f>
        <v>0</v>
      </c>
      <c r="C1331" s="154"/>
      <c r="D1331" s="150" t="e">
        <f>(IF(Tabela1[[#This Row],[Início]]&lt;&gt;"",C1331+E1331-1,""))*1</f>
        <v>#VALUE!</v>
      </c>
      <c r="E1331" s="83"/>
      <c r="F1331" s="83"/>
      <c r="G1331" s="88"/>
      <c r="H1331" s="83" t="str">
        <f>_xlfn.XLOOKUP(Tabela1[[#This Row],[Matrícula]],Equipe!B:B,Equipe!E:E,"ERRO",0)</f>
        <v>ERRO</v>
      </c>
      <c r="I1331" s="83" t="e">
        <f>VLOOKUP(Tabela1[[#This Row],[Matrícula]],Equipe!B:F,5,0)</f>
        <v>#N/A</v>
      </c>
    </row>
    <row r="1332" spans="1:9">
      <c r="A1332" s="83"/>
      <c r="B1332" s="83">
        <f>_xlfn.XLOOKUP(A1332,Equipe!H:H,Equipe!B:B,"",0)</f>
        <v>0</v>
      </c>
      <c r="C1332" s="154"/>
      <c r="D1332" s="150" t="e">
        <f>(IF(Tabela1[[#This Row],[Início]]&lt;&gt;"",C1332+E1332-1,""))*1</f>
        <v>#VALUE!</v>
      </c>
      <c r="E1332" s="83"/>
      <c r="F1332" s="83"/>
      <c r="G1332" s="88"/>
      <c r="H1332" s="83" t="str">
        <f>_xlfn.XLOOKUP(Tabela1[[#This Row],[Matrícula]],Equipe!B:B,Equipe!E:E,"ERRO",0)</f>
        <v>ERRO</v>
      </c>
      <c r="I1332" s="83" t="e">
        <f>VLOOKUP(Tabela1[[#This Row],[Matrícula]],Equipe!B:F,5,0)</f>
        <v>#N/A</v>
      </c>
    </row>
    <row r="1333" spans="1:9">
      <c r="A1333" s="83"/>
      <c r="B1333" s="83">
        <f>_xlfn.XLOOKUP(A1333,Equipe!H:H,Equipe!B:B,"",0)</f>
        <v>0</v>
      </c>
      <c r="C1333" s="154"/>
      <c r="D1333" s="150" t="e">
        <f>(IF(Tabela1[[#This Row],[Início]]&lt;&gt;"",C1333+E1333-1,""))*1</f>
        <v>#VALUE!</v>
      </c>
      <c r="E1333" s="83"/>
      <c r="F1333" s="83"/>
      <c r="G1333" s="88"/>
      <c r="H1333" s="83" t="str">
        <f>_xlfn.XLOOKUP(Tabela1[[#This Row],[Matrícula]],Equipe!B:B,Equipe!E:E,"ERRO",0)</f>
        <v>ERRO</v>
      </c>
      <c r="I1333" s="83" t="e">
        <f>VLOOKUP(Tabela1[[#This Row],[Matrícula]],Equipe!B:F,5,0)</f>
        <v>#N/A</v>
      </c>
    </row>
    <row r="1334" spans="1:9">
      <c r="A1334" s="83"/>
      <c r="B1334" s="83">
        <f>_xlfn.XLOOKUP(A1334,Equipe!H:H,Equipe!B:B,"",0)</f>
        <v>0</v>
      </c>
      <c r="C1334" s="154"/>
      <c r="D1334" s="150" t="e">
        <f>(IF(Tabela1[[#This Row],[Início]]&lt;&gt;"",C1334+E1334-1,""))*1</f>
        <v>#VALUE!</v>
      </c>
      <c r="E1334" s="83"/>
      <c r="F1334" s="83"/>
      <c r="G1334" s="88"/>
      <c r="H1334" s="83" t="str">
        <f>_xlfn.XLOOKUP(Tabela1[[#This Row],[Matrícula]],Equipe!B:B,Equipe!E:E,"ERRO",0)</f>
        <v>ERRO</v>
      </c>
      <c r="I1334" s="83" t="e">
        <f>VLOOKUP(Tabela1[[#This Row],[Matrícula]],Equipe!B:F,5,0)</f>
        <v>#N/A</v>
      </c>
    </row>
    <row r="1335" spans="1:9">
      <c r="A1335" s="83"/>
      <c r="B1335" s="83">
        <f>_xlfn.XLOOKUP(A1335,Equipe!H:H,Equipe!B:B,"",0)</f>
        <v>0</v>
      </c>
      <c r="C1335" s="154"/>
      <c r="D1335" s="150" t="e">
        <f>(IF(Tabela1[[#This Row],[Início]]&lt;&gt;"",C1335+E1335-1,""))*1</f>
        <v>#VALUE!</v>
      </c>
      <c r="E1335" s="83"/>
      <c r="F1335" s="83"/>
      <c r="G1335" s="88"/>
      <c r="H1335" s="83" t="str">
        <f>_xlfn.XLOOKUP(Tabela1[[#This Row],[Matrícula]],Equipe!B:B,Equipe!E:E,"ERRO",0)</f>
        <v>ERRO</v>
      </c>
      <c r="I1335" s="83" t="e">
        <f>VLOOKUP(Tabela1[[#This Row],[Matrícula]],Equipe!B:F,5,0)</f>
        <v>#N/A</v>
      </c>
    </row>
    <row r="1336" spans="1:9">
      <c r="A1336" s="83"/>
      <c r="B1336" s="83">
        <f>_xlfn.XLOOKUP(A1336,Equipe!H:H,Equipe!B:B,"",0)</f>
        <v>0</v>
      </c>
      <c r="C1336" s="154"/>
      <c r="D1336" s="150" t="e">
        <f>(IF(Tabela1[[#This Row],[Início]]&lt;&gt;"",C1336+E1336-1,""))*1</f>
        <v>#VALUE!</v>
      </c>
      <c r="E1336" s="83"/>
      <c r="F1336" s="83"/>
      <c r="G1336" s="88"/>
      <c r="H1336" s="83" t="str">
        <f>_xlfn.XLOOKUP(Tabela1[[#This Row],[Matrícula]],Equipe!B:B,Equipe!E:E,"ERRO",0)</f>
        <v>ERRO</v>
      </c>
      <c r="I1336" s="83" t="e">
        <f>VLOOKUP(Tabela1[[#This Row],[Matrícula]],Equipe!B:F,5,0)</f>
        <v>#N/A</v>
      </c>
    </row>
    <row r="1337" spans="1:9">
      <c r="A1337" s="83"/>
      <c r="B1337" s="83">
        <f>_xlfn.XLOOKUP(A1337,Equipe!H:H,Equipe!B:B,"",0)</f>
        <v>0</v>
      </c>
      <c r="C1337" s="154"/>
      <c r="D1337" s="150" t="e">
        <f>(IF(Tabela1[[#This Row],[Início]]&lt;&gt;"",C1337+E1337-1,""))*1</f>
        <v>#VALUE!</v>
      </c>
      <c r="E1337" s="83"/>
      <c r="F1337" s="83"/>
      <c r="G1337" s="88"/>
      <c r="H1337" s="83" t="str">
        <f>_xlfn.XLOOKUP(Tabela1[[#This Row],[Matrícula]],Equipe!B:B,Equipe!E:E,"ERRO",0)</f>
        <v>ERRO</v>
      </c>
      <c r="I1337" s="83" t="e">
        <f>VLOOKUP(Tabela1[[#This Row],[Matrícula]],Equipe!B:F,5,0)</f>
        <v>#N/A</v>
      </c>
    </row>
    <row r="1338" spans="1:9">
      <c r="A1338" s="83"/>
      <c r="B1338" s="83">
        <f>_xlfn.XLOOKUP(A1338,Equipe!H:H,Equipe!B:B,"",0)</f>
        <v>0</v>
      </c>
      <c r="C1338" s="154"/>
      <c r="D1338" s="150" t="e">
        <f>(IF(Tabela1[[#This Row],[Início]]&lt;&gt;"",C1338+E1338-1,""))*1</f>
        <v>#VALUE!</v>
      </c>
      <c r="E1338" s="83"/>
      <c r="F1338" s="83"/>
      <c r="G1338" s="88"/>
      <c r="H1338" s="83" t="str">
        <f>_xlfn.XLOOKUP(Tabela1[[#This Row],[Matrícula]],Equipe!B:B,Equipe!E:E,"ERRO",0)</f>
        <v>ERRO</v>
      </c>
      <c r="I1338" s="83" t="e">
        <f>VLOOKUP(Tabela1[[#This Row],[Matrícula]],Equipe!B:F,5,0)</f>
        <v>#N/A</v>
      </c>
    </row>
    <row r="1339" spans="1:9">
      <c r="A1339" s="83"/>
      <c r="B1339" s="83">
        <f>_xlfn.XLOOKUP(A1339,Equipe!H:H,Equipe!B:B,"",0)</f>
        <v>0</v>
      </c>
      <c r="C1339" s="154"/>
      <c r="D1339" s="150" t="e">
        <f>(IF(Tabela1[[#This Row],[Início]]&lt;&gt;"",C1339+E1339-1,""))*1</f>
        <v>#VALUE!</v>
      </c>
      <c r="E1339" s="83"/>
      <c r="F1339" s="83"/>
      <c r="G1339" s="88"/>
      <c r="H1339" s="83" t="str">
        <f>_xlfn.XLOOKUP(Tabela1[[#This Row],[Matrícula]],Equipe!B:B,Equipe!E:E,"ERRO",0)</f>
        <v>ERRO</v>
      </c>
      <c r="I1339" s="83" t="e">
        <f>VLOOKUP(Tabela1[[#This Row],[Matrícula]],Equipe!B:F,5,0)</f>
        <v>#N/A</v>
      </c>
    </row>
    <row r="1340" spans="1:9">
      <c r="A1340" s="83"/>
      <c r="B1340" s="83">
        <f>_xlfn.XLOOKUP(A1340,Equipe!H:H,Equipe!B:B,"",0)</f>
        <v>0</v>
      </c>
      <c r="C1340" s="154"/>
      <c r="D1340" s="150" t="e">
        <f>(IF(Tabela1[[#This Row],[Início]]&lt;&gt;"",C1340+E1340-1,""))*1</f>
        <v>#VALUE!</v>
      </c>
      <c r="E1340" s="83"/>
      <c r="F1340" s="83"/>
      <c r="G1340" s="88"/>
      <c r="H1340" s="83" t="str">
        <f>_xlfn.XLOOKUP(Tabela1[[#This Row],[Matrícula]],Equipe!B:B,Equipe!E:E,"ERRO",0)</f>
        <v>ERRO</v>
      </c>
      <c r="I1340" s="83" t="e">
        <f>VLOOKUP(Tabela1[[#This Row],[Matrícula]],Equipe!B:F,5,0)</f>
        <v>#N/A</v>
      </c>
    </row>
    <row r="1341" spans="1:9">
      <c r="A1341" s="83"/>
      <c r="B1341" s="83">
        <f>_xlfn.XLOOKUP(A1341,Equipe!H:H,Equipe!B:B,"",0)</f>
        <v>0</v>
      </c>
      <c r="C1341" s="154"/>
      <c r="D1341" s="150" t="e">
        <f>(IF(Tabela1[[#This Row],[Início]]&lt;&gt;"",C1341+E1341-1,""))*1</f>
        <v>#VALUE!</v>
      </c>
      <c r="E1341" s="83"/>
      <c r="F1341" s="83"/>
      <c r="G1341" s="88"/>
      <c r="H1341" s="83" t="str">
        <f>_xlfn.XLOOKUP(Tabela1[[#This Row],[Matrícula]],Equipe!B:B,Equipe!E:E,"ERRO",0)</f>
        <v>ERRO</v>
      </c>
      <c r="I1341" s="83" t="e">
        <f>VLOOKUP(Tabela1[[#This Row],[Matrícula]],Equipe!B:F,5,0)</f>
        <v>#N/A</v>
      </c>
    </row>
    <row r="1342" spans="1:9">
      <c r="A1342" s="83"/>
      <c r="B1342" s="83">
        <f>_xlfn.XLOOKUP(A1342,Equipe!H:H,Equipe!B:B,"",0)</f>
        <v>0</v>
      </c>
      <c r="C1342" s="154"/>
      <c r="D1342" s="150" t="e">
        <f>(IF(Tabela1[[#This Row],[Início]]&lt;&gt;"",C1342+E1342-1,""))*1</f>
        <v>#VALUE!</v>
      </c>
      <c r="E1342" s="83"/>
      <c r="F1342" s="83"/>
      <c r="G1342" s="88"/>
      <c r="H1342" s="83" t="str">
        <f>_xlfn.XLOOKUP(Tabela1[[#This Row],[Matrícula]],Equipe!B:B,Equipe!E:E,"ERRO",0)</f>
        <v>ERRO</v>
      </c>
      <c r="I1342" s="83" t="e">
        <f>VLOOKUP(Tabela1[[#This Row],[Matrícula]],Equipe!B:F,5,0)</f>
        <v>#N/A</v>
      </c>
    </row>
    <row r="1343" spans="1:9">
      <c r="A1343" s="83"/>
      <c r="B1343" s="83">
        <f>_xlfn.XLOOKUP(A1343,Equipe!H:H,Equipe!B:B,"",0)</f>
        <v>0</v>
      </c>
      <c r="C1343" s="154"/>
      <c r="D1343" s="150" t="e">
        <f>(IF(Tabela1[[#This Row],[Início]]&lt;&gt;"",C1343+E1343-1,""))*1</f>
        <v>#VALUE!</v>
      </c>
      <c r="E1343" s="83"/>
      <c r="F1343" s="83"/>
      <c r="G1343" s="88"/>
      <c r="H1343" s="83" t="str">
        <f>_xlfn.XLOOKUP(Tabela1[[#This Row],[Matrícula]],Equipe!B:B,Equipe!E:E,"ERRO",0)</f>
        <v>ERRO</v>
      </c>
      <c r="I1343" s="83" t="e">
        <f>VLOOKUP(Tabela1[[#This Row],[Matrícula]],Equipe!B:F,5,0)</f>
        <v>#N/A</v>
      </c>
    </row>
    <row r="1344" spans="1:9">
      <c r="A1344" s="83"/>
      <c r="B1344" s="83">
        <f>_xlfn.XLOOKUP(A1344,Equipe!H:H,Equipe!B:B,"",0)</f>
        <v>0</v>
      </c>
      <c r="C1344" s="154"/>
      <c r="D1344" s="150" t="e">
        <f>(IF(Tabela1[[#This Row],[Início]]&lt;&gt;"",C1344+E1344-1,""))*1</f>
        <v>#VALUE!</v>
      </c>
      <c r="E1344" s="83"/>
      <c r="F1344" s="83"/>
      <c r="G1344" s="88"/>
      <c r="H1344" s="83" t="str">
        <f>_xlfn.XLOOKUP(Tabela1[[#This Row],[Matrícula]],Equipe!B:B,Equipe!E:E,"ERRO",0)</f>
        <v>ERRO</v>
      </c>
      <c r="I1344" s="83" t="e">
        <f>VLOOKUP(Tabela1[[#This Row],[Matrícula]],Equipe!B:F,5,0)</f>
        <v>#N/A</v>
      </c>
    </row>
    <row r="1345" spans="1:9">
      <c r="A1345" s="83"/>
      <c r="B1345" s="83">
        <f>_xlfn.XLOOKUP(A1345,Equipe!H:H,Equipe!B:B,"",0)</f>
        <v>0</v>
      </c>
      <c r="C1345" s="154"/>
      <c r="D1345" s="150" t="e">
        <f>(IF(Tabela1[[#This Row],[Início]]&lt;&gt;"",C1345+E1345-1,""))*1</f>
        <v>#VALUE!</v>
      </c>
      <c r="E1345" s="83"/>
      <c r="F1345" s="83"/>
      <c r="G1345" s="88"/>
      <c r="H1345" s="83" t="str">
        <f>_xlfn.XLOOKUP(Tabela1[[#This Row],[Matrícula]],Equipe!B:B,Equipe!E:E,"ERRO",0)</f>
        <v>ERRO</v>
      </c>
      <c r="I1345" s="83" t="e">
        <f>VLOOKUP(Tabela1[[#This Row],[Matrícula]],Equipe!B:F,5,0)</f>
        <v>#N/A</v>
      </c>
    </row>
    <row r="1346" spans="1:9">
      <c r="A1346" s="83"/>
      <c r="B1346" s="83">
        <f>_xlfn.XLOOKUP(A1346,Equipe!H:H,Equipe!B:B,"",0)</f>
        <v>0</v>
      </c>
      <c r="C1346" s="154"/>
      <c r="D1346" s="150" t="e">
        <f>(IF(Tabela1[[#This Row],[Início]]&lt;&gt;"",C1346+E1346-1,""))*1</f>
        <v>#VALUE!</v>
      </c>
      <c r="E1346" s="83"/>
      <c r="F1346" s="83"/>
      <c r="G1346" s="88"/>
      <c r="H1346" s="83" t="str">
        <f>_xlfn.XLOOKUP(Tabela1[[#This Row],[Matrícula]],Equipe!B:B,Equipe!E:E,"ERRO",0)</f>
        <v>ERRO</v>
      </c>
      <c r="I1346" s="83" t="e">
        <f>VLOOKUP(Tabela1[[#This Row],[Matrícula]],Equipe!B:F,5,0)</f>
        <v>#N/A</v>
      </c>
    </row>
    <row r="1347" spans="1:9">
      <c r="A1347" s="83"/>
      <c r="B1347" s="83">
        <f>_xlfn.XLOOKUP(A1347,Equipe!H:H,Equipe!B:B,"",0)</f>
        <v>0</v>
      </c>
      <c r="C1347" s="154"/>
      <c r="D1347" s="150" t="e">
        <f>(IF(Tabela1[[#This Row],[Início]]&lt;&gt;"",C1347+E1347-1,""))*1</f>
        <v>#VALUE!</v>
      </c>
      <c r="E1347" s="83"/>
      <c r="F1347" s="83"/>
      <c r="G1347" s="88"/>
      <c r="H1347" s="83" t="str">
        <f>_xlfn.XLOOKUP(Tabela1[[#This Row],[Matrícula]],Equipe!B:B,Equipe!E:E,"ERRO",0)</f>
        <v>ERRO</v>
      </c>
      <c r="I1347" s="83" t="e">
        <f>VLOOKUP(Tabela1[[#This Row],[Matrícula]],Equipe!B:F,5,0)</f>
        <v>#N/A</v>
      </c>
    </row>
    <row r="1348" spans="1:9">
      <c r="A1348" s="83"/>
      <c r="B1348" s="83">
        <f>_xlfn.XLOOKUP(A1348,Equipe!H:H,Equipe!B:B,"",0)</f>
        <v>0</v>
      </c>
      <c r="C1348" s="154"/>
      <c r="D1348" s="150" t="e">
        <f>(IF(Tabela1[[#This Row],[Início]]&lt;&gt;"",C1348+E1348-1,""))*1</f>
        <v>#VALUE!</v>
      </c>
      <c r="E1348" s="83"/>
      <c r="F1348" s="83"/>
      <c r="G1348" s="88"/>
      <c r="H1348" s="83" t="str">
        <f>_xlfn.XLOOKUP(Tabela1[[#This Row],[Matrícula]],Equipe!B:B,Equipe!E:E,"ERRO",0)</f>
        <v>ERRO</v>
      </c>
      <c r="I1348" s="83" t="e">
        <f>VLOOKUP(Tabela1[[#This Row],[Matrícula]],Equipe!B:F,5,0)</f>
        <v>#N/A</v>
      </c>
    </row>
    <row r="1349" spans="1:9">
      <c r="A1349" s="83"/>
      <c r="B1349" s="83">
        <f>_xlfn.XLOOKUP(A1349,Equipe!H:H,Equipe!B:B,"",0)</f>
        <v>0</v>
      </c>
      <c r="C1349" s="154"/>
      <c r="D1349" s="150" t="e">
        <f>(IF(Tabela1[[#This Row],[Início]]&lt;&gt;"",C1349+E1349-1,""))*1</f>
        <v>#VALUE!</v>
      </c>
      <c r="E1349" s="83"/>
      <c r="F1349" s="83"/>
      <c r="G1349" s="88"/>
      <c r="H1349" s="83" t="str">
        <f>_xlfn.XLOOKUP(Tabela1[[#This Row],[Matrícula]],Equipe!B:B,Equipe!E:E,"ERRO",0)</f>
        <v>ERRO</v>
      </c>
      <c r="I1349" s="83" t="e">
        <f>VLOOKUP(Tabela1[[#This Row],[Matrícula]],Equipe!B:F,5,0)</f>
        <v>#N/A</v>
      </c>
    </row>
    <row r="1350" spans="1:9">
      <c r="A1350" s="83"/>
      <c r="B1350" s="83">
        <f>_xlfn.XLOOKUP(A1350,Equipe!H:H,Equipe!B:B,"",0)</f>
        <v>0</v>
      </c>
      <c r="C1350" s="154"/>
      <c r="D1350" s="150" t="e">
        <f>(IF(Tabela1[[#This Row],[Início]]&lt;&gt;"",C1350+E1350-1,""))*1</f>
        <v>#VALUE!</v>
      </c>
      <c r="E1350" s="83"/>
      <c r="F1350" s="83"/>
      <c r="G1350" s="88"/>
      <c r="H1350" s="83" t="str">
        <f>_xlfn.XLOOKUP(Tabela1[[#This Row],[Matrícula]],Equipe!B:B,Equipe!E:E,"ERRO",0)</f>
        <v>ERRO</v>
      </c>
      <c r="I1350" s="83" t="e">
        <f>VLOOKUP(Tabela1[[#This Row],[Matrícula]],Equipe!B:F,5,0)</f>
        <v>#N/A</v>
      </c>
    </row>
    <row r="1351" spans="1:9">
      <c r="A1351" s="83"/>
      <c r="B1351" s="83">
        <f>_xlfn.XLOOKUP(A1351,Equipe!H:H,Equipe!B:B,"",0)</f>
        <v>0</v>
      </c>
      <c r="C1351" s="154"/>
      <c r="D1351" s="150" t="e">
        <f>(IF(Tabela1[[#This Row],[Início]]&lt;&gt;"",C1351+E1351-1,""))*1</f>
        <v>#VALUE!</v>
      </c>
      <c r="E1351" s="83"/>
      <c r="F1351" s="83"/>
      <c r="G1351" s="88"/>
      <c r="H1351" s="83" t="str">
        <f>_xlfn.XLOOKUP(Tabela1[[#This Row],[Matrícula]],Equipe!B:B,Equipe!E:E,"ERRO",0)</f>
        <v>ERRO</v>
      </c>
      <c r="I1351" s="83" t="e">
        <f>VLOOKUP(Tabela1[[#This Row],[Matrícula]],Equipe!B:F,5,0)</f>
        <v>#N/A</v>
      </c>
    </row>
    <row r="1352" spans="1:9">
      <c r="A1352" s="83"/>
      <c r="B1352" s="83">
        <f>_xlfn.XLOOKUP(A1352,Equipe!H:H,Equipe!B:B,"",0)</f>
        <v>0</v>
      </c>
      <c r="C1352" s="154"/>
      <c r="D1352" s="150" t="e">
        <f>(IF(Tabela1[[#This Row],[Início]]&lt;&gt;"",C1352+E1352-1,""))*1</f>
        <v>#VALUE!</v>
      </c>
      <c r="E1352" s="83"/>
      <c r="F1352" s="83"/>
      <c r="G1352" s="88"/>
      <c r="H1352" s="83" t="str">
        <f>_xlfn.XLOOKUP(Tabela1[[#This Row],[Matrícula]],Equipe!B:B,Equipe!E:E,"ERRO",0)</f>
        <v>ERRO</v>
      </c>
      <c r="I1352" s="83" t="e">
        <f>VLOOKUP(Tabela1[[#This Row],[Matrícula]],Equipe!B:F,5,0)</f>
        <v>#N/A</v>
      </c>
    </row>
    <row r="1353" spans="1:9">
      <c r="A1353" s="83"/>
      <c r="B1353" s="83">
        <f>_xlfn.XLOOKUP(A1353,Equipe!H:H,Equipe!B:B,"",0)</f>
        <v>0</v>
      </c>
      <c r="C1353" s="154"/>
      <c r="D1353" s="150" t="e">
        <f>(IF(Tabela1[[#This Row],[Início]]&lt;&gt;"",C1353+E1353-1,""))*1</f>
        <v>#VALUE!</v>
      </c>
      <c r="E1353" s="83"/>
      <c r="F1353" s="83"/>
      <c r="G1353" s="88"/>
      <c r="H1353" s="83" t="str">
        <f>_xlfn.XLOOKUP(Tabela1[[#This Row],[Matrícula]],Equipe!B:B,Equipe!E:E,"ERRO",0)</f>
        <v>ERRO</v>
      </c>
      <c r="I1353" s="83" t="e">
        <f>VLOOKUP(Tabela1[[#This Row],[Matrícula]],Equipe!B:F,5,0)</f>
        <v>#N/A</v>
      </c>
    </row>
    <row r="1354" spans="1:9">
      <c r="A1354" s="83"/>
      <c r="B1354" s="83">
        <f>_xlfn.XLOOKUP(A1354,Equipe!H:H,Equipe!B:B,"",0)</f>
        <v>0</v>
      </c>
      <c r="C1354" s="154"/>
      <c r="D1354" s="150" t="e">
        <f>(IF(Tabela1[[#This Row],[Início]]&lt;&gt;"",C1354+E1354-1,""))*1</f>
        <v>#VALUE!</v>
      </c>
      <c r="E1354" s="83"/>
      <c r="F1354" s="83"/>
      <c r="G1354" s="88"/>
      <c r="H1354" s="83" t="str">
        <f>_xlfn.XLOOKUP(Tabela1[[#This Row],[Matrícula]],Equipe!B:B,Equipe!E:E,"ERRO",0)</f>
        <v>ERRO</v>
      </c>
      <c r="I1354" s="83" t="e">
        <f>VLOOKUP(Tabela1[[#This Row],[Matrícula]],Equipe!B:F,5,0)</f>
        <v>#N/A</v>
      </c>
    </row>
    <row r="1355" spans="1:9">
      <c r="A1355" s="83"/>
      <c r="B1355" s="83">
        <f>_xlfn.XLOOKUP(A1355,Equipe!H:H,Equipe!B:B,"",0)</f>
        <v>0</v>
      </c>
      <c r="C1355" s="154"/>
      <c r="D1355" s="150" t="e">
        <f>(IF(Tabela1[[#This Row],[Início]]&lt;&gt;"",C1355+E1355-1,""))*1</f>
        <v>#VALUE!</v>
      </c>
      <c r="E1355" s="83"/>
      <c r="F1355" s="83"/>
      <c r="G1355" s="88"/>
      <c r="H1355" s="83" t="str">
        <f>_xlfn.XLOOKUP(Tabela1[[#This Row],[Matrícula]],Equipe!B:B,Equipe!E:E,"ERRO",0)</f>
        <v>ERRO</v>
      </c>
      <c r="I1355" s="83" t="e">
        <f>VLOOKUP(Tabela1[[#This Row],[Matrícula]],Equipe!B:F,5,0)</f>
        <v>#N/A</v>
      </c>
    </row>
    <row r="1356" spans="1:9">
      <c r="A1356" s="83"/>
      <c r="B1356" s="83">
        <f>_xlfn.XLOOKUP(A1356,Equipe!H:H,Equipe!B:B,"",0)</f>
        <v>0</v>
      </c>
      <c r="C1356" s="154"/>
      <c r="D1356" s="150" t="e">
        <f>(IF(Tabela1[[#This Row],[Início]]&lt;&gt;"",C1356+E1356-1,""))*1</f>
        <v>#VALUE!</v>
      </c>
      <c r="E1356" s="83"/>
      <c r="F1356" s="83"/>
      <c r="G1356" s="88"/>
      <c r="H1356" s="83" t="str">
        <f>_xlfn.XLOOKUP(Tabela1[[#This Row],[Matrícula]],Equipe!B:B,Equipe!E:E,"ERRO",0)</f>
        <v>ERRO</v>
      </c>
      <c r="I1356" s="83" t="e">
        <f>VLOOKUP(Tabela1[[#This Row],[Matrícula]],Equipe!B:F,5,0)</f>
        <v>#N/A</v>
      </c>
    </row>
    <row r="1357" spans="1:9">
      <c r="A1357" s="83"/>
      <c r="B1357" s="83">
        <f>_xlfn.XLOOKUP(A1357,Equipe!H:H,Equipe!B:B,"",0)</f>
        <v>0</v>
      </c>
      <c r="C1357" s="154"/>
      <c r="D1357" s="150" t="e">
        <f>(IF(Tabela1[[#This Row],[Início]]&lt;&gt;"",C1357+E1357-1,""))*1</f>
        <v>#VALUE!</v>
      </c>
      <c r="E1357" s="83"/>
      <c r="F1357" s="83"/>
      <c r="G1357" s="88"/>
      <c r="H1357" s="83" t="str">
        <f>_xlfn.XLOOKUP(Tabela1[[#This Row],[Matrícula]],Equipe!B:B,Equipe!E:E,"ERRO",0)</f>
        <v>ERRO</v>
      </c>
      <c r="I1357" s="83" t="e">
        <f>VLOOKUP(Tabela1[[#This Row],[Matrícula]],Equipe!B:F,5,0)</f>
        <v>#N/A</v>
      </c>
    </row>
    <row r="1358" spans="1:9">
      <c r="A1358" s="83"/>
      <c r="B1358" s="83">
        <f>_xlfn.XLOOKUP(A1358,Equipe!H:H,Equipe!B:B,"",0)</f>
        <v>0</v>
      </c>
      <c r="C1358" s="154"/>
      <c r="D1358" s="150" t="e">
        <f>(IF(Tabela1[[#This Row],[Início]]&lt;&gt;"",C1358+E1358-1,""))*1</f>
        <v>#VALUE!</v>
      </c>
      <c r="E1358" s="83"/>
      <c r="F1358" s="83"/>
      <c r="G1358" s="88"/>
      <c r="H1358" s="83" t="str">
        <f>_xlfn.XLOOKUP(Tabela1[[#This Row],[Matrícula]],Equipe!B:B,Equipe!E:E,"ERRO",0)</f>
        <v>ERRO</v>
      </c>
      <c r="I1358" s="83" t="e">
        <f>VLOOKUP(Tabela1[[#This Row],[Matrícula]],Equipe!B:F,5,0)</f>
        <v>#N/A</v>
      </c>
    </row>
    <row r="1359" spans="1:9">
      <c r="A1359" s="83"/>
      <c r="B1359" s="83">
        <f>_xlfn.XLOOKUP(A1359,Equipe!H:H,Equipe!B:B,"",0)</f>
        <v>0</v>
      </c>
      <c r="C1359" s="154"/>
      <c r="D1359" s="150" t="e">
        <f>(IF(Tabela1[[#This Row],[Início]]&lt;&gt;"",C1359+E1359-1,""))*1</f>
        <v>#VALUE!</v>
      </c>
      <c r="E1359" s="83"/>
      <c r="F1359" s="83"/>
      <c r="G1359" s="88"/>
      <c r="H1359" s="83" t="str">
        <f>_xlfn.XLOOKUP(Tabela1[[#This Row],[Matrícula]],Equipe!B:B,Equipe!E:E,"ERRO",0)</f>
        <v>ERRO</v>
      </c>
      <c r="I1359" s="83" t="e">
        <f>VLOOKUP(Tabela1[[#This Row],[Matrícula]],Equipe!B:F,5,0)</f>
        <v>#N/A</v>
      </c>
    </row>
    <row r="1360" spans="1:9">
      <c r="A1360" s="83"/>
      <c r="B1360" s="83">
        <f>_xlfn.XLOOKUP(A1360,Equipe!H:H,Equipe!B:B,"",0)</f>
        <v>0</v>
      </c>
      <c r="C1360" s="154"/>
      <c r="D1360" s="150" t="e">
        <f>(IF(Tabela1[[#This Row],[Início]]&lt;&gt;"",C1360+E1360-1,""))*1</f>
        <v>#VALUE!</v>
      </c>
      <c r="E1360" s="83"/>
      <c r="F1360" s="83"/>
      <c r="G1360" s="88"/>
      <c r="H1360" s="83" t="str">
        <f>_xlfn.XLOOKUP(Tabela1[[#This Row],[Matrícula]],Equipe!B:B,Equipe!E:E,"ERRO",0)</f>
        <v>ERRO</v>
      </c>
      <c r="I1360" s="83" t="e">
        <f>VLOOKUP(Tabela1[[#This Row],[Matrícula]],Equipe!B:F,5,0)</f>
        <v>#N/A</v>
      </c>
    </row>
    <row r="1361" spans="1:9">
      <c r="A1361" s="83"/>
      <c r="B1361" s="83">
        <f>_xlfn.XLOOKUP(A1361,Equipe!H:H,Equipe!B:B,"",0)</f>
        <v>0</v>
      </c>
      <c r="C1361" s="154"/>
      <c r="D1361" s="150" t="e">
        <f>(IF(Tabela1[[#This Row],[Início]]&lt;&gt;"",C1361+E1361-1,""))*1</f>
        <v>#VALUE!</v>
      </c>
      <c r="E1361" s="83"/>
      <c r="F1361" s="83"/>
      <c r="G1361" s="88"/>
      <c r="H1361" s="83" t="str">
        <f>_xlfn.XLOOKUP(Tabela1[[#This Row],[Matrícula]],Equipe!B:B,Equipe!E:E,"ERRO",0)</f>
        <v>ERRO</v>
      </c>
      <c r="I1361" s="83" t="e">
        <f>VLOOKUP(Tabela1[[#This Row],[Matrícula]],Equipe!B:F,5,0)</f>
        <v>#N/A</v>
      </c>
    </row>
    <row r="1362" spans="1:9">
      <c r="A1362" s="83"/>
      <c r="B1362" s="83">
        <f>_xlfn.XLOOKUP(A1362,Equipe!H:H,Equipe!B:B,"",0)</f>
        <v>0</v>
      </c>
      <c r="C1362" s="154"/>
      <c r="D1362" s="150" t="e">
        <f>(IF(Tabela1[[#This Row],[Início]]&lt;&gt;"",C1362+E1362-1,""))*1</f>
        <v>#VALUE!</v>
      </c>
      <c r="E1362" s="83"/>
      <c r="F1362" s="83"/>
      <c r="G1362" s="88"/>
      <c r="H1362" s="83" t="str">
        <f>_xlfn.XLOOKUP(Tabela1[[#This Row],[Matrícula]],Equipe!B:B,Equipe!E:E,"ERRO",0)</f>
        <v>ERRO</v>
      </c>
      <c r="I1362" s="83" t="e">
        <f>VLOOKUP(Tabela1[[#This Row],[Matrícula]],Equipe!B:F,5,0)</f>
        <v>#N/A</v>
      </c>
    </row>
    <row r="1363" spans="1:9">
      <c r="A1363" s="83"/>
      <c r="B1363" s="83">
        <f>_xlfn.XLOOKUP(A1363,Equipe!H:H,Equipe!B:B,"",0)</f>
        <v>0</v>
      </c>
      <c r="C1363" s="154"/>
      <c r="D1363" s="150" t="e">
        <f>(IF(Tabela1[[#This Row],[Início]]&lt;&gt;"",C1363+E1363-1,""))*1</f>
        <v>#VALUE!</v>
      </c>
      <c r="E1363" s="83"/>
      <c r="F1363" s="83"/>
      <c r="G1363" s="88"/>
      <c r="H1363" s="83" t="str">
        <f>_xlfn.XLOOKUP(Tabela1[[#This Row],[Matrícula]],Equipe!B:B,Equipe!E:E,"ERRO",0)</f>
        <v>ERRO</v>
      </c>
      <c r="I1363" s="83" t="e">
        <f>VLOOKUP(Tabela1[[#This Row],[Matrícula]],Equipe!B:F,5,0)</f>
        <v>#N/A</v>
      </c>
    </row>
    <row r="1364" spans="1:9">
      <c r="A1364" s="83"/>
      <c r="B1364" s="83">
        <f>_xlfn.XLOOKUP(A1364,Equipe!H:H,Equipe!B:B,"",0)</f>
        <v>0</v>
      </c>
      <c r="C1364" s="154"/>
      <c r="D1364" s="150" t="e">
        <f>(IF(Tabela1[[#This Row],[Início]]&lt;&gt;"",C1364+E1364-1,""))*1</f>
        <v>#VALUE!</v>
      </c>
      <c r="E1364" s="83"/>
      <c r="F1364" s="83"/>
      <c r="G1364" s="88"/>
      <c r="H1364" s="83" t="str">
        <f>_xlfn.XLOOKUP(Tabela1[[#This Row],[Matrícula]],Equipe!B:B,Equipe!E:E,"ERRO",0)</f>
        <v>ERRO</v>
      </c>
      <c r="I1364" s="83" t="e">
        <f>VLOOKUP(Tabela1[[#This Row],[Matrícula]],Equipe!B:F,5,0)</f>
        <v>#N/A</v>
      </c>
    </row>
    <row r="1365" spans="1:9">
      <c r="A1365" s="83"/>
      <c r="B1365" s="83">
        <f>_xlfn.XLOOKUP(A1365,Equipe!H:H,Equipe!B:B,"",0)</f>
        <v>0</v>
      </c>
      <c r="C1365" s="154"/>
      <c r="D1365" s="150" t="e">
        <f>(IF(Tabela1[[#This Row],[Início]]&lt;&gt;"",C1365+E1365-1,""))*1</f>
        <v>#VALUE!</v>
      </c>
      <c r="E1365" s="83"/>
      <c r="F1365" s="83"/>
      <c r="G1365" s="88"/>
      <c r="H1365" s="83" t="str">
        <f>_xlfn.XLOOKUP(Tabela1[[#This Row],[Matrícula]],Equipe!B:B,Equipe!E:E,"ERRO",0)</f>
        <v>ERRO</v>
      </c>
      <c r="I1365" s="83" t="e">
        <f>VLOOKUP(Tabela1[[#This Row],[Matrícula]],Equipe!B:F,5,0)</f>
        <v>#N/A</v>
      </c>
    </row>
    <row r="1366" spans="1:9">
      <c r="A1366" s="83"/>
      <c r="B1366" s="83">
        <f>_xlfn.XLOOKUP(A1366,Equipe!H:H,Equipe!B:B,"",0)</f>
        <v>0</v>
      </c>
      <c r="C1366" s="154"/>
      <c r="D1366" s="150" t="e">
        <f>(IF(Tabela1[[#This Row],[Início]]&lt;&gt;"",C1366+E1366-1,""))*1</f>
        <v>#VALUE!</v>
      </c>
      <c r="E1366" s="83"/>
      <c r="F1366" s="83"/>
      <c r="G1366" s="88"/>
      <c r="H1366" s="83" t="str">
        <f>_xlfn.XLOOKUP(Tabela1[[#This Row],[Matrícula]],Equipe!B:B,Equipe!E:E,"ERRO",0)</f>
        <v>ERRO</v>
      </c>
      <c r="I1366" s="83" t="e">
        <f>VLOOKUP(Tabela1[[#This Row],[Matrícula]],Equipe!B:F,5,0)</f>
        <v>#N/A</v>
      </c>
    </row>
    <row r="1367" spans="1:9">
      <c r="A1367" s="83"/>
      <c r="B1367" s="83">
        <f>_xlfn.XLOOKUP(A1367,Equipe!H:H,Equipe!B:B,"",0)</f>
        <v>0</v>
      </c>
      <c r="C1367" s="154"/>
      <c r="D1367" s="150" t="e">
        <f>(IF(Tabela1[[#This Row],[Início]]&lt;&gt;"",C1367+E1367-1,""))*1</f>
        <v>#VALUE!</v>
      </c>
      <c r="E1367" s="83"/>
      <c r="F1367" s="83"/>
      <c r="G1367" s="88"/>
      <c r="H1367" s="83" t="str">
        <f>_xlfn.XLOOKUP(Tabela1[[#This Row],[Matrícula]],Equipe!B:B,Equipe!E:E,"ERRO",0)</f>
        <v>ERRO</v>
      </c>
      <c r="I1367" s="83" t="e">
        <f>VLOOKUP(Tabela1[[#This Row],[Matrícula]],Equipe!B:F,5,0)</f>
        <v>#N/A</v>
      </c>
    </row>
    <row r="1368" spans="1:9">
      <c r="A1368" s="83"/>
      <c r="B1368" s="83">
        <f>_xlfn.XLOOKUP(A1368,Equipe!H:H,Equipe!B:B,"",0)</f>
        <v>0</v>
      </c>
      <c r="C1368" s="154"/>
      <c r="D1368" s="150" t="e">
        <f>(IF(Tabela1[[#This Row],[Início]]&lt;&gt;"",C1368+E1368-1,""))*1</f>
        <v>#VALUE!</v>
      </c>
      <c r="E1368" s="83"/>
      <c r="F1368" s="83"/>
      <c r="G1368" s="88"/>
      <c r="H1368" s="83" t="str">
        <f>_xlfn.XLOOKUP(Tabela1[[#This Row],[Matrícula]],Equipe!B:B,Equipe!E:E,"ERRO",0)</f>
        <v>ERRO</v>
      </c>
      <c r="I1368" s="83" t="e">
        <f>VLOOKUP(Tabela1[[#This Row],[Matrícula]],Equipe!B:F,5,0)</f>
        <v>#N/A</v>
      </c>
    </row>
    <row r="1369" spans="1:9">
      <c r="A1369" s="83"/>
      <c r="B1369" s="83">
        <f>_xlfn.XLOOKUP(A1369,Equipe!H:H,Equipe!B:B,"",0)</f>
        <v>0</v>
      </c>
      <c r="C1369" s="154"/>
      <c r="D1369" s="150" t="e">
        <f>(IF(Tabela1[[#This Row],[Início]]&lt;&gt;"",C1369+E1369-1,""))*1</f>
        <v>#VALUE!</v>
      </c>
      <c r="E1369" s="83"/>
      <c r="F1369" s="83"/>
      <c r="G1369" s="88"/>
      <c r="H1369" s="83" t="str">
        <f>_xlfn.XLOOKUP(Tabela1[[#This Row],[Matrícula]],Equipe!B:B,Equipe!E:E,"ERRO",0)</f>
        <v>ERRO</v>
      </c>
      <c r="I1369" s="83" t="e">
        <f>VLOOKUP(Tabela1[[#This Row],[Matrícula]],Equipe!B:F,5,0)</f>
        <v>#N/A</v>
      </c>
    </row>
    <row r="1370" spans="1:9">
      <c r="A1370" s="83"/>
      <c r="B1370" s="83">
        <f>_xlfn.XLOOKUP(A1370,Equipe!H:H,Equipe!B:B,"",0)</f>
        <v>0</v>
      </c>
      <c r="C1370" s="154"/>
      <c r="D1370" s="150" t="e">
        <f>(IF(Tabela1[[#This Row],[Início]]&lt;&gt;"",C1370+E1370-1,""))*1</f>
        <v>#VALUE!</v>
      </c>
      <c r="E1370" s="83"/>
      <c r="F1370" s="83"/>
      <c r="G1370" s="88"/>
      <c r="H1370" s="83" t="str">
        <f>_xlfn.XLOOKUP(Tabela1[[#This Row],[Matrícula]],Equipe!B:B,Equipe!E:E,"ERRO",0)</f>
        <v>ERRO</v>
      </c>
      <c r="I1370" s="83" t="e">
        <f>VLOOKUP(Tabela1[[#This Row],[Matrícula]],Equipe!B:F,5,0)</f>
        <v>#N/A</v>
      </c>
    </row>
    <row r="1371" spans="1:9">
      <c r="A1371" s="83"/>
      <c r="B1371" s="83">
        <f>_xlfn.XLOOKUP(A1371,Equipe!H:H,Equipe!B:B,"",0)</f>
        <v>0</v>
      </c>
      <c r="C1371" s="154"/>
      <c r="D1371" s="150" t="e">
        <f>(IF(Tabela1[[#This Row],[Início]]&lt;&gt;"",C1371+E1371-1,""))*1</f>
        <v>#VALUE!</v>
      </c>
      <c r="E1371" s="83"/>
      <c r="F1371" s="83"/>
      <c r="G1371" s="88"/>
      <c r="H1371" s="83" t="str">
        <f>_xlfn.XLOOKUP(Tabela1[[#This Row],[Matrícula]],Equipe!B:B,Equipe!E:E,"ERRO",0)</f>
        <v>ERRO</v>
      </c>
      <c r="I1371" s="83" t="e">
        <f>VLOOKUP(Tabela1[[#This Row],[Matrícula]],Equipe!B:F,5,0)</f>
        <v>#N/A</v>
      </c>
    </row>
    <row r="1372" spans="1:9">
      <c r="A1372" s="83"/>
      <c r="B1372" s="83">
        <f>_xlfn.XLOOKUP(A1372,Equipe!H:H,Equipe!B:B,"",0)</f>
        <v>0</v>
      </c>
      <c r="C1372" s="154"/>
      <c r="D1372" s="150" t="e">
        <f>(IF(Tabela1[[#This Row],[Início]]&lt;&gt;"",C1372+E1372-1,""))*1</f>
        <v>#VALUE!</v>
      </c>
      <c r="E1372" s="83"/>
      <c r="F1372" s="83"/>
      <c r="G1372" s="88"/>
      <c r="H1372" s="83" t="str">
        <f>_xlfn.XLOOKUP(Tabela1[[#This Row],[Matrícula]],Equipe!B:B,Equipe!E:E,"ERRO",0)</f>
        <v>ERRO</v>
      </c>
      <c r="I1372" s="83" t="e">
        <f>VLOOKUP(Tabela1[[#This Row],[Matrícula]],Equipe!B:F,5,0)</f>
        <v>#N/A</v>
      </c>
    </row>
    <row r="1373" spans="1:9">
      <c r="A1373" s="83"/>
      <c r="B1373" s="83">
        <f>_xlfn.XLOOKUP(A1373,Equipe!H:H,Equipe!B:B,"",0)</f>
        <v>0</v>
      </c>
      <c r="C1373" s="154"/>
      <c r="D1373" s="150" t="e">
        <f>(IF(Tabela1[[#This Row],[Início]]&lt;&gt;"",C1373+E1373-1,""))*1</f>
        <v>#VALUE!</v>
      </c>
      <c r="E1373" s="83"/>
      <c r="F1373" s="83"/>
      <c r="G1373" s="88"/>
      <c r="H1373" s="83" t="str">
        <f>_xlfn.XLOOKUP(Tabela1[[#This Row],[Matrícula]],Equipe!B:B,Equipe!E:E,"ERRO",0)</f>
        <v>ERRO</v>
      </c>
      <c r="I1373" s="83" t="e">
        <f>VLOOKUP(Tabela1[[#This Row],[Matrícula]],Equipe!B:F,5,0)</f>
        <v>#N/A</v>
      </c>
    </row>
    <row r="1374" spans="1:9">
      <c r="A1374" s="83"/>
      <c r="B1374" s="83">
        <f>_xlfn.XLOOKUP(A1374,Equipe!H:H,Equipe!B:B,"",0)</f>
        <v>0</v>
      </c>
      <c r="C1374" s="154"/>
      <c r="D1374" s="150" t="e">
        <f>(IF(Tabela1[[#This Row],[Início]]&lt;&gt;"",C1374+E1374-1,""))*1</f>
        <v>#VALUE!</v>
      </c>
      <c r="E1374" s="83"/>
      <c r="F1374" s="83"/>
      <c r="G1374" s="88"/>
      <c r="H1374" s="83" t="str">
        <f>_xlfn.XLOOKUP(Tabela1[[#This Row],[Matrícula]],Equipe!B:B,Equipe!E:E,"ERRO",0)</f>
        <v>ERRO</v>
      </c>
      <c r="I1374" s="83" t="e">
        <f>VLOOKUP(Tabela1[[#This Row],[Matrícula]],Equipe!B:F,5,0)</f>
        <v>#N/A</v>
      </c>
    </row>
    <row r="1375" spans="1:9">
      <c r="A1375" s="83"/>
      <c r="B1375" s="83">
        <f>_xlfn.XLOOKUP(A1375,Equipe!H:H,Equipe!B:B,"",0)</f>
        <v>0</v>
      </c>
      <c r="C1375" s="154"/>
      <c r="D1375" s="150" t="e">
        <f>(IF(Tabela1[[#This Row],[Início]]&lt;&gt;"",C1375+E1375-1,""))*1</f>
        <v>#VALUE!</v>
      </c>
      <c r="E1375" s="83"/>
      <c r="F1375" s="83"/>
      <c r="G1375" s="88"/>
      <c r="H1375" s="83" t="str">
        <f>_xlfn.XLOOKUP(Tabela1[[#This Row],[Matrícula]],Equipe!B:B,Equipe!E:E,"ERRO",0)</f>
        <v>ERRO</v>
      </c>
      <c r="I1375" s="83" t="e">
        <f>VLOOKUP(Tabela1[[#This Row],[Matrícula]],Equipe!B:F,5,0)</f>
        <v>#N/A</v>
      </c>
    </row>
    <row r="1376" spans="1:9">
      <c r="A1376" s="83"/>
      <c r="B1376" s="83">
        <f>_xlfn.XLOOKUP(A1376,Equipe!H:H,Equipe!B:B,"",0)</f>
        <v>0</v>
      </c>
      <c r="C1376" s="154"/>
      <c r="D1376" s="150" t="e">
        <f>(IF(Tabela1[[#This Row],[Início]]&lt;&gt;"",C1376+E1376-1,""))*1</f>
        <v>#VALUE!</v>
      </c>
      <c r="E1376" s="83"/>
      <c r="F1376" s="83"/>
      <c r="G1376" s="88"/>
      <c r="H1376" s="83" t="str">
        <f>_xlfn.XLOOKUP(Tabela1[[#This Row],[Matrícula]],Equipe!B:B,Equipe!E:E,"ERRO",0)</f>
        <v>ERRO</v>
      </c>
      <c r="I1376" s="83" t="e">
        <f>VLOOKUP(Tabela1[[#This Row],[Matrícula]],Equipe!B:F,5,0)</f>
        <v>#N/A</v>
      </c>
    </row>
    <row r="1377" spans="1:9">
      <c r="A1377" s="83"/>
      <c r="B1377" s="83">
        <f>_xlfn.XLOOKUP(A1377,Equipe!H:H,Equipe!B:B,"",0)</f>
        <v>0</v>
      </c>
      <c r="C1377" s="154"/>
      <c r="D1377" s="150" t="e">
        <f>(IF(Tabela1[[#This Row],[Início]]&lt;&gt;"",C1377+E1377-1,""))*1</f>
        <v>#VALUE!</v>
      </c>
      <c r="E1377" s="83"/>
      <c r="F1377" s="83"/>
      <c r="G1377" s="88"/>
      <c r="H1377" s="83" t="str">
        <f>_xlfn.XLOOKUP(Tabela1[[#This Row],[Matrícula]],Equipe!B:B,Equipe!E:E,"ERRO",0)</f>
        <v>ERRO</v>
      </c>
      <c r="I1377" s="83" t="e">
        <f>VLOOKUP(Tabela1[[#This Row],[Matrícula]],Equipe!B:F,5,0)</f>
        <v>#N/A</v>
      </c>
    </row>
    <row r="1378" spans="1:9">
      <c r="A1378" s="83"/>
      <c r="B1378" s="83">
        <f>_xlfn.XLOOKUP(A1378,Equipe!H:H,Equipe!B:B,"",0)</f>
        <v>0</v>
      </c>
      <c r="C1378" s="154"/>
      <c r="D1378" s="150" t="e">
        <f>(IF(Tabela1[[#This Row],[Início]]&lt;&gt;"",C1378+E1378-1,""))*1</f>
        <v>#VALUE!</v>
      </c>
      <c r="E1378" s="83"/>
      <c r="F1378" s="83"/>
      <c r="G1378" s="88"/>
      <c r="H1378" s="83" t="str">
        <f>_xlfn.XLOOKUP(Tabela1[[#This Row],[Matrícula]],Equipe!B:B,Equipe!E:E,"ERRO",0)</f>
        <v>ERRO</v>
      </c>
      <c r="I1378" s="83" t="e">
        <f>VLOOKUP(Tabela1[[#This Row],[Matrícula]],Equipe!B:F,5,0)</f>
        <v>#N/A</v>
      </c>
    </row>
    <row r="1379" spans="1:9">
      <c r="A1379" s="83"/>
      <c r="B1379" s="83">
        <f>_xlfn.XLOOKUP(A1379,Equipe!H:H,Equipe!B:B,"",0)</f>
        <v>0</v>
      </c>
      <c r="C1379" s="154"/>
      <c r="D1379" s="150" t="e">
        <f>(IF(Tabela1[[#This Row],[Início]]&lt;&gt;"",C1379+E1379-1,""))*1</f>
        <v>#VALUE!</v>
      </c>
      <c r="E1379" s="83"/>
      <c r="F1379" s="83"/>
      <c r="G1379" s="88"/>
      <c r="H1379" s="83" t="str">
        <f>_xlfn.XLOOKUP(Tabela1[[#This Row],[Matrícula]],Equipe!B:B,Equipe!E:E,"ERRO",0)</f>
        <v>ERRO</v>
      </c>
      <c r="I1379" s="83" t="e">
        <f>VLOOKUP(Tabela1[[#This Row],[Matrícula]],Equipe!B:F,5,0)</f>
        <v>#N/A</v>
      </c>
    </row>
    <row r="1380" spans="1:9">
      <c r="A1380" s="83"/>
      <c r="B1380" s="83">
        <f>_xlfn.XLOOKUP(A1380,Equipe!H:H,Equipe!B:B,"",0)</f>
        <v>0</v>
      </c>
      <c r="C1380" s="154"/>
      <c r="D1380" s="150" t="e">
        <f>(IF(Tabela1[[#This Row],[Início]]&lt;&gt;"",C1380+E1380-1,""))*1</f>
        <v>#VALUE!</v>
      </c>
      <c r="E1380" s="83"/>
      <c r="F1380" s="83"/>
      <c r="G1380" s="88"/>
      <c r="H1380" s="83" t="str">
        <f>_xlfn.XLOOKUP(Tabela1[[#This Row],[Matrícula]],Equipe!B:B,Equipe!E:E,"ERRO",0)</f>
        <v>ERRO</v>
      </c>
      <c r="I1380" s="83" t="e">
        <f>VLOOKUP(Tabela1[[#This Row],[Matrícula]],Equipe!B:F,5,0)</f>
        <v>#N/A</v>
      </c>
    </row>
    <row r="1381" spans="1:9">
      <c r="A1381" s="83"/>
      <c r="B1381" s="83">
        <f>_xlfn.XLOOKUP(A1381,Equipe!H:H,Equipe!B:B,"",0)</f>
        <v>0</v>
      </c>
      <c r="C1381" s="154"/>
      <c r="D1381" s="150" t="e">
        <f>(IF(Tabela1[[#This Row],[Início]]&lt;&gt;"",C1381+E1381-1,""))*1</f>
        <v>#VALUE!</v>
      </c>
      <c r="E1381" s="83"/>
      <c r="F1381" s="83"/>
      <c r="G1381" s="88"/>
      <c r="H1381" s="83" t="str">
        <f>_xlfn.XLOOKUP(Tabela1[[#This Row],[Matrícula]],Equipe!B:B,Equipe!E:E,"ERRO",0)</f>
        <v>ERRO</v>
      </c>
      <c r="I1381" s="83" t="e">
        <f>VLOOKUP(Tabela1[[#This Row],[Matrícula]],Equipe!B:F,5,0)</f>
        <v>#N/A</v>
      </c>
    </row>
    <row r="1382" spans="1:9">
      <c r="A1382" s="83"/>
      <c r="B1382" s="83">
        <f>_xlfn.XLOOKUP(A1382,Equipe!H:H,Equipe!B:B,"",0)</f>
        <v>0</v>
      </c>
      <c r="C1382" s="154"/>
      <c r="D1382" s="150" t="e">
        <f>(IF(Tabela1[[#This Row],[Início]]&lt;&gt;"",C1382+E1382-1,""))*1</f>
        <v>#VALUE!</v>
      </c>
      <c r="E1382" s="83"/>
      <c r="F1382" s="83"/>
      <c r="G1382" s="88"/>
      <c r="H1382" s="83" t="str">
        <f>_xlfn.XLOOKUP(Tabela1[[#This Row],[Matrícula]],Equipe!B:B,Equipe!E:E,"ERRO",0)</f>
        <v>ERRO</v>
      </c>
      <c r="I1382" s="83" t="e">
        <f>VLOOKUP(Tabela1[[#This Row],[Matrícula]],Equipe!B:F,5,0)</f>
        <v>#N/A</v>
      </c>
    </row>
    <row r="1383" spans="1:9">
      <c r="A1383" s="83"/>
      <c r="B1383" s="83">
        <f>_xlfn.XLOOKUP(A1383,Equipe!H:H,Equipe!B:B,"",0)</f>
        <v>0</v>
      </c>
      <c r="C1383" s="154"/>
      <c r="D1383" s="150" t="e">
        <f>(IF(Tabela1[[#This Row],[Início]]&lt;&gt;"",C1383+E1383-1,""))*1</f>
        <v>#VALUE!</v>
      </c>
      <c r="E1383" s="83"/>
      <c r="F1383" s="83"/>
      <c r="G1383" s="88"/>
      <c r="H1383" s="83" t="str">
        <f>_xlfn.XLOOKUP(Tabela1[[#This Row],[Matrícula]],Equipe!B:B,Equipe!E:E,"ERRO",0)</f>
        <v>ERRO</v>
      </c>
      <c r="I1383" s="83" t="e">
        <f>VLOOKUP(Tabela1[[#This Row],[Matrícula]],Equipe!B:F,5,0)</f>
        <v>#N/A</v>
      </c>
    </row>
    <row r="1384" spans="1:9">
      <c r="A1384" s="83"/>
      <c r="B1384" s="83">
        <f>_xlfn.XLOOKUP(A1384,Equipe!H:H,Equipe!B:B,"",0)</f>
        <v>0</v>
      </c>
      <c r="C1384" s="154"/>
      <c r="D1384" s="150" t="e">
        <f>(IF(Tabela1[[#This Row],[Início]]&lt;&gt;"",C1384+E1384-1,""))*1</f>
        <v>#VALUE!</v>
      </c>
      <c r="E1384" s="83"/>
      <c r="F1384" s="83"/>
      <c r="G1384" s="88"/>
      <c r="H1384" s="83" t="str">
        <f>_xlfn.XLOOKUP(Tabela1[[#This Row],[Matrícula]],Equipe!B:B,Equipe!E:E,"ERRO",0)</f>
        <v>ERRO</v>
      </c>
      <c r="I1384" s="83" t="e">
        <f>VLOOKUP(Tabela1[[#This Row],[Matrícula]],Equipe!B:F,5,0)</f>
        <v>#N/A</v>
      </c>
    </row>
    <row r="1385" spans="1:9">
      <c r="A1385" s="83"/>
      <c r="B1385" s="83">
        <f>_xlfn.XLOOKUP(A1385,Equipe!H:H,Equipe!B:B,"",0)</f>
        <v>0</v>
      </c>
      <c r="C1385" s="154"/>
      <c r="D1385" s="150" t="e">
        <f>(IF(Tabela1[[#This Row],[Início]]&lt;&gt;"",C1385+E1385-1,""))*1</f>
        <v>#VALUE!</v>
      </c>
      <c r="E1385" s="83"/>
      <c r="F1385" s="83"/>
      <c r="G1385" s="88"/>
      <c r="H1385" s="83" t="str">
        <f>_xlfn.XLOOKUP(Tabela1[[#This Row],[Matrícula]],Equipe!B:B,Equipe!E:E,"ERRO",0)</f>
        <v>ERRO</v>
      </c>
      <c r="I1385" s="83" t="e">
        <f>VLOOKUP(Tabela1[[#This Row],[Matrícula]],Equipe!B:F,5,0)</f>
        <v>#N/A</v>
      </c>
    </row>
    <row r="1386" spans="1:9">
      <c r="A1386" s="83"/>
      <c r="B1386" s="83">
        <f>_xlfn.XLOOKUP(A1386,Equipe!H:H,Equipe!B:B,"",0)</f>
        <v>0</v>
      </c>
      <c r="C1386" s="154"/>
      <c r="D1386" s="150" t="e">
        <f>(IF(Tabela1[[#This Row],[Início]]&lt;&gt;"",C1386+E1386-1,""))*1</f>
        <v>#VALUE!</v>
      </c>
      <c r="E1386" s="83"/>
      <c r="F1386" s="83"/>
      <c r="G1386" s="88"/>
      <c r="H1386" s="83" t="str">
        <f>_xlfn.XLOOKUP(Tabela1[[#This Row],[Matrícula]],Equipe!B:B,Equipe!E:E,"ERRO",0)</f>
        <v>ERRO</v>
      </c>
      <c r="I1386" s="83" t="e">
        <f>VLOOKUP(Tabela1[[#This Row],[Matrícula]],Equipe!B:F,5,0)</f>
        <v>#N/A</v>
      </c>
    </row>
    <row r="1387" spans="1:9">
      <c r="A1387" s="83"/>
      <c r="B1387" s="83">
        <f>_xlfn.XLOOKUP(A1387,Equipe!H:H,Equipe!B:B,"",0)</f>
        <v>0</v>
      </c>
      <c r="C1387" s="154"/>
      <c r="D1387" s="150" t="e">
        <f>(IF(Tabela1[[#This Row],[Início]]&lt;&gt;"",C1387+E1387-1,""))*1</f>
        <v>#VALUE!</v>
      </c>
      <c r="E1387" s="83"/>
      <c r="F1387" s="83"/>
      <c r="G1387" s="88"/>
      <c r="H1387" s="83" t="str">
        <f>_xlfn.XLOOKUP(Tabela1[[#This Row],[Matrícula]],Equipe!B:B,Equipe!E:E,"ERRO",0)</f>
        <v>ERRO</v>
      </c>
      <c r="I1387" s="83" t="e">
        <f>VLOOKUP(Tabela1[[#This Row],[Matrícula]],Equipe!B:F,5,0)</f>
        <v>#N/A</v>
      </c>
    </row>
    <row r="1388" spans="1:9">
      <c r="A1388" s="83"/>
      <c r="B1388" s="83">
        <f>_xlfn.XLOOKUP(A1388,Equipe!H:H,Equipe!B:B,"",0)</f>
        <v>0</v>
      </c>
      <c r="C1388" s="154"/>
      <c r="D1388" s="150" t="e">
        <f>(IF(Tabela1[[#This Row],[Início]]&lt;&gt;"",C1388+E1388-1,""))*1</f>
        <v>#VALUE!</v>
      </c>
      <c r="E1388" s="83"/>
      <c r="F1388" s="83"/>
      <c r="G1388" s="88"/>
      <c r="H1388" s="83" t="str">
        <f>_xlfn.XLOOKUP(Tabela1[[#This Row],[Matrícula]],Equipe!B:B,Equipe!E:E,"ERRO",0)</f>
        <v>ERRO</v>
      </c>
      <c r="I1388" s="83" t="e">
        <f>VLOOKUP(Tabela1[[#This Row],[Matrícula]],Equipe!B:F,5,0)</f>
        <v>#N/A</v>
      </c>
    </row>
    <row r="1389" spans="1:9">
      <c r="A1389" s="83"/>
      <c r="B1389" s="83">
        <f>_xlfn.XLOOKUP(A1389,Equipe!H:H,Equipe!B:B,"",0)</f>
        <v>0</v>
      </c>
      <c r="C1389" s="154"/>
      <c r="D1389" s="150" t="e">
        <f>(IF(Tabela1[[#This Row],[Início]]&lt;&gt;"",C1389+E1389-1,""))*1</f>
        <v>#VALUE!</v>
      </c>
      <c r="E1389" s="83"/>
      <c r="F1389" s="83"/>
      <c r="G1389" s="88"/>
      <c r="H1389" s="83" t="str">
        <f>_xlfn.XLOOKUP(Tabela1[[#This Row],[Matrícula]],Equipe!B:B,Equipe!E:E,"ERRO",0)</f>
        <v>ERRO</v>
      </c>
      <c r="I1389" s="83" t="e">
        <f>VLOOKUP(Tabela1[[#This Row],[Matrícula]],Equipe!B:F,5,0)</f>
        <v>#N/A</v>
      </c>
    </row>
    <row r="1390" spans="1:9">
      <c r="A1390" s="83"/>
      <c r="B1390" s="83">
        <f>_xlfn.XLOOKUP(A1390,Equipe!H:H,Equipe!B:B,"",0)</f>
        <v>0</v>
      </c>
      <c r="C1390" s="154"/>
      <c r="D1390" s="150" t="e">
        <f>(IF(Tabela1[[#This Row],[Início]]&lt;&gt;"",C1390+E1390-1,""))*1</f>
        <v>#VALUE!</v>
      </c>
      <c r="E1390" s="83"/>
      <c r="F1390" s="83"/>
      <c r="G1390" s="88"/>
      <c r="H1390" s="83" t="str">
        <f>_xlfn.XLOOKUP(Tabela1[[#This Row],[Matrícula]],Equipe!B:B,Equipe!E:E,"ERRO",0)</f>
        <v>ERRO</v>
      </c>
      <c r="I1390" s="83" t="e">
        <f>VLOOKUP(Tabela1[[#This Row],[Matrícula]],Equipe!B:F,5,0)</f>
        <v>#N/A</v>
      </c>
    </row>
    <row r="1391" spans="1:9">
      <c r="A1391" s="83"/>
      <c r="B1391" s="83">
        <f>_xlfn.XLOOKUP(A1391,Equipe!H:H,Equipe!B:B,"",0)</f>
        <v>0</v>
      </c>
      <c r="C1391" s="154"/>
      <c r="D1391" s="150" t="e">
        <f>(IF(Tabela1[[#This Row],[Início]]&lt;&gt;"",C1391+E1391-1,""))*1</f>
        <v>#VALUE!</v>
      </c>
      <c r="E1391" s="83"/>
      <c r="F1391" s="83"/>
      <c r="G1391" s="88"/>
      <c r="H1391" s="83" t="str">
        <f>_xlfn.XLOOKUP(Tabela1[[#This Row],[Matrícula]],Equipe!B:B,Equipe!E:E,"ERRO",0)</f>
        <v>ERRO</v>
      </c>
      <c r="I1391" s="83" t="e">
        <f>VLOOKUP(Tabela1[[#This Row],[Matrícula]],Equipe!B:F,5,0)</f>
        <v>#N/A</v>
      </c>
    </row>
    <row r="1392" spans="1:9">
      <c r="A1392" s="83"/>
      <c r="B1392" s="83">
        <f>_xlfn.XLOOKUP(A1392,Equipe!H:H,Equipe!B:B,"",0)</f>
        <v>0</v>
      </c>
      <c r="C1392" s="154"/>
      <c r="D1392" s="150" t="e">
        <f>(IF(Tabela1[[#This Row],[Início]]&lt;&gt;"",C1392+E1392-1,""))*1</f>
        <v>#VALUE!</v>
      </c>
      <c r="E1392" s="83"/>
      <c r="F1392" s="83"/>
      <c r="G1392" s="88"/>
      <c r="H1392" s="83" t="str">
        <f>_xlfn.XLOOKUP(Tabela1[[#This Row],[Matrícula]],Equipe!B:B,Equipe!E:E,"ERRO",0)</f>
        <v>ERRO</v>
      </c>
      <c r="I1392" s="83" t="e">
        <f>VLOOKUP(Tabela1[[#This Row],[Matrícula]],Equipe!B:F,5,0)</f>
        <v>#N/A</v>
      </c>
    </row>
    <row r="1393" spans="1:9">
      <c r="A1393" s="83"/>
      <c r="B1393" s="83">
        <f>_xlfn.XLOOKUP(A1393,Equipe!H:H,Equipe!B:B,"",0)</f>
        <v>0</v>
      </c>
      <c r="C1393" s="154"/>
      <c r="D1393" s="150" t="e">
        <f>(IF(Tabela1[[#This Row],[Início]]&lt;&gt;"",C1393+E1393-1,""))*1</f>
        <v>#VALUE!</v>
      </c>
      <c r="E1393" s="83"/>
      <c r="F1393" s="83"/>
      <c r="G1393" s="88"/>
      <c r="H1393" s="83" t="str">
        <f>_xlfn.XLOOKUP(Tabela1[[#This Row],[Matrícula]],Equipe!B:B,Equipe!E:E,"ERRO",0)</f>
        <v>ERRO</v>
      </c>
      <c r="I1393" s="83" t="e">
        <f>VLOOKUP(Tabela1[[#This Row],[Matrícula]],Equipe!B:F,5,0)</f>
        <v>#N/A</v>
      </c>
    </row>
    <row r="1394" spans="1:9">
      <c r="A1394" s="83"/>
      <c r="B1394" s="83">
        <f>_xlfn.XLOOKUP(A1394,Equipe!H:H,Equipe!B:B,"",0)</f>
        <v>0</v>
      </c>
      <c r="C1394" s="154"/>
      <c r="D1394" s="150" t="e">
        <f>(IF(Tabela1[[#This Row],[Início]]&lt;&gt;"",C1394+E1394-1,""))*1</f>
        <v>#VALUE!</v>
      </c>
      <c r="E1394" s="83"/>
      <c r="F1394" s="83"/>
      <c r="G1394" s="88"/>
      <c r="H1394" s="83" t="str">
        <f>_xlfn.XLOOKUP(Tabela1[[#This Row],[Matrícula]],Equipe!B:B,Equipe!E:E,"ERRO",0)</f>
        <v>ERRO</v>
      </c>
      <c r="I1394" s="83" t="e">
        <f>VLOOKUP(Tabela1[[#This Row],[Matrícula]],Equipe!B:F,5,0)</f>
        <v>#N/A</v>
      </c>
    </row>
    <row r="1395" spans="1:9">
      <c r="A1395" s="83"/>
      <c r="B1395" s="83">
        <f>_xlfn.XLOOKUP(A1395,Equipe!H:H,Equipe!B:B,"",0)</f>
        <v>0</v>
      </c>
      <c r="C1395" s="154"/>
      <c r="D1395" s="150" t="e">
        <f>(IF(Tabela1[[#This Row],[Início]]&lt;&gt;"",C1395+E1395-1,""))*1</f>
        <v>#VALUE!</v>
      </c>
      <c r="E1395" s="83"/>
      <c r="F1395" s="83"/>
      <c r="G1395" s="88"/>
      <c r="H1395" s="83" t="str">
        <f>_xlfn.XLOOKUP(Tabela1[[#This Row],[Matrícula]],Equipe!B:B,Equipe!E:E,"ERRO",0)</f>
        <v>ERRO</v>
      </c>
      <c r="I1395" s="83" t="e">
        <f>VLOOKUP(Tabela1[[#This Row],[Matrícula]],Equipe!B:F,5,0)</f>
        <v>#N/A</v>
      </c>
    </row>
    <row r="1396" spans="1:9">
      <c r="A1396" s="83"/>
      <c r="B1396" s="83">
        <f>_xlfn.XLOOKUP(A1396,Equipe!H:H,Equipe!B:B,"",0)</f>
        <v>0</v>
      </c>
      <c r="C1396" s="154"/>
      <c r="D1396" s="150" t="e">
        <f>(IF(Tabela1[[#This Row],[Início]]&lt;&gt;"",C1396+E1396-1,""))*1</f>
        <v>#VALUE!</v>
      </c>
      <c r="E1396" s="83"/>
      <c r="F1396" s="83"/>
      <c r="G1396" s="88"/>
      <c r="H1396" s="83" t="str">
        <f>_xlfn.XLOOKUP(Tabela1[[#This Row],[Matrícula]],Equipe!B:B,Equipe!E:E,"ERRO",0)</f>
        <v>ERRO</v>
      </c>
      <c r="I1396" s="83" t="e">
        <f>VLOOKUP(Tabela1[[#This Row],[Matrícula]],Equipe!B:F,5,0)</f>
        <v>#N/A</v>
      </c>
    </row>
    <row r="1397" spans="1:9">
      <c r="A1397" s="83"/>
      <c r="B1397" s="83">
        <f>_xlfn.XLOOKUP(A1397,Equipe!H:H,Equipe!B:B,"",0)</f>
        <v>0</v>
      </c>
      <c r="C1397" s="154"/>
      <c r="D1397" s="150" t="e">
        <f>(IF(Tabela1[[#This Row],[Início]]&lt;&gt;"",C1397+E1397-1,""))*1</f>
        <v>#VALUE!</v>
      </c>
      <c r="E1397" s="83"/>
      <c r="F1397" s="83"/>
      <c r="G1397" s="88"/>
      <c r="H1397" s="83" t="str">
        <f>_xlfn.XLOOKUP(Tabela1[[#This Row],[Matrícula]],Equipe!B:B,Equipe!E:E,"ERRO",0)</f>
        <v>ERRO</v>
      </c>
      <c r="I1397" s="83" t="e">
        <f>VLOOKUP(Tabela1[[#This Row],[Matrícula]],Equipe!B:F,5,0)</f>
        <v>#N/A</v>
      </c>
    </row>
    <row r="1398" spans="1:9">
      <c r="A1398" s="83"/>
      <c r="B1398" s="83">
        <f>_xlfn.XLOOKUP(A1398,Equipe!H:H,Equipe!B:B,"",0)</f>
        <v>0</v>
      </c>
      <c r="C1398" s="154"/>
      <c r="D1398" s="150" t="e">
        <f>(IF(Tabela1[[#This Row],[Início]]&lt;&gt;"",C1398+E1398-1,""))*1</f>
        <v>#VALUE!</v>
      </c>
      <c r="E1398" s="83"/>
      <c r="F1398" s="83"/>
      <c r="G1398" s="88"/>
      <c r="H1398" s="83" t="str">
        <f>_xlfn.XLOOKUP(Tabela1[[#This Row],[Matrícula]],Equipe!B:B,Equipe!E:E,"ERRO",0)</f>
        <v>ERRO</v>
      </c>
      <c r="I1398" s="83" t="e">
        <f>VLOOKUP(Tabela1[[#This Row],[Matrícula]],Equipe!B:F,5,0)</f>
        <v>#N/A</v>
      </c>
    </row>
    <row r="1399" spans="1:9">
      <c r="A1399" s="83"/>
      <c r="B1399" s="83">
        <f>_xlfn.XLOOKUP(A1399,Equipe!H:H,Equipe!B:B,"",0)</f>
        <v>0</v>
      </c>
      <c r="C1399" s="154"/>
      <c r="D1399" s="150" t="e">
        <f>(IF(Tabela1[[#This Row],[Início]]&lt;&gt;"",C1399+E1399-1,""))*1</f>
        <v>#VALUE!</v>
      </c>
      <c r="E1399" s="83"/>
      <c r="F1399" s="83"/>
      <c r="G1399" s="88"/>
      <c r="H1399" s="83" t="str">
        <f>_xlfn.XLOOKUP(Tabela1[[#This Row],[Matrícula]],Equipe!B:B,Equipe!E:E,"ERRO",0)</f>
        <v>ERRO</v>
      </c>
      <c r="I1399" s="83" t="e">
        <f>VLOOKUP(Tabela1[[#This Row],[Matrícula]],Equipe!B:F,5,0)</f>
        <v>#N/A</v>
      </c>
    </row>
    <row r="1400" spans="1:9">
      <c r="A1400" s="83"/>
      <c r="B1400" s="83">
        <f>_xlfn.XLOOKUP(A1400,Equipe!H:H,Equipe!B:B,"",0)</f>
        <v>0</v>
      </c>
      <c r="C1400" s="154"/>
      <c r="D1400" s="150" t="e">
        <f>(IF(Tabela1[[#This Row],[Início]]&lt;&gt;"",C1400+E1400-1,""))*1</f>
        <v>#VALUE!</v>
      </c>
      <c r="E1400" s="83"/>
      <c r="F1400" s="83"/>
      <c r="G1400" s="88"/>
      <c r="H1400" s="83" t="str">
        <f>_xlfn.XLOOKUP(Tabela1[[#This Row],[Matrícula]],Equipe!B:B,Equipe!E:E,"ERRO",0)</f>
        <v>ERRO</v>
      </c>
      <c r="I1400" s="83" t="e">
        <f>VLOOKUP(Tabela1[[#This Row],[Matrícula]],Equipe!B:F,5,0)</f>
        <v>#N/A</v>
      </c>
    </row>
    <row r="1401" spans="1:9">
      <c r="A1401" s="83"/>
      <c r="B1401" s="83">
        <f>_xlfn.XLOOKUP(A1401,Equipe!H:H,Equipe!B:B,"",0)</f>
        <v>0</v>
      </c>
      <c r="C1401" s="154"/>
      <c r="D1401" s="150" t="e">
        <f>(IF(Tabela1[[#This Row],[Início]]&lt;&gt;"",C1401+E1401-1,""))*1</f>
        <v>#VALUE!</v>
      </c>
      <c r="E1401" s="83"/>
      <c r="F1401" s="83"/>
      <c r="G1401" s="88"/>
      <c r="H1401" s="83" t="str">
        <f>_xlfn.XLOOKUP(Tabela1[[#This Row],[Matrícula]],Equipe!B:B,Equipe!E:E,"ERRO",0)</f>
        <v>ERRO</v>
      </c>
      <c r="I1401" s="83" t="e">
        <f>VLOOKUP(Tabela1[[#This Row],[Matrícula]],Equipe!B:F,5,0)</f>
        <v>#N/A</v>
      </c>
    </row>
    <row r="1402" spans="1:9">
      <c r="A1402" s="83"/>
      <c r="B1402" s="83">
        <f>_xlfn.XLOOKUP(A1402,Equipe!H:H,Equipe!B:B,"",0)</f>
        <v>0</v>
      </c>
      <c r="C1402" s="154"/>
      <c r="D1402" s="150" t="e">
        <f>(IF(Tabela1[[#This Row],[Início]]&lt;&gt;"",C1402+E1402-1,""))*1</f>
        <v>#VALUE!</v>
      </c>
      <c r="E1402" s="83"/>
      <c r="F1402" s="83"/>
      <c r="G1402" s="88"/>
      <c r="H1402" s="83" t="str">
        <f>_xlfn.XLOOKUP(Tabela1[[#This Row],[Matrícula]],Equipe!B:B,Equipe!E:E,"ERRO",0)</f>
        <v>ERRO</v>
      </c>
      <c r="I1402" s="83" t="e">
        <f>VLOOKUP(Tabela1[[#This Row],[Matrícula]],Equipe!B:F,5,0)</f>
        <v>#N/A</v>
      </c>
    </row>
    <row r="1403" spans="1:9">
      <c r="A1403" s="83"/>
      <c r="B1403" s="83">
        <f>_xlfn.XLOOKUP(A1403,Equipe!H:H,Equipe!B:B,"",0)</f>
        <v>0</v>
      </c>
      <c r="C1403" s="154"/>
      <c r="D1403" s="150" t="e">
        <f>(IF(Tabela1[[#This Row],[Início]]&lt;&gt;"",C1403+E1403-1,""))*1</f>
        <v>#VALUE!</v>
      </c>
      <c r="E1403" s="83"/>
      <c r="F1403" s="83"/>
      <c r="G1403" s="88"/>
      <c r="H1403" s="83" t="str">
        <f>_xlfn.XLOOKUP(Tabela1[[#This Row],[Matrícula]],Equipe!B:B,Equipe!E:E,"ERRO",0)</f>
        <v>ERRO</v>
      </c>
      <c r="I1403" s="83" t="e">
        <f>VLOOKUP(Tabela1[[#This Row],[Matrícula]],Equipe!B:F,5,0)</f>
        <v>#N/A</v>
      </c>
    </row>
    <row r="1404" spans="1:9">
      <c r="A1404" s="83"/>
      <c r="B1404" s="83">
        <f>_xlfn.XLOOKUP(A1404,Equipe!H:H,Equipe!B:B,"",0)</f>
        <v>0</v>
      </c>
      <c r="C1404" s="154"/>
      <c r="D1404" s="150" t="e">
        <f>(IF(Tabela1[[#This Row],[Início]]&lt;&gt;"",C1404+E1404-1,""))*1</f>
        <v>#VALUE!</v>
      </c>
      <c r="E1404" s="83"/>
      <c r="F1404" s="83"/>
      <c r="G1404" s="88"/>
      <c r="H1404" s="83" t="str">
        <f>_xlfn.XLOOKUP(Tabela1[[#This Row],[Matrícula]],Equipe!B:B,Equipe!E:E,"ERRO",0)</f>
        <v>ERRO</v>
      </c>
      <c r="I1404" s="83" t="e">
        <f>VLOOKUP(Tabela1[[#This Row],[Matrícula]],Equipe!B:F,5,0)</f>
        <v>#N/A</v>
      </c>
    </row>
    <row r="1405" spans="1:9">
      <c r="A1405" s="83"/>
      <c r="B1405" s="83">
        <f>_xlfn.XLOOKUP(A1405,Equipe!H:H,Equipe!B:B,"",0)</f>
        <v>0</v>
      </c>
      <c r="C1405" s="154"/>
      <c r="D1405" s="150" t="e">
        <f>(IF(Tabela1[[#This Row],[Início]]&lt;&gt;"",C1405+E1405-1,""))*1</f>
        <v>#VALUE!</v>
      </c>
      <c r="E1405" s="83"/>
      <c r="F1405" s="83"/>
      <c r="G1405" s="88"/>
      <c r="H1405" s="83" t="str">
        <f>_xlfn.XLOOKUP(Tabela1[[#This Row],[Matrícula]],Equipe!B:B,Equipe!E:E,"ERRO",0)</f>
        <v>ERRO</v>
      </c>
      <c r="I1405" s="83" t="e">
        <f>VLOOKUP(Tabela1[[#This Row],[Matrícula]],Equipe!B:F,5,0)</f>
        <v>#N/A</v>
      </c>
    </row>
    <row r="1406" spans="1:9">
      <c r="A1406" s="83"/>
      <c r="B1406" s="83">
        <f>_xlfn.XLOOKUP(A1406,Equipe!H:H,Equipe!B:B,"",0)</f>
        <v>0</v>
      </c>
      <c r="C1406" s="154"/>
      <c r="D1406" s="150" t="e">
        <f>(IF(Tabela1[[#This Row],[Início]]&lt;&gt;"",C1406+E1406-1,""))*1</f>
        <v>#VALUE!</v>
      </c>
      <c r="E1406" s="83"/>
      <c r="F1406" s="83"/>
      <c r="G1406" s="88"/>
      <c r="H1406" s="83" t="str">
        <f>_xlfn.XLOOKUP(Tabela1[[#This Row],[Matrícula]],Equipe!B:B,Equipe!E:E,"ERRO",0)</f>
        <v>ERRO</v>
      </c>
      <c r="I1406" s="83" t="e">
        <f>VLOOKUP(Tabela1[[#This Row],[Matrícula]],Equipe!B:F,5,0)</f>
        <v>#N/A</v>
      </c>
    </row>
    <row r="1407" spans="1:9">
      <c r="A1407" s="83"/>
      <c r="B1407" s="83">
        <f>_xlfn.XLOOKUP(A1407,Equipe!H:H,Equipe!B:B,"",0)</f>
        <v>0</v>
      </c>
      <c r="C1407" s="154"/>
      <c r="D1407" s="150" t="e">
        <f>(IF(Tabela1[[#This Row],[Início]]&lt;&gt;"",C1407+E1407-1,""))*1</f>
        <v>#VALUE!</v>
      </c>
      <c r="E1407" s="83"/>
      <c r="F1407" s="83"/>
      <c r="G1407" s="88"/>
      <c r="H1407" s="83" t="str">
        <f>_xlfn.XLOOKUP(Tabela1[[#This Row],[Matrícula]],Equipe!B:B,Equipe!E:E,"ERRO",0)</f>
        <v>ERRO</v>
      </c>
      <c r="I1407" s="83" t="e">
        <f>VLOOKUP(Tabela1[[#This Row],[Matrícula]],Equipe!B:F,5,0)</f>
        <v>#N/A</v>
      </c>
    </row>
    <row r="1408" spans="1:9">
      <c r="A1408" s="83"/>
      <c r="B1408" s="83">
        <f>_xlfn.XLOOKUP(A1408,Equipe!H:H,Equipe!B:B,"",0)</f>
        <v>0</v>
      </c>
      <c r="C1408" s="154"/>
      <c r="D1408" s="150" t="e">
        <f>(IF(Tabela1[[#This Row],[Início]]&lt;&gt;"",C1408+E1408-1,""))*1</f>
        <v>#VALUE!</v>
      </c>
      <c r="E1408" s="83"/>
      <c r="F1408" s="83"/>
      <c r="G1408" s="88"/>
      <c r="H1408" s="83" t="str">
        <f>_xlfn.XLOOKUP(Tabela1[[#This Row],[Matrícula]],Equipe!B:B,Equipe!E:E,"ERRO",0)</f>
        <v>ERRO</v>
      </c>
      <c r="I1408" s="83" t="e">
        <f>VLOOKUP(Tabela1[[#This Row],[Matrícula]],Equipe!B:F,5,0)</f>
        <v>#N/A</v>
      </c>
    </row>
    <row r="1409" spans="1:9">
      <c r="A1409" s="83"/>
      <c r="B1409" s="83">
        <f>_xlfn.XLOOKUP(A1409,Equipe!H:H,Equipe!B:B,"",0)</f>
        <v>0</v>
      </c>
      <c r="C1409" s="154"/>
      <c r="D1409" s="150" t="e">
        <f>(IF(Tabela1[[#This Row],[Início]]&lt;&gt;"",C1409+E1409-1,""))*1</f>
        <v>#VALUE!</v>
      </c>
      <c r="E1409" s="83"/>
      <c r="F1409" s="83"/>
      <c r="G1409" s="88"/>
      <c r="H1409" s="83" t="str">
        <f>_xlfn.XLOOKUP(Tabela1[[#This Row],[Matrícula]],Equipe!B:B,Equipe!E:E,"ERRO",0)</f>
        <v>ERRO</v>
      </c>
      <c r="I1409" s="83" t="e">
        <f>VLOOKUP(Tabela1[[#This Row],[Matrícula]],Equipe!B:F,5,0)</f>
        <v>#N/A</v>
      </c>
    </row>
    <row r="1410" spans="1:9">
      <c r="A1410" s="83"/>
      <c r="B1410" s="83">
        <f>_xlfn.XLOOKUP(A1410,Equipe!H:H,Equipe!B:B,"",0)</f>
        <v>0</v>
      </c>
      <c r="C1410" s="154"/>
      <c r="D1410" s="150" t="e">
        <f>(IF(Tabela1[[#This Row],[Início]]&lt;&gt;"",C1410+E1410-1,""))*1</f>
        <v>#VALUE!</v>
      </c>
      <c r="E1410" s="83"/>
      <c r="F1410" s="83"/>
      <c r="G1410" s="88"/>
      <c r="H1410" s="83" t="str">
        <f>_xlfn.XLOOKUP(Tabela1[[#This Row],[Matrícula]],Equipe!B:B,Equipe!E:E,"ERRO",0)</f>
        <v>ERRO</v>
      </c>
      <c r="I1410" s="83" t="e">
        <f>VLOOKUP(Tabela1[[#This Row],[Matrícula]],Equipe!B:F,5,0)</f>
        <v>#N/A</v>
      </c>
    </row>
    <row r="1411" spans="1:9">
      <c r="A1411" s="83"/>
      <c r="B1411" s="83">
        <f>_xlfn.XLOOKUP(A1411,Equipe!H:H,Equipe!B:B,"",0)</f>
        <v>0</v>
      </c>
      <c r="C1411" s="154"/>
      <c r="D1411" s="150" t="e">
        <f>(IF(Tabela1[[#This Row],[Início]]&lt;&gt;"",C1411+E1411-1,""))*1</f>
        <v>#VALUE!</v>
      </c>
      <c r="E1411" s="83"/>
      <c r="F1411" s="83"/>
      <c r="G1411" s="88"/>
      <c r="H1411" s="83" t="str">
        <f>_xlfn.XLOOKUP(Tabela1[[#This Row],[Matrícula]],Equipe!B:B,Equipe!E:E,"ERRO",0)</f>
        <v>ERRO</v>
      </c>
      <c r="I1411" s="83" t="e">
        <f>VLOOKUP(Tabela1[[#This Row],[Matrícula]],Equipe!B:F,5,0)</f>
        <v>#N/A</v>
      </c>
    </row>
    <row r="1412" spans="1:9">
      <c r="A1412" s="83"/>
      <c r="B1412" s="83">
        <f>_xlfn.XLOOKUP(A1412,Equipe!H:H,Equipe!B:B,"",0)</f>
        <v>0</v>
      </c>
      <c r="C1412" s="154"/>
      <c r="D1412" s="150" t="e">
        <f>(IF(Tabela1[[#This Row],[Início]]&lt;&gt;"",C1412+E1412-1,""))*1</f>
        <v>#VALUE!</v>
      </c>
      <c r="E1412" s="83"/>
      <c r="F1412" s="83"/>
      <c r="G1412" s="88"/>
      <c r="H1412" s="83" t="str">
        <f>_xlfn.XLOOKUP(Tabela1[[#This Row],[Matrícula]],Equipe!B:B,Equipe!E:E,"ERRO",0)</f>
        <v>ERRO</v>
      </c>
      <c r="I1412" s="83" t="e">
        <f>VLOOKUP(Tabela1[[#This Row],[Matrícula]],Equipe!B:F,5,0)</f>
        <v>#N/A</v>
      </c>
    </row>
    <row r="1413" spans="1:9">
      <c r="A1413" s="83"/>
      <c r="B1413" s="83">
        <f>_xlfn.XLOOKUP(A1413,Equipe!H:H,Equipe!B:B,"",0)</f>
        <v>0</v>
      </c>
      <c r="C1413" s="154"/>
      <c r="D1413" s="150" t="e">
        <f>(IF(Tabela1[[#This Row],[Início]]&lt;&gt;"",C1413+E1413-1,""))*1</f>
        <v>#VALUE!</v>
      </c>
      <c r="E1413" s="83"/>
      <c r="F1413" s="83"/>
      <c r="G1413" s="88"/>
      <c r="H1413" s="83" t="str">
        <f>_xlfn.XLOOKUP(Tabela1[[#This Row],[Matrícula]],Equipe!B:B,Equipe!E:E,"ERRO",0)</f>
        <v>ERRO</v>
      </c>
      <c r="I1413" s="83" t="e">
        <f>VLOOKUP(Tabela1[[#This Row],[Matrícula]],Equipe!B:F,5,0)</f>
        <v>#N/A</v>
      </c>
    </row>
    <row r="1414" spans="1:9">
      <c r="A1414" s="83"/>
      <c r="B1414" s="83">
        <f>_xlfn.XLOOKUP(A1414,Equipe!H:H,Equipe!B:B,"",0)</f>
        <v>0</v>
      </c>
      <c r="C1414" s="154"/>
      <c r="D1414" s="150" t="e">
        <f>(IF(Tabela1[[#This Row],[Início]]&lt;&gt;"",C1414+E1414-1,""))*1</f>
        <v>#VALUE!</v>
      </c>
      <c r="E1414" s="83"/>
      <c r="F1414" s="83"/>
      <c r="G1414" s="88"/>
      <c r="H1414" s="83" t="str">
        <f>_xlfn.XLOOKUP(Tabela1[[#This Row],[Matrícula]],Equipe!B:B,Equipe!E:E,"ERRO",0)</f>
        <v>ERRO</v>
      </c>
      <c r="I1414" s="83" t="e">
        <f>VLOOKUP(Tabela1[[#This Row],[Matrícula]],Equipe!B:F,5,0)</f>
        <v>#N/A</v>
      </c>
    </row>
    <row r="1415" spans="1:9">
      <c r="A1415" s="83"/>
      <c r="B1415" s="83">
        <f>_xlfn.XLOOKUP(A1415,Equipe!H:H,Equipe!B:B,"",0)</f>
        <v>0</v>
      </c>
      <c r="C1415" s="154"/>
      <c r="D1415" s="150" t="e">
        <f>(IF(Tabela1[[#This Row],[Início]]&lt;&gt;"",C1415+E1415-1,""))*1</f>
        <v>#VALUE!</v>
      </c>
      <c r="E1415" s="83"/>
      <c r="F1415" s="83"/>
      <c r="G1415" s="88"/>
      <c r="H1415" s="83" t="str">
        <f>_xlfn.XLOOKUP(Tabela1[[#This Row],[Matrícula]],Equipe!B:B,Equipe!E:E,"ERRO",0)</f>
        <v>ERRO</v>
      </c>
      <c r="I1415" s="83" t="e">
        <f>VLOOKUP(Tabela1[[#This Row],[Matrícula]],Equipe!B:F,5,0)</f>
        <v>#N/A</v>
      </c>
    </row>
    <row r="1416" spans="1:9">
      <c r="A1416" s="83"/>
      <c r="B1416" s="83">
        <f>_xlfn.XLOOKUP(A1416,Equipe!H:H,Equipe!B:B,"",0)</f>
        <v>0</v>
      </c>
      <c r="C1416" s="154"/>
      <c r="D1416" s="150" t="e">
        <f>(IF(Tabela1[[#This Row],[Início]]&lt;&gt;"",C1416+E1416-1,""))*1</f>
        <v>#VALUE!</v>
      </c>
      <c r="E1416" s="83"/>
      <c r="F1416" s="83"/>
      <c r="G1416" s="88"/>
      <c r="H1416" s="83" t="str">
        <f>_xlfn.XLOOKUP(Tabela1[[#This Row],[Matrícula]],Equipe!B:B,Equipe!E:E,"ERRO",0)</f>
        <v>ERRO</v>
      </c>
      <c r="I1416" s="83" t="e">
        <f>VLOOKUP(Tabela1[[#This Row],[Matrícula]],Equipe!B:F,5,0)</f>
        <v>#N/A</v>
      </c>
    </row>
    <row r="1417" spans="1:9">
      <c r="A1417" s="83"/>
      <c r="B1417" s="83">
        <f>_xlfn.XLOOKUP(A1417,Equipe!H:H,Equipe!B:B,"",0)</f>
        <v>0</v>
      </c>
      <c r="C1417" s="154"/>
      <c r="D1417" s="150" t="e">
        <f>(IF(Tabela1[[#This Row],[Início]]&lt;&gt;"",C1417+E1417-1,""))*1</f>
        <v>#VALUE!</v>
      </c>
      <c r="E1417" s="83"/>
      <c r="F1417" s="83"/>
      <c r="G1417" s="88"/>
      <c r="H1417" s="83" t="str">
        <f>_xlfn.XLOOKUP(Tabela1[[#This Row],[Matrícula]],Equipe!B:B,Equipe!E:E,"ERRO",0)</f>
        <v>ERRO</v>
      </c>
      <c r="I1417" s="83" t="e">
        <f>VLOOKUP(Tabela1[[#This Row],[Matrícula]],Equipe!B:F,5,0)</f>
        <v>#N/A</v>
      </c>
    </row>
    <row r="1418" spans="1:9">
      <c r="A1418" s="83"/>
      <c r="B1418" s="83">
        <f>_xlfn.XLOOKUP(A1418,Equipe!H:H,Equipe!B:B,"",0)</f>
        <v>0</v>
      </c>
      <c r="C1418" s="154"/>
      <c r="D1418" s="150" t="e">
        <f>(IF(Tabela1[[#This Row],[Início]]&lt;&gt;"",C1418+E1418-1,""))*1</f>
        <v>#VALUE!</v>
      </c>
      <c r="E1418" s="83"/>
      <c r="F1418" s="83"/>
      <c r="G1418" s="88"/>
      <c r="H1418" s="83" t="str">
        <f>_xlfn.XLOOKUP(Tabela1[[#This Row],[Matrícula]],Equipe!B:B,Equipe!E:E,"ERRO",0)</f>
        <v>ERRO</v>
      </c>
      <c r="I1418" s="83" t="e">
        <f>VLOOKUP(Tabela1[[#This Row],[Matrícula]],Equipe!B:F,5,0)</f>
        <v>#N/A</v>
      </c>
    </row>
    <row r="1419" spans="1:9">
      <c r="A1419" s="83"/>
      <c r="B1419" s="83">
        <f>_xlfn.XLOOKUP(A1419,Equipe!H:H,Equipe!B:B,"",0)</f>
        <v>0</v>
      </c>
      <c r="C1419" s="154"/>
      <c r="D1419" s="150" t="e">
        <f>(IF(Tabela1[[#This Row],[Início]]&lt;&gt;"",C1419+E1419-1,""))*1</f>
        <v>#VALUE!</v>
      </c>
      <c r="E1419" s="83"/>
      <c r="F1419" s="83"/>
      <c r="G1419" s="88"/>
      <c r="H1419" s="83" t="str">
        <f>_xlfn.XLOOKUP(Tabela1[[#This Row],[Matrícula]],Equipe!B:B,Equipe!E:E,"ERRO",0)</f>
        <v>ERRO</v>
      </c>
      <c r="I1419" s="83" t="e">
        <f>VLOOKUP(Tabela1[[#This Row],[Matrícula]],Equipe!B:F,5,0)</f>
        <v>#N/A</v>
      </c>
    </row>
    <row r="1420" spans="1:9">
      <c r="A1420" s="83"/>
      <c r="B1420" s="83">
        <f>_xlfn.XLOOKUP(A1420,Equipe!H:H,Equipe!B:B,"",0)</f>
        <v>0</v>
      </c>
      <c r="C1420" s="154"/>
      <c r="D1420" s="150" t="e">
        <f>(IF(Tabela1[[#This Row],[Início]]&lt;&gt;"",C1420+E1420-1,""))*1</f>
        <v>#VALUE!</v>
      </c>
      <c r="E1420" s="83"/>
      <c r="F1420" s="83"/>
      <c r="G1420" s="88"/>
      <c r="H1420" s="83" t="str">
        <f>_xlfn.XLOOKUP(Tabela1[[#This Row],[Matrícula]],Equipe!B:B,Equipe!E:E,"ERRO",0)</f>
        <v>ERRO</v>
      </c>
      <c r="I1420" s="83" t="e">
        <f>VLOOKUP(Tabela1[[#This Row],[Matrícula]],Equipe!B:F,5,0)</f>
        <v>#N/A</v>
      </c>
    </row>
    <row r="1421" spans="1:9">
      <c r="A1421" s="83"/>
      <c r="B1421" s="83">
        <f>_xlfn.XLOOKUP(A1421,Equipe!H:H,Equipe!B:B,"",0)</f>
        <v>0</v>
      </c>
      <c r="C1421" s="154"/>
      <c r="D1421" s="150" t="e">
        <f>(IF(Tabela1[[#This Row],[Início]]&lt;&gt;"",C1421+E1421-1,""))*1</f>
        <v>#VALUE!</v>
      </c>
      <c r="E1421" s="83"/>
      <c r="F1421" s="83"/>
      <c r="G1421" s="88"/>
      <c r="H1421" s="83" t="str">
        <f>_xlfn.XLOOKUP(Tabela1[[#This Row],[Matrícula]],Equipe!B:B,Equipe!E:E,"ERRO",0)</f>
        <v>ERRO</v>
      </c>
      <c r="I1421" s="83" t="e">
        <f>VLOOKUP(Tabela1[[#This Row],[Matrícula]],Equipe!B:F,5,0)</f>
        <v>#N/A</v>
      </c>
    </row>
    <row r="1422" spans="1:9">
      <c r="A1422" s="83"/>
      <c r="B1422" s="83">
        <f>_xlfn.XLOOKUP(A1422,Equipe!H:H,Equipe!B:B,"",0)</f>
        <v>0</v>
      </c>
      <c r="C1422" s="154"/>
      <c r="D1422" s="150" t="e">
        <f>(IF(Tabela1[[#This Row],[Início]]&lt;&gt;"",C1422+E1422-1,""))*1</f>
        <v>#VALUE!</v>
      </c>
      <c r="E1422" s="83"/>
      <c r="F1422" s="83"/>
      <c r="G1422" s="88"/>
      <c r="H1422" s="83" t="str">
        <f>_xlfn.XLOOKUP(Tabela1[[#This Row],[Matrícula]],Equipe!B:B,Equipe!E:E,"ERRO",0)</f>
        <v>ERRO</v>
      </c>
      <c r="I1422" s="83" t="e">
        <f>VLOOKUP(Tabela1[[#This Row],[Matrícula]],Equipe!B:F,5,0)</f>
        <v>#N/A</v>
      </c>
    </row>
    <row r="1423" spans="1:9">
      <c r="A1423" s="83"/>
      <c r="B1423" s="83">
        <f>_xlfn.XLOOKUP(A1423,Equipe!H:H,Equipe!B:B,"",0)</f>
        <v>0</v>
      </c>
      <c r="C1423" s="154"/>
      <c r="D1423" s="150" t="e">
        <f>(IF(Tabela1[[#This Row],[Início]]&lt;&gt;"",C1423+E1423-1,""))*1</f>
        <v>#VALUE!</v>
      </c>
      <c r="E1423" s="83"/>
      <c r="F1423" s="83"/>
      <c r="G1423" s="88"/>
      <c r="H1423" s="83" t="str">
        <f>_xlfn.XLOOKUP(Tabela1[[#This Row],[Matrícula]],Equipe!B:B,Equipe!E:E,"ERRO",0)</f>
        <v>ERRO</v>
      </c>
      <c r="I1423" s="83" t="e">
        <f>VLOOKUP(Tabela1[[#This Row],[Matrícula]],Equipe!B:F,5,0)</f>
        <v>#N/A</v>
      </c>
    </row>
    <row r="1424" spans="1:9">
      <c r="A1424" s="83"/>
      <c r="B1424" s="83">
        <f>_xlfn.XLOOKUP(A1424,Equipe!H:H,Equipe!B:B,"",0)</f>
        <v>0</v>
      </c>
      <c r="C1424" s="154"/>
      <c r="D1424" s="150" t="e">
        <f>(IF(Tabela1[[#This Row],[Início]]&lt;&gt;"",C1424+E1424-1,""))*1</f>
        <v>#VALUE!</v>
      </c>
      <c r="E1424" s="83"/>
      <c r="F1424" s="83"/>
      <c r="G1424" s="88"/>
      <c r="H1424" s="83" t="str">
        <f>_xlfn.XLOOKUP(Tabela1[[#This Row],[Matrícula]],Equipe!B:B,Equipe!E:E,"ERRO",0)</f>
        <v>ERRO</v>
      </c>
      <c r="I1424" s="83" t="e">
        <f>VLOOKUP(Tabela1[[#This Row],[Matrícula]],Equipe!B:F,5,0)</f>
        <v>#N/A</v>
      </c>
    </row>
    <row r="1425" spans="1:9">
      <c r="A1425" s="83"/>
      <c r="B1425" s="83">
        <f>_xlfn.XLOOKUP(A1425,Equipe!H:H,Equipe!B:B,"",0)</f>
        <v>0</v>
      </c>
      <c r="C1425" s="154"/>
      <c r="D1425" s="150" t="e">
        <f>(IF(Tabela1[[#This Row],[Início]]&lt;&gt;"",C1425+E1425-1,""))*1</f>
        <v>#VALUE!</v>
      </c>
      <c r="E1425" s="83"/>
      <c r="F1425" s="83"/>
      <c r="G1425" s="88"/>
      <c r="H1425" s="83" t="str">
        <f>_xlfn.XLOOKUP(Tabela1[[#This Row],[Matrícula]],Equipe!B:B,Equipe!E:E,"ERRO",0)</f>
        <v>ERRO</v>
      </c>
      <c r="I1425" s="83" t="e">
        <f>VLOOKUP(Tabela1[[#This Row],[Matrícula]],Equipe!B:F,5,0)</f>
        <v>#N/A</v>
      </c>
    </row>
    <row r="1426" spans="1:9">
      <c r="A1426" s="83"/>
      <c r="B1426" s="83">
        <f>_xlfn.XLOOKUP(A1426,Equipe!H:H,Equipe!B:B,"",0)</f>
        <v>0</v>
      </c>
      <c r="C1426" s="154"/>
      <c r="D1426" s="150" t="e">
        <f>(IF(Tabela1[[#This Row],[Início]]&lt;&gt;"",C1426+E1426-1,""))*1</f>
        <v>#VALUE!</v>
      </c>
      <c r="E1426" s="83"/>
      <c r="F1426" s="83"/>
      <c r="G1426" s="88"/>
      <c r="H1426" s="83" t="str">
        <f>_xlfn.XLOOKUP(Tabela1[[#This Row],[Matrícula]],Equipe!B:B,Equipe!E:E,"ERRO",0)</f>
        <v>ERRO</v>
      </c>
      <c r="I1426" s="83" t="e">
        <f>VLOOKUP(Tabela1[[#This Row],[Matrícula]],Equipe!B:F,5,0)</f>
        <v>#N/A</v>
      </c>
    </row>
    <row r="1427" spans="1:9">
      <c r="A1427" s="83"/>
      <c r="B1427" s="83">
        <f>_xlfn.XLOOKUP(A1427,Equipe!H:H,Equipe!B:B,"",0)</f>
        <v>0</v>
      </c>
      <c r="C1427" s="154"/>
      <c r="D1427" s="150" t="e">
        <f>(IF(Tabela1[[#This Row],[Início]]&lt;&gt;"",C1427+E1427-1,""))*1</f>
        <v>#VALUE!</v>
      </c>
      <c r="E1427" s="83"/>
      <c r="F1427" s="83"/>
      <c r="G1427" s="88"/>
      <c r="H1427" s="83" t="str">
        <f>_xlfn.XLOOKUP(Tabela1[[#This Row],[Matrícula]],Equipe!B:B,Equipe!E:E,"ERRO",0)</f>
        <v>ERRO</v>
      </c>
      <c r="I1427" s="83" t="e">
        <f>VLOOKUP(Tabela1[[#This Row],[Matrícula]],Equipe!B:F,5,0)</f>
        <v>#N/A</v>
      </c>
    </row>
    <row r="1428" spans="1:9">
      <c r="A1428" s="83"/>
      <c r="B1428" s="83">
        <f>_xlfn.XLOOKUP(A1428,Equipe!H:H,Equipe!B:B,"",0)</f>
        <v>0</v>
      </c>
      <c r="C1428" s="154"/>
      <c r="D1428" s="150" t="e">
        <f>(IF(Tabela1[[#This Row],[Início]]&lt;&gt;"",C1428+E1428-1,""))*1</f>
        <v>#VALUE!</v>
      </c>
      <c r="E1428" s="83"/>
      <c r="F1428" s="83"/>
      <c r="G1428" s="88"/>
      <c r="H1428" s="83" t="str">
        <f>_xlfn.XLOOKUP(Tabela1[[#This Row],[Matrícula]],Equipe!B:B,Equipe!E:E,"ERRO",0)</f>
        <v>ERRO</v>
      </c>
      <c r="I1428" s="83" t="e">
        <f>VLOOKUP(Tabela1[[#This Row],[Matrícula]],Equipe!B:F,5,0)</f>
        <v>#N/A</v>
      </c>
    </row>
    <row r="1429" spans="1:9">
      <c r="A1429" s="83"/>
      <c r="B1429" s="83">
        <f>_xlfn.XLOOKUP(A1429,Equipe!H:H,Equipe!B:B,"",0)</f>
        <v>0</v>
      </c>
      <c r="C1429" s="154"/>
      <c r="D1429" s="150" t="e">
        <f>(IF(Tabela1[[#This Row],[Início]]&lt;&gt;"",C1429+E1429-1,""))*1</f>
        <v>#VALUE!</v>
      </c>
      <c r="E1429" s="83"/>
      <c r="F1429" s="83"/>
      <c r="G1429" s="88"/>
      <c r="H1429" s="83" t="str">
        <f>_xlfn.XLOOKUP(Tabela1[[#This Row],[Matrícula]],Equipe!B:B,Equipe!E:E,"ERRO",0)</f>
        <v>ERRO</v>
      </c>
      <c r="I1429" s="83" t="e">
        <f>VLOOKUP(Tabela1[[#This Row],[Matrícula]],Equipe!B:F,5,0)</f>
        <v>#N/A</v>
      </c>
    </row>
    <row r="1430" spans="1:9">
      <c r="A1430" s="83"/>
      <c r="B1430" s="83">
        <f>_xlfn.XLOOKUP(A1430,Equipe!H:H,Equipe!B:B,"",0)</f>
        <v>0</v>
      </c>
      <c r="C1430" s="154"/>
      <c r="D1430" s="150" t="e">
        <f>(IF(Tabela1[[#This Row],[Início]]&lt;&gt;"",C1430+E1430-1,""))*1</f>
        <v>#VALUE!</v>
      </c>
      <c r="E1430" s="83"/>
      <c r="F1430" s="83"/>
      <c r="G1430" s="88"/>
      <c r="H1430" s="83" t="str">
        <f>_xlfn.XLOOKUP(Tabela1[[#This Row],[Matrícula]],Equipe!B:B,Equipe!E:E,"ERRO",0)</f>
        <v>ERRO</v>
      </c>
      <c r="I1430" s="83" t="e">
        <f>VLOOKUP(Tabela1[[#This Row],[Matrícula]],Equipe!B:F,5,0)</f>
        <v>#N/A</v>
      </c>
    </row>
    <row r="1431" spans="1:9">
      <c r="A1431" s="83"/>
      <c r="B1431" s="83">
        <f>_xlfn.XLOOKUP(A1431,Equipe!H:H,Equipe!B:B,"",0)</f>
        <v>0</v>
      </c>
      <c r="C1431" s="154"/>
      <c r="D1431" s="150" t="e">
        <f>(IF(Tabela1[[#This Row],[Início]]&lt;&gt;"",C1431+E1431-1,""))*1</f>
        <v>#VALUE!</v>
      </c>
      <c r="E1431" s="83"/>
      <c r="F1431" s="83"/>
      <c r="G1431" s="88"/>
      <c r="H1431" s="83" t="str">
        <f>_xlfn.XLOOKUP(Tabela1[[#This Row],[Matrícula]],Equipe!B:B,Equipe!E:E,"ERRO",0)</f>
        <v>ERRO</v>
      </c>
      <c r="I1431" s="83" t="e">
        <f>VLOOKUP(Tabela1[[#This Row],[Matrícula]],Equipe!B:F,5,0)</f>
        <v>#N/A</v>
      </c>
    </row>
    <row r="1432" spans="1:9">
      <c r="A1432" s="83"/>
      <c r="B1432" s="83">
        <f>_xlfn.XLOOKUP(A1432,Equipe!H:H,Equipe!B:B,"",0)</f>
        <v>0</v>
      </c>
      <c r="C1432" s="154"/>
      <c r="D1432" s="150" t="e">
        <f>(IF(Tabela1[[#This Row],[Início]]&lt;&gt;"",C1432+E1432-1,""))*1</f>
        <v>#VALUE!</v>
      </c>
      <c r="E1432" s="83"/>
      <c r="F1432" s="83"/>
      <c r="G1432" s="88"/>
      <c r="H1432" s="83" t="str">
        <f>_xlfn.XLOOKUP(Tabela1[[#This Row],[Matrícula]],Equipe!B:B,Equipe!E:E,"ERRO",0)</f>
        <v>ERRO</v>
      </c>
      <c r="I1432" s="83" t="e">
        <f>VLOOKUP(Tabela1[[#This Row],[Matrícula]],Equipe!B:F,5,0)</f>
        <v>#N/A</v>
      </c>
    </row>
    <row r="1433" spans="1:9">
      <c r="A1433" s="83"/>
      <c r="B1433" s="83">
        <f>_xlfn.XLOOKUP(A1433,Equipe!H:H,Equipe!B:B,"",0)</f>
        <v>0</v>
      </c>
      <c r="C1433" s="154"/>
      <c r="D1433" s="150" t="e">
        <f>(IF(Tabela1[[#This Row],[Início]]&lt;&gt;"",C1433+E1433-1,""))*1</f>
        <v>#VALUE!</v>
      </c>
      <c r="E1433" s="83"/>
      <c r="F1433" s="83"/>
      <c r="G1433" s="88"/>
      <c r="H1433" s="83" t="str">
        <f>_xlfn.XLOOKUP(Tabela1[[#This Row],[Matrícula]],Equipe!B:B,Equipe!E:E,"ERRO",0)</f>
        <v>ERRO</v>
      </c>
      <c r="I1433" s="83" t="e">
        <f>VLOOKUP(Tabela1[[#This Row],[Matrícula]],Equipe!B:F,5,0)</f>
        <v>#N/A</v>
      </c>
    </row>
    <row r="1434" spans="1:9">
      <c r="A1434" s="83"/>
      <c r="B1434" s="83">
        <f>_xlfn.XLOOKUP(A1434,Equipe!H:H,Equipe!B:B,"",0)</f>
        <v>0</v>
      </c>
      <c r="C1434" s="154"/>
      <c r="D1434" s="150" t="e">
        <f>(IF(Tabela1[[#This Row],[Início]]&lt;&gt;"",C1434+E1434-1,""))*1</f>
        <v>#VALUE!</v>
      </c>
      <c r="E1434" s="83"/>
      <c r="F1434" s="83"/>
      <c r="G1434" s="88"/>
      <c r="H1434" s="83" t="str">
        <f>_xlfn.XLOOKUP(Tabela1[[#This Row],[Matrícula]],Equipe!B:B,Equipe!E:E,"ERRO",0)</f>
        <v>ERRO</v>
      </c>
      <c r="I1434" s="83" t="e">
        <f>VLOOKUP(Tabela1[[#This Row],[Matrícula]],Equipe!B:F,5,0)</f>
        <v>#N/A</v>
      </c>
    </row>
    <row r="1435" spans="1:9">
      <c r="A1435" s="83"/>
      <c r="B1435" s="83">
        <f>_xlfn.XLOOKUP(A1435,Equipe!H:H,Equipe!B:B,"",0)</f>
        <v>0</v>
      </c>
      <c r="C1435" s="154"/>
      <c r="D1435" s="150" t="e">
        <f>(IF(Tabela1[[#This Row],[Início]]&lt;&gt;"",C1435+E1435-1,""))*1</f>
        <v>#VALUE!</v>
      </c>
      <c r="E1435" s="83"/>
      <c r="F1435" s="83"/>
      <c r="G1435" s="88"/>
      <c r="H1435" s="83" t="str">
        <f>_xlfn.XLOOKUP(Tabela1[[#This Row],[Matrícula]],Equipe!B:B,Equipe!E:E,"ERRO",0)</f>
        <v>ERRO</v>
      </c>
      <c r="I1435" s="83" t="e">
        <f>VLOOKUP(Tabela1[[#This Row],[Matrícula]],Equipe!B:F,5,0)</f>
        <v>#N/A</v>
      </c>
    </row>
    <row r="1436" spans="1:9">
      <c r="A1436" s="83"/>
      <c r="B1436" s="83">
        <f>_xlfn.XLOOKUP(A1436,Equipe!H:H,Equipe!B:B,"",0)</f>
        <v>0</v>
      </c>
      <c r="C1436" s="154"/>
      <c r="D1436" s="150" t="e">
        <f>(IF(Tabela1[[#This Row],[Início]]&lt;&gt;"",C1436+E1436-1,""))*1</f>
        <v>#VALUE!</v>
      </c>
      <c r="E1436" s="83"/>
      <c r="F1436" s="83"/>
      <c r="G1436" s="88"/>
      <c r="H1436" s="83" t="str">
        <f>_xlfn.XLOOKUP(Tabela1[[#This Row],[Matrícula]],Equipe!B:B,Equipe!E:E,"ERRO",0)</f>
        <v>ERRO</v>
      </c>
      <c r="I1436" s="83" t="e">
        <f>VLOOKUP(Tabela1[[#This Row],[Matrícula]],Equipe!B:F,5,0)</f>
        <v>#N/A</v>
      </c>
    </row>
    <row r="1437" spans="1:9">
      <c r="A1437" s="83"/>
      <c r="B1437" s="83">
        <f>_xlfn.XLOOKUP(A1437,Equipe!H:H,Equipe!B:B,"",0)</f>
        <v>0</v>
      </c>
      <c r="C1437" s="154"/>
      <c r="D1437" s="150" t="e">
        <f>(IF(Tabela1[[#This Row],[Início]]&lt;&gt;"",C1437+E1437-1,""))*1</f>
        <v>#VALUE!</v>
      </c>
      <c r="E1437" s="83"/>
      <c r="F1437" s="83"/>
      <c r="G1437" s="88"/>
      <c r="H1437" s="83" t="str">
        <f>_xlfn.XLOOKUP(Tabela1[[#This Row],[Matrícula]],Equipe!B:B,Equipe!E:E,"ERRO",0)</f>
        <v>ERRO</v>
      </c>
      <c r="I1437" s="83" t="e">
        <f>VLOOKUP(Tabela1[[#This Row],[Matrícula]],Equipe!B:F,5,0)</f>
        <v>#N/A</v>
      </c>
    </row>
    <row r="1438" spans="1:9">
      <c r="A1438" s="83"/>
      <c r="B1438" s="83">
        <f>_xlfn.XLOOKUP(A1438,Equipe!H:H,Equipe!B:B,"",0)</f>
        <v>0</v>
      </c>
      <c r="C1438" s="154"/>
      <c r="D1438" s="150" t="e">
        <f>(IF(Tabela1[[#This Row],[Início]]&lt;&gt;"",C1438+E1438-1,""))*1</f>
        <v>#VALUE!</v>
      </c>
      <c r="E1438" s="83"/>
      <c r="F1438" s="83"/>
      <c r="G1438" s="88"/>
      <c r="H1438" s="83" t="str">
        <f>_xlfn.XLOOKUP(Tabela1[[#This Row],[Matrícula]],Equipe!B:B,Equipe!E:E,"ERRO",0)</f>
        <v>ERRO</v>
      </c>
      <c r="I1438" s="83" t="e">
        <f>VLOOKUP(Tabela1[[#This Row],[Matrícula]],Equipe!B:F,5,0)</f>
        <v>#N/A</v>
      </c>
    </row>
    <row r="1439" spans="1:9">
      <c r="A1439" s="83"/>
      <c r="B1439" s="83">
        <f>_xlfn.XLOOKUP(A1439,Equipe!H:H,Equipe!B:B,"",0)</f>
        <v>0</v>
      </c>
      <c r="C1439" s="154"/>
      <c r="D1439" s="150" t="e">
        <f>(IF(Tabela1[[#This Row],[Início]]&lt;&gt;"",C1439+E1439-1,""))*1</f>
        <v>#VALUE!</v>
      </c>
      <c r="E1439" s="83"/>
      <c r="F1439" s="83"/>
      <c r="G1439" s="88"/>
      <c r="H1439" s="83" t="str">
        <f>_xlfn.XLOOKUP(Tabela1[[#This Row],[Matrícula]],Equipe!B:B,Equipe!E:E,"ERRO",0)</f>
        <v>ERRO</v>
      </c>
      <c r="I1439" s="83" t="e">
        <f>VLOOKUP(Tabela1[[#This Row],[Matrícula]],Equipe!B:F,5,0)</f>
        <v>#N/A</v>
      </c>
    </row>
    <row r="1440" spans="1:9">
      <c r="A1440" s="83"/>
      <c r="B1440" s="83">
        <f>_xlfn.XLOOKUP(A1440,Equipe!H:H,Equipe!B:B,"",0)</f>
        <v>0</v>
      </c>
      <c r="C1440" s="154"/>
      <c r="D1440" s="150" t="e">
        <f>(IF(Tabela1[[#This Row],[Início]]&lt;&gt;"",C1440+E1440-1,""))*1</f>
        <v>#VALUE!</v>
      </c>
      <c r="E1440" s="83"/>
      <c r="F1440" s="83"/>
      <c r="G1440" s="88"/>
      <c r="H1440" s="83" t="str">
        <f>_xlfn.XLOOKUP(Tabela1[[#This Row],[Matrícula]],Equipe!B:B,Equipe!E:E,"ERRO",0)</f>
        <v>ERRO</v>
      </c>
      <c r="I1440" s="83" t="e">
        <f>VLOOKUP(Tabela1[[#This Row],[Matrícula]],Equipe!B:F,5,0)</f>
        <v>#N/A</v>
      </c>
    </row>
    <row r="1441" spans="1:9">
      <c r="A1441" s="83"/>
      <c r="B1441" s="83">
        <f>_xlfn.XLOOKUP(A1441,Equipe!H:H,Equipe!B:B,"",0)</f>
        <v>0</v>
      </c>
      <c r="C1441" s="154"/>
      <c r="D1441" s="150" t="e">
        <f>(IF(Tabela1[[#This Row],[Início]]&lt;&gt;"",C1441+E1441-1,""))*1</f>
        <v>#VALUE!</v>
      </c>
      <c r="E1441" s="83"/>
      <c r="F1441" s="83"/>
      <c r="G1441" s="88"/>
      <c r="H1441" s="83" t="str">
        <f>_xlfn.XLOOKUP(Tabela1[[#This Row],[Matrícula]],Equipe!B:B,Equipe!E:E,"ERRO",0)</f>
        <v>ERRO</v>
      </c>
      <c r="I1441" s="83" t="e">
        <f>VLOOKUP(Tabela1[[#This Row],[Matrícula]],Equipe!B:F,5,0)</f>
        <v>#N/A</v>
      </c>
    </row>
    <row r="1442" spans="1:9">
      <c r="A1442" s="83"/>
      <c r="B1442" s="83">
        <f>_xlfn.XLOOKUP(A1442,Equipe!H:H,Equipe!B:B,"",0)</f>
        <v>0</v>
      </c>
      <c r="C1442" s="154"/>
      <c r="D1442" s="150" t="e">
        <f>(IF(Tabela1[[#This Row],[Início]]&lt;&gt;"",C1442+E1442-1,""))*1</f>
        <v>#VALUE!</v>
      </c>
      <c r="E1442" s="83"/>
      <c r="F1442" s="83"/>
      <c r="G1442" s="88"/>
      <c r="H1442" s="83" t="str">
        <f>_xlfn.XLOOKUP(Tabela1[[#This Row],[Matrícula]],Equipe!B:B,Equipe!E:E,"ERRO",0)</f>
        <v>ERRO</v>
      </c>
      <c r="I1442" s="83" t="e">
        <f>VLOOKUP(Tabela1[[#This Row],[Matrícula]],Equipe!B:F,5,0)</f>
        <v>#N/A</v>
      </c>
    </row>
    <row r="1443" spans="1:9">
      <c r="A1443" s="83"/>
      <c r="B1443" s="83">
        <f>_xlfn.XLOOKUP(A1443,Equipe!H:H,Equipe!B:B,"",0)</f>
        <v>0</v>
      </c>
      <c r="C1443" s="154"/>
      <c r="D1443" s="150" t="e">
        <f>(IF(Tabela1[[#This Row],[Início]]&lt;&gt;"",C1443+E1443-1,""))*1</f>
        <v>#VALUE!</v>
      </c>
      <c r="E1443" s="83"/>
      <c r="F1443" s="83"/>
      <c r="G1443" s="88"/>
      <c r="H1443" s="83" t="str">
        <f>_xlfn.XLOOKUP(Tabela1[[#This Row],[Matrícula]],Equipe!B:B,Equipe!E:E,"ERRO",0)</f>
        <v>ERRO</v>
      </c>
      <c r="I1443" s="83" t="e">
        <f>VLOOKUP(Tabela1[[#This Row],[Matrícula]],Equipe!B:F,5,0)</f>
        <v>#N/A</v>
      </c>
    </row>
    <row r="1444" spans="1:9">
      <c r="A1444" s="83"/>
      <c r="B1444" s="83">
        <f>_xlfn.XLOOKUP(A1444,Equipe!H:H,Equipe!B:B,"",0)</f>
        <v>0</v>
      </c>
      <c r="C1444" s="154"/>
      <c r="D1444" s="150" t="e">
        <f>(IF(Tabela1[[#This Row],[Início]]&lt;&gt;"",C1444+E1444-1,""))*1</f>
        <v>#VALUE!</v>
      </c>
      <c r="E1444" s="83"/>
      <c r="F1444" s="83"/>
      <c r="G1444" s="88"/>
      <c r="H1444" s="83" t="str">
        <f>_xlfn.XLOOKUP(Tabela1[[#This Row],[Matrícula]],Equipe!B:B,Equipe!E:E,"ERRO",0)</f>
        <v>ERRO</v>
      </c>
      <c r="I1444" s="83" t="e">
        <f>VLOOKUP(Tabela1[[#This Row],[Matrícula]],Equipe!B:F,5,0)</f>
        <v>#N/A</v>
      </c>
    </row>
    <row r="1445" spans="1:9">
      <c r="A1445" s="83"/>
      <c r="B1445" s="83">
        <f>_xlfn.XLOOKUP(A1445,Equipe!H:H,Equipe!B:B,"",0)</f>
        <v>0</v>
      </c>
      <c r="C1445" s="154"/>
      <c r="D1445" s="150" t="e">
        <f>(IF(Tabela1[[#This Row],[Início]]&lt;&gt;"",C1445+E1445-1,""))*1</f>
        <v>#VALUE!</v>
      </c>
      <c r="E1445" s="83"/>
      <c r="F1445" s="83"/>
      <c r="G1445" s="88"/>
      <c r="H1445" s="83" t="str">
        <f>_xlfn.XLOOKUP(Tabela1[[#This Row],[Matrícula]],Equipe!B:B,Equipe!E:E,"ERRO",0)</f>
        <v>ERRO</v>
      </c>
      <c r="I1445" s="83" t="e">
        <f>VLOOKUP(Tabela1[[#This Row],[Matrícula]],Equipe!B:F,5,0)</f>
        <v>#N/A</v>
      </c>
    </row>
    <row r="1446" spans="1:9">
      <c r="A1446" s="83"/>
      <c r="B1446" s="83">
        <f>_xlfn.XLOOKUP(A1446,Equipe!H:H,Equipe!B:B,"",0)</f>
        <v>0</v>
      </c>
      <c r="C1446" s="154"/>
      <c r="D1446" s="150" t="e">
        <f>(IF(Tabela1[[#This Row],[Início]]&lt;&gt;"",C1446+E1446-1,""))*1</f>
        <v>#VALUE!</v>
      </c>
      <c r="E1446" s="83"/>
      <c r="F1446" s="83"/>
      <c r="G1446" s="88"/>
      <c r="H1446" s="83" t="str">
        <f>_xlfn.XLOOKUP(Tabela1[[#This Row],[Matrícula]],Equipe!B:B,Equipe!E:E,"ERRO",0)</f>
        <v>ERRO</v>
      </c>
      <c r="I1446" s="83" t="e">
        <f>VLOOKUP(Tabela1[[#This Row],[Matrícula]],Equipe!B:F,5,0)</f>
        <v>#N/A</v>
      </c>
    </row>
    <row r="1447" spans="1:9">
      <c r="A1447" s="83"/>
      <c r="B1447" s="83">
        <f>_xlfn.XLOOKUP(A1447,Equipe!H:H,Equipe!B:B,"",0)</f>
        <v>0</v>
      </c>
      <c r="C1447" s="154"/>
      <c r="D1447" s="150" t="e">
        <f>(IF(Tabela1[[#This Row],[Início]]&lt;&gt;"",C1447+E1447-1,""))*1</f>
        <v>#VALUE!</v>
      </c>
      <c r="E1447" s="83"/>
      <c r="F1447" s="83"/>
      <c r="G1447" s="88"/>
      <c r="H1447" s="83" t="str">
        <f>_xlfn.XLOOKUP(Tabela1[[#This Row],[Matrícula]],Equipe!B:B,Equipe!E:E,"ERRO",0)</f>
        <v>ERRO</v>
      </c>
      <c r="I1447" s="83" t="e">
        <f>VLOOKUP(Tabela1[[#This Row],[Matrícula]],Equipe!B:F,5,0)</f>
        <v>#N/A</v>
      </c>
    </row>
    <row r="1448" spans="1:9">
      <c r="A1448" s="83"/>
      <c r="B1448" s="83">
        <f>_xlfn.XLOOKUP(A1448,Equipe!H:H,Equipe!B:B,"",0)</f>
        <v>0</v>
      </c>
      <c r="C1448" s="154"/>
      <c r="D1448" s="150" t="e">
        <f>(IF(Tabela1[[#This Row],[Início]]&lt;&gt;"",C1448+E1448-1,""))*1</f>
        <v>#VALUE!</v>
      </c>
      <c r="E1448" s="83"/>
      <c r="F1448" s="83"/>
      <c r="G1448" s="88"/>
      <c r="H1448" s="83" t="str">
        <f>_xlfn.XLOOKUP(Tabela1[[#This Row],[Matrícula]],Equipe!B:B,Equipe!E:E,"ERRO",0)</f>
        <v>ERRO</v>
      </c>
      <c r="I1448" s="83" t="e">
        <f>VLOOKUP(Tabela1[[#This Row],[Matrícula]],Equipe!B:F,5,0)</f>
        <v>#N/A</v>
      </c>
    </row>
    <row r="1449" spans="1:9">
      <c r="A1449" s="83"/>
      <c r="B1449" s="83">
        <f>_xlfn.XLOOKUP(A1449,Equipe!H:H,Equipe!B:B,"",0)</f>
        <v>0</v>
      </c>
      <c r="C1449" s="154"/>
      <c r="D1449" s="150" t="e">
        <f>(IF(Tabela1[[#This Row],[Início]]&lt;&gt;"",C1449+E1449-1,""))*1</f>
        <v>#VALUE!</v>
      </c>
      <c r="E1449" s="83"/>
      <c r="F1449" s="83"/>
      <c r="G1449" s="88"/>
      <c r="H1449" s="83" t="str">
        <f>_xlfn.XLOOKUP(Tabela1[[#This Row],[Matrícula]],Equipe!B:B,Equipe!E:E,"ERRO",0)</f>
        <v>ERRO</v>
      </c>
      <c r="I1449" s="83" t="e">
        <f>VLOOKUP(Tabela1[[#This Row],[Matrícula]],Equipe!B:F,5,0)</f>
        <v>#N/A</v>
      </c>
    </row>
    <row r="1450" spans="1:9">
      <c r="A1450" s="83"/>
      <c r="B1450" s="83">
        <f>_xlfn.XLOOKUP(A1450,Equipe!H:H,Equipe!B:B,"",0)</f>
        <v>0</v>
      </c>
      <c r="C1450" s="154"/>
      <c r="D1450" s="150" t="e">
        <f>(IF(Tabela1[[#This Row],[Início]]&lt;&gt;"",C1450+E1450-1,""))*1</f>
        <v>#VALUE!</v>
      </c>
      <c r="E1450" s="83"/>
      <c r="F1450" s="83"/>
      <c r="G1450" s="88"/>
      <c r="H1450" s="83" t="str">
        <f>_xlfn.XLOOKUP(Tabela1[[#This Row],[Matrícula]],Equipe!B:B,Equipe!E:E,"ERRO",0)</f>
        <v>ERRO</v>
      </c>
      <c r="I1450" s="83" t="e">
        <f>VLOOKUP(Tabela1[[#This Row],[Matrícula]],Equipe!B:F,5,0)</f>
        <v>#N/A</v>
      </c>
    </row>
    <row r="1451" spans="1:9">
      <c r="A1451" s="83"/>
      <c r="B1451" s="83">
        <f>_xlfn.XLOOKUP(A1451,Equipe!H:H,Equipe!B:B,"",0)</f>
        <v>0</v>
      </c>
      <c r="C1451" s="154"/>
      <c r="D1451" s="150" t="e">
        <f>(IF(Tabela1[[#This Row],[Início]]&lt;&gt;"",C1451+E1451-1,""))*1</f>
        <v>#VALUE!</v>
      </c>
      <c r="E1451" s="83"/>
      <c r="F1451" s="83"/>
      <c r="G1451" s="88"/>
      <c r="H1451" s="83" t="str">
        <f>_xlfn.XLOOKUP(Tabela1[[#This Row],[Matrícula]],Equipe!B:B,Equipe!E:E,"ERRO",0)</f>
        <v>ERRO</v>
      </c>
      <c r="I1451" s="83" t="e">
        <f>VLOOKUP(Tabela1[[#This Row],[Matrícula]],Equipe!B:F,5,0)</f>
        <v>#N/A</v>
      </c>
    </row>
    <row r="1452" spans="1:9">
      <c r="A1452" s="83"/>
      <c r="B1452" s="83">
        <f>_xlfn.XLOOKUP(A1452,Equipe!H:H,Equipe!B:B,"",0)</f>
        <v>0</v>
      </c>
      <c r="C1452" s="154"/>
      <c r="D1452" s="150" t="e">
        <f>(IF(Tabela1[[#This Row],[Início]]&lt;&gt;"",C1452+E1452-1,""))*1</f>
        <v>#VALUE!</v>
      </c>
      <c r="E1452" s="83"/>
      <c r="F1452" s="83"/>
      <c r="G1452" s="88"/>
      <c r="H1452" s="83" t="str">
        <f>_xlfn.XLOOKUP(Tabela1[[#This Row],[Matrícula]],Equipe!B:B,Equipe!E:E,"ERRO",0)</f>
        <v>ERRO</v>
      </c>
      <c r="I1452" s="83" t="e">
        <f>VLOOKUP(Tabela1[[#This Row],[Matrícula]],Equipe!B:F,5,0)</f>
        <v>#N/A</v>
      </c>
    </row>
    <row r="1453" spans="1:9">
      <c r="A1453" s="83"/>
      <c r="B1453" s="83">
        <f>_xlfn.XLOOKUP(A1453,Equipe!H:H,Equipe!B:B,"",0)</f>
        <v>0</v>
      </c>
      <c r="C1453" s="154"/>
      <c r="D1453" s="150" t="e">
        <f>(IF(Tabela1[[#This Row],[Início]]&lt;&gt;"",C1453+E1453-1,""))*1</f>
        <v>#VALUE!</v>
      </c>
      <c r="E1453" s="83"/>
      <c r="F1453" s="83"/>
      <c r="G1453" s="88"/>
      <c r="H1453" s="83" t="str">
        <f>_xlfn.XLOOKUP(Tabela1[[#This Row],[Matrícula]],Equipe!B:B,Equipe!E:E,"ERRO",0)</f>
        <v>ERRO</v>
      </c>
      <c r="I1453" s="83" t="e">
        <f>VLOOKUP(Tabela1[[#This Row],[Matrícula]],Equipe!B:F,5,0)</f>
        <v>#N/A</v>
      </c>
    </row>
    <row r="1454" spans="1:9">
      <c r="A1454" s="83"/>
      <c r="B1454" s="83">
        <f>_xlfn.XLOOKUP(A1454,Equipe!H:H,Equipe!B:B,"",0)</f>
        <v>0</v>
      </c>
      <c r="C1454" s="154"/>
      <c r="D1454" s="150" t="e">
        <f>(IF(Tabela1[[#This Row],[Início]]&lt;&gt;"",C1454+E1454-1,""))*1</f>
        <v>#VALUE!</v>
      </c>
      <c r="E1454" s="83"/>
      <c r="F1454" s="83"/>
      <c r="G1454" s="88"/>
      <c r="H1454" s="83" t="str">
        <f>_xlfn.XLOOKUP(Tabela1[[#This Row],[Matrícula]],Equipe!B:B,Equipe!E:E,"ERRO",0)</f>
        <v>ERRO</v>
      </c>
      <c r="I1454" s="83" t="e">
        <f>VLOOKUP(Tabela1[[#This Row],[Matrícula]],Equipe!B:F,5,0)</f>
        <v>#N/A</v>
      </c>
    </row>
    <row r="1455" spans="1:9">
      <c r="A1455" s="83"/>
      <c r="B1455" s="83">
        <f>_xlfn.XLOOKUP(A1455,Equipe!H:H,Equipe!B:B,"",0)</f>
        <v>0</v>
      </c>
      <c r="C1455" s="154"/>
      <c r="D1455" s="150" t="e">
        <f>(IF(Tabela1[[#This Row],[Início]]&lt;&gt;"",C1455+E1455-1,""))*1</f>
        <v>#VALUE!</v>
      </c>
      <c r="E1455" s="83"/>
      <c r="F1455" s="83"/>
      <c r="G1455" s="88"/>
      <c r="H1455" s="83" t="str">
        <f>_xlfn.XLOOKUP(Tabela1[[#This Row],[Matrícula]],Equipe!B:B,Equipe!E:E,"ERRO",0)</f>
        <v>ERRO</v>
      </c>
      <c r="I1455" s="83" t="e">
        <f>VLOOKUP(Tabela1[[#This Row],[Matrícula]],Equipe!B:F,5,0)</f>
        <v>#N/A</v>
      </c>
    </row>
    <row r="1456" spans="1:9">
      <c r="A1456" s="83"/>
      <c r="B1456" s="83">
        <f>_xlfn.XLOOKUP(A1456,Equipe!H:H,Equipe!B:B,"",0)</f>
        <v>0</v>
      </c>
      <c r="C1456" s="154"/>
      <c r="D1456" s="150" t="e">
        <f>(IF(Tabela1[[#This Row],[Início]]&lt;&gt;"",C1456+E1456-1,""))*1</f>
        <v>#VALUE!</v>
      </c>
      <c r="E1456" s="83"/>
      <c r="F1456" s="83"/>
      <c r="G1456" s="88"/>
      <c r="H1456" s="83" t="str">
        <f>_xlfn.XLOOKUP(Tabela1[[#This Row],[Matrícula]],Equipe!B:B,Equipe!E:E,"ERRO",0)</f>
        <v>ERRO</v>
      </c>
      <c r="I1456" s="83" t="e">
        <f>VLOOKUP(Tabela1[[#This Row],[Matrícula]],Equipe!B:F,5,0)</f>
        <v>#N/A</v>
      </c>
    </row>
    <row r="1457" spans="1:9">
      <c r="A1457" s="83"/>
      <c r="B1457" s="83">
        <f>_xlfn.XLOOKUP(A1457,Equipe!H:H,Equipe!B:B,"",0)</f>
        <v>0</v>
      </c>
      <c r="C1457" s="154"/>
      <c r="D1457" s="150" t="e">
        <f>(IF(Tabela1[[#This Row],[Início]]&lt;&gt;"",C1457+E1457-1,""))*1</f>
        <v>#VALUE!</v>
      </c>
      <c r="E1457" s="83"/>
      <c r="F1457" s="83"/>
      <c r="G1457" s="88"/>
      <c r="H1457" s="83" t="str">
        <f>_xlfn.XLOOKUP(Tabela1[[#This Row],[Matrícula]],Equipe!B:B,Equipe!E:E,"ERRO",0)</f>
        <v>ERRO</v>
      </c>
      <c r="I1457" s="83" t="e">
        <f>VLOOKUP(Tabela1[[#This Row],[Matrícula]],Equipe!B:F,5,0)</f>
        <v>#N/A</v>
      </c>
    </row>
    <row r="1458" spans="1:9">
      <c r="A1458" s="83"/>
      <c r="B1458" s="83">
        <f>_xlfn.XLOOKUP(A1458,Equipe!H:H,Equipe!B:B,"",0)</f>
        <v>0</v>
      </c>
      <c r="C1458" s="154"/>
      <c r="D1458" s="150" t="e">
        <f>(IF(Tabela1[[#This Row],[Início]]&lt;&gt;"",C1458+E1458-1,""))*1</f>
        <v>#VALUE!</v>
      </c>
      <c r="E1458" s="83"/>
      <c r="F1458" s="83"/>
      <c r="G1458" s="88"/>
      <c r="H1458" s="83" t="str">
        <f>_xlfn.XLOOKUP(Tabela1[[#This Row],[Matrícula]],Equipe!B:B,Equipe!E:E,"ERRO",0)</f>
        <v>ERRO</v>
      </c>
      <c r="I1458" s="83" t="e">
        <f>VLOOKUP(Tabela1[[#This Row],[Matrícula]],Equipe!B:F,5,0)</f>
        <v>#N/A</v>
      </c>
    </row>
    <row r="1459" spans="1:9">
      <c r="A1459" s="83"/>
      <c r="B1459" s="83">
        <f>_xlfn.XLOOKUP(A1459,Equipe!H:H,Equipe!B:B,"",0)</f>
        <v>0</v>
      </c>
      <c r="C1459" s="154"/>
      <c r="D1459" s="150" t="e">
        <f>(IF(Tabela1[[#This Row],[Início]]&lt;&gt;"",C1459+E1459-1,""))*1</f>
        <v>#VALUE!</v>
      </c>
      <c r="E1459" s="83"/>
      <c r="F1459" s="83"/>
      <c r="G1459" s="88"/>
      <c r="H1459" s="83" t="str">
        <f>_xlfn.XLOOKUP(Tabela1[[#This Row],[Matrícula]],Equipe!B:B,Equipe!E:E,"ERRO",0)</f>
        <v>ERRO</v>
      </c>
      <c r="I1459" s="83" t="e">
        <f>VLOOKUP(Tabela1[[#This Row],[Matrícula]],Equipe!B:F,5,0)</f>
        <v>#N/A</v>
      </c>
    </row>
    <row r="1460" spans="1:9">
      <c r="A1460" s="83"/>
      <c r="B1460" s="83">
        <f>_xlfn.XLOOKUP(A1460,Equipe!H:H,Equipe!B:B,"",0)</f>
        <v>0</v>
      </c>
      <c r="C1460" s="154"/>
      <c r="D1460" s="150" t="e">
        <f>(IF(Tabela1[[#This Row],[Início]]&lt;&gt;"",C1460+E1460-1,""))*1</f>
        <v>#VALUE!</v>
      </c>
      <c r="E1460" s="83"/>
      <c r="F1460" s="83"/>
      <c r="G1460" s="88"/>
      <c r="H1460" s="83" t="str">
        <f>_xlfn.XLOOKUP(Tabela1[[#This Row],[Matrícula]],Equipe!B:B,Equipe!E:E,"ERRO",0)</f>
        <v>ERRO</v>
      </c>
      <c r="I1460" s="83" t="e">
        <f>VLOOKUP(Tabela1[[#This Row],[Matrícula]],Equipe!B:F,5,0)</f>
        <v>#N/A</v>
      </c>
    </row>
    <row r="1461" spans="1:9">
      <c r="A1461" s="83"/>
      <c r="B1461" s="83">
        <f>_xlfn.XLOOKUP(A1461,Equipe!H:H,Equipe!B:B,"",0)</f>
        <v>0</v>
      </c>
      <c r="C1461" s="154"/>
      <c r="D1461" s="150" t="e">
        <f>(IF(Tabela1[[#This Row],[Início]]&lt;&gt;"",C1461+E1461-1,""))*1</f>
        <v>#VALUE!</v>
      </c>
      <c r="E1461" s="83"/>
      <c r="F1461" s="83"/>
      <c r="G1461" s="88"/>
      <c r="H1461" s="83" t="str">
        <f>_xlfn.XLOOKUP(Tabela1[[#This Row],[Matrícula]],Equipe!B:B,Equipe!E:E,"ERRO",0)</f>
        <v>ERRO</v>
      </c>
      <c r="I1461" s="83" t="e">
        <f>VLOOKUP(Tabela1[[#This Row],[Matrícula]],Equipe!B:F,5,0)</f>
        <v>#N/A</v>
      </c>
    </row>
    <row r="1462" spans="1:9">
      <c r="A1462" s="83"/>
      <c r="B1462" s="83">
        <f>_xlfn.XLOOKUP(A1462,Equipe!H:H,Equipe!B:B,"",0)</f>
        <v>0</v>
      </c>
      <c r="C1462" s="154"/>
      <c r="D1462" s="150" t="e">
        <f>(IF(Tabela1[[#This Row],[Início]]&lt;&gt;"",C1462+E1462-1,""))*1</f>
        <v>#VALUE!</v>
      </c>
      <c r="E1462" s="83"/>
      <c r="F1462" s="83"/>
      <c r="G1462" s="88"/>
      <c r="H1462" s="83" t="str">
        <f>_xlfn.XLOOKUP(Tabela1[[#This Row],[Matrícula]],Equipe!B:B,Equipe!E:E,"ERRO",0)</f>
        <v>ERRO</v>
      </c>
      <c r="I1462" s="83" t="e">
        <f>VLOOKUP(Tabela1[[#This Row],[Matrícula]],Equipe!B:F,5,0)</f>
        <v>#N/A</v>
      </c>
    </row>
    <row r="1463" spans="1:9">
      <c r="A1463" s="83"/>
      <c r="B1463" s="83">
        <f>_xlfn.XLOOKUP(A1463,Equipe!H:H,Equipe!B:B,"",0)</f>
        <v>0</v>
      </c>
      <c r="C1463" s="154"/>
      <c r="D1463" s="150" t="e">
        <f>(IF(Tabela1[[#This Row],[Início]]&lt;&gt;"",C1463+E1463-1,""))*1</f>
        <v>#VALUE!</v>
      </c>
      <c r="E1463" s="83"/>
      <c r="F1463" s="83"/>
      <c r="G1463" s="88"/>
      <c r="H1463" s="83" t="str">
        <f>_xlfn.XLOOKUP(Tabela1[[#This Row],[Matrícula]],Equipe!B:B,Equipe!E:E,"ERRO",0)</f>
        <v>ERRO</v>
      </c>
      <c r="I1463" s="83" t="e">
        <f>VLOOKUP(Tabela1[[#This Row],[Matrícula]],Equipe!B:F,5,0)</f>
        <v>#N/A</v>
      </c>
    </row>
    <row r="1464" spans="1:9">
      <c r="A1464" s="83"/>
      <c r="B1464" s="83">
        <f>_xlfn.XLOOKUP(A1464,Equipe!H:H,Equipe!B:B,"",0)</f>
        <v>0</v>
      </c>
      <c r="C1464" s="154"/>
      <c r="D1464" s="150" t="e">
        <f>(IF(Tabela1[[#This Row],[Início]]&lt;&gt;"",C1464+E1464-1,""))*1</f>
        <v>#VALUE!</v>
      </c>
      <c r="E1464" s="83"/>
      <c r="F1464" s="83"/>
      <c r="G1464" s="88"/>
      <c r="H1464" s="83" t="str">
        <f>_xlfn.XLOOKUP(Tabela1[[#This Row],[Matrícula]],Equipe!B:B,Equipe!E:E,"ERRO",0)</f>
        <v>ERRO</v>
      </c>
      <c r="I1464" s="83" t="e">
        <f>VLOOKUP(Tabela1[[#This Row],[Matrícula]],Equipe!B:F,5,0)</f>
        <v>#N/A</v>
      </c>
    </row>
    <row r="1465" spans="1:9">
      <c r="A1465" s="83"/>
      <c r="B1465" s="83">
        <f>_xlfn.XLOOKUP(A1465,Equipe!H:H,Equipe!B:B,"",0)</f>
        <v>0</v>
      </c>
      <c r="C1465" s="154"/>
      <c r="D1465" s="150" t="e">
        <f>(IF(Tabela1[[#This Row],[Início]]&lt;&gt;"",C1465+E1465-1,""))*1</f>
        <v>#VALUE!</v>
      </c>
      <c r="E1465" s="83"/>
      <c r="F1465" s="83"/>
      <c r="G1465" s="88"/>
      <c r="H1465" s="83" t="str">
        <f>_xlfn.XLOOKUP(Tabela1[[#This Row],[Matrícula]],Equipe!B:B,Equipe!E:E,"ERRO",0)</f>
        <v>ERRO</v>
      </c>
      <c r="I1465" s="83" t="e">
        <f>VLOOKUP(Tabela1[[#This Row],[Matrícula]],Equipe!B:F,5,0)</f>
        <v>#N/A</v>
      </c>
    </row>
    <row r="1466" spans="1:9">
      <c r="A1466" s="83"/>
      <c r="B1466" s="83">
        <f>_xlfn.XLOOKUP(A1466,Equipe!H:H,Equipe!B:B,"",0)</f>
        <v>0</v>
      </c>
      <c r="C1466" s="154"/>
      <c r="D1466" s="150" t="e">
        <f>(IF(Tabela1[[#This Row],[Início]]&lt;&gt;"",C1466+E1466-1,""))*1</f>
        <v>#VALUE!</v>
      </c>
      <c r="E1466" s="83"/>
      <c r="F1466" s="83"/>
      <c r="G1466" s="88"/>
      <c r="H1466" s="83" t="str">
        <f>_xlfn.XLOOKUP(Tabela1[[#This Row],[Matrícula]],Equipe!B:B,Equipe!E:E,"ERRO",0)</f>
        <v>ERRO</v>
      </c>
      <c r="I1466" s="83" t="e">
        <f>VLOOKUP(Tabela1[[#This Row],[Matrícula]],Equipe!B:F,5,0)</f>
        <v>#N/A</v>
      </c>
    </row>
    <row r="1467" spans="1:9">
      <c r="A1467" s="83"/>
      <c r="B1467" s="83">
        <f>_xlfn.XLOOKUP(A1467,Equipe!H:H,Equipe!B:B,"",0)</f>
        <v>0</v>
      </c>
      <c r="C1467" s="154"/>
      <c r="D1467" s="150" t="e">
        <f>(IF(Tabela1[[#This Row],[Início]]&lt;&gt;"",C1467+E1467-1,""))*1</f>
        <v>#VALUE!</v>
      </c>
      <c r="E1467" s="83"/>
      <c r="F1467" s="83"/>
      <c r="G1467" s="88"/>
      <c r="H1467" s="83" t="str">
        <f>_xlfn.XLOOKUP(Tabela1[[#This Row],[Matrícula]],Equipe!B:B,Equipe!E:E,"ERRO",0)</f>
        <v>ERRO</v>
      </c>
      <c r="I1467" s="83" t="e">
        <f>VLOOKUP(Tabela1[[#This Row],[Matrícula]],Equipe!B:F,5,0)</f>
        <v>#N/A</v>
      </c>
    </row>
    <row r="1468" spans="1:9">
      <c r="A1468" s="83"/>
      <c r="B1468" s="83">
        <f>_xlfn.XLOOKUP(A1468,Equipe!H:H,Equipe!B:B,"",0)</f>
        <v>0</v>
      </c>
      <c r="C1468" s="154"/>
      <c r="D1468" s="150" t="e">
        <f>(IF(Tabela1[[#This Row],[Início]]&lt;&gt;"",C1468+E1468-1,""))*1</f>
        <v>#VALUE!</v>
      </c>
      <c r="E1468" s="83"/>
      <c r="F1468" s="83"/>
      <c r="G1468" s="88"/>
      <c r="H1468" s="83" t="str">
        <f>_xlfn.XLOOKUP(Tabela1[[#This Row],[Matrícula]],Equipe!B:B,Equipe!E:E,"ERRO",0)</f>
        <v>ERRO</v>
      </c>
      <c r="I1468" s="83" t="e">
        <f>VLOOKUP(Tabela1[[#This Row],[Matrícula]],Equipe!B:F,5,0)</f>
        <v>#N/A</v>
      </c>
    </row>
    <row r="1469" spans="1:9">
      <c r="A1469" s="83"/>
      <c r="B1469" s="83">
        <f>_xlfn.XLOOKUP(A1469,Equipe!H:H,Equipe!B:B,"",0)</f>
        <v>0</v>
      </c>
      <c r="C1469" s="154"/>
      <c r="D1469" s="150" t="e">
        <f>(IF(Tabela1[[#This Row],[Início]]&lt;&gt;"",C1469+E1469-1,""))*1</f>
        <v>#VALUE!</v>
      </c>
      <c r="E1469" s="83"/>
      <c r="F1469" s="83"/>
      <c r="G1469" s="88"/>
      <c r="H1469" s="83" t="str">
        <f>_xlfn.XLOOKUP(Tabela1[[#This Row],[Matrícula]],Equipe!B:B,Equipe!E:E,"ERRO",0)</f>
        <v>ERRO</v>
      </c>
      <c r="I1469" s="83" t="e">
        <f>VLOOKUP(Tabela1[[#This Row],[Matrícula]],Equipe!B:F,5,0)</f>
        <v>#N/A</v>
      </c>
    </row>
    <row r="1470" spans="1:9">
      <c r="A1470" s="83"/>
      <c r="B1470" s="83">
        <f>_xlfn.XLOOKUP(A1470,Equipe!H:H,Equipe!B:B,"",0)</f>
        <v>0</v>
      </c>
      <c r="C1470" s="154"/>
      <c r="D1470" s="150" t="e">
        <f>(IF(Tabela1[[#This Row],[Início]]&lt;&gt;"",C1470+E1470-1,""))*1</f>
        <v>#VALUE!</v>
      </c>
      <c r="E1470" s="83"/>
      <c r="F1470" s="83"/>
      <c r="G1470" s="88"/>
      <c r="H1470" s="83" t="str">
        <f>_xlfn.XLOOKUP(Tabela1[[#This Row],[Matrícula]],Equipe!B:B,Equipe!E:E,"ERRO",0)</f>
        <v>ERRO</v>
      </c>
      <c r="I1470" s="83" t="e">
        <f>VLOOKUP(Tabela1[[#This Row],[Matrícula]],Equipe!B:F,5,0)</f>
        <v>#N/A</v>
      </c>
    </row>
    <row r="1471" spans="1:9">
      <c r="A1471" s="83"/>
      <c r="B1471" s="83">
        <f>_xlfn.XLOOKUP(A1471,Equipe!H:H,Equipe!B:B,"",0)</f>
        <v>0</v>
      </c>
      <c r="C1471" s="154"/>
      <c r="D1471" s="150" t="e">
        <f>(IF(Tabela1[[#This Row],[Início]]&lt;&gt;"",C1471+E1471-1,""))*1</f>
        <v>#VALUE!</v>
      </c>
      <c r="E1471" s="83"/>
      <c r="F1471" s="83"/>
      <c r="G1471" s="88"/>
      <c r="H1471" s="83" t="str">
        <f>_xlfn.XLOOKUP(Tabela1[[#This Row],[Matrícula]],Equipe!B:B,Equipe!E:E,"ERRO",0)</f>
        <v>ERRO</v>
      </c>
      <c r="I1471" s="83" t="e">
        <f>VLOOKUP(Tabela1[[#This Row],[Matrícula]],Equipe!B:F,5,0)</f>
        <v>#N/A</v>
      </c>
    </row>
    <row r="1472" spans="1:9">
      <c r="A1472" s="83"/>
      <c r="B1472" s="83">
        <f>_xlfn.XLOOKUP(A1472,Equipe!H:H,Equipe!B:B,"",0)</f>
        <v>0</v>
      </c>
      <c r="C1472" s="154"/>
      <c r="D1472" s="150" t="e">
        <f>(IF(Tabela1[[#This Row],[Início]]&lt;&gt;"",C1472+E1472-1,""))*1</f>
        <v>#VALUE!</v>
      </c>
      <c r="E1472" s="83"/>
      <c r="F1472" s="83"/>
      <c r="G1472" s="88"/>
      <c r="H1472" s="83" t="str">
        <f>_xlfn.XLOOKUP(Tabela1[[#This Row],[Matrícula]],Equipe!B:B,Equipe!E:E,"ERRO",0)</f>
        <v>ERRO</v>
      </c>
      <c r="I1472" s="83" t="e">
        <f>VLOOKUP(Tabela1[[#This Row],[Matrícula]],Equipe!B:F,5,0)</f>
        <v>#N/A</v>
      </c>
    </row>
    <row r="1473" spans="1:9">
      <c r="A1473" s="83"/>
      <c r="B1473" s="83">
        <f>_xlfn.XLOOKUP(A1473,Equipe!H:H,Equipe!B:B,"",0)</f>
        <v>0</v>
      </c>
      <c r="C1473" s="154"/>
      <c r="D1473" s="150" t="e">
        <f>(IF(Tabela1[[#This Row],[Início]]&lt;&gt;"",C1473+E1473-1,""))*1</f>
        <v>#VALUE!</v>
      </c>
      <c r="E1473" s="83"/>
      <c r="F1473" s="83"/>
      <c r="G1473" s="88"/>
      <c r="H1473" s="83" t="str">
        <f>_xlfn.XLOOKUP(Tabela1[[#This Row],[Matrícula]],Equipe!B:B,Equipe!E:E,"ERRO",0)</f>
        <v>ERRO</v>
      </c>
      <c r="I1473" s="83" t="e">
        <f>VLOOKUP(Tabela1[[#This Row],[Matrícula]],Equipe!B:F,5,0)</f>
        <v>#N/A</v>
      </c>
    </row>
    <row r="1474" spans="1:9">
      <c r="A1474" s="83"/>
      <c r="B1474" s="83">
        <f>_xlfn.XLOOKUP(A1474,Equipe!H:H,Equipe!B:B,"",0)</f>
        <v>0</v>
      </c>
      <c r="C1474" s="154"/>
      <c r="D1474" s="150" t="e">
        <f>(IF(Tabela1[[#This Row],[Início]]&lt;&gt;"",C1474+E1474-1,""))*1</f>
        <v>#VALUE!</v>
      </c>
      <c r="E1474" s="83"/>
      <c r="F1474" s="83"/>
      <c r="G1474" s="88"/>
      <c r="H1474" s="83" t="str">
        <f>_xlfn.XLOOKUP(Tabela1[[#This Row],[Matrícula]],Equipe!B:B,Equipe!E:E,"ERRO",0)</f>
        <v>ERRO</v>
      </c>
      <c r="I1474" s="83" t="e">
        <f>VLOOKUP(Tabela1[[#This Row],[Matrícula]],Equipe!B:F,5,0)</f>
        <v>#N/A</v>
      </c>
    </row>
    <row r="1475" spans="1:9">
      <c r="A1475" s="83"/>
      <c r="B1475" s="83">
        <f>_xlfn.XLOOKUP(A1475,Equipe!H:H,Equipe!B:B,"",0)</f>
        <v>0</v>
      </c>
      <c r="C1475" s="154"/>
      <c r="D1475" s="150" t="e">
        <f>(IF(Tabela1[[#This Row],[Início]]&lt;&gt;"",C1475+E1475-1,""))*1</f>
        <v>#VALUE!</v>
      </c>
      <c r="E1475" s="83"/>
      <c r="F1475" s="83"/>
      <c r="G1475" s="88"/>
      <c r="H1475" s="83" t="str">
        <f>_xlfn.XLOOKUP(Tabela1[[#This Row],[Matrícula]],Equipe!B:B,Equipe!E:E,"ERRO",0)</f>
        <v>ERRO</v>
      </c>
      <c r="I1475" s="83" t="e">
        <f>VLOOKUP(Tabela1[[#This Row],[Matrícula]],Equipe!B:F,5,0)</f>
        <v>#N/A</v>
      </c>
    </row>
    <row r="1476" spans="1:9">
      <c r="A1476" s="83"/>
      <c r="B1476" s="83">
        <f>_xlfn.XLOOKUP(A1476,Equipe!H:H,Equipe!B:B,"",0)</f>
        <v>0</v>
      </c>
      <c r="C1476" s="154"/>
      <c r="D1476" s="150" t="e">
        <f>(IF(Tabela1[[#This Row],[Início]]&lt;&gt;"",C1476+E1476-1,""))*1</f>
        <v>#VALUE!</v>
      </c>
      <c r="E1476" s="83"/>
      <c r="F1476" s="83"/>
      <c r="G1476" s="88"/>
      <c r="H1476" s="83" t="str">
        <f>_xlfn.XLOOKUP(Tabela1[[#This Row],[Matrícula]],Equipe!B:B,Equipe!E:E,"ERRO",0)</f>
        <v>ERRO</v>
      </c>
      <c r="I1476" s="83" t="e">
        <f>VLOOKUP(Tabela1[[#This Row],[Matrícula]],Equipe!B:F,5,0)</f>
        <v>#N/A</v>
      </c>
    </row>
    <row r="1477" spans="1:9">
      <c r="A1477" s="83"/>
      <c r="B1477" s="83">
        <f>_xlfn.XLOOKUP(A1477,Equipe!H:H,Equipe!B:B,"",0)</f>
        <v>0</v>
      </c>
      <c r="C1477" s="154"/>
      <c r="D1477" s="150" t="e">
        <f>(IF(Tabela1[[#This Row],[Início]]&lt;&gt;"",C1477+E1477-1,""))*1</f>
        <v>#VALUE!</v>
      </c>
      <c r="E1477" s="83"/>
      <c r="F1477" s="83"/>
      <c r="G1477" s="88"/>
      <c r="H1477" s="83" t="str">
        <f>_xlfn.XLOOKUP(Tabela1[[#This Row],[Matrícula]],Equipe!B:B,Equipe!E:E,"ERRO",0)</f>
        <v>ERRO</v>
      </c>
      <c r="I1477" s="83" t="e">
        <f>VLOOKUP(Tabela1[[#This Row],[Matrícula]],Equipe!B:F,5,0)</f>
        <v>#N/A</v>
      </c>
    </row>
    <row r="1478" spans="1:9">
      <c r="A1478" s="83"/>
      <c r="B1478" s="83">
        <f>_xlfn.XLOOKUP(A1478,Equipe!H:H,Equipe!B:B,"",0)</f>
        <v>0</v>
      </c>
      <c r="C1478" s="154"/>
      <c r="D1478" s="150" t="e">
        <f>(IF(Tabela1[[#This Row],[Início]]&lt;&gt;"",C1478+E1478-1,""))*1</f>
        <v>#VALUE!</v>
      </c>
      <c r="E1478" s="83"/>
      <c r="F1478" s="83"/>
      <c r="G1478" s="88"/>
      <c r="H1478" s="83" t="str">
        <f>_xlfn.XLOOKUP(Tabela1[[#This Row],[Matrícula]],Equipe!B:B,Equipe!E:E,"ERRO",0)</f>
        <v>ERRO</v>
      </c>
      <c r="I1478" s="83" t="e">
        <f>VLOOKUP(Tabela1[[#This Row],[Matrícula]],Equipe!B:F,5,0)</f>
        <v>#N/A</v>
      </c>
    </row>
    <row r="1479" spans="1:9">
      <c r="A1479" s="83"/>
      <c r="B1479" s="83">
        <f>_xlfn.XLOOKUP(A1479,Equipe!H:H,Equipe!B:B,"",0)</f>
        <v>0</v>
      </c>
      <c r="C1479" s="154"/>
      <c r="D1479" s="150" t="e">
        <f>(IF(Tabela1[[#This Row],[Início]]&lt;&gt;"",C1479+E1479-1,""))*1</f>
        <v>#VALUE!</v>
      </c>
      <c r="E1479" s="83"/>
      <c r="F1479" s="83"/>
      <c r="G1479" s="88"/>
      <c r="H1479" s="83" t="str">
        <f>_xlfn.XLOOKUP(Tabela1[[#This Row],[Matrícula]],Equipe!B:B,Equipe!E:E,"ERRO",0)</f>
        <v>ERRO</v>
      </c>
      <c r="I1479" s="83" t="e">
        <f>VLOOKUP(Tabela1[[#This Row],[Matrícula]],Equipe!B:F,5,0)</f>
        <v>#N/A</v>
      </c>
    </row>
    <row r="1480" spans="1:9">
      <c r="A1480" s="83"/>
      <c r="B1480" s="83">
        <f>_xlfn.XLOOKUP(A1480,Equipe!H:H,Equipe!B:B,"",0)</f>
        <v>0</v>
      </c>
      <c r="C1480" s="154"/>
      <c r="D1480" s="150" t="e">
        <f>(IF(Tabela1[[#This Row],[Início]]&lt;&gt;"",C1480+E1480-1,""))*1</f>
        <v>#VALUE!</v>
      </c>
      <c r="E1480" s="83"/>
      <c r="F1480" s="83"/>
      <c r="G1480" s="88"/>
      <c r="H1480" s="83" t="str">
        <f>_xlfn.XLOOKUP(Tabela1[[#This Row],[Matrícula]],Equipe!B:B,Equipe!E:E,"ERRO",0)</f>
        <v>ERRO</v>
      </c>
      <c r="I1480" s="83" t="e">
        <f>VLOOKUP(Tabela1[[#This Row],[Matrícula]],Equipe!B:F,5,0)</f>
        <v>#N/A</v>
      </c>
    </row>
    <row r="1481" spans="1:9">
      <c r="A1481" s="83"/>
      <c r="B1481" s="83">
        <f>_xlfn.XLOOKUP(A1481,Equipe!H:H,Equipe!B:B,"",0)</f>
        <v>0</v>
      </c>
      <c r="C1481" s="154"/>
      <c r="D1481" s="150" t="e">
        <f>(IF(Tabela1[[#This Row],[Início]]&lt;&gt;"",C1481+E1481-1,""))*1</f>
        <v>#VALUE!</v>
      </c>
      <c r="E1481" s="83"/>
      <c r="F1481" s="83"/>
      <c r="G1481" s="88"/>
      <c r="H1481" s="83" t="str">
        <f>_xlfn.XLOOKUP(Tabela1[[#This Row],[Matrícula]],Equipe!B:B,Equipe!E:E,"ERRO",0)</f>
        <v>ERRO</v>
      </c>
      <c r="I1481" s="83" t="e">
        <f>VLOOKUP(Tabela1[[#This Row],[Matrícula]],Equipe!B:F,5,0)</f>
        <v>#N/A</v>
      </c>
    </row>
    <row r="1482" spans="1:9">
      <c r="A1482" s="83"/>
      <c r="B1482" s="83">
        <f>_xlfn.XLOOKUP(A1482,Equipe!H:H,Equipe!B:B,"",0)</f>
        <v>0</v>
      </c>
      <c r="C1482" s="154"/>
      <c r="D1482" s="150" t="e">
        <f>(IF(Tabela1[[#This Row],[Início]]&lt;&gt;"",C1482+E1482-1,""))*1</f>
        <v>#VALUE!</v>
      </c>
      <c r="E1482" s="83"/>
      <c r="F1482" s="83"/>
      <c r="G1482" s="88"/>
      <c r="H1482" s="83" t="str">
        <f>_xlfn.XLOOKUP(Tabela1[[#This Row],[Matrícula]],Equipe!B:B,Equipe!E:E,"ERRO",0)</f>
        <v>ERRO</v>
      </c>
      <c r="I1482" s="83" t="e">
        <f>VLOOKUP(Tabela1[[#This Row],[Matrícula]],Equipe!B:F,5,0)</f>
        <v>#N/A</v>
      </c>
    </row>
    <row r="1483" spans="1:9">
      <c r="A1483" s="83"/>
      <c r="B1483" s="83">
        <f>_xlfn.XLOOKUP(A1483,Equipe!H:H,Equipe!B:B,"",0)</f>
        <v>0</v>
      </c>
      <c r="C1483" s="154"/>
      <c r="D1483" s="150" t="e">
        <f>(IF(Tabela1[[#This Row],[Início]]&lt;&gt;"",C1483+E1483-1,""))*1</f>
        <v>#VALUE!</v>
      </c>
      <c r="E1483" s="83"/>
      <c r="F1483" s="83"/>
      <c r="G1483" s="88"/>
      <c r="H1483" s="83" t="str">
        <f>_xlfn.XLOOKUP(Tabela1[[#This Row],[Matrícula]],Equipe!B:B,Equipe!E:E,"ERRO",0)</f>
        <v>ERRO</v>
      </c>
      <c r="I1483" s="83" t="e">
        <f>VLOOKUP(Tabela1[[#This Row],[Matrícula]],Equipe!B:F,5,0)</f>
        <v>#N/A</v>
      </c>
    </row>
    <row r="1484" spans="1:9">
      <c r="A1484" s="83"/>
      <c r="B1484" s="83">
        <f>_xlfn.XLOOKUP(A1484,Equipe!H:H,Equipe!B:B,"",0)</f>
        <v>0</v>
      </c>
      <c r="C1484" s="154"/>
      <c r="D1484" s="150" t="e">
        <f>(IF(Tabela1[[#This Row],[Início]]&lt;&gt;"",C1484+E1484-1,""))*1</f>
        <v>#VALUE!</v>
      </c>
      <c r="E1484" s="83"/>
      <c r="F1484" s="83"/>
      <c r="G1484" s="88"/>
      <c r="H1484" s="83" t="str">
        <f>_xlfn.XLOOKUP(Tabela1[[#This Row],[Matrícula]],Equipe!B:B,Equipe!E:E,"ERRO",0)</f>
        <v>ERRO</v>
      </c>
      <c r="I1484" s="83" t="e">
        <f>VLOOKUP(Tabela1[[#This Row],[Matrícula]],Equipe!B:F,5,0)</f>
        <v>#N/A</v>
      </c>
    </row>
    <row r="1485" spans="1:9">
      <c r="A1485" s="83"/>
      <c r="B1485" s="83">
        <f>_xlfn.XLOOKUP(A1485,Equipe!H:H,Equipe!B:B,"",0)</f>
        <v>0</v>
      </c>
      <c r="C1485" s="154"/>
      <c r="D1485" s="150" t="e">
        <f>(IF(Tabela1[[#This Row],[Início]]&lt;&gt;"",C1485+E1485-1,""))*1</f>
        <v>#VALUE!</v>
      </c>
      <c r="E1485" s="83"/>
      <c r="F1485" s="83"/>
      <c r="G1485" s="88"/>
      <c r="H1485" s="83" t="str">
        <f>_xlfn.XLOOKUP(Tabela1[[#This Row],[Matrícula]],Equipe!B:B,Equipe!E:E,"ERRO",0)</f>
        <v>ERRO</v>
      </c>
      <c r="I1485" s="83" t="e">
        <f>VLOOKUP(Tabela1[[#This Row],[Matrícula]],Equipe!B:F,5,0)</f>
        <v>#N/A</v>
      </c>
    </row>
    <row r="1486" spans="1:9">
      <c r="A1486" s="83"/>
      <c r="B1486" s="83">
        <f>_xlfn.XLOOKUP(A1486,Equipe!H:H,Equipe!B:B,"",0)</f>
        <v>0</v>
      </c>
      <c r="C1486" s="154"/>
      <c r="D1486" s="150" t="e">
        <f>(IF(Tabela1[[#This Row],[Início]]&lt;&gt;"",C1486+E1486-1,""))*1</f>
        <v>#VALUE!</v>
      </c>
      <c r="E1486" s="83"/>
      <c r="F1486" s="83"/>
      <c r="G1486" s="88"/>
      <c r="H1486" s="83" t="str">
        <f>_xlfn.XLOOKUP(Tabela1[[#This Row],[Matrícula]],Equipe!B:B,Equipe!E:E,"ERRO",0)</f>
        <v>ERRO</v>
      </c>
      <c r="I1486" s="83" t="e">
        <f>VLOOKUP(Tabela1[[#This Row],[Matrícula]],Equipe!B:F,5,0)</f>
        <v>#N/A</v>
      </c>
    </row>
    <row r="1487" spans="1:9">
      <c r="A1487" s="83"/>
      <c r="B1487" s="83">
        <f>_xlfn.XLOOKUP(A1487,Equipe!H:H,Equipe!B:B,"",0)</f>
        <v>0</v>
      </c>
      <c r="C1487" s="154"/>
      <c r="D1487" s="150" t="e">
        <f>(IF(Tabela1[[#This Row],[Início]]&lt;&gt;"",C1487+E1487-1,""))*1</f>
        <v>#VALUE!</v>
      </c>
      <c r="E1487" s="83"/>
      <c r="F1487" s="83"/>
      <c r="G1487" s="88"/>
      <c r="H1487" s="83" t="str">
        <f>_xlfn.XLOOKUP(Tabela1[[#This Row],[Matrícula]],Equipe!B:B,Equipe!E:E,"ERRO",0)</f>
        <v>ERRO</v>
      </c>
      <c r="I1487" s="83" t="e">
        <f>VLOOKUP(Tabela1[[#This Row],[Matrícula]],Equipe!B:F,5,0)</f>
        <v>#N/A</v>
      </c>
    </row>
    <row r="1488" spans="1:9">
      <c r="A1488" s="83"/>
      <c r="B1488" s="83">
        <f>_xlfn.XLOOKUP(A1488,Equipe!H:H,Equipe!B:B,"",0)</f>
        <v>0</v>
      </c>
      <c r="C1488" s="154"/>
      <c r="D1488" s="150" t="e">
        <f>(IF(Tabela1[[#This Row],[Início]]&lt;&gt;"",C1488+E1488-1,""))*1</f>
        <v>#VALUE!</v>
      </c>
      <c r="E1488" s="83"/>
      <c r="F1488" s="83"/>
      <c r="G1488" s="88"/>
      <c r="H1488" s="83" t="str">
        <f>_xlfn.XLOOKUP(Tabela1[[#This Row],[Matrícula]],Equipe!B:B,Equipe!E:E,"ERRO",0)</f>
        <v>ERRO</v>
      </c>
      <c r="I1488" s="83" t="e">
        <f>VLOOKUP(Tabela1[[#This Row],[Matrícula]],Equipe!B:F,5,0)</f>
        <v>#N/A</v>
      </c>
    </row>
    <row r="1489" spans="1:9">
      <c r="A1489" s="83"/>
      <c r="B1489" s="83">
        <f>_xlfn.XLOOKUP(A1489,Equipe!H:H,Equipe!B:B,"",0)</f>
        <v>0</v>
      </c>
      <c r="C1489" s="154"/>
      <c r="D1489" s="150" t="e">
        <f>(IF(Tabela1[[#This Row],[Início]]&lt;&gt;"",C1489+E1489-1,""))*1</f>
        <v>#VALUE!</v>
      </c>
      <c r="E1489" s="83"/>
      <c r="F1489" s="83"/>
      <c r="G1489" s="88"/>
      <c r="H1489" s="83" t="str">
        <f>_xlfn.XLOOKUP(Tabela1[[#This Row],[Matrícula]],Equipe!B:B,Equipe!E:E,"ERRO",0)</f>
        <v>ERRO</v>
      </c>
      <c r="I1489" s="83" t="e">
        <f>VLOOKUP(Tabela1[[#This Row],[Matrícula]],Equipe!B:F,5,0)</f>
        <v>#N/A</v>
      </c>
    </row>
    <row r="1490" spans="1:9">
      <c r="A1490" s="83"/>
      <c r="B1490" s="83">
        <f>_xlfn.XLOOKUP(A1490,Equipe!H:H,Equipe!B:B,"",0)</f>
        <v>0</v>
      </c>
      <c r="C1490" s="154"/>
      <c r="D1490" s="150" t="e">
        <f>(IF(Tabela1[[#This Row],[Início]]&lt;&gt;"",C1490+E1490-1,""))*1</f>
        <v>#VALUE!</v>
      </c>
      <c r="E1490" s="83"/>
      <c r="F1490" s="83"/>
      <c r="G1490" s="88"/>
      <c r="H1490" s="83" t="str">
        <f>_xlfn.XLOOKUP(Tabela1[[#This Row],[Matrícula]],Equipe!B:B,Equipe!E:E,"ERRO",0)</f>
        <v>ERRO</v>
      </c>
      <c r="I1490" s="83" t="e">
        <f>VLOOKUP(Tabela1[[#This Row],[Matrícula]],Equipe!B:F,5,0)</f>
        <v>#N/A</v>
      </c>
    </row>
    <row r="1491" spans="1:9">
      <c r="A1491" s="83"/>
      <c r="B1491" s="83">
        <f>_xlfn.XLOOKUP(A1491,Equipe!H:H,Equipe!B:B,"",0)</f>
        <v>0</v>
      </c>
      <c r="C1491" s="154"/>
      <c r="D1491" s="150" t="e">
        <f>(IF(Tabela1[[#This Row],[Início]]&lt;&gt;"",C1491+E1491-1,""))*1</f>
        <v>#VALUE!</v>
      </c>
      <c r="E1491" s="83"/>
      <c r="F1491" s="83"/>
      <c r="G1491" s="88"/>
      <c r="H1491" s="83" t="str">
        <f>_xlfn.XLOOKUP(Tabela1[[#This Row],[Matrícula]],Equipe!B:B,Equipe!E:E,"ERRO",0)</f>
        <v>ERRO</v>
      </c>
      <c r="I1491" s="83" t="e">
        <f>VLOOKUP(Tabela1[[#This Row],[Matrícula]],Equipe!B:F,5,0)</f>
        <v>#N/A</v>
      </c>
    </row>
    <row r="1492" spans="1:9">
      <c r="A1492" s="83"/>
      <c r="B1492" s="83">
        <f>_xlfn.XLOOKUP(A1492,Equipe!H:H,Equipe!B:B,"",0)</f>
        <v>0</v>
      </c>
      <c r="C1492" s="154"/>
      <c r="D1492" s="150" t="e">
        <f>(IF(Tabela1[[#This Row],[Início]]&lt;&gt;"",C1492+E1492-1,""))*1</f>
        <v>#VALUE!</v>
      </c>
      <c r="E1492" s="83"/>
      <c r="F1492" s="83"/>
      <c r="G1492" s="88"/>
      <c r="H1492" s="83" t="str">
        <f>_xlfn.XLOOKUP(Tabela1[[#This Row],[Matrícula]],Equipe!B:B,Equipe!E:E,"ERRO",0)</f>
        <v>ERRO</v>
      </c>
      <c r="I1492" s="83" t="e">
        <f>VLOOKUP(Tabela1[[#This Row],[Matrícula]],Equipe!B:F,5,0)</f>
        <v>#N/A</v>
      </c>
    </row>
    <row r="1493" spans="1:9">
      <c r="A1493" s="83"/>
      <c r="B1493" s="83">
        <f>_xlfn.XLOOKUP(A1493,Equipe!H:H,Equipe!B:B,"",0)</f>
        <v>0</v>
      </c>
      <c r="C1493" s="154"/>
      <c r="D1493" s="150" t="e">
        <f>(IF(Tabela1[[#This Row],[Início]]&lt;&gt;"",C1493+E1493-1,""))*1</f>
        <v>#VALUE!</v>
      </c>
      <c r="E1493" s="83"/>
      <c r="F1493" s="83"/>
      <c r="G1493" s="88"/>
      <c r="H1493" s="83" t="str">
        <f>_xlfn.XLOOKUP(Tabela1[[#This Row],[Matrícula]],Equipe!B:B,Equipe!E:E,"ERRO",0)</f>
        <v>ERRO</v>
      </c>
      <c r="I1493" s="83" t="e">
        <f>VLOOKUP(Tabela1[[#This Row],[Matrícula]],Equipe!B:F,5,0)</f>
        <v>#N/A</v>
      </c>
    </row>
    <row r="1494" spans="1:9">
      <c r="A1494" s="83"/>
      <c r="B1494" s="83">
        <f>_xlfn.XLOOKUP(A1494,Equipe!H:H,Equipe!B:B,"",0)</f>
        <v>0</v>
      </c>
      <c r="C1494" s="154"/>
      <c r="D1494" s="150" t="e">
        <f>(IF(Tabela1[[#This Row],[Início]]&lt;&gt;"",C1494+E1494-1,""))*1</f>
        <v>#VALUE!</v>
      </c>
      <c r="E1494" s="83"/>
      <c r="F1494" s="83"/>
      <c r="G1494" s="88"/>
      <c r="H1494" s="83" t="str">
        <f>_xlfn.XLOOKUP(Tabela1[[#This Row],[Matrícula]],Equipe!B:B,Equipe!E:E,"ERRO",0)</f>
        <v>ERRO</v>
      </c>
      <c r="I1494" s="83" t="e">
        <f>VLOOKUP(Tabela1[[#This Row],[Matrícula]],Equipe!B:F,5,0)</f>
        <v>#N/A</v>
      </c>
    </row>
    <row r="1495" spans="1:9">
      <c r="A1495" s="83"/>
      <c r="B1495" s="83">
        <f>_xlfn.XLOOKUP(A1495,Equipe!H:H,Equipe!B:B,"",0)</f>
        <v>0</v>
      </c>
      <c r="C1495" s="154"/>
      <c r="D1495" s="150" t="e">
        <f>(IF(Tabela1[[#This Row],[Início]]&lt;&gt;"",C1495+E1495-1,""))*1</f>
        <v>#VALUE!</v>
      </c>
      <c r="E1495" s="83"/>
      <c r="F1495" s="83"/>
      <c r="G1495" s="88"/>
      <c r="H1495" s="83" t="str">
        <f>_xlfn.XLOOKUP(Tabela1[[#This Row],[Matrícula]],Equipe!B:B,Equipe!E:E,"ERRO",0)</f>
        <v>ERRO</v>
      </c>
      <c r="I1495" s="83" t="e">
        <f>VLOOKUP(Tabela1[[#This Row],[Matrícula]],Equipe!B:F,5,0)</f>
        <v>#N/A</v>
      </c>
    </row>
    <row r="1496" spans="1:9">
      <c r="A1496" s="83"/>
      <c r="B1496" s="83">
        <f>_xlfn.XLOOKUP(A1496,Equipe!H:H,Equipe!B:B,"",0)</f>
        <v>0</v>
      </c>
      <c r="C1496" s="154"/>
      <c r="D1496" s="150" t="e">
        <f>(IF(Tabela1[[#This Row],[Início]]&lt;&gt;"",C1496+E1496-1,""))*1</f>
        <v>#VALUE!</v>
      </c>
      <c r="E1496" s="83"/>
      <c r="F1496" s="83"/>
      <c r="G1496" s="88"/>
      <c r="H1496" s="83" t="str">
        <f>_xlfn.XLOOKUP(Tabela1[[#This Row],[Matrícula]],Equipe!B:B,Equipe!E:E,"ERRO",0)</f>
        <v>ERRO</v>
      </c>
      <c r="I1496" s="83" t="e">
        <f>VLOOKUP(Tabela1[[#This Row],[Matrícula]],Equipe!B:F,5,0)</f>
        <v>#N/A</v>
      </c>
    </row>
    <row r="1497" spans="1:9">
      <c r="A1497" s="83"/>
      <c r="B1497" s="83">
        <f>_xlfn.XLOOKUP(A1497,Equipe!H:H,Equipe!B:B,"",0)</f>
        <v>0</v>
      </c>
      <c r="C1497" s="154"/>
      <c r="D1497" s="150" t="e">
        <f>(IF(Tabela1[[#This Row],[Início]]&lt;&gt;"",C1497+E1497-1,""))*1</f>
        <v>#VALUE!</v>
      </c>
      <c r="E1497" s="83"/>
      <c r="F1497" s="83"/>
      <c r="G1497" s="88"/>
      <c r="H1497" s="83" t="str">
        <f>_xlfn.XLOOKUP(Tabela1[[#This Row],[Matrícula]],Equipe!B:B,Equipe!E:E,"ERRO",0)</f>
        <v>ERRO</v>
      </c>
      <c r="I1497" s="83" t="e">
        <f>VLOOKUP(Tabela1[[#This Row],[Matrícula]],Equipe!B:F,5,0)</f>
        <v>#N/A</v>
      </c>
    </row>
    <row r="1498" spans="1:9">
      <c r="A1498" s="83"/>
      <c r="B1498" s="83">
        <f>_xlfn.XLOOKUP(A1498,Equipe!H:H,Equipe!B:B,"",0)</f>
        <v>0</v>
      </c>
      <c r="C1498" s="154"/>
      <c r="D1498" s="150" t="e">
        <f>(IF(Tabela1[[#This Row],[Início]]&lt;&gt;"",C1498+E1498-1,""))*1</f>
        <v>#VALUE!</v>
      </c>
      <c r="E1498" s="83"/>
      <c r="F1498" s="83"/>
      <c r="G1498" s="88"/>
      <c r="H1498" s="83" t="str">
        <f>_xlfn.XLOOKUP(Tabela1[[#This Row],[Matrícula]],Equipe!B:B,Equipe!E:E,"ERRO",0)</f>
        <v>ERRO</v>
      </c>
      <c r="I1498" s="83" t="e">
        <f>VLOOKUP(Tabela1[[#This Row],[Matrícula]],Equipe!B:F,5,0)</f>
        <v>#N/A</v>
      </c>
    </row>
    <row r="1499" spans="1:9">
      <c r="A1499" s="83"/>
      <c r="B1499" s="83">
        <f>_xlfn.XLOOKUP(A1499,Equipe!H:H,Equipe!B:B,"",0)</f>
        <v>0</v>
      </c>
      <c r="C1499" s="154"/>
      <c r="D1499" s="150" t="e">
        <f>(IF(Tabela1[[#This Row],[Início]]&lt;&gt;"",C1499+E1499-1,""))*1</f>
        <v>#VALUE!</v>
      </c>
      <c r="E1499" s="83"/>
      <c r="F1499" s="83"/>
      <c r="G1499" s="88"/>
      <c r="H1499" s="83" t="str">
        <f>_xlfn.XLOOKUP(Tabela1[[#This Row],[Matrícula]],Equipe!B:B,Equipe!E:E,"ERRO",0)</f>
        <v>ERRO</v>
      </c>
      <c r="I1499" s="83" t="e">
        <f>VLOOKUP(Tabela1[[#This Row],[Matrícula]],Equipe!B:F,5,0)</f>
        <v>#N/A</v>
      </c>
    </row>
    <row r="1500" spans="1:9">
      <c r="A1500" s="83"/>
      <c r="B1500" s="83">
        <f>_xlfn.XLOOKUP(A1500,Equipe!H:H,Equipe!B:B,"",0)</f>
        <v>0</v>
      </c>
      <c r="C1500" s="154"/>
      <c r="D1500" s="150" t="e">
        <f>(IF(Tabela1[[#This Row],[Início]]&lt;&gt;"",C1500+E1500-1,""))*1</f>
        <v>#VALUE!</v>
      </c>
      <c r="E1500" s="83"/>
      <c r="F1500" s="83"/>
      <c r="G1500" s="88"/>
      <c r="H1500" s="83" t="str">
        <f>_xlfn.XLOOKUP(Tabela1[[#This Row],[Matrícula]],Equipe!B:B,Equipe!E:E,"ERRO",0)</f>
        <v>ERRO</v>
      </c>
      <c r="I1500" s="83" t="e">
        <f>VLOOKUP(Tabela1[[#This Row],[Matrícula]],Equipe!B:F,5,0)</f>
        <v>#N/A</v>
      </c>
    </row>
    <row r="1501" spans="1:9">
      <c r="A1501" s="83"/>
      <c r="B1501" s="83">
        <f>_xlfn.XLOOKUP(A1501,Equipe!H:H,Equipe!B:B,"",0)</f>
        <v>0</v>
      </c>
      <c r="C1501" s="154"/>
      <c r="D1501" s="150" t="e">
        <f>(IF(Tabela1[[#This Row],[Início]]&lt;&gt;"",C1501+E1501-1,""))*1</f>
        <v>#VALUE!</v>
      </c>
      <c r="E1501" s="83"/>
      <c r="F1501" s="83"/>
      <c r="G1501" s="88"/>
      <c r="H1501" s="83" t="str">
        <f>_xlfn.XLOOKUP(Tabela1[[#This Row],[Matrícula]],Equipe!B:B,Equipe!E:E,"ERRO",0)</f>
        <v>ERRO</v>
      </c>
      <c r="I1501" s="83" t="e">
        <f>VLOOKUP(Tabela1[[#This Row],[Matrícula]],Equipe!B:F,5,0)</f>
        <v>#N/A</v>
      </c>
    </row>
    <row r="1502" spans="1:9">
      <c r="A1502" s="83"/>
      <c r="B1502" s="83">
        <f>_xlfn.XLOOKUP(A1502,Equipe!H:H,Equipe!B:B,"",0)</f>
        <v>0</v>
      </c>
      <c r="C1502" s="154"/>
      <c r="D1502" s="150" t="e">
        <f>(IF(Tabela1[[#This Row],[Início]]&lt;&gt;"",C1502+E1502-1,""))*1</f>
        <v>#VALUE!</v>
      </c>
      <c r="E1502" s="83"/>
      <c r="F1502" s="83"/>
      <c r="G1502" s="88"/>
      <c r="H1502" s="83" t="str">
        <f>_xlfn.XLOOKUP(Tabela1[[#This Row],[Matrícula]],Equipe!B:B,Equipe!E:E,"ERRO",0)</f>
        <v>ERRO</v>
      </c>
      <c r="I1502" s="83" t="e">
        <f>VLOOKUP(Tabela1[[#This Row],[Matrícula]],Equipe!B:F,5,0)</f>
        <v>#N/A</v>
      </c>
    </row>
    <row r="1503" spans="1:9">
      <c r="A1503" s="83"/>
      <c r="B1503" s="83">
        <f>_xlfn.XLOOKUP(A1503,Equipe!H:H,Equipe!B:B,"",0)</f>
        <v>0</v>
      </c>
      <c r="C1503" s="154"/>
      <c r="D1503" s="150" t="e">
        <f>(IF(Tabela1[[#This Row],[Início]]&lt;&gt;"",C1503+E1503-1,""))*1</f>
        <v>#VALUE!</v>
      </c>
      <c r="E1503" s="83"/>
      <c r="F1503" s="83"/>
      <c r="G1503" s="88"/>
      <c r="H1503" s="83" t="str">
        <f>_xlfn.XLOOKUP(Tabela1[[#This Row],[Matrícula]],Equipe!B:B,Equipe!E:E,"ERRO",0)</f>
        <v>ERRO</v>
      </c>
      <c r="I1503" s="83" t="e">
        <f>VLOOKUP(Tabela1[[#This Row],[Matrícula]],Equipe!B:F,5,0)</f>
        <v>#N/A</v>
      </c>
    </row>
    <row r="1504" spans="1:9">
      <c r="A1504" s="83"/>
      <c r="B1504" s="83">
        <f>_xlfn.XLOOKUP(A1504,Equipe!H:H,Equipe!B:B,"",0)</f>
        <v>0</v>
      </c>
      <c r="C1504" s="154"/>
      <c r="D1504" s="150" t="e">
        <f>(IF(Tabela1[[#This Row],[Início]]&lt;&gt;"",C1504+E1504-1,""))*1</f>
        <v>#VALUE!</v>
      </c>
      <c r="E1504" s="83"/>
      <c r="F1504" s="83"/>
      <c r="G1504" s="88"/>
      <c r="H1504" s="83" t="str">
        <f>_xlfn.XLOOKUP(Tabela1[[#This Row],[Matrícula]],Equipe!B:B,Equipe!E:E,"ERRO",0)</f>
        <v>ERRO</v>
      </c>
      <c r="I1504" s="83" t="e">
        <f>VLOOKUP(Tabela1[[#This Row],[Matrícula]],Equipe!B:F,5,0)</f>
        <v>#N/A</v>
      </c>
    </row>
    <row r="1505" spans="1:9">
      <c r="A1505" s="83"/>
      <c r="B1505" s="83">
        <f>_xlfn.XLOOKUP(A1505,Equipe!H:H,Equipe!B:B,"",0)</f>
        <v>0</v>
      </c>
      <c r="C1505" s="154"/>
      <c r="D1505" s="150" t="e">
        <f>(IF(Tabela1[[#This Row],[Início]]&lt;&gt;"",C1505+E1505-1,""))*1</f>
        <v>#VALUE!</v>
      </c>
      <c r="E1505" s="83"/>
      <c r="F1505" s="83"/>
      <c r="G1505" s="88"/>
      <c r="H1505" s="83" t="str">
        <f>_xlfn.XLOOKUP(Tabela1[[#This Row],[Matrícula]],Equipe!B:B,Equipe!E:E,"ERRO",0)</f>
        <v>ERRO</v>
      </c>
      <c r="I1505" s="83" t="e">
        <f>VLOOKUP(Tabela1[[#This Row],[Matrícula]],Equipe!B:F,5,0)</f>
        <v>#N/A</v>
      </c>
    </row>
    <row r="1506" spans="1:9">
      <c r="A1506" s="83"/>
      <c r="B1506" s="83">
        <f>_xlfn.XLOOKUP(A1506,Equipe!H:H,Equipe!B:B,"",0)</f>
        <v>0</v>
      </c>
      <c r="C1506" s="154"/>
      <c r="D1506" s="150" t="e">
        <f>(IF(Tabela1[[#This Row],[Início]]&lt;&gt;"",C1506+E1506-1,""))*1</f>
        <v>#VALUE!</v>
      </c>
      <c r="E1506" s="83"/>
      <c r="F1506" s="83"/>
      <c r="G1506" s="88"/>
      <c r="H1506" s="83" t="str">
        <f>_xlfn.XLOOKUP(Tabela1[[#This Row],[Matrícula]],Equipe!B:B,Equipe!E:E,"ERRO",0)</f>
        <v>ERRO</v>
      </c>
      <c r="I1506" s="83" t="e">
        <f>VLOOKUP(Tabela1[[#This Row],[Matrícula]],Equipe!B:F,5,0)</f>
        <v>#N/A</v>
      </c>
    </row>
    <row r="1507" spans="1:9">
      <c r="A1507" s="83"/>
      <c r="B1507" s="83">
        <f>_xlfn.XLOOKUP(A1507,Equipe!H:H,Equipe!B:B,"",0)</f>
        <v>0</v>
      </c>
      <c r="C1507" s="154"/>
      <c r="D1507" s="150" t="e">
        <f>(IF(Tabela1[[#This Row],[Início]]&lt;&gt;"",C1507+E1507-1,""))*1</f>
        <v>#VALUE!</v>
      </c>
      <c r="E1507" s="83"/>
      <c r="F1507" s="83"/>
      <c r="G1507" s="88"/>
      <c r="H1507" s="83" t="str">
        <f>_xlfn.XLOOKUP(Tabela1[[#This Row],[Matrícula]],Equipe!B:B,Equipe!E:E,"ERRO",0)</f>
        <v>ERRO</v>
      </c>
      <c r="I1507" s="83" t="e">
        <f>VLOOKUP(Tabela1[[#This Row],[Matrícula]],Equipe!B:F,5,0)</f>
        <v>#N/A</v>
      </c>
    </row>
    <row r="1508" spans="1:9">
      <c r="A1508" s="83"/>
      <c r="B1508" s="83">
        <f>_xlfn.XLOOKUP(A1508,Equipe!H:H,Equipe!B:B,"",0)</f>
        <v>0</v>
      </c>
      <c r="C1508" s="154"/>
      <c r="D1508" s="150" t="e">
        <f>(IF(Tabela1[[#This Row],[Início]]&lt;&gt;"",C1508+E1508-1,""))*1</f>
        <v>#VALUE!</v>
      </c>
      <c r="E1508" s="83"/>
      <c r="F1508" s="83"/>
      <c r="G1508" s="88"/>
      <c r="H1508" s="83" t="str">
        <f>_xlfn.XLOOKUP(Tabela1[[#This Row],[Matrícula]],Equipe!B:B,Equipe!E:E,"ERRO",0)</f>
        <v>ERRO</v>
      </c>
      <c r="I1508" s="83" t="e">
        <f>VLOOKUP(Tabela1[[#This Row],[Matrícula]],Equipe!B:F,5,0)</f>
        <v>#N/A</v>
      </c>
    </row>
    <row r="1509" spans="1:9">
      <c r="A1509" s="83"/>
      <c r="B1509" s="83">
        <f>_xlfn.XLOOKUP(A1509,Equipe!H:H,Equipe!B:B,"",0)</f>
        <v>0</v>
      </c>
      <c r="C1509" s="154"/>
      <c r="D1509" s="150" t="e">
        <f>(IF(Tabela1[[#This Row],[Início]]&lt;&gt;"",C1509+E1509-1,""))*1</f>
        <v>#VALUE!</v>
      </c>
      <c r="E1509" s="83"/>
      <c r="F1509" s="83"/>
      <c r="G1509" s="88"/>
      <c r="H1509" s="83" t="str">
        <f>_xlfn.XLOOKUP(Tabela1[[#This Row],[Matrícula]],Equipe!B:B,Equipe!E:E,"ERRO",0)</f>
        <v>ERRO</v>
      </c>
      <c r="I1509" s="83" t="e">
        <f>VLOOKUP(Tabela1[[#This Row],[Matrícula]],Equipe!B:F,5,0)</f>
        <v>#N/A</v>
      </c>
    </row>
    <row r="1510" spans="1:9">
      <c r="A1510" s="83"/>
      <c r="B1510" s="83">
        <f>_xlfn.XLOOKUP(A1510,Equipe!H:H,Equipe!B:B,"",0)</f>
        <v>0</v>
      </c>
      <c r="C1510" s="154"/>
      <c r="D1510" s="150" t="e">
        <f>(IF(Tabela1[[#This Row],[Início]]&lt;&gt;"",C1510+E1510-1,""))*1</f>
        <v>#VALUE!</v>
      </c>
      <c r="E1510" s="83"/>
      <c r="F1510" s="83"/>
      <c r="G1510" s="88"/>
      <c r="H1510" s="83" t="str">
        <f>_xlfn.XLOOKUP(Tabela1[[#This Row],[Matrícula]],Equipe!B:B,Equipe!E:E,"ERRO",0)</f>
        <v>ERRO</v>
      </c>
      <c r="I1510" s="83" t="e">
        <f>VLOOKUP(Tabela1[[#This Row],[Matrícula]],Equipe!B:F,5,0)</f>
        <v>#N/A</v>
      </c>
    </row>
    <row r="1511" spans="1:9">
      <c r="A1511" s="83"/>
      <c r="B1511" s="83">
        <f>_xlfn.XLOOKUP(A1511,Equipe!H:H,Equipe!B:B,"",0)</f>
        <v>0</v>
      </c>
      <c r="C1511" s="154"/>
      <c r="D1511" s="150" t="e">
        <f>(IF(Tabela1[[#This Row],[Início]]&lt;&gt;"",C1511+E1511-1,""))*1</f>
        <v>#VALUE!</v>
      </c>
      <c r="E1511" s="83"/>
      <c r="F1511" s="83"/>
      <c r="G1511" s="88"/>
      <c r="H1511" s="83" t="str">
        <f>_xlfn.XLOOKUP(Tabela1[[#This Row],[Matrícula]],Equipe!B:B,Equipe!E:E,"ERRO",0)</f>
        <v>ERRO</v>
      </c>
      <c r="I1511" s="83" t="e">
        <f>VLOOKUP(Tabela1[[#This Row],[Matrícula]],Equipe!B:F,5,0)</f>
        <v>#N/A</v>
      </c>
    </row>
    <row r="1512" spans="1:9">
      <c r="A1512" s="83"/>
      <c r="B1512" s="83">
        <f>_xlfn.XLOOKUP(A1512,Equipe!H:H,Equipe!B:B,"",0)</f>
        <v>0</v>
      </c>
      <c r="C1512" s="154"/>
      <c r="D1512" s="150" t="e">
        <f>(IF(Tabela1[[#This Row],[Início]]&lt;&gt;"",C1512+E1512-1,""))*1</f>
        <v>#VALUE!</v>
      </c>
      <c r="E1512" s="83"/>
      <c r="F1512" s="83"/>
      <c r="G1512" s="88"/>
      <c r="H1512" s="83" t="str">
        <f>_xlfn.XLOOKUP(Tabela1[[#This Row],[Matrícula]],Equipe!B:B,Equipe!E:E,"ERRO",0)</f>
        <v>ERRO</v>
      </c>
      <c r="I1512" s="83" t="e">
        <f>VLOOKUP(Tabela1[[#This Row],[Matrícula]],Equipe!B:F,5,0)</f>
        <v>#N/A</v>
      </c>
    </row>
    <row r="1513" spans="1:9">
      <c r="A1513" s="83"/>
      <c r="B1513" s="83">
        <f>_xlfn.XLOOKUP(A1513,Equipe!H:H,Equipe!B:B,"",0)</f>
        <v>0</v>
      </c>
      <c r="C1513" s="154"/>
      <c r="D1513" s="150" t="e">
        <f>(IF(Tabela1[[#This Row],[Início]]&lt;&gt;"",C1513+E1513-1,""))*1</f>
        <v>#VALUE!</v>
      </c>
      <c r="E1513" s="83"/>
      <c r="F1513" s="83"/>
      <c r="G1513" s="88"/>
      <c r="H1513" s="83" t="str">
        <f>_xlfn.XLOOKUP(Tabela1[[#This Row],[Matrícula]],Equipe!B:B,Equipe!E:E,"ERRO",0)</f>
        <v>ERRO</v>
      </c>
      <c r="I1513" s="83" t="e">
        <f>VLOOKUP(Tabela1[[#This Row],[Matrícula]],Equipe!B:F,5,0)</f>
        <v>#N/A</v>
      </c>
    </row>
    <row r="1514" spans="1:9">
      <c r="A1514" s="83"/>
      <c r="B1514" s="83">
        <f>_xlfn.XLOOKUP(A1514,Equipe!H:H,Equipe!B:B,"",0)</f>
        <v>0</v>
      </c>
      <c r="C1514" s="154"/>
      <c r="D1514" s="150" t="e">
        <f>(IF(Tabela1[[#This Row],[Início]]&lt;&gt;"",C1514+E1514-1,""))*1</f>
        <v>#VALUE!</v>
      </c>
      <c r="E1514" s="83"/>
      <c r="F1514" s="83"/>
      <c r="G1514" s="88"/>
      <c r="H1514" s="83" t="str">
        <f>_xlfn.XLOOKUP(Tabela1[[#This Row],[Matrícula]],Equipe!B:B,Equipe!E:E,"ERRO",0)</f>
        <v>ERRO</v>
      </c>
      <c r="I1514" s="83" t="e">
        <f>VLOOKUP(Tabela1[[#This Row],[Matrícula]],Equipe!B:F,5,0)</f>
        <v>#N/A</v>
      </c>
    </row>
    <row r="1515" spans="1:9">
      <c r="A1515" s="83"/>
      <c r="B1515" s="83">
        <f>_xlfn.XLOOKUP(A1515,Equipe!H:H,Equipe!B:B,"",0)</f>
        <v>0</v>
      </c>
      <c r="C1515" s="154"/>
      <c r="D1515" s="150" t="e">
        <f>(IF(Tabela1[[#This Row],[Início]]&lt;&gt;"",C1515+E1515-1,""))*1</f>
        <v>#VALUE!</v>
      </c>
      <c r="E1515" s="83"/>
      <c r="F1515" s="83"/>
      <c r="G1515" s="88"/>
      <c r="H1515" s="83" t="str">
        <f>_xlfn.XLOOKUP(Tabela1[[#This Row],[Matrícula]],Equipe!B:B,Equipe!E:E,"ERRO",0)</f>
        <v>ERRO</v>
      </c>
      <c r="I1515" s="83" t="e">
        <f>VLOOKUP(Tabela1[[#This Row],[Matrícula]],Equipe!B:F,5,0)</f>
        <v>#N/A</v>
      </c>
    </row>
    <row r="1516" spans="1:9">
      <c r="A1516" s="83"/>
      <c r="B1516" s="83">
        <f>_xlfn.XLOOKUP(A1516,Equipe!H:H,Equipe!B:B,"",0)</f>
        <v>0</v>
      </c>
      <c r="C1516" s="154"/>
      <c r="D1516" s="150" t="e">
        <f>(IF(Tabela1[[#This Row],[Início]]&lt;&gt;"",C1516+E1516-1,""))*1</f>
        <v>#VALUE!</v>
      </c>
      <c r="E1516" s="83"/>
      <c r="F1516" s="83"/>
      <c r="G1516" s="88"/>
      <c r="H1516" s="83" t="str">
        <f>_xlfn.XLOOKUP(Tabela1[[#This Row],[Matrícula]],Equipe!B:B,Equipe!E:E,"ERRO",0)</f>
        <v>ERRO</v>
      </c>
      <c r="I1516" s="83" t="e">
        <f>VLOOKUP(Tabela1[[#This Row],[Matrícula]],Equipe!B:F,5,0)</f>
        <v>#N/A</v>
      </c>
    </row>
    <row r="1517" spans="1:9">
      <c r="A1517" s="83"/>
      <c r="B1517" s="83">
        <f>_xlfn.XLOOKUP(A1517,Equipe!H:H,Equipe!B:B,"",0)</f>
        <v>0</v>
      </c>
      <c r="C1517" s="154"/>
      <c r="D1517" s="150" t="e">
        <f>(IF(Tabela1[[#This Row],[Início]]&lt;&gt;"",C1517+E1517-1,""))*1</f>
        <v>#VALUE!</v>
      </c>
      <c r="E1517" s="83"/>
      <c r="F1517" s="83"/>
      <c r="G1517" s="88"/>
      <c r="H1517" s="83" t="str">
        <f>_xlfn.XLOOKUP(Tabela1[[#This Row],[Matrícula]],Equipe!B:B,Equipe!E:E,"ERRO",0)</f>
        <v>ERRO</v>
      </c>
      <c r="I1517" s="83" t="e">
        <f>VLOOKUP(Tabela1[[#This Row],[Matrícula]],Equipe!B:F,5,0)</f>
        <v>#N/A</v>
      </c>
    </row>
    <row r="1518" spans="1:9">
      <c r="A1518" s="83"/>
      <c r="B1518" s="83">
        <f>_xlfn.XLOOKUP(A1518,Equipe!H:H,Equipe!B:B,"",0)</f>
        <v>0</v>
      </c>
      <c r="C1518" s="154"/>
      <c r="D1518" s="150" t="e">
        <f>(IF(Tabela1[[#This Row],[Início]]&lt;&gt;"",C1518+E1518-1,""))*1</f>
        <v>#VALUE!</v>
      </c>
      <c r="E1518" s="83"/>
      <c r="F1518" s="83"/>
      <c r="G1518" s="88"/>
      <c r="H1518" s="83" t="str">
        <f>_xlfn.XLOOKUP(Tabela1[[#This Row],[Matrícula]],Equipe!B:B,Equipe!E:E,"ERRO",0)</f>
        <v>ERRO</v>
      </c>
      <c r="I1518" s="83" t="e">
        <f>VLOOKUP(Tabela1[[#This Row],[Matrícula]],Equipe!B:F,5,0)</f>
        <v>#N/A</v>
      </c>
    </row>
    <row r="1519" spans="1:9">
      <c r="A1519" s="83"/>
      <c r="B1519" s="83">
        <f>_xlfn.XLOOKUP(A1519,Equipe!H:H,Equipe!B:B,"",0)</f>
        <v>0</v>
      </c>
      <c r="C1519" s="154"/>
      <c r="D1519" s="150" t="e">
        <f>(IF(Tabela1[[#This Row],[Início]]&lt;&gt;"",C1519+E1519-1,""))*1</f>
        <v>#VALUE!</v>
      </c>
      <c r="E1519" s="83"/>
      <c r="F1519" s="83"/>
      <c r="G1519" s="88"/>
      <c r="H1519" s="83" t="str">
        <f>_xlfn.XLOOKUP(Tabela1[[#This Row],[Matrícula]],Equipe!B:B,Equipe!E:E,"ERRO",0)</f>
        <v>ERRO</v>
      </c>
      <c r="I1519" s="83" t="e">
        <f>VLOOKUP(Tabela1[[#This Row],[Matrícula]],Equipe!B:F,5,0)</f>
        <v>#N/A</v>
      </c>
    </row>
    <row r="1520" spans="1:9">
      <c r="A1520" s="83"/>
      <c r="B1520" s="83">
        <f>_xlfn.XLOOKUP(A1520,Equipe!H:H,Equipe!B:B,"",0)</f>
        <v>0</v>
      </c>
      <c r="C1520" s="154"/>
      <c r="D1520" s="150" t="e">
        <f>(IF(Tabela1[[#This Row],[Início]]&lt;&gt;"",C1520+E1520-1,""))*1</f>
        <v>#VALUE!</v>
      </c>
      <c r="E1520" s="83"/>
      <c r="F1520" s="83"/>
      <c r="G1520" s="88"/>
      <c r="H1520" s="83" t="str">
        <f>_xlfn.XLOOKUP(Tabela1[[#This Row],[Matrícula]],Equipe!B:B,Equipe!E:E,"ERRO",0)</f>
        <v>ERRO</v>
      </c>
      <c r="I1520" s="83" t="e">
        <f>VLOOKUP(Tabela1[[#This Row],[Matrícula]],Equipe!B:F,5,0)</f>
        <v>#N/A</v>
      </c>
    </row>
    <row r="1521" spans="1:9">
      <c r="A1521" s="83"/>
      <c r="B1521" s="83">
        <f>_xlfn.XLOOKUP(A1521,Equipe!H:H,Equipe!B:B,"",0)</f>
        <v>0</v>
      </c>
      <c r="C1521" s="154"/>
      <c r="D1521" s="150" t="e">
        <f>(IF(Tabela1[[#This Row],[Início]]&lt;&gt;"",C1521+E1521-1,""))*1</f>
        <v>#VALUE!</v>
      </c>
      <c r="E1521" s="83"/>
      <c r="F1521" s="83"/>
      <c r="G1521" s="88"/>
      <c r="H1521" s="83" t="str">
        <f>_xlfn.XLOOKUP(Tabela1[[#This Row],[Matrícula]],Equipe!B:B,Equipe!E:E,"ERRO",0)</f>
        <v>ERRO</v>
      </c>
      <c r="I1521" s="83" t="e">
        <f>VLOOKUP(Tabela1[[#This Row],[Matrícula]],Equipe!B:F,5,0)</f>
        <v>#N/A</v>
      </c>
    </row>
    <row r="1522" spans="1:9">
      <c r="A1522" s="83"/>
      <c r="B1522" s="83">
        <f>_xlfn.XLOOKUP(A1522,Equipe!H:H,Equipe!B:B,"",0)</f>
        <v>0</v>
      </c>
      <c r="C1522" s="154"/>
      <c r="D1522" s="150" t="e">
        <f>(IF(Tabela1[[#This Row],[Início]]&lt;&gt;"",C1522+E1522-1,""))*1</f>
        <v>#VALUE!</v>
      </c>
      <c r="E1522" s="83"/>
      <c r="F1522" s="83"/>
      <c r="G1522" s="88"/>
      <c r="H1522" s="83" t="str">
        <f>_xlfn.XLOOKUP(Tabela1[[#This Row],[Matrícula]],Equipe!B:B,Equipe!E:E,"ERRO",0)</f>
        <v>ERRO</v>
      </c>
      <c r="I1522" s="83" t="e">
        <f>VLOOKUP(Tabela1[[#This Row],[Matrícula]],Equipe!B:F,5,0)</f>
        <v>#N/A</v>
      </c>
    </row>
    <row r="1523" spans="1:9">
      <c r="A1523" s="83"/>
      <c r="B1523" s="83">
        <f>_xlfn.XLOOKUP(A1523,Equipe!H:H,Equipe!B:B,"",0)</f>
        <v>0</v>
      </c>
      <c r="C1523" s="154"/>
      <c r="D1523" s="150" t="e">
        <f>(IF(Tabela1[[#This Row],[Início]]&lt;&gt;"",C1523+E1523-1,""))*1</f>
        <v>#VALUE!</v>
      </c>
      <c r="E1523" s="83"/>
      <c r="F1523" s="83"/>
      <c r="G1523" s="88"/>
      <c r="H1523" s="83" t="str">
        <f>_xlfn.XLOOKUP(Tabela1[[#This Row],[Matrícula]],Equipe!B:B,Equipe!E:E,"ERRO",0)</f>
        <v>ERRO</v>
      </c>
      <c r="I1523" s="83" t="e">
        <f>VLOOKUP(Tabela1[[#This Row],[Matrícula]],Equipe!B:F,5,0)</f>
        <v>#N/A</v>
      </c>
    </row>
    <row r="1524" spans="1:9">
      <c r="A1524" s="83"/>
      <c r="B1524" s="83">
        <f>_xlfn.XLOOKUP(A1524,Equipe!H:H,Equipe!B:B,"",0)</f>
        <v>0</v>
      </c>
      <c r="C1524" s="154"/>
      <c r="D1524" s="150" t="e">
        <f>(IF(Tabela1[[#This Row],[Início]]&lt;&gt;"",C1524+E1524-1,""))*1</f>
        <v>#VALUE!</v>
      </c>
      <c r="E1524" s="83"/>
      <c r="F1524" s="83"/>
      <c r="G1524" s="88"/>
      <c r="H1524" s="83" t="str">
        <f>_xlfn.XLOOKUP(Tabela1[[#This Row],[Matrícula]],Equipe!B:B,Equipe!E:E,"ERRO",0)</f>
        <v>ERRO</v>
      </c>
      <c r="I1524" s="83" t="e">
        <f>VLOOKUP(Tabela1[[#This Row],[Matrícula]],Equipe!B:F,5,0)</f>
        <v>#N/A</v>
      </c>
    </row>
    <row r="1525" spans="1:9">
      <c r="A1525" s="83"/>
      <c r="B1525" s="83">
        <f>_xlfn.XLOOKUP(A1525,Equipe!H:H,Equipe!B:B,"",0)</f>
        <v>0</v>
      </c>
      <c r="C1525" s="154"/>
      <c r="D1525" s="150" t="e">
        <f>(IF(Tabela1[[#This Row],[Início]]&lt;&gt;"",C1525+E1525-1,""))*1</f>
        <v>#VALUE!</v>
      </c>
      <c r="E1525" s="83"/>
      <c r="F1525" s="83"/>
      <c r="G1525" s="88"/>
      <c r="H1525" s="83" t="str">
        <f>_xlfn.XLOOKUP(Tabela1[[#This Row],[Matrícula]],Equipe!B:B,Equipe!E:E,"ERRO",0)</f>
        <v>ERRO</v>
      </c>
      <c r="I1525" s="83" t="e">
        <f>VLOOKUP(Tabela1[[#This Row],[Matrícula]],Equipe!B:F,5,0)</f>
        <v>#N/A</v>
      </c>
    </row>
    <row r="1526" spans="1:9">
      <c r="A1526" s="83"/>
      <c r="B1526" s="83">
        <f>_xlfn.XLOOKUP(A1526,Equipe!H:H,Equipe!B:B,"",0)</f>
        <v>0</v>
      </c>
      <c r="C1526" s="154"/>
      <c r="D1526" s="150" t="e">
        <f>(IF(Tabela1[[#This Row],[Início]]&lt;&gt;"",C1526+E1526-1,""))*1</f>
        <v>#VALUE!</v>
      </c>
      <c r="E1526" s="83"/>
      <c r="F1526" s="83"/>
      <c r="G1526" s="88"/>
      <c r="H1526" s="83" t="str">
        <f>_xlfn.XLOOKUP(Tabela1[[#This Row],[Matrícula]],Equipe!B:B,Equipe!E:E,"ERRO",0)</f>
        <v>ERRO</v>
      </c>
      <c r="I1526" s="83" t="e">
        <f>VLOOKUP(Tabela1[[#This Row],[Matrícula]],Equipe!B:F,5,0)</f>
        <v>#N/A</v>
      </c>
    </row>
    <row r="1527" spans="1:9">
      <c r="A1527" s="83"/>
      <c r="B1527" s="83">
        <f>_xlfn.XLOOKUP(A1527,Equipe!H:H,Equipe!B:B,"",0)</f>
        <v>0</v>
      </c>
      <c r="C1527" s="154"/>
      <c r="D1527" s="150" t="e">
        <f>(IF(Tabela1[[#This Row],[Início]]&lt;&gt;"",C1527+E1527-1,""))*1</f>
        <v>#VALUE!</v>
      </c>
      <c r="E1527" s="83"/>
      <c r="F1527" s="83"/>
      <c r="G1527" s="88"/>
      <c r="H1527" s="83" t="str">
        <f>_xlfn.XLOOKUP(Tabela1[[#This Row],[Matrícula]],Equipe!B:B,Equipe!E:E,"ERRO",0)</f>
        <v>ERRO</v>
      </c>
      <c r="I1527" s="83" t="e">
        <f>VLOOKUP(Tabela1[[#This Row],[Matrícula]],Equipe!B:F,5,0)</f>
        <v>#N/A</v>
      </c>
    </row>
    <row r="1528" spans="1:9">
      <c r="A1528" s="83"/>
      <c r="B1528" s="83">
        <f>_xlfn.XLOOKUP(A1528,Equipe!H:H,Equipe!B:B,"",0)</f>
        <v>0</v>
      </c>
      <c r="C1528" s="154"/>
      <c r="D1528" s="150" t="e">
        <f>(IF(Tabela1[[#This Row],[Início]]&lt;&gt;"",C1528+E1528-1,""))*1</f>
        <v>#VALUE!</v>
      </c>
      <c r="E1528" s="83"/>
      <c r="F1528" s="83"/>
      <c r="G1528" s="88"/>
      <c r="H1528" s="83" t="str">
        <f>_xlfn.XLOOKUP(Tabela1[[#This Row],[Matrícula]],Equipe!B:B,Equipe!E:E,"ERRO",0)</f>
        <v>ERRO</v>
      </c>
      <c r="I1528" s="83" t="e">
        <f>VLOOKUP(Tabela1[[#This Row],[Matrícula]],Equipe!B:F,5,0)</f>
        <v>#N/A</v>
      </c>
    </row>
    <row r="1529" spans="1:9">
      <c r="A1529" s="83"/>
      <c r="B1529" s="83">
        <f>_xlfn.XLOOKUP(A1529,Equipe!H:H,Equipe!B:B,"",0)</f>
        <v>0</v>
      </c>
      <c r="C1529" s="154"/>
      <c r="D1529" s="150" t="e">
        <f>(IF(Tabela1[[#This Row],[Início]]&lt;&gt;"",C1529+E1529-1,""))*1</f>
        <v>#VALUE!</v>
      </c>
      <c r="E1529" s="83"/>
      <c r="F1529" s="83"/>
      <c r="G1529" s="88"/>
      <c r="H1529" s="83" t="str">
        <f>_xlfn.XLOOKUP(Tabela1[[#This Row],[Matrícula]],Equipe!B:B,Equipe!E:E,"ERRO",0)</f>
        <v>ERRO</v>
      </c>
      <c r="I1529" s="83" t="e">
        <f>VLOOKUP(Tabela1[[#This Row],[Matrícula]],Equipe!B:F,5,0)</f>
        <v>#N/A</v>
      </c>
    </row>
    <row r="1530" spans="1:9">
      <c r="A1530" s="83"/>
      <c r="B1530" s="83">
        <f>_xlfn.XLOOKUP(A1530,Equipe!H:H,Equipe!B:B,"",0)</f>
        <v>0</v>
      </c>
      <c r="C1530" s="154"/>
      <c r="D1530" s="150" t="e">
        <f>(IF(Tabela1[[#This Row],[Início]]&lt;&gt;"",C1530+E1530-1,""))*1</f>
        <v>#VALUE!</v>
      </c>
      <c r="E1530" s="83"/>
      <c r="F1530" s="83"/>
      <c r="G1530" s="88"/>
      <c r="H1530" s="83" t="str">
        <f>_xlfn.XLOOKUP(Tabela1[[#This Row],[Matrícula]],Equipe!B:B,Equipe!E:E,"ERRO",0)</f>
        <v>ERRO</v>
      </c>
      <c r="I1530" s="83" t="e">
        <f>VLOOKUP(Tabela1[[#This Row],[Matrícula]],Equipe!B:F,5,0)</f>
        <v>#N/A</v>
      </c>
    </row>
    <row r="1531" spans="1:9">
      <c r="A1531" s="83"/>
      <c r="B1531" s="83">
        <f>_xlfn.XLOOKUP(A1531,Equipe!H:H,Equipe!B:B,"",0)</f>
        <v>0</v>
      </c>
      <c r="C1531" s="154"/>
      <c r="D1531" s="150" t="e">
        <f>(IF(Tabela1[[#This Row],[Início]]&lt;&gt;"",C1531+E1531-1,""))*1</f>
        <v>#VALUE!</v>
      </c>
      <c r="E1531" s="83"/>
      <c r="F1531" s="83"/>
      <c r="G1531" s="88"/>
      <c r="H1531" s="83" t="str">
        <f>_xlfn.XLOOKUP(Tabela1[[#This Row],[Matrícula]],Equipe!B:B,Equipe!E:E,"ERRO",0)</f>
        <v>ERRO</v>
      </c>
      <c r="I1531" s="83" t="e">
        <f>VLOOKUP(Tabela1[[#This Row],[Matrícula]],Equipe!B:F,5,0)</f>
        <v>#N/A</v>
      </c>
    </row>
    <row r="1532" spans="1:9">
      <c r="A1532" s="83"/>
      <c r="B1532" s="83">
        <f>_xlfn.XLOOKUP(A1532,Equipe!H:H,Equipe!B:B,"",0)</f>
        <v>0</v>
      </c>
      <c r="C1532" s="154"/>
      <c r="D1532" s="150" t="e">
        <f>(IF(Tabela1[[#This Row],[Início]]&lt;&gt;"",C1532+E1532-1,""))*1</f>
        <v>#VALUE!</v>
      </c>
      <c r="E1532" s="83"/>
      <c r="F1532" s="83"/>
      <c r="G1532" s="88"/>
      <c r="H1532" s="83" t="str">
        <f>_xlfn.XLOOKUP(Tabela1[[#This Row],[Matrícula]],Equipe!B:B,Equipe!E:E,"ERRO",0)</f>
        <v>ERRO</v>
      </c>
      <c r="I1532" s="83" t="e">
        <f>VLOOKUP(Tabela1[[#This Row],[Matrícula]],Equipe!B:F,5,0)</f>
        <v>#N/A</v>
      </c>
    </row>
    <row r="1533" spans="1:9">
      <c r="A1533" s="83"/>
      <c r="B1533" s="83">
        <f>_xlfn.XLOOKUP(A1533,Equipe!H:H,Equipe!B:B,"",0)</f>
        <v>0</v>
      </c>
      <c r="C1533" s="154"/>
      <c r="D1533" s="150" t="e">
        <f>(IF(Tabela1[[#This Row],[Início]]&lt;&gt;"",C1533+E1533-1,""))*1</f>
        <v>#VALUE!</v>
      </c>
      <c r="E1533" s="83"/>
      <c r="F1533" s="83"/>
      <c r="G1533" s="88"/>
      <c r="H1533" s="83" t="str">
        <f>_xlfn.XLOOKUP(Tabela1[[#This Row],[Matrícula]],Equipe!B:B,Equipe!E:E,"ERRO",0)</f>
        <v>ERRO</v>
      </c>
      <c r="I1533" s="83" t="e">
        <f>VLOOKUP(Tabela1[[#This Row],[Matrícula]],Equipe!B:F,5,0)</f>
        <v>#N/A</v>
      </c>
    </row>
    <row r="1534" spans="1:9">
      <c r="A1534" s="83"/>
      <c r="B1534" s="83">
        <f>_xlfn.XLOOKUP(A1534,Equipe!H:H,Equipe!B:B,"",0)</f>
        <v>0</v>
      </c>
      <c r="C1534" s="154"/>
      <c r="D1534" s="150" t="e">
        <f>(IF(Tabela1[[#This Row],[Início]]&lt;&gt;"",C1534+E1534-1,""))*1</f>
        <v>#VALUE!</v>
      </c>
      <c r="E1534" s="83"/>
      <c r="F1534" s="83"/>
      <c r="G1534" s="88"/>
      <c r="H1534" s="83" t="str">
        <f>_xlfn.XLOOKUP(Tabela1[[#This Row],[Matrícula]],Equipe!B:B,Equipe!E:E,"ERRO",0)</f>
        <v>ERRO</v>
      </c>
      <c r="I1534" s="83" t="e">
        <f>VLOOKUP(Tabela1[[#This Row],[Matrícula]],Equipe!B:F,5,0)</f>
        <v>#N/A</v>
      </c>
    </row>
    <row r="1535" spans="1:9">
      <c r="A1535" s="83"/>
      <c r="B1535" s="83">
        <f>_xlfn.XLOOKUP(A1535,Equipe!H:H,Equipe!B:B,"",0)</f>
        <v>0</v>
      </c>
      <c r="C1535" s="154"/>
      <c r="D1535" s="150" t="e">
        <f>(IF(Tabela1[[#This Row],[Início]]&lt;&gt;"",C1535+E1535-1,""))*1</f>
        <v>#VALUE!</v>
      </c>
      <c r="E1535" s="83"/>
      <c r="F1535" s="83"/>
      <c r="G1535" s="88"/>
      <c r="H1535" s="83" t="str">
        <f>_xlfn.XLOOKUP(Tabela1[[#This Row],[Matrícula]],Equipe!B:B,Equipe!E:E,"ERRO",0)</f>
        <v>ERRO</v>
      </c>
      <c r="I1535" s="83" t="e">
        <f>VLOOKUP(Tabela1[[#This Row],[Matrícula]],Equipe!B:F,5,0)</f>
        <v>#N/A</v>
      </c>
    </row>
    <row r="1536" spans="1:9">
      <c r="A1536" s="83"/>
      <c r="B1536" s="83">
        <f>_xlfn.XLOOKUP(A1536,Equipe!H:H,Equipe!B:B,"",0)</f>
        <v>0</v>
      </c>
      <c r="C1536" s="154"/>
      <c r="D1536" s="150" t="e">
        <f>(IF(Tabela1[[#This Row],[Início]]&lt;&gt;"",C1536+E1536-1,""))*1</f>
        <v>#VALUE!</v>
      </c>
      <c r="E1536" s="83"/>
      <c r="F1536" s="83"/>
      <c r="G1536" s="88"/>
      <c r="H1536" s="83" t="str">
        <f>_xlfn.XLOOKUP(Tabela1[[#This Row],[Matrícula]],Equipe!B:B,Equipe!E:E,"ERRO",0)</f>
        <v>ERRO</v>
      </c>
      <c r="I1536" s="83" t="e">
        <f>VLOOKUP(Tabela1[[#This Row],[Matrícula]],Equipe!B:F,5,0)</f>
        <v>#N/A</v>
      </c>
    </row>
    <row r="1537" spans="1:9">
      <c r="A1537" s="83"/>
      <c r="B1537" s="83">
        <f>_xlfn.XLOOKUP(A1537,Equipe!H:H,Equipe!B:B,"",0)</f>
        <v>0</v>
      </c>
      <c r="C1537" s="154"/>
      <c r="D1537" s="150" t="e">
        <f>(IF(Tabela1[[#This Row],[Início]]&lt;&gt;"",C1537+E1537-1,""))*1</f>
        <v>#VALUE!</v>
      </c>
      <c r="E1537" s="83"/>
      <c r="F1537" s="83"/>
      <c r="G1537" s="88"/>
      <c r="H1537" s="83" t="str">
        <f>_xlfn.XLOOKUP(Tabela1[[#This Row],[Matrícula]],Equipe!B:B,Equipe!E:E,"ERRO",0)</f>
        <v>ERRO</v>
      </c>
      <c r="I1537" s="83" t="e">
        <f>VLOOKUP(Tabela1[[#This Row],[Matrícula]],Equipe!B:F,5,0)</f>
        <v>#N/A</v>
      </c>
    </row>
    <row r="1538" spans="1:9">
      <c r="A1538" s="83"/>
      <c r="B1538" s="83">
        <f>_xlfn.XLOOKUP(A1538,Equipe!H:H,Equipe!B:B,"",0)</f>
        <v>0</v>
      </c>
      <c r="C1538" s="154"/>
      <c r="D1538" s="150" t="e">
        <f>(IF(Tabela1[[#This Row],[Início]]&lt;&gt;"",C1538+E1538-1,""))*1</f>
        <v>#VALUE!</v>
      </c>
      <c r="E1538" s="83"/>
      <c r="F1538" s="83"/>
      <c r="G1538" s="88"/>
      <c r="H1538" s="83" t="str">
        <f>_xlfn.XLOOKUP(Tabela1[[#This Row],[Matrícula]],Equipe!B:B,Equipe!E:E,"ERRO",0)</f>
        <v>ERRO</v>
      </c>
      <c r="I1538" s="83" t="e">
        <f>VLOOKUP(Tabela1[[#This Row],[Matrícula]],Equipe!B:F,5,0)</f>
        <v>#N/A</v>
      </c>
    </row>
    <row r="1539" spans="1:9">
      <c r="A1539" s="83"/>
      <c r="B1539" s="83">
        <f>_xlfn.XLOOKUP(A1539,Equipe!H:H,Equipe!B:B,"",0)</f>
        <v>0</v>
      </c>
      <c r="C1539" s="154"/>
      <c r="D1539" s="150" t="e">
        <f>(IF(Tabela1[[#This Row],[Início]]&lt;&gt;"",C1539+E1539-1,""))*1</f>
        <v>#VALUE!</v>
      </c>
      <c r="E1539" s="83"/>
      <c r="F1539" s="83"/>
      <c r="G1539" s="88"/>
      <c r="H1539" s="83" t="str">
        <f>_xlfn.XLOOKUP(Tabela1[[#This Row],[Matrícula]],Equipe!B:B,Equipe!E:E,"ERRO",0)</f>
        <v>ERRO</v>
      </c>
      <c r="I1539" s="83" t="e">
        <f>VLOOKUP(Tabela1[[#This Row],[Matrícula]],Equipe!B:F,5,0)</f>
        <v>#N/A</v>
      </c>
    </row>
    <row r="1540" spans="1:9">
      <c r="A1540" s="83"/>
      <c r="B1540" s="83">
        <f>_xlfn.XLOOKUP(A1540,Equipe!H:H,Equipe!B:B,"",0)</f>
        <v>0</v>
      </c>
      <c r="C1540" s="154"/>
      <c r="D1540" s="150" t="e">
        <f>(IF(Tabela1[[#This Row],[Início]]&lt;&gt;"",C1540+E1540-1,""))*1</f>
        <v>#VALUE!</v>
      </c>
      <c r="E1540" s="83"/>
      <c r="F1540" s="83"/>
      <c r="G1540" s="88"/>
      <c r="H1540" s="83" t="str">
        <f>_xlfn.XLOOKUP(Tabela1[[#This Row],[Matrícula]],Equipe!B:B,Equipe!E:E,"ERRO",0)</f>
        <v>ERRO</v>
      </c>
      <c r="I1540" s="83" t="e">
        <f>VLOOKUP(Tabela1[[#This Row],[Matrícula]],Equipe!B:F,5,0)</f>
        <v>#N/A</v>
      </c>
    </row>
    <row r="1541" spans="1:9">
      <c r="A1541" s="83"/>
      <c r="B1541" s="83">
        <f>_xlfn.XLOOKUP(A1541,Equipe!H:H,Equipe!B:B,"",0)</f>
        <v>0</v>
      </c>
      <c r="C1541" s="154"/>
      <c r="D1541" s="150" t="e">
        <f>(IF(Tabela1[[#This Row],[Início]]&lt;&gt;"",C1541+E1541-1,""))*1</f>
        <v>#VALUE!</v>
      </c>
      <c r="E1541" s="83"/>
      <c r="F1541" s="83"/>
      <c r="G1541" s="88"/>
      <c r="H1541" s="83" t="str">
        <f>_xlfn.XLOOKUP(Tabela1[[#This Row],[Matrícula]],Equipe!B:B,Equipe!E:E,"ERRO",0)</f>
        <v>ERRO</v>
      </c>
      <c r="I1541" s="83" t="e">
        <f>VLOOKUP(Tabela1[[#This Row],[Matrícula]],Equipe!B:F,5,0)</f>
        <v>#N/A</v>
      </c>
    </row>
    <row r="1542" spans="1:9">
      <c r="A1542" s="83"/>
      <c r="B1542" s="83">
        <f>_xlfn.XLOOKUP(A1542,Equipe!H:H,Equipe!B:B,"",0)</f>
        <v>0</v>
      </c>
      <c r="C1542" s="154"/>
      <c r="D1542" s="150" t="e">
        <f>(IF(Tabela1[[#This Row],[Início]]&lt;&gt;"",C1542+E1542-1,""))*1</f>
        <v>#VALUE!</v>
      </c>
      <c r="E1542" s="83"/>
      <c r="F1542" s="83"/>
      <c r="G1542" s="88"/>
      <c r="H1542" s="83" t="str">
        <f>_xlfn.XLOOKUP(Tabela1[[#This Row],[Matrícula]],Equipe!B:B,Equipe!E:E,"ERRO",0)</f>
        <v>ERRO</v>
      </c>
      <c r="I1542" s="83" t="e">
        <f>VLOOKUP(Tabela1[[#This Row],[Matrícula]],Equipe!B:F,5,0)</f>
        <v>#N/A</v>
      </c>
    </row>
    <row r="1543" spans="1:9">
      <c r="A1543" s="83"/>
      <c r="B1543" s="83">
        <f>_xlfn.XLOOKUP(A1543,Equipe!H:H,Equipe!B:B,"",0)</f>
        <v>0</v>
      </c>
      <c r="C1543" s="154"/>
      <c r="D1543" s="150" t="e">
        <f>(IF(Tabela1[[#This Row],[Início]]&lt;&gt;"",C1543+E1543-1,""))*1</f>
        <v>#VALUE!</v>
      </c>
      <c r="E1543" s="83"/>
      <c r="F1543" s="83"/>
      <c r="G1543" s="88"/>
      <c r="H1543" s="83" t="str">
        <f>_xlfn.XLOOKUP(Tabela1[[#This Row],[Matrícula]],Equipe!B:B,Equipe!E:E,"ERRO",0)</f>
        <v>ERRO</v>
      </c>
      <c r="I1543" s="83" t="e">
        <f>VLOOKUP(Tabela1[[#This Row],[Matrícula]],Equipe!B:F,5,0)</f>
        <v>#N/A</v>
      </c>
    </row>
    <row r="1544" spans="1:9">
      <c r="A1544" s="83"/>
      <c r="B1544" s="83">
        <f>_xlfn.XLOOKUP(A1544,Equipe!H:H,Equipe!B:B,"",0)</f>
        <v>0</v>
      </c>
      <c r="C1544" s="154"/>
      <c r="D1544" s="150" t="e">
        <f>(IF(Tabela1[[#This Row],[Início]]&lt;&gt;"",C1544+E1544-1,""))*1</f>
        <v>#VALUE!</v>
      </c>
      <c r="E1544" s="83"/>
      <c r="F1544" s="83"/>
      <c r="G1544" s="88"/>
      <c r="H1544" s="83" t="str">
        <f>_xlfn.XLOOKUP(Tabela1[[#This Row],[Matrícula]],Equipe!B:B,Equipe!E:E,"ERRO",0)</f>
        <v>ERRO</v>
      </c>
      <c r="I1544" s="83" t="e">
        <f>VLOOKUP(Tabela1[[#This Row],[Matrícula]],Equipe!B:F,5,0)</f>
        <v>#N/A</v>
      </c>
    </row>
    <row r="1545" spans="1:9">
      <c r="A1545" s="83"/>
      <c r="B1545" s="83">
        <f>_xlfn.XLOOKUP(A1545,Equipe!H:H,Equipe!B:B,"",0)</f>
        <v>0</v>
      </c>
      <c r="C1545" s="154"/>
      <c r="D1545" s="150" t="e">
        <f>(IF(Tabela1[[#This Row],[Início]]&lt;&gt;"",C1545+E1545-1,""))*1</f>
        <v>#VALUE!</v>
      </c>
      <c r="E1545" s="83"/>
      <c r="F1545" s="83"/>
      <c r="G1545" s="88"/>
      <c r="H1545" s="83" t="str">
        <f>_xlfn.XLOOKUP(Tabela1[[#This Row],[Matrícula]],Equipe!B:B,Equipe!E:E,"ERRO",0)</f>
        <v>ERRO</v>
      </c>
      <c r="I1545" s="83" t="e">
        <f>VLOOKUP(Tabela1[[#This Row],[Matrícula]],Equipe!B:F,5,0)</f>
        <v>#N/A</v>
      </c>
    </row>
    <row r="1546" spans="1:9">
      <c r="A1546" s="83"/>
      <c r="B1546" s="83">
        <f>_xlfn.XLOOKUP(A1546,Equipe!H:H,Equipe!B:B,"",0)</f>
        <v>0</v>
      </c>
      <c r="C1546" s="154"/>
      <c r="D1546" s="150" t="e">
        <f>(IF(Tabela1[[#This Row],[Início]]&lt;&gt;"",C1546+E1546-1,""))*1</f>
        <v>#VALUE!</v>
      </c>
      <c r="E1546" s="83"/>
      <c r="F1546" s="83"/>
      <c r="G1546" s="88"/>
      <c r="H1546" s="83" t="str">
        <f>_xlfn.XLOOKUP(Tabela1[[#This Row],[Matrícula]],Equipe!B:B,Equipe!E:E,"ERRO",0)</f>
        <v>ERRO</v>
      </c>
      <c r="I1546" s="83" t="e">
        <f>VLOOKUP(Tabela1[[#This Row],[Matrícula]],Equipe!B:F,5,0)</f>
        <v>#N/A</v>
      </c>
    </row>
    <row r="1547" spans="1:9">
      <c r="A1547" s="83"/>
      <c r="B1547" s="83">
        <f>_xlfn.XLOOKUP(A1547,Equipe!H:H,Equipe!B:B,"",0)</f>
        <v>0</v>
      </c>
      <c r="C1547" s="154"/>
      <c r="D1547" s="150" t="e">
        <f>(IF(Tabela1[[#This Row],[Início]]&lt;&gt;"",C1547+E1547-1,""))*1</f>
        <v>#VALUE!</v>
      </c>
      <c r="E1547" s="83"/>
      <c r="F1547" s="83"/>
      <c r="G1547" s="88"/>
      <c r="H1547" s="83" t="str">
        <f>_xlfn.XLOOKUP(Tabela1[[#This Row],[Matrícula]],Equipe!B:B,Equipe!E:E,"ERRO",0)</f>
        <v>ERRO</v>
      </c>
      <c r="I1547" s="83" t="e">
        <f>VLOOKUP(Tabela1[[#This Row],[Matrícula]],Equipe!B:F,5,0)</f>
        <v>#N/A</v>
      </c>
    </row>
    <row r="1548" spans="1:9">
      <c r="A1548" s="83"/>
      <c r="B1548" s="83">
        <f>_xlfn.XLOOKUP(A1548,Equipe!H:H,Equipe!B:B,"",0)</f>
        <v>0</v>
      </c>
      <c r="C1548" s="154"/>
      <c r="D1548" s="150" t="e">
        <f>(IF(Tabela1[[#This Row],[Início]]&lt;&gt;"",C1548+E1548-1,""))*1</f>
        <v>#VALUE!</v>
      </c>
      <c r="E1548" s="83"/>
      <c r="F1548" s="83"/>
      <c r="G1548" s="88"/>
      <c r="H1548" s="83" t="str">
        <f>_xlfn.XLOOKUP(Tabela1[[#This Row],[Matrícula]],Equipe!B:B,Equipe!E:E,"ERRO",0)</f>
        <v>ERRO</v>
      </c>
      <c r="I1548" s="83" t="e">
        <f>VLOOKUP(Tabela1[[#This Row],[Matrícula]],Equipe!B:F,5,0)</f>
        <v>#N/A</v>
      </c>
    </row>
    <row r="1549" spans="1:9">
      <c r="A1549" s="83"/>
      <c r="B1549" s="83">
        <f>_xlfn.XLOOKUP(A1549,Equipe!H:H,Equipe!B:B,"",0)</f>
        <v>0</v>
      </c>
      <c r="C1549" s="154"/>
      <c r="D1549" s="150" t="e">
        <f>(IF(Tabela1[[#This Row],[Início]]&lt;&gt;"",C1549+E1549-1,""))*1</f>
        <v>#VALUE!</v>
      </c>
      <c r="E1549" s="83"/>
      <c r="F1549" s="83"/>
      <c r="G1549" s="88"/>
      <c r="H1549" s="83" t="str">
        <f>_xlfn.XLOOKUP(Tabela1[[#This Row],[Matrícula]],Equipe!B:B,Equipe!E:E,"ERRO",0)</f>
        <v>ERRO</v>
      </c>
      <c r="I1549" s="83" t="e">
        <f>VLOOKUP(Tabela1[[#This Row],[Matrícula]],Equipe!B:F,5,0)</f>
        <v>#N/A</v>
      </c>
    </row>
    <row r="1550" spans="1:9">
      <c r="A1550" s="83"/>
      <c r="B1550" s="83">
        <f>_xlfn.XLOOKUP(A1550,Equipe!H:H,Equipe!B:B,"",0)</f>
        <v>0</v>
      </c>
      <c r="C1550" s="154"/>
      <c r="D1550" s="150" t="e">
        <f>(IF(Tabela1[[#This Row],[Início]]&lt;&gt;"",C1550+E1550-1,""))*1</f>
        <v>#VALUE!</v>
      </c>
      <c r="E1550" s="83"/>
      <c r="F1550" s="83"/>
      <c r="G1550" s="88"/>
      <c r="H1550" s="83" t="str">
        <f>_xlfn.XLOOKUP(Tabela1[[#This Row],[Matrícula]],Equipe!B:B,Equipe!E:E,"ERRO",0)</f>
        <v>ERRO</v>
      </c>
      <c r="I1550" s="83" t="e">
        <f>VLOOKUP(Tabela1[[#This Row],[Matrícula]],Equipe!B:F,5,0)</f>
        <v>#N/A</v>
      </c>
    </row>
    <row r="1551" spans="1:9">
      <c r="A1551" s="83"/>
      <c r="B1551" s="83">
        <f>_xlfn.XLOOKUP(A1551,Equipe!H:H,Equipe!B:B,"",0)</f>
        <v>0</v>
      </c>
      <c r="C1551" s="154"/>
      <c r="D1551" s="150" t="e">
        <f>(IF(Tabela1[[#This Row],[Início]]&lt;&gt;"",C1551+E1551-1,""))*1</f>
        <v>#VALUE!</v>
      </c>
      <c r="E1551" s="83"/>
      <c r="F1551" s="83"/>
      <c r="G1551" s="88"/>
      <c r="H1551" s="83" t="str">
        <f>_xlfn.XLOOKUP(Tabela1[[#This Row],[Matrícula]],Equipe!B:B,Equipe!E:E,"ERRO",0)</f>
        <v>ERRO</v>
      </c>
      <c r="I1551" s="83" t="e">
        <f>VLOOKUP(Tabela1[[#This Row],[Matrícula]],Equipe!B:F,5,0)</f>
        <v>#N/A</v>
      </c>
    </row>
    <row r="1552" spans="1:9">
      <c r="A1552" s="83"/>
      <c r="B1552" s="83">
        <f>_xlfn.XLOOKUP(A1552,Equipe!H:H,Equipe!B:B,"",0)</f>
        <v>0</v>
      </c>
      <c r="C1552" s="154"/>
      <c r="D1552" s="150" t="e">
        <f>(IF(Tabela1[[#This Row],[Início]]&lt;&gt;"",C1552+E1552-1,""))*1</f>
        <v>#VALUE!</v>
      </c>
      <c r="E1552" s="83"/>
      <c r="F1552" s="83"/>
      <c r="G1552" s="88"/>
      <c r="H1552" s="83" t="str">
        <f>_xlfn.XLOOKUP(Tabela1[[#This Row],[Matrícula]],Equipe!B:B,Equipe!E:E,"ERRO",0)</f>
        <v>ERRO</v>
      </c>
      <c r="I1552" s="83" t="e">
        <f>VLOOKUP(Tabela1[[#This Row],[Matrícula]],Equipe!B:F,5,0)</f>
        <v>#N/A</v>
      </c>
    </row>
    <row r="1553" spans="1:9">
      <c r="A1553" s="83"/>
      <c r="B1553" s="83">
        <f>_xlfn.XLOOKUP(A1553,Equipe!H:H,Equipe!B:B,"",0)</f>
        <v>0</v>
      </c>
      <c r="C1553" s="154"/>
      <c r="D1553" s="150" t="e">
        <f>(IF(Tabela1[[#This Row],[Início]]&lt;&gt;"",C1553+E1553-1,""))*1</f>
        <v>#VALUE!</v>
      </c>
      <c r="E1553" s="83"/>
      <c r="F1553" s="83"/>
      <c r="G1553" s="88"/>
      <c r="H1553" s="83" t="str">
        <f>_xlfn.XLOOKUP(Tabela1[[#This Row],[Matrícula]],Equipe!B:B,Equipe!E:E,"ERRO",0)</f>
        <v>ERRO</v>
      </c>
      <c r="I1553" s="83" t="e">
        <f>VLOOKUP(Tabela1[[#This Row],[Matrícula]],Equipe!B:F,5,0)</f>
        <v>#N/A</v>
      </c>
    </row>
    <row r="1554" spans="1:9">
      <c r="A1554" s="83"/>
      <c r="B1554" s="83">
        <f>_xlfn.XLOOKUP(A1554,Equipe!H:H,Equipe!B:B,"",0)</f>
        <v>0</v>
      </c>
      <c r="C1554" s="154"/>
      <c r="D1554" s="150" t="e">
        <f>(IF(Tabela1[[#This Row],[Início]]&lt;&gt;"",C1554+E1554-1,""))*1</f>
        <v>#VALUE!</v>
      </c>
      <c r="E1554" s="83"/>
      <c r="F1554" s="83"/>
      <c r="G1554" s="88"/>
      <c r="H1554" s="83" t="str">
        <f>_xlfn.XLOOKUP(Tabela1[[#This Row],[Matrícula]],Equipe!B:B,Equipe!E:E,"ERRO",0)</f>
        <v>ERRO</v>
      </c>
      <c r="I1554" s="83" t="e">
        <f>VLOOKUP(Tabela1[[#This Row],[Matrícula]],Equipe!B:F,5,0)</f>
        <v>#N/A</v>
      </c>
    </row>
    <row r="1555" spans="1:9">
      <c r="A1555" s="83"/>
      <c r="B1555" s="83">
        <f>_xlfn.XLOOKUP(A1555,Equipe!H:H,Equipe!B:B,"",0)</f>
        <v>0</v>
      </c>
      <c r="C1555" s="154"/>
      <c r="D1555" s="150" t="e">
        <f>(IF(Tabela1[[#This Row],[Início]]&lt;&gt;"",C1555+E1555-1,""))*1</f>
        <v>#VALUE!</v>
      </c>
      <c r="E1555" s="83"/>
      <c r="F1555" s="83"/>
      <c r="G1555" s="88"/>
      <c r="H1555" s="83" t="str">
        <f>_xlfn.XLOOKUP(Tabela1[[#This Row],[Matrícula]],Equipe!B:B,Equipe!E:E,"ERRO",0)</f>
        <v>ERRO</v>
      </c>
      <c r="I1555" s="83" t="e">
        <f>VLOOKUP(Tabela1[[#This Row],[Matrícula]],Equipe!B:F,5,0)</f>
        <v>#N/A</v>
      </c>
    </row>
    <row r="1556" spans="1:9">
      <c r="A1556" s="83"/>
      <c r="B1556" s="83">
        <f>_xlfn.XLOOKUP(A1556,Equipe!H:H,Equipe!B:B,"",0)</f>
        <v>0</v>
      </c>
      <c r="C1556" s="154"/>
      <c r="D1556" s="150" t="e">
        <f>(IF(Tabela1[[#This Row],[Início]]&lt;&gt;"",C1556+E1556-1,""))*1</f>
        <v>#VALUE!</v>
      </c>
      <c r="E1556" s="83"/>
      <c r="F1556" s="83"/>
      <c r="G1556" s="88"/>
      <c r="H1556" s="83" t="str">
        <f>_xlfn.XLOOKUP(Tabela1[[#This Row],[Matrícula]],Equipe!B:B,Equipe!E:E,"ERRO",0)</f>
        <v>ERRO</v>
      </c>
      <c r="I1556" s="83" t="e">
        <f>VLOOKUP(Tabela1[[#This Row],[Matrícula]],Equipe!B:F,5,0)</f>
        <v>#N/A</v>
      </c>
    </row>
    <row r="1557" spans="1:9">
      <c r="A1557" s="83"/>
      <c r="B1557" s="83">
        <f>_xlfn.XLOOKUP(A1557,Equipe!H:H,Equipe!B:B,"",0)</f>
        <v>0</v>
      </c>
      <c r="C1557" s="154"/>
      <c r="D1557" s="150" t="e">
        <f>(IF(Tabela1[[#This Row],[Início]]&lt;&gt;"",C1557+E1557-1,""))*1</f>
        <v>#VALUE!</v>
      </c>
      <c r="E1557" s="83"/>
      <c r="F1557" s="83"/>
      <c r="G1557" s="88"/>
      <c r="H1557" s="83" t="str">
        <f>_xlfn.XLOOKUP(Tabela1[[#This Row],[Matrícula]],Equipe!B:B,Equipe!E:E,"ERRO",0)</f>
        <v>ERRO</v>
      </c>
      <c r="I1557" s="83" t="e">
        <f>VLOOKUP(Tabela1[[#This Row],[Matrícula]],Equipe!B:F,5,0)</f>
        <v>#N/A</v>
      </c>
    </row>
    <row r="1558" spans="1:9">
      <c r="A1558" s="83"/>
      <c r="B1558" s="83">
        <f>_xlfn.XLOOKUP(A1558,Equipe!H:H,Equipe!B:B,"",0)</f>
        <v>0</v>
      </c>
      <c r="C1558" s="154"/>
      <c r="D1558" s="150" t="e">
        <f>(IF(Tabela1[[#This Row],[Início]]&lt;&gt;"",C1558+E1558-1,""))*1</f>
        <v>#VALUE!</v>
      </c>
      <c r="E1558" s="83"/>
      <c r="F1558" s="83"/>
      <c r="G1558" s="88"/>
      <c r="H1558" s="83" t="str">
        <f>_xlfn.XLOOKUP(Tabela1[[#This Row],[Matrícula]],Equipe!B:B,Equipe!E:E,"ERRO",0)</f>
        <v>ERRO</v>
      </c>
      <c r="I1558" s="83" t="e">
        <f>VLOOKUP(Tabela1[[#This Row],[Matrícula]],Equipe!B:F,5,0)</f>
        <v>#N/A</v>
      </c>
    </row>
    <row r="1559" spans="1:9">
      <c r="A1559" s="83"/>
      <c r="B1559" s="83">
        <f>_xlfn.XLOOKUP(A1559,Equipe!H:H,Equipe!B:B,"",0)</f>
        <v>0</v>
      </c>
      <c r="C1559" s="154"/>
      <c r="D1559" s="150" t="e">
        <f>(IF(Tabela1[[#This Row],[Início]]&lt;&gt;"",C1559+E1559-1,""))*1</f>
        <v>#VALUE!</v>
      </c>
      <c r="E1559" s="83"/>
      <c r="F1559" s="83"/>
      <c r="G1559" s="88"/>
      <c r="H1559" s="83" t="str">
        <f>_xlfn.XLOOKUP(Tabela1[[#This Row],[Matrícula]],Equipe!B:B,Equipe!E:E,"ERRO",0)</f>
        <v>ERRO</v>
      </c>
      <c r="I1559" s="83" t="e">
        <f>VLOOKUP(Tabela1[[#This Row],[Matrícula]],Equipe!B:F,5,0)</f>
        <v>#N/A</v>
      </c>
    </row>
    <row r="1560" spans="1:9">
      <c r="A1560" s="83"/>
      <c r="B1560" s="83">
        <f>_xlfn.XLOOKUP(A1560,Equipe!H:H,Equipe!B:B,"",0)</f>
        <v>0</v>
      </c>
      <c r="C1560" s="154"/>
      <c r="D1560" s="150" t="e">
        <f>(IF(Tabela1[[#This Row],[Início]]&lt;&gt;"",C1560+E1560-1,""))*1</f>
        <v>#VALUE!</v>
      </c>
      <c r="E1560" s="83"/>
      <c r="F1560" s="83"/>
      <c r="G1560" s="88"/>
      <c r="H1560" s="83" t="str">
        <f>_xlfn.XLOOKUP(Tabela1[[#This Row],[Matrícula]],Equipe!B:B,Equipe!E:E,"ERRO",0)</f>
        <v>ERRO</v>
      </c>
      <c r="I1560" s="83" t="e">
        <f>VLOOKUP(Tabela1[[#This Row],[Matrícula]],Equipe!B:F,5,0)</f>
        <v>#N/A</v>
      </c>
    </row>
    <row r="1561" spans="1:9">
      <c r="A1561" s="83"/>
      <c r="B1561" s="83">
        <f>_xlfn.XLOOKUP(A1561,Equipe!H:H,Equipe!B:B,"",0)</f>
        <v>0</v>
      </c>
      <c r="C1561" s="154"/>
      <c r="D1561" s="150" t="e">
        <f>(IF(Tabela1[[#This Row],[Início]]&lt;&gt;"",C1561+E1561-1,""))*1</f>
        <v>#VALUE!</v>
      </c>
      <c r="E1561" s="83"/>
      <c r="F1561" s="83"/>
      <c r="G1561" s="88"/>
      <c r="H1561" s="83" t="str">
        <f>_xlfn.XLOOKUP(Tabela1[[#This Row],[Matrícula]],Equipe!B:B,Equipe!E:E,"ERRO",0)</f>
        <v>ERRO</v>
      </c>
      <c r="I1561" s="83" t="e">
        <f>VLOOKUP(Tabela1[[#This Row],[Matrícula]],Equipe!B:F,5,0)</f>
        <v>#N/A</v>
      </c>
    </row>
    <row r="1562" spans="1:9">
      <c r="A1562" s="83"/>
      <c r="B1562" s="83">
        <f>_xlfn.XLOOKUP(A1562,Equipe!H:H,Equipe!B:B,"",0)</f>
        <v>0</v>
      </c>
      <c r="C1562" s="154"/>
      <c r="D1562" s="150" t="e">
        <f>(IF(Tabela1[[#This Row],[Início]]&lt;&gt;"",C1562+E1562-1,""))*1</f>
        <v>#VALUE!</v>
      </c>
      <c r="E1562" s="83"/>
      <c r="F1562" s="83"/>
      <c r="G1562" s="88"/>
      <c r="H1562" s="83" t="str">
        <f>_xlfn.XLOOKUP(Tabela1[[#This Row],[Matrícula]],Equipe!B:B,Equipe!E:E,"ERRO",0)</f>
        <v>ERRO</v>
      </c>
      <c r="I1562" s="83" t="e">
        <f>VLOOKUP(Tabela1[[#This Row],[Matrícula]],Equipe!B:F,5,0)</f>
        <v>#N/A</v>
      </c>
    </row>
    <row r="1563" spans="1:9">
      <c r="A1563" s="83"/>
      <c r="B1563" s="83">
        <f>_xlfn.XLOOKUP(A1563,Equipe!H:H,Equipe!B:B,"",0)</f>
        <v>0</v>
      </c>
      <c r="C1563" s="154"/>
      <c r="D1563" s="150" t="e">
        <f>(IF(Tabela1[[#This Row],[Início]]&lt;&gt;"",C1563+E1563-1,""))*1</f>
        <v>#VALUE!</v>
      </c>
      <c r="E1563" s="83"/>
      <c r="F1563" s="83"/>
      <c r="G1563" s="88"/>
      <c r="H1563" s="83" t="str">
        <f>_xlfn.XLOOKUP(Tabela1[[#This Row],[Matrícula]],Equipe!B:B,Equipe!E:E,"ERRO",0)</f>
        <v>ERRO</v>
      </c>
      <c r="I1563" s="83" t="e">
        <f>VLOOKUP(Tabela1[[#This Row],[Matrícula]],Equipe!B:F,5,0)</f>
        <v>#N/A</v>
      </c>
    </row>
    <row r="1564" spans="1:9">
      <c r="A1564" s="83"/>
      <c r="B1564" s="83">
        <f>_xlfn.XLOOKUP(A1564,Equipe!H:H,Equipe!B:B,"",0)</f>
        <v>0</v>
      </c>
      <c r="C1564" s="154"/>
      <c r="D1564" s="150" t="e">
        <f>(IF(Tabela1[[#This Row],[Início]]&lt;&gt;"",C1564+E1564-1,""))*1</f>
        <v>#VALUE!</v>
      </c>
      <c r="E1564" s="83"/>
      <c r="F1564" s="83"/>
      <c r="G1564" s="88"/>
      <c r="H1564" s="83" t="str">
        <f>_xlfn.XLOOKUP(Tabela1[[#This Row],[Matrícula]],Equipe!B:B,Equipe!E:E,"ERRO",0)</f>
        <v>ERRO</v>
      </c>
      <c r="I1564" s="83" t="e">
        <f>VLOOKUP(Tabela1[[#This Row],[Matrícula]],Equipe!B:F,5,0)</f>
        <v>#N/A</v>
      </c>
    </row>
    <row r="1565" spans="1:9">
      <c r="A1565" s="83"/>
      <c r="B1565" s="83">
        <f>_xlfn.XLOOKUP(A1565,Equipe!H:H,Equipe!B:B,"",0)</f>
        <v>0</v>
      </c>
      <c r="C1565" s="154"/>
      <c r="D1565" s="150" t="e">
        <f>(IF(Tabela1[[#This Row],[Início]]&lt;&gt;"",C1565+E1565-1,""))*1</f>
        <v>#VALUE!</v>
      </c>
      <c r="E1565" s="83"/>
      <c r="F1565" s="83"/>
      <c r="G1565" s="88"/>
      <c r="H1565" s="83" t="str">
        <f>_xlfn.XLOOKUP(Tabela1[[#This Row],[Matrícula]],Equipe!B:B,Equipe!E:E,"ERRO",0)</f>
        <v>ERRO</v>
      </c>
      <c r="I1565" s="83" t="e">
        <f>VLOOKUP(Tabela1[[#This Row],[Matrícula]],Equipe!B:F,5,0)</f>
        <v>#N/A</v>
      </c>
    </row>
    <row r="1566" spans="1:9">
      <c r="A1566" s="83"/>
      <c r="B1566" s="83">
        <f>_xlfn.XLOOKUP(A1566,Equipe!H:H,Equipe!B:B,"",0)</f>
        <v>0</v>
      </c>
      <c r="C1566" s="154"/>
      <c r="D1566" s="150" t="e">
        <f>(IF(Tabela1[[#This Row],[Início]]&lt;&gt;"",C1566+E1566-1,""))*1</f>
        <v>#VALUE!</v>
      </c>
      <c r="E1566" s="83"/>
      <c r="F1566" s="83"/>
      <c r="G1566" s="88"/>
      <c r="H1566" s="83" t="str">
        <f>_xlfn.XLOOKUP(Tabela1[[#This Row],[Matrícula]],Equipe!B:B,Equipe!E:E,"ERRO",0)</f>
        <v>ERRO</v>
      </c>
      <c r="I1566" s="83" t="e">
        <f>VLOOKUP(Tabela1[[#This Row],[Matrícula]],Equipe!B:F,5,0)</f>
        <v>#N/A</v>
      </c>
    </row>
    <row r="1567" spans="1:9">
      <c r="A1567" s="83"/>
      <c r="B1567" s="83">
        <f>_xlfn.XLOOKUP(A1567,Equipe!H:H,Equipe!B:B,"",0)</f>
        <v>0</v>
      </c>
      <c r="C1567" s="154"/>
      <c r="D1567" s="150" t="e">
        <f>(IF(Tabela1[[#This Row],[Início]]&lt;&gt;"",C1567+E1567-1,""))*1</f>
        <v>#VALUE!</v>
      </c>
      <c r="E1567" s="83"/>
      <c r="F1567" s="83"/>
      <c r="G1567" s="88"/>
      <c r="H1567" s="83" t="str">
        <f>_xlfn.XLOOKUP(Tabela1[[#This Row],[Matrícula]],Equipe!B:B,Equipe!E:E,"ERRO",0)</f>
        <v>ERRO</v>
      </c>
      <c r="I1567" s="83" t="e">
        <f>VLOOKUP(Tabela1[[#This Row],[Matrícula]],Equipe!B:F,5,0)</f>
        <v>#N/A</v>
      </c>
    </row>
    <row r="1568" spans="1:9">
      <c r="A1568" s="83"/>
      <c r="B1568" s="83">
        <f>_xlfn.XLOOKUP(A1568,Equipe!H:H,Equipe!B:B,"",0)</f>
        <v>0</v>
      </c>
      <c r="C1568" s="154"/>
      <c r="D1568" s="150" t="e">
        <f>(IF(Tabela1[[#This Row],[Início]]&lt;&gt;"",C1568+E1568-1,""))*1</f>
        <v>#VALUE!</v>
      </c>
      <c r="E1568" s="83"/>
      <c r="F1568" s="83"/>
      <c r="G1568" s="88"/>
      <c r="H1568" s="83" t="str">
        <f>_xlfn.XLOOKUP(Tabela1[[#This Row],[Matrícula]],Equipe!B:B,Equipe!E:E,"ERRO",0)</f>
        <v>ERRO</v>
      </c>
      <c r="I1568" s="83" t="e">
        <f>VLOOKUP(Tabela1[[#This Row],[Matrícula]],Equipe!B:F,5,0)</f>
        <v>#N/A</v>
      </c>
    </row>
    <row r="1569" spans="1:9">
      <c r="A1569" s="83"/>
      <c r="B1569" s="83">
        <f>_xlfn.XLOOKUP(A1569,Equipe!H:H,Equipe!B:B,"",0)</f>
        <v>0</v>
      </c>
      <c r="C1569" s="154"/>
      <c r="D1569" s="150" t="e">
        <f>(IF(Tabela1[[#This Row],[Início]]&lt;&gt;"",C1569+E1569-1,""))*1</f>
        <v>#VALUE!</v>
      </c>
      <c r="E1569" s="83"/>
      <c r="F1569" s="83"/>
      <c r="G1569" s="88"/>
      <c r="H1569" s="83" t="str">
        <f>_xlfn.XLOOKUP(Tabela1[[#This Row],[Matrícula]],Equipe!B:B,Equipe!E:E,"ERRO",0)</f>
        <v>ERRO</v>
      </c>
      <c r="I1569" s="83" t="e">
        <f>VLOOKUP(Tabela1[[#This Row],[Matrícula]],Equipe!B:F,5,0)</f>
        <v>#N/A</v>
      </c>
    </row>
    <row r="1570" spans="1:9">
      <c r="A1570" s="83"/>
      <c r="B1570" s="83">
        <f>_xlfn.XLOOKUP(A1570,Equipe!H:H,Equipe!B:B,"",0)</f>
        <v>0</v>
      </c>
      <c r="C1570" s="154"/>
      <c r="D1570" s="150" t="e">
        <f>(IF(Tabela1[[#This Row],[Início]]&lt;&gt;"",C1570+E1570-1,""))*1</f>
        <v>#VALUE!</v>
      </c>
      <c r="E1570" s="83"/>
      <c r="F1570" s="83"/>
      <c r="G1570" s="88"/>
      <c r="H1570" s="83" t="str">
        <f>_xlfn.XLOOKUP(Tabela1[[#This Row],[Matrícula]],Equipe!B:B,Equipe!E:E,"ERRO",0)</f>
        <v>ERRO</v>
      </c>
      <c r="I1570" s="83" t="e">
        <f>VLOOKUP(Tabela1[[#This Row],[Matrícula]],Equipe!B:F,5,0)</f>
        <v>#N/A</v>
      </c>
    </row>
    <row r="1571" spans="1:9">
      <c r="A1571" s="83"/>
      <c r="B1571" s="83">
        <f>_xlfn.XLOOKUP(A1571,Equipe!H:H,Equipe!B:B,"",0)</f>
        <v>0</v>
      </c>
      <c r="C1571" s="154"/>
      <c r="D1571" s="150" t="e">
        <f>(IF(Tabela1[[#This Row],[Início]]&lt;&gt;"",C1571+E1571-1,""))*1</f>
        <v>#VALUE!</v>
      </c>
      <c r="E1571" s="83"/>
      <c r="F1571" s="83"/>
      <c r="G1571" s="88"/>
      <c r="H1571" s="83" t="str">
        <f>_xlfn.XLOOKUP(Tabela1[[#This Row],[Matrícula]],Equipe!B:B,Equipe!E:E,"ERRO",0)</f>
        <v>ERRO</v>
      </c>
      <c r="I1571" s="83" t="e">
        <f>VLOOKUP(Tabela1[[#This Row],[Matrícula]],Equipe!B:F,5,0)</f>
        <v>#N/A</v>
      </c>
    </row>
    <row r="1572" spans="1:9">
      <c r="A1572" s="83"/>
      <c r="B1572" s="83">
        <f>_xlfn.XLOOKUP(A1572,Equipe!H:H,Equipe!B:B,"",0)</f>
        <v>0</v>
      </c>
      <c r="C1572" s="154"/>
      <c r="D1572" s="150" t="e">
        <f>(IF(Tabela1[[#This Row],[Início]]&lt;&gt;"",C1572+E1572-1,""))*1</f>
        <v>#VALUE!</v>
      </c>
      <c r="E1572" s="83"/>
      <c r="F1572" s="83"/>
      <c r="G1572" s="88"/>
      <c r="H1572" s="83" t="str">
        <f>_xlfn.XLOOKUP(Tabela1[[#This Row],[Matrícula]],Equipe!B:B,Equipe!E:E,"ERRO",0)</f>
        <v>ERRO</v>
      </c>
      <c r="I1572" s="83" t="e">
        <f>VLOOKUP(Tabela1[[#This Row],[Matrícula]],Equipe!B:F,5,0)</f>
        <v>#N/A</v>
      </c>
    </row>
    <row r="1573" spans="1:9">
      <c r="A1573" s="83"/>
      <c r="B1573" s="83">
        <f>_xlfn.XLOOKUP(A1573,Equipe!H:H,Equipe!B:B,"",0)</f>
        <v>0</v>
      </c>
      <c r="C1573" s="154"/>
      <c r="D1573" s="150" t="e">
        <f>(IF(Tabela1[[#This Row],[Início]]&lt;&gt;"",C1573+E1573-1,""))*1</f>
        <v>#VALUE!</v>
      </c>
      <c r="E1573" s="83"/>
      <c r="F1573" s="83"/>
      <c r="G1573" s="88"/>
      <c r="H1573" s="83" t="str">
        <f>_xlfn.XLOOKUP(Tabela1[[#This Row],[Matrícula]],Equipe!B:B,Equipe!E:E,"ERRO",0)</f>
        <v>ERRO</v>
      </c>
      <c r="I1573" s="83" t="e">
        <f>VLOOKUP(Tabela1[[#This Row],[Matrícula]],Equipe!B:F,5,0)</f>
        <v>#N/A</v>
      </c>
    </row>
    <row r="1574" spans="1:9">
      <c r="A1574" s="83"/>
      <c r="B1574" s="83">
        <f>_xlfn.XLOOKUP(A1574,Equipe!H:H,Equipe!B:B,"",0)</f>
        <v>0</v>
      </c>
      <c r="C1574" s="154"/>
      <c r="D1574" s="150" t="e">
        <f>(IF(Tabela1[[#This Row],[Início]]&lt;&gt;"",C1574+E1574-1,""))*1</f>
        <v>#VALUE!</v>
      </c>
      <c r="E1574" s="83"/>
      <c r="F1574" s="83"/>
      <c r="G1574" s="88"/>
      <c r="H1574" s="83" t="str">
        <f>_xlfn.XLOOKUP(Tabela1[[#This Row],[Matrícula]],Equipe!B:B,Equipe!E:E,"ERRO",0)</f>
        <v>ERRO</v>
      </c>
      <c r="I1574" s="83" t="e">
        <f>VLOOKUP(Tabela1[[#This Row],[Matrícula]],Equipe!B:F,5,0)</f>
        <v>#N/A</v>
      </c>
    </row>
    <row r="1575" spans="1:9">
      <c r="A1575" s="83"/>
      <c r="B1575" s="83">
        <f>_xlfn.XLOOKUP(A1575,Equipe!H:H,Equipe!B:B,"",0)</f>
        <v>0</v>
      </c>
      <c r="C1575" s="154"/>
      <c r="D1575" s="150" t="e">
        <f>(IF(Tabela1[[#This Row],[Início]]&lt;&gt;"",C1575+E1575-1,""))*1</f>
        <v>#VALUE!</v>
      </c>
      <c r="E1575" s="83"/>
      <c r="F1575" s="83"/>
      <c r="G1575" s="88"/>
      <c r="H1575" s="83" t="str">
        <f>_xlfn.XLOOKUP(Tabela1[[#This Row],[Matrícula]],Equipe!B:B,Equipe!E:E,"ERRO",0)</f>
        <v>ERRO</v>
      </c>
      <c r="I1575" s="83" t="e">
        <f>VLOOKUP(Tabela1[[#This Row],[Matrícula]],Equipe!B:F,5,0)</f>
        <v>#N/A</v>
      </c>
    </row>
    <row r="1576" spans="1:9">
      <c r="A1576" s="83"/>
      <c r="B1576" s="83">
        <f>_xlfn.XLOOKUP(A1576,Equipe!H:H,Equipe!B:B,"",0)</f>
        <v>0</v>
      </c>
      <c r="C1576" s="154"/>
      <c r="D1576" s="150" t="e">
        <f>(IF(Tabela1[[#This Row],[Início]]&lt;&gt;"",C1576+E1576-1,""))*1</f>
        <v>#VALUE!</v>
      </c>
      <c r="E1576" s="83"/>
      <c r="F1576" s="83"/>
      <c r="G1576" s="88"/>
      <c r="H1576" s="83" t="str">
        <f>_xlfn.XLOOKUP(Tabela1[[#This Row],[Matrícula]],Equipe!B:B,Equipe!E:E,"ERRO",0)</f>
        <v>ERRO</v>
      </c>
      <c r="I1576" s="83" t="e">
        <f>VLOOKUP(Tabela1[[#This Row],[Matrícula]],Equipe!B:F,5,0)</f>
        <v>#N/A</v>
      </c>
    </row>
    <row r="1577" spans="1:9">
      <c r="A1577" s="83"/>
      <c r="B1577" s="83">
        <f>_xlfn.XLOOKUP(A1577,Equipe!H:H,Equipe!B:B,"",0)</f>
        <v>0</v>
      </c>
      <c r="C1577" s="154"/>
      <c r="D1577" s="150" t="e">
        <f>(IF(Tabela1[[#This Row],[Início]]&lt;&gt;"",C1577+E1577-1,""))*1</f>
        <v>#VALUE!</v>
      </c>
      <c r="E1577" s="83"/>
      <c r="F1577" s="83"/>
      <c r="G1577" s="88"/>
      <c r="H1577" s="83" t="str">
        <f>_xlfn.XLOOKUP(Tabela1[[#This Row],[Matrícula]],Equipe!B:B,Equipe!E:E,"ERRO",0)</f>
        <v>ERRO</v>
      </c>
      <c r="I1577" s="83" t="e">
        <f>VLOOKUP(Tabela1[[#This Row],[Matrícula]],Equipe!B:F,5,0)</f>
        <v>#N/A</v>
      </c>
    </row>
    <row r="1578" spans="1:9">
      <c r="A1578" s="83"/>
      <c r="B1578" s="83">
        <f>_xlfn.XLOOKUP(A1578,Equipe!H:H,Equipe!B:B,"",0)</f>
        <v>0</v>
      </c>
      <c r="C1578" s="154"/>
      <c r="D1578" s="150" t="e">
        <f>(IF(Tabela1[[#This Row],[Início]]&lt;&gt;"",C1578+E1578-1,""))*1</f>
        <v>#VALUE!</v>
      </c>
      <c r="E1578" s="83"/>
      <c r="F1578" s="83"/>
      <c r="G1578" s="88"/>
      <c r="H1578" s="83" t="str">
        <f>_xlfn.XLOOKUP(Tabela1[[#This Row],[Matrícula]],Equipe!B:B,Equipe!E:E,"ERRO",0)</f>
        <v>ERRO</v>
      </c>
      <c r="I1578" s="83" t="e">
        <f>VLOOKUP(Tabela1[[#This Row],[Matrícula]],Equipe!B:F,5,0)</f>
        <v>#N/A</v>
      </c>
    </row>
    <row r="1579" spans="1:9">
      <c r="A1579" s="83"/>
      <c r="B1579" s="83">
        <f>_xlfn.XLOOKUP(A1579,Equipe!H:H,Equipe!B:B,"",0)</f>
        <v>0</v>
      </c>
      <c r="C1579" s="154"/>
      <c r="D1579" s="150" t="e">
        <f>(IF(Tabela1[[#This Row],[Início]]&lt;&gt;"",C1579+E1579-1,""))*1</f>
        <v>#VALUE!</v>
      </c>
      <c r="E1579" s="83"/>
      <c r="F1579" s="83"/>
      <c r="G1579" s="88"/>
      <c r="H1579" s="83" t="str">
        <f>_xlfn.XLOOKUP(Tabela1[[#This Row],[Matrícula]],Equipe!B:B,Equipe!E:E,"ERRO",0)</f>
        <v>ERRO</v>
      </c>
      <c r="I1579" s="83" t="e">
        <f>VLOOKUP(Tabela1[[#This Row],[Matrícula]],Equipe!B:F,5,0)</f>
        <v>#N/A</v>
      </c>
    </row>
    <row r="1580" spans="1:9">
      <c r="A1580" s="83"/>
      <c r="B1580" s="83">
        <f>_xlfn.XLOOKUP(A1580,Equipe!H:H,Equipe!B:B,"",0)</f>
        <v>0</v>
      </c>
      <c r="C1580" s="154"/>
      <c r="D1580" s="150" t="e">
        <f>(IF(Tabela1[[#This Row],[Início]]&lt;&gt;"",C1580+E1580-1,""))*1</f>
        <v>#VALUE!</v>
      </c>
      <c r="E1580" s="83"/>
      <c r="F1580" s="83"/>
      <c r="G1580" s="88"/>
      <c r="H1580" s="83" t="str">
        <f>_xlfn.XLOOKUP(Tabela1[[#This Row],[Matrícula]],Equipe!B:B,Equipe!E:E,"ERRO",0)</f>
        <v>ERRO</v>
      </c>
      <c r="I1580" s="83" t="e">
        <f>VLOOKUP(Tabela1[[#This Row],[Matrícula]],Equipe!B:F,5,0)</f>
        <v>#N/A</v>
      </c>
    </row>
    <row r="1581" spans="1:9">
      <c r="A1581" s="83"/>
      <c r="B1581" s="83">
        <f>_xlfn.XLOOKUP(A1581,Equipe!H:H,Equipe!B:B,"",0)</f>
        <v>0</v>
      </c>
      <c r="C1581" s="154"/>
      <c r="D1581" s="150" t="e">
        <f>(IF(Tabela1[[#This Row],[Início]]&lt;&gt;"",C1581+E1581-1,""))*1</f>
        <v>#VALUE!</v>
      </c>
      <c r="E1581" s="83"/>
      <c r="F1581" s="83"/>
      <c r="G1581" s="88"/>
      <c r="H1581" s="83" t="str">
        <f>_xlfn.XLOOKUP(Tabela1[[#This Row],[Matrícula]],Equipe!B:B,Equipe!E:E,"ERRO",0)</f>
        <v>ERRO</v>
      </c>
      <c r="I1581" s="83" t="e">
        <f>VLOOKUP(Tabela1[[#This Row],[Matrícula]],Equipe!B:F,5,0)</f>
        <v>#N/A</v>
      </c>
    </row>
    <row r="1582" spans="1:9">
      <c r="A1582" s="83"/>
      <c r="B1582" s="83">
        <f>_xlfn.XLOOKUP(A1582,Equipe!H:H,Equipe!B:B,"",0)</f>
        <v>0</v>
      </c>
      <c r="C1582" s="154"/>
      <c r="D1582" s="150" t="e">
        <f>(IF(Tabela1[[#This Row],[Início]]&lt;&gt;"",C1582+E1582-1,""))*1</f>
        <v>#VALUE!</v>
      </c>
      <c r="E1582" s="83"/>
      <c r="F1582" s="83"/>
      <c r="G1582" s="88"/>
      <c r="H1582" s="83" t="str">
        <f>_xlfn.XLOOKUP(Tabela1[[#This Row],[Matrícula]],Equipe!B:B,Equipe!E:E,"ERRO",0)</f>
        <v>ERRO</v>
      </c>
      <c r="I1582" s="83" t="e">
        <f>VLOOKUP(Tabela1[[#This Row],[Matrícula]],Equipe!B:F,5,0)</f>
        <v>#N/A</v>
      </c>
    </row>
    <row r="1583" spans="1:9">
      <c r="A1583" s="83"/>
      <c r="B1583" s="83">
        <f>_xlfn.XLOOKUP(A1583,Equipe!H:H,Equipe!B:B,"",0)</f>
        <v>0</v>
      </c>
      <c r="C1583" s="154"/>
      <c r="D1583" s="150" t="e">
        <f>(IF(Tabela1[[#This Row],[Início]]&lt;&gt;"",C1583+E1583-1,""))*1</f>
        <v>#VALUE!</v>
      </c>
      <c r="E1583" s="83"/>
      <c r="F1583" s="83"/>
      <c r="G1583" s="88"/>
      <c r="H1583" s="83" t="str">
        <f>_xlfn.XLOOKUP(Tabela1[[#This Row],[Matrícula]],Equipe!B:B,Equipe!E:E,"ERRO",0)</f>
        <v>ERRO</v>
      </c>
      <c r="I1583" s="83" t="e">
        <f>VLOOKUP(Tabela1[[#This Row],[Matrícula]],Equipe!B:F,5,0)</f>
        <v>#N/A</v>
      </c>
    </row>
    <row r="1584" spans="1:9">
      <c r="A1584" s="83"/>
      <c r="B1584" s="83">
        <f>_xlfn.XLOOKUP(A1584,Equipe!H:H,Equipe!B:B,"",0)</f>
        <v>0</v>
      </c>
      <c r="C1584" s="154"/>
      <c r="D1584" s="150" t="e">
        <f>(IF(Tabela1[[#This Row],[Início]]&lt;&gt;"",C1584+E1584-1,""))*1</f>
        <v>#VALUE!</v>
      </c>
      <c r="E1584" s="83"/>
      <c r="F1584" s="83"/>
      <c r="G1584" s="88"/>
      <c r="H1584" s="83" t="str">
        <f>_xlfn.XLOOKUP(Tabela1[[#This Row],[Matrícula]],Equipe!B:B,Equipe!E:E,"ERRO",0)</f>
        <v>ERRO</v>
      </c>
      <c r="I1584" s="83" t="e">
        <f>VLOOKUP(Tabela1[[#This Row],[Matrícula]],Equipe!B:F,5,0)</f>
        <v>#N/A</v>
      </c>
    </row>
    <row r="1585" spans="1:9">
      <c r="A1585" s="83"/>
      <c r="B1585" s="83">
        <f>_xlfn.XLOOKUP(A1585,Equipe!H:H,Equipe!B:B,"",0)</f>
        <v>0</v>
      </c>
      <c r="C1585" s="154"/>
      <c r="D1585" s="150" t="e">
        <f>(IF(Tabela1[[#This Row],[Início]]&lt;&gt;"",C1585+E1585-1,""))*1</f>
        <v>#VALUE!</v>
      </c>
      <c r="E1585" s="83"/>
      <c r="F1585" s="83"/>
      <c r="G1585" s="88"/>
      <c r="H1585" s="83" t="str">
        <f>_xlfn.XLOOKUP(Tabela1[[#This Row],[Matrícula]],Equipe!B:B,Equipe!E:E,"ERRO",0)</f>
        <v>ERRO</v>
      </c>
      <c r="I1585" s="83" t="e">
        <f>VLOOKUP(Tabela1[[#This Row],[Matrícula]],Equipe!B:F,5,0)</f>
        <v>#N/A</v>
      </c>
    </row>
    <row r="1586" spans="1:9">
      <c r="A1586" s="83"/>
      <c r="B1586" s="83">
        <f>_xlfn.XLOOKUP(A1586,Equipe!H:H,Equipe!B:B,"",0)</f>
        <v>0</v>
      </c>
      <c r="C1586" s="154"/>
      <c r="D1586" s="150" t="e">
        <f>(IF(Tabela1[[#This Row],[Início]]&lt;&gt;"",C1586+E1586-1,""))*1</f>
        <v>#VALUE!</v>
      </c>
      <c r="E1586" s="83"/>
      <c r="F1586" s="83"/>
      <c r="G1586" s="88"/>
      <c r="H1586" s="83" t="str">
        <f>_xlfn.XLOOKUP(Tabela1[[#This Row],[Matrícula]],Equipe!B:B,Equipe!E:E,"ERRO",0)</f>
        <v>ERRO</v>
      </c>
      <c r="I1586" s="83" t="e">
        <f>VLOOKUP(Tabela1[[#This Row],[Matrícula]],Equipe!B:F,5,0)</f>
        <v>#N/A</v>
      </c>
    </row>
    <row r="1587" spans="1:9">
      <c r="A1587" s="83"/>
      <c r="B1587" s="83">
        <f>_xlfn.XLOOKUP(A1587,Equipe!H:H,Equipe!B:B,"",0)</f>
        <v>0</v>
      </c>
      <c r="C1587" s="154"/>
      <c r="D1587" s="150" t="e">
        <f>(IF(Tabela1[[#This Row],[Início]]&lt;&gt;"",C1587+E1587-1,""))*1</f>
        <v>#VALUE!</v>
      </c>
      <c r="E1587" s="83"/>
      <c r="F1587" s="83"/>
      <c r="G1587" s="88"/>
      <c r="H1587" s="83" t="str">
        <f>_xlfn.XLOOKUP(Tabela1[[#This Row],[Matrícula]],Equipe!B:B,Equipe!E:E,"ERRO",0)</f>
        <v>ERRO</v>
      </c>
      <c r="I1587" s="83" t="e">
        <f>VLOOKUP(Tabela1[[#This Row],[Matrícula]],Equipe!B:F,5,0)</f>
        <v>#N/A</v>
      </c>
    </row>
    <row r="1588" spans="1:9">
      <c r="A1588" s="83"/>
      <c r="B1588" s="83">
        <f>_xlfn.XLOOKUP(A1588,Equipe!H:H,Equipe!B:B,"",0)</f>
        <v>0</v>
      </c>
      <c r="C1588" s="154"/>
      <c r="D1588" s="150" t="e">
        <f>(IF(Tabela1[[#This Row],[Início]]&lt;&gt;"",C1588+E1588-1,""))*1</f>
        <v>#VALUE!</v>
      </c>
      <c r="E1588" s="83"/>
      <c r="F1588" s="83"/>
      <c r="G1588" s="88"/>
      <c r="H1588" s="83" t="str">
        <f>_xlfn.XLOOKUP(Tabela1[[#This Row],[Matrícula]],Equipe!B:B,Equipe!E:E,"ERRO",0)</f>
        <v>ERRO</v>
      </c>
      <c r="I1588" s="83" t="e">
        <f>VLOOKUP(Tabela1[[#This Row],[Matrícula]],Equipe!B:F,5,0)</f>
        <v>#N/A</v>
      </c>
    </row>
    <row r="1589" spans="1:9">
      <c r="A1589" s="83"/>
      <c r="B1589" s="83">
        <f>_xlfn.XLOOKUP(A1589,Equipe!H:H,Equipe!B:B,"",0)</f>
        <v>0</v>
      </c>
      <c r="C1589" s="154"/>
      <c r="D1589" s="150" t="e">
        <f>(IF(Tabela1[[#This Row],[Início]]&lt;&gt;"",C1589+E1589-1,""))*1</f>
        <v>#VALUE!</v>
      </c>
      <c r="E1589" s="83"/>
      <c r="F1589" s="83"/>
      <c r="G1589" s="88"/>
      <c r="H1589" s="83" t="str">
        <f>_xlfn.XLOOKUP(Tabela1[[#This Row],[Matrícula]],Equipe!B:B,Equipe!E:E,"ERRO",0)</f>
        <v>ERRO</v>
      </c>
      <c r="I1589" s="83" t="e">
        <f>VLOOKUP(Tabela1[[#This Row],[Matrícula]],Equipe!B:F,5,0)</f>
        <v>#N/A</v>
      </c>
    </row>
    <row r="1590" spans="1:9">
      <c r="A1590" s="83"/>
      <c r="B1590" s="83">
        <f>_xlfn.XLOOKUP(A1590,Equipe!H:H,Equipe!B:B,"",0)</f>
        <v>0</v>
      </c>
      <c r="C1590" s="154"/>
      <c r="D1590" s="150" t="e">
        <f>(IF(Tabela1[[#This Row],[Início]]&lt;&gt;"",C1590+E1590-1,""))*1</f>
        <v>#VALUE!</v>
      </c>
      <c r="E1590" s="83"/>
      <c r="F1590" s="83"/>
      <c r="G1590" s="88"/>
      <c r="H1590" s="83" t="str">
        <f>_xlfn.XLOOKUP(Tabela1[[#This Row],[Matrícula]],Equipe!B:B,Equipe!E:E,"ERRO",0)</f>
        <v>ERRO</v>
      </c>
      <c r="I1590" s="83" t="e">
        <f>VLOOKUP(Tabela1[[#This Row],[Matrícula]],Equipe!B:F,5,0)</f>
        <v>#N/A</v>
      </c>
    </row>
    <row r="1591" spans="1:9">
      <c r="A1591" s="83"/>
      <c r="B1591" s="83">
        <f>_xlfn.XLOOKUP(A1591,Equipe!H:H,Equipe!B:B,"",0)</f>
        <v>0</v>
      </c>
      <c r="C1591" s="154"/>
      <c r="D1591" s="150" t="e">
        <f>(IF(Tabela1[[#This Row],[Início]]&lt;&gt;"",C1591+E1591-1,""))*1</f>
        <v>#VALUE!</v>
      </c>
      <c r="E1591" s="83"/>
      <c r="F1591" s="83"/>
      <c r="G1591" s="88"/>
      <c r="H1591" s="83" t="str">
        <f>_xlfn.XLOOKUP(Tabela1[[#This Row],[Matrícula]],Equipe!B:B,Equipe!E:E,"ERRO",0)</f>
        <v>ERRO</v>
      </c>
      <c r="I1591" s="83" t="e">
        <f>VLOOKUP(Tabela1[[#This Row],[Matrícula]],Equipe!B:F,5,0)</f>
        <v>#N/A</v>
      </c>
    </row>
    <row r="1592" spans="1:9">
      <c r="A1592" s="83"/>
      <c r="B1592" s="83">
        <f>_xlfn.XLOOKUP(A1592,Equipe!H:H,Equipe!B:B,"",0)</f>
        <v>0</v>
      </c>
      <c r="C1592" s="154"/>
      <c r="D1592" s="150" t="e">
        <f>(IF(Tabela1[[#This Row],[Início]]&lt;&gt;"",C1592+E1592-1,""))*1</f>
        <v>#VALUE!</v>
      </c>
      <c r="E1592" s="83"/>
      <c r="F1592" s="83"/>
      <c r="G1592" s="88"/>
      <c r="H1592" s="83" t="str">
        <f>_xlfn.XLOOKUP(Tabela1[[#This Row],[Matrícula]],Equipe!B:B,Equipe!E:E,"ERRO",0)</f>
        <v>ERRO</v>
      </c>
      <c r="I1592" s="83" t="e">
        <f>VLOOKUP(Tabela1[[#This Row],[Matrícula]],Equipe!B:F,5,0)</f>
        <v>#N/A</v>
      </c>
    </row>
    <row r="1593" spans="1:9">
      <c r="A1593" s="83"/>
      <c r="B1593" s="83">
        <f>_xlfn.XLOOKUP(A1593,Equipe!H:H,Equipe!B:B,"",0)</f>
        <v>0</v>
      </c>
      <c r="C1593" s="154"/>
      <c r="D1593" s="150" t="e">
        <f>(IF(Tabela1[[#This Row],[Início]]&lt;&gt;"",C1593+E1593-1,""))*1</f>
        <v>#VALUE!</v>
      </c>
      <c r="E1593" s="83"/>
      <c r="F1593" s="83"/>
      <c r="G1593" s="88"/>
      <c r="H1593" s="83" t="str">
        <f>_xlfn.XLOOKUP(Tabela1[[#This Row],[Matrícula]],Equipe!B:B,Equipe!E:E,"ERRO",0)</f>
        <v>ERRO</v>
      </c>
      <c r="I1593" s="83" t="e">
        <f>VLOOKUP(Tabela1[[#This Row],[Matrícula]],Equipe!B:F,5,0)</f>
        <v>#N/A</v>
      </c>
    </row>
    <row r="1594" spans="1:9">
      <c r="A1594" s="83"/>
      <c r="B1594" s="83">
        <f>_xlfn.XLOOKUP(A1594,Equipe!H:H,Equipe!B:B,"",0)</f>
        <v>0</v>
      </c>
      <c r="C1594" s="154"/>
      <c r="D1594" s="150" t="e">
        <f>(IF(Tabela1[[#This Row],[Início]]&lt;&gt;"",C1594+E1594-1,""))*1</f>
        <v>#VALUE!</v>
      </c>
      <c r="E1594" s="83"/>
      <c r="F1594" s="83"/>
      <c r="G1594" s="88"/>
      <c r="H1594" s="83" t="str">
        <f>_xlfn.XLOOKUP(Tabela1[[#This Row],[Matrícula]],Equipe!B:B,Equipe!E:E,"ERRO",0)</f>
        <v>ERRO</v>
      </c>
      <c r="I1594" s="83" t="e">
        <f>VLOOKUP(Tabela1[[#This Row],[Matrícula]],Equipe!B:F,5,0)</f>
        <v>#N/A</v>
      </c>
    </row>
    <row r="1595" spans="1:9">
      <c r="A1595" s="83"/>
      <c r="B1595" s="83">
        <f>_xlfn.XLOOKUP(A1595,Equipe!H:H,Equipe!B:B,"",0)</f>
        <v>0</v>
      </c>
      <c r="C1595" s="154"/>
      <c r="D1595" s="150" t="e">
        <f>(IF(Tabela1[[#This Row],[Início]]&lt;&gt;"",C1595+E1595-1,""))*1</f>
        <v>#VALUE!</v>
      </c>
      <c r="E1595" s="83"/>
      <c r="F1595" s="83"/>
      <c r="G1595" s="88"/>
      <c r="H1595" s="83" t="str">
        <f>_xlfn.XLOOKUP(Tabela1[[#This Row],[Matrícula]],Equipe!B:B,Equipe!E:E,"ERRO",0)</f>
        <v>ERRO</v>
      </c>
      <c r="I1595" s="83" t="e">
        <f>VLOOKUP(Tabela1[[#This Row],[Matrícula]],Equipe!B:F,5,0)</f>
        <v>#N/A</v>
      </c>
    </row>
    <row r="1596" spans="1:9">
      <c r="A1596" s="83"/>
      <c r="B1596" s="83">
        <f>_xlfn.XLOOKUP(A1596,Equipe!H:H,Equipe!B:B,"",0)</f>
        <v>0</v>
      </c>
      <c r="C1596" s="154"/>
      <c r="D1596" s="150" t="e">
        <f>(IF(Tabela1[[#This Row],[Início]]&lt;&gt;"",C1596+E1596-1,""))*1</f>
        <v>#VALUE!</v>
      </c>
      <c r="E1596" s="83"/>
      <c r="F1596" s="83"/>
      <c r="G1596" s="88"/>
      <c r="H1596" s="83" t="str">
        <f>_xlfn.XLOOKUP(Tabela1[[#This Row],[Matrícula]],Equipe!B:B,Equipe!E:E,"ERRO",0)</f>
        <v>ERRO</v>
      </c>
      <c r="I1596" s="83" t="e">
        <f>VLOOKUP(Tabela1[[#This Row],[Matrícula]],Equipe!B:F,5,0)</f>
        <v>#N/A</v>
      </c>
    </row>
    <row r="1597" spans="1:9">
      <c r="A1597" s="83"/>
      <c r="B1597" s="83">
        <f>_xlfn.XLOOKUP(A1597,Equipe!H:H,Equipe!B:B,"",0)</f>
        <v>0</v>
      </c>
      <c r="C1597" s="154"/>
      <c r="D1597" s="150" t="e">
        <f>(IF(Tabela1[[#This Row],[Início]]&lt;&gt;"",C1597+E1597-1,""))*1</f>
        <v>#VALUE!</v>
      </c>
      <c r="E1597" s="83"/>
      <c r="F1597" s="83"/>
      <c r="G1597" s="88"/>
      <c r="H1597" s="83" t="str">
        <f>_xlfn.XLOOKUP(Tabela1[[#This Row],[Matrícula]],Equipe!B:B,Equipe!E:E,"ERRO",0)</f>
        <v>ERRO</v>
      </c>
      <c r="I1597" s="83" t="e">
        <f>VLOOKUP(Tabela1[[#This Row],[Matrícula]],Equipe!B:F,5,0)</f>
        <v>#N/A</v>
      </c>
    </row>
    <row r="1598" spans="1:9">
      <c r="A1598" s="83"/>
      <c r="B1598" s="83">
        <f>_xlfn.XLOOKUP(A1598,Equipe!H:H,Equipe!B:B,"",0)</f>
        <v>0</v>
      </c>
      <c r="C1598" s="154"/>
      <c r="D1598" s="150" t="e">
        <f>(IF(Tabela1[[#This Row],[Início]]&lt;&gt;"",C1598+E1598-1,""))*1</f>
        <v>#VALUE!</v>
      </c>
      <c r="E1598" s="83"/>
      <c r="F1598" s="83"/>
      <c r="G1598" s="88"/>
      <c r="H1598" s="83" t="str">
        <f>_xlfn.XLOOKUP(Tabela1[[#This Row],[Matrícula]],Equipe!B:B,Equipe!E:E,"ERRO",0)</f>
        <v>ERRO</v>
      </c>
      <c r="I1598" s="83" t="e">
        <f>VLOOKUP(Tabela1[[#This Row],[Matrícula]],Equipe!B:F,5,0)</f>
        <v>#N/A</v>
      </c>
    </row>
    <row r="1599" spans="1:9">
      <c r="A1599" s="83"/>
      <c r="B1599" s="83">
        <f>_xlfn.XLOOKUP(A1599,Equipe!H:H,Equipe!B:B,"",0)</f>
        <v>0</v>
      </c>
      <c r="C1599" s="154"/>
      <c r="D1599" s="150" t="e">
        <f>(IF(Tabela1[[#This Row],[Início]]&lt;&gt;"",C1599+E1599-1,""))*1</f>
        <v>#VALUE!</v>
      </c>
      <c r="E1599" s="83"/>
      <c r="F1599" s="83"/>
      <c r="G1599" s="88"/>
      <c r="H1599" s="83" t="str">
        <f>_xlfn.XLOOKUP(Tabela1[[#This Row],[Matrícula]],Equipe!B:B,Equipe!E:E,"ERRO",0)</f>
        <v>ERRO</v>
      </c>
      <c r="I1599" s="83" t="e">
        <f>VLOOKUP(Tabela1[[#This Row],[Matrícula]],Equipe!B:F,5,0)</f>
        <v>#N/A</v>
      </c>
    </row>
    <row r="1600" spans="1:9">
      <c r="A1600" s="83"/>
      <c r="B1600" s="83">
        <f>_xlfn.XLOOKUP(A1600,Equipe!H:H,Equipe!B:B,"",0)</f>
        <v>0</v>
      </c>
      <c r="C1600" s="154"/>
      <c r="D1600" s="150" t="e">
        <f>(IF(Tabela1[[#This Row],[Início]]&lt;&gt;"",C1600+E1600-1,""))*1</f>
        <v>#VALUE!</v>
      </c>
      <c r="E1600" s="83"/>
      <c r="F1600" s="83"/>
      <c r="G1600" s="88"/>
      <c r="H1600" s="83" t="str">
        <f>_xlfn.XLOOKUP(Tabela1[[#This Row],[Matrícula]],Equipe!B:B,Equipe!E:E,"ERRO",0)</f>
        <v>ERRO</v>
      </c>
      <c r="I1600" s="83" t="e">
        <f>VLOOKUP(Tabela1[[#This Row],[Matrícula]],Equipe!B:F,5,0)</f>
        <v>#N/A</v>
      </c>
    </row>
    <row r="1601" spans="1:9">
      <c r="A1601" s="83"/>
      <c r="B1601" s="83">
        <f>_xlfn.XLOOKUP(A1601,Equipe!H:H,Equipe!B:B,"",0)</f>
        <v>0</v>
      </c>
      <c r="C1601" s="154"/>
      <c r="D1601" s="150" t="e">
        <f>(IF(Tabela1[[#This Row],[Início]]&lt;&gt;"",C1601+E1601-1,""))*1</f>
        <v>#VALUE!</v>
      </c>
      <c r="E1601" s="83"/>
      <c r="F1601" s="83"/>
      <c r="G1601" s="88"/>
      <c r="H1601" s="83" t="str">
        <f>_xlfn.XLOOKUP(Tabela1[[#This Row],[Matrícula]],Equipe!B:B,Equipe!E:E,"ERRO",0)</f>
        <v>ERRO</v>
      </c>
      <c r="I1601" s="83" t="e">
        <f>VLOOKUP(Tabela1[[#This Row],[Matrícula]],Equipe!B:F,5,0)</f>
        <v>#N/A</v>
      </c>
    </row>
    <row r="1602" spans="1:9">
      <c r="A1602" s="83"/>
      <c r="B1602" s="83">
        <f>_xlfn.XLOOKUP(A1602,Equipe!H:H,Equipe!B:B,"",0)</f>
        <v>0</v>
      </c>
      <c r="C1602" s="154"/>
      <c r="D1602" s="150" t="e">
        <f>(IF(Tabela1[[#This Row],[Início]]&lt;&gt;"",C1602+E1602-1,""))*1</f>
        <v>#VALUE!</v>
      </c>
      <c r="E1602" s="83"/>
      <c r="F1602" s="83"/>
      <c r="G1602" s="88"/>
      <c r="H1602" s="83" t="str">
        <f>_xlfn.XLOOKUP(Tabela1[[#This Row],[Matrícula]],Equipe!B:B,Equipe!E:E,"ERRO",0)</f>
        <v>ERRO</v>
      </c>
      <c r="I1602" s="83" t="e">
        <f>VLOOKUP(Tabela1[[#This Row],[Matrícula]],Equipe!B:F,5,0)</f>
        <v>#N/A</v>
      </c>
    </row>
    <row r="1603" spans="1:9">
      <c r="A1603" s="83"/>
      <c r="B1603" s="83">
        <f>_xlfn.XLOOKUP(A1603,Equipe!H:H,Equipe!B:B,"",0)</f>
        <v>0</v>
      </c>
      <c r="C1603" s="154"/>
      <c r="D1603" s="150" t="e">
        <f>(IF(Tabela1[[#This Row],[Início]]&lt;&gt;"",C1603+E1603-1,""))*1</f>
        <v>#VALUE!</v>
      </c>
      <c r="E1603" s="83"/>
      <c r="F1603" s="83"/>
      <c r="G1603" s="88"/>
      <c r="H1603" s="83" t="str">
        <f>_xlfn.XLOOKUP(Tabela1[[#This Row],[Matrícula]],Equipe!B:B,Equipe!E:E,"ERRO",0)</f>
        <v>ERRO</v>
      </c>
      <c r="I1603" s="83" t="e">
        <f>VLOOKUP(Tabela1[[#This Row],[Matrícula]],Equipe!B:F,5,0)</f>
        <v>#N/A</v>
      </c>
    </row>
    <row r="1604" spans="1:9">
      <c r="A1604" s="83"/>
      <c r="B1604" s="83">
        <f>_xlfn.XLOOKUP(A1604,Equipe!H:H,Equipe!B:B,"",0)</f>
        <v>0</v>
      </c>
      <c r="C1604" s="154"/>
      <c r="D1604" s="150" t="e">
        <f>(IF(Tabela1[[#This Row],[Início]]&lt;&gt;"",C1604+E1604-1,""))*1</f>
        <v>#VALUE!</v>
      </c>
      <c r="E1604" s="83"/>
      <c r="F1604" s="83"/>
      <c r="G1604" s="88"/>
      <c r="H1604" s="83" t="str">
        <f>_xlfn.XLOOKUP(Tabela1[[#This Row],[Matrícula]],Equipe!B:B,Equipe!E:E,"ERRO",0)</f>
        <v>ERRO</v>
      </c>
      <c r="I1604" s="83" t="e">
        <f>VLOOKUP(Tabela1[[#This Row],[Matrícula]],Equipe!B:F,5,0)</f>
        <v>#N/A</v>
      </c>
    </row>
    <row r="1605" spans="1:9">
      <c r="A1605" s="83"/>
      <c r="B1605" s="83">
        <f>_xlfn.XLOOKUP(A1605,Equipe!H:H,Equipe!B:B,"",0)</f>
        <v>0</v>
      </c>
      <c r="C1605" s="154"/>
      <c r="D1605" s="150" t="e">
        <f>(IF(Tabela1[[#This Row],[Início]]&lt;&gt;"",C1605+E1605-1,""))*1</f>
        <v>#VALUE!</v>
      </c>
      <c r="E1605" s="83"/>
      <c r="F1605" s="83"/>
      <c r="G1605" s="88"/>
      <c r="H1605" s="83" t="str">
        <f>_xlfn.XLOOKUP(Tabela1[[#This Row],[Matrícula]],Equipe!B:B,Equipe!E:E,"ERRO",0)</f>
        <v>ERRO</v>
      </c>
      <c r="I1605" s="83" t="e">
        <f>VLOOKUP(Tabela1[[#This Row],[Matrícula]],Equipe!B:F,5,0)</f>
        <v>#N/A</v>
      </c>
    </row>
    <row r="1606" spans="1:9">
      <c r="A1606" s="83"/>
      <c r="B1606" s="83">
        <f>_xlfn.XLOOKUP(A1606,Equipe!H:H,Equipe!B:B,"",0)</f>
        <v>0</v>
      </c>
      <c r="C1606" s="154"/>
      <c r="D1606" s="150" t="e">
        <f>(IF(Tabela1[[#This Row],[Início]]&lt;&gt;"",C1606+E1606-1,""))*1</f>
        <v>#VALUE!</v>
      </c>
      <c r="E1606" s="83"/>
      <c r="F1606" s="83"/>
      <c r="G1606" s="88"/>
      <c r="H1606" s="83" t="str">
        <f>_xlfn.XLOOKUP(Tabela1[[#This Row],[Matrícula]],Equipe!B:B,Equipe!E:E,"ERRO",0)</f>
        <v>ERRO</v>
      </c>
      <c r="I1606" s="83" t="e">
        <f>VLOOKUP(Tabela1[[#This Row],[Matrícula]],Equipe!B:F,5,0)</f>
        <v>#N/A</v>
      </c>
    </row>
    <row r="1607" spans="1:9">
      <c r="A1607" s="83"/>
      <c r="B1607" s="83">
        <f>_xlfn.XLOOKUP(A1607,Equipe!H:H,Equipe!B:B,"",0)</f>
        <v>0</v>
      </c>
      <c r="C1607" s="154"/>
      <c r="D1607" s="150" t="e">
        <f>(IF(Tabela1[[#This Row],[Início]]&lt;&gt;"",C1607+E1607-1,""))*1</f>
        <v>#VALUE!</v>
      </c>
      <c r="E1607" s="83"/>
      <c r="F1607" s="83"/>
      <c r="G1607" s="88"/>
      <c r="H1607" s="83" t="str">
        <f>_xlfn.XLOOKUP(Tabela1[[#This Row],[Matrícula]],Equipe!B:B,Equipe!E:E,"ERRO",0)</f>
        <v>ERRO</v>
      </c>
      <c r="I1607" s="83" t="e">
        <f>VLOOKUP(Tabela1[[#This Row],[Matrícula]],Equipe!B:F,5,0)</f>
        <v>#N/A</v>
      </c>
    </row>
    <row r="1608" spans="1:9">
      <c r="A1608" s="83"/>
      <c r="B1608" s="83">
        <f>_xlfn.XLOOKUP(A1608,Equipe!H:H,Equipe!B:B,"",0)</f>
        <v>0</v>
      </c>
      <c r="C1608" s="154"/>
      <c r="D1608" s="150" t="e">
        <f>(IF(Tabela1[[#This Row],[Início]]&lt;&gt;"",C1608+E1608-1,""))*1</f>
        <v>#VALUE!</v>
      </c>
      <c r="E1608" s="83"/>
      <c r="F1608" s="83"/>
      <c r="G1608" s="88"/>
      <c r="H1608" s="83" t="str">
        <f>_xlfn.XLOOKUP(Tabela1[[#This Row],[Matrícula]],Equipe!B:B,Equipe!E:E,"ERRO",0)</f>
        <v>ERRO</v>
      </c>
      <c r="I1608" s="83" t="e">
        <f>VLOOKUP(Tabela1[[#This Row],[Matrícula]],Equipe!B:F,5,0)</f>
        <v>#N/A</v>
      </c>
    </row>
    <row r="1609" spans="1:9">
      <c r="A1609" s="83"/>
      <c r="B1609" s="83">
        <f>_xlfn.XLOOKUP(A1609,Equipe!H:H,Equipe!B:B,"",0)</f>
        <v>0</v>
      </c>
      <c r="C1609" s="154"/>
      <c r="D1609" s="150" t="e">
        <f>(IF(Tabela1[[#This Row],[Início]]&lt;&gt;"",C1609+E1609-1,""))*1</f>
        <v>#VALUE!</v>
      </c>
      <c r="E1609" s="83"/>
      <c r="F1609" s="83"/>
      <c r="G1609" s="88"/>
      <c r="H1609" s="83" t="str">
        <f>_xlfn.XLOOKUP(Tabela1[[#This Row],[Matrícula]],Equipe!B:B,Equipe!E:E,"ERRO",0)</f>
        <v>ERRO</v>
      </c>
      <c r="I1609" s="83" t="e">
        <f>VLOOKUP(Tabela1[[#This Row],[Matrícula]],Equipe!B:F,5,0)</f>
        <v>#N/A</v>
      </c>
    </row>
    <row r="1610" spans="1:9">
      <c r="A1610" s="83"/>
      <c r="B1610" s="83">
        <f>_xlfn.XLOOKUP(A1610,Equipe!H:H,Equipe!B:B,"",0)</f>
        <v>0</v>
      </c>
      <c r="C1610" s="154"/>
      <c r="D1610" s="150" t="e">
        <f>(IF(Tabela1[[#This Row],[Início]]&lt;&gt;"",C1610+E1610-1,""))*1</f>
        <v>#VALUE!</v>
      </c>
      <c r="E1610" s="83"/>
      <c r="F1610" s="83"/>
      <c r="G1610" s="88"/>
      <c r="H1610" s="83" t="str">
        <f>_xlfn.XLOOKUP(Tabela1[[#This Row],[Matrícula]],Equipe!B:B,Equipe!E:E,"ERRO",0)</f>
        <v>ERRO</v>
      </c>
      <c r="I1610" s="83" t="e">
        <f>VLOOKUP(Tabela1[[#This Row],[Matrícula]],Equipe!B:F,5,0)</f>
        <v>#N/A</v>
      </c>
    </row>
    <row r="1611" spans="1:9">
      <c r="A1611" s="83"/>
      <c r="B1611" s="83">
        <f>_xlfn.XLOOKUP(A1611,Equipe!H:H,Equipe!B:B,"",0)</f>
        <v>0</v>
      </c>
      <c r="C1611" s="154"/>
      <c r="D1611" s="150" t="e">
        <f>(IF(Tabela1[[#This Row],[Início]]&lt;&gt;"",C1611+E1611-1,""))*1</f>
        <v>#VALUE!</v>
      </c>
      <c r="E1611" s="83"/>
      <c r="F1611" s="83"/>
      <c r="G1611" s="88"/>
      <c r="H1611" s="83" t="str">
        <f>_xlfn.XLOOKUP(Tabela1[[#This Row],[Matrícula]],Equipe!B:B,Equipe!E:E,"ERRO",0)</f>
        <v>ERRO</v>
      </c>
      <c r="I1611" s="83" t="e">
        <f>VLOOKUP(Tabela1[[#This Row],[Matrícula]],Equipe!B:F,5,0)</f>
        <v>#N/A</v>
      </c>
    </row>
    <row r="1612" spans="1:9">
      <c r="A1612" s="83"/>
      <c r="B1612" s="83">
        <f>_xlfn.XLOOKUP(A1612,Equipe!H:H,Equipe!B:B,"",0)</f>
        <v>0</v>
      </c>
      <c r="C1612" s="154"/>
      <c r="D1612" s="150" t="e">
        <f>(IF(Tabela1[[#This Row],[Início]]&lt;&gt;"",C1612+E1612-1,""))*1</f>
        <v>#VALUE!</v>
      </c>
      <c r="E1612" s="83"/>
      <c r="F1612" s="83"/>
      <c r="G1612" s="88"/>
      <c r="H1612" s="83" t="str">
        <f>_xlfn.XLOOKUP(Tabela1[[#This Row],[Matrícula]],Equipe!B:B,Equipe!E:E,"ERRO",0)</f>
        <v>ERRO</v>
      </c>
      <c r="I1612" s="83" t="e">
        <f>VLOOKUP(Tabela1[[#This Row],[Matrícula]],Equipe!B:F,5,0)</f>
        <v>#N/A</v>
      </c>
    </row>
    <row r="1613" spans="1:9">
      <c r="A1613" s="83"/>
      <c r="B1613" s="83">
        <f>_xlfn.XLOOKUP(A1613,Equipe!H:H,Equipe!B:B,"",0)</f>
        <v>0</v>
      </c>
      <c r="C1613" s="154"/>
      <c r="D1613" s="150" t="e">
        <f>(IF(Tabela1[[#This Row],[Início]]&lt;&gt;"",C1613+E1613-1,""))*1</f>
        <v>#VALUE!</v>
      </c>
      <c r="E1613" s="83"/>
      <c r="F1613" s="83"/>
      <c r="G1613" s="88"/>
      <c r="H1613" s="83" t="str">
        <f>_xlfn.XLOOKUP(Tabela1[[#This Row],[Matrícula]],Equipe!B:B,Equipe!E:E,"ERRO",0)</f>
        <v>ERRO</v>
      </c>
      <c r="I1613" s="83" t="e">
        <f>VLOOKUP(Tabela1[[#This Row],[Matrícula]],Equipe!B:F,5,0)</f>
        <v>#N/A</v>
      </c>
    </row>
    <row r="1614" spans="1:9">
      <c r="A1614" s="83"/>
      <c r="B1614" s="83">
        <f>_xlfn.XLOOKUP(A1614,Equipe!H:H,Equipe!B:B,"",0)</f>
        <v>0</v>
      </c>
      <c r="C1614" s="154"/>
      <c r="D1614" s="150" t="e">
        <f>(IF(Tabela1[[#This Row],[Início]]&lt;&gt;"",C1614+E1614-1,""))*1</f>
        <v>#VALUE!</v>
      </c>
      <c r="E1614" s="83"/>
      <c r="F1614" s="83"/>
      <c r="G1614" s="88"/>
      <c r="H1614" s="83" t="str">
        <f>_xlfn.XLOOKUP(Tabela1[[#This Row],[Matrícula]],Equipe!B:B,Equipe!E:E,"ERRO",0)</f>
        <v>ERRO</v>
      </c>
      <c r="I1614" s="83" t="e">
        <f>VLOOKUP(Tabela1[[#This Row],[Matrícula]],Equipe!B:F,5,0)</f>
        <v>#N/A</v>
      </c>
    </row>
    <row r="1615" spans="1:9">
      <c r="A1615" s="83"/>
      <c r="B1615" s="83">
        <f>_xlfn.XLOOKUP(A1615,Equipe!H:H,Equipe!B:B,"",0)</f>
        <v>0</v>
      </c>
      <c r="C1615" s="154"/>
      <c r="D1615" s="150" t="e">
        <f>(IF(Tabela1[[#This Row],[Início]]&lt;&gt;"",C1615+E1615-1,""))*1</f>
        <v>#VALUE!</v>
      </c>
      <c r="E1615" s="83"/>
      <c r="F1615" s="83"/>
      <c r="G1615" s="88"/>
      <c r="H1615" s="83" t="str">
        <f>_xlfn.XLOOKUP(Tabela1[[#This Row],[Matrícula]],Equipe!B:B,Equipe!E:E,"ERRO",0)</f>
        <v>ERRO</v>
      </c>
      <c r="I1615" s="83" t="e">
        <f>VLOOKUP(Tabela1[[#This Row],[Matrícula]],Equipe!B:F,5,0)</f>
        <v>#N/A</v>
      </c>
    </row>
    <row r="1616" spans="1:9">
      <c r="A1616" s="83"/>
      <c r="B1616" s="83">
        <f>_xlfn.XLOOKUP(A1616,Equipe!H:H,Equipe!B:B,"",0)</f>
        <v>0</v>
      </c>
      <c r="C1616" s="154"/>
      <c r="D1616" s="150" t="e">
        <f>(IF(Tabela1[[#This Row],[Início]]&lt;&gt;"",C1616+E1616-1,""))*1</f>
        <v>#VALUE!</v>
      </c>
      <c r="E1616" s="83"/>
      <c r="F1616" s="83"/>
      <c r="G1616" s="88"/>
      <c r="H1616" s="83" t="str">
        <f>_xlfn.XLOOKUP(Tabela1[[#This Row],[Matrícula]],Equipe!B:B,Equipe!E:E,"ERRO",0)</f>
        <v>ERRO</v>
      </c>
      <c r="I1616" s="83" t="e">
        <f>VLOOKUP(Tabela1[[#This Row],[Matrícula]],Equipe!B:F,5,0)</f>
        <v>#N/A</v>
      </c>
    </row>
    <row r="1617" spans="1:9">
      <c r="A1617" s="83"/>
      <c r="B1617" s="83">
        <f>_xlfn.XLOOKUP(A1617,Equipe!H:H,Equipe!B:B,"",0)</f>
        <v>0</v>
      </c>
      <c r="C1617" s="154"/>
      <c r="D1617" s="150" t="e">
        <f>(IF(Tabela1[[#This Row],[Início]]&lt;&gt;"",C1617+E1617-1,""))*1</f>
        <v>#VALUE!</v>
      </c>
      <c r="E1617" s="83"/>
      <c r="F1617" s="83"/>
      <c r="G1617" s="88"/>
      <c r="H1617" s="83" t="str">
        <f>_xlfn.XLOOKUP(Tabela1[[#This Row],[Matrícula]],Equipe!B:B,Equipe!E:E,"ERRO",0)</f>
        <v>ERRO</v>
      </c>
      <c r="I1617" s="83" t="e">
        <f>VLOOKUP(Tabela1[[#This Row],[Matrícula]],Equipe!B:F,5,0)</f>
        <v>#N/A</v>
      </c>
    </row>
    <row r="1618" spans="1:9">
      <c r="A1618" s="83"/>
      <c r="B1618" s="83">
        <f>_xlfn.XLOOKUP(A1618,Equipe!H:H,Equipe!B:B,"",0)</f>
        <v>0</v>
      </c>
      <c r="C1618" s="154"/>
      <c r="D1618" s="150" t="e">
        <f>(IF(Tabela1[[#This Row],[Início]]&lt;&gt;"",C1618+E1618-1,""))*1</f>
        <v>#VALUE!</v>
      </c>
      <c r="E1618" s="83"/>
      <c r="F1618" s="83"/>
      <c r="G1618" s="88"/>
      <c r="H1618" s="83" t="str">
        <f>_xlfn.XLOOKUP(Tabela1[[#This Row],[Matrícula]],Equipe!B:B,Equipe!E:E,"ERRO",0)</f>
        <v>ERRO</v>
      </c>
      <c r="I1618" s="83" t="e">
        <f>VLOOKUP(Tabela1[[#This Row],[Matrícula]],Equipe!B:F,5,0)</f>
        <v>#N/A</v>
      </c>
    </row>
    <row r="1619" spans="1:9">
      <c r="A1619" s="83"/>
      <c r="B1619" s="83">
        <f>_xlfn.XLOOKUP(A1619,Equipe!H:H,Equipe!B:B,"",0)</f>
        <v>0</v>
      </c>
      <c r="C1619" s="154"/>
      <c r="D1619" s="150" t="e">
        <f>(IF(Tabela1[[#This Row],[Início]]&lt;&gt;"",C1619+E1619-1,""))*1</f>
        <v>#VALUE!</v>
      </c>
      <c r="E1619" s="83"/>
      <c r="F1619" s="83"/>
      <c r="G1619" s="88"/>
      <c r="H1619" s="83" t="str">
        <f>_xlfn.XLOOKUP(Tabela1[[#This Row],[Matrícula]],Equipe!B:B,Equipe!E:E,"ERRO",0)</f>
        <v>ERRO</v>
      </c>
      <c r="I1619" s="83" t="e">
        <f>VLOOKUP(Tabela1[[#This Row],[Matrícula]],Equipe!B:F,5,0)</f>
        <v>#N/A</v>
      </c>
    </row>
    <row r="1620" spans="1:9">
      <c r="A1620" s="83"/>
      <c r="B1620" s="83">
        <f>_xlfn.XLOOKUP(A1620,Equipe!H:H,Equipe!B:B,"",0)</f>
        <v>0</v>
      </c>
      <c r="C1620" s="154"/>
      <c r="D1620" s="150" t="e">
        <f>(IF(Tabela1[[#This Row],[Início]]&lt;&gt;"",C1620+E1620-1,""))*1</f>
        <v>#VALUE!</v>
      </c>
      <c r="E1620" s="83"/>
      <c r="F1620" s="83"/>
      <c r="G1620" s="88"/>
      <c r="H1620" s="83" t="str">
        <f>_xlfn.XLOOKUP(Tabela1[[#This Row],[Matrícula]],Equipe!B:B,Equipe!E:E,"ERRO",0)</f>
        <v>ERRO</v>
      </c>
      <c r="I1620" s="83" t="e">
        <f>VLOOKUP(Tabela1[[#This Row],[Matrícula]],Equipe!B:F,5,0)</f>
        <v>#N/A</v>
      </c>
    </row>
    <row r="1621" spans="1:9">
      <c r="A1621" s="83"/>
      <c r="B1621" s="83">
        <f>_xlfn.XLOOKUP(A1621,Equipe!H:H,Equipe!B:B,"",0)</f>
        <v>0</v>
      </c>
      <c r="C1621" s="154"/>
      <c r="D1621" s="150" t="e">
        <f>(IF(Tabela1[[#This Row],[Início]]&lt;&gt;"",C1621+E1621-1,""))*1</f>
        <v>#VALUE!</v>
      </c>
      <c r="E1621" s="83"/>
      <c r="F1621" s="83"/>
      <c r="G1621" s="88"/>
      <c r="H1621" s="83" t="str">
        <f>_xlfn.XLOOKUP(Tabela1[[#This Row],[Matrícula]],Equipe!B:B,Equipe!E:E,"ERRO",0)</f>
        <v>ERRO</v>
      </c>
      <c r="I1621" s="83" t="e">
        <f>VLOOKUP(Tabela1[[#This Row],[Matrícula]],Equipe!B:F,5,0)</f>
        <v>#N/A</v>
      </c>
    </row>
    <row r="1622" spans="1:9">
      <c r="A1622" s="83"/>
      <c r="B1622" s="83">
        <f>_xlfn.XLOOKUP(A1622,Equipe!H:H,Equipe!B:B,"",0)</f>
        <v>0</v>
      </c>
      <c r="C1622" s="154"/>
      <c r="D1622" s="150" t="e">
        <f>(IF(Tabela1[[#This Row],[Início]]&lt;&gt;"",C1622+E1622-1,""))*1</f>
        <v>#VALUE!</v>
      </c>
      <c r="E1622" s="83"/>
      <c r="F1622" s="83"/>
      <c r="G1622" s="88"/>
      <c r="H1622" s="83" t="str">
        <f>_xlfn.XLOOKUP(Tabela1[[#This Row],[Matrícula]],Equipe!B:B,Equipe!E:E,"ERRO",0)</f>
        <v>ERRO</v>
      </c>
      <c r="I1622" s="83" t="e">
        <f>VLOOKUP(Tabela1[[#This Row],[Matrícula]],Equipe!B:F,5,0)</f>
        <v>#N/A</v>
      </c>
    </row>
    <row r="1623" spans="1:9">
      <c r="A1623" s="83"/>
      <c r="B1623" s="83">
        <f>_xlfn.XLOOKUP(A1623,Equipe!H:H,Equipe!B:B,"",0)</f>
        <v>0</v>
      </c>
      <c r="C1623" s="154"/>
      <c r="D1623" s="150" t="e">
        <f>(IF(Tabela1[[#This Row],[Início]]&lt;&gt;"",C1623+E1623-1,""))*1</f>
        <v>#VALUE!</v>
      </c>
      <c r="E1623" s="83"/>
      <c r="F1623" s="83"/>
      <c r="G1623" s="88"/>
      <c r="H1623" s="83" t="str">
        <f>_xlfn.XLOOKUP(Tabela1[[#This Row],[Matrícula]],Equipe!B:B,Equipe!E:E,"ERRO",0)</f>
        <v>ERRO</v>
      </c>
      <c r="I1623" s="83" t="e">
        <f>VLOOKUP(Tabela1[[#This Row],[Matrícula]],Equipe!B:F,5,0)</f>
        <v>#N/A</v>
      </c>
    </row>
    <row r="1624" spans="1:9">
      <c r="A1624" s="83"/>
      <c r="B1624" s="83">
        <f>_xlfn.XLOOKUP(A1624,Equipe!H:H,Equipe!B:B,"",0)</f>
        <v>0</v>
      </c>
      <c r="C1624" s="154"/>
      <c r="D1624" s="150" t="e">
        <f>(IF(Tabela1[[#This Row],[Início]]&lt;&gt;"",C1624+E1624-1,""))*1</f>
        <v>#VALUE!</v>
      </c>
      <c r="E1624" s="83"/>
      <c r="F1624" s="83"/>
      <c r="G1624" s="88"/>
      <c r="H1624" s="83" t="str">
        <f>_xlfn.XLOOKUP(Tabela1[[#This Row],[Matrícula]],Equipe!B:B,Equipe!E:E,"ERRO",0)</f>
        <v>ERRO</v>
      </c>
      <c r="I1624" s="83" t="e">
        <f>VLOOKUP(Tabela1[[#This Row],[Matrícula]],Equipe!B:F,5,0)</f>
        <v>#N/A</v>
      </c>
    </row>
    <row r="1625" spans="1:9">
      <c r="A1625" s="83"/>
      <c r="B1625" s="83">
        <f>_xlfn.XLOOKUP(A1625,Equipe!H:H,Equipe!B:B,"",0)</f>
        <v>0</v>
      </c>
      <c r="C1625" s="154"/>
      <c r="D1625" s="150" t="e">
        <f>(IF(Tabela1[[#This Row],[Início]]&lt;&gt;"",C1625+E1625-1,""))*1</f>
        <v>#VALUE!</v>
      </c>
      <c r="E1625" s="83"/>
      <c r="F1625" s="83"/>
      <c r="G1625" s="88"/>
      <c r="H1625" s="83" t="str">
        <f>_xlfn.XLOOKUP(Tabela1[[#This Row],[Matrícula]],Equipe!B:B,Equipe!E:E,"ERRO",0)</f>
        <v>ERRO</v>
      </c>
      <c r="I1625" s="83" t="e">
        <f>VLOOKUP(Tabela1[[#This Row],[Matrícula]],Equipe!B:F,5,0)</f>
        <v>#N/A</v>
      </c>
    </row>
    <row r="1626" spans="1:9">
      <c r="A1626" s="83"/>
      <c r="B1626" s="83">
        <f>_xlfn.XLOOKUP(A1626,Equipe!H:H,Equipe!B:B,"",0)</f>
        <v>0</v>
      </c>
      <c r="C1626" s="154"/>
      <c r="D1626" s="150" t="e">
        <f>(IF(Tabela1[[#This Row],[Início]]&lt;&gt;"",C1626+E1626-1,""))*1</f>
        <v>#VALUE!</v>
      </c>
      <c r="E1626" s="83"/>
      <c r="F1626" s="83"/>
      <c r="G1626" s="88"/>
      <c r="H1626" s="83" t="str">
        <f>_xlfn.XLOOKUP(Tabela1[[#This Row],[Matrícula]],Equipe!B:B,Equipe!E:E,"ERRO",0)</f>
        <v>ERRO</v>
      </c>
      <c r="I1626" s="83" t="e">
        <f>VLOOKUP(Tabela1[[#This Row],[Matrícula]],Equipe!B:F,5,0)</f>
        <v>#N/A</v>
      </c>
    </row>
    <row r="1627" spans="1:9">
      <c r="A1627" s="83"/>
      <c r="B1627" s="83">
        <f>_xlfn.XLOOKUP(A1627,Equipe!H:H,Equipe!B:B,"",0)</f>
        <v>0</v>
      </c>
      <c r="C1627" s="154"/>
      <c r="D1627" s="150" t="e">
        <f>(IF(Tabela1[[#This Row],[Início]]&lt;&gt;"",C1627+E1627-1,""))*1</f>
        <v>#VALUE!</v>
      </c>
      <c r="E1627" s="83"/>
      <c r="F1627" s="83"/>
      <c r="G1627" s="88"/>
      <c r="H1627" s="83" t="str">
        <f>_xlfn.XLOOKUP(Tabela1[[#This Row],[Matrícula]],Equipe!B:B,Equipe!E:E,"ERRO",0)</f>
        <v>ERRO</v>
      </c>
      <c r="I1627" s="83" t="e">
        <f>VLOOKUP(Tabela1[[#This Row],[Matrícula]],Equipe!B:F,5,0)</f>
        <v>#N/A</v>
      </c>
    </row>
    <row r="1628" spans="1:9">
      <c r="A1628" s="83"/>
      <c r="B1628" s="83">
        <f>_xlfn.XLOOKUP(A1628,Equipe!H:H,Equipe!B:B,"",0)</f>
        <v>0</v>
      </c>
      <c r="C1628" s="154"/>
      <c r="D1628" s="150" t="e">
        <f>(IF(Tabela1[[#This Row],[Início]]&lt;&gt;"",C1628+E1628-1,""))*1</f>
        <v>#VALUE!</v>
      </c>
      <c r="E1628" s="83"/>
      <c r="F1628" s="83"/>
      <c r="G1628" s="88"/>
      <c r="H1628" s="83" t="str">
        <f>_xlfn.XLOOKUP(Tabela1[[#This Row],[Matrícula]],Equipe!B:B,Equipe!E:E,"ERRO",0)</f>
        <v>ERRO</v>
      </c>
      <c r="I1628" s="83" t="e">
        <f>VLOOKUP(Tabela1[[#This Row],[Matrícula]],Equipe!B:F,5,0)</f>
        <v>#N/A</v>
      </c>
    </row>
    <row r="1629" spans="1:9">
      <c r="A1629" s="83"/>
      <c r="B1629" s="83">
        <f>_xlfn.XLOOKUP(A1629,Equipe!H:H,Equipe!B:B,"",0)</f>
        <v>0</v>
      </c>
      <c r="C1629" s="154"/>
      <c r="D1629" s="150" t="e">
        <f>(IF(Tabela1[[#This Row],[Início]]&lt;&gt;"",C1629+E1629-1,""))*1</f>
        <v>#VALUE!</v>
      </c>
      <c r="E1629" s="83"/>
      <c r="F1629" s="83"/>
      <c r="G1629" s="88"/>
      <c r="H1629" s="83" t="str">
        <f>_xlfn.XLOOKUP(Tabela1[[#This Row],[Matrícula]],Equipe!B:B,Equipe!E:E,"ERRO",0)</f>
        <v>ERRO</v>
      </c>
      <c r="I1629" s="83" t="e">
        <f>VLOOKUP(Tabela1[[#This Row],[Matrícula]],Equipe!B:F,5,0)</f>
        <v>#N/A</v>
      </c>
    </row>
    <row r="1630" spans="1:9">
      <c r="A1630" s="83"/>
      <c r="B1630" s="83">
        <f>_xlfn.XLOOKUP(A1630,Equipe!H:H,Equipe!B:B,"",0)</f>
        <v>0</v>
      </c>
      <c r="C1630" s="154"/>
      <c r="D1630" s="150" t="e">
        <f>(IF(Tabela1[[#This Row],[Início]]&lt;&gt;"",C1630+E1630-1,""))*1</f>
        <v>#VALUE!</v>
      </c>
      <c r="E1630" s="83"/>
      <c r="F1630" s="83"/>
      <c r="G1630" s="88"/>
      <c r="H1630" s="83" t="str">
        <f>_xlfn.XLOOKUP(Tabela1[[#This Row],[Matrícula]],Equipe!B:B,Equipe!E:E,"ERRO",0)</f>
        <v>ERRO</v>
      </c>
      <c r="I1630" s="83" t="e">
        <f>VLOOKUP(Tabela1[[#This Row],[Matrícula]],Equipe!B:F,5,0)</f>
        <v>#N/A</v>
      </c>
    </row>
    <row r="1631" spans="1:9">
      <c r="A1631" s="83"/>
      <c r="B1631" s="83">
        <f>_xlfn.XLOOKUP(A1631,Equipe!H:H,Equipe!B:B,"",0)</f>
        <v>0</v>
      </c>
      <c r="C1631" s="154"/>
      <c r="D1631" s="150" t="e">
        <f>(IF(Tabela1[[#This Row],[Início]]&lt;&gt;"",C1631+E1631-1,""))*1</f>
        <v>#VALUE!</v>
      </c>
      <c r="E1631" s="83"/>
      <c r="F1631" s="83"/>
      <c r="G1631" s="88"/>
      <c r="H1631" s="83" t="str">
        <f>_xlfn.XLOOKUP(Tabela1[[#This Row],[Matrícula]],Equipe!B:B,Equipe!E:E,"ERRO",0)</f>
        <v>ERRO</v>
      </c>
      <c r="I1631" s="83" t="e">
        <f>VLOOKUP(Tabela1[[#This Row],[Matrícula]],Equipe!B:F,5,0)</f>
        <v>#N/A</v>
      </c>
    </row>
    <row r="1632" spans="1:9">
      <c r="A1632" s="83"/>
      <c r="B1632" s="83">
        <f>_xlfn.XLOOKUP(A1632,Equipe!H:H,Equipe!B:B,"",0)</f>
        <v>0</v>
      </c>
      <c r="C1632" s="154"/>
      <c r="D1632" s="150" t="e">
        <f>(IF(Tabela1[[#This Row],[Início]]&lt;&gt;"",C1632+E1632-1,""))*1</f>
        <v>#VALUE!</v>
      </c>
      <c r="E1632" s="83"/>
      <c r="F1632" s="83"/>
      <c r="G1632" s="88"/>
      <c r="H1632" s="83" t="str">
        <f>_xlfn.XLOOKUP(Tabela1[[#This Row],[Matrícula]],Equipe!B:B,Equipe!E:E,"ERRO",0)</f>
        <v>ERRO</v>
      </c>
      <c r="I1632" s="83" t="e">
        <f>VLOOKUP(Tabela1[[#This Row],[Matrícula]],Equipe!B:F,5,0)</f>
        <v>#N/A</v>
      </c>
    </row>
    <row r="1633" spans="1:9">
      <c r="A1633" s="83"/>
      <c r="B1633" s="83">
        <f>_xlfn.XLOOKUP(A1633,Equipe!H:H,Equipe!B:B,"",0)</f>
        <v>0</v>
      </c>
      <c r="C1633" s="154"/>
      <c r="D1633" s="150" t="e">
        <f>(IF(Tabela1[[#This Row],[Início]]&lt;&gt;"",C1633+E1633-1,""))*1</f>
        <v>#VALUE!</v>
      </c>
      <c r="E1633" s="83"/>
      <c r="F1633" s="83"/>
      <c r="G1633" s="88"/>
      <c r="H1633" s="83" t="str">
        <f>_xlfn.XLOOKUP(Tabela1[[#This Row],[Matrícula]],Equipe!B:B,Equipe!E:E,"ERRO",0)</f>
        <v>ERRO</v>
      </c>
      <c r="I1633" s="83" t="e">
        <f>VLOOKUP(Tabela1[[#This Row],[Matrícula]],Equipe!B:F,5,0)</f>
        <v>#N/A</v>
      </c>
    </row>
    <row r="1634" spans="1:9">
      <c r="A1634" s="83"/>
      <c r="B1634" s="83">
        <f>_xlfn.XLOOKUP(A1634,Equipe!H:H,Equipe!B:B,"",0)</f>
        <v>0</v>
      </c>
      <c r="C1634" s="154"/>
      <c r="D1634" s="150" t="e">
        <f>(IF(Tabela1[[#This Row],[Início]]&lt;&gt;"",C1634+E1634-1,""))*1</f>
        <v>#VALUE!</v>
      </c>
      <c r="E1634" s="83"/>
      <c r="F1634" s="83"/>
      <c r="G1634" s="88"/>
      <c r="H1634" s="83" t="str">
        <f>_xlfn.XLOOKUP(Tabela1[[#This Row],[Matrícula]],Equipe!B:B,Equipe!E:E,"ERRO",0)</f>
        <v>ERRO</v>
      </c>
      <c r="I1634" s="83" t="e">
        <f>VLOOKUP(Tabela1[[#This Row],[Matrícula]],Equipe!B:F,5,0)</f>
        <v>#N/A</v>
      </c>
    </row>
    <row r="1635" spans="1:9">
      <c r="A1635" s="83"/>
      <c r="B1635" s="83">
        <f>_xlfn.XLOOKUP(A1635,Equipe!H:H,Equipe!B:B,"",0)</f>
        <v>0</v>
      </c>
      <c r="C1635" s="154"/>
      <c r="D1635" s="150" t="e">
        <f>(IF(Tabela1[[#This Row],[Início]]&lt;&gt;"",C1635+E1635-1,""))*1</f>
        <v>#VALUE!</v>
      </c>
      <c r="E1635" s="83"/>
      <c r="F1635" s="83"/>
      <c r="G1635" s="88"/>
      <c r="H1635" s="83" t="str">
        <f>_xlfn.XLOOKUP(Tabela1[[#This Row],[Matrícula]],Equipe!B:B,Equipe!E:E,"ERRO",0)</f>
        <v>ERRO</v>
      </c>
      <c r="I1635" s="83" t="e">
        <f>VLOOKUP(Tabela1[[#This Row],[Matrícula]],Equipe!B:F,5,0)</f>
        <v>#N/A</v>
      </c>
    </row>
    <row r="1636" spans="1:9">
      <c r="A1636" s="83"/>
      <c r="B1636" s="83">
        <f>_xlfn.XLOOKUP(A1636,Equipe!H:H,Equipe!B:B,"",0)</f>
        <v>0</v>
      </c>
      <c r="C1636" s="154"/>
      <c r="D1636" s="150" t="e">
        <f>(IF(Tabela1[[#This Row],[Início]]&lt;&gt;"",C1636+E1636-1,""))*1</f>
        <v>#VALUE!</v>
      </c>
      <c r="E1636" s="83"/>
      <c r="F1636" s="83"/>
      <c r="G1636" s="88"/>
      <c r="H1636" s="83" t="str">
        <f>_xlfn.XLOOKUP(Tabela1[[#This Row],[Matrícula]],Equipe!B:B,Equipe!E:E,"ERRO",0)</f>
        <v>ERRO</v>
      </c>
      <c r="I1636" s="83" t="e">
        <f>VLOOKUP(Tabela1[[#This Row],[Matrícula]],Equipe!B:F,5,0)</f>
        <v>#N/A</v>
      </c>
    </row>
    <row r="1637" spans="1:9">
      <c r="A1637" s="83"/>
      <c r="B1637" s="83">
        <f>_xlfn.XLOOKUP(A1637,Equipe!H:H,Equipe!B:B,"",0)</f>
        <v>0</v>
      </c>
      <c r="C1637" s="154"/>
      <c r="D1637" s="150" t="e">
        <f>(IF(Tabela1[[#This Row],[Início]]&lt;&gt;"",C1637+E1637-1,""))*1</f>
        <v>#VALUE!</v>
      </c>
      <c r="E1637" s="83"/>
      <c r="F1637" s="83"/>
      <c r="G1637" s="88"/>
      <c r="H1637" s="83" t="str">
        <f>_xlfn.XLOOKUP(Tabela1[[#This Row],[Matrícula]],Equipe!B:B,Equipe!E:E,"ERRO",0)</f>
        <v>ERRO</v>
      </c>
      <c r="I1637" s="83" t="e">
        <f>VLOOKUP(Tabela1[[#This Row],[Matrícula]],Equipe!B:F,5,0)</f>
        <v>#N/A</v>
      </c>
    </row>
    <row r="1638" spans="1:9">
      <c r="A1638" s="83"/>
      <c r="B1638" s="83">
        <f>_xlfn.XLOOKUP(A1638,Equipe!H:H,Equipe!B:B,"",0)</f>
        <v>0</v>
      </c>
      <c r="C1638" s="154"/>
      <c r="D1638" s="150" t="e">
        <f>(IF(Tabela1[[#This Row],[Início]]&lt;&gt;"",C1638+E1638-1,""))*1</f>
        <v>#VALUE!</v>
      </c>
      <c r="E1638" s="83"/>
      <c r="F1638" s="83"/>
      <c r="G1638" s="88"/>
      <c r="H1638" s="83" t="str">
        <f>_xlfn.XLOOKUP(Tabela1[[#This Row],[Matrícula]],Equipe!B:B,Equipe!E:E,"ERRO",0)</f>
        <v>ERRO</v>
      </c>
      <c r="I1638" s="83" t="e">
        <f>VLOOKUP(Tabela1[[#This Row],[Matrícula]],Equipe!B:F,5,0)</f>
        <v>#N/A</v>
      </c>
    </row>
    <row r="1639" spans="1:9">
      <c r="A1639" s="83"/>
      <c r="B1639" s="83">
        <f>_xlfn.XLOOKUP(A1639,Equipe!H:H,Equipe!B:B,"",0)</f>
        <v>0</v>
      </c>
      <c r="C1639" s="154"/>
      <c r="D1639" s="150" t="e">
        <f>(IF(Tabela1[[#This Row],[Início]]&lt;&gt;"",C1639+E1639-1,""))*1</f>
        <v>#VALUE!</v>
      </c>
      <c r="E1639" s="83"/>
      <c r="F1639" s="83"/>
      <c r="G1639" s="88"/>
      <c r="H1639" s="83" t="str">
        <f>_xlfn.XLOOKUP(Tabela1[[#This Row],[Matrícula]],Equipe!B:B,Equipe!E:E,"ERRO",0)</f>
        <v>ERRO</v>
      </c>
      <c r="I1639" s="83" t="e">
        <f>VLOOKUP(Tabela1[[#This Row],[Matrícula]],Equipe!B:F,5,0)</f>
        <v>#N/A</v>
      </c>
    </row>
    <row r="1640" spans="1:9">
      <c r="A1640" s="83"/>
      <c r="B1640" s="83">
        <f>_xlfn.XLOOKUP(A1640,Equipe!H:H,Equipe!B:B,"",0)</f>
        <v>0</v>
      </c>
      <c r="C1640" s="154"/>
      <c r="D1640" s="150" t="e">
        <f>(IF(Tabela1[[#This Row],[Início]]&lt;&gt;"",C1640+E1640-1,""))*1</f>
        <v>#VALUE!</v>
      </c>
      <c r="E1640" s="83"/>
      <c r="F1640" s="83"/>
      <c r="G1640" s="88"/>
      <c r="H1640" s="83" t="str">
        <f>_xlfn.XLOOKUP(Tabela1[[#This Row],[Matrícula]],Equipe!B:B,Equipe!E:E,"ERRO",0)</f>
        <v>ERRO</v>
      </c>
      <c r="I1640" s="83" t="e">
        <f>VLOOKUP(Tabela1[[#This Row],[Matrícula]],Equipe!B:F,5,0)</f>
        <v>#N/A</v>
      </c>
    </row>
    <row r="1641" spans="1:9">
      <c r="A1641" s="83"/>
      <c r="B1641" s="83">
        <f>_xlfn.XLOOKUP(A1641,Equipe!H:H,Equipe!B:B,"",0)</f>
        <v>0</v>
      </c>
      <c r="C1641" s="154"/>
      <c r="D1641" s="150" t="e">
        <f>(IF(Tabela1[[#This Row],[Início]]&lt;&gt;"",C1641+E1641-1,""))*1</f>
        <v>#VALUE!</v>
      </c>
      <c r="E1641" s="83"/>
      <c r="F1641" s="83"/>
      <c r="G1641" s="88"/>
      <c r="H1641" s="83" t="str">
        <f>_xlfn.XLOOKUP(Tabela1[[#This Row],[Matrícula]],Equipe!B:B,Equipe!E:E,"ERRO",0)</f>
        <v>ERRO</v>
      </c>
      <c r="I1641" s="83" t="e">
        <f>VLOOKUP(Tabela1[[#This Row],[Matrícula]],Equipe!B:F,5,0)</f>
        <v>#N/A</v>
      </c>
    </row>
    <row r="1642" spans="1:9">
      <c r="A1642" s="83"/>
      <c r="B1642" s="83">
        <f>_xlfn.XLOOKUP(A1642,Equipe!H:H,Equipe!B:B,"",0)</f>
        <v>0</v>
      </c>
      <c r="C1642" s="154"/>
      <c r="D1642" s="150" t="e">
        <f>(IF(Tabela1[[#This Row],[Início]]&lt;&gt;"",C1642+E1642-1,""))*1</f>
        <v>#VALUE!</v>
      </c>
      <c r="E1642" s="83"/>
      <c r="F1642" s="83"/>
      <c r="G1642" s="88"/>
      <c r="H1642" s="83" t="str">
        <f>_xlfn.XLOOKUP(Tabela1[[#This Row],[Matrícula]],Equipe!B:B,Equipe!E:E,"ERRO",0)</f>
        <v>ERRO</v>
      </c>
      <c r="I1642" s="83" t="e">
        <f>VLOOKUP(Tabela1[[#This Row],[Matrícula]],Equipe!B:F,5,0)</f>
        <v>#N/A</v>
      </c>
    </row>
    <row r="1643" spans="1:9">
      <c r="A1643" s="83"/>
      <c r="B1643" s="83">
        <f>_xlfn.XLOOKUP(A1643,Equipe!H:H,Equipe!B:B,"",0)</f>
        <v>0</v>
      </c>
      <c r="C1643" s="154"/>
      <c r="D1643" s="150" t="e">
        <f>(IF(Tabela1[[#This Row],[Início]]&lt;&gt;"",C1643+E1643-1,""))*1</f>
        <v>#VALUE!</v>
      </c>
      <c r="E1643" s="83"/>
      <c r="F1643" s="83"/>
      <c r="G1643" s="88"/>
      <c r="H1643" s="83" t="str">
        <f>_xlfn.XLOOKUP(Tabela1[[#This Row],[Matrícula]],Equipe!B:B,Equipe!E:E,"ERRO",0)</f>
        <v>ERRO</v>
      </c>
      <c r="I1643" s="83" t="e">
        <f>VLOOKUP(Tabela1[[#This Row],[Matrícula]],Equipe!B:F,5,0)</f>
        <v>#N/A</v>
      </c>
    </row>
    <row r="1644" spans="1:9">
      <c r="A1644" s="83"/>
      <c r="B1644" s="83">
        <f>_xlfn.XLOOKUP(A1644,Equipe!H:H,Equipe!B:B,"",0)</f>
        <v>0</v>
      </c>
      <c r="C1644" s="154"/>
      <c r="D1644" s="150" t="e">
        <f>(IF(Tabela1[[#This Row],[Início]]&lt;&gt;"",C1644+E1644-1,""))*1</f>
        <v>#VALUE!</v>
      </c>
      <c r="E1644" s="83"/>
      <c r="F1644" s="83"/>
      <c r="G1644" s="88"/>
      <c r="H1644" s="83" t="str">
        <f>_xlfn.XLOOKUP(Tabela1[[#This Row],[Matrícula]],Equipe!B:B,Equipe!E:E,"ERRO",0)</f>
        <v>ERRO</v>
      </c>
      <c r="I1644" s="83" t="e">
        <f>VLOOKUP(Tabela1[[#This Row],[Matrícula]],Equipe!B:F,5,0)</f>
        <v>#N/A</v>
      </c>
    </row>
    <row r="1645" spans="1:9">
      <c r="A1645" s="83"/>
      <c r="B1645" s="83">
        <f>_xlfn.XLOOKUP(A1645,Equipe!H:H,Equipe!B:B,"",0)</f>
        <v>0</v>
      </c>
      <c r="C1645" s="154"/>
      <c r="D1645" s="150" t="e">
        <f>(IF(Tabela1[[#This Row],[Início]]&lt;&gt;"",C1645+E1645-1,""))*1</f>
        <v>#VALUE!</v>
      </c>
      <c r="E1645" s="83"/>
      <c r="F1645" s="83"/>
      <c r="G1645" s="88"/>
      <c r="H1645" s="83" t="str">
        <f>_xlfn.XLOOKUP(Tabela1[[#This Row],[Matrícula]],Equipe!B:B,Equipe!E:E,"ERRO",0)</f>
        <v>ERRO</v>
      </c>
      <c r="I1645" s="83" t="e">
        <f>VLOOKUP(Tabela1[[#This Row],[Matrícula]],Equipe!B:F,5,0)</f>
        <v>#N/A</v>
      </c>
    </row>
    <row r="1646" spans="1:9">
      <c r="A1646" s="83"/>
      <c r="B1646" s="83">
        <f>_xlfn.XLOOKUP(A1646,Equipe!H:H,Equipe!B:B,"",0)</f>
        <v>0</v>
      </c>
      <c r="C1646" s="154"/>
      <c r="D1646" s="150" t="e">
        <f>(IF(Tabela1[[#This Row],[Início]]&lt;&gt;"",C1646+E1646-1,""))*1</f>
        <v>#VALUE!</v>
      </c>
      <c r="E1646" s="83"/>
      <c r="F1646" s="83"/>
      <c r="G1646" s="88"/>
      <c r="H1646" s="83" t="str">
        <f>_xlfn.XLOOKUP(Tabela1[[#This Row],[Matrícula]],Equipe!B:B,Equipe!E:E,"ERRO",0)</f>
        <v>ERRO</v>
      </c>
      <c r="I1646" s="83" t="e">
        <f>VLOOKUP(Tabela1[[#This Row],[Matrícula]],Equipe!B:F,5,0)</f>
        <v>#N/A</v>
      </c>
    </row>
    <row r="1647" spans="1:9">
      <c r="A1647" s="83"/>
      <c r="B1647" s="83">
        <f>_xlfn.XLOOKUP(A1647,Equipe!H:H,Equipe!B:B,"",0)</f>
        <v>0</v>
      </c>
      <c r="C1647" s="154"/>
      <c r="D1647" s="150" t="e">
        <f>(IF(Tabela1[[#This Row],[Início]]&lt;&gt;"",C1647+E1647-1,""))*1</f>
        <v>#VALUE!</v>
      </c>
      <c r="E1647" s="83"/>
      <c r="F1647" s="83"/>
      <c r="G1647" s="88"/>
      <c r="H1647" s="83" t="str">
        <f>_xlfn.XLOOKUP(Tabela1[[#This Row],[Matrícula]],Equipe!B:B,Equipe!E:E,"ERRO",0)</f>
        <v>ERRO</v>
      </c>
      <c r="I1647" s="83" t="e">
        <f>VLOOKUP(Tabela1[[#This Row],[Matrícula]],Equipe!B:F,5,0)</f>
        <v>#N/A</v>
      </c>
    </row>
    <row r="1648" spans="1:9">
      <c r="A1648" s="83"/>
      <c r="B1648" s="83">
        <f>_xlfn.XLOOKUP(A1648,Equipe!H:H,Equipe!B:B,"",0)</f>
        <v>0</v>
      </c>
      <c r="C1648" s="154"/>
      <c r="D1648" s="150" t="e">
        <f>(IF(Tabela1[[#This Row],[Início]]&lt;&gt;"",C1648+E1648-1,""))*1</f>
        <v>#VALUE!</v>
      </c>
      <c r="E1648" s="83"/>
      <c r="F1648" s="83"/>
      <c r="G1648" s="88"/>
      <c r="H1648" s="83" t="str">
        <f>_xlfn.XLOOKUP(Tabela1[[#This Row],[Matrícula]],Equipe!B:B,Equipe!E:E,"ERRO",0)</f>
        <v>ERRO</v>
      </c>
      <c r="I1648" s="83" t="e">
        <f>VLOOKUP(Tabela1[[#This Row],[Matrícula]],Equipe!B:F,5,0)</f>
        <v>#N/A</v>
      </c>
    </row>
    <row r="1649" spans="1:9">
      <c r="A1649" s="83"/>
      <c r="B1649" s="83">
        <f>_xlfn.XLOOKUP(A1649,Equipe!H:H,Equipe!B:B,"",0)</f>
        <v>0</v>
      </c>
      <c r="C1649" s="154"/>
      <c r="D1649" s="150" t="e">
        <f>(IF(Tabela1[[#This Row],[Início]]&lt;&gt;"",C1649+E1649-1,""))*1</f>
        <v>#VALUE!</v>
      </c>
      <c r="E1649" s="83"/>
      <c r="F1649" s="83"/>
      <c r="G1649" s="88"/>
      <c r="H1649" s="83" t="str">
        <f>_xlfn.XLOOKUP(Tabela1[[#This Row],[Matrícula]],Equipe!B:B,Equipe!E:E,"ERRO",0)</f>
        <v>ERRO</v>
      </c>
      <c r="I1649" s="83" t="e">
        <f>VLOOKUP(Tabela1[[#This Row],[Matrícula]],Equipe!B:F,5,0)</f>
        <v>#N/A</v>
      </c>
    </row>
    <row r="1650" spans="1:9">
      <c r="A1650" s="83"/>
      <c r="B1650" s="83">
        <f>_xlfn.XLOOKUP(A1650,Equipe!H:H,Equipe!B:B,"",0)</f>
        <v>0</v>
      </c>
      <c r="C1650" s="154"/>
      <c r="D1650" s="150" t="e">
        <f>(IF(Tabela1[[#This Row],[Início]]&lt;&gt;"",C1650+E1650-1,""))*1</f>
        <v>#VALUE!</v>
      </c>
      <c r="E1650" s="83"/>
      <c r="F1650" s="83"/>
      <c r="G1650" s="88"/>
      <c r="H1650" s="83" t="str">
        <f>_xlfn.XLOOKUP(Tabela1[[#This Row],[Matrícula]],Equipe!B:B,Equipe!E:E,"ERRO",0)</f>
        <v>ERRO</v>
      </c>
      <c r="I1650" s="83" t="e">
        <f>VLOOKUP(Tabela1[[#This Row],[Matrícula]],Equipe!B:F,5,0)</f>
        <v>#N/A</v>
      </c>
    </row>
    <row r="1651" spans="1:9">
      <c r="A1651" s="83"/>
      <c r="B1651" s="83">
        <f>_xlfn.XLOOKUP(A1651,Equipe!H:H,Equipe!B:B,"",0)</f>
        <v>0</v>
      </c>
      <c r="C1651" s="154"/>
      <c r="D1651" s="150" t="e">
        <f>(IF(Tabela1[[#This Row],[Início]]&lt;&gt;"",C1651+E1651-1,""))*1</f>
        <v>#VALUE!</v>
      </c>
      <c r="E1651" s="83"/>
      <c r="F1651" s="83"/>
      <c r="G1651" s="88"/>
      <c r="H1651" s="83" t="str">
        <f>_xlfn.XLOOKUP(Tabela1[[#This Row],[Matrícula]],Equipe!B:B,Equipe!E:E,"ERRO",0)</f>
        <v>ERRO</v>
      </c>
      <c r="I1651" s="83" t="e">
        <f>VLOOKUP(Tabela1[[#This Row],[Matrícula]],Equipe!B:F,5,0)</f>
        <v>#N/A</v>
      </c>
    </row>
    <row r="1652" spans="1:9">
      <c r="A1652" s="83"/>
      <c r="B1652" s="83">
        <f>_xlfn.XLOOKUP(A1652,Equipe!H:H,Equipe!B:B,"",0)</f>
        <v>0</v>
      </c>
      <c r="C1652" s="154"/>
      <c r="D1652" s="150" t="e">
        <f>(IF(Tabela1[[#This Row],[Início]]&lt;&gt;"",C1652+E1652-1,""))*1</f>
        <v>#VALUE!</v>
      </c>
      <c r="E1652" s="83"/>
      <c r="F1652" s="83"/>
      <c r="G1652" s="88"/>
      <c r="H1652" s="83" t="str">
        <f>_xlfn.XLOOKUP(Tabela1[[#This Row],[Matrícula]],Equipe!B:B,Equipe!E:E,"ERRO",0)</f>
        <v>ERRO</v>
      </c>
      <c r="I1652" s="83" t="e">
        <f>VLOOKUP(Tabela1[[#This Row],[Matrícula]],Equipe!B:F,5,0)</f>
        <v>#N/A</v>
      </c>
    </row>
    <row r="1653" spans="1:9">
      <c r="A1653" s="83"/>
      <c r="B1653" s="83">
        <f>_xlfn.XLOOKUP(A1653,Equipe!H:H,Equipe!B:B,"",0)</f>
        <v>0</v>
      </c>
      <c r="C1653" s="154"/>
      <c r="D1653" s="150" t="e">
        <f>(IF(Tabela1[[#This Row],[Início]]&lt;&gt;"",C1653+E1653-1,""))*1</f>
        <v>#VALUE!</v>
      </c>
      <c r="E1653" s="83"/>
      <c r="F1653" s="83"/>
      <c r="G1653" s="88"/>
      <c r="H1653" s="83" t="str">
        <f>_xlfn.XLOOKUP(Tabela1[[#This Row],[Matrícula]],Equipe!B:B,Equipe!E:E,"ERRO",0)</f>
        <v>ERRO</v>
      </c>
      <c r="I1653" s="83" t="e">
        <f>VLOOKUP(Tabela1[[#This Row],[Matrícula]],Equipe!B:F,5,0)</f>
        <v>#N/A</v>
      </c>
    </row>
    <row r="1654" spans="1:9">
      <c r="A1654" s="83"/>
      <c r="B1654" s="83">
        <f>_xlfn.XLOOKUP(A1654,Equipe!H:H,Equipe!B:B,"",0)</f>
        <v>0</v>
      </c>
      <c r="C1654" s="154"/>
      <c r="D1654" s="150" t="e">
        <f>(IF(Tabela1[[#This Row],[Início]]&lt;&gt;"",C1654+E1654-1,""))*1</f>
        <v>#VALUE!</v>
      </c>
      <c r="E1654" s="83"/>
      <c r="F1654" s="83"/>
      <c r="G1654" s="88"/>
      <c r="H1654" s="83" t="str">
        <f>_xlfn.XLOOKUP(Tabela1[[#This Row],[Matrícula]],Equipe!B:B,Equipe!E:E,"ERRO",0)</f>
        <v>ERRO</v>
      </c>
      <c r="I1654" s="83" t="e">
        <f>VLOOKUP(Tabela1[[#This Row],[Matrícula]],Equipe!B:F,5,0)</f>
        <v>#N/A</v>
      </c>
    </row>
    <row r="1655" spans="1:9">
      <c r="A1655" s="83"/>
      <c r="B1655" s="83">
        <f>_xlfn.XLOOKUP(A1655,Equipe!H:H,Equipe!B:B,"",0)</f>
        <v>0</v>
      </c>
      <c r="C1655" s="154"/>
      <c r="D1655" s="150" t="e">
        <f>(IF(Tabela1[[#This Row],[Início]]&lt;&gt;"",C1655+E1655-1,""))*1</f>
        <v>#VALUE!</v>
      </c>
      <c r="E1655" s="83"/>
      <c r="F1655" s="83"/>
      <c r="G1655" s="88"/>
      <c r="H1655" s="83" t="str">
        <f>_xlfn.XLOOKUP(Tabela1[[#This Row],[Matrícula]],Equipe!B:B,Equipe!E:E,"ERRO",0)</f>
        <v>ERRO</v>
      </c>
      <c r="I1655" s="83" t="e">
        <f>VLOOKUP(Tabela1[[#This Row],[Matrícula]],Equipe!B:F,5,0)</f>
        <v>#N/A</v>
      </c>
    </row>
    <row r="1656" spans="1:9">
      <c r="A1656" s="83"/>
      <c r="B1656" s="83">
        <f>_xlfn.XLOOKUP(A1656,Equipe!H:H,Equipe!B:B,"",0)</f>
        <v>0</v>
      </c>
      <c r="C1656" s="154"/>
      <c r="D1656" s="150" t="e">
        <f>(IF(Tabela1[[#This Row],[Início]]&lt;&gt;"",C1656+E1656-1,""))*1</f>
        <v>#VALUE!</v>
      </c>
      <c r="E1656" s="83"/>
      <c r="F1656" s="83"/>
      <c r="G1656" s="88"/>
      <c r="H1656" s="83" t="str">
        <f>_xlfn.XLOOKUP(Tabela1[[#This Row],[Matrícula]],Equipe!B:B,Equipe!E:E,"ERRO",0)</f>
        <v>ERRO</v>
      </c>
      <c r="I1656" s="83" t="e">
        <f>VLOOKUP(Tabela1[[#This Row],[Matrícula]],Equipe!B:F,5,0)</f>
        <v>#N/A</v>
      </c>
    </row>
    <row r="1657" spans="1:9">
      <c r="A1657" s="83"/>
      <c r="B1657" s="83">
        <f>_xlfn.XLOOKUP(A1657,Equipe!H:H,Equipe!B:B,"",0)</f>
        <v>0</v>
      </c>
      <c r="C1657" s="154"/>
      <c r="D1657" s="150" t="e">
        <f>(IF(Tabela1[[#This Row],[Início]]&lt;&gt;"",C1657+E1657-1,""))*1</f>
        <v>#VALUE!</v>
      </c>
      <c r="E1657" s="83"/>
      <c r="F1657" s="83"/>
      <c r="G1657" s="88"/>
      <c r="H1657" s="83" t="str">
        <f>_xlfn.XLOOKUP(Tabela1[[#This Row],[Matrícula]],Equipe!B:B,Equipe!E:E,"ERRO",0)</f>
        <v>ERRO</v>
      </c>
      <c r="I1657" s="83" t="e">
        <f>VLOOKUP(Tabela1[[#This Row],[Matrícula]],Equipe!B:F,5,0)</f>
        <v>#N/A</v>
      </c>
    </row>
    <row r="1658" spans="1:9">
      <c r="A1658" s="83"/>
      <c r="B1658" s="83">
        <f>_xlfn.XLOOKUP(A1658,Equipe!H:H,Equipe!B:B,"",0)</f>
        <v>0</v>
      </c>
      <c r="C1658" s="154"/>
      <c r="D1658" s="150" t="e">
        <f>(IF(Tabela1[[#This Row],[Início]]&lt;&gt;"",C1658+E1658-1,""))*1</f>
        <v>#VALUE!</v>
      </c>
      <c r="E1658" s="83"/>
      <c r="F1658" s="83"/>
      <c r="G1658" s="88"/>
      <c r="H1658" s="83" t="str">
        <f>_xlfn.XLOOKUP(Tabela1[[#This Row],[Matrícula]],Equipe!B:B,Equipe!E:E,"ERRO",0)</f>
        <v>ERRO</v>
      </c>
      <c r="I1658" s="83" t="e">
        <f>VLOOKUP(Tabela1[[#This Row],[Matrícula]],Equipe!B:F,5,0)</f>
        <v>#N/A</v>
      </c>
    </row>
    <row r="1659" spans="1:9">
      <c r="A1659" s="83"/>
      <c r="B1659" s="83">
        <f>_xlfn.XLOOKUP(A1659,Equipe!H:H,Equipe!B:B,"",0)</f>
        <v>0</v>
      </c>
      <c r="C1659" s="154"/>
      <c r="D1659" s="150" t="e">
        <f>(IF(Tabela1[[#This Row],[Início]]&lt;&gt;"",C1659+E1659-1,""))*1</f>
        <v>#VALUE!</v>
      </c>
      <c r="E1659" s="83"/>
      <c r="F1659" s="83"/>
      <c r="G1659" s="88"/>
      <c r="H1659" s="83" t="str">
        <f>_xlfn.XLOOKUP(Tabela1[[#This Row],[Matrícula]],Equipe!B:B,Equipe!E:E,"ERRO",0)</f>
        <v>ERRO</v>
      </c>
      <c r="I1659" s="83" t="e">
        <f>VLOOKUP(Tabela1[[#This Row],[Matrícula]],Equipe!B:F,5,0)</f>
        <v>#N/A</v>
      </c>
    </row>
    <row r="1660" spans="1:9">
      <c r="A1660" s="83"/>
      <c r="B1660" s="83">
        <f>_xlfn.XLOOKUP(A1660,Equipe!H:H,Equipe!B:B,"",0)</f>
        <v>0</v>
      </c>
      <c r="C1660" s="154"/>
      <c r="D1660" s="150" t="e">
        <f>(IF(Tabela1[[#This Row],[Início]]&lt;&gt;"",C1660+E1660-1,""))*1</f>
        <v>#VALUE!</v>
      </c>
      <c r="E1660" s="83"/>
      <c r="F1660" s="83"/>
      <c r="G1660" s="88"/>
      <c r="H1660" s="83" t="str">
        <f>_xlfn.XLOOKUP(Tabela1[[#This Row],[Matrícula]],Equipe!B:B,Equipe!E:E,"ERRO",0)</f>
        <v>ERRO</v>
      </c>
      <c r="I1660" s="83" t="e">
        <f>VLOOKUP(Tabela1[[#This Row],[Matrícula]],Equipe!B:F,5,0)</f>
        <v>#N/A</v>
      </c>
    </row>
    <row r="1661" spans="1:9">
      <c r="A1661" s="83"/>
      <c r="B1661" s="83">
        <f>_xlfn.XLOOKUP(A1661,Equipe!H:H,Equipe!B:B,"",0)</f>
        <v>0</v>
      </c>
      <c r="C1661" s="154"/>
      <c r="D1661" s="150" t="e">
        <f>(IF(Tabela1[[#This Row],[Início]]&lt;&gt;"",C1661+E1661-1,""))*1</f>
        <v>#VALUE!</v>
      </c>
      <c r="E1661" s="83"/>
      <c r="F1661" s="83"/>
      <c r="G1661" s="88"/>
      <c r="H1661" s="83" t="str">
        <f>_xlfn.XLOOKUP(Tabela1[[#This Row],[Matrícula]],Equipe!B:B,Equipe!E:E,"ERRO",0)</f>
        <v>ERRO</v>
      </c>
      <c r="I1661" s="83" t="e">
        <f>VLOOKUP(Tabela1[[#This Row],[Matrícula]],Equipe!B:F,5,0)</f>
        <v>#N/A</v>
      </c>
    </row>
    <row r="1662" spans="1:9">
      <c r="A1662" s="83"/>
      <c r="B1662" s="83">
        <f>_xlfn.XLOOKUP(A1662,Equipe!H:H,Equipe!B:B,"",0)</f>
        <v>0</v>
      </c>
      <c r="C1662" s="154"/>
      <c r="D1662" s="150" t="e">
        <f>(IF(Tabela1[[#This Row],[Início]]&lt;&gt;"",C1662+E1662-1,""))*1</f>
        <v>#VALUE!</v>
      </c>
      <c r="E1662" s="83"/>
      <c r="F1662" s="83"/>
      <c r="G1662" s="88"/>
      <c r="H1662" s="83" t="str">
        <f>_xlfn.XLOOKUP(Tabela1[[#This Row],[Matrícula]],Equipe!B:B,Equipe!E:E,"ERRO",0)</f>
        <v>ERRO</v>
      </c>
      <c r="I1662" s="83" t="e">
        <f>VLOOKUP(Tabela1[[#This Row],[Matrícula]],Equipe!B:F,5,0)</f>
        <v>#N/A</v>
      </c>
    </row>
    <row r="1663" spans="1:9">
      <c r="A1663" s="83"/>
      <c r="B1663" s="83">
        <f>_xlfn.XLOOKUP(A1663,Equipe!H:H,Equipe!B:B,"",0)</f>
        <v>0</v>
      </c>
      <c r="C1663" s="154"/>
      <c r="D1663" s="150" t="e">
        <f>(IF(Tabela1[[#This Row],[Início]]&lt;&gt;"",C1663+E1663-1,""))*1</f>
        <v>#VALUE!</v>
      </c>
      <c r="E1663" s="83"/>
      <c r="F1663" s="83"/>
      <c r="G1663" s="88"/>
      <c r="H1663" s="83" t="str">
        <f>_xlfn.XLOOKUP(Tabela1[[#This Row],[Matrícula]],Equipe!B:B,Equipe!E:E,"ERRO",0)</f>
        <v>ERRO</v>
      </c>
      <c r="I1663" s="83" t="e">
        <f>VLOOKUP(Tabela1[[#This Row],[Matrícula]],Equipe!B:F,5,0)</f>
        <v>#N/A</v>
      </c>
    </row>
    <row r="1664" spans="1:9">
      <c r="A1664" s="83"/>
      <c r="B1664" s="83">
        <f>_xlfn.XLOOKUP(A1664,Equipe!H:H,Equipe!B:B,"",0)</f>
        <v>0</v>
      </c>
      <c r="C1664" s="154"/>
      <c r="D1664" s="150" t="e">
        <f>(IF(Tabela1[[#This Row],[Início]]&lt;&gt;"",C1664+E1664-1,""))*1</f>
        <v>#VALUE!</v>
      </c>
      <c r="E1664" s="83"/>
      <c r="F1664" s="83"/>
      <c r="G1664" s="88"/>
      <c r="H1664" s="83" t="str">
        <f>_xlfn.XLOOKUP(Tabela1[[#This Row],[Matrícula]],Equipe!B:B,Equipe!E:E,"ERRO",0)</f>
        <v>ERRO</v>
      </c>
      <c r="I1664" s="83" t="e">
        <f>VLOOKUP(Tabela1[[#This Row],[Matrícula]],Equipe!B:F,5,0)</f>
        <v>#N/A</v>
      </c>
    </row>
    <row r="1665" spans="1:9">
      <c r="A1665" s="83"/>
      <c r="B1665" s="83">
        <f>_xlfn.XLOOKUP(A1665,Equipe!H:H,Equipe!B:B,"",0)</f>
        <v>0</v>
      </c>
      <c r="C1665" s="154"/>
      <c r="D1665" s="150" t="e">
        <f>(IF(Tabela1[[#This Row],[Início]]&lt;&gt;"",C1665+E1665-1,""))*1</f>
        <v>#VALUE!</v>
      </c>
      <c r="E1665" s="83"/>
      <c r="F1665" s="83"/>
      <c r="G1665" s="88"/>
      <c r="H1665" s="83" t="str">
        <f>_xlfn.XLOOKUP(Tabela1[[#This Row],[Matrícula]],Equipe!B:B,Equipe!E:E,"ERRO",0)</f>
        <v>ERRO</v>
      </c>
      <c r="I1665" s="83" t="e">
        <f>VLOOKUP(Tabela1[[#This Row],[Matrícula]],Equipe!B:F,5,0)</f>
        <v>#N/A</v>
      </c>
    </row>
    <row r="1666" spans="1:9">
      <c r="A1666" s="83"/>
      <c r="B1666" s="83">
        <f>_xlfn.XLOOKUP(A1666,Equipe!H:H,Equipe!B:B,"",0)</f>
        <v>0</v>
      </c>
      <c r="C1666" s="154"/>
      <c r="D1666" s="150" t="e">
        <f>(IF(Tabela1[[#This Row],[Início]]&lt;&gt;"",C1666+E1666-1,""))*1</f>
        <v>#VALUE!</v>
      </c>
      <c r="E1666" s="83"/>
      <c r="F1666" s="83"/>
      <c r="G1666" s="88"/>
      <c r="H1666" s="83" t="str">
        <f>_xlfn.XLOOKUP(Tabela1[[#This Row],[Matrícula]],Equipe!B:B,Equipe!E:E,"ERRO",0)</f>
        <v>ERRO</v>
      </c>
      <c r="I1666" s="83" t="e">
        <f>VLOOKUP(Tabela1[[#This Row],[Matrícula]],Equipe!B:F,5,0)</f>
        <v>#N/A</v>
      </c>
    </row>
    <row r="1667" spans="1:9">
      <c r="A1667" s="83"/>
      <c r="B1667" s="83">
        <f>_xlfn.XLOOKUP(A1667,Equipe!H:H,Equipe!B:B,"",0)</f>
        <v>0</v>
      </c>
      <c r="C1667" s="154"/>
      <c r="D1667" s="150" t="e">
        <f>(IF(Tabela1[[#This Row],[Início]]&lt;&gt;"",C1667+E1667-1,""))*1</f>
        <v>#VALUE!</v>
      </c>
      <c r="E1667" s="83"/>
      <c r="F1667" s="83"/>
      <c r="G1667" s="88"/>
      <c r="H1667" s="83" t="str">
        <f>_xlfn.XLOOKUP(Tabela1[[#This Row],[Matrícula]],Equipe!B:B,Equipe!E:E,"ERRO",0)</f>
        <v>ERRO</v>
      </c>
      <c r="I1667" s="83" t="e">
        <f>VLOOKUP(Tabela1[[#This Row],[Matrícula]],Equipe!B:F,5,0)</f>
        <v>#N/A</v>
      </c>
    </row>
    <row r="1668" spans="1:9">
      <c r="A1668" s="83"/>
      <c r="B1668" s="83">
        <f>_xlfn.XLOOKUP(A1668,Equipe!H:H,Equipe!B:B,"",0)</f>
        <v>0</v>
      </c>
      <c r="C1668" s="154"/>
      <c r="D1668" s="150" t="e">
        <f>(IF(Tabela1[[#This Row],[Início]]&lt;&gt;"",C1668+E1668-1,""))*1</f>
        <v>#VALUE!</v>
      </c>
      <c r="E1668" s="83"/>
      <c r="F1668" s="83"/>
      <c r="G1668" s="88"/>
      <c r="H1668" s="83" t="str">
        <f>_xlfn.XLOOKUP(Tabela1[[#This Row],[Matrícula]],Equipe!B:B,Equipe!E:E,"ERRO",0)</f>
        <v>ERRO</v>
      </c>
      <c r="I1668" s="83" t="e">
        <f>VLOOKUP(Tabela1[[#This Row],[Matrícula]],Equipe!B:F,5,0)</f>
        <v>#N/A</v>
      </c>
    </row>
    <row r="1669" spans="1:9">
      <c r="A1669" s="83"/>
      <c r="B1669" s="83">
        <f>_xlfn.XLOOKUP(A1669,Equipe!H:H,Equipe!B:B,"",0)</f>
        <v>0</v>
      </c>
      <c r="C1669" s="154"/>
      <c r="D1669" s="150" t="e">
        <f>(IF(Tabela1[[#This Row],[Início]]&lt;&gt;"",C1669+E1669-1,""))*1</f>
        <v>#VALUE!</v>
      </c>
      <c r="E1669" s="83"/>
      <c r="F1669" s="83"/>
      <c r="G1669" s="88"/>
      <c r="H1669" s="83" t="str">
        <f>_xlfn.XLOOKUP(Tabela1[[#This Row],[Matrícula]],Equipe!B:B,Equipe!E:E,"ERRO",0)</f>
        <v>ERRO</v>
      </c>
      <c r="I1669" s="83" t="e">
        <f>VLOOKUP(Tabela1[[#This Row],[Matrícula]],Equipe!B:F,5,0)</f>
        <v>#N/A</v>
      </c>
    </row>
    <row r="1670" spans="1:9">
      <c r="A1670" s="83"/>
      <c r="B1670" s="83">
        <f>_xlfn.XLOOKUP(A1670,Equipe!H:H,Equipe!B:B,"",0)</f>
        <v>0</v>
      </c>
      <c r="C1670" s="154"/>
      <c r="D1670" s="150" t="e">
        <f>(IF(Tabela1[[#This Row],[Início]]&lt;&gt;"",C1670+E1670-1,""))*1</f>
        <v>#VALUE!</v>
      </c>
      <c r="E1670" s="83"/>
      <c r="F1670" s="83"/>
      <c r="G1670" s="88"/>
      <c r="H1670" s="83" t="str">
        <f>_xlfn.XLOOKUP(Tabela1[[#This Row],[Matrícula]],Equipe!B:B,Equipe!E:E,"ERRO",0)</f>
        <v>ERRO</v>
      </c>
      <c r="I1670" s="83" t="e">
        <f>VLOOKUP(Tabela1[[#This Row],[Matrícula]],Equipe!B:F,5,0)</f>
        <v>#N/A</v>
      </c>
    </row>
    <row r="1671" spans="1:9">
      <c r="A1671" s="83"/>
      <c r="B1671" s="83">
        <f>_xlfn.XLOOKUP(A1671,Equipe!H:H,Equipe!B:B,"",0)</f>
        <v>0</v>
      </c>
      <c r="C1671" s="154"/>
      <c r="D1671" s="150" t="e">
        <f>(IF(Tabela1[[#This Row],[Início]]&lt;&gt;"",C1671+E1671-1,""))*1</f>
        <v>#VALUE!</v>
      </c>
      <c r="E1671" s="83"/>
      <c r="F1671" s="83"/>
      <c r="G1671" s="88"/>
      <c r="H1671" s="83" t="str">
        <f>_xlfn.XLOOKUP(Tabela1[[#This Row],[Matrícula]],Equipe!B:B,Equipe!E:E,"ERRO",0)</f>
        <v>ERRO</v>
      </c>
      <c r="I1671" s="83" t="e">
        <f>VLOOKUP(Tabela1[[#This Row],[Matrícula]],Equipe!B:F,5,0)</f>
        <v>#N/A</v>
      </c>
    </row>
    <row r="1672" spans="1:9">
      <c r="A1672" s="83"/>
      <c r="B1672" s="83">
        <f>_xlfn.XLOOKUP(A1672,Equipe!H:H,Equipe!B:B,"",0)</f>
        <v>0</v>
      </c>
      <c r="C1672" s="154"/>
      <c r="D1672" s="150" t="e">
        <f>(IF(Tabela1[[#This Row],[Início]]&lt;&gt;"",C1672+E1672-1,""))*1</f>
        <v>#VALUE!</v>
      </c>
      <c r="E1672" s="83"/>
      <c r="F1672" s="83"/>
      <c r="G1672" s="88"/>
      <c r="H1672" s="83" t="str">
        <f>_xlfn.XLOOKUP(Tabela1[[#This Row],[Matrícula]],Equipe!B:B,Equipe!E:E,"ERRO",0)</f>
        <v>ERRO</v>
      </c>
      <c r="I1672" s="83" t="e">
        <f>VLOOKUP(Tabela1[[#This Row],[Matrícula]],Equipe!B:F,5,0)</f>
        <v>#N/A</v>
      </c>
    </row>
    <row r="1673" spans="1:9">
      <c r="A1673" s="83"/>
      <c r="B1673" s="83">
        <f>_xlfn.XLOOKUP(A1673,Equipe!H:H,Equipe!B:B,"",0)</f>
        <v>0</v>
      </c>
      <c r="C1673" s="154"/>
      <c r="D1673" s="150" t="e">
        <f>(IF(Tabela1[[#This Row],[Início]]&lt;&gt;"",C1673+E1673-1,""))*1</f>
        <v>#VALUE!</v>
      </c>
      <c r="E1673" s="83"/>
      <c r="F1673" s="83"/>
      <c r="G1673" s="88"/>
      <c r="H1673" s="83" t="str">
        <f>_xlfn.XLOOKUP(Tabela1[[#This Row],[Matrícula]],Equipe!B:B,Equipe!E:E,"ERRO",0)</f>
        <v>ERRO</v>
      </c>
      <c r="I1673" s="83" t="e">
        <f>VLOOKUP(Tabela1[[#This Row],[Matrícula]],Equipe!B:F,5,0)</f>
        <v>#N/A</v>
      </c>
    </row>
    <row r="1674" spans="1:9">
      <c r="A1674" s="83"/>
      <c r="B1674" s="83">
        <f>_xlfn.XLOOKUP(A1674,Equipe!H:H,Equipe!B:B,"",0)</f>
        <v>0</v>
      </c>
      <c r="C1674" s="154"/>
      <c r="D1674" s="150" t="e">
        <f>(IF(Tabela1[[#This Row],[Início]]&lt;&gt;"",C1674+E1674-1,""))*1</f>
        <v>#VALUE!</v>
      </c>
      <c r="E1674" s="83"/>
      <c r="F1674" s="83"/>
      <c r="G1674" s="88"/>
      <c r="H1674" s="83" t="str">
        <f>_xlfn.XLOOKUP(Tabela1[[#This Row],[Matrícula]],Equipe!B:B,Equipe!E:E,"ERRO",0)</f>
        <v>ERRO</v>
      </c>
      <c r="I1674" s="83" t="e">
        <f>VLOOKUP(Tabela1[[#This Row],[Matrícula]],Equipe!B:F,5,0)</f>
        <v>#N/A</v>
      </c>
    </row>
    <row r="1675" spans="1:9">
      <c r="A1675" s="83"/>
      <c r="B1675" s="83">
        <f>_xlfn.XLOOKUP(A1675,Equipe!H:H,Equipe!B:B,"",0)</f>
        <v>0</v>
      </c>
      <c r="C1675" s="154"/>
      <c r="D1675" s="150" t="e">
        <f>(IF(Tabela1[[#This Row],[Início]]&lt;&gt;"",C1675+E1675-1,""))*1</f>
        <v>#VALUE!</v>
      </c>
      <c r="E1675" s="83"/>
      <c r="F1675" s="83"/>
      <c r="G1675" s="88"/>
      <c r="H1675" s="83" t="str">
        <f>_xlfn.XLOOKUP(Tabela1[[#This Row],[Matrícula]],Equipe!B:B,Equipe!E:E,"ERRO",0)</f>
        <v>ERRO</v>
      </c>
      <c r="I1675" s="83" t="e">
        <f>VLOOKUP(Tabela1[[#This Row],[Matrícula]],Equipe!B:F,5,0)</f>
        <v>#N/A</v>
      </c>
    </row>
    <row r="1676" spans="1:9">
      <c r="A1676" s="83"/>
      <c r="B1676" s="83">
        <f>_xlfn.XLOOKUP(A1676,Equipe!H:H,Equipe!B:B,"",0)</f>
        <v>0</v>
      </c>
      <c r="C1676" s="154"/>
      <c r="D1676" s="150" t="e">
        <f>(IF(Tabela1[[#This Row],[Início]]&lt;&gt;"",C1676+E1676-1,""))*1</f>
        <v>#VALUE!</v>
      </c>
      <c r="E1676" s="83"/>
      <c r="F1676" s="83"/>
      <c r="G1676" s="88"/>
      <c r="H1676" s="83" t="str">
        <f>_xlfn.XLOOKUP(Tabela1[[#This Row],[Matrícula]],Equipe!B:B,Equipe!E:E,"ERRO",0)</f>
        <v>ERRO</v>
      </c>
      <c r="I1676" s="83" t="e">
        <f>VLOOKUP(Tabela1[[#This Row],[Matrícula]],Equipe!B:F,5,0)</f>
        <v>#N/A</v>
      </c>
    </row>
    <row r="1677" spans="1:9">
      <c r="A1677" s="83"/>
      <c r="B1677" s="83">
        <f>_xlfn.XLOOKUP(A1677,Equipe!H:H,Equipe!B:B,"",0)</f>
        <v>0</v>
      </c>
      <c r="C1677" s="154"/>
      <c r="D1677" s="150" t="e">
        <f>(IF(Tabela1[[#This Row],[Início]]&lt;&gt;"",C1677+E1677-1,""))*1</f>
        <v>#VALUE!</v>
      </c>
      <c r="E1677" s="83"/>
      <c r="F1677" s="83"/>
      <c r="G1677" s="88"/>
      <c r="H1677" s="83" t="str">
        <f>_xlfn.XLOOKUP(Tabela1[[#This Row],[Matrícula]],Equipe!B:B,Equipe!E:E,"ERRO",0)</f>
        <v>ERRO</v>
      </c>
      <c r="I1677" s="83" t="e">
        <f>VLOOKUP(Tabela1[[#This Row],[Matrícula]],Equipe!B:F,5,0)</f>
        <v>#N/A</v>
      </c>
    </row>
    <row r="1678" spans="1:9">
      <c r="A1678" s="83"/>
      <c r="B1678" s="83">
        <f>_xlfn.XLOOKUP(A1678,Equipe!H:H,Equipe!B:B,"",0)</f>
        <v>0</v>
      </c>
      <c r="C1678" s="154"/>
      <c r="D1678" s="150" t="e">
        <f>(IF(Tabela1[[#This Row],[Início]]&lt;&gt;"",C1678+E1678-1,""))*1</f>
        <v>#VALUE!</v>
      </c>
      <c r="E1678" s="83"/>
      <c r="F1678" s="83"/>
      <c r="G1678" s="88"/>
      <c r="H1678" s="83" t="str">
        <f>_xlfn.XLOOKUP(Tabela1[[#This Row],[Matrícula]],Equipe!B:B,Equipe!E:E,"ERRO",0)</f>
        <v>ERRO</v>
      </c>
      <c r="I1678" s="83" t="e">
        <f>VLOOKUP(Tabela1[[#This Row],[Matrícula]],Equipe!B:F,5,0)</f>
        <v>#N/A</v>
      </c>
    </row>
    <row r="1679" spans="1:9">
      <c r="A1679" s="83"/>
      <c r="B1679" s="83">
        <f>_xlfn.XLOOKUP(A1679,Equipe!H:H,Equipe!B:B,"",0)</f>
        <v>0</v>
      </c>
      <c r="C1679" s="154"/>
      <c r="D1679" s="150" t="e">
        <f>(IF(Tabela1[[#This Row],[Início]]&lt;&gt;"",C1679+E1679-1,""))*1</f>
        <v>#VALUE!</v>
      </c>
      <c r="E1679" s="83"/>
      <c r="F1679" s="83"/>
      <c r="G1679" s="88"/>
      <c r="H1679" s="83" t="str">
        <f>_xlfn.XLOOKUP(Tabela1[[#This Row],[Matrícula]],Equipe!B:B,Equipe!E:E,"ERRO",0)</f>
        <v>ERRO</v>
      </c>
      <c r="I1679" s="83" t="e">
        <f>VLOOKUP(Tabela1[[#This Row],[Matrícula]],Equipe!B:F,5,0)</f>
        <v>#N/A</v>
      </c>
    </row>
    <row r="1680" spans="1:9">
      <c r="A1680" s="83"/>
      <c r="B1680" s="83">
        <f>_xlfn.XLOOKUP(A1680,Equipe!H:H,Equipe!B:B,"",0)</f>
        <v>0</v>
      </c>
      <c r="C1680" s="154"/>
      <c r="D1680" s="150" t="e">
        <f>(IF(Tabela1[[#This Row],[Início]]&lt;&gt;"",C1680+E1680-1,""))*1</f>
        <v>#VALUE!</v>
      </c>
      <c r="E1680" s="83"/>
      <c r="F1680" s="83"/>
      <c r="G1680" s="88"/>
      <c r="H1680" s="83" t="str">
        <f>_xlfn.XLOOKUP(Tabela1[[#This Row],[Matrícula]],Equipe!B:B,Equipe!E:E,"ERRO",0)</f>
        <v>ERRO</v>
      </c>
      <c r="I1680" s="83" t="e">
        <f>VLOOKUP(Tabela1[[#This Row],[Matrícula]],Equipe!B:F,5,0)</f>
        <v>#N/A</v>
      </c>
    </row>
    <row r="1681" spans="1:9">
      <c r="A1681" s="83"/>
      <c r="B1681" s="83">
        <f>_xlfn.XLOOKUP(A1681,Equipe!H:H,Equipe!B:B,"",0)</f>
        <v>0</v>
      </c>
      <c r="C1681" s="154"/>
      <c r="D1681" s="150" t="e">
        <f>(IF(Tabela1[[#This Row],[Início]]&lt;&gt;"",C1681+E1681-1,""))*1</f>
        <v>#VALUE!</v>
      </c>
      <c r="E1681" s="83"/>
      <c r="F1681" s="83"/>
      <c r="G1681" s="88"/>
      <c r="H1681" s="83" t="str">
        <f>_xlfn.XLOOKUP(Tabela1[[#This Row],[Matrícula]],Equipe!B:B,Equipe!E:E,"ERRO",0)</f>
        <v>ERRO</v>
      </c>
      <c r="I1681" s="83" t="e">
        <f>VLOOKUP(Tabela1[[#This Row],[Matrícula]],Equipe!B:F,5,0)</f>
        <v>#N/A</v>
      </c>
    </row>
    <row r="1682" spans="1:9">
      <c r="A1682" s="83"/>
      <c r="B1682" s="83">
        <f>_xlfn.XLOOKUP(A1682,Equipe!H:H,Equipe!B:B,"",0)</f>
        <v>0</v>
      </c>
      <c r="C1682" s="154"/>
      <c r="D1682" s="150" t="e">
        <f>(IF(Tabela1[[#This Row],[Início]]&lt;&gt;"",C1682+E1682-1,""))*1</f>
        <v>#VALUE!</v>
      </c>
      <c r="E1682" s="83"/>
      <c r="F1682" s="83"/>
      <c r="G1682" s="88"/>
      <c r="H1682" s="83" t="str">
        <f>_xlfn.XLOOKUP(Tabela1[[#This Row],[Matrícula]],Equipe!B:B,Equipe!E:E,"ERRO",0)</f>
        <v>ERRO</v>
      </c>
      <c r="I1682" s="83" t="e">
        <f>VLOOKUP(Tabela1[[#This Row],[Matrícula]],Equipe!B:F,5,0)</f>
        <v>#N/A</v>
      </c>
    </row>
    <row r="1683" spans="1:9">
      <c r="A1683" s="83"/>
      <c r="B1683" s="83">
        <f>_xlfn.XLOOKUP(A1683,Equipe!H:H,Equipe!B:B,"",0)</f>
        <v>0</v>
      </c>
      <c r="C1683" s="154"/>
      <c r="D1683" s="150" t="e">
        <f>(IF(Tabela1[[#This Row],[Início]]&lt;&gt;"",C1683+E1683-1,""))*1</f>
        <v>#VALUE!</v>
      </c>
      <c r="E1683" s="83"/>
      <c r="F1683" s="83"/>
      <c r="G1683" s="88"/>
      <c r="H1683" s="83" t="str">
        <f>_xlfn.XLOOKUP(Tabela1[[#This Row],[Matrícula]],Equipe!B:B,Equipe!E:E,"ERRO",0)</f>
        <v>ERRO</v>
      </c>
      <c r="I1683" s="83" t="e">
        <f>VLOOKUP(Tabela1[[#This Row],[Matrícula]],Equipe!B:F,5,0)</f>
        <v>#N/A</v>
      </c>
    </row>
    <row r="1684" spans="1:9">
      <c r="A1684" s="83"/>
      <c r="B1684" s="83">
        <f>_xlfn.XLOOKUP(A1684,Equipe!H:H,Equipe!B:B,"",0)</f>
        <v>0</v>
      </c>
      <c r="C1684" s="154"/>
      <c r="D1684" s="150" t="e">
        <f>(IF(Tabela1[[#This Row],[Início]]&lt;&gt;"",C1684+E1684-1,""))*1</f>
        <v>#VALUE!</v>
      </c>
      <c r="E1684" s="83"/>
      <c r="F1684" s="83"/>
      <c r="G1684" s="88"/>
      <c r="H1684" s="83" t="str">
        <f>_xlfn.XLOOKUP(Tabela1[[#This Row],[Matrícula]],Equipe!B:B,Equipe!E:E,"ERRO",0)</f>
        <v>ERRO</v>
      </c>
      <c r="I1684" s="83" t="e">
        <f>VLOOKUP(Tabela1[[#This Row],[Matrícula]],Equipe!B:F,5,0)</f>
        <v>#N/A</v>
      </c>
    </row>
    <row r="1685" spans="1:9">
      <c r="A1685" s="83"/>
      <c r="B1685" s="83">
        <f>_xlfn.XLOOKUP(A1685,Equipe!H:H,Equipe!B:B,"",0)</f>
        <v>0</v>
      </c>
      <c r="C1685" s="154"/>
      <c r="D1685" s="150" t="e">
        <f>(IF(Tabela1[[#This Row],[Início]]&lt;&gt;"",C1685+E1685-1,""))*1</f>
        <v>#VALUE!</v>
      </c>
      <c r="E1685" s="83"/>
      <c r="F1685" s="83"/>
      <c r="G1685" s="88"/>
      <c r="H1685" s="83" t="str">
        <f>_xlfn.XLOOKUP(Tabela1[[#This Row],[Matrícula]],Equipe!B:B,Equipe!E:E,"ERRO",0)</f>
        <v>ERRO</v>
      </c>
      <c r="I1685" s="83" t="e">
        <f>VLOOKUP(Tabela1[[#This Row],[Matrícula]],Equipe!B:F,5,0)</f>
        <v>#N/A</v>
      </c>
    </row>
    <row r="1686" spans="1:9">
      <c r="A1686" s="83"/>
      <c r="B1686" s="83">
        <f>_xlfn.XLOOKUP(A1686,Equipe!H:H,Equipe!B:B,"",0)</f>
        <v>0</v>
      </c>
      <c r="C1686" s="154"/>
      <c r="D1686" s="150" t="e">
        <f>(IF(Tabela1[[#This Row],[Início]]&lt;&gt;"",C1686+E1686-1,""))*1</f>
        <v>#VALUE!</v>
      </c>
      <c r="E1686" s="83"/>
      <c r="F1686" s="83"/>
      <c r="G1686" s="88"/>
      <c r="H1686" s="83" t="str">
        <f>_xlfn.XLOOKUP(Tabela1[[#This Row],[Matrícula]],Equipe!B:B,Equipe!E:E,"ERRO",0)</f>
        <v>ERRO</v>
      </c>
      <c r="I1686" s="83" t="e">
        <f>VLOOKUP(Tabela1[[#This Row],[Matrícula]],Equipe!B:F,5,0)</f>
        <v>#N/A</v>
      </c>
    </row>
    <row r="1687" spans="1:9">
      <c r="A1687" s="83"/>
      <c r="B1687" s="83">
        <f>_xlfn.XLOOKUP(A1687,Equipe!H:H,Equipe!B:B,"",0)</f>
        <v>0</v>
      </c>
      <c r="C1687" s="154"/>
      <c r="D1687" s="150" t="e">
        <f>(IF(Tabela1[[#This Row],[Início]]&lt;&gt;"",C1687+E1687-1,""))*1</f>
        <v>#VALUE!</v>
      </c>
      <c r="E1687" s="83"/>
      <c r="F1687" s="83"/>
      <c r="G1687" s="88"/>
      <c r="H1687" s="83" t="str">
        <f>_xlfn.XLOOKUP(Tabela1[[#This Row],[Matrícula]],Equipe!B:B,Equipe!E:E,"ERRO",0)</f>
        <v>ERRO</v>
      </c>
      <c r="I1687" s="83" t="e">
        <f>VLOOKUP(Tabela1[[#This Row],[Matrícula]],Equipe!B:F,5,0)</f>
        <v>#N/A</v>
      </c>
    </row>
    <row r="1688" spans="1:9">
      <c r="A1688" s="83"/>
      <c r="B1688" s="83">
        <f>_xlfn.XLOOKUP(A1688,Equipe!H:H,Equipe!B:B,"",0)</f>
        <v>0</v>
      </c>
      <c r="C1688" s="154"/>
      <c r="D1688" s="150" t="e">
        <f>(IF(Tabela1[[#This Row],[Início]]&lt;&gt;"",C1688+E1688-1,""))*1</f>
        <v>#VALUE!</v>
      </c>
      <c r="E1688" s="83"/>
      <c r="F1688" s="83"/>
      <c r="G1688" s="88"/>
      <c r="H1688" s="83" t="str">
        <f>_xlfn.XLOOKUP(Tabela1[[#This Row],[Matrícula]],Equipe!B:B,Equipe!E:E,"ERRO",0)</f>
        <v>ERRO</v>
      </c>
      <c r="I1688" s="83" t="e">
        <f>VLOOKUP(Tabela1[[#This Row],[Matrícula]],Equipe!B:F,5,0)</f>
        <v>#N/A</v>
      </c>
    </row>
    <row r="1689" spans="1:9">
      <c r="A1689" s="83"/>
      <c r="B1689" s="83">
        <f>_xlfn.XLOOKUP(A1689,Equipe!H:H,Equipe!B:B,"",0)</f>
        <v>0</v>
      </c>
      <c r="C1689" s="154"/>
      <c r="D1689" s="150" t="e">
        <f>(IF(Tabela1[[#This Row],[Início]]&lt;&gt;"",C1689+E1689-1,""))*1</f>
        <v>#VALUE!</v>
      </c>
      <c r="E1689" s="83"/>
      <c r="F1689" s="83"/>
      <c r="G1689" s="88"/>
      <c r="H1689" s="83" t="str">
        <f>_xlfn.XLOOKUP(Tabela1[[#This Row],[Matrícula]],Equipe!B:B,Equipe!E:E,"ERRO",0)</f>
        <v>ERRO</v>
      </c>
      <c r="I1689" s="83" t="e">
        <f>VLOOKUP(Tabela1[[#This Row],[Matrícula]],Equipe!B:F,5,0)</f>
        <v>#N/A</v>
      </c>
    </row>
    <row r="1690" spans="1:9">
      <c r="A1690" s="83"/>
      <c r="B1690" s="83">
        <f>_xlfn.XLOOKUP(A1690,Equipe!H:H,Equipe!B:B,"",0)</f>
        <v>0</v>
      </c>
      <c r="C1690" s="154"/>
      <c r="D1690" s="150" t="e">
        <f>(IF(Tabela1[[#This Row],[Início]]&lt;&gt;"",C1690+E1690-1,""))*1</f>
        <v>#VALUE!</v>
      </c>
      <c r="E1690" s="83"/>
      <c r="F1690" s="83"/>
      <c r="G1690" s="88"/>
      <c r="H1690" s="83" t="str">
        <f>_xlfn.XLOOKUP(Tabela1[[#This Row],[Matrícula]],Equipe!B:B,Equipe!E:E,"ERRO",0)</f>
        <v>ERRO</v>
      </c>
      <c r="I1690" s="83" t="e">
        <f>VLOOKUP(Tabela1[[#This Row],[Matrícula]],Equipe!B:F,5,0)</f>
        <v>#N/A</v>
      </c>
    </row>
    <row r="1691" spans="1:9">
      <c r="A1691" s="83"/>
      <c r="B1691" s="83">
        <f>_xlfn.XLOOKUP(A1691,Equipe!H:H,Equipe!B:B,"",0)</f>
        <v>0</v>
      </c>
      <c r="C1691" s="154"/>
      <c r="D1691" s="150" t="e">
        <f>(IF(Tabela1[[#This Row],[Início]]&lt;&gt;"",C1691+E1691-1,""))*1</f>
        <v>#VALUE!</v>
      </c>
      <c r="E1691" s="83"/>
      <c r="F1691" s="83"/>
      <c r="G1691" s="88"/>
      <c r="H1691" s="83" t="str">
        <f>_xlfn.XLOOKUP(Tabela1[[#This Row],[Matrícula]],Equipe!B:B,Equipe!E:E,"ERRO",0)</f>
        <v>ERRO</v>
      </c>
      <c r="I1691" s="83" t="e">
        <f>VLOOKUP(Tabela1[[#This Row],[Matrícula]],Equipe!B:F,5,0)</f>
        <v>#N/A</v>
      </c>
    </row>
    <row r="1692" spans="1:9">
      <c r="A1692" s="83"/>
      <c r="B1692" s="83">
        <f>_xlfn.XLOOKUP(A1692,Equipe!H:H,Equipe!B:B,"",0)</f>
        <v>0</v>
      </c>
      <c r="C1692" s="154"/>
      <c r="D1692" s="150" t="e">
        <f>(IF(Tabela1[[#This Row],[Início]]&lt;&gt;"",C1692+E1692-1,""))*1</f>
        <v>#VALUE!</v>
      </c>
      <c r="E1692" s="83"/>
      <c r="F1692" s="83"/>
      <c r="G1692" s="88"/>
      <c r="H1692" s="83" t="str">
        <f>_xlfn.XLOOKUP(Tabela1[[#This Row],[Matrícula]],Equipe!B:B,Equipe!E:E,"ERRO",0)</f>
        <v>ERRO</v>
      </c>
      <c r="I1692" s="83" t="e">
        <f>VLOOKUP(Tabela1[[#This Row],[Matrícula]],Equipe!B:F,5,0)</f>
        <v>#N/A</v>
      </c>
    </row>
    <row r="1693" spans="1:9">
      <c r="A1693" s="83"/>
      <c r="B1693" s="83">
        <f>_xlfn.XLOOKUP(A1693,Equipe!H:H,Equipe!B:B,"",0)</f>
        <v>0</v>
      </c>
      <c r="C1693" s="154"/>
      <c r="D1693" s="150" t="e">
        <f>(IF(Tabela1[[#This Row],[Início]]&lt;&gt;"",C1693+E1693-1,""))*1</f>
        <v>#VALUE!</v>
      </c>
      <c r="E1693" s="83"/>
      <c r="F1693" s="83"/>
      <c r="G1693" s="88"/>
      <c r="H1693" s="83" t="str">
        <f>_xlfn.XLOOKUP(Tabela1[[#This Row],[Matrícula]],Equipe!B:B,Equipe!E:E,"ERRO",0)</f>
        <v>ERRO</v>
      </c>
      <c r="I1693" s="83" t="e">
        <f>VLOOKUP(Tabela1[[#This Row],[Matrícula]],Equipe!B:F,5,0)</f>
        <v>#N/A</v>
      </c>
    </row>
    <row r="1694" spans="1:9">
      <c r="A1694" s="83"/>
      <c r="B1694" s="83">
        <f>_xlfn.XLOOKUP(A1694,Equipe!H:H,Equipe!B:B,"",0)</f>
        <v>0</v>
      </c>
      <c r="C1694" s="154"/>
      <c r="D1694" s="150" t="e">
        <f>(IF(Tabela1[[#This Row],[Início]]&lt;&gt;"",C1694+E1694-1,""))*1</f>
        <v>#VALUE!</v>
      </c>
      <c r="E1694" s="83"/>
      <c r="F1694" s="83"/>
      <c r="G1694" s="88"/>
      <c r="H1694" s="83" t="str">
        <f>_xlfn.XLOOKUP(Tabela1[[#This Row],[Matrícula]],Equipe!B:B,Equipe!E:E,"ERRO",0)</f>
        <v>ERRO</v>
      </c>
      <c r="I1694" s="83" t="e">
        <f>VLOOKUP(Tabela1[[#This Row],[Matrícula]],Equipe!B:F,5,0)</f>
        <v>#N/A</v>
      </c>
    </row>
    <row r="1695" spans="1:9">
      <c r="A1695" s="83"/>
      <c r="B1695" s="83">
        <f>_xlfn.XLOOKUP(A1695,Equipe!H:H,Equipe!B:B,"",0)</f>
        <v>0</v>
      </c>
      <c r="C1695" s="154"/>
      <c r="D1695" s="150" t="e">
        <f>(IF(Tabela1[[#This Row],[Início]]&lt;&gt;"",C1695+E1695-1,""))*1</f>
        <v>#VALUE!</v>
      </c>
      <c r="E1695" s="83"/>
      <c r="F1695" s="83"/>
      <c r="G1695" s="88"/>
      <c r="H1695" s="83" t="str">
        <f>_xlfn.XLOOKUP(Tabela1[[#This Row],[Matrícula]],Equipe!B:B,Equipe!E:E,"ERRO",0)</f>
        <v>ERRO</v>
      </c>
      <c r="I1695" s="83" t="e">
        <f>VLOOKUP(Tabela1[[#This Row],[Matrícula]],Equipe!B:F,5,0)</f>
        <v>#N/A</v>
      </c>
    </row>
    <row r="1696" spans="1:9">
      <c r="A1696" s="83"/>
      <c r="B1696" s="83">
        <f>_xlfn.XLOOKUP(A1696,Equipe!H:H,Equipe!B:B,"",0)</f>
        <v>0</v>
      </c>
      <c r="C1696" s="154"/>
      <c r="D1696" s="150" t="e">
        <f>(IF(Tabela1[[#This Row],[Início]]&lt;&gt;"",C1696+E1696-1,""))*1</f>
        <v>#VALUE!</v>
      </c>
      <c r="E1696" s="83"/>
      <c r="F1696" s="83"/>
      <c r="G1696" s="88"/>
      <c r="H1696" s="83" t="str">
        <f>_xlfn.XLOOKUP(Tabela1[[#This Row],[Matrícula]],Equipe!B:B,Equipe!E:E,"ERRO",0)</f>
        <v>ERRO</v>
      </c>
      <c r="I1696" s="83" t="e">
        <f>VLOOKUP(Tabela1[[#This Row],[Matrícula]],Equipe!B:F,5,0)</f>
        <v>#N/A</v>
      </c>
    </row>
    <row r="1697" spans="1:9">
      <c r="A1697" s="83"/>
      <c r="B1697" s="83">
        <f>_xlfn.XLOOKUP(A1697,Equipe!H:H,Equipe!B:B,"",0)</f>
        <v>0</v>
      </c>
      <c r="C1697" s="154"/>
      <c r="D1697" s="150" t="e">
        <f>(IF(Tabela1[[#This Row],[Início]]&lt;&gt;"",C1697+E1697-1,""))*1</f>
        <v>#VALUE!</v>
      </c>
      <c r="E1697" s="83"/>
      <c r="F1697" s="83"/>
      <c r="G1697" s="88"/>
      <c r="H1697" s="83" t="str">
        <f>_xlfn.XLOOKUP(Tabela1[[#This Row],[Matrícula]],Equipe!B:B,Equipe!E:E,"ERRO",0)</f>
        <v>ERRO</v>
      </c>
      <c r="I1697" s="83" t="e">
        <f>VLOOKUP(Tabela1[[#This Row],[Matrícula]],Equipe!B:F,5,0)</f>
        <v>#N/A</v>
      </c>
    </row>
    <row r="1698" spans="1:9">
      <c r="A1698" s="83"/>
      <c r="B1698" s="83">
        <f>_xlfn.XLOOKUP(A1698,Equipe!H:H,Equipe!B:B,"",0)</f>
        <v>0</v>
      </c>
      <c r="C1698" s="154"/>
      <c r="D1698" s="150" t="e">
        <f>(IF(Tabela1[[#This Row],[Início]]&lt;&gt;"",C1698+E1698-1,""))*1</f>
        <v>#VALUE!</v>
      </c>
      <c r="E1698" s="83"/>
      <c r="F1698" s="83"/>
      <c r="G1698" s="88"/>
      <c r="H1698" s="83" t="str">
        <f>_xlfn.XLOOKUP(Tabela1[[#This Row],[Matrícula]],Equipe!B:B,Equipe!E:E,"ERRO",0)</f>
        <v>ERRO</v>
      </c>
      <c r="I1698" s="83" t="e">
        <f>VLOOKUP(Tabela1[[#This Row],[Matrícula]],Equipe!B:F,5,0)</f>
        <v>#N/A</v>
      </c>
    </row>
    <row r="1699" spans="1:9">
      <c r="A1699" s="83"/>
      <c r="B1699" s="83">
        <f>_xlfn.XLOOKUP(A1699,Equipe!H:H,Equipe!B:B,"",0)</f>
        <v>0</v>
      </c>
      <c r="C1699" s="154"/>
      <c r="D1699" s="150" t="e">
        <f>(IF(Tabela1[[#This Row],[Início]]&lt;&gt;"",C1699+E1699-1,""))*1</f>
        <v>#VALUE!</v>
      </c>
      <c r="E1699" s="83"/>
      <c r="F1699" s="83"/>
      <c r="G1699" s="88"/>
      <c r="H1699" s="83" t="str">
        <f>_xlfn.XLOOKUP(Tabela1[[#This Row],[Matrícula]],Equipe!B:B,Equipe!E:E,"ERRO",0)</f>
        <v>ERRO</v>
      </c>
      <c r="I1699" s="83" t="e">
        <f>VLOOKUP(Tabela1[[#This Row],[Matrícula]],Equipe!B:F,5,0)</f>
        <v>#N/A</v>
      </c>
    </row>
    <row r="1700" spans="1:9">
      <c r="A1700" s="83"/>
      <c r="B1700" s="83">
        <f>_xlfn.XLOOKUP(A1700,Equipe!H:H,Equipe!B:B,"",0)</f>
        <v>0</v>
      </c>
      <c r="C1700" s="154"/>
      <c r="D1700" s="150" t="e">
        <f>(IF(Tabela1[[#This Row],[Início]]&lt;&gt;"",C1700+E1700-1,""))*1</f>
        <v>#VALUE!</v>
      </c>
      <c r="E1700" s="83"/>
      <c r="F1700" s="83"/>
      <c r="G1700" s="88"/>
      <c r="H1700" s="83" t="str">
        <f>_xlfn.XLOOKUP(Tabela1[[#This Row],[Matrícula]],Equipe!B:B,Equipe!E:E,"ERRO",0)</f>
        <v>ERRO</v>
      </c>
      <c r="I1700" s="83" t="e">
        <f>VLOOKUP(Tabela1[[#This Row],[Matrícula]],Equipe!B:F,5,0)</f>
        <v>#N/A</v>
      </c>
    </row>
    <row r="1701" spans="1:9">
      <c r="A1701" s="83"/>
      <c r="B1701" s="83">
        <f>_xlfn.XLOOKUP(A1701,Equipe!H:H,Equipe!B:B,"",0)</f>
        <v>0</v>
      </c>
      <c r="C1701" s="154"/>
      <c r="D1701" s="150" t="e">
        <f>(IF(Tabela1[[#This Row],[Início]]&lt;&gt;"",C1701+E1701-1,""))*1</f>
        <v>#VALUE!</v>
      </c>
      <c r="E1701" s="83"/>
      <c r="F1701" s="83"/>
      <c r="G1701" s="88"/>
      <c r="H1701" s="83" t="str">
        <f>_xlfn.XLOOKUP(Tabela1[[#This Row],[Matrícula]],Equipe!B:B,Equipe!E:E,"ERRO",0)</f>
        <v>ERRO</v>
      </c>
      <c r="I1701" s="83" t="e">
        <f>VLOOKUP(Tabela1[[#This Row],[Matrícula]],Equipe!B:F,5,0)</f>
        <v>#N/A</v>
      </c>
    </row>
    <row r="1702" spans="1:9">
      <c r="A1702" s="83"/>
      <c r="B1702" s="83">
        <f>_xlfn.XLOOKUP(A1702,Equipe!H:H,Equipe!B:B,"",0)</f>
        <v>0</v>
      </c>
      <c r="C1702" s="154"/>
      <c r="D1702" s="150" t="e">
        <f>(IF(Tabela1[[#This Row],[Início]]&lt;&gt;"",C1702+E1702-1,""))*1</f>
        <v>#VALUE!</v>
      </c>
      <c r="E1702" s="83"/>
      <c r="F1702" s="83"/>
      <c r="G1702" s="88"/>
      <c r="H1702" s="83" t="str">
        <f>_xlfn.XLOOKUP(Tabela1[[#This Row],[Matrícula]],Equipe!B:B,Equipe!E:E,"ERRO",0)</f>
        <v>ERRO</v>
      </c>
      <c r="I1702" s="83" t="e">
        <f>VLOOKUP(Tabela1[[#This Row],[Matrícula]],Equipe!B:F,5,0)</f>
        <v>#N/A</v>
      </c>
    </row>
    <row r="1703" spans="1:9">
      <c r="A1703" s="83"/>
      <c r="B1703" s="83">
        <f>_xlfn.XLOOKUP(A1703,Equipe!H:H,Equipe!B:B,"",0)</f>
        <v>0</v>
      </c>
      <c r="C1703" s="154"/>
      <c r="D1703" s="150" t="e">
        <f>(IF(Tabela1[[#This Row],[Início]]&lt;&gt;"",C1703+E1703-1,""))*1</f>
        <v>#VALUE!</v>
      </c>
      <c r="E1703" s="83"/>
      <c r="F1703" s="83"/>
      <c r="G1703" s="88"/>
      <c r="H1703" s="83" t="str">
        <f>_xlfn.XLOOKUP(Tabela1[[#This Row],[Matrícula]],Equipe!B:B,Equipe!E:E,"ERRO",0)</f>
        <v>ERRO</v>
      </c>
      <c r="I1703" s="83" t="e">
        <f>VLOOKUP(Tabela1[[#This Row],[Matrícula]],Equipe!B:F,5,0)</f>
        <v>#N/A</v>
      </c>
    </row>
    <row r="1704" spans="1:9">
      <c r="A1704" s="83"/>
      <c r="B1704" s="83">
        <f>_xlfn.XLOOKUP(A1704,Equipe!H:H,Equipe!B:B,"",0)</f>
        <v>0</v>
      </c>
      <c r="C1704" s="154"/>
      <c r="D1704" s="150" t="e">
        <f>(IF(Tabela1[[#This Row],[Início]]&lt;&gt;"",C1704+E1704-1,""))*1</f>
        <v>#VALUE!</v>
      </c>
      <c r="E1704" s="83"/>
      <c r="F1704" s="83"/>
      <c r="G1704" s="88"/>
      <c r="H1704" s="83" t="str">
        <f>_xlfn.XLOOKUP(Tabela1[[#This Row],[Matrícula]],Equipe!B:B,Equipe!E:E,"ERRO",0)</f>
        <v>ERRO</v>
      </c>
      <c r="I1704" s="83" t="e">
        <f>VLOOKUP(Tabela1[[#This Row],[Matrícula]],Equipe!B:F,5,0)</f>
        <v>#N/A</v>
      </c>
    </row>
    <row r="1705" spans="1:9">
      <c r="A1705" s="83"/>
      <c r="B1705" s="83">
        <f>_xlfn.XLOOKUP(A1705,Equipe!H:H,Equipe!B:B,"",0)</f>
        <v>0</v>
      </c>
      <c r="C1705" s="154"/>
      <c r="D1705" s="150" t="e">
        <f>(IF(Tabela1[[#This Row],[Início]]&lt;&gt;"",C1705+E1705-1,""))*1</f>
        <v>#VALUE!</v>
      </c>
      <c r="E1705" s="83"/>
      <c r="F1705" s="83"/>
      <c r="G1705" s="88"/>
      <c r="H1705" s="83" t="str">
        <f>_xlfn.XLOOKUP(Tabela1[[#This Row],[Matrícula]],Equipe!B:B,Equipe!E:E,"ERRO",0)</f>
        <v>ERRO</v>
      </c>
      <c r="I1705" s="83" t="e">
        <f>VLOOKUP(Tabela1[[#This Row],[Matrícula]],Equipe!B:F,5,0)</f>
        <v>#N/A</v>
      </c>
    </row>
    <row r="1706" spans="1:9">
      <c r="A1706" s="83"/>
      <c r="B1706" s="83">
        <f>_xlfn.XLOOKUP(A1706,Equipe!H:H,Equipe!B:B,"",0)</f>
        <v>0</v>
      </c>
      <c r="C1706" s="154"/>
      <c r="D1706" s="150" t="e">
        <f>(IF(Tabela1[[#This Row],[Início]]&lt;&gt;"",C1706+E1706-1,""))*1</f>
        <v>#VALUE!</v>
      </c>
      <c r="E1706" s="83"/>
      <c r="F1706" s="83"/>
      <c r="G1706" s="88"/>
      <c r="H1706" s="83" t="str">
        <f>_xlfn.XLOOKUP(Tabela1[[#This Row],[Matrícula]],Equipe!B:B,Equipe!E:E,"ERRO",0)</f>
        <v>ERRO</v>
      </c>
      <c r="I1706" s="83" t="e">
        <f>VLOOKUP(Tabela1[[#This Row],[Matrícula]],Equipe!B:F,5,0)</f>
        <v>#N/A</v>
      </c>
    </row>
    <row r="1707" spans="1:9">
      <c r="A1707" s="83"/>
      <c r="B1707" s="83">
        <f>_xlfn.XLOOKUP(A1707,Equipe!H:H,Equipe!B:B,"",0)</f>
        <v>0</v>
      </c>
      <c r="C1707" s="154"/>
      <c r="D1707" s="150" t="e">
        <f>(IF(Tabela1[[#This Row],[Início]]&lt;&gt;"",C1707+E1707-1,""))*1</f>
        <v>#VALUE!</v>
      </c>
      <c r="E1707" s="83"/>
      <c r="F1707" s="83"/>
      <c r="G1707" s="88"/>
      <c r="H1707" s="83" t="str">
        <f>_xlfn.XLOOKUP(Tabela1[[#This Row],[Matrícula]],Equipe!B:B,Equipe!E:E,"ERRO",0)</f>
        <v>ERRO</v>
      </c>
      <c r="I1707" s="83" t="e">
        <f>VLOOKUP(Tabela1[[#This Row],[Matrícula]],Equipe!B:F,5,0)</f>
        <v>#N/A</v>
      </c>
    </row>
    <row r="1708" spans="1:9">
      <c r="A1708" s="83"/>
      <c r="B1708" s="83">
        <f>_xlfn.XLOOKUP(A1708,Equipe!H:H,Equipe!B:B,"",0)</f>
        <v>0</v>
      </c>
      <c r="C1708" s="154"/>
      <c r="D1708" s="150" t="e">
        <f>(IF(Tabela1[[#This Row],[Início]]&lt;&gt;"",C1708+E1708-1,""))*1</f>
        <v>#VALUE!</v>
      </c>
      <c r="E1708" s="83"/>
      <c r="F1708" s="83"/>
      <c r="G1708" s="88"/>
      <c r="H1708" s="83" t="str">
        <f>_xlfn.XLOOKUP(Tabela1[[#This Row],[Matrícula]],Equipe!B:B,Equipe!E:E,"ERRO",0)</f>
        <v>ERRO</v>
      </c>
      <c r="I1708" s="83" t="e">
        <f>VLOOKUP(Tabela1[[#This Row],[Matrícula]],Equipe!B:F,5,0)</f>
        <v>#N/A</v>
      </c>
    </row>
    <row r="1709" spans="1:9">
      <c r="A1709" s="83"/>
      <c r="B1709" s="83">
        <f>_xlfn.XLOOKUP(A1709,Equipe!H:H,Equipe!B:B,"",0)</f>
        <v>0</v>
      </c>
      <c r="C1709" s="154"/>
      <c r="D1709" s="150" t="e">
        <f>(IF(Tabela1[[#This Row],[Início]]&lt;&gt;"",C1709+E1709-1,""))*1</f>
        <v>#VALUE!</v>
      </c>
      <c r="E1709" s="83"/>
      <c r="F1709" s="83"/>
      <c r="G1709" s="88"/>
      <c r="H1709" s="83" t="str">
        <f>_xlfn.XLOOKUP(Tabela1[[#This Row],[Matrícula]],Equipe!B:B,Equipe!E:E,"ERRO",0)</f>
        <v>ERRO</v>
      </c>
      <c r="I1709" s="83" t="e">
        <f>VLOOKUP(Tabela1[[#This Row],[Matrícula]],Equipe!B:F,5,0)</f>
        <v>#N/A</v>
      </c>
    </row>
    <row r="1710" spans="1:9">
      <c r="A1710" s="83"/>
      <c r="B1710" s="83">
        <f>_xlfn.XLOOKUP(A1710,Equipe!H:H,Equipe!B:B,"",0)</f>
        <v>0</v>
      </c>
      <c r="C1710" s="154"/>
      <c r="D1710" s="150" t="e">
        <f>(IF(Tabela1[[#This Row],[Início]]&lt;&gt;"",C1710+E1710-1,""))*1</f>
        <v>#VALUE!</v>
      </c>
      <c r="E1710" s="83"/>
      <c r="F1710" s="83"/>
      <c r="G1710" s="88"/>
      <c r="H1710" s="83" t="str">
        <f>_xlfn.XLOOKUP(Tabela1[[#This Row],[Matrícula]],Equipe!B:B,Equipe!E:E,"ERRO",0)</f>
        <v>ERRO</v>
      </c>
      <c r="I1710" s="83" t="e">
        <f>VLOOKUP(Tabela1[[#This Row],[Matrícula]],Equipe!B:F,5,0)</f>
        <v>#N/A</v>
      </c>
    </row>
    <row r="1711" spans="1:9">
      <c r="A1711" s="83"/>
      <c r="B1711" s="83">
        <f>_xlfn.XLOOKUP(A1711,Equipe!H:H,Equipe!B:B,"",0)</f>
        <v>0</v>
      </c>
      <c r="C1711" s="154"/>
      <c r="D1711" s="150" t="e">
        <f>(IF(Tabela1[[#This Row],[Início]]&lt;&gt;"",C1711+E1711-1,""))*1</f>
        <v>#VALUE!</v>
      </c>
      <c r="E1711" s="83"/>
      <c r="F1711" s="83"/>
      <c r="G1711" s="88"/>
      <c r="H1711" s="83" t="str">
        <f>_xlfn.XLOOKUP(Tabela1[[#This Row],[Matrícula]],Equipe!B:B,Equipe!E:E,"ERRO",0)</f>
        <v>ERRO</v>
      </c>
      <c r="I1711" s="83" t="e">
        <f>VLOOKUP(Tabela1[[#This Row],[Matrícula]],Equipe!B:F,5,0)</f>
        <v>#N/A</v>
      </c>
    </row>
    <row r="1712" spans="1:9">
      <c r="A1712" s="83"/>
      <c r="B1712" s="83">
        <f>_xlfn.XLOOKUP(A1712,Equipe!H:H,Equipe!B:B,"",0)</f>
        <v>0</v>
      </c>
      <c r="C1712" s="154"/>
      <c r="D1712" s="150" t="e">
        <f>(IF(Tabela1[[#This Row],[Início]]&lt;&gt;"",C1712+E1712-1,""))*1</f>
        <v>#VALUE!</v>
      </c>
      <c r="E1712" s="83"/>
      <c r="F1712" s="83"/>
      <c r="G1712" s="88"/>
      <c r="H1712" s="83" t="str">
        <f>_xlfn.XLOOKUP(Tabela1[[#This Row],[Matrícula]],Equipe!B:B,Equipe!E:E,"ERRO",0)</f>
        <v>ERRO</v>
      </c>
      <c r="I1712" s="83" t="e">
        <f>VLOOKUP(Tabela1[[#This Row],[Matrícula]],Equipe!B:F,5,0)</f>
        <v>#N/A</v>
      </c>
    </row>
    <row r="1713" spans="1:9">
      <c r="A1713" s="83"/>
      <c r="B1713" s="83">
        <f>_xlfn.XLOOKUP(A1713,Equipe!H:H,Equipe!B:B,"",0)</f>
        <v>0</v>
      </c>
      <c r="C1713" s="154"/>
      <c r="D1713" s="150" t="e">
        <f>(IF(Tabela1[[#This Row],[Início]]&lt;&gt;"",C1713+E1713-1,""))*1</f>
        <v>#VALUE!</v>
      </c>
      <c r="E1713" s="83"/>
      <c r="F1713" s="83"/>
      <c r="G1713" s="88"/>
      <c r="H1713" s="83" t="str">
        <f>_xlfn.XLOOKUP(Tabela1[[#This Row],[Matrícula]],Equipe!B:B,Equipe!E:E,"ERRO",0)</f>
        <v>ERRO</v>
      </c>
      <c r="I1713" s="83" t="e">
        <f>VLOOKUP(Tabela1[[#This Row],[Matrícula]],Equipe!B:F,5,0)</f>
        <v>#N/A</v>
      </c>
    </row>
    <row r="1714" spans="1:9">
      <c r="A1714" s="83"/>
      <c r="B1714" s="83">
        <f>_xlfn.XLOOKUP(A1714,Equipe!H:H,Equipe!B:B,"",0)</f>
        <v>0</v>
      </c>
      <c r="C1714" s="154"/>
      <c r="D1714" s="150" t="e">
        <f>(IF(Tabela1[[#This Row],[Início]]&lt;&gt;"",C1714+E1714-1,""))*1</f>
        <v>#VALUE!</v>
      </c>
      <c r="E1714" s="83"/>
      <c r="F1714" s="83"/>
      <c r="G1714" s="88"/>
      <c r="H1714" s="83" t="str">
        <f>_xlfn.XLOOKUP(Tabela1[[#This Row],[Matrícula]],Equipe!B:B,Equipe!E:E,"ERRO",0)</f>
        <v>ERRO</v>
      </c>
      <c r="I1714" s="83" t="e">
        <f>VLOOKUP(Tabela1[[#This Row],[Matrícula]],Equipe!B:F,5,0)</f>
        <v>#N/A</v>
      </c>
    </row>
    <row r="1715" spans="1:9">
      <c r="A1715" s="83"/>
      <c r="B1715" s="83">
        <f>_xlfn.XLOOKUP(A1715,Equipe!H:H,Equipe!B:B,"",0)</f>
        <v>0</v>
      </c>
      <c r="C1715" s="154"/>
      <c r="D1715" s="150" t="e">
        <f>(IF(Tabela1[[#This Row],[Início]]&lt;&gt;"",C1715+E1715-1,""))*1</f>
        <v>#VALUE!</v>
      </c>
      <c r="E1715" s="83"/>
      <c r="F1715" s="83"/>
      <c r="G1715" s="88"/>
      <c r="H1715" s="83" t="str">
        <f>_xlfn.XLOOKUP(Tabela1[[#This Row],[Matrícula]],Equipe!B:B,Equipe!E:E,"ERRO",0)</f>
        <v>ERRO</v>
      </c>
      <c r="I1715" s="83" t="e">
        <f>VLOOKUP(Tabela1[[#This Row],[Matrícula]],Equipe!B:F,5,0)</f>
        <v>#N/A</v>
      </c>
    </row>
    <row r="1716" spans="1:9">
      <c r="A1716" s="83"/>
      <c r="B1716" s="83">
        <f>_xlfn.XLOOKUP(A1716,Equipe!H:H,Equipe!B:B,"",0)</f>
        <v>0</v>
      </c>
      <c r="C1716" s="154"/>
      <c r="D1716" s="150" t="e">
        <f>(IF(Tabela1[[#This Row],[Início]]&lt;&gt;"",C1716+E1716-1,""))*1</f>
        <v>#VALUE!</v>
      </c>
      <c r="E1716" s="83"/>
      <c r="F1716" s="83"/>
      <c r="G1716" s="88"/>
      <c r="H1716" s="83" t="str">
        <f>_xlfn.XLOOKUP(Tabela1[[#This Row],[Matrícula]],Equipe!B:B,Equipe!E:E,"ERRO",0)</f>
        <v>ERRO</v>
      </c>
      <c r="I1716" s="83" t="e">
        <f>VLOOKUP(Tabela1[[#This Row],[Matrícula]],Equipe!B:F,5,0)</f>
        <v>#N/A</v>
      </c>
    </row>
    <row r="1717" spans="1:9">
      <c r="A1717" s="83"/>
      <c r="B1717" s="83">
        <f>_xlfn.XLOOKUP(A1717,Equipe!H:H,Equipe!B:B,"",0)</f>
        <v>0</v>
      </c>
      <c r="C1717" s="154"/>
      <c r="D1717" s="150" t="e">
        <f>(IF(Tabela1[[#This Row],[Início]]&lt;&gt;"",C1717+E1717-1,""))*1</f>
        <v>#VALUE!</v>
      </c>
      <c r="E1717" s="83"/>
      <c r="F1717" s="83"/>
      <c r="G1717" s="88"/>
      <c r="H1717" s="83" t="str">
        <f>_xlfn.XLOOKUP(Tabela1[[#This Row],[Matrícula]],Equipe!B:B,Equipe!E:E,"ERRO",0)</f>
        <v>ERRO</v>
      </c>
      <c r="I1717" s="83" t="e">
        <f>VLOOKUP(Tabela1[[#This Row],[Matrícula]],Equipe!B:F,5,0)</f>
        <v>#N/A</v>
      </c>
    </row>
    <row r="1718" spans="1:9">
      <c r="A1718" s="83"/>
      <c r="B1718" s="83">
        <f>_xlfn.XLOOKUP(A1718,Equipe!H:H,Equipe!B:B,"",0)</f>
        <v>0</v>
      </c>
      <c r="C1718" s="154"/>
      <c r="D1718" s="150" t="e">
        <f>(IF(Tabela1[[#This Row],[Início]]&lt;&gt;"",C1718+E1718-1,""))*1</f>
        <v>#VALUE!</v>
      </c>
      <c r="E1718" s="83"/>
      <c r="F1718" s="83"/>
      <c r="G1718" s="88"/>
      <c r="H1718" s="83" t="str">
        <f>_xlfn.XLOOKUP(Tabela1[[#This Row],[Matrícula]],Equipe!B:B,Equipe!E:E,"ERRO",0)</f>
        <v>ERRO</v>
      </c>
      <c r="I1718" s="83" t="e">
        <f>VLOOKUP(Tabela1[[#This Row],[Matrícula]],Equipe!B:F,5,0)</f>
        <v>#N/A</v>
      </c>
    </row>
    <row r="1719" spans="1:9">
      <c r="A1719" s="83"/>
      <c r="B1719" s="83">
        <f>_xlfn.XLOOKUP(A1719,Equipe!H:H,Equipe!B:B,"",0)</f>
        <v>0</v>
      </c>
      <c r="C1719" s="154"/>
      <c r="D1719" s="150" t="e">
        <f>(IF(Tabela1[[#This Row],[Início]]&lt;&gt;"",C1719+E1719-1,""))*1</f>
        <v>#VALUE!</v>
      </c>
      <c r="E1719" s="83"/>
      <c r="F1719" s="83"/>
      <c r="G1719" s="88"/>
      <c r="H1719" s="83" t="str">
        <f>_xlfn.XLOOKUP(Tabela1[[#This Row],[Matrícula]],Equipe!B:B,Equipe!E:E,"ERRO",0)</f>
        <v>ERRO</v>
      </c>
      <c r="I1719" s="83" t="e">
        <f>VLOOKUP(Tabela1[[#This Row],[Matrícula]],Equipe!B:F,5,0)</f>
        <v>#N/A</v>
      </c>
    </row>
    <row r="1720" spans="1:9">
      <c r="A1720" s="83"/>
      <c r="B1720" s="83">
        <f>_xlfn.XLOOKUP(A1720,Equipe!H:H,Equipe!B:B,"",0)</f>
        <v>0</v>
      </c>
      <c r="C1720" s="154"/>
      <c r="D1720" s="150" t="e">
        <f>(IF(Tabela1[[#This Row],[Início]]&lt;&gt;"",C1720+E1720-1,""))*1</f>
        <v>#VALUE!</v>
      </c>
      <c r="E1720" s="83"/>
      <c r="F1720" s="83"/>
      <c r="G1720" s="88"/>
      <c r="H1720" s="83" t="str">
        <f>_xlfn.XLOOKUP(Tabela1[[#This Row],[Matrícula]],Equipe!B:B,Equipe!E:E,"ERRO",0)</f>
        <v>ERRO</v>
      </c>
      <c r="I1720" s="83" t="e">
        <f>VLOOKUP(Tabela1[[#This Row],[Matrícula]],Equipe!B:F,5,0)</f>
        <v>#N/A</v>
      </c>
    </row>
    <row r="1721" spans="1:9">
      <c r="A1721" s="83"/>
      <c r="B1721" s="83">
        <f>_xlfn.XLOOKUP(A1721,Equipe!H:H,Equipe!B:B,"",0)</f>
        <v>0</v>
      </c>
      <c r="C1721" s="154"/>
      <c r="D1721" s="150" t="e">
        <f>(IF(Tabela1[[#This Row],[Início]]&lt;&gt;"",C1721+E1721-1,""))*1</f>
        <v>#VALUE!</v>
      </c>
      <c r="E1721" s="83"/>
      <c r="F1721" s="83"/>
      <c r="G1721" s="88"/>
      <c r="H1721" s="83" t="str">
        <f>_xlfn.XLOOKUP(Tabela1[[#This Row],[Matrícula]],Equipe!B:B,Equipe!E:E,"ERRO",0)</f>
        <v>ERRO</v>
      </c>
      <c r="I1721" s="83" t="e">
        <f>VLOOKUP(Tabela1[[#This Row],[Matrícula]],Equipe!B:F,5,0)</f>
        <v>#N/A</v>
      </c>
    </row>
    <row r="1722" spans="1:9">
      <c r="A1722" s="83"/>
      <c r="B1722" s="83">
        <f>_xlfn.XLOOKUP(A1722,Equipe!H:H,Equipe!B:B,"",0)</f>
        <v>0</v>
      </c>
      <c r="C1722" s="154"/>
      <c r="D1722" s="150" t="e">
        <f>(IF(Tabela1[[#This Row],[Início]]&lt;&gt;"",C1722+E1722-1,""))*1</f>
        <v>#VALUE!</v>
      </c>
      <c r="E1722" s="83"/>
      <c r="F1722" s="83"/>
      <c r="G1722" s="88"/>
      <c r="H1722" s="83" t="str">
        <f>_xlfn.XLOOKUP(Tabela1[[#This Row],[Matrícula]],Equipe!B:B,Equipe!E:E,"ERRO",0)</f>
        <v>ERRO</v>
      </c>
      <c r="I1722" s="83" t="e">
        <f>VLOOKUP(Tabela1[[#This Row],[Matrícula]],Equipe!B:F,5,0)</f>
        <v>#N/A</v>
      </c>
    </row>
    <row r="1723" spans="1:9">
      <c r="A1723" s="83"/>
      <c r="B1723" s="83">
        <f>_xlfn.XLOOKUP(A1723,Equipe!H:H,Equipe!B:B,"",0)</f>
        <v>0</v>
      </c>
      <c r="C1723" s="154"/>
      <c r="D1723" s="150" t="e">
        <f>(IF(Tabela1[[#This Row],[Início]]&lt;&gt;"",C1723+E1723-1,""))*1</f>
        <v>#VALUE!</v>
      </c>
      <c r="E1723" s="83"/>
      <c r="F1723" s="83"/>
      <c r="G1723" s="88"/>
      <c r="H1723" s="83" t="str">
        <f>_xlfn.XLOOKUP(Tabela1[[#This Row],[Matrícula]],Equipe!B:B,Equipe!E:E,"ERRO",0)</f>
        <v>ERRO</v>
      </c>
      <c r="I1723" s="83" t="e">
        <f>VLOOKUP(Tabela1[[#This Row],[Matrícula]],Equipe!B:F,5,0)</f>
        <v>#N/A</v>
      </c>
    </row>
    <row r="1724" spans="1:9">
      <c r="A1724" s="83"/>
      <c r="B1724" s="83">
        <f>_xlfn.XLOOKUP(A1724,Equipe!H:H,Equipe!B:B,"",0)</f>
        <v>0</v>
      </c>
      <c r="C1724" s="154"/>
      <c r="D1724" s="150" t="e">
        <f>(IF(Tabela1[[#This Row],[Início]]&lt;&gt;"",C1724+E1724-1,""))*1</f>
        <v>#VALUE!</v>
      </c>
      <c r="E1724" s="83"/>
      <c r="F1724" s="83"/>
      <c r="G1724" s="88"/>
      <c r="H1724" s="83" t="str">
        <f>_xlfn.XLOOKUP(Tabela1[[#This Row],[Matrícula]],Equipe!B:B,Equipe!E:E,"ERRO",0)</f>
        <v>ERRO</v>
      </c>
      <c r="I1724" s="83" t="e">
        <f>VLOOKUP(Tabela1[[#This Row],[Matrícula]],Equipe!B:F,5,0)</f>
        <v>#N/A</v>
      </c>
    </row>
    <row r="1725" spans="1:9">
      <c r="A1725" s="83"/>
      <c r="B1725" s="83">
        <f>_xlfn.XLOOKUP(A1725,Equipe!H:H,Equipe!B:B,"",0)</f>
        <v>0</v>
      </c>
      <c r="C1725" s="154"/>
      <c r="D1725" s="150" t="e">
        <f>(IF(Tabela1[[#This Row],[Início]]&lt;&gt;"",C1725+E1725-1,""))*1</f>
        <v>#VALUE!</v>
      </c>
      <c r="E1725" s="83"/>
      <c r="F1725" s="83"/>
      <c r="G1725" s="88"/>
      <c r="H1725" s="83" t="str">
        <f>_xlfn.XLOOKUP(Tabela1[[#This Row],[Matrícula]],Equipe!B:B,Equipe!E:E,"ERRO",0)</f>
        <v>ERRO</v>
      </c>
      <c r="I1725" s="83" t="e">
        <f>VLOOKUP(Tabela1[[#This Row],[Matrícula]],Equipe!B:F,5,0)</f>
        <v>#N/A</v>
      </c>
    </row>
    <row r="1726" spans="1:9">
      <c r="A1726" s="83"/>
      <c r="B1726" s="83">
        <f>_xlfn.XLOOKUP(A1726,Equipe!H:H,Equipe!B:B,"",0)</f>
        <v>0</v>
      </c>
      <c r="C1726" s="154"/>
      <c r="D1726" s="150" t="e">
        <f>(IF(Tabela1[[#This Row],[Início]]&lt;&gt;"",C1726+E1726-1,""))*1</f>
        <v>#VALUE!</v>
      </c>
      <c r="E1726" s="83"/>
      <c r="F1726" s="83"/>
      <c r="G1726" s="88"/>
      <c r="H1726" s="83" t="str">
        <f>_xlfn.XLOOKUP(Tabela1[[#This Row],[Matrícula]],Equipe!B:B,Equipe!E:E,"ERRO",0)</f>
        <v>ERRO</v>
      </c>
      <c r="I1726" s="83" t="e">
        <f>VLOOKUP(Tabela1[[#This Row],[Matrícula]],Equipe!B:F,5,0)</f>
        <v>#N/A</v>
      </c>
    </row>
    <row r="1727" spans="1:9">
      <c r="A1727" s="83"/>
      <c r="B1727" s="83">
        <f>_xlfn.XLOOKUP(A1727,Equipe!H:H,Equipe!B:B,"",0)</f>
        <v>0</v>
      </c>
      <c r="C1727" s="154"/>
      <c r="D1727" s="150" t="e">
        <f>(IF(Tabela1[[#This Row],[Início]]&lt;&gt;"",C1727+E1727-1,""))*1</f>
        <v>#VALUE!</v>
      </c>
      <c r="E1727" s="83"/>
      <c r="F1727" s="83"/>
      <c r="G1727" s="88"/>
      <c r="H1727" s="83" t="str">
        <f>_xlfn.XLOOKUP(Tabela1[[#This Row],[Matrícula]],Equipe!B:B,Equipe!E:E,"ERRO",0)</f>
        <v>ERRO</v>
      </c>
      <c r="I1727" s="83" t="e">
        <f>VLOOKUP(Tabela1[[#This Row],[Matrícula]],Equipe!B:F,5,0)</f>
        <v>#N/A</v>
      </c>
    </row>
    <row r="1728" spans="1:9">
      <c r="A1728" s="83"/>
      <c r="B1728" s="83">
        <f>_xlfn.XLOOKUP(A1728,Equipe!H:H,Equipe!B:B,"",0)</f>
        <v>0</v>
      </c>
      <c r="C1728" s="154"/>
      <c r="D1728" s="150" t="e">
        <f>(IF(Tabela1[[#This Row],[Início]]&lt;&gt;"",C1728+E1728-1,""))*1</f>
        <v>#VALUE!</v>
      </c>
      <c r="E1728" s="83"/>
      <c r="F1728" s="83"/>
      <c r="G1728" s="88"/>
      <c r="H1728" s="83" t="str">
        <f>_xlfn.XLOOKUP(Tabela1[[#This Row],[Matrícula]],Equipe!B:B,Equipe!E:E,"ERRO",0)</f>
        <v>ERRO</v>
      </c>
      <c r="I1728" s="83" t="e">
        <f>VLOOKUP(Tabela1[[#This Row],[Matrícula]],Equipe!B:F,5,0)</f>
        <v>#N/A</v>
      </c>
    </row>
    <row r="1729" spans="1:9">
      <c r="A1729" s="83"/>
      <c r="B1729" s="83">
        <f>_xlfn.XLOOKUP(A1729,Equipe!H:H,Equipe!B:B,"",0)</f>
        <v>0</v>
      </c>
      <c r="C1729" s="154"/>
      <c r="D1729" s="150" t="e">
        <f>(IF(Tabela1[[#This Row],[Início]]&lt;&gt;"",C1729+E1729-1,""))*1</f>
        <v>#VALUE!</v>
      </c>
      <c r="E1729" s="83"/>
      <c r="F1729" s="83"/>
      <c r="G1729" s="88"/>
      <c r="H1729" s="83" t="str">
        <f>_xlfn.XLOOKUP(Tabela1[[#This Row],[Matrícula]],Equipe!B:B,Equipe!E:E,"ERRO",0)</f>
        <v>ERRO</v>
      </c>
      <c r="I1729" s="83" t="e">
        <f>VLOOKUP(Tabela1[[#This Row],[Matrícula]],Equipe!B:F,5,0)</f>
        <v>#N/A</v>
      </c>
    </row>
    <row r="1730" spans="1:9">
      <c r="A1730" s="83"/>
      <c r="B1730" s="83">
        <f>_xlfn.XLOOKUP(A1730,Equipe!H:H,Equipe!B:B,"",0)</f>
        <v>0</v>
      </c>
      <c r="C1730" s="154"/>
      <c r="D1730" s="150" t="e">
        <f>(IF(Tabela1[[#This Row],[Início]]&lt;&gt;"",C1730+E1730-1,""))*1</f>
        <v>#VALUE!</v>
      </c>
      <c r="E1730" s="83"/>
      <c r="F1730" s="83"/>
      <c r="G1730" s="88"/>
      <c r="H1730" s="83" t="str">
        <f>_xlfn.XLOOKUP(Tabela1[[#This Row],[Matrícula]],Equipe!B:B,Equipe!E:E,"ERRO",0)</f>
        <v>ERRO</v>
      </c>
      <c r="I1730" s="83" t="e">
        <f>VLOOKUP(Tabela1[[#This Row],[Matrícula]],Equipe!B:F,5,0)</f>
        <v>#N/A</v>
      </c>
    </row>
    <row r="1731" spans="1:9">
      <c r="A1731" s="83"/>
      <c r="B1731" s="83">
        <f>_xlfn.XLOOKUP(A1731,Equipe!H:H,Equipe!B:B,"",0)</f>
        <v>0</v>
      </c>
      <c r="C1731" s="154"/>
      <c r="D1731" s="150" t="e">
        <f>(IF(Tabela1[[#This Row],[Início]]&lt;&gt;"",C1731+E1731-1,""))*1</f>
        <v>#VALUE!</v>
      </c>
      <c r="E1731" s="83"/>
      <c r="F1731" s="83"/>
      <c r="G1731" s="88"/>
      <c r="H1731" s="83" t="str">
        <f>_xlfn.XLOOKUP(Tabela1[[#This Row],[Matrícula]],Equipe!B:B,Equipe!E:E,"ERRO",0)</f>
        <v>ERRO</v>
      </c>
      <c r="I1731" s="83" t="e">
        <f>VLOOKUP(Tabela1[[#This Row],[Matrícula]],Equipe!B:F,5,0)</f>
        <v>#N/A</v>
      </c>
    </row>
    <row r="1732" spans="1:9">
      <c r="A1732" s="83"/>
      <c r="B1732" s="83">
        <f>_xlfn.XLOOKUP(A1732,Equipe!H:H,Equipe!B:B,"",0)</f>
        <v>0</v>
      </c>
      <c r="C1732" s="154"/>
      <c r="D1732" s="150" t="e">
        <f>(IF(Tabela1[[#This Row],[Início]]&lt;&gt;"",C1732+E1732-1,""))*1</f>
        <v>#VALUE!</v>
      </c>
      <c r="E1732" s="83"/>
      <c r="F1732" s="83"/>
      <c r="G1732" s="88"/>
      <c r="H1732" s="83" t="str">
        <f>_xlfn.XLOOKUP(Tabela1[[#This Row],[Matrícula]],Equipe!B:B,Equipe!E:E,"ERRO",0)</f>
        <v>ERRO</v>
      </c>
      <c r="I1732" s="83" t="e">
        <f>VLOOKUP(Tabela1[[#This Row],[Matrícula]],Equipe!B:F,5,0)</f>
        <v>#N/A</v>
      </c>
    </row>
    <row r="1733" spans="1:9">
      <c r="A1733" s="83"/>
      <c r="B1733" s="83">
        <f>_xlfn.XLOOKUP(A1733,Equipe!H:H,Equipe!B:B,"",0)</f>
        <v>0</v>
      </c>
      <c r="C1733" s="154"/>
      <c r="D1733" s="150" t="e">
        <f>(IF(Tabela1[[#This Row],[Início]]&lt;&gt;"",C1733+E1733-1,""))*1</f>
        <v>#VALUE!</v>
      </c>
      <c r="E1733" s="83"/>
      <c r="F1733" s="83"/>
      <c r="G1733" s="88"/>
      <c r="H1733" s="83" t="str">
        <f>_xlfn.XLOOKUP(Tabela1[[#This Row],[Matrícula]],Equipe!B:B,Equipe!E:E,"ERRO",0)</f>
        <v>ERRO</v>
      </c>
      <c r="I1733" s="83" t="e">
        <f>VLOOKUP(Tabela1[[#This Row],[Matrícula]],Equipe!B:F,5,0)</f>
        <v>#N/A</v>
      </c>
    </row>
    <row r="1734" spans="1:9">
      <c r="A1734" s="83"/>
      <c r="B1734" s="83">
        <f>_xlfn.XLOOKUP(A1734,Equipe!H:H,Equipe!B:B,"",0)</f>
        <v>0</v>
      </c>
      <c r="C1734" s="154"/>
      <c r="D1734" s="150" t="e">
        <f>(IF(Tabela1[[#This Row],[Início]]&lt;&gt;"",C1734+E1734-1,""))*1</f>
        <v>#VALUE!</v>
      </c>
      <c r="E1734" s="83"/>
      <c r="F1734" s="83"/>
      <c r="G1734" s="88"/>
      <c r="H1734" s="83" t="str">
        <f>_xlfn.XLOOKUP(Tabela1[[#This Row],[Matrícula]],Equipe!B:B,Equipe!E:E,"ERRO",0)</f>
        <v>ERRO</v>
      </c>
      <c r="I1734" s="83" t="e">
        <f>VLOOKUP(Tabela1[[#This Row],[Matrícula]],Equipe!B:F,5,0)</f>
        <v>#N/A</v>
      </c>
    </row>
    <row r="1735" spans="1:9">
      <c r="A1735" s="83"/>
      <c r="B1735" s="83">
        <f>_xlfn.XLOOKUP(A1735,Equipe!H:H,Equipe!B:B,"",0)</f>
        <v>0</v>
      </c>
      <c r="C1735" s="154"/>
      <c r="D1735" s="150" t="e">
        <f>(IF(Tabela1[[#This Row],[Início]]&lt;&gt;"",C1735+E1735-1,""))*1</f>
        <v>#VALUE!</v>
      </c>
      <c r="E1735" s="83"/>
      <c r="F1735" s="83"/>
      <c r="G1735" s="88"/>
      <c r="H1735" s="83" t="str">
        <f>_xlfn.XLOOKUP(Tabela1[[#This Row],[Matrícula]],Equipe!B:B,Equipe!E:E,"ERRO",0)</f>
        <v>ERRO</v>
      </c>
      <c r="I1735" s="83" t="e">
        <f>VLOOKUP(Tabela1[[#This Row],[Matrícula]],Equipe!B:F,5,0)</f>
        <v>#N/A</v>
      </c>
    </row>
    <row r="1736" spans="1:9">
      <c r="A1736" s="83"/>
      <c r="B1736" s="83">
        <f>_xlfn.XLOOKUP(A1736,Equipe!H:H,Equipe!B:B,"",0)</f>
        <v>0</v>
      </c>
      <c r="C1736" s="154"/>
      <c r="D1736" s="150" t="e">
        <f>(IF(Tabela1[[#This Row],[Início]]&lt;&gt;"",C1736+E1736-1,""))*1</f>
        <v>#VALUE!</v>
      </c>
      <c r="E1736" s="83"/>
      <c r="F1736" s="83"/>
      <c r="G1736" s="88"/>
      <c r="H1736" s="83" t="str">
        <f>_xlfn.XLOOKUP(Tabela1[[#This Row],[Matrícula]],Equipe!B:B,Equipe!E:E,"ERRO",0)</f>
        <v>ERRO</v>
      </c>
      <c r="I1736" s="83" t="e">
        <f>VLOOKUP(Tabela1[[#This Row],[Matrícula]],Equipe!B:F,5,0)</f>
        <v>#N/A</v>
      </c>
    </row>
    <row r="1737" spans="1:9">
      <c r="A1737" s="83"/>
      <c r="B1737" s="83">
        <f>_xlfn.XLOOKUP(A1737,Equipe!H:H,Equipe!B:B,"",0)</f>
        <v>0</v>
      </c>
      <c r="C1737" s="154"/>
      <c r="D1737" s="150" t="e">
        <f>(IF(Tabela1[[#This Row],[Início]]&lt;&gt;"",C1737+E1737-1,""))*1</f>
        <v>#VALUE!</v>
      </c>
      <c r="E1737" s="83"/>
      <c r="F1737" s="83"/>
      <c r="G1737" s="88"/>
      <c r="H1737" s="83" t="str">
        <f>_xlfn.XLOOKUP(Tabela1[[#This Row],[Matrícula]],Equipe!B:B,Equipe!E:E,"ERRO",0)</f>
        <v>ERRO</v>
      </c>
      <c r="I1737" s="83" t="e">
        <f>VLOOKUP(Tabela1[[#This Row],[Matrícula]],Equipe!B:F,5,0)</f>
        <v>#N/A</v>
      </c>
    </row>
    <row r="1738" spans="1:9">
      <c r="A1738" s="83"/>
      <c r="B1738" s="83">
        <f>_xlfn.XLOOKUP(A1738,Equipe!H:H,Equipe!B:B,"",0)</f>
        <v>0</v>
      </c>
      <c r="C1738" s="154"/>
      <c r="D1738" s="150" t="e">
        <f>(IF(Tabela1[[#This Row],[Início]]&lt;&gt;"",C1738+E1738-1,""))*1</f>
        <v>#VALUE!</v>
      </c>
      <c r="E1738" s="83"/>
      <c r="F1738" s="83"/>
      <c r="G1738" s="88"/>
      <c r="H1738" s="83" t="str">
        <f>_xlfn.XLOOKUP(Tabela1[[#This Row],[Matrícula]],Equipe!B:B,Equipe!E:E,"ERRO",0)</f>
        <v>ERRO</v>
      </c>
      <c r="I1738" s="83" t="e">
        <f>VLOOKUP(Tabela1[[#This Row],[Matrícula]],Equipe!B:F,5,0)</f>
        <v>#N/A</v>
      </c>
    </row>
    <row r="1739" spans="1:9">
      <c r="A1739" s="83"/>
      <c r="B1739" s="83">
        <f>_xlfn.XLOOKUP(A1739,Equipe!H:H,Equipe!B:B,"",0)</f>
        <v>0</v>
      </c>
      <c r="C1739" s="154"/>
      <c r="D1739" s="150" t="e">
        <f>(IF(Tabela1[[#This Row],[Início]]&lt;&gt;"",C1739+E1739-1,""))*1</f>
        <v>#VALUE!</v>
      </c>
      <c r="E1739" s="83"/>
      <c r="F1739" s="83"/>
      <c r="G1739" s="88"/>
      <c r="H1739" s="83" t="str">
        <f>_xlfn.XLOOKUP(Tabela1[[#This Row],[Matrícula]],Equipe!B:B,Equipe!E:E,"ERRO",0)</f>
        <v>ERRO</v>
      </c>
      <c r="I1739" s="83" t="e">
        <f>VLOOKUP(Tabela1[[#This Row],[Matrícula]],Equipe!B:F,5,0)</f>
        <v>#N/A</v>
      </c>
    </row>
    <row r="1740" spans="1:9">
      <c r="A1740" s="83"/>
      <c r="B1740" s="83">
        <f>_xlfn.XLOOKUP(A1740,Equipe!H:H,Equipe!B:B,"",0)</f>
        <v>0</v>
      </c>
      <c r="C1740" s="154"/>
      <c r="D1740" s="150" t="e">
        <f>(IF(Tabela1[[#This Row],[Início]]&lt;&gt;"",C1740+E1740-1,""))*1</f>
        <v>#VALUE!</v>
      </c>
      <c r="E1740" s="83"/>
      <c r="F1740" s="83"/>
      <c r="G1740" s="88"/>
      <c r="H1740" s="83" t="str">
        <f>_xlfn.XLOOKUP(Tabela1[[#This Row],[Matrícula]],Equipe!B:B,Equipe!E:E,"ERRO",0)</f>
        <v>ERRO</v>
      </c>
      <c r="I1740" s="83" t="e">
        <f>VLOOKUP(Tabela1[[#This Row],[Matrícula]],Equipe!B:F,5,0)</f>
        <v>#N/A</v>
      </c>
    </row>
    <row r="1741" spans="1:9">
      <c r="A1741" s="83"/>
      <c r="B1741" s="83">
        <f>_xlfn.XLOOKUP(A1741,Equipe!H:H,Equipe!B:B,"",0)</f>
        <v>0</v>
      </c>
      <c r="C1741" s="154"/>
      <c r="D1741" s="150" t="e">
        <f>(IF(Tabela1[[#This Row],[Início]]&lt;&gt;"",C1741+E1741-1,""))*1</f>
        <v>#VALUE!</v>
      </c>
      <c r="E1741" s="83"/>
      <c r="F1741" s="83"/>
      <c r="G1741" s="88"/>
      <c r="H1741" s="83" t="str">
        <f>_xlfn.XLOOKUP(Tabela1[[#This Row],[Matrícula]],Equipe!B:B,Equipe!E:E,"ERRO",0)</f>
        <v>ERRO</v>
      </c>
      <c r="I1741" s="83" t="e">
        <f>VLOOKUP(Tabela1[[#This Row],[Matrícula]],Equipe!B:F,5,0)</f>
        <v>#N/A</v>
      </c>
    </row>
    <row r="1742" spans="1:9">
      <c r="A1742" s="83"/>
      <c r="B1742" s="83">
        <f>_xlfn.XLOOKUP(A1742,Equipe!H:H,Equipe!B:B,"",0)</f>
        <v>0</v>
      </c>
      <c r="C1742" s="154"/>
      <c r="D1742" s="150" t="e">
        <f>(IF(Tabela1[[#This Row],[Início]]&lt;&gt;"",C1742+E1742-1,""))*1</f>
        <v>#VALUE!</v>
      </c>
      <c r="E1742" s="83"/>
      <c r="F1742" s="83"/>
      <c r="G1742" s="88"/>
      <c r="H1742" s="83" t="str">
        <f>_xlfn.XLOOKUP(Tabela1[[#This Row],[Matrícula]],Equipe!B:B,Equipe!E:E,"ERRO",0)</f>
        <v>ERRO</v>
      </c>
      <c r="I1742" s="83" t="e">
        <f>VLOOKUP(Tabela1[[#This Row],[Matrícula]],Equipe!B:F,5,0)</f>
        <v>#N/A</v>
      </c>
    </row>
    <row r="1743" spans="1:9">
      <c r="A1743" s="83"/>
      <c r="B1743" s="83">
        <f>_xlfn.XLOOKUP(A1743,Equipe!H:H,Equipe!B:B,"",0)</f>
        <v>0</v>
      </c>
      <c r="C1743" s="154"/>
      <c r="D1743" s="150" t="e">
        <f>(IF(Tabela1[[#This Row],[Início]]&lt;&gt;"",C1743+E1743-1,""))*1</f>
        <v>#VALUE!</v>
      </c>
      <c r="E1743" s="83"/>
      <c r="F1743" s="83"/>
      <c r="G1743" s="88"/>
      <c r="H1743" s="83" t="str">
        <f>_xlfn.XLOOKUP(Tabela1[[#This Row],[Matrícula]],Equipe!B:B,Equipe!E:E,"ERRO",0)</f>
        <v>ERRO</v>
      </c>
      <c r="I1743" s="83" t="e">
        <f>VLOOKUP(Tabela1[[#This Row],[Matrícula]],Equipe!B:F,5,0)</f>
        <v>#N/A</v>
      </c>
    </row>
    <row r="1744" spans="1:9">
      <c r="A1744" s="83"/>
      <c r="B1744" s="83">
        <f>_xlfn.XLOOKUP(A1744,Equipe!H:H,Equipe!B:B,"",0)</f>
        <v>0</v>
      </c>
      <c r="C1744" s="154"/>
      <c r="D1744" s="150" t="e">
        <f>(IF(Tabela1[[#This Row],[Início]]&lt;&gt;"",C1744+E1744-1,""))*1</f>
        <v>#VALUE!</v>
      </c>
      <c r="E1744" s="83"/>
      <c r="F1744" s="83"/>
      <c r="G1744" s="88"/>
      <c r="H1744" s="83" t="str">
        <f>_xlfn.XLOOKUP(Tabela1[[#This Row],[Matrícula]],Equipe!B:B,Equipe!E:E,"ERRO",0)</f>
        <v>ERRO</v>
      </c>
      <c r="I1744" s="83" t="e">
        <f>VLOOKUP(Tabela1[[#This Row],[Matrícula]],Equipe!B:F,5,0)</f>
        <v>#N/A</v>
      </c>
    </row>
    <row r="1745" spans="1:9">
      <c r="A1745" s="83"/>
      <c r="B1745" s="83">
        <f>_xlfn.XLOOKUP(A1745,Equipe!H:H,Equipe!B:B,"",0)</f>
        <v>0</v>
      </c>
      <c r="C1745" s="154"/>
      <c r="D1745" s="150" t="e">
        <f>(IF(Tabela1[[#This Row],[Início]]&lt;&gt;"",C1745+E1745-1,""))*1</f>
        <v>#VALUE!</v>
      </c>
      <c r="E1745" s="83"/>
      <c r="F1745" s="83"/>
      <c r="G1745" s="88"/>
      <c r="H1745" s="83" t="str">
        <f>_xlfn.XLOOKUP(Tabela1[[#This Row],[Matrícula]],Equipe!B:B,Equipe!E:E,"ERRO",0)</f>
        <v>ERRO</v>
      </c>
      <c r="I1745" s="83" t="e">
        <f>VLOOKUP(Tabela1[[#This Row],[Matrícula]],Equipe!B:F,5,0)</f>
        <v>#N/A</v>
      </c>
    </row>
    <row r="1746" spans="1:9">
      <c r="A1746" s="83"/>
      <c r="B1746" s="83">
        <f>_xlfn.XLOOKUP(A1746,Equipe!H:H,Equipe!B:B,"",0)</f>
        <v>0</v>
      </c>
      <c r="C1746" s="154"/>
      <c r="D1746" s="150" t="e">
        <f>(IF(Tabela1[[#This Row],[Início]]&lt;&gt;"",C1746+E1746-1,""))*1</f>
        <v>#VALUE!</v>
      </c>
      <c r="E1746" s="83"/>
      <c r="F1746" s="83"/>
      <c r="G1746" s="88"/>
      <c r="H1746" s="83" t="str">
        <f>_xlfn.XLOOKUP(Tabela1[[#This Row],[Matrícula]],Equipe!B:B,Equipe!E:E,"ERRO",0)</f>
        <v>ERRO</v>
      </c>
      <c r="I1746" s="83" t="e">
        <f>VLOOKUP(Tabela1[[#This Row],[Matrícula]],Equipe!B:F,5,0)</f>
        <v>#N/A</v>
      </c>
    </row>
    <row r="1747" spans="1:9">
      <c r="A1747" s="83"/>
      <c r="B1747" s="83">
        <f>_xlfn.XLOOKUP(A1747,Equipe!H:H,Equipe!B:B,"",0)</f>
        <v>0</v>
      </c>
      <c r="C1747" s="154"/>
      <c r="D1747" s="150" t="e">
        <f>(IF(Tabela1[[#This Row],[Início]]&lt;&gt;"",C1747+E1747-1,""))*1</f>
        <v>#VALUE!</v>
      </c>
      <c r="E1747" s="83"/>
      <c r="F1747" s="83"/>
      <c r="G1747" s="88"/>
      <c r="H1747" s="83" t="str">
        <f>_xlfn.XLOOKUP(Tabela1[[#This Row],[Matrícula]],Equipe!B:B,Equipe!E:E,"ERRO",0)</f>
        <v>ERRO</v>
      </c>
      <c r="I1747" s="83" t="e">
        <f>VLOOKUP(Tabela1[[#This Row],[Matrícula]],Equipe!B:F,5,0)</f>
        <v>#N/A</v>
      </c>
    </row>
    <row r="1748" spans="1:9">
      <c r="A1748" s="83"/>
      <c r="B1748" s="83">
        <f>_xlfn.XLOOKUP(A1748,Equipe!H:H,Equipe!B:B,"",0)</f>
        <v>0</v>
      </c>
      <c r="C1748" s="154"/>
      <c r="D1748" s="150" t="e">
        <f>(IF(Tabela1[[#This Row],[Início]]&lt;&gt;"",C1748+E1748-1,""))*1</f>
        <v>#VALUE!</v>
      </c>
      <c r="E1748" s="83"/>
      <c r="F1748" s="83"/>
      <c r="G1748" s="88"/>
      <c r="H1748" s="83" t="str">
        <f>_xlfn.XLOOKUP(Tabela1[[#This Row],[Matrícula]],Equipe!B:B,Equipe!E:E,"ERRO",0)</f>
        <v>ERRO</v>
      </c>
      <c r="I1748" s="83" t="e">
        <f>VLOOKUP(Tabela1[[#This Row],[Matrícula]],Equipe!B:F,5,0)</f>
        <v>#N/A</v>
      </c>
    </row>
    <row r="1749" spans="1:9">
      <c r="A1749" s="83"/>
      <c r="B1749" s="83">
        <f>_xlfn.XLOOKUP(A1749,Equipe!H:H,Equipe!B:B,"",0)</f>
        <v>0</v>
      </c>
      <c r="C1749" s="154"/>
      <c r="D1749" s="150" t="e">
        <f>(IF(Tabela1[[#This Row],[Início]]&lt;&gt;"",C1749+E1749-1,""))*1</f>
        <v>#VALUE!</v>
      </c>
      <c r="E1749" s="83"/>
      <c r="F1749" s="83"/>
      <c r="G1749" s="88"/>
      <c r="H1749" s="83" t="str">
        <f>_xlfn.XLOOKUP(Tabela1[[#This Row],[Matrícula]],Equipe!B:B,Equipe!E:E,"ERRO",0)</f>
        <v>ERRO</v>
      </c>
      <c r="I1749" s="83" t="e">
        <f>VLOOKUP(Tabela1[[#This Row],[Matrícula]],Equipe!B:F,5,0)</f>
        <v>#N/A</v>
      </c>
    </row>
    <row r="1750" spans="1:9">
      <c r="A1750" s="83"/>
      <c r="B1750" s="83">
        <f>_xlfn.XLOOKUP(A1750,Equipe!H:H,Equipe!B:B,"",0)</f>
        <v>0</v>
      </c>
      <c r="C1750" s="154"/>
      <c r="D1750" s="150" t="e">
        <f>(IF(Tabela1[[#This Row],[Início]]&lt;&gt;"",C1750+E1750-1,""))*1</f>
        <v>#VALUE!</v>
      </c>
      <c r="E1750" s="83"/>
      <c r="F1750" s="83"/>
      <c r="G1750" s="88"/>
      <c r="H1750" s="83" t="str">
        <f>_xlfn.XLOOKUP(Tabela1[[#This Row],[Matrícula]],Equipe!B:B,Equipe!E:E,"ERRO",0)</f>
        <v>ERRO</v>
      </c>
      <c r="I1750" s="83" t="e">
        <f>VLOOKUP(Tabela1[[#This Row],[Matrícula]],Equipe!B:F,5,0)</f>
        <v>#N/A</v>
      </c>
    </row>
    <row r="1751" spans="1:9">
      <c r="A1751" s="83"/>
      <c r="B1751" s="83">
        <f>_xlfn.XLOOKUP(A1751,Equipe!H:H,Equipe!B:B,"",0)</f>
        <v>0</v>
      </c>
      <c r="C1751" s="154"/>
      <c r="D1751" s="150" t="e">
        <f>(IF(Tabela1[[#This Row],[Início]]&lt;&gt;"",C1751+E1751-1,""))*1</f>
        <v>#VALUE!</v>
      </c>
      <c r="E1751" s="83"/>
      <c r="F1751" s="83"/>
      <c r="G1751" s="88"/>
      <c r="H1751" s="83" t="str">
        <f>_xlfn.XLOOKUP(Tabela1[[#This Row],[Matrícula]],Equipe!B:B,Equipe!E:E,"ERRO",0)</f>
        <v>ERRO</v>
      </c>
      <c r="I1751" s="83" t="e">
        <f>VLOOKUP(Tabela1[[#This Row],[Matrícula]],Equipe!B:F,5,0)</f>
        <v>#N/A</v>
      </c>
    </row>
    <row r="1752" spans="1:9">
      <c r="A1752" s="83"/>
      <c r="B1752" s="83">
        <f>_xlfn.XLOOKUP(A1752,Equipe!H:H,Equipe!B:B,"",0)</f>
        <v>0</v>
      </c>
      <c r="C1752" s="154"/>
      <c r="D1752" s="150" t="e">
        <f>(IF(Tabela1[[#This Row],[Início]]&lt;&gt;"",C1752+E1752-1,""))*1</f>
        <v>#VALUE!</v>
      </c>
      <c r="E1752" s="83"/>
      <c r="F1752" s="83"/>
      <c r="G1752" s="88"/>
      <c r="H1752" s="83" t="str">
        <f>_xlfn.XLOOKUP(Tabela1[[#This Row],[Matrícula]],Equipe!B:B,Equipe!E:E,"ERRO",0)</f>
        <v>ERRO</v>
      </c>
      <c r="I1752" s="83" t="e">
        <f>VLOOKUP(Tabela1[[#This Row],[Matrícula]],Equipe!B:F,5,0)</f>
        <v>#N/A</v>
      </c>
    </row>
    <row r="1753" spans="1:9">
      <c r="A1753" s="83"/>
      <c r="B1753" s="83">
        <f>_xlfn.XLOOKUP(A1753,Equipe!H:H,Equipe!B:B,"",0)</f>
        <v>0</v>
      </c>
      <c r="C1753" s="154"/>
      <c r="D1753" s="150" t="e">
        <f>(IF(Tabela1[[#This Row],[Início]]&lt;&gt;"",C1753+E1753-1,""))*1</f>
        <v>#VALUE!</v>
      </c>
      <c r="E1753" s="83"/>
      <c r="F1753" s="83"/>
      <c r="G1753" s="88"/>
      <c r="H1753" s="83" t="str">
        <f>_xlfn.XLOOKUP(Tabela1[[#This Row],[Matrícula]],Equipe!B:B,Equipe!E:E,"ERRO",0)</f>
        <v>ERRO</v>
      </c>
      <c r="I1753" s="83" t="e">
        <f>VLOOKUP(Tabela1[[#This Row],[Matrícula]],Equipe!B:F,5,0)</f>
        <v>#N/A</v>
      </c>
    </row>
    <row r="1754" spans="1:9">
      <c r="A1754" s="83"/>
      <c r="B1754" s="83">
        <f>_xlfn.XLOOKUP(A1754,Equipe!H:H,Equipe!B:B,"",0)</f>
        <v>0</v>
      </c>
      <c r="C1754" s="154"/>
      <c r="D1754" s="150" t="e">
        <f>(IF(Tabela1[[#This Row],[Início]]&lt;&gt;"",C1754+E1754-1,""))*1</f>
        <v>#VALUE!</v>
      </c>
      <c r="E1754" s="83"/>
      <c r="F1754" s="83"/>
      <c r="G1754" s="88"/>
      <c r="H1754" s="83" t="str">
        <f>_xlfn.XLOOKUP(Tabela1[[#This Row],[Matrícula]],Equipe!B:B,Equipe!E:E,"ERRO",0)</f>
        <v>ERRO</v>
      </c>
      <c r="I1754" s="83" t="e">
        <f>VLOOKUP(Tabela1[[#This Row],[Matrícula]],Equipe!B:F,5,0)</f>
        <v>#N/A</v>
      </c>
    </row>
    <row r="1755" spans="1:9">
      <c r="A1755" s="83"/>
      <c r="B1755" s="83">
        <f>_xlfn.XLOOKUP(A1755,Equipe!H:H,Equipe!B:B,"",0)</f>
        <v>0</v>
      </c>
      <c r="C1755" s="154"/>
      <c r="D1755" s="150" t="e">
        <f>(IF(Tabela1[[#This Row],[Início]]&lt;&gt;"",C1755+E1755-1,""))*1</f>
        <v>#VALUE!</v>
      </c>
      <c r="E1755" s="83"/>
      <c r="F1755" s="83"/>
      <c r="G1755" s="88"/>
      <c r="H1755" s="83" t="str">
        <f>_xlfn.XLOOKUP(Tabela1[[#This Row],[Matrícula]],Equipe!B:B,Equipe!E:E,"ERRO",0)</f>
        <v>ERRO</v>
      </c>
      <c r="I1755" s="83" t="e">
        <f>VLOOKUP(Tabela1[[#This Row],[Matrícula]],Equipe!B:F,5,0)</f>
        <v>#N/A</v>
      </c>
    </row>
    <row r="1756" spans="1:9">
      <c r="A1756" s="83"/>
      <c r="B1756" s="83">
        <f>_xlfn.XLOOKUP(A1756,Equipe!H:H,Equipe!B:B,"",0)</f>
        <v>0</v>
      </c>
      <c r="C1756" s="154"/>
      <c r="D1756" s="150" t="e">
        <f>(IF(Tabela1[[#This Row],[Início]]&lt;&gt;"",C1756+E1756-1,""))*1</f>
        <v>#VALUE!</v>
      </c>
      <c r="E1756" s="83"/>
      <c r="F1756" s="83"/>
      <c r="G1756" s="88"/>
      <c r="H1756" s="83" t="str">
        <f>_xlfn.XLOOKUP(Tabela1[[#This Row],[Matrícula]],Equipe!B:B,Equipe!E:E,"ERRO",0)</f>
        <v>ERRO</v>
      </c>
      <c r="I1756" s="83" t="e">
        <f>VLOOKUP(Tabela1[[#This Row],[Matrícula]],Equipe!B:F,5,0)</f>
        <v>#N/A</v>
      </c>
    </row>
    <row r="1757" spans="1:9">
      <c r="A1757" s="83"/>
      <c r="B1757" s="83">
        <f>_xlfn.XLOOKUP(A1757,Equipe!H:H,Equipe!B:B,"",0)</f>
        <v>0</v>
      </c>
      <c r="C1757" s="154"/>
      <c r="D1757" s="150" t="e">
        <f>(IF(Tabela1[[#This Row],[Início]]&lt;&gt;"",C1757+E1757-1,""))*1</f>
        <v>#VALUE!</v>
      </c>
      <c r="E1757" s="83"/>
      <c r="F1757" s="83"/>
      <c r="G1757" s="88"/>
      <c r="H1757" s="83" t="str">
        <f>_xlfn.XLOOKUP(Tabela1[[#This Row],[Matrícula]],Equipe!B:B,Equipe!E:E,"ERRO",0)</f>
        <v>ERRO</v>
      </c>
      <c r="I1757" s="83" t="e">
        <f>VLOOKUP(Tabela1[[#This Row],[Matrícula]],Equipe!B:F,5,0)</f>
        <v>#N/A</v>
      </c>
    </row>
    <row r="1758" spans="1:9">
      <c r="A1758" s="83"/>
      <c r="B1758" s="83">
        <f>_xlfn.XLOOKUP(A1758,Equipe!H:H,Equipe!B:B,"",0)</f>
        <v>0</v>
      </c>
      <c r="C1758" s="154"/>
      <c r="D1758" s="150" t="e">
        <f>(IF(Tabela1[[#This Row],[Início]]&lt;&gt;"",C1758+E1758-1,""))*1</f>
        <v>#VALUE!</v>
      </c>
      <c r="E1758" s="83"/>
      <c r="F1758" s="83"/>
      <c r="G1758" s="88"/>
      <c r="H1758" s="83" t="str">
        <f>_xlfn.XLOOKUP(Tabela1[[#This Row],[Matrícula]],Equipe!B:B,Equipe!E:E,"ERRO",0)</f>
        <v>ERRO</v>
      </c>
      <c r="I1758" s="83" t="e">
        <f>VLOOKUP(Tabela1[[#This Row],[Matrícula]],Equipe!B:F,5,0)</f>
        <v>#N/A</v>
      </c>
    </row>
    <row r="1759" spans="1:9">
      <c r="A1759" s="83"/>
      <c r="B1759" s="83">
        <f>_xlfn.XLOOKUP(A1759,Equipe!H:H,Equipe!B:B,"",0)</f>
        <v>0</v>
      </c>
      <c r="C1759" s="154"/>
      <c r="D1759" s="150" t="e">
        <f>(IF(Tabela1[[#This Row],[Início]]&lt;&gt;"",C1759+E1759-1,""))*1</f>
        <v>#VALUE!</v>
      </c>
      <c r="E1759" s="83"/>
      <c r="F1759" s="83"/>
      <c r="G1759" s="88"/>
      <c r="H1759" s="83" t="str">
        <f>_xlfn.XLOOKUP(Tabela1[[#This Row],[Matrícula]],Equipe!B:B,Equipe!E:E,"ERRO",0)</f>
        <v>ERRO</v>
      </c>
      <c r="I1759" s="83" t="e">
        <f>VLOOKUP(Tabela1[[#This Row],[Matrícula]],Equipe!B:F,5,0)</f>
        <v>#N/A</v>
      </c>
    </row>
    <row r="1760" spans="1:9">
      <c r="A1760" s="83"/>
      <c r="B1760" s="83">
        <f>_xlfn.XLOOKUP(A1760,Equipe!H:H,Equipe!B:B,"",0)</f>
        <v>0</v>
      </c>
      <c r="C1760" s="154"/>
      <c r="D1760" s="150" t="e">
        <f>(IF(Tabela1[[#This Row],[Início]]&lt;&gt;"",C1760+E1760-1,""))*1</f>
        <v>#VALUE!</v>
      </c>
      <c r="E1760" s="83"/>
      <c r="F1760" s="83"/>
      <c r="G1760" s="88"/>
      <c r="H1760" s="83" t="str">
        <f>_xlfn.XLOOKUP(Tabela1[[#This Row],[Matrícula]],Equipe!B:B,Equipe!E:E,"ERRO",0)</f>
        <v>ERRO</v>
      </c>
      <c r="I1760" s="83" t="e">
        <f>VLOOKUP(Tabela1[[#This Row],[Matrícula]],Equipe!B:F,5,0)</f>
        <v>#N/A</v>
      </c>
    </row>
    <row r="1761" spans="1:9">
      <c r="A1761" s="83"/>
      <c r="B1761" s="83">
        <f>_xlfn.XLOOKUP(A1761,Equipe!H:H,Equipe!B:B,"",0)</f>
        <v>0</v>
      </c>
      <c r="C1761" s="154"/>
      <c r="D1761" s="150" t="e">
        <f>(IF(Tabela1[[#This Row],[Início]]&lt;&gt;"",C1761+E1761-1,""))*1</f>
        <v>#VALUE!</v>
      </c>
      <c r="E1761" s="83"/>
      <c r="F1761" s="83"/>
      <c r="G1761" s="88"/>
      <c r="H1761" s="83" t="str">
        <f>_xlfn.XLOOKUP(Tabela1[[#This Row],[Matrícula]],Equipe!B:B,Equipe!E:E,"ERRO",0)</f>
        <v>ERRO</v>
      </c>
      <c r="I1761" s="83" t="e">
        <f>VLOOKUP(Tabela1[[#This Row],[Matrícula]],Equipe!B:F,5,0)</f>
        <v>#N/A</v>
      </c>
    </row>
    <row r="1762" spans="1:9">
      <c r="A1762" s="83"/>
      <c r="B1762" s="83">
        <f>_xlfn.XLOOKUP(A1762,Equipe!H:H,Equipe!B:B,"",0)</f>
        <v>0</v>
      </c>
      <c r="C1762" s="154"/>
      <c r="D1762" s="150" t="e">
        <f>(IF(Tabela1[[#This Row],[Início]]&lt;&gt;"",C1762+E1762-1,""))*1</f>
        <v>#VALUE!</v>
      </c>
      <c r="E1762" s="83"/>
      <c r="F1762" s="83"/>
      <c r="G1762" s="88"/>
      <c r="H1762" s="83" t="str">
        <f>_xlfn.XLOOKUP(Tabela1[[#This Row],[Matrícula]],Equipe!B:B,Equipe!E:E,"ERRO",0)</f>
        <v>ERRO</v>
      </c>
      <c r="I1762" s="83" t="e">
        <f>VLOOKUP(Tabela1[[#This Row],[Matrícula]],Equipe!B:F,5,0)</f>
        <v>#N/A</v>
      </c>
    </row>
    <row r="1763" spans="1:9">
      <c r="A1763" s="83"/>
      <c r="B1763" s="83">
        <f>_xlfn.XLOOKUP(A1763,Equipe!H:H,Equipe!B:B,"",0)</f>
        <v>0</v>
      </c>
      <c r="C1763" s="154"/>
      <c r="D1763" s="150" t="e">
        <f>(IF(Tabela1[[#This Row],[Início]]&lt;&gt;"",C1763+E1763-1,""))*1</f>
        <v>#VALUE!</v>
      </c>
      <c r="E1763" s="83"/>
      <c r="F1763" s="83"/>
      <c r="G1763" s="88"/>
      <c r="H1763" s="83" t="str">
        <f>_xlfn.XLOOKUP(Tabela1[[#This Row],[Matrícula]],Equipe!B:B,Equipe!E:E,"ERRO",0)</f>
        <v>ERRO</v>
      </c>
      <c r="I1763" s="83" t="e">
        <f>VLOOKUP(Tabela1[[#This Row],[Matrícula]],Equipe!B:F,5,0)</f>
        <v>#N/A</v>
      </c>
    </row>
    <row r="1764" spans="1:9">
      <c r="A1764" s="83"/>
      <c r="B1764" s="83">
        <f>_xlfn.XLOOKUP(A1764,Equipe!H:H,Equipe!B:B,"",0)</f>
        <v>0</v>
      </c>
      <c r="C1764" s="154"/>
      <c r="D1764" s="150" t="e">
        <f>(IF(Tabela1[[#This Row],[Início]]&lt;&gt;"",C1764+E1764-1,""))*1</f>
        <v>#VALUE!</v>
      </c>
      <c r="E1764" s="83"/>
      <c r="F1764" s="83"/>
      <c r="G1764" s="88"/>
      <c r="H1764" s="83" t="str">
        <f>_xlfn.XLOOKUP(Tabela1[[#This Row],[Matrícula]],Equipe!B:B,Equipe!E:E,"ERRO",0)</f>
        <v>ERRO</v>
      </c>
      <c r="I1764" s="83" t="e">
        <f>VLOOKUP(Tabela1[[#This Row],[Matrícula]],Equipe!B:F,5,0)</f>
        <v>#N/A</v>
      </c>
    </row>
    <row r="1765" spans="1:9">
      <c r="A1765" s="83"/>
      <c r="B1765" s="83">
        <f>_xlfn.XLOOKUP(A1765,Equipe!H:H,Equipe!B:B,"",0)</f>
        <v>0</v>
      </c>
      <c r="C1765" s="154"/>
      <c r="D1765" s="150" t="e">
        <f>(IF(Tabela1[[#This Row],[Início]]&lt;&gt;"",C1765+E1765-1,""))*1</f>
        <v>#VALUE!</v>
      </c>
      <c r="E1765" s="83"/>
      <c r="F1765" s="83"/>
      <c r="G1765" s="88"/>
      <c r="H1765" s="83" t="str">
        <f>_xlfn.XLOOKUP(Tabela1[[#This Row],[Matrícula]],Equipe!B:B,Equipe!E:E,"ERRO",0)</f>
        <v>ERRO</v>
      </c>
      <c r="I1765" s="83" t="e">
        <f>VLOOKUP(Tabela1[[#This Row],[Matrícula]],Equipe!B:F,5,0)</f>
        <v>#N/A</v>
      </c>
    </row>
    <row r="1766" spans="1:9">
      <c r="A1766" s="83"/>
      <c r="B1766" s="83">
        <f>_xlfn.XLOOKUP(A1766,Equipe!H:H,Equipe!B:B,"",0)</f>
        <v>0</v>
      </c>
      <c r="C1766" s="154"/>
      <c r="D1766" s="150" t="e">
        <f>(IF(Tabela1[[#This Row],[Início]]&lt;&gt;"",C1766+E1766-1,""))*1</f>
        <v>#VALUE!</v>
      </c>
      <c r="E1766" s="83"/>
      <c r="F1766" s="83"/>
      <c r="G1766" s="88"/>
      <c r="H1766" s="83" t="str">
        <f>_xlfn.XLOOKUP(Tabela1[[#This Row],[Matrícula]],Equipe!B:B,Equipe!E:E,"ERRO",0)</f>
        <v>ERRO</v>
      </c>
      <c r="I1766" s="83" t="e">
        <f>VLOOKUP(Tabela1[[#This Row],[Matrícula]],Equipe!B:F,5,0)</f>
        <v>#N/A</v>
      </c>
    </row>
    <row r="1767" spans="1:9">
      <c r="A1767" s="83"/>
      <c r="B1767" s="83">
        <f>_xlfn.XLOOKUP(A1767,Equipe!H:H,Equipe!B:B,"",0)</f>
        <v>0</v>
      </c>
      <c r="C1767" s="154"/>
      <c r="D1767" s="150" t="e">
        <f>(IF(Tabela1[[#This Row],[Início]]&lt;&gt;"",C1767+E1767-1,""))*1</f>
        <v>#VALUE!</v>
      </c>
      <c r="E1767" s="83"/>
      <c r="F1767" s="83"/>
      <c r="G1767" s="88"/>
      <c r="H1767" s="83" t="str">
        <f>_xlfn.XLOOKUP(Tabela1[[#This Row],[Matrícula]],Equipe!B:B,Equipe!E:E,"ERRO",0)</f>
        <v>ERRO</v>
      </c>
      <c r="I1767" s="83" t="e">
        <f>VLOOKUP(Tabela1[[#This Row],[Matrícula]],Equipe!B:F,5,0)</f>
        <v>#N/A</v>
      </c>
    </row>
    <row r="1768" spans="1:9">
      <c r="A1768" s="83"/>
      <c r="B1768" s="83">
        <f>_xlfn.XLOOKUP(A1768,Equipe!H:H,Equipe!B:B,"",0)</f>
        <v>0</v>
      </c>
      <c r="C1768" s="154"/>
      <c r="D1768" s="150" t="e">
        <f>(IF(Tabela1[[#This Row],[Início]]&lt;&gt;"",C1768+E1768-1,""))*1</f>
        <v>#VALUE!</v>
      </c>
      <c r="E1768" s="83"/>
      <c r="F1768" s="83"/>
      <c r="G1768" s="88"/>
      <c r="H1768" s="83" t="str">
        <f>_xlfn.XLOOKUP(Tabela1[[#This Row],[Matrícula]],Equipe!B:B,Equipe!E:E,"ERRO",0)</f>
        <v>ERRO</v>
      </c>
      <c r="I1768" s="83" t="e">
        <f>VLOOKUP(Tabela1[[#This Row],[Matrícula]],Equipe!B:F,5,0)</f>
        <v>#N/A</v>
      </c>
    </row>
    <row r="1769" spans="1:9">
      <c r="A1769" s="83"/>
      <c r="B1769" s="83">
        <f>_xlfn.XLOOKUP(A1769,Equipe!H:H,Equipe!B:B,"",0)</f>
        <v>0</v>
      </c>
      <c r="C1769" s="154"/>
      <c r="D1769" s="150" t="e">
        <f>(IF(Tabela1[[#This Row],[Início]]&lt;&gt;"",C1769+E1769-1,""))*1</f>
        <v>#VALUE!</v>
      </c>
      <c r="E1769" s="83"/>
      <c r="F1769" s="83"/>
      <c r="G1769" s="88"/>
      <c r="H1769" s="83" t="str">
        <f>_xlfn.XLOOKUP(Tabela1[[#This Row],[Matrícula]],Equipe!B:B,Equipe!E:E,"ERRO",0)</f>
        <v>ERRO</v>
      </c>
      <c r="I1769" s="83" t="e">
        <f>VLOOKUP(Tabela1[[#This Row],[Matrícula]],Equipe!B:F,5,0)</f>
        <v>#N/A</v>
      </c>
    </row>
    <row r="1770" spans="1:9">
      <c r="A1770" s="83"/>
      <c r="B1770" s="83">
        <f>_xlfn.XLOOKUP(A1770,Equipe!H:H,Equipe!B:B,"",0)</f>
        <v>0</v>
      </c>
      <c r="C1770" s="154"/>
      <c r="D1770" s="150" t="e">
        <f>(IF(Tabela1[[#This Row],[Início]]&lt;&gt;"",C1770+E1770-1,""))*1</f>
        <v>#VALUE!</v>
      </c>
      <c r="E1770" s="83"/>
      <c r="F1770" s="83"/>
      <c r="G1770" s="88"/>
      <c r="H1770" s="83" t="str">
        <f>_xlfn.XLOOKUP(Tabela1[[#This Row],[Matrícula]],Equipe!B:B,Equipe!E:E,"ERRO",0)</f>
        <v>ERRO</v>
      </c>
      <c r="I1770" s="83" t="e">
        <f>VLOOKUP(Tabela1[[#This Row],[Matrícula]],Equipe!B:F,5,0)</f>
        <v>#N/A</v>
      </c>
    </row>
    <row r="1771" spans="1:9">
      <c r="A1771" s="83"/>
      <c r="B1771" s="83">
        <f>_xlfn.XLOOKUP(A1771,Equipe!H:H,Equipe!B:B,"",0)</f>
        <v>0</v>
      </c>
      <c r="C1771" s="154"/>
      <c r="D1771" s="150" t="e">
        <f>(IF(Tabela1[[#This Row],[Início]]&lt;&gt;"",C1771+E1771-1,""))*1</f>
        <v>#VALUE!</v>
      </c>
      <c r="E1771" s="83"/>
      <c r="F1771" s="83"/>
      <c r="G1771" s="88"/>
      <c r="H1771" s="83" t="str">
        <f>_xlfn.XLOOKUP(Tabela1[[#This Row],[Matrícula]],Equipe!B:B,Equipe!E:E,"ERRO",0)</f>
        <v>ERRO</v>
      </c>
      <c r="I1771" s="83" t="e">
        <f>VLOOKUP(Tabela1[[#This Row],[Matrícula]],Equipe!B:F,5,0)</f>
        <v>#N/A</v>
      </c>
    </row>
    <row r="1772" spans="1:9">
      <c r="A1772" s="83"/>
      <c r="B1772" s="83">
        <f>_xlfn.XLOOKUP(A1772,Equipe!H:H,Equipe!B:B,"",0)</f>
        <v>0</v>
      </c>
      <c r="C1772" s="154"/>
      <c r="D1772" s="150" t="e">
        <f>(IF(Tabela1[[#This Row],[Início]]&lt;&gt;"",C1772+E1772-1,""))*1</f>
        <v>#VALUE!</v>
      </c>
      <c r="E1772" s="83"/>
      <c r="F1772" s="83"/>
      <c r="G1772" s="88"/>
      <c r="H1772" s="83" t="str">
        <f>_xlfn.XLOOKUP(Tabela1[[#This Row],[Matrícula]],Equipe!B:B,Equipe!E:E,"ERRO",0)</f>
        <v>ERRO</v>
      </c>
      <c r="I1772" s="83" t="e">
        <f>VLOOKUP(Tabela1[[#This Row],[Matrícula]],Equipe!B:F,5,0)</f>
        <v>#N/A</v>
      </c>
    </row>
    <row r="1773" spans="1:9">
      <c r="A1773" s="83"/>
      <c r="B1773" s="83">
        <f>_xlfn.XLOOKUP(A1773,Equipe!H:H,Equipe!B:B,"",0)</f>
        <v>0</v>
      </c>
      <c r="C1773" s="154"/>
      <c r="D1773" s="150" t="e">
        <f>(IF(Tabela1[[#This Row],[Início]]&lt;&gt;"",C1773+E1773-1,""))*1</f>
        <v>#VALUE!</v>
      </c>
      <c r="E1773" s="83"/>
      <c r="F1773" s="83"/>
      <c r="G1773" s="88"/>
      <c r="H1773" s="83" t="str">
        <f>_xlfn.XLOOKUP(Tabela1[[#This Row],[Matrícula]],Equipe!B:B,Equipe!E:E,"ERRO",0)</f>
        <v>ERRO</v>
      </c>
      <c r="I1773" s="83" t="e">
        <f>VLOOKUP(Tabela1[[#This Row],[Matrícula]],Equipe!B:F,5,0)</f>
        <v>#N/A</v>
      </c>
    </row>
    <row r="1774" spans="1:9">
      <c r="A1774" s="83"/>
      <c r="B1774" s="83">
        <f>_xlfn.XLOOKUP(A1774,Equipe!H:H,Equipe!B:B,"",0)</f>
        <v>0</v>
      </c>
      <c r="C1774" s="154"/>
      <c r="D1774" s="150" t="e">
        <f>(IF(Tabela1[[#This Row],[Início]]&lt;&gt;"",C1774+E1774-1,""))*1</f>
        <v>#VALUE!</v>
      </c>
      <c r="E1774" s="83"/>
      <c r="F1774" s="83"/>
      <c r="G1774" s="88"/>
      <c r="H1774" s="83" t="str">
        <f>_xlfn.XLOOKUP(Tabela1[[#This Row],[Matrícula]],Equipe!B:B,Equipe!E:E,"ERRO",0)</f>
        <v>ERRO</v>
      </c>
      <c r="I1774" s="83" t="e">
        <f>VLOOKUP(Tabela1[[#This Row],[Matrícula]],Equipe!B:F,5,0)</f>
        <v>#N/A</v>
      </c>
    </row>
    <row r="1775" spans="1:9">
      <c r="A1775" s="83"/>
      <c r="B1775" s="83">
        <f>_xlfn.XLOOKUP(A1775,Equipe!H:H,Equipe!B:B,"",0)</f>
        <v>0</v>
      </c>
      <c r="C1775" s="154"/>
      <c r="D1775" s="150" t="e">
        <f>(IF(Tabela1[[#This Row],[Início]]&lt;&gt;"",C1775+E1775-1,""))*1</f>
        <v>#VALUE!</v>
      </c>
      <c r="E1775" s="83"/>
      <c r="F1775" s="83"/>
      <c r="G1775" s="88"/>
      <c r="H1775" s="83" t="str">
        <f>_xlfn.XLOOKUP(Tabela1[[#This Row],[Matrícula]],Equipe!B:B,Equipe!E:E,"ERRO",0)</f>
        <v>ERRO</v>
      </c>
      <c r="I1775" s="83" t="e">
        <f>VLOOKUP(Tabela1[[#This Row],[Matrícula]],Equipe!B:F,5,0)</f>
        <v>#N/A</v>
      </c>
    </row>
    <row r="1776" spans="1:9">
      <c r="A1776" s="83"/>
      <c r="B1776" s="83">
        <f>_xlfn.XLOOKUP(A1776,Equipe!H:H,Equipe!B:B,"",0)</f>
        <v>0</v>
      </c>
      <c r="C1776" s="154"/>
      <c r="D1776" s="150" t="e">
        <f>(IF(Tabela1[[#This Row],[Início]]&lt;&gt;"",C1776+E1776-1,""))*1</f>
        <v>#VALUE!</v>
      </c>
      <c r="E1776" s="83"/>
      <c r="F1776" s="83"/>
      <c r="G1776" s="88"/>
      <c r="H1776" s="83" t="str">
        <f>_xlfn.XLOOKUP(Tabela1[[#This Row],[Matrícula]],Equipe!B:B,Equipe!E:E,"ERRO",0)</f>
        <v>ERRO</v>
      </c>
      <c r="I1776" s="83" t="e">
        <f>VLOOKUP(Tabela1[[#This Row],[Matrícula]],Equipe!B:F,5,0)</f>
        <v>#N/A</v>
      </c>
    </row>
    <row r="1777" spans="1:9">
      <c r="A1777" s="83"/>
      <c r="B1777" s="83">
        <f>_xlfn.XLOOKUP(A1777,Equipe!H:H,Equipe!B:B,"",0)</f>
        <v>0</v>
      </c>
      <c r="C1777" s="154"/>
      <c r="D1777" s="150" t="e">
        <f>(IF(Tabela1[[#This Row],[Início]]&lt;&gt;"",C1777+E1777-1,""))*1</f>
        <v>#VALUE!</v>
      </c>
      <c r="E1777" s="83"/>
      <c r="F1777" s="83"/>
      <c r="G1777" s="88"/>
      <c r="H1777" s="83" t="str">
        <f>_xlfn.XLOOKUP(Tabela1[[#This Row],[Matrícula]],Equipe!B:B,Equipe!E:E,"ERRO",0)</f>
        <v>ERRO</v>
      </c>
      <c r="I1777" s="83" t="e">
        <f>VLOOKUP(Tabela1[[#This Row],[Matrícula]],Equipe!B:F,5,0)</f>
        <v>#N/A</v>
      </c>
    </row>
    <row r="1778" spans="1:9">
      <c r="A1778" s="83"/>
      <c r="B1778" s="83">
        <f>_xlfn.XLOOKUP(A1778,Equipe!H:H,Equipe!B:B,"",0)</f>
        <v>0</v>
      </c>
      <c r="C1778" s="154"/>
      <c r="D1778" s="150" t="e">
        <f>(IF(Tabela1[[#This Row],[Início]]&lt;&gt;"",C1778+E1778-1,""))*1</f>
        <v>#VALUE!</v>
      </c>
      <c r="E1778" s="83"/>
      <c r="F1778" s="83"/>
      <c r="G1778" s="88"/>
      <c r="H1778" s="83" t="str">
        <f>_xlfn.XLOOKUP(Tabela1[[#This Row],[Matrícula]],Equipe!B:B,Equipe!E:E,"ERRO",0)</f>
        <v>ERRO</v>
      </c>
      <c r="I1778" s="83" t="e">
        <f>VLOOKUP(Tabela1[[#This Row],[Matrícula]],Equipe!B:F,5,0)</f>
        <v>#N/A</v>
      </c>
    </row>
    <row r="1779" spans="1:9">
      <c r="A1779" s="83"/>
      <c r="B1779" s="83">
        <f>_xlfn.XLOOKUP(A1779,Equipe!H:H,Equipe!B:B,"",0)</f>
        <v>0</v>
      </c>
      <c r="C1779" s="154"/>
      <c r="D1779" s="150" t="e">
        <f>(IF(Tabela1[[#This Row],[Início]]&lt;&gt;"",C1779+E1779-1,""))*1</f>
        <v>#VALUE!</v>
      </c>
      <c r="E1779" s="83"/>
      <c r="F1779" s="83"/>
      <c r="G1779" s="88"/>
      <c r="H1779" s="83" t="str">
        <f>_xlfn.XLOOKUP(Tabela1[[#This Row],[Matrícula]],Equipe!B:B,Equipe!E:E,"ERRO",0)</f>
        <v>ERRO</v>
      </c>
      <c r="I1779" s="83" t="e">
        <f>VLOOKUP(Tabela1[[#This Row],[Matrícula]],Equipe!B:F,5,0)</f>
        <v>#N/A</v>
      </c>
    </row>
    <row r="1780" spans="1:9">
      <c r="A1780" s="83"/>
      <c r="B1780" s="83">
        <f>_xlfn.XLOOKUP(A1780,Equipe!H:H,Equipe!B:B,"",0)</f>
        <v>0</v>
      </c>
      <c r="C1780" s="154"/>
      <c r="D1780" s="150" t="e">
        <f>(IF(Tabela1[[#This Row],[Início]]&lt;&gt;"",C1780+E1780-1,""))*1</f>
        <v>#VALUE!</v>
      </c>
      <c r="E1780" s="83"/>
      <c r="F1780" s="83"/>
      <c r="G1780" s="88"/>
      <c r="H1780" s="83" t="str">
        <f>_xlfn.XLOOKUP(Tabela1[[#This Row],[Matrícula]],Equipe!B:B,Equipe!E:E,"ERRO",0)</f>
        <v>ERRO</v>
      </c>
      <c r="I1780" s="83" t="e">
        <f>VLOOKUP(Tabela1[[#This Row],[Matrícula]],Equipe!B:F,5,0)</f>
        <v>#N/A</v>
      </c>
    </row>
    <row r="1781" spans="1:9">
      <c r="A1781" s="83"/>
      <c r="B1781" s="83">
        <f>_xlfn.XLOOKUP(A1781,Equipe!H:H,Equipe!B:B,"",0)</f>
        <v>0</v>
      </c>
      <c r="C1781" s="154"/>
      <c r="D1781" s="150" t="e">
        <f>(IF(Tabela1[[#This Row],[Início]]&lt;&gt;"",C1781+E1781-1,""))*1</f>
        <v>#VALUE!</v>
      </c>
      <c r="E1781" s="83"/>
      <c r="F1781" s="83"/>
      <c r="G1781" s="88"/>
      <c r="H1781" s="83" t="str">
        <f>_xlfn.XLOOKUP(Tabela1[[#This Row],[Matrícula]],Equipe!B:B,Equipe!E:E,"ERRO",0)</f>
        <v>ERRO</v>
      </c>
      <c r="I1781" s="83" t="e">
        <f>VLOOKUP(Tabela1[[#This Row],[Matrícula]],Equipe!B:F,5,0)</f>
        <v>#N/A</v>
      </c>
    </row>
    <row r="1782" spans="1:9">
      <c r="A1782" s="83"/>
      <c r="B1782" s="83">
        <f>_xlfn.XLOOKUP(A1782,Equipe!H:H,Equipe!B:B,"",0)</f>
        <v>0</v>
      </c>
      <c r="C1782" s="154"/>
      <c r="D1782" s="150" t="e">
        <f>(IF(Tabela1[[#This Row],[Início]]&lt;&gt;"",C1782+E1782-1,""))*1</f>
        <v>#VALUE!</v>
      </c>
      <c r="E1782" s="83"/>
      <c r="F1782" s="83"/>
      <c r="G1782" s="88"/>
      <c r="H1782" s="83" t="str">
        <f>_xlfn.XLOOKUP(Tabela1[[#This Row],[Matrícula]],Equipe!B:B,Equipe!E:E,"ERRO",0)</f>
        <v>ERRO</v>
      </c>
      <c r="I1782" s="83" t="e">
        <f>VLOOKUP(Tabela1[[#This Row],[Matrícula]],Equipe!B:F,5,0)</f>
        <v>#N/A</v>
      </c>
    </row>
    <row r="1783" spans="1:9">
      <c r="A1783" s="83"/>
      <c r="B1783" s="83">
        <f>_xlfn.XLOOKUP(A1783,Equipe!H:H,Equipe!B:B,"",0)</f>
        <v>0</v>
      </c>
      <c r="C1783" s="154"/>
      <c r="D1783" s="150" t="e">
        <f>(IF(Tabela1[[#This Row],[Início]]&lt;&gt;"",C1783+E1783-1,""))*1</f>
        <v>#VALUE!</v>
      </c>
      <c r="E1783" s="83"/>
      <c r="F1783" s="83"/>
      <c r="G1783" s="88"/>
      <c r="H1783" s="83" t="str">
        <f>_xlfn.XLOOKUP(Tabela1[[#This Row],[Matrícula]],Equipe!B:B,Equipe!E:E,"ERRO",0)</f>
        <v>ERRO</v>
      </c>
      <c r="I1783" s="83" t="e">
        <f>VLOOKUP(Tabela1[[#This Row],[Matrícula]],Equipe!B:F,5,0)</f>
        <v>#N/A</v>
      </c>
    </row>
    <row r="1784" spans="1:9">
      <c r="A1784" s="83"/>
      <c r="B1784" s="83">
        <f>_xlfn.XLOOKUP(A1784,Equipe!H:H,Equipe!B:B,"",0)</f>
        <v>0</v>
      </c>
      <c r="C1784" s="154"/>
      <c r="D1784" s="150" t="e">
        <f>(IF(Tabela1[[#This Row],[Início]]&lt;&gt;"",C1784+E1784-1,""))*1</f>
        <v>#VALUE!</v>
      </c>
      <c r="E1784" s="83"/>
      <c r="F1784" s="83"/>
      <c r="G1784" s="88"/>
      <c r="H1784" s="83" t="str">
        <f>_xlfn.XLOOKUP(Tabela1[[#This Row],[Matrícula]],Equipe!B:B,Equipe!E:E,"ERRO",0)</f>
        <v>ERRO</v>
      </c>
      <c r="I1784" s="83" t="e">
        <f>VLOOKUP(Tabela1[[#This Row],[Matrícula]],Equipe!B:F,5,0)</f>
        <v>#N/A</v>
      </c>
    </row>
    <row r="1785" spans="1:9">
      <c r="A1785" s="83"/>
      <c r="B1785" s="83">
        <f>_xlfn.XLOOKUP(A1785,Equipe!H:H,Equipe!B:B,"",0)</f>
        <v>0</v>
      </c>
      <c r="C1785" s="154"/>
      <c r="D1785" s="150" t="e">
        <f>(IF(Tabela1[[#This Row],[Início]]&lt;&gt;"",C1785+E1785-1,""))*1</f>
        <v>#VALUE!</v>
      </c>
      <c r="E1785" s="83"/>
      <c r="F1785" s="83"/>
      <c r="G1785" s="88"/>
      <c r="H1785" s="83" t="str">
        <f>_xlfn.XLOOKUP(Tabela1[[#This Row],[Matrícula]],Equipe!B:B,Equipe!E:E,"ERRO",0)</f>
        <v>ERRO</v>
      </c>
      <c r="I1785" s="83" t="e">
        <f>VLOOKUP(Tabela1[[#This Row],[Matrícula]],Equipe!B:F,5,0)</f>
        <v>#N/A</v>
      </c>
    </row>
    <row r="1786" spans="1:9">
      <c r="A1786" s="83"/>
      <c r="B1786" s="83">
        <f>_xlfn.XLOOKUP(A1786,Equipe!H:H,Equipe!B:B,"",0)</f>
        <v>0</v>
      </c>
      <c r="C1786" s="154"/>
      <c r="D1786" s="150" t="e">
        <f>(IF(Tabela1[[#This Row],[Início]]&lt;&gt;"",C1786+E1786-1,""))*1</f>
        <v>#VALUE!</v>
      </c>
      <c r="E1786" s="83"/>
      <c r="F1786" s="83"/>
      <c r="G1786" s="88"/>
      <c r="H1786" s="83" t="str">
        <f>_xlfn.XLOOKUP(Tabela1[[#This Row],[Matrícula]],Equipe!B:B,Equipe!E:E,"ERRO",0)</f>
        <v>ERRO</v>
      </c>
      <c r="I1786" s="83" t="e">
        <f>VLOOKUP(Tabela1[[#This Row],[Matrícula]],Equipe!B:F,5,0)</f>
        <v>#N/A</v>
      </c>
    </row>
    <row r="1787" spans="1:9">
      <c r="A1787" s="83"/>
      <c r="B1787" s="83">
        <f>_xlfn.XLOOKUP(A1787,Equipe!H:H,Equipe!B:B,"",0)</f>
        <v>0</v>
      </c>
      <c r="C1787" s="154"/>
      <c r="D1787" s="150" t="e">
        <f>(IF(Tabela1[[#This Row],[Início]]&lt;&gt;"",C1787+E1787-1,""))*1</f>
        <v>#VALUE!</v>
      </c>
      <c r="E1787" s="83"/>
      <c r="F1787" s="83"/>
      <c r="G1787" s="88"/>
      <c r="H1787" s="83" t="str">
        <f>_xlfn.XLOOKUP(Tabela1[[#This Row],[Matrícula]],Equipe!B:B,Equipe!E:E,"ERRO",0)</f>
        <v>ERRO</v>
      </c>
      <c r="I1787" s="83" t="e">
        <f>VLOOKUP(Tabela1[[#This Row],[Matrícula]],Equipe!B:F,5,0)</f>
        <v>#N/A</v>
      </c>
    </row>
    <row r="1788" spans="1:9">
      <c r="A1788" s="83"/>
      <c r="B1788" s="83">
        <f>_xlfn.XLOOKUP(A1788,Equipe!H:H,Equipe!B:B,"",0)</f>
        <v>0</v>
      </c>
      <c r="C1788" s="154"/>
      <c r="D1788" s="150" t="e">
        <f>(IF(Tabela1[[#This Row],[Início]]&lt;&gt;"",C1788+E1788-1,""))*1</f>
        <v>#VALUE!</v>
      </c>
      <c r="E1788" s="83"/>
      <c r="F1788" s="83"/>
      <c r="G1788" s="88"/>
      <c r="H1788" s="83" t="str">
        <f>_xlfn.XLOOKUP(Tabela1[[#This Row],[Matrícula]],Equipe!B:B,Equipe!E:E,"ERRO",0)</f>
        <v>ERRO</v>
      </c>
      <c r="I1788" s="83" t="e">
        <f>VLOOKUP(Tabela1[[#This Row],[Matrícula]],Equipe!B:F,5,0)</f>
        <v>#N/A</v>
      </c>
    </row>
    <row r="1789" spans="1:9">
      <c r="A1789" s="83"/>
      <c r="B1789" s="83">
        <f>_xlfn.XLOOKUP(A1789,Equipe!H:H,Equipe!B:B,"",0)</f>
        <v>0</v>
      </c>
      <c r="C1789" s="154"/>
      <c r="D1789" s="150" t="e">
        <f>(IF(Tabela1[[#This Row],[Início]]&lt;&gt;"",C1789+E1789-1,""))*1</f>
        <v>#VALUE!</v>
      </c>
      <c r="E1789" s="83"/>
      <c r="F1789" s="83"/>
      <c r="G1789" s="88"/>
      <c r="H1789" s="83" t="str">
        <f>_xlfn.XLOOKUP(Tabela1[[#This Row],[Matrícula]],Equipe!B:B,Equipe!E:E,"ERRO",0)</f>
        <v>ERRO</v>
      </c>
      <c r="I1789" s="83" t="e">
        <f>VLOOKUP(Tabela1[[#This Row],[Matrícula]],Equipe!B:F,5,0)</f>
        <v>#N/A</v>
      </c>
    </row>
    <row r="1790" spans="1:9">
      <c r="A1790" s="83"/>
      <c r="B1790" s="83">
        <f>_xlfn.XLOOKUP(A1790,Equipe!H:H,Equipe!B:B,"",0)</f>
        <v>0</v>
      </c>
      <c r="C1790" s="154"/>
      <c r="D1790" s="150" t="e">
        <f>(IF(Tabela1[[#This Row],[Início]]&lt;&gt;"",C1790+E1790-1,""))*1</f>
        <v>#VALUE!</v>
      </c>
      <c r="E1790" s="83"/>
      <c r="F1790" s="83"/>
      <c r="G1790" s="88"/>
      <c r="H1790" s="83" t="str">
        <f>_xlfn.XLOOKUP(Tabela1[[#This Row],[Matrícula]],Equipe!B:B,Equipe!E:E,"ERRO",0)</f>
        <v>ERRO</v>
      </c>
      <c r="I1790" s="83" t="e">
        <f>VLOOKUP(Tabela1[[#This Row],[Matrícula]],Equipe!B:F,5,0)</f>
        <v>#N/A</v>
      </c>
    </row>
    <row r="1791" spans="1:9">
      <c r="A1791" s="83"/>
      <c r="B1791" s="83">
        <f>_xlfn.XLOOKUP(A1791,Equipe!H:H,Equipe!B:B,"",0)</f>
        <v>0</v>
      </c>
      <c r="C1791" s="154"/>
      <c r="D1791" s="150" t="e">
        <f>(IF(Tabela1[[#This Row],[Início]]&lt;&gt;"",C1791+E1791-1,""))*1</f>
        <v>#VALUE!</v>
      </c>
      <c r="E1791" s="83"/>
      <c r="F1791" s="83"/>
      <c r="G1791" s="88"/>
      <c r="H1791" s="83" t="str">
        <f>_xlfn.XLOOKUP(Tabela1[[#This Row],[Matrícula]],Equipe!B:B,Equipe!E:E,"ERRO",0)</f>
        <v>ERRO</v>
      </c>
      <c r="I1791" s="83" t="e">
        <f>VLOOKUP(Tabela1[[#This Row],[Matrícula]],Equipe!B:F,5,0)</f>
        <v>#N/A</v>
      </c>
    </row>
    <row r="1792" spans="1:9">
      <c r="A1792" s="83"/>
      <c r="B1792" s="83">
        <f>_xlfn.XLOOKUP(A1792,Equipe!H:H,Equipe!B:B,"",0)</f>
        <v>0</v>
      </c>
      <c r="C1792" s="154"/>
      <c r="D1792" s="150" t="e">
        <f>(IF(Tabela1[[#This Row],[Início]]&lt;&gt;"",C1792+E1792-1,""))*1</f>
        <v>#VALUE!</v>
      </c>
      <c r="E1792" s="83"/>
      <c r="F1792" s="83"/>
      <c r="G1792" s="88"/>
      <c r="H1792" s="83" t="str">
        <f>_xlfn.XLOOKUP(Tabela1[[#This Row],[Matrícula]],Equipe!B:B,Equipe!E:E,"ERRO",0)</f>
        <v>ERRO</v>
      </c>
      <c r="I1792" s="83" t="e">
        <f>VLOOKUP(Tabela1[[#This Row],[Matrícula]],Equipe!B:F,5,0)</f>
        <v>#N/A</v>
      </c>
    </row>
    <row r="1793" spans="1:9">
      <c r="A1793" s="83"/>
      <c r="B1793" s="83">
        <f>_xlfn.XLOOKUP(A1793,Equipe!H:H,Equipe!B:B,"",0)</f>
        <v>0</v>
      </c>
      <c r="C1793" s="154"/>
      <c r="D1793" s="150" t="e">
        <f>(IF(Tabela1[[#This Row],[Início]]&lt;&gt;"",C1793+E1793-1,""))*1</f>
        <v>#VALUE!</v>
      </c>
      <c r="E1793" s="83"/>
      <c r="F1793" s="83"/>
      <c r="G1793" s="88"/>
      <c r="H1793" s="83" t="str">
        <f>_xlfn.XLOOKUP(Tabela1[[#This Row],[Matrícula]],Equipe!B:B,Equipe!E:E,"ERRO",0)</f>
        <v>ERRO</v>
      </c>
      <c r="I1793" s="83" t="e">
        <f>VLOOKUP(Tabela1[[#This Row],[Matrícula]],Equipe!B:F,5,0)</f>
        <v>#N/A</v>
      </c>
    </row>
    <row r="1794" spans="1:9">
      <c r="A1794" s="83"/>
      <c r="B1794" s="83">
        <f>_xlfn.XLOOKUP(A1794,Equipe!H:H,Equipe!B:B,"",0)</f>
        <v>0</v>
      </c>
      <c r="C1794" s="154"/>
      <c r="D1794" s="150" t="e">
        <f>(IF(Tabela1[[#This Row],[Início]]&lt;&gt;"",C1794+E1794-1,""))*1</f>
        <v>#VALUE!</v>
      </c>
      <c r="E1794" s="83"/>
      <c r="F1794" s="83"/>
      <c r="G1794" s="88"/>
      <c r="H1794" s="83" t="str">
        <f>_xlfn.XLOOKUP(Tabela1[[#This Row],[Matrícula]],Equipe!B:B,Equipe!E:E,"ERRO",0)</f>
        <v>ERRO</v>
      </c>
      <c r="I1794" s="83" t="e">
        <f>VLOOKUP(Tabela1[[#This Row],[Matrícula]],Equipe!B:F,5,0)</f>
        <v>#N/A</v>
      </c>
    </row>
    <row r="1795" spans="1:9">
      <c r="A1795" s="83"/>
      <c r="B1795" s="83">
        <f>_xlfn.XLOOKUP(A1795,Equipe!H:H,Equipe!B:B,"",0)</f>
        <v>0</v>
      </c>
      <c r="C1795" s="154"/>
      <c r="D1795" s="150" t="e">
        <f>(IF(Tabela1[[#This Row],[Início]]&lt;&gt;"",C1795+E1795-1,""))*1</f>
        <v>#VALUE!</v>
      </c>
      <c r="E1795" s="83"/>
      <c r="F1795" s="83"/>
      <c r="G1795" s="88"/>
      <c r="H1795" s="83" t="str">
        <f>_xlfn.XLOOKUP(Tabela1[[#This Row],[Matrícula]],Equipe!B:B,Equipe!E:E,"ERRO",0)</f>
        <v>ERRO</v>
      </c>
      <c r="I1795" s="83" t="e">
        <f>VLOOKUP(Tabela1[[#This Row],[Matrícula]],Equipe!B:F,5,0)</f>
        <v>#N/A</v>
      </c>
    </row>
    <row r="1796" spans="1:9">
      <c r="A1796" s="83"/>
      <c r="B1796" s="83">
        <f>_xlfn.XLOOKUP(A1796,Equipe!H:H,Equipe!B:B,"",0)</f>
        <v>0</v>
      </c>
      <c r="C1796" s="154"/>
      <c r="D1796" s="150" t="e">
        <f>(IF(Tabela1[[#This Row],[Início]]&lt;&gt;"",C1796+E1796-1,""))*1</f>
        <v>#VALUE!</v>
      </c>
      <c r="E1796" s="83"/>
      <c r="F1796" s="83"/>
      <c r="G1796" s="88"/>
      <c r="H1796" s="83" t="str">
        <f>_xlfn.XLOOKUP(Tabela1[[#This Row],[Matrícula]],Equipe!B:B,Equipe!E:E,"ERRO",0)</f>
        <v>ERRO</v>
      </c>
      <c r="I1796" s="83" t="e">
        <f>VLOOKUP(Tabela1[[#This Row],[Matrícula]],Equipe!B:F,5,0)</f>
        <v>#N/A</v>
      </c>
    </row>
    <row r="1797" spans="1:9">
      <c r="A1797" s="83"/>
      <c r="B1797" s="83">
        <f>_xlfn.XLOOKUP(A1797,Equipe!H:H,Equipe!B:B,"",0)</f>
        <v>0</v>
      </c>
      <c r="C1797" s="154"/>
      <c r="D1797" s="150" t="e">
        <f>(IF(Tabela1[[#This Row],[Início]]&lt;&gt;"",C1797+E1797-1,""))*1</f>
        <v>#VALUE!</v>
      </c>
      <c r="E1797" s="83"/>
      <c r="F1797" s="83"/>
      <c r="G1797" s="88"/>
      <c r="H1797" s="83" t="str">
        <f>_xlfn.XLOOKUP(Tabela1[[#This Row],[Matrícula]],Equipe!B:B,Equipe!E:E,"ERRO",0)</f>
        <v>ERRO</v>
      </c>
      <c r="I1797" s="83" t="e">
        <f>VLOOKUP(Tabela1[[#This Row],[Matrícula]],Equipe!B:F,5,0)</f>
        <v>#N/A</v>
      </c>
    </row>
    <row r="1798" spans="1:9">
      <c r="A1798" s="83"/>
      <c r="B1798" s="83">
        <f>_xlfn.XLOOKUP(A1798,Equipe!H:H,Equipe!B:B,"",0)</f>
        <v>0</v>
      </c>
      <c r="C1798" s="154"/>
      <c r="D1798" s="150" t="e">
        <f>(IF(Tabela1[[#This Row],[Início]]&lt;&gt;"",C1798+E1798-1,""))*1</f>
        <v>#VALUE!</v>
      </c>
      <c r="E1798" s="83"/>
      <c r="F1798" s="83"/>
      <c r="G1798" s="88"/>
      <c r="H1798" s="83" t="str">
        <f>_xlfn.XLOOKUP(Tabela1[[#This Row],[Matrícula]],Equipe!B:B,Equipe!E:E,"ERRO",0)</f>
        <v>ERRO</v>
      </c>
      <c r="I1798" s="83" t="e">
        <f>VLOOKUP(Tabela1[[#This Row],[Matrícula]],Equipe!B:F,5,0)</f>
        <v>#N/A</v>
      </c>
    </row>
    <row r="1799" spans="1:9">
      <c r="A1799" s="83"/>
      <c r="B1799" s="83">
        <f>_xlfn.XLOOKUP(A1799,Equipe!H:H,Equipe!B:B,"",0)</f>
        <v>0</v>
      </c>
      <c r="C1799" s="154"/>
      <c r="D1799" s="150" t="e">
        <f>(IF(Tabela1[[#This Row],[Início]]&lt;&gt;"",C1799+E1799-1,""))*1</f>
        <v>#VALUE!</v>
      </c>
      <c r="E1799" s="83"/>
      <c r="F1799" s="83"/>
      <c r="G1799" s="88"/>
      <c r="H1799" s="83" t="str">
        <f>_xlfn.XLOOKUP(Tabela1[[#This Row],[Matrícula]],Equipe!B:B,Equipe!E:E,"ERRO",0)</f>
        <v>ERRO</v>
      </c>
      <c r="I1799" s="83" t="e">
        <f>VLOOKUP(Tabela1[[#This Row],[Matrícula]],Equipe!B:F,5,0)</f>
        <v>#N/A</v>
      </c>
    </row>
    <row r="1800" spans="1:9">
      <c r="A1800" s="83"/>
      <c r="B1800" s="83">
        <f>_xlfn.XLOOKUP(A1800,Equipe!H:H,Equipe!B:B,"",0)</f>
        <v>0</v>
      </c>
      <c r="C1800" s="154"/>
      <c r="D1800" s="150" t="e">
        <f>(IF(Tabela1[[#This Row],[Início]]&lt;&gt;"",C1800+E1800-1,""))*1</f>
        <v>#VALUE!</v>
      </c>
      <c r="E1800" s="83"/>
      <c r="F1800" s="83"/>
      <c r="G1800" s="88"/>
      <c r="H1800" s="83" t="str">
        <f>_xlfn.XLOOKUP(Tabela1[[#This Row],[Matrícula]],Equipe!B:B,Equipe!E:E,"ERRO",0)</f>
        <v>ERRO</v>
      </c>
      <c r="I1800" s="83" t="e">
        <f>VLOOKUP(Tabela1[[#This Row],[Matrícula]],Equipe!B:F,5,0)</f>
        <v>#N/A</v>
      </c>
    </row>
    <row r="1801" spans="1:9">
      <c r="A1801" s="83"/>
      <c r="B1801" s="83">
        <f>_xlfn.XLOOKUP(A1801,Equipe!H:H,Equipe!B:B,"",0)</f>
        <v>0</v>
      </c>
      <c r="C1801" s="154"/>
      <c r="D1801" s="150" t="e">
        <f>(IF(Tabela1[[#This Row],[Início]]&lt;&gt;"",C1801+E1801-1,""))*1</f>
        <v>#VALUE!</v>
      </c>
      <c r="E1801" s="83"/>
      <c r="F1801" s="83"/>
      <c r="G1801" s="88"/>
      <c r="H1801" s="83" t="str">
        <f>_xlfn.XLOOKUP(Tabela1[[#This Row],[Matrícula]],Equipe!B:B,Equipe!E:E,"ERRO",0)</f>
        <v>ERRO</v>
      </c>
      <c r="I1801" s="83" t="e">
        <f>VLOOKUP(Tabela1[[#This Row],[Matrícula]],Equipe!B:F,5,0)</f>
        <v>#N/A</v>
      </c>
    </row>
    <row r="1802" spans="1:9">
      <c r="A1802" s="83"/>
      <c r="B1802" s="83">
        <f>_xlfn.XLOOKUP(A1802,Equipe!H:H,Equipe!B:B,"",0)</f>
        <v>0</v>
      </c>
      <c r="C1802" s="154"/>
      <c r="D1802" s="150" t="e">
        <f>(IF(Tabela1[[#This Row],[Início]]&lt;&gt;"",C1802+E1802-1,""))*1</f>
        <v>#VALUE!</v>
      </c>
      <c r="E1802" s="83"/>
      <c r="F1802" s="83"/>
      <c r="G1802" s="88"/>
      <c r="H1802" s="83" t="str">
        <f>_xlfn.XLOOKUP(Tabela1[[#This Row],[Matrícula]],Equipe!B:B,Equipe!E:E,"ERRO",0)</f>
        <v>ERRO</v>
      </c>
      <c r="I1802" s="83" t="e">
        <f>VLOOKUP(Tabela1[[#This Row],[Matrícula]],Equipe!B:F,5,0)</f>
        <v>#N/A</v>
      </c>
    </row>
    <row r="1803" spans="1:9">
      <c r="A1803" s="83"/>
      <c r="B1803" s="83">
        <f>_xlfn.XLOOKUP(A1803,Equipe!H:H,Equipe!B:B,"",0)</f>
        <v>0</v>
      </c>
      <c r="C1803" s="154"/>
      <c r="D1803" s="150" t="e">
        <f>(IF(Tabela1[[#This Row],[Início]]&lt;&gt;"",C1803+E1803-1,""))*1</f>
        <v>#VALUE!</v>
      </c>
      <c r="E1803" s="83"/>
      <c r="F1803" s="83"/>
      <c r="G1803" s="88"/>
      <c r="H1803" s="83" t="str">
        <f>_xlfn.XLOOKUP(Tabela1[[#This Row],[Matrícula]],Equipe!B:B,Equipe!E:E,"ERRO",0)</f>
        <v>ERRO</v>
      </c>
      <c r="I1803" s="83" t="e">
        <f>VLOOKUP(Tabela1[[#This Row],[Matrícula]],Equipe!B:F,5,0)</f>
        <v>#N/A</v>
      </c>
    </row>
    <row r="1804" spans="1:9">
      <c r="A1804" s="83"/>
      <c r="B1804" s="83">
        <f>_xlfn.XLOOKUP(A1804,Equipe!H:H,Equipe!B:B,"",0)</f>
        <v>0</v>
      </c>
      <c r="C1804" s="154"/>
      <c r="D1804" s="150" t="e">
        <f>(IF(Tabela1[[#This Row],[Início]]&lt;&gt;"",C1804+E1804-1,""))*1</f>
        <v>#VALUE!</v>
      </c>
      <c r="E1804" s="83"/>
      <c r="F1804" s="83"/>
      <c r="G1804" s="88"/>
      <c r="H1804" s="83" t="str">
        <f>_xlfn.XLOOKUP(Tabela1[[#This Row],[Matrícula]],Equipe!B:B,Equipe!E:E,"ERRO",0)</f>
        <v>ERRO</v>
      </c>
      <c r="I1804" s="83" t="e">
        <f>VLOOKUP(Tabela1[[#This Row],[Matrícula]],Equipe!B:F,5,0)</f>
        <v>#N/A</v>
      </c>
    </row>
    <row r="1805" spans="1:9">
      <c r="A1805" s="83"/>
      <c r="B1805" s="83">
        <f>_xlfn.XLOOKUP(A1805,Equipe!H:H,Equipe!B:B,"",0)</f>
        <v>0</v>
      </c>
      <c r="C1805" s="154"/>
      <c r="D1805" s="150" t="e">
        <f>(IF(Tabela1[[#This Row],[Início]]&lt;&gt;"",C1805+E1805-1,""))*1</f>
        <v>#VALUE!</v>
      </c>
      <c r="E1805" s="83"/>
      <c r="F1805" s="83"/>
      <c r="G1805" s="88"/>
      <c r="H1805" s="83" t="str">
        <f>_xlfn.XLOOKUP(Tabela1[[#This Row],[Matrícula]],Equipe!B:B,Equipe!E:E,"ERRO",0)</f>
        <v>ERRO</v>
      </c>
      <c r="I1805" s="83" t="e">
        <f>VLOOKUP(Tabela1[[#This Row],[Matrícula]],Equipe!B:F,5,0)</f>
        <v>#N/A</v>
      </c>
    </row>
    <row r="1806" spans="1:9">
      <c r="A1806" s="83"/>
      <c r="B1806" s="83">
        <f>_xlfn.XLOOKUP(A1806,Equipe!H:H,Equipe!B:B,"",0)</f>
        <v>0</v>
      </c>
      <c r="C1806" s="154"/>
      <c r="D1806" s="150" t="e">
        <f>(IF(Tabela1[[#This Row],[Início]]&lt;&gt;"",C1806+E1806-1,""))*1</f>
        <v>#VALUE!</v>
      </c>
      <c r="E1806" s="83"/>
      <c r="F1806" s="83"/>
      <c r="G1806" s="88"/>
      <c r="H1806" s="83" t="str">
        <f>_xlfn.XLOOKUP(Tabela1[[#This Row],[Matrícula]],Equipe!B:B,Equipe!E:E,"ERRO",0)</f>
        <v>ERRO</v>
      </c>
      <c r="I1806" s="83" t="e">
        <f>VLOOKUP(Tabela1[[#This Row],[Matrícula]],Equipe!B:F,5,0)</f>
        <v>#N/A</v>
      </c>
    </row>
    <row r="1807" spans="1:9">
      <c r="A1807" s="83"/>
      <c r="B1807" s="83">
        <f>_xlfn.XLOOKUP(A1807,Equipe!H:H,Equipe!B:B,"",0)</f>
        <v>0</v>
      </c>
      <c r="C1807" s="154"/>
      <c r="D1807" s="150" t="e">
        <f>(IF(Tabela1[[#This Row],[Início]]&lt;&gt;"",C1807+E1807-1,""))*1</f>
        <v>#VALUE!</v>
      </c>
      <c r="E1807" s="83"/>
      <c r="F1807" s="83"/>
      <c r="G1807" s="88"/>
      <c r="H1807" s="83" t="str">
        <f>_xlfn.XLOOKUP(Tabela1[[#This Row],[Matrícula]],Equipe!B:B,Equipe!E:E,"ERRO",0)</f>
        <v>ERRO</v>
      </c>
      <c r="I1807" s="83" t="e">
        <f>VLOOKUP(Tabela1[[#This Row],[Matrícula]],Equipe!B:F,5,0)</f>
        <v>#N/A</v>
      </c>
    </row>
    <row r="1808" spans="1:9">
      <c r="A1808" s="83"/>
      <c r="B1808" s="83">
        <f>_xlfn.XLOOKUP(A1808,Equipe!H:H,Equipe!B:B,"",0)</f>
        <v>0</v>
      </c>
      <c r="C1808" s="154"/>
      <c r="D1808" s="150" t="e">
        <f>(IF(Tabela1[[#This Row],[Início]]&lt;&gt;"",C1808+E1808-1,""))*1</f>
        <v>#VALUE!</v>
      </c>
      <c r="E1808" s="83"/>
      <c r="F1808" s="83"/>
      <c r="G1808" s="88"/>
      <c r="H1808" s="83" t="str">
        <f>_xlfn.XLOOKUP(Tabela1[[#This Row],[Matrícula]],Equipe!B:B,Equipe!E:E,"ERRO",0)</f>
        <v>ERRO</v>
      </c>
      <c r="I1808" s="83" t="e">
        <f>VLOOKUP(Tabela1[[#This Row],[Matrícula]],Equipe!B:F,5,0)</f>
        <v>#N/A</v>
      </c>
    </row>
    <row r="1809" spans="1:9">
      <c r="A1809" s="83"/>
      <c r="B1809" s="83">
        <f>_xlfn.XLOOKUP(A1809,Equipe!H:H,Equipe!B:B,"",0)</f>
        <v>0</v>
      </c>
      <c r="C1809" s="154"/>
      <c r="D1809" s="150" t="e">
        <f>(IF(Tabela1[[#This Row],[Início]]&lt;&gt;"",C1809+E1809-1,""))*1</f>
        <v>#VALUE!</v>
      </c>
      <c r="E1809" s="83"/>
      <c r="F1809" s="83"/>
      <c r="G1809" s="88"/>
      <c r="H1809" s="83" t="str">
        <f>_xlfn.XLOOKUP(Tabela1[[#This Row],[Matrícula]],Equipe!B:B,Equipe!E:E,"ERRO",0)</f>
        <v>ERRO</v>
      </c>
      <c r="I1809" s="83" t="e">
        <f>VLOOKUP(Tabela1[[#This Row],[Matrícula]],Equipe!B:F,5,0)</f>
        <v>#N/A</v>
      </c>
    </row>
    <row r="1810" spans="1:9">
      <c r="A1810" s="83"/>
      <c r="B1810" s="83">
        <f>_xlfn.XLOOKUP(A1810,Equipe!H:H,Equipe!B:B,"",0)</f>
        <v>0</v>
      </c>
      <c r="C1810" s="154"/>
      <c r="D1810" s="150" t="e">
        <f>(IF(Tabela1[[#This Row],[Início]]&lt;&gt;"",C1810+E1810-1,""))*1</f>
        <v>#VALUE!</v>
      </c>
      <c r="E1810" s="83"/>
      <c r="F1810" s="83"/>
      <c r="G1810" s="88"/>
      <c r="H1810" s="83" t="str">
        <f>_xlfn.XLOOKUP(Tabela1[[#This Row],[Matrícula]],Equipe!B:B,Equipe!E:E,"ERRO",0)</f>
        <v>ERRO</v>
      </c>
      <c r="I1810" s="83" t="e">
        <f>VLOOKUP(Tabela1[[#This Row],[Matrícula]],Equipe!B:F,5,0)</f>
        <v>#N/A</v>
      </c>
    </row>
    <row r="1811" spans="1:9">
      <c r="A1811" s="83"/>
      <c r="B1811" s="83">
        <f>_xlfn.XLOOKUP(A1811,Equipe!H:H,Equipe!B:B,"",0)</f>
        <v>0</v>
      </c>
      <c r="C1811" s="154"/>
      <c r="D1811" s="150" t="e">
        <f>(IF(Tabela1[[#This Row],[Início]]&lt;&gt;"",C1811+E1811-1,""))*1</f>
        <v>#VALUE!</v>
      </c>
      <c r="E1811" s="83"/>
      <c r="F1811" s="83"/>
      <c r="G1811" s="88"/>
      <c r="H1811" s="83" t="str">
        <f>_xlfn.XLOOKUP(Tabela1[[#This Row],[Matrícula]],Equipe!B:B,Equipe!E:E,"ERRO",0)</f>
        <v>ERRO</v>
      </c>
      <c r="I1811" s="83" t="e">
        <f>VLOOKUP(Tabela1[[#This Row],[Matrícula]],Equipe!B:F,5,0)</f>
        <v>#N/A</v>
      </c>
    </row>
    <row r="1812" spans="1:9">
      <c r="A1812" s="83"/>
      <c r="B1812" s="83">
        <f>_xlfn.XLOOKUP(A1812,Equipe!H:H,Equipe!B:B,"",0)</f>
        <v>0</v>
      </c>
      <c r="C1812" s="154"/>
      <c r="D1812" s="150" t="e">
        <f>(IF(Tabela1[[#This Row],[Início]]&lt;&gt;"",C1812+E1812-1,""))*1</f>
        <v>#VALUE!</v>
      </c>
      <c r="E1812" s="83"/>
      <c r="F1812" s="83"/>
      <c r="G1812" s="88"/>
      <c r="H1812" s="83" t="str">
        <f>_xlfn.XLOOKUP(Tabela1[[#This Row],[Matrícula]],Equipe!B:B,Equipe!E:E,"ERRO",0)</f>
        <v>ERRO</v>
      </c>
      <c r="I1812" s="83" t="e">
        <f>VLOOKUP(Tabela1[[#This Row],[Matrícula]],Equipe!B:F,5,0)</f>
        <v>#N/A</v>
      </c>
    </row>
    <row r="1813" spans="1:9">
      <c r="A1813" s="83"/>
      <c r="B1813" s="83">
        <f>_xlfn.XLOOKUP(A1813,Equipe!H:H,Equipe!B:B,"",0)</f>
        <v>0</v>
      </c>
      <c r="C1813" s="154"/>
      <c r="D1813" s="150" t="e">
        <f>(IF(Tabela1[[#This Row],[Início]]&lt;&gt;"",C1813+E1813-1,""))*1</f>
        <v>#VALUE!</v>
      </c>
      <c r="E1813" s="83"/>
      <c r="F1813" s="83"/>
      <c r="G1813" s="88"/>
      <c r="H1813" s="83" t="str">
        <f>_xlfn.XLOOKUP(Tabela1[[#This Row],[Matrícula]],Equipe!B:B,Equipe!E:E,"ERRO",0)</f>
        <v>ERRO</v>
      </c>
      <c r="I1813" s="83" t="e">
        <f>VLOOKUP(Tabela1[[#This Row],[Matrícula]],Equipe!B:F,5,0)</f>
        <v>#N/A</v>
      </c>
    </row>
    <row r="1814" spans="1:9">
      <c r="A1814" s="83"/>
      <c r="B1814" s="83">
        <f>_xlfn.XLOOKUP(A1814,Equipe!H:H,Equipe!B:B,"",0)</f>
        <v>0</v>
      </c>
      <c r="C1814" s="154"/>
      <c r="D1814" s="150" t="e">
        <f>(IF(Tabela1[[#This Row],[Início]]&lt;&gt;"",C1814+E1814-1,""))*1</f>
        <v>#VALUE!</v>
      </c>
      <c r="E1814" s="83"/>
      <c r="F1814" s="83"/>
      <c r="G1814" s="88"/>
      <c r="H1814" s="83" t="str">
        <f>_xlfn.XLOOKUP(Tabela1[[#This Row],[Matrícula]],Equipe!B:B,Equipe!E:E,"ERRO",0)</f>
        <v>ERRO</v>
      </c>
      <c r="I1814" s="83" t="e">
        <f>VLOOKUP(Tabela1[[#This Row],[Matrícula]],Equipe!B:F,5,0)</f>
        <v>#N/A</v>
      </c>
    </row>
    <row r="1815" spans="1:9">
      <c r="A1815" s="83"/>
      <c r="B1815" s="83">
        <f>_xlfn.XLOOKUP(A1815,Equipe!H:H,Equipe!B:B,"",0)</f>
        <v>0</v>
      </c>
      <c r="C1815" s="154"/>
      <c r="D1815" s="150" t="e">
        <f>(IF(Tabela1[[#This Row],[Início]]&lt;&gt;"",C1815+E1815-1,""))*1</f>
        <v>#VALUE!</v>
      </c>
      <c r="E1815" s="83"/>
      <c r="F1815" s="83"/>
      <c r="G1815" s="88"/>
      <c r="H1815" s="83" t="str">
        <f>_xlfn.XLOOKUP(Tabela1[[#This Row],[Matrícula]],Equipe!B:B,Equipe!E:E,"ERRO",0)</f>
        <v>ERRO</v>
      </c>
      <c r="I1815" s="83" t="e">
        <f>VLOOKUP(Tabela1[[#This Row],[Matrícula]],Equipe!B:F,5,0)</f>
        <v>#N/A</v>
      </c>
    </row>
    <row r="1816" spans="1:9">
      <c r="A1816" s="83"/>
      <c r="B1816" s="83">
        <f>_xlfn.XLOOKUP(A1816,Equipe!H:H,Equipe!B:B,"",0)</f>
        <v>0</v>
      </c>
      <c r="C1816" s="154"/>
      <c r="D1816" s="150" t="e">
        <f>(IF(Tabela1[[#This Row],[Início]]&lt;&gt;"",C1816+E1816-1,""))*1</f>
        <v>#VALUE!</v>
      </c>
      <c r="E1816" s="83"/>
      <c r="F1816" s="83"/>
      <c r="G1816" s="88"/>
      <c r="H1816" s="83" t="str">
        <f>_xlfn.XLOOKUP(Tabela1[[#This Row],[Matrícula]],Equipe!B:B,Equipe!E:E,"ERRO",0)</f>
        <v>ERRO</v>
      </c>
      <c r="I1816" s="83" t="e">
        <f>VLOOKUP(Tabela1[[#This Row],[Matrícula]],Equipe!B:F,5,0)</f>
        <v>#N/A</v>
      </c>
    </row>
    <row r="1817" spans="1:9">
      <c r="A1817" s="83"/>
      <c r="B1817" s="83">
        <f>_xlfn.XLOOKUP(A1817,Equipe!H:H,Equipe!B:B,"",0)</f>
        <v>0</v>
      </c>
      <c r="C1817" s="154"/>
      <c r="D1817" s="150" t="e">
        <f>(IF(Tabela1[[#This Row],[Início]]&lt;&gt;"",C1817+E1817-1,""))*1</f>
        <v>#VALUE!</v>
      </c>
      <c r="E1817" s="83"/>
      <c r="F1817" s="83"/>
      <c r="G1817" s="88"/>
      <c r="H1817" s="83" t="str">
        <f>_xlfn.XLOOKUP(Tabela1[[#This Row],[Matrícula]],Equipe!B:B,Equipe!E:E,"ERRO",0)</f>
        <v>ERRO</v>
      </c>
      <c r="I1817" s="83" t="e">
        <f>VLOOKUP(Tabela1[[#This Row],[Matrícula]],Equipe!B:F,5,0)</f>
        <v>#N/A</v>
      </c>
    </row>
    <row r="1818" spans="1:9">
      <c r="A1818" s="83"/>
      <c r="B1818" s="83">
        <f>_xlfn.XLOOKUP(A1818,Equipe!H:H,Equipe!B:B,"",0)</f>
        <v>0</v>
      </c>
      <c r="C1818" s="154"/>
      <c r="D1818" s="150" t="e">
        <f>(IF(Tabela1[[#This Row],[Início]]&lt;&gt;"",C1818+E1818-1,""))*1</f>
        <v>#VALUE!</v>
      </c>
      <c r="E1818" s="83"/>
      <c r="F1818" s="83"/>
      <c r="G1818" s="88"/>
      <c r="H1818" s="83" t="str">
        <f>_xlfn.XLOOKUP(Tabela1[[#This Row],[Matrícula]],Equipe!B:B,Equipe!E:E,"ERRO",0)</f>
        <v>ERRO</v>
      </c>
      <c r="I1818" s="83" t="e">
        <f>VLOOKUP(Tabela1[[#This Row],[Matrícula]],Equipe!B:F,5,0)</f>
        <v>#N/A</v>
      </c>
    </row>
    <row r="1819" spans="1:9">
      <c r="A1819" s="83"/>
      <c r="B1819" s="83">
        <f>_xlfn.XLOOKUP(A1819,Equipe!H:H,Equipe!B:B,"",0)</f>
        <v>0</v>
      </c>
      <c r="C1819" s="154"/>
      <c r="D1819" s="150" t="e">
        <f>(IF(Tabela1[[#This Row],[Início]]&lt;&gt;"",C1819+E1819-1,""))*1</f>
        <v>#VALUE!</v>
      </c>
      <c r="E1819" s="83"/>
      <c r="F1819" s="83"/>
      <c r="G1819" s="88"/>
      <c r="H1819" s="83" t="str">
        <f>_xlfn.XLOOKUP(Tabela1[[#This Row],[Matrícula]],Equipe!B:B,Equipe!E:E,"ERRO",0)</f>
        <v>ERRO</v>
      </c>
      <c r="I1819" s="83" t="e">
        <f>VLOOKUP(Tabela1[[#This Row],[Matrícula]],Equipe!B:F,5,0)</f>
        <v>#N/A</v>
      </c>
    </row>
    <row r="1820" spans="1:9">
      <c r="A1820" s="83"/>
      <c r="B1820" s="83">
        <f>_xlfn.XLOOKUP(A1820,Equipe!H:H,Equipe!B:B,"",0)</f>
        <v>0</v>
      </c>
      <c r="C1820" s="154"/>
      <c r="D1820" s="150" t="e">
        <f>(IF(Tabela1[[#This Row],[Início]]&lt;&gt;"",C1820+E1820-1,""))*1</f>
        <v>#VALUE!</v>
      </c>
      <c r="E1820" s="83"/>
      <c r="F1820" s="83"/>
      <c r="G1820" s="88"/>
      <c r="H1820" s="83" t="str">
        <f>_xlfn.XLOOKUP(Tabela1[[#This Row],[Matrícula]],Equipe!B:B,Equipe!E:E,"ERRO",0)</f>
        <v>ERRO</v>
      </c>
      <c r="I1820" s="83" t="e">
        <f>VLOOKUP(Tabela1[[#This Row],[Matrícula]],Equipe!B:F,5,0)</f>
        <v>#N/A</v>
      </c>
    </row>
    <row r="1821" spans="1:9">
      <c r="A1821" s="83"/>
      <c r="B1821" s="83">
        <f>_xlfn.XLOOKUP(A1821,Equipe!H:H,Equipe!B:B,"",0)</f>
        <v>0</v>
      </c>
      <c r="C1821" s="154"/>
      <c r="D1821" s="150" t="e">
        <f>(IF(Tabela1[[#This Row],[Início]]&lt;&gt;"",C1821+E1821-1,""))*1</f>
        <v>#VALUE!</v>
      </c>
      <c r="E1821" s="83"/>
      <c r="F1821" s="83"/>
      <c r="G1821" s="88"/>
      <c r="H1821" s="83" t="str">
        <f>_xlfn.XLOOKUP(Tabela1[[#This Row],[Matrícula]],Equipe!B:B,Equipe!E:E,"ERRO",0)</f>
        <v>ERRO</v>
      </c>
      <c r="I1821" s="83" t="e">
        <f>VLOOKUP(Tabela1[[#This Row],[Matrícula]],Equipe!B:F,5,0)</f>
        <v>#N/A</v>
      </c>
    </row>
    <row r="1822" spans="1:9">
      <c r="A1822" s="83"/>
      <c r="B1822" s="83">
        <f>_xlfn.XLOOKUP(A1822,Equipe!H:H,Equipe!B:B,"",0)</f>
        <v>0</v>
      </c>
      <c r="C1822" s="154"/>
      <c r="D1822" s="150" t="e">
        <f>(IF(Tabela1[[#This Row],[Início]]&lt;&gt;"",C1822+E1822-1,""))*1</f>
        <v>#VALUE!</v>
      </c>
      <c r="E1822" s="83"/>
      <c r="F1822" s="83"/>
      <c r="G1822" s="88"/>
      <c r="H1822" s="83" t="str">
        <f>_xlfn.XLOOKUP(Tabela1[[#This Row],[Matrícula]],Equipe!B:B,Equipe!E:E,"ERRO",0)</f>
        <v>ERRO</v>
      </c>
      <c r="I1822" s="83" t="e">
        <f>VLOOKUP(Tabela1[[#This Row],[Matrícula]],Equipe!B:F,5,0)</f>
        <v>#N/A</v>
      </c>
    </row>
    <row r="1823" spans="1:9">
      <c r="A1823" s="83"/>
      <c r="B1823" s="83">
        <f>_xlfn.XLOOKUP(A1823,Equipe!H:H,Equipe!B:B,"",0)</f>
        <v>0</v>
      </c>
      <c r="C1823" s="154"/>
      <c r="D1823" s="150" t="e">
        <f>(IF(Tabela1[[#This Row],[Início]]&lt;&gt;"",C1823+E1823-1,""))*1</f>
        <v>#VALUE!</v>
      </c>
      <c r="E1823" s="83"/>
      <c r="F1823" s="83"/>
      <c r="G1823" s="88"/>
      <c r="H1823" s="83" t="str">
        <f>_xlfn.XLOOKUP(Tabela1[[#This Row],[Matrícula]],Equipe!B:B,Equipe!E:E,"ERRO",0)</f>
        <v>ERRO</v>
      </c>
      <c r="I1823" s="83" t="e">
        <f>VLOOKUP(Tabela1[[#This Row],[Matrícula]],Equipe!B:F,5,0)</f>
        <v>#N/A</v>
      </c>
    </row>
    <row r="1824" spans="1:9">
      <c r="A1824" s="83"/>
      <c r="B1824" s="83">
        <f>_xlfn.XLOOKUP(A1824,Equipe!H:H,Equipe!B:B,"",0)</f>
        <v>0</v>
      </c>
      <c r="C1824" s="154"/>
      <c r="D1824" s="150" t="e">
        <f>(IF(Tabela1[[#This Row],[Início]]&lt;&gt;"",C1824+E1824-1,""))*1</f>
        <v>#VALUE!</v>
      </c>
      <c r="E1824" s="83"/>
      <c r="F1824" s="83"/>
      <c r="G1824" s="88"/>
      <c r="H1824" s="83" t="str">
        <f>_xlfn.XLOOKUP(Tabela1[[#This Row],[Matrícula]],Equipe!B:B,Equipe!E:E,"ERRO",0)</f>
        <v>ERRO</v>
      </c>
      <c r="I1824" s="83" t="e">
        <f>VLOOKUP(Tabela1[[#This Row],[Matrícula]],Equipe!B:F,5,0)</f>
        <v>#N/A</v>
      </c>
    </row>
    <row r="1825" spans="1:9">
      <c r="A1825" s="83"/>
      <c r="B1825" s="83">
        <f>_xlfn.XLOOKUP(A1825,Equipe!H:H,Equipe!B:B,"",0)</f>
        <v>0</v>
      </c>
      <c r="C1825" s="154"/>
      <c r="D1825" s="150" t="e">
        <f>(IF(Tabela1[[#This Row],[Início]]&lt;&gt;"",C1825+E1825-1,""))*1</f>
        <v>#VALUE!</v>
      </c>
      <c r="E1825" s="83"/>
      <c r="F1825" s="83"/>
      <c r="G1825" s="88"/>
      <c r="H1825" s="83" t="str">
        <f>_xlfn.XLOOKUP(Tabela1[[#This Row],[Matrícula]],Equipe!B:B,Equipe!E:E,"ERRO",0)</f>
        <v>ERRO</v>
      </c>
      <c r="I1825" s="83" t="e">
        <f>VLOOKUP(Tabela1[[#This Row],[Matrícula]],Equipe!B:F,5,0)</f>
        <v>#N/A</v>
      </c>
    </row>
    <row r="1826" spans="1:9">
      <c r="A1826" s="83"/>
      <c r="B1826" s="83">
        <f>_xlfn.XLOOKUP(A1826,Equipe!H:H,Equipe!B:B,"",0)</f>
        <v>0</v>
      </c>
      <c r="C1826" s="154"/>
      <c r="D1826" s="150" t="e">
        <f>(IF(Tabela1[[#This Row],[Início]]&lt;&gt;"",C1826+E1826-1,""))*1</f>
        <v>#VALUE!</v>
      </c>
      <c r="E1826" s="83"/>
      <c r="F1826" s="83"/>
      <c r="G1826" s="88"/>
      <c r="H1826" s="83" t="str">
        <f>_xlfn.XLOOKUP(Tabela1[[#This Row],[Matrícula]],Equipe!B:B,Equipe!E:E,"ERRO",0)</f>
        <v>ERRO</v>
      </c>
      <c r="I1826" s="83" t="e">
        <f>VLOOKUP(Tabela1[[#This Row],[Matrícula]],Equipe!B:F,5,0)</f>
        <v>#N/A</v>
      </c>
    </row>
    <row r="1827" spans="1:9">
      <c r="A1827" s="83"/>
      <c r="B1827" s="83">
        <f>_xlfn.XLOOKUP(A1827,Equipe!H:H,Equipe!B:B,"",0)</f>
        <v>0</v>
      </c>
      <c r="C1827" s="154"/>
      <c r="D1827" s="150" t="e">
        <f>(IF(Tabela1[[#This Row],[Início]]&lt;&gt;"",C1827+E1827-1,""))*1</f>
        <v>#VALUE!</v>
      </c>
      <c r="E1827" s="83"/>
      <c r="F1827" s="83"/>
      <c r="G1827" s="88"/>
      <c r="H1827" s="83" t="str">
        <f>_xlfn.XLOOKUP(Tabela1[[#This Row],[Matrícula]],Equipe!B:B,Equipe!E:E,"ERRO",0)</f>
        <v>ERRO</v>
      </c>
      <c r="I1827" s="83" t="e">
        <f>VLOOKUP(Tabela1[[#This Row],[Matrícula]],Equipe!B:F,5,0)</f>
        <v>#N/A</v>
      </c>
    </row>
    <row r="1828" spans="1:9">
      <c r="A1828" s="83"/>
      <c r="B1828" s="83">
        <f>_xlfn.XLOOKUP(A1828,Equipe!H:H,Equipe!B:B,"",0)</f>
        <v>0</v>
      </c>
      <c r="C1828" s="154"/>
      <c r="D1828" s="150" t="e">
        <f>(IF(Tabela1[[#This Row],[Início]]&lt;&gt;"",C1828+E1828-1,""))*1</f>
        <v>#VALUE!</v>
      </c>
      <c r="E1828" s="83"/>
      <c r="F1828" s="83"/>
      <c r="G1828" s="88"/>
      <c r="H1828" s="83" t="str">
        <f>_xlfn.XLOOKUP(Tabela1[[#This Row],[Matrícula]],Equipe!B:B,Equipe!E:E,"ERRO",0)</f>
        <v>ERRO</v>
      </c>
      <c r="I1828" s="83" t="e">
        <f>VLOOKUP(Tabela1[[#This Row],[Matrícula]],Equipe!B:F,5,0)</f>
        <v>#N/A</v>
      </c>
    </row>
    <row r="1829" spans="1:9">
      <c r="A1829" s="83"/>
      <c r="B1829" s="83">
        <f>_xlfn.XLOOKUP(A1829,Equipe!H:H,Equipe!B:B,"",0)</f>
        <v>0</v>
      </c>
      <c r="C1829" s="154"/>
      <c r="D1829" s="150" t="e">
        <f>(IF(Tabela1[[#This Row],[Início]]&lt;&gt;"",C1829+E1829-1,""))*1</f>
        <v>#VALUE!</v>
      </c>
      <c r="E1829" s="83"/>
      <c r="F1829" s="83"/>
      <c r="G1829" s="88"/>
      <c r="H1829" s="83" t="str">
        <f>_xlfn.XLOOKUP(Tabela1[[#This Row],[Matrícula]],Equipe!B:B,Equipe!E:E,"ERRO",0)</f>
        <v>ERRO</v>
      </c>
      <c r="I1829" s="83" t="e">
        <f>VLOOKUP(Tabela1[[#This Row],[Matrícula]],Equipe!B:F,5,0)</f>
        <v>#N/A</v>
      </c>
    </row>
    <row r="1830" spans="1:9">
      <c r="A1830" s="83"/>
      <c r="B1830" s="83">
        <f>_xlfn.XLOOKUP(A1830,Equipe!H:H,Equipe!B:B,"",0)</f>
        <v>0</v>
      </c>
      <c r="C1830" s="154"/>
      <c r="D1830" s="150" t="e">
        <f>(IF(Tabela1[[#This Row],[Início]]&lt;&gt;"",C1830+E1830-1,""))*1</f>
        <v>#VALUE!</v>
      </c>
      <c r="E1830" s="83"/>
      <c r="F1830" s="83"/>
      <c r="G1830" s="88"/>
      <c r="H1830" s="83" t="str">
        <f>_xlfn.XLOOKUP(Tabela1[[#This Row],[Matrícula]],Equipe!B:B,Equipe!E:E,"ERRO",0)</f>
        <v>ERRO</v>
      </c>
      <c r="I1830" s="83" t="e">
        <f>VLOOKUP(Tabela1[[#This Row],[Matrícula]],Equipe!B:F,5,0)</f>
        <v>#N/A</v>
      </c>
    </row>
    <row r="1831" spans="1:9">
      <c r="A1831" s="83"/>
      <c r="B1831" s="83">
        <f>_xlfn.XLOOKUP(A1831,Equipe!H:H,Equipe!B:B,"",0)</f>
        <v>0</v>
      </c>
      <c r="C1831" s="154"/>
      <c r="D1831" s="150" t="e">
        <f>(IF(Tabela1[[#This Row],[Início]]&lt;&gt;"",C1831+E1831-1,""))*1</f>
        <v>#VALUE!</v>
      </c>
      <c r="E1831" s="83"/>
      <c r="F1831" s="83"/>
      <c r="G1831" s="88"/>
      <c r="H1831" s="83" t="str">
        <f>_xlfn.XLOOKUP(Tabela1[[#This Row],[Matrícula]],Equipe!B:B,Equipe!E:E,"ERRO",0)</f>
        <v>ERRO</v>
      </c>
      <c r="I1831" s="83" t="e">
        <f>VLOOKUP(Tabela1[[#This Row],[Matrícula]],Equipe!B:F,5,0)</f>
        <v>#N/A</v>
      </c>
    </row>
    <row r="1832" spans="1:9">
      <c r="A1832" s="83"/>
      <c r="B1832" s="83">
        <f>_xlfn.XLOOKUP(A1832,Equipe!H:H,Equipe!B:B,"",0)</f>
        <v>0</v>
      </c>
      <c r="C1832" s="154"/>
      <c r="D1832" s="150" t="e">
        <f>(IF(Tabela1[[#This Row],[Início]]&lt;&gt;"",C1832+E1832-1,""))*1</f>
        <v>#VALUE!</v>
      </c>
      <c r="E1832" s="83"/>
      <c r="F1832" s="83"/>
      <c r="G1832" s="88"/>
      <c r="H1832" s="83" t="str">
        <f>_xlfn.XLOOKUP(Tabela1[[#This Row],[Matrícula]],Equipe!B:B,Equipe!E:E,"ERRO",0)</f>
        <v>ERRO</v>
      </c>
      <c r="I1832" s="83" t="e">
        <f>VLOOKUP(Tabela1[[#This Row],[Matrícula]],Equipe!B:F,5,0)</f>
        <v>#N/A</v>
      </c>
    </row>
    <row r="1833" spans="1:9">
      <c r="A1833" s="83"/>
      <c r="B1833" s="83">
        <f>_xlfn.XLOOKUP(A1833,Equipe!H:H,Equipe!B:B,"",0)</f>
        <v>0</v>
      </c>
      <c r="C1833" s="154"/>
      <c r="D1833" s="150" t="e">
        <f>(IF(Tabela1[[#This Row],[Início]]&lt;&gt;"",C1833+E1833-1,""))*1</f>
        <v>#VALUE!</v>
      </c>
      <c r="E1833" s="83"/>
      <c r="F1833" s="83"/>
      <c r="G1833" s="88"/>
      <c r="H1833" s="83" t="str">
        <f>_xlfn.XLOOKUP(Tabela1[[#This Row],[Matrícula]],Equipe!B:B,Equipe!E:E,"ERRO",0)</f>
        <v>ERRO</v>
      </c>
      <c r="I1833" s="83" t="e">
        <f>VLOOKUP(Tabela1[[#This Row],[Matrícula]],Equipe!B:F,5,0)</f>
        <v>#N/A</v>
      </c>
    </row>
    <row r="1834" spans="1:9">
      <c r="A1834" s="83"/>
      <c r="B1834" s="83">
        <f>_xlfn.XLOOKUP(A1834,Equipe!H:H,Equipe!B:B,"",0)</f>
        <v>0</v>
      </c>
      <c r="C1834" s="154"/>
      <c r="D1834" s="150" t="e">
        <f>(IF(Tabela1[[#This Row],[Início]]&lt;&gt;"",C1834+E1834-1,""))*1</f>
        <v>#VALUE!</v>
      </c>
      <c r="E1834" s="83"/>
      <c r="F1834" s="83"/>
      <c r="G1834" s="88"/>
      <c r="H1834" s="83" t="str">
        <f>_xlfn.XLOOKUP(Tabela1[[#This Row],[Matrícula]],Equipe!B:B,Equipe!E:E,"ERRO",0)</f>
        <v>ERRO</v>
      </c>
      <c r="I1834" s="83" t="e">
        <f>VLOOKUP(Tabela1[[#This Row],[Matrícula]],Equipe!B:F,5,0)</f>
        <v>#N/A</v>
      </c>
    </row>
    <row r="1835" spans="1:9">
      <c r="A1835" s="83"/>
      <c r="B1835" s="83">
        <f>_xlfn.XLOOKUP(A1835,Equipe!H:H,Equipe!B:B,"",0)</f>
        <v>0</v>
      </c>
      <c r="C1835" s="154"/>
      <c r="D1835" s="150" t="e">
        <f>(IF(Tabela1[[#This Row],[Início]]&lt;&gt;"",C1835+E1835-1,""))*1</f>
        <v>#VALUE!</v>
      </c>
      <c r="E1835" s="83"/>
      <c r="F1835" s="83"/>
      <c r="G1835" s="88"/>
      <c r="H1835" s="83" t="str">
        <f>_xlfn.XLOOKUP(Tabela1[[#This Row],[Matrícula]],Equipe!B:B,Equipe!E:E,"ERRO",0)</f>
        <v>ERRO</v>
      </c>
      <c r="I1835" s="83" t="e">
        <f>VLOOKUP(Tabela1[[#This Row],[Matrícula]],Equipe!B:F,5,0)</f>
        <v>#N/A</v>
      </c>
    </row>
    <row r="1836" spans="1:9">
      <c r="A1836" s="83"/>
      <c r="B1836" s="83">
        <f>_xlfn.XLOOKUP(A1836,Equipe!H:H,Equipe!B:B,"",0)</f>
        <v>0</v>
      </c>
      <c r="C1836" s="154"/>
      <c r="D1836" s="150" t="e">
        <f>(IF(Tabela1[[#This Row],[Início]]&lt;&gt;"",C1836+E1836-1,""))*1</f>
        <v>#VALUE!</v>
      </c>
      <c r="E1836" s="83"/>
      <c r="F1836" s="83"/>
      <c r="G1836" s="88"/>
      <c r="H1836" s="83" t="str">
        <f>_xlfn.XLOOKUP(Tabela1[[#This Row],[Matrícula]],Equipe!B:B,Equipe!E:E,"ERRO",0)</f>
        <v>ERRO</v>
      </c>
      <c r="I1836" s="83" t="e">
        <f>VLOOKUP(Tabela1[[#This Row],[Matrícula]],Equipe!B:F,5,0)</f>
        <v>#N/A</v>
      </c>
    </row>
    <row r="1837" spans="1:9">
      <c r="A1837" s="83"/>
      <c r="B1837" s="83">
        <f>_xlfn.XLOOKUP(A1837,Equipe!H:H,Equipe!B:B,"",0)</f>
        <v>0</v>
      </c>
      <c r="C1837" s="154"/>
      <c r="D1837" s="150" t="e">
        <f>(IF(Tabela1[[#This Row],[Início]]&lt;&gt;"",C1837+E1837-1,""))*1</f>
        <v>#VALUE!</v>
      </c>
      <c r="E1837" s="83"/>
      <c r="F1837" s="83"/>
      <c r="G1837" s="88"/>
      <c r="H1837" s="83" t="str">
        <f>_xlfn.XLOOKUP(Tabela1[[#This Row],[Matrícula]],Equipe!B:B,Equipe!E:E,"ERRO",0)</f>
        <v>ERRO</v>
      </c>
      <c r="I1837" s="83" t="e">
        <f>VLOOKUP(Tabela1[[#This Row],[Matrícula]],Equipe!B:F,5,0)</f>
        <v>#N/A</v>
      </c>
    </row>
    <row r="1838" spans="1:9">
      <c r="A1838" s="83"/>
      <c r="B1838" s="83">
        <f>_xlfn.XLOOKUP(A1838,Equipe!H:H,Equipe!B:B,"",0)</f>
        <v>0</v>
      </c>
      <c r="C1838" s="154"/>
      <c r="D1838" s="150" t="e">
        <f>(IF(Tabela1[[#This Row],[Início]]&lt;&gt;"",C1838+E1838-1,""))*1</f>
        <v>#VALUE!</v>
      </c>
      <c r="E1838" s="83"/>
      <c r="F1838" s="83"/>
      <c r="G1838" s="88"/>
      <c r="H1838" s="83" t="str">
        <f>_xlfn.XLOOKUP(Tabela1[[#This Row],[Matrícula]],Equipe!B:B,Equipe!E:E,"ERRO",0)</f>
        <v>ERRO</v>
      </c>
      <c r="I1838" s="83" t="e">
        <f>VLOOKUP(Tabela1[[#This Row],[Matrícula]],Equipe!B:F,5,0)</f>
        <v>#N/A</v>
      </c>
    </row>
    <row r="1839" spans="1:9">
      <c r="A1839" s="83"/>
      <c r="B1839" s="83">
        <f>_xlfn.XLOOKUP(A1839,Equipe!H:H,Equipe!B:B,"",0)</f>
        <v>0</v>
      </c>
      <c r="C1839" s="154"/>
      <c r="D1839" s="150" t="e">
        <f>(IF(Tabela1[[#This Row],[Início]]&lt;&gt;"",C1839+E1839-1,""))*1</f>
        <v>#VALUE!</v>
      </c>
      <c r="E1839" s="83"/>
      <c r="F1839" s="83"/>
      <c r="G1839" s="88"/>
      <c r="H1839" s="83" t="str">
        <f>_xlfn.XLOOKUP(Tabela1[[#This Row],[Matrícula]],Equipe!B:B,Equipe!E:E,"ERRO",0)</f>
        <v>ERRO</v>
      </c>
      <c r="I1839" s="83" t="e">
        <f>VLOOKUP(Tabela1[[#This Row],[Matrícula]],Equipe!B:F,5,0)</f>
        <v>#N/A</v>
      </c>
    </row>
    <row r="1840" spans="1:9">
      <c r="A1840" s="83"/>
      <c r="B1840" s="83">
        <f>_xlfn.XLOOKUP(A1840,Equipe!H:H,Equipe!B:B,"",0)</f>
        <v>0</v>
      </c>
      <c r="C1840" s="154"/>
      <c r="D1840" s="150" t="e">
        <f>(IF(Tabela1[[#This Row],[Início]]&lt;&gt;"",C1840+E1840-1,""))*1</f>
        <v>#VALUE!</v>
      </c>
      <c r="E1840" s="83"/>
      <c r="F1840" s="83"/>
      <c r="G1840" s="88"/>
      <c r="H1840" s="83" t="str">
        <f>_xlfn.XLOOKUP(Tabela1[[#This Row],[Matrícula]],Equipe!B:B,Equipe!E:E,"ERRO",0)</f>
        <v>ERRO</v>
      </c>
      <c r="I1840" s="83" t="e">
        <f>VLOOKUP(Tabela1[[#This Row],[Matrícula]],Equipe!B:F,5,0)</f>
        <v>#N/A</v>
      </c>
    </row>
    <row r="1841" spans="1:9">
      <c r="A1841" s="83"/>
      <c r="B1841" s="83">
        <f>_xlfn.XLOOKUP(A1841,Equipe!H:H,Equipe!B:B,"",0)</f>
        <v>0</v>
      </c>
      <c r="C1841" s="154"/>
      <c r="D1841" s="150" t="e">
        <f>(IF(Tabela1[[#This Row],[Início]]&lt;&gt;"",C1841+E1841-1,""))*1</f>
        <v>#VALUE!</v>
      </c>
      <c r="E1841" s="83"/>
      <c r="F1841" s="83"/>
      <c r="G1841" s="88"/>
      <c r="H1841" s="83" t="str">
        <f>_xlfn.XLOOKUP(Tabela1[[#This Row],[Matrícula]],Equipe!B:B,Equipe!E:E,"ERRO",0)</f>
        <v>ERRO</v>
      </c>
      <c r="I1841" s="83" t="e">
        <f>VLOOKUP(Tabela1[[#This Row],[Matrícula]],Equipe!B:F,5,0)</f>
        <v>#N/A</v>
      </c>
    </row>
    <row r="1842" spans="1:9">
      <c r="A1842" s="83"/>
      <c r="B1842" s="83">
        <f>_xlfn.XLOOKUP(A1842,Equipe!H:H,Equipe!B:B,"",0)</f>
        <v>0</v>
      </c>
      <c r="C1842" s="154"/>
      <c r="D1842" s="150" t="e">
        <f>(IF(Tabela1[[#This Row],[Início]]&lt;&gt;"",C1842+E1842-1,""))*1</f>
        <v>#VALUE!</v>
      </c>
      <c r="E1842" s="83"/>
      <c r="F1842" s="83"/>
      <c r="G1842" s="88"/>
      <c r="H1842" s="83" t="str">
        <f>_xlfn.XLOOKUP(Tabela1[[#This Row],[Matrícula]],Equipe!B:B,Equipe!E:E,"ERRO",0)</f>
        <v>ERRO</v>
      </c>
      <c r="I1842" s="83" t="e">
        <f>VLOOKUP(Tabela1[[#This Row],[Matrícula]],Equipe!B:F,5,0)</f>
        <v>#N/A</v>
      </c>
    </row>
    <row r="1843" spans="1:9">
      <c r="A1843" s="83"/>
      <c r="B1843" s="83">
        <f>_xlfn.XLOOKUP(A1843,Equipe!H:H,Equipe!B:B,"",0)</f>
        <v>0</v>
      </c>
      <c r="C1843" s="154"/>
      <c r="D1843" s="150" t="e">
        <f>(IF(Tabela1[[#This Row],[Início]]&lt;&gt;"",C1843+E1843-1,""))*1</f>
        <v>#VALUE!</v>
      </c>
      <c r="E1843" s="83"/>
      <c r="F1843" s="83"/>
      <c r="G1843" s="88"/>
      <c r="H1843" s="83" t="str">
        <f>_xlfn.XLOOKUP(Tabela1[[#This Row],[Matrícula]],Equipe!B:B,Equipe!E:E,"ERRO",0)</f>
        <v>ERRO</v>
      </c>
      <c r="I1843" s="83" t="e">
        <f>VLOOKUP(Tabela1[[#This Row],[Matrícula]],Equipe!B:F,5,0)</f>
        <v>#N/A</v>
      </c>
    </row>
    <row r="1844" spans="1:9">
      <c r="A1844" s="83"/>
      <c r="B1844" s="83">
        <f>_xlfn.XLOOKUP(A1844,Equipe!H:H,Equipe!B:B,"",0)</f>
        <v>0</v>
      </c>
      <c r="C1844" s="154"/>
      <c r="D1844" s="150" t="e">
        <f>(IF(Tabela1[[#This Row],[Início]]&lt;&gt;"",C1844+E1844-1,""))*1</f>
        <v>#VALUE!</v>
      </c>
      <c r="E1844" s="83"/>
      <c r="F1844" s="83"/>
      <c r="G1844" s="88"/>
      <c r="H1844" s="83" t="str">
        <f>_xlfn.XLOOKUP(Tabela1[[#This Row],[Matrícula]],Equipe!B:B,Equipe!E:E,"ERRO",0)</f>
        <v>ERRO</v>
      </c>
      <c r="I1844" s="83" t="e">
        <f>VLOOKUP(Tabela1[[#This Row],[Matrícula]],Equipe!B:F,5,0)</f>
        <v>#N/A</v>
      </c>
    </row>
    <row r="1845" spans="1:9">
      <c r="A1845" s="83"/>
      <c r="B1845" s="83">
        <f>_xlfn.XLOOKUP(A1845,Equipe!H:H,Equipe!B:B,"",0)</f>
        <v>0</v>
      </c>
      <c r="C1845" s="154"/>
      <c r="D1845" s="150" t="e">
        <f>(IF(Tabela1[[#This Row],[Início]]&lt;&gt;"",C1845+E1845-1,""))*1</f>
        <v>#VALUE!</v>
      </c>
      <c r="E1845" s="83"/>
      <c r="F1845" s="83"/>
      <c r="G1845" s="88"/>
      <c r="H1845" s="83" t="str">
        <f>_xlfn.XLOOKUP(Tabela1[[#This Row],[Matrícula]],Equipe!B:B,Equipe!E:E,"ERRO",0)</f>
        <v>ERRO</v>
      </c>
      <c r="I1845" s="83" t="e">
        <f>VLOOKUP(Tabela1[[#This Row],[Matrícula]],Equipe!B:F,5,0)</f>
        <v>#N/A</v>
      </c>
    </row>
    <row r="1846" spans="1:9">
      <c r="A1846" s="83"/>
      <c r="B1846" s="83">
        <f>_xlfn.XLOOKUP(A1846,Equipe!H:H,Equipe!B:B,"",0)</f>
        <v>0</v>
      </c>
      <c r="C1846" s="154"/>
      <c r="D1846" s="150" t="e">
        <f>(IF(Tabela1[[#This Row],[Início]]&lt;&gt;"",C1846+E1846-1,""))*1</f>
        <v>#VALUE!</v>
      </c>
      <c r="E1846" s="83"/>
      <c r="F1846" s="83"/>
      <c r="G1846" s="88"/>
      <c r="H1846" s="83" t="str">
        <f>_xlfn.XLOOKUP(Tabela1[[#This Row],[Matrícula]],Equipe!B:B,Equipe!E:E,"ERRO",0)</f>
        <v>ERRO</v>
      </c>
      <c r="I1846" s="83" t="e">
        <f>VLOOKUP(Tabela1[[#This Row],[Matrícula]],Equipe!B:F,5,0)</f>
        <v>#N/A</v>
      </c>
    </row>
    <row r="1847" spans="1:9">
      <c r="A1847" s="83"/>
      <c r="B1847" s="83">
        <f>_xlfn.XLOOKUP(A1847,Equipe!H:H,Equipe!B:B,"",0)</f>
        <v>0</v>
      </c>
      <c r="C1847" s="154"/>
      <c r="D1847" s="150" t="e">
        <f>(IF(Tabela1[[#This Row],[Início]]&lt;&gt;"",C1847+E1847-1,""))*1</f>
        <v>#VALUE!</v>
      </c>
      <c r="E1847" s="83"/>
      <c r="F1847" s="83"/>
      <c r="G1847" s="88"/>
      <c r="H1847" s="83" t="str">
        <f>_xlfn.XLOOKUP(Tabela1[[#This Row],[Matrícula]],Equipe!B:B,Equipe!E:E,"ERRO",0)</f>
        <v>ERRO</v>
      </c>
      <c r="I1847" s="83" t="e">
        <f>VLOOKUP(Tabela1[[#This Row],[Matrícula]],Equipe!B:F,5,0)</f>
        <v>#N/A</v>
      </c>
    </row>
    <row r="1848" spans="1:9">
      <c r="A1848" s="83"/>
      <c r="B1848" s="83">
        <f>_xlfn.XLOOKUP(A1848,Equipe!H:H,Equipe!B:B,"",0)</f>
        <v>0</v>
      </c>
      <c r="C1848" s="154"/>
      <c r="D1848" s="150" t="e">
        <f>(IF(Tabela1[[#This Row],[Início]]&lt;&gt;"",C1848+E1848-1,""))*1</f>
        <v>#VALUE!</v>
      </c>
      <c r="E1848" s="83"/>
      <c r="F1848" s="83"/>
      <c r="G1848" s="88"/>
      <c r="H1848" s="83" t="str">
        <f>_xlfn.XLOOKUP(Tabela1[[#This Row],[Matrícula]],Equipe!B:B,Equipe!E:E,"ERRO",0)</f>
        <v>ERRO</v>
      </c>
      <c r="I1848" s="83" t="e">
        <f>VLOOKUP(Tabela1[[#This Row],[Matrícula]],Equipe!B:F,5,0)</f>
        <v>#N/A</v>
      </c>
    </row>
    <row r="1849" spans="1:9">
      <c r="A1849" s="83"/>
      <c r="B1849" s="83">
        <f>_xlfn.XLOOKUP(A1849,Equipe!H:H,Equipe!B:B,"",0)</f>
        <v>0</v>
      </c>
      <c r="C1849" s="154"/>
      <c r="D1849" s="150" t="e">
        <f>(IF(Tabela1[[#This Row],[Início]]&lt;&gt;"",C1849+E1849-1,""))*1</f>
        <v>#VALUE!</v>
      </c>
      <c r="E1849" s="83"/>
      <c r="F1849" s="83"/>
      <c r="G1849" s="88"/>
      <c r="H1849" s="83" t="str">
        <f>_xlfn.XLOOKUP(Tabela1[[#This Row],[Matrícula]],Equipe!B:B,Equipe!E:E,"ERRO",0)</f>
        <v>ERRO</v>
      </c>
      <c r="I1849" s="83" t="e">
        <f>VLOOKUP(Tabela1[[#This Row],[Matrícula]],Equipe!B:F,5,0)</f>
        <v>#N/A</v>
      </c>
    </row>
    <row r="1850" spans="1:9">
      <c r="A1850" s="83"/>
      <c r="B1850" s="83">
        <f>_xlfn.XLOOKUP(A1850,Equipe!H:H,Equipe!B:B,"",0)</f>
        <v>0</v>
      </c>
      <c r="C1850" s="154"/>
      <c r="D1850" s="150" t="e">
        <f>(IF(Tabela1[[#This Row],[Início]]&lt;&gt;"",C1850+E1850-1,""))*1</f>
        <v>#VALUE!</v>
      </c>
      <c r="E1850" s="83"/>
      <c r="F1850" s="83"/>
      <c r="G1850" s="88"/>
      <c r="H1850" s="83" t="str">
        <f>_xlfn.XLOOKUP(Tabela1[[#This Row],[Matrícula]],Equipe!B:B,Equipe!E:E,"ERRO",0)</f>
        <v>ERRO</v>
      </c>
      <c r="I1850" s="83" t="e">
        <f>VLOOKUP(Tabela1[[#This Row],[Matrícula]],Equipe!B:F,5,0)</f>
        <v>#N/A</v>
      </c>
    </row>
    <row r="1851" spans="1:9">
      <c r="A1851" s="83"/>
      <c r="B1851" s="83">
        <f>_xlfn.XLOOKUP(A1851,Equipe!H:H,Equipe!B:B,"",0)</f>
        <v>0</v>
      </c>
      <c r="C1851" s="154"/>
      <c r="D1851" s="150" t="e">
        <f>(IF(Tabela1[[#This Row],[Início]]&lt;&gt;"",C1851+E1851-1,""))*1</f>
        <v>#VALUE!</v>
      </c>
      <c r="E1851" s="83"/>
      <c r="F1851" s="83"/>
      <c r="G1851" s="88"/>
      <c r="H1851" s="83" t="str">
        <f>_xlfn.XLOOKUP(Tabela1[[#This Row],[Matrícula]],Equipe!B:B,Equipe!E:E,"ERRO",0)</f>
        <v>ERRO</v>
      </c>
      <c r="I1851" s="83" t="e">
        <f>VLOOKUP(Tabela1[[#This Row],[Matrícula]],Equipe!B:F,5,0)</f>
        <v>#N/A</v>
      </c>
    </row>
    <row r="1852" spans="1:9">
      <c r="A1852" s="83"/>
      <c r="B1852" s="83">
        <f>_xlfn.XLOOKUP(A1852,Equipe!H:H,Equipe!B:B,"",0)</f>
        <v>0</v>
      </c>
      <c r="C1852" s="154"/>
      <c r="D1852" s="150" t="e">
        <f>(IF(Tabela1[[#This Row],[Início]]&lt;&gt;"",C1852+E1852-1,""))*1</f>
        <v>#VALUE!</v>
      </c>
      <c r="E1852" s="83"/>
      <c r="F1852" s="83"/>
      <c r="G1852" s="88"/>
      <c r="H1852" s="83" t="str">
        <f>_xlfn.XLOOKUP(Tabela1[[#This Row],[Matrícula]],Equipe!B:B,Equipe!E:E,"ERRO",0)</f>
        <v>ERRO</v>
      </c>
      <c r="I1852" s="83" t="e">
        <f>VLOOKUP(Tabela1[[#This Row],[Matrícula]],Equipe!B:F,5,0)</f>
        <v>#N/A</v>
      </c>
    </row>
    <row r="1853" spans="1:9">
      <c r="A1853" s="83"/>
      <c r="B1853" s="83">
        <f>_xlfn.XLOOKUP(A1853,Equipe!H:H,Equipe!B:B,"",0)</f>
        <v>0</v>
      </c>
      <c r="C1853" s="154"/>
      <c r="D1853" s="150" t="e">
        <f>(IF(Tabela1[[#This Row],[Início]]&lt;&gt;"",C1853+E1853-1,""))*1</f>
        <v>#VALUE!</v>
      </c>
      <c r="E1853" s="83"/>
      <c r="F1853" s="83"/>
      <c r="G1853" s="88"/>
      <c r="H1853" s="83" t="str">
        <f>_xlfn.XLOOKUP(Tabela1[[#This Row],[Matrícula]],Equipe!B:B,Equipe!E:E,"ERRO",0)</f>
        <v>ERRO</v>
      </c>
      <c r="I1853" s="83" t="e">
        <f>VLOOKUP(Tabela1[[#This Row],[Matrícula]],Equipe!B:F,5,0)</f>
        <v>#N/A</v>
      </c>
    </row>
    <row r="1854" spans="1:9">
      <c r="A1854" s="83"/>
      <c r="B1854" s="83">
        <f>_xlfn.XLOOKUP(A1854,Equipe!H:H,Equipe!B:B,"",0)</f>
        <v>0</v>
      </c>
      <c r="C1854" s="154"/>
      <c r="D1854" s="150" t="e">
        <f>(IF(Tabela1[[#This Row],[Início]]&lt;&gt;"",C1854+E1854-1,""))*1</f>
        <v>#VALUE!</v>
      </c>
      <c r="E1854" s="83"/>
      <c r="F1854" s="83"/>
      <c r="G1854" s="88"/>
      <c r="H1854" s="83" t="str">
        <f>_xlfn.XLOOKUP(Tabela1[[#This Row],[Matrícula]],Equipe!B:B,Equipe!E:E,"ERRO",0)</f>
        <v>ERRO</v>
      </c>
      <c r="I1854" s="83" t="e">
        <f>VLOOKUP(Tabela1[[#This Row],[Matrícula]],Equipe!B:F,5,0)</f>
        <v>#N/A</v>
      </c>
    </row>
    <row r="1855" spans="1:9">
      <c r="A1855" s="83"/>
      <c r="B1855" s="83">
        <f>_xlfn.XLOOKUP(A1855,Equipe!H:H,Equipe!B:B,"",0)</f>
        <v>0</v>
      </c>
      <c r="C1855" s="154"/>
      <c r="D1855" s="150" t="e">
        <f>(IF(Tabela1[[#This Row],[Início]]&lt;&gt;"",C1855+E1855-1,""))*1</f>
        <v>#VALUE!</v>
      </c>
      <c r="E1855" s="83"/>
      <c r="F1855" s="83"/>
      <c r="G1855" s="88"/>
      <c r="H1855" s="83" t="str">
        <f>_xlfn.XLOOKUP(Tabela1[[#This Row],[Matrícula]],Equipe!B:B,Equipe!E:E,"ERRO",0)</f>
        <v>ERRO</v>
      </c>
      <c r="I1855" s="83" t="e">
        <f>VLOOKUP(Tabela1[[#This Row],[Matrícula]],Equipe!B:F,5,0)</f>
        <v>#N/A</v>
      </c>
    </row>
    <row r="1856" spans="1:9">
      <c r="A1856" s="83"/>
      <c r="B1856" s="83">
        <f>_xlfn.XLOOKUP(A1856,Equipe!H:H,Equipe!B:B,"",0)</f>
        <v>0</v>
      </c>
      <c r="C1856" s="154"/>
      <c r="D1856" s="150" t="e">
        <f>(IF(Tabela1[[#This Row],[Início]]&lt;&gt;"",C1856+E1856-1,""))*1</f>
        <v>#VALUE!</v>
      </c>
      <c r="E1856" s="83"/>
      <c r="F1856" s="83"/>
      <c r="G1856" s="88"/>
      <c r="H1856" s="83" t="str">
        <f>_xlfn.XLOOKUP(Tabela1[[#This Row],[Matrícula]],Equipe!B:B,Equipe!E:E,"ERRO",0)</f>
        <v>ERRO</v>
      </c>
      <c r="I1856" s="83" t="e">
        <f>VLOOKUP(Tabela1[[#This Row],[Matrícula]],Equipe!B:F,5,0)</f>
        <v>#N/A</v>
      </c>
    </row>
    <row r="1857" spans="1:9">
      <c r="A1857" s="83"/>
      <c r="B1857" s="83">
        <f>_xlfn.XLOOKUP(A1857,Equipe!H:H,Equipe!B:B,"",0)</f>
        <v>0</v>
      </c>
      <c r="C1857" s="154"/>
      <c r="D1857" s="150" t="e">
        <f>(IF(Tabela1[[#This Row],[Início]]&lt;&gt;"",C1857+E1857-1,""))*1</f>
        <v>#VALUE!</v>
      </c>
      <c r="E1857" s="83"/>
      <c r="F1857" s="83"/>
      <c r="G1857" s="88"/>
      <c r="H1857" s="83" t="str">
        <f>_xlfn.XLOOKUP(Tabela1[[#This Row],[Matrícula]],Equipe!B:B,Equipe!E:E,"ERRO",0)</f>
        <v>ERRO</v>
      </c>
      <c r="I1857" s="83" t="e">
        <f>VLOOKUP(Tabela1[[#This Row],[Matrícula]],Equipe!B:F,5,0)</f>
        <v>#N/A</v>
      </c>
    </row>
    <row r="1858" spans="1:9">
      <c r="A1858" s="83"/>
      <c r="B1858" s="83">
        <f>_xlfn.XLOOKUP(A1858,Equipe!H:H,Equipe!B:B,"",0)</f>
        <v>0</v>
      </c>
      <c r="C1858" s="154"/>
      <c r="D1858" s="150" t="e">
        <f>(IF(Tabela1[[#This Row],[Início]]&lt;&gt;"",C1858+E1858-1,""))*1</f>
        <v>#VALUE!</v>
      </c>
      <c r="E1858" s="83"/>
      <c r="F1858" s="83"/>
      <c r="G1858" s="88"/>
      <c r="H1858" s="83" t="str">
        <f>_xlfn.XLOOKUP(Tabela1[[#This Row],[Matrícula]],Equipe!B:B,Equipe!E:E,"ERRO",0)</f>
        <v>ERRO</v>
      </c>
      <c r="I1858" s="83" t="e">
        <f>VLOOKUP(Tabela1[[#This Row],[Matrícula]],Equipe!B:F,5,0)</f>
        <v>#N/A</v>
      </c>
    </row>
    <row r="1859" spans="1:9">
      <c r="A1859" s="83"/>
      <c r="B1859" s="83">
        <f>_xlfn.XLOOKUP(A1859,Equipe!H:H,Equipe!B:B,"",0)</f>
        <v>0</v>
      </c>
      <c r="C1859" s="154"/>
      <c r="D1859" s="150" t="e">
        <f>(IF(Tabela1[[#This Row],[Início]]&lt;&gt;"",C1859+E1859-1,""))*1</f>
        <v>#VALUE!</v>
      </c>
      <c r="E1859" s="83"/>
      <c r="F1859" s="83"/>
      <c r="G1859" s="88"/>
      <c r="H1859" s="83" t="str">
        <f>_xlfn.XLOOKUP(Tabela1[[#This Row],[Matrícula]],Equipe!B:B,Equipe!E:E,"ERRO",0)</f>
        <v>ERRO</v>
      </c>
      <c r="I1859" s="83" t="e">
        <f>VLOOKUP(Tabela1[[#This Row],[Matrícula]],Equipe!B:F,5,0)</f>
        <v>#N/A</v>
      </c>
    </row>
    <row r="1860" spans="1:9">
      <c r="A1860" s="83"/>
      <c r="B1860" s="83">
        <f>_xlfn.XLOOKUP(A1860,Equipe!H:H,Equipe!B:B,"",0)</f>
        <v>0</v>
      </c>
      <c r="C1860" s="154"/>
      <c r="D1860" s="150" t="e">
        <f>(IF(Tabela1[[#This Row],[Início]]&lt;&gt;"",C1860+E1860-1,""))*1</f>
        <v>#VALUE!</v>
      </c>
      <c r="E1860" s="83"/>
      <c r="F1860" s="83"/>
      <c r="G1860" s="88"/>
      <c r="H1860" s="83" t="str">
        <f>_xlfn.XLOOKUP(Tabela1[[#This Row],[Matrícula]],Equipe!B:B,Equipe!E:E,"ERRO",0)</f>
        <v>ERRO</v>
      </c>
      <c r="I1860" s="83" t="e">
        <f>VLOOKUP(Tabela1[[#This Row],[Matrícula]],Equipe!B:F,5,0)</f>
        <v>#N/A</v>
      </c>
    </row>
    <row r="1861" spans="1:9">
      <c r="A1861" s="83"/>
      <c r="B1861" s="83">
        <f>_xlfn.XLOOKUP(A1861,Equipe!H:H,Equipe!B:B,"",0)</f>
        <v>0</v>
      </c>
      <c r="C1861" s="154"/>
      <c r="D1861" s="150" t="e">
        <f>(IF(Tabela1[[#This Row],[Início]]&lt;&gt;"",C1861+E1861-1,""))*1</f>
        <v>#VALUE!</v>
      </c>
      <c r="E1861" s="83"/>
      <c r="F1861" s="83"/>
      <c r="G1861" s="88"/>
      <c r="H1861" s="83" t="str">
        <f>_xlfn.XLOOKUP(Tabela1[[#This Row],[Matrícula]],Equipe!B:B,Equipe!E:E,"ERRO",0)</f>
        <v>ERRO</v>
      </c>
      <c r="I1861" s="83" t="e">
        <f>VLOOKUP(Tabela1[[#This Row],[Matrícula]],Equipe!B:F,5,0)</f>
        <v>#N/A</v>
      </c>
    </row>
    <row r="1862" spans="1:9">
      <c r="A1862" s="83"/>
      <c r="B1862" s="83">
        <f>_xlfn.XLOOKUP(A1862,Equipe!H:H,Equipe!B:B,"",0)</f>
        <v>0</v>
      </c>
      <c r="C1862" s="154"/>
      <c r="D1862" s="150" t="e">
        <f>(IF(Tabela1[[#This Row],[Início]]&lt;&gt;"",C1862+E1862-1,""))*1</f>
        <v>#VALUE!</v>
      </c>
      <c r="E1862" s="83"/>
      <c r="F1862" s="83"/>
      <c r="G1862" s="88"/>
      <c r="H1862" s="83" t="str">
        <f>_xlfn.XLOOKUP(Tabela1[[#This Row],[Matrícula]],Equipe!B:B,Equipe!E:E,"ERRO",0)</f>
        <v>ERRO</v>
      </c>
      <c r="I1862" s="83" t="e">
        <f>VLOOKUP(Tabela1[[#This Row],[Matrícula]],Equipe!B:F,5,0)</f>
        <v>#N/A</v>
      </c>
    </row>
    <row r="1863" spans="1:9">
      <c r="A1863" s="83"/>
      <c r="B1863" s="83">
        <f>_xlfn.XLOOKUP(A1863,Equipe!H:H,Equipe!B:B,"",0)</f>
        <v>0</v>
      </c>
      <c r="C1863" s="154"/>
      <c r="D1863" s="150" t="e">
        <f>(IF(Tabela1[[#This Row],[Início]]&lt;&gt;"",C1863+E1863-1,""))*1</f>
        <v>#VALUE!</v>
      </c>
      <c r="E1863" s="83"/>
      <c r="F1863" s="83"/>
      <c r="G1863" s="88"/>
      <c r="H1863" s="83" t="str">
        <f>_xlfn.XLOOKUP(Tabela1[[#This Row],[Matrícula]],Equipe!B:B,Equipe!E:E,"ERRO",0)</f>
        <v>ERRO</v>
      </c>
      <c r="I1863" s="83" t="e">
        <f>VLOOKUP(Tabela1[[#This Row],[Matrícula]],Equipe!B:F,5,0)</f>
        <v>#N/A</v>
      </c>
    </row>
    <row r="1864" spans="1:9">
      <c r="A1864" s="83"/>
      <c r="B1864" s="83">
        <f>_xlfn.XLOOKUP(A1864,Equipe!H:H,Equipe!B:B,"",0)</f>
        <v>0</v>
      </c>
      <c r="C1864" s="154"/>
      <c r="D1864" s="150" t="e">
        <f>(IF(Tabela1[[#This Row],[Início]]&lt;&gt;"",C1864+E1864-1,""))*1</f>
        <v>#VALUE!</v>
      </c>
      <c r="E1864" s="83"/>
      <c r="F1864" s="83"/>
      <c r="G1864" s="88"/>
      <c r="H1864" s="83" t="str">
        <f>_xlfn.XLOOKUP(Tabela1[[#This Row],[Matrícula]],Equipe!B:B,Equipe!E:E,"ERRO",0)</f>
        <v>ERRO</v>
      </c>
      <c r="I1864" s="83" t="e">
        <f>VLOOKUP(Tabela1[[#This Row],[Matrícula]],Equipe!B:F,5,0)</f>
        <v>#N/A</v>
      </c>
    </row>
    <row r="1865" spans="1:9">
      <c r="A1865" s="83"/>
      <c r="B1865" s="83">
        <f>_xlfn.XLOOKUP(A1865,Equipe!H:H,Equipe!B:B,"",0)</f>
        <v>0</v>
      </c>
      <c r="C1865" s="154"/>
      <c r="D1865" s="150" t="e">
        <f>(IF(Tabela1[[#This Row],[Início]]&lt;&gt;"",C1865+E1865-1,""))*1</f>
        <v>#VALUE!</v>
      </c>
      <c r="E1865" s="83"/>
      <c r="F1865" s="83"/>
      <c r="G1865" s="88"/>
      <c r="H1865" s="83" t="str">
        <f>_xlfn.XLOOKUP(Tabela1[[#This Row],[Matrícula]],Equipe!B:B,Equipe!E:E,"ERRO",0)</f>
        <v>ERRO</v>
      </c>
      <c r="I1865" s="83" t="e">
        <f>VLOOKUP(Tabela1[[#This Row],[Matrícula]],Equipe!B:F,5,0)</f>
        <v>#N/A</v>
      </c>
    </row>
    <row r="1866" spans="1:9">
      <c r="A1866" s="83"/>
      <c r="B1866" s="83">
        <f>_xlfn.XLOOKUP(A1866,Equipe!H:H,Equipe!B:B,"",0)</f>
        <v>0</v>
      </c>
      <c r="C1866" s="154"/>
      <c r="D1866" s="150" t="e">
        <f>(IF(Tabela1[[#This Row],[Início]]&lt;&gt;"",C1866+E1866-1,""))*1</f>
        <v>#VALUE!</v>
      </c>
      <c r="E1866" s="83"/>
      <c r="F1866" s="83"/>
      <c r="G1866" s="88"/>
      <c r="H1866" s="83" t="str">
        <f>_xlfn.XLOOKUP(Tabela1[[#This Row],[Matrícula]],Equipe!B:B,Equipe!E:E,"ERRO",0)</f>
        <v>ERRO</v>
      </c>
      <c r="I1866" s="83" t="e">
        <f>VLOOKUP(Tabela1[[#This Row],[Matrícula]],Equipe!B:F,5,0)</f>
        <v>#N/A</v>
      </c>
    </row>
    <row r="1867" spans="1:9">
      <c r="A1867" s="83"/>
      <c r="B1867" s="83">
        <f>_xlfn.XLOOKUP(A1867,Equipe!H:H,Equipe!B:B,"",0)</f>
        <v>0</v>
      </c>
      <c r="C1867" s="154"/>
      <c r="D1867" s="150" t="e">
        <f>(IF(Tabela1[[#This Row],[Início]]&lt;&gt;"",C1867+E1867-1,""))*1</f>
        <v>#VALUE!</v>
      </c>
      <c r="E1867" s="83"/>
      <c r="F1867" s="83"/>
      <c r="G1867" s="88"/>
      <c r="H1867" s="83" t="str">
        <f>_xlfn.XLOOKUP(Tabela1[[#This Row],[Matrícula]],Equipe!B:B,Equipe!E:E,"ERRO",0)</f>
        <v>ERRO</v>
      </c>
      <c r="I1867" s="83" t="e">
        <f>VLOOKUP(Tabela1[[#This Row],[Matrícula]],Equipe!B:F,5,0)</f>
        <v>#N/A</v>
      </c>
    </row>
    <row r="1868" spans="1:9">
      <c r="A1868" s="83"/>
      <c r="B1868" s="83">
        <f>_xlfn.XLOOKUP(A1868,Equipe!H:H,Equipe!B:B,"",0)</f>
        <v>0</v>
      </c>
      <c r="C1868" s="154"/>
      <c r="D1868" s="150" t="e">
        <f>(IF(Tabela1[[#This Row],[Início]]&lt;&gt;"",C1868+E1868-1,""))*1</f>
        <v>#VALUE!</v>
      </c>
      <c r="E1868" s="83"/>
      <c r="F1868" s="83"/>
      <c r="G1868" s="88"/>
      <c r="H1868" s="83" t="str">
        <f>_xlfn.XLOOKUP(Tabela1[[#This Row],[Matrícula]],Equipe!B:B,Equipe!E:E,"ERRO",0)</f>
        <v>ERRO</v>
      </c>
      <c r="I1868" s="83" t="e">
        <f>VLOOKUP(Tabela1[[#This Row],[Matrícula]],Equipe!B:F,5,0)</f>
        <v>#N/A</v>
      </c>
    </row>
    <row r="1869" spans="1:9">
      <c r="A1869" s="83"/>
      <c r="B1869" s="83">
        <f>_xlfn.XLOOKUP(A1869,Equipe!H:H,Equipe!B:B,"",0)</f>
        <v>0</v>
      </c>
      <c r="C1869" s="154"/>
      <c r="D1869" s="150" t="e">
        <f>(IF(Tabela1[[#This Row],[Início]]&lt;&gt;"",C1869+E1869-1,""))*1</f>
        <v>#VALUE!</v>
      </c>
      <c r="E1869" s="83"/>
      <c r="F1869" s="83"/>
      <c r="G1869" s="88"/>
      <c r="H1869" s="83" t="str">
        <f>_xlfn.XLOOKUP(Tabela1[[#This Row],[Matrícula]],Equipe!B:B,Equipe!E:E,"ERRO",0)</f>
        <v>ERRO</v>
      </c>
      <c r="I1869" s="83" t="e">
        <f>VLOOKUP(Tabela1[[#This Row],[Matrícula]],Equipe!B:F,5,0)</f>
        <v>#N/A</v>
      </c>
    </row>
    <row r="1870" spans="1:9">
      <c r="A1870" s="83"/>
      <c r="B1870" s="83">
        <f>_xlfn.XLOOKUP(A1870,Equipe!H:H,Equipe!B:B,"",0)</f>
        <v>0</v>
      </c>
      <c r="C1870" s="154"/>
      <c r="D1870" s="150" t="e">
        <f>(IF(Tabela1[[#This Row],[Início]]&lt;&gt;"",C1870+E1870-1,""))*1</f>
        <v>#VALUE!</v>
      </c>
      <c r="E1870" s="83"/>
      <c r="F1870" s="83"/>
      <c r="G1870" s="88"/>
      <c r="H1870" s="83" t="str">
        <f>_xlfn.XLOOKUP(Tabela1[[#This Row],[Matrícula]],Equipe!B:B,Equipe!E:E,"ERRO",0)</f>
        <v>ERRO</v>
      </c>
      <c r="I1870" s="83" t="e">
        <f>VLOOKUP(Tabela1[[#This Row],[Matrícula]],Equipe!B:F,5,0)</f>
        <v>#N/A</v>
      </c>
    </row>
    <row r="1871" spans="1:9">
      <c r="A1871" s="83"/>
      <c r="B1871" s="83">
        <f>_xlfn.XLOOKUP(A1871,Equipe!H:H,Equipe!B:B,"",0)</f>
        <v>0</v>
      </c>
      <c r="C1871" s="154"/>
      <c r="D1871" s="150" t="e">
        <f>(IF(Tabela1[[#This Row],[Início]]&lt;&gt;"",C1871+E1871-1,""))*1</f>
        <v>#VALUE!</v>
      </c>
      <c r="E1871" s="83"/>
      <c r="F1871" s="83"/>
      <c r="G1871" s="88"/>
      <c r="H1871" s="83" t="str">
        <f>_xlfn.XLOOKUP(Tabela1[[#This Row],[Matrícula]],Equipe!B:B,Equipe!E:E,"ERRO",0)</f>
        <v>ERRO</v>
      </c>
      <c r="I1871" s="83" t="e">
        <f>VLOOKUP(Tabela1[[#This Row],[Matrícula]],Equipe!B:F,5,0)</f>
        <v>#N/A</v>
      </c>
    </row>
    <row r="1872" spans="1:9">
      <c r="A1872" s="83"/>
      <c r="B1872" s="83">
        <f>_xlfn.XLOOKUP(A1872,Equipe!H:H,Equipe!B:B,"",0)</f>
        <v>0</v>
      </c>
      <c r="C1872" s="154"/>
      <c r="D1872" s="150" t="e">
        <f>(IF(Tabela1[[#This Row],[Início]]&lt;&gt;"",C1872+E1872-1,""))*1</f>
        <v>#VALUE!</v>
      </c>
      <c r="E1872" s="83"/>
      <c r="F1872" s="83"/>
      <c r="G1872" s="88"/>
      <c r="H1872" s="83" t="str">
        <f>_xlfn.XLOOKUP(Tabela1[[#This Row],[Matrícula]],Equipe!B:B,Equipe!E:E,"ERRO",0)</f>
        <v>ERRO</v>
      </c>
      <c r="I1872" s="83" t="e">
        <f>VLOOKUP(Tabela1[[#This Row],[Matrícula]],Equipe!B:F,5,0)</f>
        <v>#N/A</v>
      </c>
    </row>
    <row r="1873" spans="1:9">
      <c r="A1873" s="83"/>
      <c r="B1873" s="83">
        <f>_xlfn.XLOOKUP(A1873,Equipe!H:H,Equipe!B:B,"",0)</f>
        <v>0</v>
      </c>
      <c r="C1873" s="154"/>
      <c r="D1873" s="150" t="e">
        <f>(IF(Tabela1[[#This Row],[Início]]&lt;&gt;"",C1873+E1873-1,""))*1</f>
        <v>#VALUE!</v>
      </c>
      <c r="E1873" s="83"/>
      <c r="F1873" s="83"/>
      <c r="G1873" s="88"/>
      <c r="H1873" s="83" t="str">
        <f>_xlfn.XLOOKUP(Tabela1[[#This Row],[Matrícula]],Equipe!B:B,Equipe!E:E,"ERRO",0)</f>
        <v>ERRO</v>
      </c>
      <c r="I1873" s="83" t="e">
        <f>VLOOKUP(Tabela1[[#This Row],[Matrícula]],Equipe!B:F,5,0)</f>
        <v>#N/A</v>
      </c>
    </row>
    <row r="1874" spans="1:9">
      <c r="A1874" s="83"/>
      <c r="B1874" s="83">
        <f>_xlfn.XLOOKUP(A1874,Equipe!H:H,Equipe!B:B,"",0)</f>
        <v>0</v>
      </c>
      <c r="C1874" s="154"/>
      <c r="D1874" s="150" t="e">
        <f>(IF(Tabela1[[#This Row],[Início]]&lt;&gt;"",C1874+E1874-1,""))*1</f>
        <v>#VALUE!</v>
      </c>
      <c r="E1874" s="83"/>
      <c r="F1874" s="83"/>
      <c r="G1874" s="88"/>
      <c r="H1874" s="83" t="str">
        <f>_xlfn.XLOOKUP(Tabela1[[#This Row],[Matrícula]],Equipe!B:B,Equipe!E:E,"ERRO",0)</f>
        <v>ERRO</v>
      </c>
      <c r="I1874" s="83" t="e">
        <f>VLOOKUP(Tabela1[[#This Row],[Matrícula]],Equipe!B:F,5,0)</f>
        <v>#N/A</v>
      </c>
    </row>
    <row r="1875" spans="1:9">
      <c r="A1875" s="83"/>
      <c r="B1875" s="83">
        <f>_xlfn.XLOOKUP(A1875,Equipe!H:H,Equipe!B:B,"",0)</f>
        <v>0</v>
      </c>
      <c r="C1875" s="154"/>
      <c r="D1875" s="150" t="e">
        <f>(IF(Tabela1[[#This Row],[Início]]&lt;&gt;"",C1875+E1875-1,""))*1</f>
        <v>#VALUE!</v>
      </c>
      <c r="E1875" s="83"/>
      <c r="F1875" s="83"/>
      <c r="G1875" s="88"/>
      <c r="H1875" s="83" t="str">
        <f>_xlfn.XLOOKUP(Tabela1[[#This Row],[Matrícula]],Equipe!B:B,Equipe!E:E,"ERRO",0)</f>
        <v>ERRO</v>
      </c>
      <c r="I1875" s="83" t="e">
        <f>VLOOKUP(Tabela1[[#This Row],[Matrícula]],Equipe!B:F,5,0)</f>
        <v>#N/A</v>
      </c>
    </row>
    <row r="1876" spans="1:9">
      <c r="A1876" s="83"/>
      <c r="B1876" s="83">
        <f>_xlfn.XLOOKUP(A1876,Equipe!H:H,Equipe!B:B,"",0)</f>
        <v>0</v>
      </c>
      <c r="C1876" s="154"/>
      <c r="D1876" s="150" t="e">
        <f>(IF(Tabela1[[#This Row],[Início]]&lt;&gt;"",C1876+E1876-1,""))*1</f>
        <v>#VALUE!</v>
      </c>
      <c r="E1876" s="83"/>
      <c r="F1876" s="83"/>
      <c r="G1876" s="88"/>
      <c r="H1876" s="83" t="str">
        <f>_xlfn.XLOOKUP(Tabela1[[#This Row],[Matrícula]],Equipe!B:B,Equipe!E:E,"ERRO",0)</f>
        <v>ERRO</v>
      </c>
      <c r="I1876" s="83" t="e">
        <f>VLOOKUP(Tabela1[[#This Row],[Matrícula]],Equipe!B:F,5,0)</f>
        <v>#N/A</v>
      </c>
    </row>
    <row r="1877" spans="1:9">
      <c r="A1877" s="83"/>
      <c r="B1877" s="83">
        <f>_xlfn.XLOOKUP(A1877,Equipe!H:H,Equipe!B:B,"",0)</f>
        <v>0</v>
      </c>
      <c r="C1877" s="154"/>
      <c r="D1877" s="150" t="e">
        <f>(IF(Tabela1[[#This Row],[Início]]&lt;&gt;"",C1877+E1877-1,""))*1</f>
        <v>#VALUE!</v>
      </c>
      <c r="E1877" s="83"/>
      <c r="F1877" s="83"/>
      <c r="G1877" s="88"/>
      <c r="H1877" s="83" t="str">
        <f>_xlfn.XLOOKUP(Tabela1[[#This Row],[Matrícula]],Equipe!B:B,Equipe!E:E,"ERRO",0)</f>
        <v>ERRO</v>
      </c>
      <c r="I1877" s="83" t="e">
        <f>VLOOKUP(Tabela1[[#This Row],[Matrícula]],Equipe!B:F,5,0)</f>
        <v>#N/A</v>
      </c>
    </row>
    <row r="1878" spans="1:9">
      <c r="A1878" s="83"/>
      <c r="B1878" s="83">
        <f>_xlfn.XLOOKUP(A1878,Equipe!H:H,Equipe!B:B,"",0)</f>
        <v>0</v>
      </c>
      <c r="C1878" s="154"/>
      <c r="D1878" s="150" t="e">
        <f>(IF(Tabela1[[#This Row],[Início]]&lt;&gt;"",C1878+E1878-1,""))*1</f>
        <v>#VALUE!</v>
      </c>
      <c r="E1878" s="83"/>
      <c r="F1878" s="83"/>
      <c r="G1878" s="88"/>
      <c r="H1878" s="83" t="str">
        <f>_xlfn.XLOOKUP(Tabela1[[#This Row],[Matrícula]],Equipe!B:B,Equipe!E:E,"ERRO",0)</f>
        <v>ERRO</v>
      </c>
      <c r="I1878" s="83" t="e">
        <f>VLOOKUP(Tabela1[[#This Row],[Matrícula]],Equipe!B:F,5,0)</f>
        <v>#N/A</v>
      </c>
    </row>
    <row r="1879" spans="1:9">
      <c r="A1879" s="83"/>
      <c r="B1879" s="83">
        <f>_xlfn.XLOOKUP(A1879,Equipe!H:H,Equipe!B:B,"",0)</f>
        <v>0</v>
      </c>
      <c r="C1879" s="154"/>
      <c r="D1879" s="150" t="e">
        <f>(IF(Tabela1[[#This Row],[Início]]&lt;&gt;"",C1879+E1879-1,""))*1</f>
        <v>#VALUE!</v>
      </c>
      <c r="E1879" s="83"/>
      <c r="F1879" s="83"/>
      <c r="G1879" s="88"/>
      <c r="H1879" s="83" t="str">
        <f>_xlfn.XLOOKUP(Tabela1[[#This Row],[Matrícula]],Equipe!B:B,Equipe!E:E,"ERRO",0)</f>
        <v>ERRO</v>
      </c>
      <c r="I1879" s="83" t="e">
        <f>VLOOKUP(Tabela1[[#This Row],[Matrícula]],Equipe!B:F,5,0)</f>
        <v>#N/A</v>
      </c>
    </row>
    <row r="1880" spans="1:9">
      <c r="A1880" s="83"/>
      <c r="B1880" s="83">
        <f>_xlfn.XLOOKUP(A1880,Equipe!H:H,Equipe!B:B,"",0)</f>
        <v>0</v>
      </c>
      <c r="C1880" s="154"/>
      <c r="D1880" s="150" t="e">
        <f>(IF(Tabela1[[#This Row],[Início]]&lt;&gt;"",C1880+E1880-1,""))*1</f>
        <v>#VALUE!</v>
      </c>
      <c r="E1880" s="83"/>
      <c r="F1880" s="83"/>
      <c r="G1880" s="88"/>
      <c r="H1880" s="83" t="str">
        <f>_xlfn.XLOOKUP(Tabela1[[#This Row],[Matrícula]],Equipe!B:B,Equipe!E:E,"ERRO",0)</f>
        <v>ERRO</v>
      </c>
      <c r="I1880" s="83" t="e">
        <f>VLOOKUP(Tabela1[[#This Row],[Matrícula]],Equipe!B:F,5,0)</f>
        <v>#N/A</v>
      </c>
    </row>
    <row r="1881" spans="1:9">
      <c r="A1881" s="83"/>
      <c r="B1881" s="83">
        <f>_xlfn.XLOOKUP(A1881,Equipe!H:H,Equipe!B:B,"",0)</f>
        <v>0</v>
      </c>
      <c r="C1881" s="154"/>
      <c r="D1881" s="150" t="e">
        <f>(IF(Tabela1[[#This Row],[Início]]&lt;&gt;"",C1881+E1881-1,""))*1</f>
        <v>#VALUE!</v>
      </c>
      <c r="E1881" s="83"/>
      <c r="F1881" s="83"/>
      <c r="G1881" s="88"/>
      <c r="H1881" s="83" t="str">
        <f>_xlfn.XLOOKUP(Tabela1[[#This Row],[Matrícula]],Equipe!B:B,Equipe!E:E,"ERRO",0)</f>
        <v>ERRO</v>
      </c>
      <c r="I1881" s="83" t="e">
        <f>VLOOKUP(Tabela1[[#This Row],[Matrícula]],Equipe!B:F,5,0)</f>
        <v>#N/A</v>
      </c>
    </row>
    <row r="1882" spans="1:9">
      <c r="A1882" s="83"/>
      <c r="B1882" s="83">
        <f>_xlfn.XLOOKUP(A1882,Equipe!H:H,Equipe!B:B,"",0)</f>
        <v>0</v>
      </c>
      <c r="C1882" s="154"/>
      <c r="D1882" s="150" t="e">
        <f>(IF(Tabela1[[#This Row],[Início]]&lt;&gt;"",C1882+E1882-1,""))*1</f>
        <v>#VALUE!</v>
      </c>
      <c r="E1882" s="83"/>
      <c r="F1882" s="83"/>
      <c r="G1882" s="88"/>
      <c r="H1882" s="83" t="str">
        <f>_xlfn.XLOOKUP(Tabela1[[#This Row],[Matrícula]],Equipe!B:B,Equipe!E:E,"ERRO",0)</f>
        <v>ERRO</v>
      </c>
      <c r="I1882" s="83" t="e">
        <f>VLOOKUP(Tabela1[[#This Row],[Matrícula]],Equipe!B:F,5,0)</f>
        <v>#N/A</v>
      </c>
    </row>
    <row r="1883" spans="1:9">
      <c r="A1883" s="83"/>
      <c r="B1883" s="83">
        <f>_xlfn.XLOOKUP(A1883,Equipe!H:H,Equipe!B:B,"",0)</f>
        <v>0</v>
      </c>
      <c r="C1883" s="154"/>
      <c r="D1883" s="150" t="e">
        <f>(IF(Tabela1[[#This Row],[Início]]&lt;&gt;"",C1883+E1883-1,""))*1</f>
        <v>#VALUE!</v>
      </c>
      <c r="E1883" s="83"/>
      <c r="F1883" s="83"/>
      <c r="G1883" s="88"/>
      <c r="H1883" s="83" t="str">
        <f>_xlfn.XLOOKUP(Tabela1[[#This Row],[Matrícula]],Equipe!B:B,Equipe!E:E,"ERRO",0)</f>
        <v>ERRO</v>
      </c>
      <c r="I1883" s="83" t="e">
        <f>VLOOKUP(Tabela1[[#This Row],[Matrícula]],Equipe!B:F,5,0)</f>
        <v>#N/A</v>
      </c>
    </row>
    <row r="1884" spans="1:9">
      <c r="A1884" s="83"/>
      <c r="B1884" s="83">
        <f>_xlfn.XLOOKUP(A1884,Equipe!H:H,Equipe!B:B,"",0)</f>
        <v>0</v>
      </c>
      <c r="C1884" s="154"/>
      <c r="D1884" s="150" t="e">
        <f>(IF(Tabela1[[#This Row],[Início]]&lt;&gt;"",C1884+E1884-1,""))*1</f>
        <v>#VALUE!</v>
      </c>
      <c r="E1884" s="83"/>
      <c r="F1884" s="83"/>
      <c r="G1884" s="88"/>
      <c r="H1884" s="83" t="str">
        <f>_xlfn.XLOOKUP(Tabela1[[#This Row],[Matrícula]],Equipe!B:B,Equipe!E:E,"ERRO",0)</f>
        <v>ERRO</v>
      </c>
      <c r="I1884" s="83" t="e">
        <f>VLOOKUP(Tabela1[[#This Row],[Matrícula]],Equipe!B:F,5,0)</f>
        <v>#N/A</v>
      </c>
    </row>
    <row r="1885" spans="1:9">
      <c r="A1885" s="83"/>
      <c r="B1885" s="83">
        <f>_xlfn.XLOOKUP(A1885,Equipe!H:H,Equipe!B:B,"",0)</f>
        <v>0</v>
      </c>
      <c r="C1885" s="154"/>
      <c r="D1885" s="150" t="e">
        <f>(IF(Tabela1[[#This Row],[Início]]&lt;&gt;"",C1885+E1885-1,""))*1</f>
        <v>#VALUE!</v>
      </c>
      <c r="E1885" s="83"/>
      <c r="F1885" s="83"/>
      <c r="G1885" s="88"/>
      <c r="H1885" s="83" t="str">
        <f>_xlfn.XLOOKUP(Tabela1[[#This Row],[Matrícula]],Equipe!B:B,Equipe!E:E,"ERRO",0)</f>
        <v>ERRO</v>
      </c>
      <c r="I1885" s="83" t="e">
        <f>VLOOKUP(Tabela1[[#This Row],[Matrícula]],Equipe!B:F,5,0)</f>
        <v>#N/A</v>
      </c>
    </row>
    <row r="1886" spans="1:9">
      <c r="A1886" s="83"/>
      <c r="B1886" s="83">
        <f>_xlfn.XLOOKUP(A1886,Equipe!H:H,Equipe!B:B,"",0)</f>
        <v>0</v>
      </c>
      <c r="C1886" s="154"/>
      <c r="D1886" s="150" t="e">
        <f>(IF(Tabela1[[#This Row],[Início]]&lt;&gt;"",C1886+E1886-1,""))*1</f>
        <v>#VALUE!</v>
      </c>
      <c r="E1886" s="83"/>
      <c r="F1886" s="83"/>
      <c r="G1886" s="88"/>
      <c r="H1886" s="83" t="str">
        <f>_xlfn.XLOOKUP(Tabela1[[#This Row],[Matrícula]],Equipe!B:B,Equipe!E:E,"ERRO",0)</f>
        <v>ERRO</v>
      </c>
      <c r="I1886" s="83" t="e">
        <f>VLOOKUP(Tabela1[[#This Row],[Matrícula]],Equipe!B:F,5,0)</f>
        <v>#N/A</v>
      </c>
    </row>
    <row r="1887" spans="1:9">
      <c r="A1887" s="83"/>
      <c r="B1887" s="83">
        <f>_xlfn.XLOOKUP(A1887,Equipe!H:H,Equipe!B:B,"",0)</f>
        <v>0</v>
      </c>
      <c r="C1887" s="154"/>
      <c r="D1887" s="150" t="e">
        <f>(IF(Tabela1[[#This Row],[Início]]&lt;&gt;"",C1887+E1887-1,""))*1</f>
        <v>#VALUE!</v>
      </c>
      <c r="E1887" s="83"/>
      <c r="F1887" s="83"/>
      <c r="G1887" s="88"/>
      <c r="H1887" s="83" t="str">
        <f>_xlfn.XLOOKUP(Tabela1[[#This Row],[Matrícula]],Equipe!B:B,Equipe!E:E,"ERRO",0)</f>
        <v>ERRO</v>
      </c>
      <c r="I1887" s="83" t="e">
        <f>VLOOKUP(Tabela1[[#This Row],[Matrícula]],Equipe!B:F,5,0)</f>
        <v>#N/A</v>
      </c>
    </row>
    <row r="1888" spans="1:9">
      <c r="A1888" s="83"/>
      <c r="B1888" s="83">
        <f>_xlfn.XLOOKUP(A1888,Equipe!H:H,Equipe!B:B,"",0)</f>
        <v>0</v>
      </c>
      <c r="C1888" s="154"/>
      <c r="D1888" s="150" t="e">
        <f>(IF(Tabela1[[#This Row],[Início]]&lt;&gt;"",C1888+E1888-1,""))*1</f>
        <v>#VALUE!</v>
      </c>
      <c r="E1888" s="83"/>
      <c r="F1888" s="83"/>
      <c r="G1888" s="88"/>
      <c r="H1888" s="83" t="str">
        <f>_xlfn.XLOOKUP(Tabela1[[#This Row],[Matrícula]],Equipe!B:B,Equipe!E:E,"ERRO",0)</f>
        <v>ERRO</v>
      </c>
      <c r="I1888" s="83" t="e">
        <f>VLOOKUP(Tabela1[[#This Row],[Matrícula]],Equipe!B:F,5,0)</f>
        <v>#N/A</v>
      </c>
    </row>
    <row r="1889" spans="1:9">
      <c r="A1889" s="83"/>
      <c r="B1889" s="83">
        <f>_xlfn.XLOOKUP(A1889,Equipe!H:H,Equipe!B:B,"",0)</f>
        <v>0</v>
      </c>
      <c r="C1889" s="154"/>
      <c r="D1889" s="150" t="e">
        <f>(IF(Tabela1[[#This Row],[Início]]&lt;&gt;"",C1889+E1889-1,""))*1</f>
        <v>#VALUE!</v>
      </c>
      <c r="E1889" s="83"/>
      <c r="F1889" s="83"/>
      <c r="G1889" s="88"/>
      <c r="H1889" s="83" t="str">
        <f>_xlfn.XLOOKUP(Tabela1[[#This Row],[Matrícula]],Equipe!B:B,Equipe!E:E,"ERRO",0)</f>
        <v>ERRO</v>
      </c>
      <c r="I1889" s="83" t="e">
        <f>VLOOKUP(Tabela1[[#This Row],[Matrícula]],Equipe!B:F,5,0)</f>
        <v>#N/A</v>
      </c>
    </row>
    <row r="1890" spans="1:9">
      <c r="A1890" s="83"/>
      <c r="B1890" s="83">
        <f>_xlfn.XLOOKUP(A1890,Equipe!H:H,Equipe!B:B,"",0)</f>
        <v>0</v>
      </c>
      <c r="C1890" s="154"/>
      <c r="D1890" s="150" t="e">
        <f>(IF(Tabela1[[#This Row],[Início]]&lt;&gt;"",C1890+E1890-1,""))*1</f>
        <v>#VALUE!</v>
      </c>
      <c r="E1890" s="83"/>
      <c r="F1890" s="83"/>
      <c r="G1890" s="88"/>
      <c r="H1890" s="83" t="str">
        <f>_xlfn.XLOOKUP(Tabela1[[#This Row],[Matrícula]],Equipe!B:B,Equipe!E:E,"ERRO",0)</f>
        <v>ERRO</v>
      </c>
      <c r="I1890" s="83" t="e">
        <f>VLOOKUP(Tabela1[[#This Row],[Matrícula]],Equipe!B:F,5,0)</f>
        <v>#N/A</v>
      </c>
    </row>
    <row r="1891" spans="1:9">
      <c r="A1891" s="83"/>
      <c r="B1891" s="83">
        <f>_xlfn.XLOOKUP(A1891,Equipe!H:H,Equipe!B:B,"",0)</f>
        <v>0</v>
      </c>
      <c r="C1891" s="154"/>
      <c r="D1891" s="150" t="e">
        <f>(IF(Tabela1[[#This Row],[Início]]&lt;&gt;"",C1891+E1891-1,""))*1</f>
        <v>#VALUE!</v>
      </c>
      <c r="E1891" s="83"/>
      <c r="F1891" s="83"/>
      <c r="G1891" s="88"/>
      <c r="H1891" s="83" t="str">
        <f>_xlfn.XLOOKUP(Tabela1[[#This Row],[Matrícula]],Equipe!B:B,Equipe!E:E,"ERRO",0)</f>
        <v>ERRO</v>
      </c>
      <c r="I1891" s="83" t="e">
        <f>VLOOKUP(Tabela1[[#This Row],[Matrícula]],Equipe!B:F,5,0)</f>
        <v>#N/A</v>
      </c>
    </row>
    <row r="1892" spans="1:9">
      <c r="A1892" s="83"/>
      <c r="B1892" s="83">
        <f>_xlfn.XLOOKUP(A1892,Equipe!H:H,Equipe!B:B,"",0)</f>
        <v>0</v>
      </c>
      <c r="C1892" s="154"/>
      <c r="D1892" s="150" t="e">
        <f>(IF(Tabela1[[#This Row],[Início]]&lt;&gt;"",C1892+E1892-1,""))*1</f>
        <v>#VALUE!</v>
      </c>
      <c r="E1892" s="83"/>
      <c r="F1892" s="83"/>
      <c r="G1892" s="88"/>
      <c r="H1892" s="83" t="str">
        <f>_xlfn.XLOOKUP(Tabela1[[#This Row],[Matrícula]],Equipe!B:B,Equipe!E:E,"ERRO",0)</f>
        <v>ERRO</v>
      </c>
      <c r="I1892" s="83" t="e">
        <f>VLOOKUP(Tabela1[[#This Row],[Matrícula]],Equipe!B:F,5,0)</f>
        <v>#N/A</v>
      </c>
    </row>
    <row r="1893" spans="1:9">
      <c r="A1893" s="83"/>
      <c r="B1893" s="83">
        <f>_xlfn.XLOOKUP(A1893,Equipe!H:H,Equipe!B:B,"",0)</f>
        <v>0</v>
      </c>
      <c r="C1893" s="154"/>
      <c r="D1893" s="150" t="e">
        <f>(IF(Tabela1[[#This Row],[Início]]&lt;&gt;"",C1893+E1893-1,""))*1</f>
        <v>#VALUE!</v>
      </c>
      <c r="E1893" s="83"/>
      <c r="F1893" s="83"/>
      <c r="G1893" s="88"/>
      <c r="H1893" s="83" t="str">
        <f>_xlfn.XLOOKUP(Tabela1[[#This Row],[Matrícula]],Equipe!B:B,Equipe!E:E,"ERRO",0)</f>
        <v>ERRO</v>
      </c>
      <c r="I1893" s="83" t="e">
        <f>VLOOKUP(Tabela1[[#This Row],[Matrícula]],Equipe!B:F,5,0)</f>
        <v>#N/A</v>
      </c>
    </row>
    <row r="1894" spans="1:9">
      <c r="A1894" s="83"/>
      <c r="B1894" s="83">
        <f>_xlfn.XLOOKUP(A1894,Equipe!H:H,Equipe!B:B,"",0)</f>
        <v>0</v>
      </c>
      <c r="C1894" s="154"/>
      <c r="D1894" s="150" t="e">
        <f>(IF(Tabela1[[#This Row],[Início]]&lt;&gt;"",C1894+E1894-1,""))*1</f>
        <v>#VALUE!</v>
      </c>
      <c r="E1894" s="83"/>
      <c r="F1894" s="83"/>
      <c r="G1894" s="88"/>
      <c r="H1894" s="83" t="str">
        <f>_xlfn.XLOOKUP(Tabela1[[#This Row],[Matrícula]],Equipe!B:B,Equipe!E:E,"ERRO",0)</f>
        <v>ERRO</v>
      </c>
      <c r="I1894" s="83" t="e">
        <f>VLOOKUP(Tabela1[[#This Row],[Matrícula]],Equipe!B:F,5,0)</f>
        <v>#N/A</v>
      </c>
    </row>
    <row r="1895" spans="1:9">
      <c r="A1895" s="83"/>
      <c r="B1895" s="83">
        <f>_xlfn.XLOOKUP(A1895,Equipe!H:H,Equipe!B:B,"",0)</f>
        <v>0</v>
      </c>
      <c r="C1895" s="154"/>
      <c r="D1895" s="150" t="e">
        <f>(IF(Tabela1[[#This Row],[Início]]&lt;&gt;"",C1895+E1895-1,""))*1</f>
        <v>#VALUE!</v>
      </c>
      <c r="E1895" s="83"/>
      <c r="F1895" s="83"/>
      <c r="G1895" s="88"/>
      <c r="H1895" s="83" t="str">
        <f>_xlfn.XLOOKUP(Tabela1[[#This Row],[Matrícula]],Equipe!B:B,Equipe!E:E,"ERRO",0)</f>
        <v>ERRO</v>
      </c>
      <c r="I1895" s="83" t="e">
        <f>VLOOKUP(Tabela1[[#This Row],[Matrícula]],Equipe!B:F,5,0)</f>
        <v>#N/A</v>
      </c>
    </row>
    <row r="1896" spans="1:9">
      <c r="A1896" s="83"/>
      <c r="B1896" s="83">
        <f>_xlfn.XLOOKUP(A1896,Equipe!H:H,Equipe!B:B,"",0)</f>
        <v>0</v>
      </c>
      <c r="C1896" s="154"/>
      <c r="D1896" s="150" t="e">
        <f>(IF(Tabela1[[#This Row],[Início]]&lt;&gt;"",C1896+E1896-1,""))*1</f>
        <v>#VALUE!</v>
      </c>
      <c r="E1896" s="83"/>
      <c r="F1896" s="83"/>
      <c r="G1896" s="88"/>
      <c r="H1896" s="83" t="str">
        <f>_xlfn.XLOOKUP(Tabela1[[#This Row],[Matrícula]],Equipe!B:B,Equipe!E:E,"ERRO",0)</f>
        <v>ERRO</v>
      </c>
      <c r="I1896" s="83" t="e">
        <f>VLOOKUP(Tabela1[[#This Row],[Matrícula]],Equipe!B:F,5,0)</f>
        <v>#N/A</v>
      </c>
    </row>
    <row r="1897" spans="1:9">
      <c r="A1897" s="83"/>
      <c r="B1897" s="83">
        <f>_xlfn.XLOOKUP(A1897,Equipe!H:H,Equipe!B:B,"",0)</f>
        <v>0</v>
      </c>
      <c r="C1897" s="154"/>
      <c r="D1897" s="150" t="e">
        <f>(IF(Tabela1[[#This Row],[Início]]&lt;&gt;"",C1897+E1897-1,""))*1</f>
        <v>#VALUE!</v>
      </c>
      <c r="E1897" s="83"/>
      <c r="F1897" s="83"/>
      <c r="G1897" s="88"/>
      <c r="H1897" s="83" t="str">
        <f>_xlfn.XLOOKUP(Tabela1[[#This Row],[Matrícula]],Equipe!B:B,Equipe!E:E,"ERRO",0)</f>
        <v>ERRO</v>
      </c>
      <c r="I1897" s="83" t="e">
        <f>VLOOKUP(Tabela1[[#This Row],[Matrícula]],Equipe!B:F,5,0)</f>
        <v>#N/A</v>
      </c>
    </row>
    <row r="1898" spans="1:9">
      <c r="A1898" s="83"/>
      <c r="B1898" s="83">
        <f>_xlfn.XLOOKUP(A1898,Equipe!H:H,Equipe!B:B,"",0)</f>
        <v>0</v>
      </c>
      <c r="C1898" s="154"/>
      <c r="D1898" s="150" t="e">
        <f>(IF(Tabela1[[#This Row],[Início]]&lt;&gt;"",C1898+E1898-1,""))*1</f>
        <v>#VALUE!</v>
      </c>
      <c r="E1898" s="83"/>
      <c r="F1898" s="83"/>
      <c r="G1898" s="88"/>
      <c r="H1898" s="83" t="str">
        <f>_xlfn.XLOOKUP(Tabela1[[#This Row],[Matrícula]],Equipe!B:B,Equipe!E:E,"ERRO",0)</f>
        <v>ERRO</v>
      </c>
      <c r="I1898" s="83" t="e">
        <f>VLOOKUP(Tabela1[[#This Row],[Matrícula]],Equipe!B:F,5,0)</f>
        <v>#N/A</v>
      </c>
    </row>
    <row r="1899" spans="1:9">
      <c r="A1899" s="83"/>
      <c r="B1899" s="83">
        <f>_xlfn.XLOOKUP(A1899,Equipe!H:H,Equipe!B:B,"",0)</f>
        <v>0</v>
      </c>
      <c r="C1899" s="154"/>
      <c r="D1899" s="150" t="e">
        <f>(IF(Tabela1[[#This Row],[Início]]&lt;&gt;"",C1899+E1899-1,""))*1</f>
        <v>#VALUE!</v>
      </c>
      <c r="E1899" s="83"/>
      <c r="F1899" s="83"/>
      <c r="G1899" s="88"/>
      <c r="H1899" s="83" t="str">
        <f>_xlfn.XLOOKUP(Tabela1[[#This Row],[Matrícula]],Equipe!B:B,Equipe!E:E,"ERRO",0)</f>
        <v>ERRO</v>
      </c>
      <c r="I1899" s="83" t="e">
        <f>VLOOKUP(Tabela1[[#This Row],[Matrícula]],Equipe!B:F,5,0)</f>
        <v>#N/A</v>
      </c>
    </row>
    <row r="1900" spans="1:9">
      <c r="A1900" s="83"/>
      <c r="B1900" s="83">
        <f>_xlfn.XLOOKUP(A1900,Equipe!H:H,Equipe!B:B,"",0)</f>
        <v>0</v>
      </c>
      <c r="C1900" s="154"/>
      <c r="D1900" s="150" t="e">
        <f>(IF(Tabela1[[#This Row],[Início]]&lt;&gt;"",C1900+E1900-1,""))*1</f>
        <v>#VALUE!</v>
      </c>
      <c r="E1900" s="83"/>
      <c r="F1900" s="83"/>
      <c r="G1900" s="88"/>
      <c r="H1900" s="83" t="str">
        <f>_xlfn.XLOOKUP(Tabela1[[#This Row],[Matrícula]],Equipe!B:B,Equipe!E:E,"ERRO",0)</f>
        <v>ERRO</v>
      </c>
      <c r="I1900" s="83" t="e">
        <f>VLOOKUP(Tabela1[[#This Row],[Matrícula]],Equipe!B:F,5,0)</f>
        <v>#N/A</v>
      </c>
    </row>
    <row r="1901" spans="1:9">
      <c r="A1901" s="83"/>
      <c r="B1901" s="83">
        <f>_xlfn.XLOOKUP(A1901,Equipe!H:H,Equipe!B:B,"",0)</f>
        <v>0</v>
      </c>
      <c r="C1901" s="154"/>
      <c r="D1901" s="150" t="e">
        <f>(IF(Tabela1[[#This Row],[Início]]&lt;&gt;"",C1901+E1901-1,""))*1</f>
        <v>#VALUE!</v>
      </c>
      <c r="E1901" s="83"/>
      <c r="F1901" s="83"/>
      <c r="G1901" s="88"/>
      <c r="H1901" s="83" t="str">
        <f>_xlfn.XLOOKUP(Tabela1[[#This Row],[Matrícula]],Equipe!B:B,Equipe!E:E,"ERRO",0)</f>
        <v>ERRO</v>
      </c>
      <c r="I1901" s="83" t="e">
        <f>VLOOKUP(Tabela1[[#This Row],[Matrícula]],Equipe!B:F,5,0)</f>
        <v>#N/A</v>
      </c>
    </row>
    <row r="1902" spans="1:9">
      <c r="A1902" s="83"/>
      <c r="B1902" s="83">
        <f>_xlfn.XLOOKUP(A1902,Equipe!H:H,Equipe!B:B,"",0)</f>
        <v>0</v>
      </c>
      <c r="C1902" s="154"/>
      <c r="D1902" s="150" t="e">
        <f>(IF(Tabela1[[#This Row],[Início]]&lt;&gt;"",C1902+E1902-1,""))*1</f>
        <v>#VALUE!</v>
      </c>
      <c r="E1902" s="83"/>
      <c r="F1902" s="83"/>
      <c r="G1902" s="88"/>
      <c r="H1902" s="83" t="str">
        <f>_xlfn.XLOOKUP(Tabela1[[#This Row],[Matrícula]],Equipe!B:B,Equipe!E:E,"ERRO",0)</f>
        <v>ERRO</v>
      </c>
      <c r="I1902" s="83" t="e">
        <f>VLOOKUP(Tabela1[[#This Row],[Matrícula]],Equipe!B:F,5,0)</f>
        <v>#N/A</v>
      </c>
    </row>
    <row r="1903" spans="1:9">
      <c r="A1903" s="83"/>
      <c r="B1903" s="83">
        <f>_xlfn.XLOOKUP(A1903,Equipe!H:H,Equipe!B:B,"",0)</f>
        <v>0</v>
      </c>
      <c r="C1903" s="154"/>
      <c r="D1903" s="150" t="e">
        <f>(IF(Tabela1[[#This Row],[Início]]&lt;&gt;"",C1903+E1903-1,""))*1</f>
        <v>#VALUE!</v>
      </c>
      <c r="E1903" s="83"/>
      <c r="F1903" s="83"/>
      <c r="G1903" s="88"/>
      <c r="H1903" s="83" t="str">
        <f>_xlfn.XLOOKUP(Tabela1[[#This Row],[Matrícula]],Equipe!B:B,Equipe!E:E,"ERRO",0)</f>
        <v>ERRO</v>
      </c>
      <c r="I1903" s="83" t="e">
        <f>VLOOKUP(Tabela1[[#This Row],[Matrícula]],Equipe!B:F,5,0)</f>
        <v>#N/A</v>
      </c>
    </row>
    <row r="1904" spans="1:9">
      <c r="A1904" s="83"/>
      <c r="B1904" s="83">
        <f>_xlfn.XLOOKUP(A1904,Equipe!H:H,Equipe!B:B,"",0)</f>
        <v>0</v>
      </c>
      <c r="C1904" s="154"/>
      <c r="D1904" s="150" t="e">
        <f>(IF(Tabela1[[#This Row],[Início]]&lt;&gt;"",C1904+E1904-1,""))*1</f>
        <v>#VALUE!</v>
      </c>
      <c r="E1904" s="83"/>
      <c r="F1904" s="83"/>
      <c r="G1904" s="88"/>
      <c r="H1904" s="83" t="str">
        <f>_xlfn.XLOOKUP(Tabela1[[#This Row],[Matrícula]],Equipe!B:B,Equipe!E:E,"ERRO",0)</f>
        <v>ERRO</v>
      </c>
      <c r="I1904" s="83" t="e">
        <f>VLOOKUP(Tabela1[[#This Row],[Matrícula]],Equipe!B:F,5,0)</f>
        <v>#N/A</v>
      </c>
    </row>
    <row r="1905" spans="1:9">
      <c r="A1905" s="83"/>
      <c r="B1905" s="83">
        <f>_xlfn.XLOOKUP(A1905,Equipe!H:H,Equipe!B:B,"",0)</f>
        <v>0</v>
      </c>
      <c r="C1905" s="154"/>
      <c r="D1905" s="150" t="e">
        <f>(IF(Tabela1[[#This Row],[Início]]&lt;&gt;"",C1905+E1905-1,""))*1</f>
        <v>#VALUE!</v>
      </c>
      <c r="E1905" s="83"/>
      <c r="F1905" s="83"/>
      <c r="G1905" s="88"/>
      <c r="H1905" s="83" t="str">
        <f>_xlfn.XLOOKUP(Tabela1[[#This Row],[Matrícula]],Equipe!B:B,Equipe!E:E,"ERRO",0)</f>
        <v>ERRO</v>
      </c>
      <c r="I1905" s="83" t="e">
        <f>VLOOKUP(Tabela1[[#This Row],[Matrícula]],Equipe!B:F,5,0)</f>
        <v>#N/A</v>
      </c>
    </row>
    <row r="1906" spans="1:9">
      <c r="A1906" s="83"/>
      <c r="B1906" s="83">
        <f>_xlfn.XLOOKUP(A1906,Equipe!H:H,Equipe!B:B,"",0)</f>
        <v>0</v>
      </c>
      <c r="C1906" s="154"/>
      <c r="D1906" s="150" t="e">
        <f>(IF(Tabela1[[#This Row],[Início]]&lt;&gt;"",C1906+E1906-1,""))*1</f>
        <v>#VALUE!</v>
      </c>
      <c r="E1906" s="83"/>
      <c r="F1906" s="83"/>
      <c r="G1906" s="88"/>
      <c r="H1906" s="83" t="str">
        <f>_xlfn.XLOOKUP(Tabela1[[#This Row],[Matrícula]],Equipe!B:B,Equipe!E:E,"ERRO",0)</f>
        <v>ERRO</v>
      </c>
      <c r="I1906" s="83" t="e">
        <f>VLOOKUP(Tabela1[[#This Row],[Matrícula]],Equipe!B:F,5,0)</f>
        <v>#N/A</v>
      </c>
    </row>
    <row r="1907" spans="1:9">
      <c r="A1907" s="83"/>
      <c r="B1907" s="83">
        <f>_xlfn.XLOOKUP(A1907,Equipe!H:H,Equipe!B:B,"",0)</f>
        <v>0</v>
      </c>
      <c r="C1907" s="154"/>
      <c r="D1907" s="150" t="e">
        <f>(IF(Tabela1[[#This Row],[Início]]&lt;&gt;"",C1907+E1907-1,""))*1</f>
        <v>#VALUE!</v>
      </c>
      <c r="E1907" s="83"/>
      <c r="F1907" s="83"/>
      <c r="G1907" s="88"/>
      <c r="H1907" s="83" t="str">
        <f>_xlfn.XLOOKUP(Tabela1[[#This Row],[Matrícula]],Equipe!B:B,Equipe!E:E,"ERRO",0)</f>
        <v>ERRO</v>
      </c>
      <c r="I1907" s="83" t="e">
        <f>VLOOKUP(Tabela1[[#This Row],[Matrícula]],Equipe!B:F,5,0)</f>
        <v>#N/A</v>
      </c>
    </row>
    <row r="1908" spans="1:9">
      <c r="A1908" s="83"/>
      <c r="B1908" s="83">
        <f>_xlfn.XLOOKUP(A1908,Equipe!H:H,Equipe!B:B,"",0)</f>
        <v>0</v>
      </c>
      <c r="C1908" s="154"/>
      <c r="D1908" s="150" t="e">
        <f>(IF(Tabela1[[#This Row],[Início]]&lt;&gt;"",C1908+E1908-1,""))*1</f>
        <v>#VALUE!</v>
      </c>
      <c r="E1908" s="83"/>
      <c r="F1908" s="83"/>
      <c r="G1908" s="88"/>
      <c r="H1908" s="83" t="str">
        <f>_xlfn.XLOOKUP(Tabela1[[#This Row],[Matrícula]],Equipe!B:B,Equipe!E:E,"ERRO",0)</f>
        <v>ERRO</v>
      </c>
      <c r="I1908" s="83" t="e">
        <f>VLOOKUP(Tabela1[[#This Row],[Matrícula]],Equipe!B:F,5,0)</f>
        <v>#N/A</v>
      </c>
    </row>
    <row r="1909" spans="1:9">
      <c r="A1909" s="83"/>
      <c r="B1909" s="83">
        <f>_xlfn.XLOOKUP(A1909,Equipe!H:H,Equipe!B:B,"",0)</f>
        <v>0</v>
      </c>
      <c r="C1909" s="154"/>
      <c r="D1909" s="150" t="e">
        <f>(IF(Tabela1[[#This Row],[Início]]&lt;&gt;"",C1909+E1909-1,""))*1</f>
        <v>#VALUE!</v>
      </c>
      <c r="E1909" s="83"/>
      <c r="F1909" s="83"/>
      <c r="G1909" s="88"/>
      <c r="H1909" s="83" t="str">
        <f>_xlfn.XLOOKUP(Tabela1[[#This Row],[Matrícula]],Equipe!B:B,Equipe!E:E,"ERRO",0)</f>
        <v>ERRO</v>
      </c>
      <c r="I1909" s="83" t="e">
        <f>VLOOKUP(Tabela1[[#This Row],[Matrícula]],Equipe!B:F,5,0)</f>
        <v>#N/A</v>
      </c>
    </row>
    <row r="1910" spans="1:9">
      <c r="A1910" s="83"/>
      <c r="B1910" s="83">
        <f>_xlfn.XLOOKUP(A1910,Equipe!H:H,Equipe!B:B,"",0)</f>
        <v>0</v>
      </c>
      <c r="C1910" s="154"/>
      <c r="D1910" s="150" t="e">
        <f>(IF(Tabela1[[#This Row],[Início]]&lt;&gt;"",C1910+E1910-1,""))*1</f>
        <v>#VALUE!</v>
      </c>
      <c r="E1910" s="83"/>
      <c r="F1910" s="83"/>
      <c r="G1910" s="88"/>
      <c r="H1910" s="83" t="str">
        <f>_xlfn.XLOOKUP(Tabela1[[#This Row],[Matrícula]],Equipe!B:B,Equipe!E:E,"ERRO",0)</f>
        <v>ERRO</v>
      </c>
      <c r="I1910" s="83" t="e">
        <f>VLOOKUP(Tabela1[[#This Row],[Matrícula]],Equipe!B:F,5,0)</f>
        <v>#N/A</v>
      </c>
    </row>
    <row r="1911" spans="1:9">
      <c r="A1911" s="83"/>
      <c r="B1911" s="83">
        <f>_xlfn.XLOOKUP(A1911,Equipe!H:H,Equipe!B:B,"",0)</f>
        <v>0</v>
      </c>
      <c r="C1911" s="154"/>
      <c r="D1911" s="150" t="e">
        <f>(IF(Tabela1[[#This Row],[Início]]&lt;&gt;"",C1911+E1911-1,""))*1</f>
        <v>#VALUE!</v>
      </c>
      <c r="E1911" s="83"/>
      <c r="F1911" s="83"/>
      <c r="G1911" s="88"/>
      <c r="H1911" s="83" t="str">
        <f>_xlfn.XLOOKUP(Tabela1[[#This Row],[Matrícula]],Equipe!B:B,Equipe!E:E,"ERRO",0)</f>
        <v>ERRO</v>
      </c>
      <c r="I1911" s="83" t="e">
        <f>VLOOKUP(Tabela1[[#This Row],[Matrícula]],Equipe!B:F,5,0)</f>
        <v>#N/A</v>
      </c>
    </row>
    <row r="1912" spans="1:9">
      <c r="A1912" s="83"/>
      <c r="B1912" s="83">
        <f>_xlfn.XLOOKUP(A1912,Equipe!H:H,Equipe!B:B,"",0)</f>
        <v>0</v>
      </c>
      <c r="C1912" s="154"/>
      <c r="D1912" s="150" t="e">
        <f>(IF(Tabela1[[#This Row],[Início]]&lt;&gt;"",C1912+E1912-1,""))*1</f>
        <v>#VALUE!</v>
      </c>
      <c r="E1912" s="83"/>
      <c r="F1912" s="83"/>
      <c r="G1912" s="88"/>
      <c r="H1912" s="83" t="str">
        <f>_xlfn.XLOOKUP(Tabela1[[#This Row],[Matrícula]],Equipe!B:B,Equipe!E:E,"ERRO",0)</f>
        <v>ERRO</v>
      </c>
      <c r="I1912" s="83" t="e">
        <f>VLOOKUP(Tabela1[[#This Row],[Matrícula]],Equipe!B:F,5,0)</f>
        <v>#N/A</v>
      </c>
    </row>
    <row r="1913" spans="1:9">
      <c r="A1913" s="83"/>
      <c r="B1913" s="83">
        <f>_xlfn.XLOOKUP(A1913,Equipe!H:H,Equipe!B:B,"",0)</f>
        <v>0</v>
      </c>
      <c r="C1913" s="154"/>
      <c r="D1913" s="150" t="e">
        <f>(IF(Tabela1[[#This Row],[Início]]&lt;&gt;"",C1913+E1913-1,""))*1</f>
        <v>#VALUE!</v>
      </c>
      <c r="E1913" s="83"/>
      <c r="F1913" s="83"/>
      <c r="G1913" s="88"/>
      <c r="H1913" s="83" t="str">
        <f>_xlfn.XLOOKUP(Tabela1[[#This Row],[Matrícula]],Equipe!B:B,Equipe!E:E,"ERRO",0)</f>
        <v>ERRO</v>
      </c>
      <c r="I1913" s="83" t="e">
        <f>VLOOKUP(Tabela1[[#This Row],[Matrícula]],Equipe!B:F,5,0)</f>
        <v>#N/A</v>
      </c>
    </row>
    <row r="1914" spans="1:9">
      <c r="A1914" s="83"/>
      <c r="B1914" s="83">
        <f>_xlfn.XLOOKUP(A1914,Equipe!H:H,Equipe!B:B,"",0)</f>
        <v>0</v>
      </c>
      <c r="C1914" s="154"/>
      <c r="D1914" s="150" t="e">
        <f>(IF(Tabela1[[#This Row],[Início]]&lt;&gt;"",C1914+E1914-1,""))*1</f>
        <v>#VALUE!</v>
      </c>
      <c r="E1914" s="83"/>
      <c r="F1914" s="83"/>
      <c r="G1914" s="88"/>
      <c r="H1914" s="83" t="str">
        <f>_xlfn.XLOOKUP(Tabela1[[#This Row],[Matrícula]],Equipe!B:B,Equipe!E:E,"ERRO",0)</f>
        <v>ERRO</v>
      </c>
      <c r="I1914" s="83" t="e">
        <f>VLOOKUP(Tabela1[[#This Row],[Matrícula]],Equipe!B:F,5,0)</f>
        <v>#N/A</v>
      </c>
    </row>
    <row r="1915" spans="1:9">
      <c r="A1915" s="83"/>
      <c r="B1915" s="83">
        <f>_xlfn.XLOOKUP(A1915,Equipe!H:H,Equipe!B:B,"",0)</f>
        <v>0</v>
      </c>
      <c r="C1915" s="154"/>
      <c r="D1915" s="150" t="e">
        <f>(IF(Tabela1[[#This Row],[Início]]&lt;&gt;"",C1915+E1915-1,""))*1</f>
        <v>#VALUE!</v>
      </c>
      <c r="E1915" s="83"/>
      <c r="F1915" s="83"/>
      <c r="G1915" s="88"/>
      <c r="H1915" s="83" t="str">
        <f>_xlfn.XLOOKUP(Tabela1[[#This Row],[Matrícula]],Equipe!B:B,Equipe!E:E,"ERRO",0)</f>
        <v>ERRO</v>
      </c>
      <c r="I1915" s="83" t="e">
        <f>VLOOKUP(Tabela1[[#This Row],[Matrícula]],Equipe!B:F,5,0)</f>
        <v>#N/A</v>
      </c>
    </row>
    <row r="1916" spans="1:9">
      <c r="A1916" s="83"/>
      <c r="B1916" s="83">
        <f>_xlfn.XLOOKUP(A1916,Equipe!H:H,Equipe!B:B,"",0)</f>
        <v>0</v>
      </c>
      <c r="C1916" s="154"/>
      <c r="D1916" s="150" t="e">
        <f>(IF(Tabela1[[#This Row],[Início]]&lt;&gt;"",C1916+E1916-1,""))*1</f>
        <v>#VALUE!</v>
      </c>
      <c r="E1916" s="83"/>
      <c r="F1916" s="83"/>
      <c r="G1916" s="88"/>
      <c r="H1916" s="83" t="str">
        <f>_xlfn.XLOOKUP(Tabela1[[#This Row],[Matrícula]],Equipe!B:B,Equipe!E:E,"ERRO",0)</f>
        <v>ERRO</v>
      </c>
      <c r="I1916" s="83" t="e">
        <f>VLOOKUP(Tabela1[[#This Row],[Matrícula]],Equipe!B:F,5,0)</f>
        <v>#N/A</v>
      </c>
    </row>
    <row r="1917" spans="1:9">
      <c r="A1917" s="83"/>
      <c r="B1917" s="83">
        <f>_xlfn.XLOOKUP(A1917,Equipe!H:H,Equipe!B:B,"",0)</f>
        <v>0</v>
      </c>
      <c r="C1917" s="154"/>
      <c r="D1917" s="150" t="e">
        <f>(IF(Tabela1[[#This Row],[Início]]&lt;&gt;"",C1917+E1917-1,""))*1</f>
        <v>#VALUE!</v>
      </c>
      <c r="E1917" s="83"/>
      <c r="F1917" s="83"/>
      <c r="G1917" s="88"/>
      <c r="H1917" s="83" t="str">
        <f>_xlfn.XLOOKUP(Tabela1[[#This Row],[Matrícula]],Equipe!B:B,Equipe!E:E,"ERRO",0)</f>
        <v>ERRO</v>
      </c>
      <c r="I1917" s="83" t="e">
        <f>VLOOKUP(Tabela1[[#This Row],[Matrícula]],Equipe!B:F,5,0)</f>
        <v>#N/A</v>
      </c>
    </row>
    <row r="1918" spans="1:9">
      <c r="A1918" s="83"/>
      <c r="B1918" s="83">
        <f>_xlfn.XLOOKUP(A1918,Equipe!H:H,Equipe!B:B,"",0)</f>
        <v>0</v>
      </c>
      <c r="C1918" s="154"/>
      <c r="D1918" s="150" t="e">
        <f>(IF(Tabela1[[#This Row],[Início]]&lt;&gt;"",C1918+E1918-1,""))*1</f>
        <v>#VALUE!</v>
      </c>
      <c r="E1918" s="83"/>
      <c r="F1918" s="83"/>
      <c r="G1918" s="88"/>
      <c r="H1918" s="83" t="str">
        <f>_xlfn.XLOOKUP(Tabela1[[#This Row],[Matrícula]],Equipe!B:B,Equipe!E:E,"ERRO",0)</f>
        <v>ERRO</v>
      </c>
      <c r="I1918" s="83" t="e">
        <f>VLOOKUP(Tabela1[[#This Row],[Matrícula]],Equipe!B:F,5,0)</f>
        <v>#N/A</v>
      </c>
    </row>
    <row r="1919" spans="1:9">
      <c r="A1919" s="83"/>
      <c r="B1919" s="83">
        <f>_xlfn.XLOOKUP(A1919,Equipe!H:H,Equipe!B:B,"",0)</f>
        <v>0</v>
      </c>
      <c r="C1919" s="154"/>
      <c r="D1919" s="150" t="e">
        <f>(IF(Tabela1[[#This Row],[Início]]&lt;&gt;"",C1919+E1919-1,""))*1</f>
        <v>#VALUE!</v>
      </c>
      <c r="E1919" s="83"/>
      <c r="F1919" s="83"/>
      <c r="G1919" s="88"/>
      <c r="H1919" s="83" t="str">
        <f>_xlfn.XLOOKUP(Tabela1[[#This Row],[Matrícula]],Equipe!B:B,Equipe!E:E,"ERRO",0)</f>
        <v>ERRO</v>
      </c>
      <c r="I1919" s="83" t="e">
        <f>VLOOKUP(Tabela1[[#This Row],[Matrícula]],Equipe!B:F,5,0)</f>
        <v>#N/A</v>
      </c>
    </row>
    <row r="1920" spans="1:9">
      <c r="A1920" s="83"/>
      <c r="B1920" s="83">
        <f>_xlfn.XLOOKUP(A1920,Equipe!H:H,Equipe!B:B,"",0)</f>
        <v>0</v>
      </c>
      <c r="C1920" s="154"/>
      <c r="D1920" s="150" t="e">
        <f>(IF(Tabela1[[#This Row],[Início]]&lt;&gt;"",C1920+E1920-1,""))*1</f>
        <v>#VALUE!</v>
      </c>
      <c r="E1920" s="83"/>
      <c r="F1920" s="83"/>
      <c r="G1920" s="88"/>
      <c r="H1920" s="83" t="str">
        <f>_xlfn.XLOOKUP(Tabela1[[#This Row],[Matrícula]],Equipe!B:B,Equipe!E:E,"ERRO",0)</f>
        <v>ERRO</v>
      </c>
      <c r="I1920" s="83" t="e">
        <f>VLOOKUP(Tabela1[[#This Row],[Matrícula]],Equipe!B:F,5,0)</f>
        <v>#N/A</v>
      </c>
    </row>
    <row r="1921" spans="1:9">
      <c r="A1921" s="83"/>
      <c r="B1921" s="83">
        <f>_xlfn.XLOOKUP(A1921,Equipe!H:H,Equipe!B:B,"",0)</f>
        <v>0</v>
      </c>
      <c r="C1921" s="154"/>
      <c r="D1921" s="150" t="e">
        <f>(IF(Tabela1[[#This Row],[Início]]&lt;&gt;"",C1921+E1921-1,""))*1</f>
        <v>#VALUE!</v>
      </c>
      <c r="E1921" s="83"/>
      <c r="F1921" s="83"/>
      <c r="G1921" s="88"/>
      <c r="H1921" s="83" t="str">
        <f>_xlfn.XLOOKUP(Tabela1[[#This Row],[Matrícula]],Equipe!B:B,Equipe!E:E,"ERRO",0)</f>
        <v>ERRO</v>
      </c>
      <c r="I1921" s="83" t="e">
        <f>VLOOKUP(Tabela1[[#This Row],[Matrícula]],Equipe!B:F,5,0)</f>
        <v>#N/A</v>
      </c>
    </row>
    <row r="1922" spans="1:9">
      <c r="A1922" s="83"/>
      <c r="B1922" s="83">
        <f>_xlfn.XLOOKUP(A1922,Equipe!H:H,Equipe!B:B,"",0)</f>
        <v>0</v>
      </c>
      <c r="C1922" s="154"/>
      <c r="D1922" s="150" t="e">
        <f>(IF(Tabela1[[#This Row],[Início]]&lt;&gt;"",C1922+E1922-1,""))*1</f>
        <v>#VALUE!</v>
      </c>
      <c r="E1922" s="83"/>
      <c r="F1922" s="83"/>
      <c r="G1922" s="88"/>
      <c r="H1922" s="83" t="str">
        <f>_xlfn.XLOOKUP(Tabela1[[#This Row],[Matrícula]],Equipe!B:B,Equipe!E:E,"ERRO",0)</f>
        <v>ERRO</v>
      </c>
      <c r="I1922" s="83" t="e">
        <f>VLOOKUP(Tabela1[[#This Row],[Matrícula]],Equipe!B:F,5,0)</f>
        <v>#N/A</v>
      </c>
    </row>
    <row r="1923" spans="1:9">
      <c r="A1923" s="83"/>
      <c r="B1923" s="83">
        <f>_xlfn.XLOOKUP(A1923,Equipe!H:H,Equipe!B:B,"",0)</f>
        <v>0</v>
      </c>
      <c r="C1923" s="154"/>
      <c r="D1923" s="150" t="e">
        <f>(IF(Tabela1[[#This Row],[Início]]&lt;&gt;"",C1923+E1923-1,""))*1</f>
        <v>#VALUE!</v>
      </c>
      <c r="E1923" s="83"/>
      <c r="F1923" s="83"/>
      <c r="G1923" s="88"/>
      <c r="H1923" s="83" t="str">
        <f>_xlfn.XLOOKUP(Tabela1[[#This Row],[Matrícula]],Equipe!B:B,Equipe!E:E,"ERRO",0)</f>
        <v>ERRO</v>
      </c>
      <c r="I1923" s="83" t="e">
        <f>VLOOKUP(Tabela1[[#This Row],[Matrícula]],Equipe!B:F,5,0)</f>
        <v>#N/A</v>
      </c>
    </row>
    <row r="1924" spans="1:9">
      <c r="A1924" s="83"/>
      <c r="B1924" s="83">
        <f>_xlfn.XLOOKUP(A1924,Equipe!H:H,Equipe!B:B,"",0)</f>
        <v>0</v>
      </c>
      <c r="C1924" s="154"/>
      <c r="D1924" s="150" t="e">
        <f>(IF(Tabela1[[#This Row],[Início]]&lt;&gt;"",C1924+E1924-1,""))*1</f>
        <v>#VALUE!</v>
      </c>
      <c r="E1924" s="83"/>
      <c r="F1924" s="83"/>
      <c r="G1924" s="88"/>
      <c r="H1924" s="83" t="str">
        <f>_xlfn.XLOOKUP(Tabela1[[#This Row],[Matrícula]],Equipe!B:B,Equipe!E:E,"ERRO",0)</f>
        <v>ERRO</v>
      </c>
      <c r="I1924" s="83" t="e">
        <f>VLOOKUP(Tabela1[[#This Row],[Matrícula]],Equipe!B:F,5,0)</f>
        <v>#N/A</v>
      </c>
    </row>
    <row r="1925" spans="1:9">
      <c r="A1925" s="83"/>
      <c r="B1925" s="83">
        <f>_xlfn.XLOOKUP(A1925,Equipe!H:H,Equipe!B:B,"",0)</f>
        <v>0</v>
      </c>
      <c r="C1925" s="154"/>
      <c r="D1925" s="150" t="e">
        <f>(IF(Tabela1[[#This Row],[Início]]&lt;&gt;"",C1925+E1925-1,""))*1</f>
        <v>#VALUE!</v>
      </c>
      <c r="E1925" s="83"/>
      <c r="F1925" s="83"/>
      <c r="G1925" s="88"/>
      <c r="H1925" s="83" t="str">
        <f>_xlfn.XLOOKUP(Tabela1[[#This Row],[Matrícula]],Equipe!B:B,Equipe!E:E,"ERRO",0)</f>
        <v>ERRO</v>
      </c>
      <c r="I1925" s="83" t="e">
        <f>VLOOKUP(Tabela1[[#This Row],[Matrícula]],Equipe!B:F,5,0)</f>
        <v>#N/A</v>
      </c>
    </row>
    <row r="1926" spans="1:9">
      <c r="A1926" s="83"/>
      <c r="B1926" s="83">
        <f>_xlfn.XLOOKUP(A1926,Equipe!H:H,Equipe!B:B,"",0)</f>
        <v>0</v>
      </c>
      <c r="C1926" s="154"/>
      <c r="D1926" s="150" t="e">
        <f>(IF(Tabela1[[#This Row],[Início]]&lt;&gt;"",C1926+E1926-1,""))*1</f>
        <v>#VALUE!</v>
      </c>
      <c r="E1926" s="83"/>
      <c r="F1926" s="83"/>
      <c r="G1926" s="88"/>
      <c r="H1926" s="83" t="str">
        <f>_xlfn.XLOOKUP(Tabela1[[#This Row],[Matrícula]],Equipe!B:B,Equipe!E:E,"ERRO",0)</f>
        <v>ERRO</v>
      </c>
      <c r="I1926" s="83" t="e">
        <f>VLOOKUP(Tabela1[[#This Row],[Matrícula]],Equipe!B:F,5,0)</f>
        <v>#N/A</v>
      </c>
    </row>
    <row r="1927" spans="1:9">
      <c r="A1927" s="83"/>
      <c r="B1927" s="83">
        <f>_xlfn.XLOOKUP(A1927,Equipe!H:H,Equipe!B:B,"",0)</f>
        <v>0</v>
      </c>
      <c r="C1927" s="154"/>
      <c r="D1927" s="150" t="e">
        <f>(IF(Tabela1[[#This Row],[Início]]&lt;&gt;"",C1927+E1927-1,""))*1</f>
        <v>#VALUE!</v>
      </c>
      <c r="E1927" s="83"/>
      <c r="F1927" s="83"/>
      <c r="G1927" s="88"/>
      <c r="H1927" s="83" t="str">
        <f>_xlfn.XLOOKUP(Tabela1[[#This Row],[Matrícula]],Equipe!B:B,Equipe!E:E,"ERRO",0)</f>
        <v>ERRO</v>
      </c>
      <c r="I1927" s="83" t="e">
        <f>VLOOKUP(Tabela1[[#This Row],[Matrícula]],Equipe!B:F,5,0)</f>
        <v>#N/A</v>
      </c>
    </row>
    <row r="1928" spans="1:9">
      <c r="A1928" s="83"/>
      <c r="B1928" s="83">
        <f>_xlfn.XLOOKUP(A1928,Equipe!H:H,Equipe!B:B,"",0)</f>
        <v>0</v>
      </c>
      <c r="C1928" s="154"/>
      <c r="D1928" s="150" t="e">
        <f>(IF(Tabela1[[#This Row],[Início]]&lt;&gt;"",C1928+E1928-1,""))*1</f>
        <v>#VALUE!</v>
      </c>
      <c r="E1928" s="83"/>
      <c r="F1928" s="83"/>
      <c r="G1928" s="88"/>
      <c r="H1928" s="83" t="str">
        <f>_xlfn.XLOOKUP(Tabela1[[#This Row],[Matrícula]],Equipe!B:B,Equipe!E:E,"ERRO",0)</f>
        <v>ERRO</v>
      </c>
      <c r="I1928" s="83" t="e">
        <f>VLOOKUP(Tabela1[[#This Row],[Matrícula]],Equipe!B:F,5,0)</f>
        <v>#N/A</v>
      </c>
    </row>
    <row r="1929" spans="1:9">
      <c r="A1929" s="83"/>
      <c r="B1929" s="83">
        <f>_xlfn.XLOOKUP(A1929,Equipe!H:H,Equipe!B:B,"",0)</f>
        <v>0</v>
      </c>
      <c r="C1929" s="154"/>
      <c r="D1929" s="150" t="e">
        <f>(IF(Tabela1[[#This Row],[Início]]&lt;&gt;"",C1929+E1929-1,""))*1</f>
        <v>#VALUE!</v>
      </c>
      <c r="E1929" s="83"/>
      <c r="F1929" s="83"/>
      <c r="G1929" s="88"/>
      <c r="H1929" s="83" t="str">
        <f>_xlfn.XLOOKUP(Tabela1[[#This Row],[Matrícula]],Equipe!B:B,Equipe!E:E,"ERRO",0)</f>
        <v>ERRO</v>
      </c>
      <c r="I1929" s="83" t="e">
        <f>VLOOKUP(Tabela1[[#This Row],[Matrícula]],Equipe!B:F,5,0)</f>
        <v>#N/A</v>
      </c>
    </row>
    <row r="1930" spans="1:9">
      <c r="A1930" s="83"/>
      <c r="B1930" s="83">
        <f>_xlfn.XLOOKUP(A1930,Equipe!H:H,Equipe!B:B,"",0)</f>
        <v>0</v>
      </c>
      <c r="C1930" s="154"/>
      <c r="D1930" s="150" t="e">
        <f>(IF(Tabela1[[#This Row],[Início]]&lt;&gt;"",C1930+E1930-1,""))*1</f>
        <v>#VALUE!</v>
      </c>
      <c r="E1930" s="83"/>
      <c r="F1930" s="83"/>
      <c r="G1930" s="88"/>
      <c r="H1930" s="83" t="str">
        <f>_xlfn.XLOOKUP(Tabela1[[#This Row],[Matrícula]],Equipe!B:B,Equipe!E:E,"ERRO",0)</f>
        <v>ERRO</v>
      </c>
      <c r="I1930" s="83" t="e">
        <f>VLOOKUP(Tabela1[[#This Row],[Matrícula]],Equipe!B:F,5,0)</f>
        <v>#N/A</v>
      </c>
    </row>
    <row r="1931" spans="1:9">
      <c r="A1931" s="83"/>
      <c r="B1931" s="83">
        <f>_xlfn.XLOOKUP(A1931,Equipe!H:H,Equipe!B:B,"",0)</f>
        <v>0</v>
      </c>
      <c r="C1931" s="154"/>
      <c r="D1931" s="150" t="e">
        <f>(IF(Tabela1[[#This Row],[Início]]&lt;&gt;"",C1931+E1931-1,""))*1</f>
        <v>#VALUE!</v>
      </c>
      <c r="E1931" s="83"/>
      <c r="F1931" s="83"/>
      <c r="G1931" s="88"/>
      <c r="H1931" s="83" t="str">
        <f>_xlfn.XLOOKUP(Tabela1[[#This Row],[Matrícula]],Equipe!B:B,Equipe!E:E,"ERRO",0)</f>
        <v>ERRO</v>
      </c>
      <c r="I1931" s="83" t="e">
        <f>VLOOKUP(Tabela1[[#This Row],[Matrícula]],Equipe!B:F,5,0)</f>
        <v>#N/A</v>
      </c>
    </row>
    <row r="1932" spans="1:9">
      <c r="A1932" s="83"/>
      <c r="B1932" s="83">
        <f>_xlfn.XLOOKUP(A1932,Equipe!H:H,Equipe!B:B,"",0)</f>
        <v>0</v>
      </c>
      <c r="C1932" s="154"/>
      <c r="D1932" s="150" t="e">
        <f>(IF(Tabela1[[#This Row],[Início]]&lt;&gt;"",C1932+E1932-1,""))*1</f>
        <v>#VALUE!</v>
      </c>
      <c r="E1932" s="83"/>
      <c r="F1932" s="83"/>
      <c r="G1932" s="88"/>
      <c r="H1932" s="83" t="str">
        <f>_xlfn.XLOOKUP(Tabela1[[#This Row],[Matrícula]],Equipe!B:B,Equipe!E:E,"ERRO",0)</f>
        <v>ERRO</v>
      </c>
      <c r="I1932" s="83" t="e">
        <f>VLOOKUP(Tabela1[[#This Row],[Matrícula]],Equipe!B:F,5,0)</f>
        <v>#N/A</v>
      </c>
    </row>
    <row r="1933" spans="1:9">
      <c r="A1933" s="83"/>
      <c r="B1933" s="83">
        <f>_xlfn.XLOOKUP(A1933,Equipe!H:H,Equipe!B:B,"",0)</f>
        <v>0</v>
      </c>
      <c r="C1933" s="154"/>
      <c r="D1933" s="150" t="e">
        <f>(IF(Tabela1[[#This Row],[Início]]&lt;&gt;"",C1933+E1933-1,""))*1</f>
        <v>#VALUE!</v>
      </c>
      <c r="E1933" s="83"/>
      <c r="F1933" s="83"/>
      <c r="G1933" s="88"/>
      <c r="H1933" s="83" t="str">
        <f>_xlfn.XLOOKUP(Tabela1[[#This Row],[Matrícula]],Equipe!B:B,Equipe!E:E,"ERRO",0)</f>
        <v>ERRO</v>
      </c>
      <c r="I1933" s="83" t="e">
        <f>VLOOKUP(Tabela1[[#This Row],[Matrícula]],Equipe!B:F,5,0)</f>
        <v>#N/A</v>
      </c>
    </row>
    <row r="1934" spans="1:9">
      <c r="A1934" s="83"/>
      <c r="B1934" s="83">
        <f>_xlfn.XLOOKUP(A1934,Equipe!H:H,Equipe!B:B,"",0)</f>
        <v>0</v>
      </c>
      <c r="C1934" s="154"/>
      <c r="D1934" s="150" t="e">
        <f>(IF(Tabela1[[#This Row],[Início]]&lt;&gt;"",C1934+E1934-1,""))*1</f>
        <v>#VALUE!</v>
      </c>
      <c r="E1934" s="83"/>
      <c r="F1934" s="83"/>
      <c r="G1934" s="88"/>
      <c r="H1934" s="83" t="str">
        <f>_xlfn.XLOOKUP(Tabela1[[#This Row],[Matrícula]],Equipe!B:B,Equipe!E:E,"ERRO",0)</f>
        <v>ERRO</v>
      </c>
      <c r="I1934" s="83" t="e">
        <f>VLOOKUP(Tabela1[[#This Row],[Matrícula]],Equipe!B:F,5,0)</f>
        <v>#N/A</v>
      </c>
    </row>
    <row r="1935" spans="1:9">
      <c r="A1935" s="83"/>
      <c r="B1935" s="83">
        <f>_xlfn.XLOOKUP(A1935,Equipe!H:H,Equipe!B:B,"",0)</f>
        <v>0</v>
      </c>
      <c r="C1935" s="154"/>
      <c r="D1935" s="150" t="e">
        <f>(IF(Tabela1[[#This Row],[Início]]&lt;&gt;"",C1935+E1935-1,""))*1</f>
        <v>#VALUE!</v>
      </c>
      <c r="E1935" s="83"/>
      <c r="F1935" s="83"/>
      <c r="G1935" s="88"/>
      <c r="H1935" s="83" t="str">
        <f>_xlfn.XLOOKUP(Tabela1[[#This Row],[Matrícula]],Equipe!B:B,Equipe!E:E,"ERRO",0)</f>
        <v>ERRO</v>
      </c>
      <c r="I1935" s="83" t="e">
        <f>VLOOKUP(Tabela1[[#This Row],[Matrícula]],Equipe!B:F,5,0)</f>
        <v>#N/A</v>
      </c>
    </row>
    <row r="1936" spans="1:9">
      <c r="A1936" s="83"/>
      <c r="B1936" s="83">
        <f>_xlfn.XLOOKUP(A1936,Equipe!H:H,Equipe!B:B,"",0)</f>
        <v>0</v>
      </c>
      <c r="C1936" s="154"/>
      <c r="D1936" s="150" t="e">
        <f>(IF(Tabela1[[#This Row],[Início]]&lt;&gt;"",C1936+E1936-1,""))*1</f>
        <v>#VALUE!</v>
      </c>
      <c r="E1936" s="83"/>
      <c r="F1936" s="83"/>
      <c r="G1936" s="88"/>
      <c r="H1936" s="83" t="str">
        <f>_xlfn.XLOOKUP(Tabela1[[#This Row],[Matrícula]],Equipe!B:B,Equipe!E:E,"ERRO",0)</f>
        <v>ERRO</v>
      </c>
      <c r="I1936" s="83" t="e">
        <f>VLOOKUP(Tabela1[[#This Row],[Matrícula]],Equipe!B:F,5,0)</f>
        <v>#N/A</v>
      </c>
    </row>
    <row r="1937" spans="1:9">
      <c r="A1937" s="83"/>
      <c r="B1937" s="83">
        <f>_xlfn.XLOOKUP(A1937,Equipe!H:H,Equipe!B:B,"",0)</f>
        <v>0</v>
      </c>
      <c r="C1937" s="154"/>
      <c r="D1937" s="150" t="e">
        <f>(IF(Tabela1[[#This Row],[Início]]&lt;&gt;"",C1937+E1937-1,""))*1</f>
        <v>#VALUE!</v>
      </c>
      <c r="E1937" s="83"/>
      <c r="F1937" s="83"/>
      <c r="G1937" s="88"/>
      <c r="H1937" s="83" t="str">
        <f>_xlfn.XLOOKUP(Tabela1[[#This Row],[Matrícula]],Equipe!B:B,Equipe!E:E,"ERRO",0)</f>
        <v>ERRO</v>
      </c>
      <c r="I1937" s="83" t="e">
        <f>VLOOKUP(Tabela1[[#This Row],[Matrícula]],Equipe!B:F,5,0)</f>
        <v>#N/A</v>
      </c>
    </row>
    <row r="1938" spans="1:9">
      <c r="A1938" s="83"/>
      <c r="B1938" s="83">
        <f>_xlfn.XLOOKUP(A1938,Equipe!H:H,Equipe!B:B,"",0)</f>
        <v>0</v>
      </c>
      <c r="C1938" s="154"/>
      <c r="D1938" s="150" t="e">
        <f>(IF(Tabela1[[#This Row],[Início]]&lt;&gt;"",C1938+E1938-1,""))*1</f>
        <v>#VALUE!</v>
      </c>
      <c r="E1938" s="83"/>
      <c r="F1938" s="83"/>
      <c r="G1938" s="88"/>
      <c r="H1938" s="83" t="str">
        <f>_xlfn.XLOOKUP(Tabela1[[#This Row],[Matrícula]],Equipe!B:B,Equipe!E:E,"ERRO",0)</f>
        <v>ERRO</v>
      </c>
      <c r="I1938" s="83" t="e">
        <f>VLOOKUP(Tabela1[[#This Row],[Matrícula]],Equipe!B:F,5,0)</f>
        <v>#N/A</v>
      </c>
    </row>
    <row r="1939" spans="1:9">
      <c r="A1939" s="83"/>
      <c r="B1939" s="83">
        <f>_xlfn.XLOOKUP(A1939,Equipe!H:H,Equipe!B:B,"",0)</f>
        <v>0</v>
      </c>
      <c r="C1939" s="154"/>
      <c r="D1939" s="150" t="e">
        <f>(IF(Tabela1[[#This Row],[Início]]&lt;&gt;"",C1939+E1939-1,""))*1</f>
        <v>#VALUE!</v>
      </c>
      <c r="E1939" s="83"/>
      <c r="F1939" s="83"/>
      <c r="G1939" s="88"/>
      <c r="H1939" s="83" t="str">
        <f>_xlfn.XLOOKUP(Tabela1[[#This Row],[Matrícula]],Equipe!B:B,Equipe!E:E,"ERRO",0)</f>
        <v>ERRO</v>
      </c>
      <c r="I1939" s="83" t="e">
        <f>VLOOKUP(Tabela1[[#This Row],[Matrícula]],Equipe!B:F,5,0)</f>
        <v>#N/A</v>
      </c>
    </row>
    <row r="1940" spans="1:9">
      <c r="A1940" s="83"/>
      <c r="B1940" s="83">
        <f>_xlfn.XLOOKUP(A1940,Equipe!H:H,Equipe!B:B,"",0)</f>
        <v>0</v>
      </c>
      <c r="C1940" s="154"/>
      <c r="D1940" s="150" t="e">
        <f>(IF(Tabela1[[#This Row],[Início]]&lt;&gt;"",C1940+E1940-1,""))*1</f>
        <v>#VALUE!</v>
      </c>
      <c r="E1940" s="83"/>
      <c r="F1940" s="83"/>
      <c r="G1940" s="88"/>
      <c r="H1940" s="83" t="str">
        <f>_xlfn.XLOOKUP(Tabela1[[#This Row],[Matrícula]],Equipe!B:B,Equipe!E:E,"ERRO",0)</f>
        <v>ERRO</v>
      </c>
      <c r="I1940" s="83" t="e">
        <f>VLOOKUP(Tabela1[[#This Row],[Matrícula]],Equipe!B:F,5,0)</f>
        <v>#N/A</v>
      </c>
    </row>
    <row r="1941" spans="1:9">
      <c r="A1941" s="83"/>
      <c r="B1941" s="83">
        <f>_xlfn.XLOOKUP(A1941,Equipe!H:H,Equipe!B:B,"",0)</f>
        <v>0</v>
      </c>
      <c r="C1941" s="154"/>
      <c r="D1941" s="150" t="e">
        <f>(IF(Tabela1[[#This Row],[Início]]&lt;&gt;"",C1941+E1941-1,""))*1</f>
        <v>#VALUE!</v>
      </c>
      <c r="E1941" s="83"/>
      <c r="F1941" s="83"/>
      <c r="G1941" s="88"/>
      <c r="H1941" s="83" t="str">
        <f>_xlfn.XLOOKUP(Tabela1[[#This Row],[Matrícula]],Equipe!B:B,Equipe!E:E,"ERRO",0)</f>
        <v>ERRO</v>
      </c>
      <c r="I1941" s="83" t="e">
        <f>VLOOKUP(Tabela1[[#This Row],[Matrícula]],Equipe!B:F,5,0)</f>
        <v>#N/A</v>
      </c>
    </row>
    <row r="1942" spans="1:9">
      <c r="A1942" s="83"/>
      <c r="B1942" s="83">
        <f>_xlfn.XLOOKUP(A1942,Equipe!H:H,Equipe!B:B,"",0)</f>
        <v>0</v>
      </c>
      <c r="C1942" s="154"/>
      <c r="D1942" s="150" t="e">
        <f>(IF(Tabela1[[#This Row],[Início]]&lt;&gt;"",C1942+E1942-1,""))*1</f>
        <v>#VALUE!</v>
      </c>
      <c r="E1942" s="83"/>
      <c r="F1942" s="83"/>
      <c r="G1942" s="88"/>
      <c r="H1942" s="83" t="str">
        <f>_xlfn.XLOOKUP(Tabela1[[#This Row],[Matrícula]],Equipe!B:B,Equipe!E:E,"ERRO",0)</f>
        <v>ERRO</v>
      </c>
      <c r="I1942" s="83" t="e">
        <f>VLOOKUP(Tabela1[[#This Row],[Matrícula]],Equipe!B:F,5,0)</f>
        <v>#N/A</v>
      </c>
    </row>
    <row r="1943" spans="1:9">
      <c r="A1943" s="83"/>
      <c r="B1943" s="83">
        <f>_xlfn.XLOOKUP(A1943,Equipe!H:H,Equipe!B:B,"",0)</f>
        <v>0</v>
      </c>
      <c r="C1943" s="154"/>
      <c r="D1943" s="150" t="e">
        <f>(IF(Tabela1[[#This Row],[Início]]&lt;&gt;"",C1943+E1943-1,""))*1</f>
        <v>#VALUE!</v>
      </c>
      <c r="E1943" s="83"/>
      <c r="F1943" s="83"/>
      <c r="G1943" s="88"/>
      <c r="H1943" s="83" t="str">
        <f>_xlfn.XLOOKUP(Tabela1[[#This Row],[Matrícula]],Equipe!B:B,Equipe!E:E,"ERRO",0)</f>
        <v>ERRO</v>
      </c>
      <c r="I1943" s="83" t="e">
        <f>VLOOKUP(Tabela1[[#This Row],[Matrícula]],Equipe!B:F,5,0)</f>
        <v>#N/A</v>
      </c>
    </row>
    <row r="1944" spans="1:9">
      <c r="A1944" s="83"/>
      <c r="B1944" s="83">
        <f>_xlfn.XLOOKUP(A1944,Equipe!H:H,Equipe!B:B,"",0)</f>
        <v>0</v>
      </c>
      <c r="C1944" s="154"/>
      <c r="D1944" s="150" t="e">
        <f>(IF(Tabela1[[#This Row],[Início]]&lt;&gt;"",C1944+E1944-1,""))*1</f>
        <v>#VALUE!</v>
      </c>
      <c r="E1944" s="83"/>
      <c r="F1944" s="83"/>
      <c r="G1944" s="88"/>
      <c r="H1944" s="83" t="str">
        <f>_xlfn.XLOOKUP(Tabela1[[#This Row],[Matrícula]],Equipe!B:B,Equipe!E:E,"ERRO",0)</f>
        <v>ERRO</v>
      </c>
      <c r="I1944" s="83" t="e">
        <f>VLOOKUP(Tabela1[[#This Row],[Matrícula]],Equipe!B:F,5,0)</f>
        <v>#N/A</v>
      </c>
    </row>
    <row r="1945" spans="1:9">
      <c r="A1945" s="83"/>
      <c r="B1945" s="83">
        <f>_xlfn.XLOOKUP(A1945,Equipe!H:H,Equipe!B:B,"",0)</f>
        <v>0</v>
      </c>
      <c r="C1945" s="154"/>
      <c r="D1945" s="150" t="e">
        <f>(IF(Tabela1[[#This Row],[Início]]&lt;&gt;"",C1945+E1945-1,""))*1</f>
        <v>#VALUE!</v>
      </c>
      <c r="E1945" s="83"/>
      <c r="F1945" s="83"/>
      <c r="G1945" s="88"/>
      <c r="H1945" s="83" t="str">
        <f>_xlfn.XLOOKUP(Tabela1[[#This Row],[Matrícula]],Equipe!B:B,Equipe!E:E,"ERRO",0)</f>
        <v>ERRO</v>
      </c>
      <c r="I1945" s="83" t="e">
        <f>VLOOKUP(Tabela1[[#This Row],[Matrícula]],Equipe!B:F,5,0)</f>
        <v>#N/A</v>
      </c>
    </row>
    <row r="1946" spans="1:9">
      <c r="A1946" s="83"/>
      <c r="B1946" s="83">
        <f>_xlfn.XLOOKUP(A1946,Equipe!H:H,Equipe!B:B,"",0)</f>
        <v>0</v>
      </c>
      <c r="C1946" s="154"/>
      <c r="D1946" s="150" t="e">
        <f>(IF(Tabela1[[#This Row],[Início]]&lt;&gt;"",C1946+E1946-1,""))*1</f>
        <v>#VALUE!</v>
      </c>
      <c r="E1946" s="83"/>
      <c r="F1946" s="83"/>
      <c r="G1946" s="88"/>
      <c r="H1946" s="83" t="str">
        <f>_xlfn.XLOOKUP(Tabela1[[#This Row],[Matrícula]],Equipe!B:B,Equipe!E:E,"ERRO",0)</f>
        <v>ERRO</v>
      </c>
      <c r="I1946" s="83" t="e">
        <f>VLOOKUP(Tabela1[[#This Row],[Matrícula]],Equipe!B:F,5,0)</f>
        <v>#N/A</v>
      </c>
    </row>
    <row r="1947" spans="1:9">
      <c r="A1947" s="83"/>
      <c r="B1947" s="83">
        <f>_xlfn.XLOOKUP(A1947,Equipe!H:H,Equipe!B:B,"",0)</f>
        <v>0</v>
      </c>
      <c r="C1947" s="154"/>
      <c r="D1947" s="150" t="e">
        <f>(IF(Tabela1[[#This Row],[Início]]&lt;&gt;"",C1947+E1947-1,""))*1</f>
        <v>#VALUE!</v>
      </c>
      <c r="E1947" s="83"/>
      <c r="F1947" s="83"/>
      <c r="G1947" s="88"/>
      <c r="H1947" s="83" t="str">
        <f>_xlfn.XLOOKUP(Tabela1[[#This Row],[Matrícula]],Equipe!B:B,Equipe!E:E,"ERRO",0)</f>
        <v>ERRO</v>
      </c>
      <c r="I1947" s="83" t="e">
        <f>VLOOKUP(Tabela1[[#This Row],[Matrícula]],Equipe!B:F,5,0)</f>
        <v>#N/A</v>
      </c>
    </row>
    <row r="1948" spans="1:9">
      <c r="A1948" s="83"/>
      <c r="B1948" s="83">
        <f>_xlfn.XLOOKUP(A1948,Equipe!H:H,Equipe!B:B,"",0)</f>
        <v>0</v>
      </c>
      <c r="C1948" s="154"/>
      <c r="D1948" s="150" t="e">
        <f>(IF(Tabela1[[#This Row],[Início]]&lt;&gt;"",C1948+E1948-1,""))*1</f>
        <v>#VALUE!</v>
      </c>
      <c r="E1948" s="83"/>
      <c r="F1948" s="83"/>
      <c r="G1948" s="88"/>
      <c r="H1948" s="83" t="str">
        <f>_xlfn.XLOOKUP(Tabela1[[#This Row],[Matrícula]],Equipe!B:B,Equipe!E:E,"ERRO",0)</f>
        <v>ERRO</v>
      </c>
      <c r="I1948" s="83" t="e">
        <f>VLOOKUP(Tabela1[[#This Row],[Matrícula]],Equipe!B:F,5,0)</f>
        <v>#N/A</v>
      </c>
    </row>
    <row r="1949" spans="1:9">
      <c r="A1949" s="83"/>
      <c r="B1949" s="83">
        <f>_xlfn.XLOOKUP(A1949,Equipe!H:H,Equipe!B:B,"",0)</f>
        <v>0</v>
      </c>
      <c r="C1949" s="154"/>
      <c r="D1949" s="150" t="e">
        <f>(IF(Tabela1[[#This Row],[Início]]&lt;&gt;"",C1949+E1949-1,""))*1</f>
        <v>#VALUE!</v>
      </c>
      <c r="E1949" s="83"/>
      <c r="F1949" s="83"/>
      <c r="G1949" s="88"/>
      <c r="H1949" s="83" t="str">
        <f>_xlfn.XLOOKUP(Tabela1[[#This Row],[Matrícula]],Equipe!B:B,Equipe!E:E,"ERRO",0)</f>
        <v>ERRO</v>
      </c>
      <c r="I1949" s="83" t="e">
        <f>VLOOKUP(Tabela1[[#This Row],[Matrícula]],Equipe!B:F,5,0)</f>
        <v>#N/A</v>
      </c>
    </row>
    <row r="1950" spans="1:9">
      <c r="A1950" s="83"/>
      <c r="B1950" s="83">
        <f>_xlfn.XLOOKUP(A1950,Equipe!H:H,Equipe!B:B,"",0)</f>
        <v>0</v>
      </c>
      <c r="C1950" s="154"/>
      <c r="D1950" s="150" t="e">
        <f>(IF(Tabela1[[#This Row],[Início]]&lt;&gt;"",C1950+E1950-1,""))*1</f>
        <v>#VALUE!</v>
      </c>
      <c r="E1950" s="83"/>
      <c r="F1950" s="83"/>
      <c r="G1950" s="88"/>
      <c r="H1950" s="83" t="str">
        <f>_xlfn.XLOOKUP(Tabela1[[#This Row],[Matrícula]],Equipe!B:B,Equipe!E:E,"ERRO",0)</f>
        <v>ERRO</v>
      </c>
      <c r="I1950" s="83" t="e">
        <f>VLOOKUP(Tabela1[[#This Row],[Matrícula]],Equipe!B:F,5,0)</f>
        <v>#N/A</v>
      </c>
    </row>
    <row r="1951" spans="1:9">
      <c r="A1951" s="83"/>
      <c r="B1951" s="83">
        <f>_xlfn.XLOOKUP(A1951,Equipe!H:H,Equipe!B:B,"",0)</f>
        <v>0</v>
      </c>
      <c r="C1951" s="154"/>
      <c r="D1951" s="150" t="e">
        <f>(IF(Tabela1[[#This Row],[Início]]&lt;&gt;"",C1951+E1951-1,""))*1</f>
        <v>#VALUE!</v>
      </c>
      <c r="E1951" s="83"/>
      <c r="F1951" s="83"/>
      <c r="G1951" s="88"/>
      <c r="H1951" s="83" t="str">
        <f>_xlfn.XLOOKUP(Tabela1[[#This Row],[Matrícula]],Equipe!B:B,Equipe!E:E,"ERRO",0)</f>
        <v>ERRO</v>
      </c>
      <c r="I1951" s="83" t="e">
        <f>VLOOKUP(Tabela1[[#This Row],[Matrícula]],Equipe!B:F,5,0)</f>
        <v>#N/A</v>
      </c>
    </row>
    <row r="1952" spans="1:9">
      <c r="A1952" s="83"/>
      <c r="B1952" s="83">
        <f>_xlfn.XLOOKUP(A1952,Equipe!H:H,Equipe!B:B,"",0)</f>
        <v>0</v>
      </c>
      <c r="C1952" s="154"/>
      <c r="D1952" s="150" t="e">
        <f>(IF(Tabela1[[#This Row],[Início]]&lt;&gt;"",C1952+E1952-1,""))*1</f>
        <v>#VALUE!</v>
      </c>
      <c r="E1952" s="83"/>
      <c r="F1952" s="83"/>
      <c r="G1952" s="88"/>
      <c r="H1952" s="83" t="str">
        <f>_xlfn.XLOOKUP(Tabela1[[#This Row],[Matrícula]],Equipe!B:B,Equipe!E:E,"ERRO",0)</f>
        <v>ERRO</v>
      </c>
      <c r="I1952" s="83" t="e">
        <f>VLOOKUP(Tabela1[[#This Row],[Matrícula]],Equipe!B:F,5,0)</f>
        <v>#N/A</v>
      </c>
    </row>
    <row r="1953" spans="1:9">
      <c r="A1953" s="83"/>
      <c r="B1953" s="83">
        <f>_xlfn.XLOOKUP(A1953,Equipe!H:H,Equipe!B:B,"",0)</f>
        <v>0</v>
      </c>
      <c r="C1953" s="154"/>
      <c r="D1953" s="150" t="e">
        <f>(IF(Tabela1[[#This Row],[Início]]&lt;&gt;"",C1953+E1953-1,""))*1</f>
        <v>#VALUE!</v>
      </c>
      <c r="E1953" s="83"/>
      <c r="F1953" s="83"/>
      <c r="G1953" s="88"/>
      <c r="H1953" s="83" t="str">
        <f>_xlfn.XLOOKUP(Tabela1[[#This Row],[Matrícula]],Equipe!B:B,Equipe!E:E,"ERRO",0)</f>
        <v>ERRO</v>
      </c>
      <c r="I1953" s="83" t="e">
        <f>VLOOKUP(Tabela1[[#This Row],[Matrícula]],Equipe!B:F,5,0)</f>
        <v>#N/A</v>
      </c>
    </row>
    <row r="1954" spans="1:9">
      <c r="A1954" s="83"/>
      <c r="B1954" s="83">
        <f>_xlfn.XLOOKUP(A1954,Equipe!H:H,Equipe!B:B,"",0)</f>
        <v>0</v>
      </c>
      <c r="C1954" s="154"/>
      <c r="D1954" s="150" t="e">
        <f>(IF(Tabela1[[#This Row],[Início]]&lt;&gt;"",C1954+E1954-1,""))*1</f>
        <v>#VALUE!</v>
      </c>
      <c r="E1954" s="83"/>
      <c r="F1954" s="83"/>
      <c r="G1954" s="88"/>
      <c r="H1954" s="83" t="str">
        <f>_xlfn.XLOOKUP(Tabela1[[#This Row],[Matrícula]],Equipe!B:B,Equipe!E:E,"ERRO",0)</f>
        <v>ERRO</v>
      </c>
      <c r="I1954" s="83" t="e">
        <f>VLOOKUP(Tabela1[[#This Row],[Matrícula]],Equipe!B:F,5,0)</f>
        <v>#N/A</v>
      </c>
    </row>
    <row r="1955" spans="1:9">
      <c r="A1955" s="83"/>
      <c r="B1955" s="83">
        <f>_xlfn.XLOOKUP(A1955,Equipe!H:H,Equipe!B:B,"",0)</f>
        <v>0</v>
      </c>
      <c r="C1955" s="154"/>
      <c r="D1955" s="150" t="e">
        <f>(IF(Tabela1[[#This Row],[Início]]&lt;&gt;"",C1955+E1955-1,""))*1</f>
        <v>#VALUE!</v>
      </c>
      <c r="E1955" s="83"/>
      <c r="F1955" s="83"/>
      <c r="G1955" s="88"/>
      <c r="H1955" s="83" t="str">
        <f>_xlfn.XLOOKUP(Tabela1[[#This Row],[Matrícula]],Equipe!B:B,Equipe!E:E,"ERRO",0)</f>
        <v>ERRO</v>
      </c>
      <c r="I1955" s="83" t="e">
        <f>VLOOKUP(Tabela1[[#This Row],[Matrícula]],Equipe!B:F,5,0)</f>
        <v>#N/A</v>
      </c>
    </row>
    <row r="1956" spans="1:9">
      <c r="A1956" s="83"/>
      <c r="B1956" s="83">
        <f>_xlfn.XLOOKUP(A1956,Equipe!H:H,Equipe!B:B,"",0)</f>
        <v>0</v>
      </c>
      <c r="C1956" s="154"/>
      <c r="D1956" s="150" t="e">
        <f>(IF(Tabela1[[#This Row],[Início]]&lt;&gt;"",C1956+E1956-1,""))*1</f>
        <v>#VALUE!</v>
      </c>
      <c r="E1956" s="83"/>
      <c r="F1956" s="83"/>
      <c r="G1956" s="88"/>
      <c r="H1956" s="83" t="str">
        <f>_xlfn.XLOOKUP(Tabela1[[#This Row],[Matrícula]],Equipe!B:B,Equipe!E:E,"ERRO",0)</f>
        <v>ERRO</v>
      </c>
      <c r="I1956" s="83" t="e">
        <f>VLOOKUP(Tabela1[[#This Row],[Matrícula]],Equipe!B:F,5,0)</f>
        <v>#N/A</v>
      </c>
    </row>
    <row r="1957" spans="1:9">
      <c r="A1957" s="83"/>
      <c r="B1957" s="83">
        <f>_xlfn.XLOOKUP(A1957,Equipe!H:H,Equipe!B:B,"",0)</f>
        <v>0</v>
      </c>
      <c r="C1957" s="154"/>
      <c r="D1957" s="150" t="e">
        <f>(IF(Tabela1[[#This Row],[Início]]&lt;&gt;"",C1957+E1957-1,""))*1</f>
        <v>#VALUE!</v>
      </c>
      <c r="E1957" s="83"/>
      <c r="F1957" s="83"/>
      <c r="G1957" s="88"/>
      <c r="H1957" s="83" t="str">
        <f>_xlfn.XLOOKUP(Tabela1[[#This Row],[Matrícula]],Equipe!B:B,Equipe!E:E,"ERRO",0)</f>
        <v>ERRO</v>
      </c>
      <c r="I1957" s="83" t="e">
        <f>VLOOKUP(Tabela1[[#This Row],[Matrícula]],Equipe!B:F,5,0)</f>
        <v>#N/A</v>
      </c>
    </row>
    <row r="1958" spans="1:9">
      <c r="A1958" s="83"/>
      <c r="B1958" s="83">
        <f>_xlfn.XLOOKUP(A1958,Equipe!H:H,Equipe!B:B,"",0)</f>
        <v>0</v>
      </c>
      <c r="C1958" s="154"/>
      <c r="D1958" s="150" t="e">
        <f>(IF(Tabela1[[#This Row],[Início]]&lt;&gt;"",C1958+E1958-1,""))*1</f>
        <v>#VALUE!</v>
      </c>
      <c r="E1958" s="83"/>
      <c r="F1958" s="83"/>
      <c r="G1958" s="88"/>
      <c r="H1958" s="83" t="str">
        <f>_xlfn.XLOOKUP(Tabela1[[#This Row],[Matrícula]],Equipe!B:B,Equipe!E:E,"ERRO",0)</f>
        <v>ERRO</v>
      </c>
      <c r="I1958" s="83" t="e">
        <f>VLOOKUP(Tabela1[[#This Row],[Matrícula]],Equipe!B:F,5,0)</f>
        <v>#N/A</v>
      </c>
    </row>
    <row r="1959" spans="1:9">
      <c r="A1959" s="83"/>
      <c r="B1959" s="83">
        <f>_xlfn.XLOOKUP(A1959,Equipe!H:H,Equipe!B:B,"",0)</f>
        <v>0</v>
      </c>
      <c r="C1959" s="154"/>
      <c r="D1959" s="150" t="e">
        <f>(IF(Tabela1[[#This Row],[Início]]&lt;&gt;"",C1959+E1959-1,""))*1</f>
        <v>#VALUE!</v>
      </c>
      <c r="E1959" s="83"/>
      <c r="F1959" s="83"/>
      <c r="G1959" s="88"/>
      <c r="H1959" s="83" t="str">
        <f>_xlfn.XLOOKUP(Tabela1[[#This Row],[Matrícula]],Equipe!B:B,Equipe!E:E,"ERRO",0)</f>
        <v>ERRO</v>
      </c>
      <c r="I1959" s="83" t="e">
        <f>VLOOKUP(Tabela1[[#This Row],[Matrícula]],Equipe!B:F,5,0)</f>
        <v>#N/A</v>
      </c>
    </row>
    <row r="1960" spans="1:9">
      <c r="A1960" s="83"/>
      <c r="B1960" s="83">
        <f>_xlfn.XLOOKUP(A1960,Equipe!H:H,Equipe!B:B,"",0)</f>
        <v>0</v>
      </c>
      <c r="C1960" s="154"/>
      <c r="D1960" s="150" t="e">
        <f>(IF(Tabela1[[#This Row],[Início]]&lt;&gt;"",C1960+E1960-1,""))*1</f>
        <v>#VALUE!</v>
      </c>
      <c r="E1960" s="83"/>
      <c r="F1960" s="83"/>
      <c r="G1960" s="88"/>
      <c r="H1960" s="83" t="str">
        <f>_xlfn.XLOOKUP(Tabela1[[#This Row],[Matrícula]],Equipe!B:B,Equipe!E:E,"ERRO",0)</f>
        <v>ERRO</v>
      </c>
      <c r="I1960" s="83" t="e">
        <f>VLOOKUP(Tabela1[[#This Row],[Matrícula]],Equipe!B:F,5,0)</f>
        <v>#N/A</v>
      </c>
    </row>
    <row r="1961" spans="1:9">
      <c r="A1961" s="83"/>
      <c r="B1961" s="83">
        <f>_xlfn.XLOOKUP(A1961,Equipe!H:H,Equipe!B:B,"",0)</f>
        <v>0</v>
      </c>
      <c r="C1961" s="154"/>
      <c r="D1961" s="150" t="e">
        <f>(IF(Tabela1[[#This Row],[Início]]&lt;&gt;"",C1961+E1961-1,""))*1</f>
        <v>#VALUE!</v>
      </c>
      <c r="E1961" s="83"/>
      <c r="F1961" s="83"/>
      <c r="G1961" s="88"/>
      <c r="H1961" s="83" t="str">
        <f>_xlfn.XLOOKUP(Tabela1[[#This Row],[Matrícula]],Equipe!B:B,Equipe!E:E,"ERRO",0)</f>
        <v>ERRO</v>
      </c>
      <c r="I1961" s="83" t="e">
        <f>VLOOKUP(Tabela1[[#This Row],[Matrícula]],Equipe!B:F,5,0)</f>
        <v>#N/A</v>
      </c>
    </row>
    <row r="1962" spans="1:9">
      <c r="A1962" s="83"/>
      <c r="B1962" s="83">
        <f>_xlfn.XLOOKUP(A1962,Equipe!H:H,Equipe!B:B,"",0)</f>
        <v>0</v>
      </c>
      <c r="C1962" s="154"/>
      <c r="D1962" s="150" t="e">
        <f>(IF(Tabela1[[#This Row],[Início]]&lt;&gt;"",C1962+E1962-1,""))*1</f>
        <v>#VALUE!</v>
      </c>
      <c r="E1962" s="83"/>
      <c r="F1962" s="83"/>
      <c r="G1962" s="88"/>
      <c r="H1962" s="83" t="str">
        <f>_xlfn.XLOOKUP(Tabela1[[#This Row],[Matrícula]],Equipe!B:B,Equipe!E:E,"ERRO",0)</f>
        <v>ERRO</v>
      </c>
      <c r="I1962" s="83" t="e">
        <f>VLOOKUP(Tabela1[[#This Row],[Matrícula]],Equipe!B:F,5,0)</f>
        <v>#N/A</v>
      </c>
    </row>
    <row r="1963" spans="1:9">
      <c r="A1963" s="83"/>
      <c r="B1963" s="83">
        <f>_xlfn.XLOOKUP(A1963,Equipe!H:H,Equipe!B:B,"",0)</f>
        <v>0</v>
      </c>
      <c r="C1963" s="154"/>
      <c r="D1963" s="150" t="e">
        <f>(IF(Tabela1[[#This Row],[Início]]&lt;&gt;"",C1963+E1963-1,""))*1</f>
        <v>#VALUE!</v>
      </c>
      <c r="E1963" s="83"/>
      <c r="F1963" s="83"/>
      <c r="G1963" s="88"/>
      <c r="H1963" s="83" t="str">
        <f>_xlfn.XLOOKUP(Tabela1[[#This Row],[Matrícula]],Equipe!B:B,Equipe!E:E,"ERRO",0)</f>
        <v>ERRO</v>
      </c>
      <c r="I1963" s="83" t="e">
        <f>VLOOKUP(Tabela1[[#This Row],[Matrícula]],Equipe!B:F,5,0)</f>
        <v>#N/A</v>
      </c>
    </row>
    <row r="1964" spans="1:9">
      <c r="A1964" s="83"/>
      <c r="B1964" s="83">
        <f>_xlfn.XLOOKUP(A1964,Equipe!H:H,Equipe!B:B,"",0)</f>
        <v>0</v>
      </c>
      <c r="C1964" s="154"/>
      <c r="D1964" s="150" t="e">
        <f>(IF(Tabela1[[#This Row],[Início]]&lt;&gt;"",C1964+E1964-1,""))*1</f>
        <v>#VALUE!</v>
      </c>
      <c r="E1964" s="83"/>
      <c r="F1964" s="83"/>
      <c r="G1964" s="88"/>
      <c r="H1964" s="83" t="str">
        <f>_xlfn.XLOOKUP(Tabela1[[#This Row],[Matrícula]],Equipe!B:B,Equipe!E:E,"ERRO",0)</f>
        <v>ERRO</v>
      </c>
      <c r="I1964" s="83" t="e">
        <f>VLOOKUP(Tabela1[[#This Row],[Matrícula]],Equipe!B:F,5,0)</f>
        <v>#N/A</v>
      </c>
    </row>
    <row r="1965" spans="1:9">
      <c r="A1965" s="83"/>
      <c r="B1965" s="83">
        <f>_xlfn.XLOOKUP(A1965,Equipe!H:H,Equipe!B:B,"",0)</f>
        <v>0</v>
      </c>
      <c r="C1965" s="154"/>
      <c r="D1965" s="150" t="e">
        <f>(IF(Tabela1[[#This Row],[Início]]&lt;&gt;"",C1965+E1965-1,""))*1</f>
        <v>#VALUE!</v>
      </c>
      <c r="E1965" s="83"/>
      <c r="F1965" s="83"/>
      <c r="G1965" s="88"/>
      <c r="H1965" s="83" t="str">
        <f>_xlfn.XLOOKUP(Tabela1[[#This Row],[Matrícula]],Equipe!B:B,Equipe!E:E,"ERRO",0)</f>
        <v>ERRO</v>
      </c>
      <c r="I1965" s="83" t="e">
        <f>VLOOKUP(Tabela1[[#This Row],[Matrícula]],Equipe!B:F,5,0)</f>
        <v>#N/A</v>
      </c>
    </row>
    <row r="1966" spans="1:9">
      <c r="A1966" s="83"/>
      <c r="B1966" s="83">
        <f>_xlfn.XLOOKUP(A1966,Equipe!H:H,Equipe!B:B,"",0)</f>
        <v>0</v>
      </c>
      <c r="C1966" s="154"/>
      <c r="D1966" s="150" t="e">
        <f>(IF(Tabela1[[#This Row],[Início]]&lt;&gt;"",C1966+E1966-1,""))*1</f>
        <v>#VALUE!</v>
      </c>
      <c r="E1966" s="83"/>
      <c r="F1966" s="83"/>
      <c r="G1966" s="88"/>
      <c r="H1966" s="83" t="str">
        <f>_xlfn.XLOOKUP(Tabela1[[#This Row],[Matrícula]],Equipe!B:B,Equipe!E:E,"ERRO",0)</f>
        <v>ERRO</v>
      </c>
      <c r="I1966" s="83" t="e">
        <f>VLOOKUP(Tabela1[[#This Row],[Matrícula]],Equipe!B:F,5,0)</f>
        <v>#N/A</v>
      </c>
    </row>
    <row r="1967" spans="1:9">
      <c r="A1967" s="83"/>
      <c r="B1967" s="83">
        <f>_xlfn.XLOOKUP(A1967,Equipe!H:H,Equipe!B:B,"",0)</f>
        <v>0</v>
      </c>
      <c r="C1967" s="154"/>
      <c r="D1967" s="150" t="e">
        <f>(IF(Tabela1[[#This Row],[Início]]&lt;&gt;"",C1967+E1967-1,""))*1</f>
        <v>#VALUE!</v>
      </c>
      <c r="E1967" s="83"/>
      <c r="F1967" s="83"/>
      <c r="G1967" s="88"/>
      <c r="H1967" s="83" t="str">
        <f>_xlfn.XLOOKUP(Tabela1[[#This Row],[Matrícula]],Equipe!B:B,Equipe!E:E,"ERRO",0)</f>
        <v>ERRO</v>
      </c>
      <c r="I1967" s="83" t="e">
        <f>VLOOKUP(Tabela1[[#This Row],[Matrícula]],Equipe!B:F,5,0)</f>
        <v>#N/A</v>
      </c>
    </row>
    <row r="1968" spans="1:9">
      <c r="A1968" s="83"/>
      <c r="B1968" s="83">
        <f>_xlfn.XLOOKUP(A1968,Equipe!H:H,Equipe!B:B,"",0)</f>
        <v>0</v>
      </c>
      <c r="C1968" s="154"/>
      <c r="D1968" s="150" t="e">
        <f>(IF(Tabela1[[#This Row],[Início]]&lt;&gt;"",C1968+E1968-1,""))*1</f>
        <v>#VALUE!</v>
      </c>
      <c r="E1968" s="83"/>
      <c r="F1968" s="83"/>
      <c r="G1968" s="88"/>
      <c r="H1968" s="83" t="str">
        <f>_xlfn.XLOOKUP(Tabela1[[#This Row],[Matrícula]],Equipe!B:B,Equipe!E:E,"ERRO",0)</f>
        <v>ERRO</v>
      </c>
      <c r="I1968" s="83" t="e">
        <f>VLOOKUP(Tabela1[[#This Row],[Matrícula]],Equipe!B:F,5,0)</f>
        <v>#N/A</v>
      </c>
    </row>
    <row r="1969" spans="1:9">
      <c r="A1969" s="83"/>
      <c r="B1969" s="83">
        <f>_xlfn.XLOOKUP(A1969,Equipe!H:H,Equipe!B:B,"",0)</f>
        <v>0</v>
      </c>
      <c r="C1969" s="154"/>
      <c r="D1969" s="150" t="e">
        <f>(IF(Tabela1[[#This Row],[Início]]&lt;&gt;"",C1969+E1969-1,""))*1</f>
        <v>#VALUE!</v>
      </c>
      <c r="E1969" s="83"/>
      <c r="F1969" s="83"/>
      <c r="G1969" s="88"/>
      <c r="H1969" s="83" t="str">
        <f>_xlfn.XLOOKUP(Tabela1[[#This Row],[Matrícula]],Equipe!B:B,Equipe!E:E,"ERRO",0)</f>
        <v>ERRO</v>
      </c>
      <c r="I1969" s="83" t="e">
        <f>VLOOKUP(Tabela1[[#This Row],[Matrícula]],Equipe!B:F,5,0)</f>
        <v>#N/A</v>
      </c>
    </row>
    <row r="1970" spans="1:9">
      <c r="A1970" s="83"/>
      <c r="B1970" s="83">
        <f>_xlfn.XLOOKUP(A1970,Equipe!H:H,Equipe!B:B,"",0)</f>
        <v>0</v>
      </c>
      <c r="C1970" s="154"/>
      <c r="D1970" s="150" t="e">
        <f>(IF(Tabela1[[#This Row],[Início]]&lt;&gt;"",C1970+E1970-1,""))*1</f>
        <v>#VALUE!</v>
      </c>
      <c r="E1970" s="83"/>
      <c r="F1970" s="83"/>
      <c r="G1970" s="88"/>
      <c r="H1970" s="83" t="str">
        <f>_xlfn.XLOOKUP(Tabela1[[#This Row],[Matrícula]],Equipe!B:B,Equipe!E:E,"ERRO",0)</f>
        <v>ERRO</v>
      </c>
      <c r="I1970" s="83" t="e">
        <f>VLOOKUP(Tabela1[[#This Row],[Matrícula]],Equipe!B:F,5,0)</f>
        <v>#N/A</v>
      </c>
    </row>
    <row r="1971" spans="1:9">
      <c r="A1971" s="83"/>
      <c r="B1971" s="83">
        <f>_xlfn.XLOOKUP(A1971,Equipe!H:H,Equipe!B:B,"",0)</f>
        <v>0</v>
      </c>
      <c r="C1971" s="154"/>
      <c r="D1971" s="150" t="e">
        <f>(IF(Tabela1[[#This Row],[Início]]&lt;&gt;"",C1971+E1971-1,""))*1</f>
        <v>#VALUE!</v>
      </c>
      <c r="E1971" s="83"/>
      <c r="F1971" s="83"/>
      <c r="G1971" s="88"/>
      <c r="H1971" s="83" t="str">
        <f>_xlfn.XLOOKUP(Tabela1[[#This Row],[Matrícula]],Equipe!B:B,Equipe!E:E,"ERRO",0)</f>
        <v>ERRO</v>
      </c>
      <c r="I1971" s="83" t="e">
        <f>VLOOKUP(Tabela1[[#This Row],[Matrícula]],Equipe!B:F,5,0)</f>
        <v>#N/A</v>
      </c>
    </row>
    <row r="1972" spans="1:9">
      <c r="A1972" s="83"/>
      <c r="B1972" s="83">
        <f>_xlfn.XLOOKUP(A1972,Equipe!H:H,Equipe!B:B,"",0)</f>
        <v>0</v>
      </c>
      <c r="C1972" s="154"/>
      <c r="D1972" s="150" t="e">
        <f>(IF(Tabela1[[#This Row],[Início]]&lt;&gt;"",C1972+E1972-1,""))*1</f>
        <v>#VALUE!</v>
      </c>
      <c r="E1972" s="83"/>
      <c r="F1972" s="83"/>
      <c r="G1972" s="88"/>
      <c r="H1972" s="83" t="str">
        <f>_xlfn.XLOOKUP(Tabela1[[#This Row],[Matrícula]],Equipe!B:B,Equipe!E:E,"ERRO",0)</f>
        <v>ERRO</v>
      </c>
      <c r="I1972" s="83" t="e">
        <f>VLOOKUP(Tabela1[[#This Row],[Matrícula]],Equipe!B:F,5,0)</f>
        <v>#N/A</v>
      </c>
    </row>
    <row r="1973" spans="1:9">
      <c r="A1973" s="83"/>
      <c r="B1973" s="83">
        <f>_xlfn.XLOOKUP(A1973,Equipe!H:H,Equipe!B:B,"",0)</f>
        <v>0</v>
      </c>
      <c r="C1973" s="154"/>
      <c r="D1973" s="150" t="e">
        <f>(IF(Tabela1[[#This Row],[Início]]&lt;&gt;"",C1973+E1973-1,""))*1</f>
        <v>#VALUE!</v>
      </c>
      <c r="E1973" s="83"/>
      <c r="F1973" s="83"/>
      <c r="G1973" s="88"/>
      <c r="H1973" s="83" t="str">
        <f>_xlfn.XLOOKUP(Tabela1[[#This Row],[Matrícula]],Equipe!B:B,Equipe!E:E,"ERRO",0)</f>
        <v>ERRO</v>
      </c>
      <c r="I1973" s="83" t="e">
        <f>VLOOKUP(Tabela1[[#This Row],[Matrícula]],Equipe!B:F,5,0)</f>
        <v>#N/A</v>
      </c>
    </row>
    <row r="1974" spans="1:9">
      <c r="A1974" s="83"/>
      <c r="B1974" s="83">
        <f>_xlfn.XLOOKUP(A1974,Equipe!H:H,Equipe!B:B,"",0)</f>
        <v>0</v>
      </c>
      <c r="C1974" s="154"/>
      <c r="D1974" s="150" t="e">
        <f>(IF(Tabela1[[#This Row],[Início]]&lt;&gt;"",C1974+E1974-1,""))*1</f>
        <v>#VALUE!</v>
      </c>
      <c r="E1974" s="83"/>
      <c r="F1974" s="83"/>
      <c r="G1974" s="88"/>
      <c r="H1974" s="83" t="str">
        <f>_xlfn.XLOOKUP(Tabela1[[#This Row],[Matrícula]],Equipe!B:B,Equipe!E:E,"ERRO",0)</f>
        <v>ERRO</v>
      </c>
      <c r="I1974" s="83" t="e">
        <f>VLOOKUP(Tabela1[[#This Row],[Matrícula]],Equipe!B:F,5,0)</f>
        <v>#N/A</v>
      </c>
    </row>
    <row r="1975" spans="1:9">
      <c r="A1975" s="83"/>
      <c r="B1975" s="83">
        <f>_xlfn.XLOOKUP(A1975,Equipe!H:H,Equipe!B:B,"",0)</f>
        <v>0</v>
      </c>
      <c r="C1975" s="154"/>
      <c r="D1975" s="150" t="e">
        <f>(IF(Tabela1[[#This Row],[Início]]&lt;&gt;"",C1975+E1975-1,""))*1</f>
        <v>#VALUE!</v>
      </c>
      <c r="E1975" s="83"/>
      <c r="F1975" s="83"/>
      <c r="G1975" s="88"/>
      <c r="H1975" s="83" t="str">
        <f>_xlfn.XLOOKUP(Tabela1[[#This Row],[Matrícula]],Equipe!B:B,Equipe!E:E,"ERRO",0)</f>
        <v>ERRO</v>
      </c>
      <c r="I1975" s="83" t="e">
        <f>VLOOKUP(Tabela1[[#This Row],[Matrícula]],Equipe!B:F,5,0)</f>
        <v>#N/A</v>
      </c>
    </row>
    <row r="1976" spans="1:9">
      <c r="A1976" s="83"/>
      <c r="B1976" s="83">
        <f>_xlfn.XLOOKUP(A1976,Equipe!H:H,Equipe!B:B,"",0)</f>
        <v>0</v>
      </c>
      <c r="C1976" s="154"/>
      <c r="D1976" s="150" t="e">
        <f>(IF(Tabela1[[#This Row],[Início]]&lt;&gt;"",C1976+E1976-1,""))*1</f>
        <v>#VALUE!</v>
      </c>
      <c r="E1976" s="83"/>
      <c r="F1976" s="83"/>
      <c r="G1976" s="88"/>
      <c r="H1976" s="83" t="str">
        <f>_xlfn.XLOOKUP(Tabela1[[#This Row],[Matrícula]],Equipe!B:B,Equipe!E:E,"ERRO",0)</f>
        <v>ERRO</v>
      </c>
      <c r="I1976" s="83" t="e">
        <f>VLOOKUP(Tabela1[[#This Row],[Matrícula]],Equipe!B:F,5,0)</f>
        <v>#N/A</v>
      </c>
    </row>
    <row r="1977" spans="1:9">
      <c r="A1977" s="83"/>
      <c r="B1977" s="83">
        <f>_xlfn.XLOOKUP(A1977,Equipe!H:H,Equipe!B:B,"",0)</f>
        <v>0</v>
      </c>
      <c r="C1977" s="154"/>
      <c r="D1977" s="150" t="e">
        <f>(IF(Tabela1[[#This Row],[Início]]&lt;&gt;"",C1977+E1977-1,""))*1</f>
        <v>#VALUE!</v>
      </c>
      <c r="E1977" s="83"/>
      <c r="F1977" s="83"/>
      <c r="G1977" s="88"/>
      <c r="H1977" s="83" t="str">
        <f>_xlfn.XLOOKUP(Tabela1[[#This Row],[Matrícula]],Equipe!B:B,Equipe!E:E,"ERRO",0)</f>
        <v>ERRO</v>
      </c>
      <c r="I1977" s="83" t="e">
        <f>VLOOKUP(Tabela1[[#This Row],[Matrícula]],Equipe!B:F,5,0)</f>
        <v>#N/A</v>
      </c>
    </row>
    <row r="1978" spans="1:9">
      <c r="A1978" s="83"/>
      <c r="B1978" s="83">
        <f>_xlfn.XLOOKUP(A1978,Equipe!H:H,Equipe!B:B,"",0)</f>
        <v>0</v>
      </c>
      <c r="C1978" s="154"/>
      <c r="D1978" s="150" t="e">
        <f>(IF(Tabela1[[#This Row],[Início]]&lt;&gt;"",C1978+E1978-1,""))*1</f>
        <v>#VALUE!</v>
      </c>
      <c r="E1978" s="83"/>
      <c r="F1978" s="83"/>
      <c r="G1978" s="88"/>
      <c r="H1978" s="83" t="str">
        <f>_xlfn.XLOOKUP(Tabela1[[#This Row],[Matrícula]],Equipe!B:B,Equipe!E:E,"ERRO",0)</f>
        <v>ERRO</v>
      </c>
      <c r="I1978" s="83" t="e">
        <f>VLOOKUP(Tabela1[[#This Row],[Matrícula]],Equipe!B:F,5,0)</f>
        <v>#N/A</v>
      </c>
    </row>
    <row r="1979" spans="1:9">
      <c r="A1979" s="83"/>
      <c r="B1979" s="83">
        <f>_xlfn.XLOOKUP(A1979,Equipe!H:H,Equipe!B:B,"",0)</f>
        <v>0</v>
      </c>
      <c r="C1979" s="154"/>
      <c r="D1979" s="150" t="e">
        <f>(IF(Tabela1[[#This Row],[Início]]&lt;&gt;"",C1979+E1979-1,""))*1</f>
        <v>#VALUE!</v>
      </c>
      <c r="E1979" s="83"/>
      <c r="F1979" s="83"/>
      <c r="G1979" s="88"/>
      <c r="H1979" s="83" t="str">
        <f>_xlfn.XLOOKUP(Tabela1[[#This Row],[Matrícula]],Equipe!B:B,Equipe!E:E,"ERRO",0)</f>
        <v>ERRO</v>
      </c>
      <c r="I1979" s="83" t="e">
        <f>VLOOKUP(Tabela1[[#This Row],[Matrícula]],Equipe!B:F,5,0)</f>
        <v>#N/A</v>
      </c>
    </row>
    <row r="1980" spans="1:9">
      <c r="A1980" s="83"/>
      <c r="B1980" s="83">
        <f>_xlfn.XLOOKUP(A1980,Equipe!H:H,Equipe!B:B,"",0)</f>
        <v>0</v>
      </c>
      <c r="C1980" s="154"/>
      <c r="D1980" s="150" t="e">
        <f>(IF(Tabela1[[#This Row],[Início]]&lt;&gt;"",C1980+E1980-1,""))*1</f>
        <v>#VALUE!</v>
      </c>
      <c r="E1980" s="83"/>
      <c r="F1980" s="83"/>
      <c r="G1980" s="88"/>
      <c r="H1980" s="83" t="str">
        <f>_xlfn.XLOOKUP(Tabela1[[#This Row],[Matrícula]],Equipe!B:B,Equipe!E:E,"ERRO",0)</f>
        <v>ERRO</v>
      </c>
      <c r="I1980" s="83" t="e">
        <f>VLOOKUP(Tabela1[[#This Row],[Matrícula]],Equipe!B:F,5,0)</f>
        <v>#N/A</v>
      </c>
    </row>
    <row r="1981" spans="1:9">
      <c r="A1981" s="83"/>
      <c r="B1981" s="83">
        <f>_xlfn.XLOOKUP(A1981,Equipe!H:H,Equipe!B:B,"",0)</f>
        <v>0</v>
      </c>
      <c r="C1981" s="154"/>
      <c r="D1981" s="150" t="e">
        <f>(IF(Tabela1[[#This Row],[Início]]&lt;&gt;"",C1981+E1981-1,""))*1</f>
        <v>#VALUE!</v>
      </c>
      <c r="E1981" s="83"/>
      <c r="F1981" s="83"/>
      <c r="G1981" s="88"/>
      <c r="H1981" s="83" t="str">
        <f>_xlfn.XLOOKUP(Tabela1[[#This Row],[Matrícula]],Equipe!B:B,Equipe!E:E,"ERRO",0)</f>
        <v>ERRO</v>
      </c>
      <c r="I1981" s="83" t="e">
        <f>VLOOKUP(Tabela1[[#This Row],[Matrícula]],Equipe!B:F,5,0)</f>
        <v>#N/A</v>
      </c>
    </row>
    <row r="1982" spans="1:9">
      <c r="A1982" s="83"/>
      <c r="B1982" s="83">
        <f>_xlfn.XLOOKUP(A1982,Equipe!H:H,Equipe!B:B,"",0)</f>
        <v>0</v>
      </c>
      <c r="C1982" s="154"/>
      <c r="D1982" s="150" t="e">
        <f>(IF(Tabela1[[#This Row],[Início]]&lt;&gt;"",C1982+E1982-1,""))*1</f>
        <v>#VALUE!</v>
      </c>
      <c r="E1982" s="83"/>
      <c r="F1982" s="83"/>
      <c r="G1982" s="88"/>
      <c r="H1982" s="83" t="str">
        <f>_xlfn.XLOOKUP(Tabela1[[#This Row],[Matrícula]],Equipe!B:B,Equipe!E:E,"ERRO",0)</f>
        <v>ERRO</v>
      </c>
      <c r="I1982" s="83" t="e">
        <f>VLOOKUP(Tabela1[[#This Row],[Matrícula]],Equipe!B:F,5,0)</f>
        <v>#N/A</v>
      </c>
    </row>
    <row r="1983" spans="1:9">
      <c r="A1983" s="83"/>
      <c r="B1983" s="83">
        <f>_xlfn.XLOOKUP(A1983,Equipe!H:H,Equipe!B:B,"",0)</f>
        <v>0</v>
      </c>
      <c r="C1983" s="154"/>
      <c r="D1983" s="150" t="e">
        <f>(IF(Tabela1[[#This Row],[Início]]&lt;&gt;"",C1983+E1983-1,""))*1</f>
        <v>#VALUE!</v>
      </c>
      <c r="E1983" s="83"/>
      <c r="F1983" s="83"/>
      <c r="G1983" s="88"/>
      <c r="H1983" s="83" t="str">
        <f>_xlfn.XLOOKUP(Tabela1[[#This Row],[Matrícula]],Equipe!B:B,Equipe!E:E,"ERRO",0)</f>
        <v>ERRO</v>
      </c>
      <c r="I1983" s="83" t="e">
        <f>VLOOKUP(Tabela1[[#This Row],[Matrícula]],Equipe!B:F,5,0)</f>
        <v>#N/A</v>
      </c>
    </row>
    <row r="1984" spans="1:9">
      <c r="A1984" s="83"/>
      <c r="B1984" s="83">
        <f>_xlfn.XLOOKUP(A1984,Equipe!H:H,Equipe!B:B,"",0)</f>
        <v>0</v>
      </c>
      <c r="C1984" s="154"/>
      <c r="D1984" s="150" t="e">
        <f>(IF(Tabela1[[#This Row],[Início]]&lt;&gt;"",C1984+E1984-1,""))*1</f>
        <v>#VALUE!</v>
      </c>
      <c r="E1984" s="83"/>
      <c r="F1984" s="83"/>
      <c r="G1984" s="88"/>
      <c r="H1984" s="83" t="str">
        <f>_xlfn.XLOOKUP(Tabela1[[#This Row],[Matrícula]],Equipe!B:B,Equipe!E:E,"ERRO",0)</f>
        <v>ERRO</v>
      </c>
      <c r="I1984" s="83" t="e">
        <f>VLOOKUP(Tabela1[[#This Row],[Matrícula]],Equipe!B:F,5,0)</f>
        <v>#N/A</v>
      </c>
    </row>
    <row r="1985" spans="1:9">
      <c r="A1985" s="83"/>
      <c r="B1985" s="83">
        <f>_xlfn.XLOOKUP(A1985,Equipe!H:H,Equipe!B:B,"",0)</f>
        <v>0</v>
      </c>
      <c r="C1985" s="154"/>
      <c r="D1985" s="150" t="e">
        <f>(IF(Tabela1[[#This Row],[Início]]&lt;&gt;"",C1985+E1985-1,""))*1</f>
        <v>#VALUE!</v>
      </c>
      <c r="E1985" s="83"/>
      <c r="F1985" s="83"/>
      <c r="G1985" s="88"/>
      <c r="H1985" s="83" t="str">
        <f>_xlfn.XLOOKUP(Tabela1[[#This Row],[Matrícula]],Equipe!B:B,Equipe!E:E,"ERRO",0)</f>
        <v>ERRO</v>
      </c>
      <c r="I1985" s="83" t="e">
        <f>VLOOKUP(Tabela1[[#This Row],[Matrícula]],Equipe!B:F,5,0)</f>
        <v>#N/A</v>
      </c>
    </row>
    <row r="1986" spans="1:9">
      <c r="A1986" s="83"/>
      <c r="B1986" s="83">
        <f>_xlfn.XLOOKUP(A1986,Equipe!H:H,Equipe!B:B,"",0)</f>
        <v>0</v>
      </c>
      <c r="C1986" s="154"/>
      <c r="D1986" s="150" t="e">
        <f>(IF(Tabela1[[#This Row],[Início]]&lt;&gt;"",C1986+E1986-1,""))*1</f>
        <v>#VALUE!</v>
      </c>
      <c r="E1986" s="83"/>
      <c r="F1986" s="83"/>
      <c r="G1986" s="88"/>
      <c r="H1986" s="83" t="str">
        <f>_xlfn.XLOOKUP(Tabela1[[#This Row],[Matrícula]],Equipe!B:B,Equipe!E:E,"ERRO",0)</f>
        <v>ERRO</v>
      </c>
      <c r="I1986" s="83" t="e">
        <f>VLOOKUP(Tabela1[[#This Row],[Matrícula]],Equipe!B:F,5,0)</f>
        <v>#N/A</v>
      </c>
    </row>
    <row r="1987" spans="1:9">
      <c r="A1987" s="83"/>
      <c r="B1987" s="83">
        <f>_xlfn.XLOOKUP(A1987,Equipe!H:H,Equipe!B:B,"",0)</f>
        <v>0</v>
      </c>
      <c r="C1987" s="154"/>
      <c r="D1987" s="150" t="e">
        <f>(IF(Tabela1[[#This Row],[Início]]&lt;&gt;"",C1987+E1987-1,""))*1</f>
        <v>#VALUE!</v>
      </c>
      <c r="E1987" s="83"/>
      <c r="F1987" s="83"/>
      <c r="G1987" s="88"/>
      <c r="H1987" s="83" t="str">
        <f>_xlfn.XLOOKUP(Tabela1[[#This Row],[Matrícula]],Equipe!B:B,Equipe!E:E,"ERRO",0)</f>
        <v>ERRO</v>
      </c>
      <c r="I1987" s="83" t="e">
        <f>VLOOKUP(Tabela1[[#This Row],[Matrícula]],Equipe!B:F,5,0)</f>
        <v>#N/A</v>
      </c>
    </row>
    <row r="1988" spans="1:9">
      <c r="A1988" s="83"/>
      <c r="B1988" s="83">
        <f>_xlfn.XLOOKUP(A1988,Equipe!H:H,Equipe!B:B,"",0)</f>
        <v>0</v>
      </c>
      <c r="C1988" s="154"/>
      <c r="D1988" s="150" t="e">
        <f>(IF(Tabela1[[#This Row],[Início]]&lt;&gt;"",C1988+E1988-1,""))*1</f>
        <v>#VALUE!</v>
      </c>
      <c r="E1988" s="83"/>
      <c r="F1988" s="83"/>
      <c r="G1988" s="88"/>
      <c r="H1988" s="83" t="str">
        <f>_xlfn.XLOOKUP(Tabela1[[#This Row],[Matrícula]],Equipe!B:B,Equipe!E:E,"ERRO",0)</f>
        <v>ERRO</v>
      </c>
      <c r="I1988" s="83" t="e">
        <f>VLOOKUP(Tabela1[[#This Row],[Matrícula]],Equipe!B:F,5,0)</f>
        <v>#N/A</v>
      </c>
    </row>
    <row r="1989" spans="1:9">
      <c r="A1989" s="83"/>
      <c r="B1989" s="83">
        <f>_xlfn.XLOOKUP(A1989,Equipe!H:H,Equipe!B:B,"",0)</f>
        <v>0</v>
      </c>
      <c r="C1989" s="154"/>
      <c r="D1989" s="150" t="e">
        <f>(IF(Tabela1[[#This Row],[Início]]&lt;&gt;"",C1989+E1989-1,""))*1</f>
        <v>#VALUE!</v>
      </c>
      <c r="E1989" s="83"/>
      <c r="F1989" s="83"/>
      <c r="G1989" s="88"/>
      <c r="H1989" s="83" t="str">
        <f>_xlfn.XLOOKUP(Tabela1[[#This Row],[Matrícula]],Equipe!B:B,Equipe!E:E,"ERRO",0)</f>
        <v>ERRO</v>
      </c>
      <c r="I1989" s="83" t="e">
        <f>VLOOKUP(Tabela1[[#This Row],[Matrícula]],Equipe!B:F,5,0)</f>
        <v>#N/A</v>
      </c>
    </row>
    <row r="1990" spans="1:9">
      <c r="A1990" s="83"/>
      <c r="B1990" s="83">
        <f>_xlfn.XLOOKUP(A1990,Equipe!H:H,Equipe!B:B,"",0)</f>
        <v>0</v>
      </c>
      <c r="C1990" s="154"/>
      <c r="D1990" s="150" t="e">
        <f>(IF(Tabela1[[#This Row],[Início]]&lt;&gt;"",C1990+E1990-1,""))*1</f>
        <v>#VALUE!</v>
      </c>
      <c r="E1990" s="83"/>
      <c r="F1990" s="83"/>
      <c r="G1990" s="88"/>
      <c r="H1990" s="83" t="str">
        <f>_xlfn.XLOOKUP(Tabela1[[#This Row],[Matrícula]],Equipe!B:B,Equipe!E:E,"ERRO",0)</f>
        <v>ERRO</v>
      </c>
      <c r="I1990" s="83" t="e">
        <f>VLOOKUP(Tabela1[[#This Row],[Matrícula]],Equipe!B:F,5,0)</f>
        <v>#N/A</v>
      </c>
    </row>
    <row r="1991" spans="1:9">
      <c r="A1991" s="83"/>
      <c r="B1991" s="83">
        <f>_xlfn.XLOOKUP(A1991,Equipe!H:H,Equipe!B:B,"",0)</f>
        <v>0</v>
      </c>
      <c r="C1991" s="154"/>
      <c r="D1991" s="150" t="e">
        <f>(IF(Tabela1[[#This Row],[Início]]&lt;&gt;"",C1991+E1991-1,""))*1</f>
        <v>#VALUE!</v>
      </c>
      <c r="E1991" s="83"/>
      <c r="F1991" s="83"/>
      <c r="G1991" s="88"/>
      <c r="H1991" s="83" t="str">
        <f>_xlfn.XLOOKUP(Tabela1[[#This Row],[Matrícula]],Equipe!B:B,Equipe!E:E,"ERRO",0)</f>
        <v>ERRO</v>
      </c>
      <c r="I1991" s="83" t="e">
        <f>VLOOKUP(Tabela1[[#This Row],[Matrícula]],Equipe!B:F,5,0)</f>
        <v>#N/A</v>
      </c>
    </row>
    <row r="1992" spans="1:9">
      <c r="A1992" s="83"/>
      <c r="B1992" s="83">
        <f>_xlfn.XLOOKUP(A1992,Equipe!H:H,Equipe!B:B,"",0)</f>
        <v>0</v>
      </c>
      <c r="C1992" s="154"/>
      <c r="D1992" s="150" t="e">
        <f>(IF(Tabela1[[#This Row],[Início]]&lt;&gt;"",C1992+E1992-1,""))*1</f>
        <v>#VALUE!</v>
      </c>
      <c r="E1992" s="83"/>
      <c r="F1992" s="83"/>
      <c r="G1992" s="88"/>
      <c r="H1992" s="83" t="str">
        <f>_xlfn.XLOOKUP(Tabela1[[#This Row],[Matrícula]],Equipe!B:B,Equipe!E:E,"ERRO",0)</f>
        <v>ERRO</v>
      </c>
      <c r="I1992" s="83" t="e">
        <f>VLOOKUP(Tabela1[[#This Row],[Matrícula]],Equipe!B:F,5,0)</f>
        <v>#N/A</v>
      </c>
    </row>
    <row r="1993" spans="1:9">
      <c r="A1993" s="83"/>
      <c r="B1993" s="83">
        <f>_xlfn.XLOOKUP(A1993,Equipe!H:H,Equipe!B:B,"",0)</f>
        <v>0</v>
      </c>
      <c r="C1993" s="154"/>
      <c r="D1993" s="150" t="e">
        <f>(IF(Tabela1[[#This Row],[Início]]&lt;&gt;"",C1993+E1993-1,""))*1</f>
        <v>#VALUE!</v>
      </c>
      <c r="E1993" s="83"/>
      <c r="F1993" s="83"/>
      <c r="G1993" s="88"/>
      <c r="H1993" s="83" t="str">
        <f>_xlfn.XLOOKUP(Tabela1[[#This Row],[Matrícula]],Equipe!B:B,Equipe!E:E,"ERRO",0)</f>
        <v>ERRO</v>
      </c>
      <c r="I1993" s="83" t="e">
        <f>VLOOKUP(Tabela1[[#This Row],[Matrícula]],Equipe!B:F,5,0)</f>
        <v>#N/A</v>
      </c>
    </row>
    <row r="1994" spans="1:9">
      <c r="A1994" s="83"/>
      <c r="B1994" s="83">
        <f>_xlfn.XLOOKUP(A1994,Equipe!H:H,Equipe!B:B,"",0)</f>
        <v>0</v>
      </c>
      <c r="C1994" s="154"/>
      <c r="D1994" s="150" t="e">
        <f>(IF(Tabela1[[#This Row],[Início]]&lt;&gt;"",C1994+E1994-1,""))*1</f>
        <v>#VALUE!</v>
      </c>
      <c r="E1994" s="83"/>
      <c r="F1994" s="83"/>
      <c r="G1994" s="88"/>
      <c r="H1994" s="83" t="str">
        <f>_xlfn.XLOOKUP(Tabela1[[#This Row],[Matrícula]],Equipe!B:B,Equipe!E:E,"ERRO",0)</f>
        <v>ERRO</v>
      </c>
      <c r="I1994" s="83" t="e">
        <f>VLOOKUP(Tabela1[[#This Row],[Matrícula]],Equipe!B:F,5,0)</f>
        <v>#N/A</v>
      </c>
    </row>
    <row r="1995" spans="1:9">
      <c r="A1995" s="83"/>
      <c r="B1995" s="83">
        <f>_xlfn.XLOOKUP(A1995,Equipe!H:H,Equipe!B:B,"",0)</f>
        <v>0</v>
      </c>
      <c r="C1995" s="154"/>
      <c r="D1995" s="150" t="e">
        <f>(IF(Tabela1[[#This Row],[Início]]&lt;&gt;"",C1995+E1995-1,""))*1</f>
        <v>#VALUE!</v>
      </c>
      <c r="E1995" s="83"/>
      <c r="F1995" s="83"/>
      <c r="G1995" s="88"/>
      <c r="H1995" s="83" t="str">
        <f>_xlfn.XLOOKUP(Tabela1[[#This Row],[Matrícula]],Equipe!B:B,Equipe!E:E,"ERRO",0)</f>
        <v>ERRO</v>
      </c>
      <c r="I1995" s="83" t="e">
        <f>VLOOKUP(Tabela1[[#This Row],[Matrícula]],Equipe!B:F,5,0)</f>
        <v>#N/A</v>
      </c>
    </row>
    <row r="1996" spans="1:9">
      <c r="A1996" s="83"/>
      <c r="B1996" s="83">
        <f>_xlfn.XLOOKUP(A1996,Equipe!H:H,Equipe!B:B,"",0)</f>
        <v>0</v>
      </c>
      <c r="C1996" s="154"/>
      <c r="D1996" s="150" t="e">
        <f>(IF(Tabela1[[#This Row],[Início]]&lt;&gt;"",C1996+E1996-1,""))*1</f>
        <v>#VALUE!</v>
      </c>
      <c r="E1996" s="83"/>
      <c r="F1996" s="83"/>
      <c r="G1996" s="88"/>
      <c r="H1996" s="83" t="str">
        <f>_xlfn.XLOOKUP(Tabela1[[#This Row],[Matrícula]],Equipe!B:B,Equipe!E:E,"ERRO",0)</f>
        <v>ERRO</v>
      </c>
      <c r="I1996" s="83" t="e">
        <f>VLOOKUP(Tabela1[[#This Row],[Matrícula]],Equipe!B:F,5,0)</f>
        <v>#N/A</v>
      </c>
    </row>
    <row r="1997" spans="1:9">
      <c r="A1997" s="83"/>
      <c r="B1997" s="83">
        <f>_xlfn.XLOOKUP(A1997,Equipe!H:H,Equipe!B:B,"",0)</f>
        <v>0</v>
      </c>
      <c r="C1997" s="154"/>
      <c r="D1997" s="150" t="e">
        <f>(IF(Tabela1[[#This Row],[Início]]&lt;&gt;"",C1997+E1997-1,""))*1</f>
        <v>#VALUE!</v>
      </c>
      <c r="E1997" s="83"/>
      <c r="F1997" s="83"/>
      <c r="G1997" s="88"/>
      <c r="H1997" s="83" t="str">
        <f>_xlfn.XLOOKUP(Tabela1[[#This Row],[Matrícula]],Equipe!B:B,Equipe!E:E,"ERRO",0)</f>
        <v>ERRO</v>
      </c>
      <c r="I1997" s="83" t="e">
        <f>VLOOKUP(Tabela1[[#This Row],[Matrícula]],Equipe!B:F,5,0)</f>
        <v>#N/A</v>
      </c>
    </row>
    <row r="1998" spans="1:9">
      <c r="A1998" s="83"/>
      <c r="B1998" s="83">
        <f>_xlfn.XLOOKUP(A1998,Equipe!H:H,Equipe!B:B,"",0)</f>
        <v>0</v>
      </c>
      <c r="C1998" s="154"/>
      <c r="D1998" s="150" t="e">
        <f>(IF(Tabela1[[#This Row],[Início]]&lt;&gt;"",C1998+E1998-1,""))*1</f>
        <v>#VALUE!</v>
      </c>
      <c r="E1998" s="83"/>
      <c r="F1998" s="83"/>
      <c r="G1998" s="88"/>
      <c r="H1998" s="83" t="str">
        <f>_xlfn.XLOOKUP(Tabela1[[#This Row],[Matrícula]],Equipe!B:B,Equipe!E:E,"ERRO",0)</f>
        <v>ERRO</v>
      </c>
      <c r="I1998" s="83" t="e">
        <f>VLOOKUP(Tabela1[[#This Row],[Matrícula]],Equipe!B:F,5,0)</f>
        <v>#N/A</v>
      </c>
    </row>
    <row r="1999" spans="1:9">
      <c r="A1999" s="83"/>
      <c r="B1999" s="83">
        <f>_xlfn.XLOOKUP(A1999,Equipe!H:H,Equipe!B:B,"",0)</f>
        <v>0</v>
      </c>
      <c r="C1999" s="154"/>
      <c r="D1999" s="150" t="e">
        <f>(IF(Tabela1[[#This Row],[Início]]&lt;&gt;"",C1999+E1999-1,""))*1</f>
        <v>#VALUE!</v>
      </c>
      <c r="E1999" s="83"/>
      <c r="F1999" s="83"/>
      <c r="G1999" s="88"/>
      <c r="H1999" s="83" t="str">
        <f>_xlfn.XLOOKUP(Tabela1[[#This Row],[Matrícula]],Equipe!B:B,Equipe!E:E,"ERRO",0)</f>
        <v>ERRO</v>
      </c>
      <c r="I1999" s="83" t="e">
        <f>VLOOKUP(Tabela1[[#This Row],[Matrícula]],Equipe!B:F,5,0)</f>
        <v>#N/A</v>
      </c>
    </row>
    <row r="2000" spans="1:9">
      <c r="A2000" s="83"/>
      <c r="B2000" s="83">
        <f>_xlfn.XLOOKUP(A2000,Equipe!H:H,Equipe!B:B,"",0)</f>
        <v>0</v>
      </c>
      <c r="C2000" s="154"/>
      <c r="D2000" s="150" t="e">
        <f>(IF(Tabela1[[#This Row],[Início]]&lt;&gt;"",C2000+E2000-1,""))*1</f>
        <v>#VALUE!</v>
      </c>
      <c r="E2000" s="83"/>
      <c r="F2000" s="83"/>
      <c r="G2000" s="88"/>
      <c r="H2000" s="83" t="str">
        <f>_xlfn.XLOOKUP(Tabela1[[#This Row],[Matrícula]],Equipe!B:B,Equipe!E:E,"ERRO",0)</f>
        <v>ERRO</v>
      </c>
      <c r="I2000" s="83" t="e">
        <f>VLOOKUP(Tabela1[[#This Row],[Matrícula]],Equipe!B:F,5,0)</f>
        <v>#N/A</v>
      </c>
    </row>
    <row r="2001" spans="1:9">
      <c r="A2001" s="83"/>
      <c r="B2001" s="83">
        <f>_xlfn.XLOOKUP(A2001,Equipe!H:H,Equipe!B:B,"",0)</f>
        <v>0</v>
      </c>
      <c r="C2001" s="154"/>
      <c r="D2001" s="150" t="e">
        <f>(IF(Tabela1[[#This Row],[Início]]&lt;&gt;"",C2001+E2001-1,""))*1</f>
        <v>#VALUE!</v>
      </c>
      <c r="E2001" s="83"/>
      <c r="F2001" s="83"/>
      <c r="G2001" s="88"/>
      <c r="H2001" s="83" t="str">
        <f>_xlfn.XLOOKUP(Tabela1[[#This Row],[Matrícula]],Equipe!B:B,Equipe!E:E,"ERRO",0)</f>
        <v>ERRO</v>
      </c>
      <c r="I2001" s="83" t="e">
        <f>VLOOKUP(Tabela1[[#This Row],[Matrícula]],Equipe!B:F,5,0)</f>
        <v>#N/A</v>
      </c>
    </row>
    <row r="2002" spans="1:9">
      <c r="A2002" s="83"/>
      <c r="B2002" s="83">
        <f>_xlfn.XLOOKUP(A2002,Equipe!H:H,Equipe!B:B,"",0)</f>
        <v>0</v>
      </c>
      <c r="C2002" s="154"/>
      <c r="D2002" s="150" t="e">
        <f>(IF(Tabela1[[#This Row],[Início]]&lt;&gt;"",C2002+E2002-1,""))*1</f>
        <v>#VALUE!</v>
      </c>
      <c r="E2002" s="83"/>
      <c r="F2002" s="83"/>
      <c r="G2002" s="88"/>
      <c r="H2002" s="83" t="str">
        <f>_xlfn.XLOOKUP(Tabela1[[#This Row],[Matrícula]],Equipe!B:B,Equipe!E:E,"ERRO",0)</f>
        <v>ERRO</v>
      </c>
      <c r="I2002" s="83" t="e">
        <f>VLOOKUP(Tabela1[[#This Row],[Matrícula]],Equipe!B:F,5,0)</f>
        <v>#N/A</v>
      </c>
    </row>
    <row r="2003" spans="1:9">
      <c r="A2003" s="120"/>
      <c r="B2003" s="120">
        <f>_xlfn.XLOOKUP(A2003,Equipe!H:H,Equipe!B:B,"",0)</f>
        <v>0</v>
      </c>
      <c r="C2003" s="156"/>
      <c r="D2003" s="150" t="e">
        <f>(IF(Tabela1[[#This Row],[Início]]&lt;&gt;"",C2003+E2003-1,""))*1</f>
        <v>#VALUE!</v>
      </c>
      <c r="E2003" s="120"/>
      <c r="F2003" s="120"/>
      <c r="G2003" s="121"/>
      <c r="H2003" s="120" t="str">
        <f>_xlfn.XLOOKUP(Tabela1[[#This Row],[Matrícula]],Equipe!B:B,Equipe!E:E,"ERRO",0)</f>
        <v>ERRO</v>
      </c>
      <c r="I2003" s="120" t="e">
        <f>VLOOKUP(Tabela1[[#This Row],[Matrícula]],Equipe!B:F,5,0)</f>
        <v>#N/A</v>
      </c>
    </row>
    <row r="2004" spans="1:9">
      <c r="A2004" s="120"/>
      <c r="B2004" s="120">
        <f>_xlfn.XLOOKUP(A2004,Equipe!H:H,Equipe!B:B,"",0)</f>
        <v>0</v>
      </c>
      <c r="C2004" s="156"/>
      <c r="D2004" s="150" t="e">
        <f>(IF(Tabela1[[#This Row],[Início]]&lt;&gt;"",C2004+E2004-1,""))*1</f>
        <v>#VALUE!</v>
      </c>
      <c r="E2004" s="120"/>
      <c r="F2004" s="120"/>
      <c r="G2004" s="121"/>
      <c r="H2004" s="120" t="s">
        <v>539</v>
      </c>
      <c r="I2004" s="120" t="e">
        <f>VLOOKUP(Tabela1[[#This Row],[Matrícula]],Equipe!B:F,5,0)</f>
        <v>#N/A</v>
      </c>
    </row>
    <row r="2005" spans="1:9" hidden="1">
      <c r="A2005" s="120" t="s">
        <v>46</v>
      </c>
      <c r="B2005" s="109">
        <f>_xlfn.XLOOKUP(A2005,Equipe!H:H,Equipe!B:B,"",0)</f>
        <v>4608411</v>
      </c>
      <c r="C2005" s="156">
        <v>46258</v>
      </c>
      <c r="D2005" s="153">
        <v>46260</v>
      </c>
      <c r="E2005" s="120">
        <v>3</v>
      </c>
      <c r="F2005" s="120" t="s">
        <v>11</v>
      </c>
      <c r="G2005" s="121" t="s">
        <v>576</v>
      </c>
      <c r="H2005" s="120" t="str">
        <f>_xlfn.XLOOKUP(Tabela1[[#This Row],[Matrícula]],Equipe!B:B,Equipe!E:E,"ERRO",0)</f>
        <v>P83</v>
      </c>
      <c r="I2005" s="120" t="str">
        <f>VLOOKUP(Tabela1[[#This Row],[Matrícula]],Equipe!B:F,5,0)</f>
        <v>Novo</v>
      </c>
    </row>
    <row r="2006" spans="1:9">
      <c r="A2006" s="83" t="s">
        <v>22</v>
      </c>
      <c r="B2006" s="83">
        <f>_xlfn.XLOOKUP(A2006,Equipe!H:H,Equipe!B:B,"",0)</f>
        <v>4608389</v>
      </c>
      <c r="C2006" s="154">
        <v>46275</v>
      </c>
      <c r="D2006" s="150">
        <v>46276</v>
      </c>
      <c r="E2006" s="83">
        <v>1</v>
      </c>
      <c r="F2006" s="83" t="s">
        <v>11</v>
      </c>
      <c r="G2006" t="s">
        <v>595</v>
      </c>
      <c r="H2006" s="83" t="str">
        <f>_xlfn.XLOOKUP(Tabela1[[#This Row],[Matrícula]],Equipe!B:B,Equipe!E:E,"ERRO",0)</f>
        <v>P80</v>
      </c>
      <c r="I2006" s="83" t="str">
        <f>VLOOKUP(Tabela1[[#This Row],[Matrícula]],Equipe!B:F,5,0)</f>
        <v>Novo</v>
      </c>
    </row>
  </sheetData>
  <phoneticPr fontId="29" type="noConversion"/>
  <conditionalFormatting sqref="A905:A909 C905:C909 A910:C910 E910:G910 D912:D913 A913:B914 D914:G914 D915:D916 A942:A955 D971:D993 D995:D996 D998:D2004">
    <cfRule type="cellIs" dxfId="125" priority="53" operator="equal">
      <formula>"ESTALEIRO"</formula>
    </cfRule>
  </conditionalFormatting>
  <conditionalFormatting sqref="A960:A961">
    <cfRule type="cellIs" dxfId="124" priority="10" operator="equal">
      <formula>"ESTALEIRO"</formula>
    </cfRule>
  </conditionalFormatting>
  <conditionalFormatting sqref="A963">
    <cfRule type="cellIs" dxfId="123" priority="9" operator="equal">
      <formula>"ESTALEIRO"</formula>
    </cfRule>
  </conditionalFormatting>
  <conditionalFormatting sqref="A969:A971">
    <cfRule type="cellIs" dxfId="122" priority="5" operator="equal">
      <formula>"ESTALEIRO"</formula>
    </cfRule>
  </conditionalFormatting>
  <conditionalFormatting sqref="A973">
    <cfRule type="cellIs" dxfId="121" priority="4" operator="equal">
      <formula>"ESTALEIRO"</formula>
    </cfRule>
  </conditionalFormatting>
  <conditionalFormatting sqref="A981">
    <cfRule type="cellIs" dxfId="120" priority="2" operator="equal">
      <formula>"ESTALEIRO"</formula>
    </cfRule>
  </conditionalFormatting>
  <conditionalFormatting sqref="A904:C904 B905:B909">
    <cfRule type="cellIs" dxfId="119" priority="71" operator="equal">
      <formula>"ESTALEIRO"</formula>
    </cfRule>
  </conditionalFormatting>
  <conditionalFormatting sqref="A903:D903 I903">
    <cfRule type="cellIs" dxfId="118" priority="65" operator="equal">
      <formula>"ESTALEIRO"</formula>
    </cfRule>
  </conditionalFormatting>
  <conditionalFormatting sqref="A1:XFD1">
    <cfRule type="cellIs" dxfId="117" priority="88" operator="equal">
      <formula>"ESTALEIRO"</formula>
    </cfRule>
  </conditionalFormatting>
  <conditionalFormatting sqref="C913:C914">
    <cfRule type="cellIs" dxfId="116" priority="48" operator="equal">
      <formula>"ESTALEIRO"</formula>
    </cfRule>
  </conditionalFormatting>
  <conditionalFormatting sqref="D935:D938">
    <cfRule type="cellIs" dxfId="115" priority="28" operator="equal">
      <formula>"ESTALEIRO"</formula>
    </cfRule>
  </conditionalFormatting>
  <conditionalFormatting sqref="D940:D965 D969">
    <cfRule type="cellIs" dxfId="114" priority="16" operator="equal">
      <formula>"ESTALEIRO"</formula>
    </cfRule>
  </conditionalFormatting>
  <conditionalFormatting sqref="D928:F929">
    <cfRule type="cellIs" dxfId="113" priority="36" operator="equal">
      <formula>"ESTALEIRO"</formula>
    </cfRule>
  </conditionalFormatting>
  <conditionalFormatting sqref="D904:G909 D910">
    <cfRule type="cellIs" dxfId="112" priority="59" operator="equal">
      <formula>"ESTALEIRO"</formula>
    </cfRule>
  </conditionalFormatting>
  <conditionalFormatting sqref="E903:H903">
    <cfRule type="cellIs" dxfId="111" priority="66" operator="equal">
      <formula>"ESTALEIRO"</formula>
    </cfRule>
  </conditionalFormatting>
  <conditionalFormatting sqref="F2:F902 H2:H902 J2:XFD902 A912:C912 E912:G913">
    <cfRule type="cellIs" dxfId="110" priority="50" operator="equal">
      <formula>"ESTALEIRO"</formula>
    </cfRule>
  </conditionalFormatting>
  <conditionalFormatting sqref="F921:F927">
    <cfRule type="cellIs" dxfId="109" priority="41" operator="equal">
      <formula>"ESTALEIRO"</formula>
    </cfRule>
  </conditionalFormatting>
  <conditionalFormatting sqref="F934:F935 F2006">
    <cfRule type="cellIs" dxfId="108" priority="24" operator="equal">
      <formula>"ESTALEIRO"</formula>
    </cfRule>
  </conditionalFormatting>
  <conditionalFormatting sqref="F937:F938">
    <cfRule type="cellIs" dxfId="107" priority="22" operator="equal">
      <formula>"ESTALEIRO"</formula>
    </cfRule>
  </conditionalFormatting>
  <conditionalFormatting sqref="F940:F973">
    <cfRule type="cellIs" dxfId="106" priority="6" operator="equal">
      <formula>"ESTALEIRO"</formula>
    </cfRule>
  </conditionalFormatting>
  <conditionalFormatting sqref="F975:F981">
    <cfRule type="cellIs" dxfId="105" priority="3" operator="equal">
      <formula>"ESTALEIRO"</formula>
    </cfRule>
  </conditionalFormatting>
  <conditionalFormatting sqref="G928:G933">
    <cfRule type="cellIs" dxfId="104" priority="35" operator="equal">
      <formula>"ESTALEIRO"</formula>
    </cfRule>
  </conditionalFormatting>
  <conditionalFormatting sqref="G939">
    <cfRule type="cellIs" dxfId="103" priority="20" operator="equal">
      <formula>"ESTALEIRO"</formula>
    </cfRule>
  </conditionalFormatting>
  <conditionalFormatting sqref="G2004">
    <cfRule type="cellIs" dxfId="102" priority="21" operator="equal">
      <formula>"ESTALEIRO"</formula>
    </cfRule>
  </conditionalFormatting>
  <conditionalFormatting sqref="H921:H927 H934">
    <cfRule type="cellIs" dxfId="101" priority="40" operator="equal">
      <formula>"ESTALEIRO"</formula>
    </cfRule>
  </conditionalFormatting>
  <conditionalFormatting sqref="H966:H968">
    <cfRule type="cellIs" dxfId="100" priority="8" operator="equal">
      <formula>"ESTALEIRO"</formula>
    </cfRule>
  </conditionalFormatting>
  <dataValidations count="2">
    <dataValidation type="list" allowBlank="1" showInputMessage="1" showErrorMessage="1" sqref="F912:F914 F923:F929 F2:F910 F921 F934:F935 F937:F938 F940:F973 F2006 F975:F981" xr:uid="{156E15E9-23E7-431B-9B12-A26E3B0A7469}">
      <formula1>#REF!</formula1>
    </dataValidation>
    <dataValidation type="date" allowBlank="1" showInputMessage="1" showErrorMessage="1" sqref="C904:C910 C912:C914" xr:uid="{5C1113F0-7A8D-468B-8799-E8BF7EFDC262}">
      <formula1>45658</formula1>
      <formula2>47484</formula2>
    </dataValidation>
  </dataValidations>
  <printOptions horizontalCentered="1"/>
  <pageMargins left="0.35" right="0.35" top="0.35" bottom="0.5" header="0.3" footer="0.3"/>
  <pageSetup paperSize="9" scale="61" fitToHeight="0" orientation="landscape" r:id="rId1"/>
  <headerFooter differentFirst="1" scaleWithDoc="0">
    <oddFooter>&amp;L_x000D_&amp;1#&amp;"Trebuchet MS"&amp;9&amp;K008542 INTERNA</oddFooter>
    <firstFooter>&amp;L_x000D_&amp;1#&amp;"Trebuchet MS"&amp;9&amp;K008542 INTERNA</firstFooter>
  </headerFooter>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317D2C0B-2A7B-4719-83E8-C2EBB7FA9A39}">
          <x14:formula1>
            <xm:f>Equipe!$H$2:$H$131</xm:f>
          </x14:formula1>
          <xm:sqref>A903:A910 A912:A914 A942:A955 A960:A961 A963 A969:A971 A973 A981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7050E-64A9-4D4E-9848-F5B88D189F79}">
  <sheetPr filterMode="1"/>
  <dimension ref="A1:J25"/>
  <sheetViews>
    <sheetView workbookViewId="0">
      <selection activeCell="H40" sqref="H40"/>
    </sheetView>
  </sheetViews>
  <sheetFormatPr defaultRowHeight="14.45"/>
  <cols>
    <col min="2" max="2" width="8.85546875" bestFit="1" customWidth="1"/>
    <col min="3" max="3" width="5.85546875" bestFit="1" customWidth="1"/>
    <col min="4" max="4" width="6.85546875" bestFit="1" customWidth="1"/>
    <col min="5" max="5" width="7.140625" bestFit="1" customWidth="1"/>
    <col min="6" max="6" width="10.42578125" bestFit="1" customWidth="1"/>
    <col min="7" max="7" width="20" bestFit="1" customWidth="1"/>
    <col min="8" max="8" width="35.7109375" bestFit="1" customWidth="1"/>
    <col min="9" max="9" width="33.42578125" style="5" customWidth="1"/>
    <col min="10" max="10" width="11.140625" style="5" bestFit="1" customWidth="1"/>
  </cols>
  <sheetData>
    <row r="1" spans="1:10">
      <c r="A1" s="97" t="s">
        <v>596</v>
      </c>
      <c r="B1" s="140" t="s">
        <v>1</v>
      </c>
      <c r="C1" s="140" t="s">
        <v>597</v>
      </c>
      <c r="D1" s="140" t="s">
        <v>598</v>
      </c>
      <c r="E1" s="141" t="s">
        <v>599</v>
      </c>
      <c r="F1" s="141" t="s">
        <v>8</v>
      </c>
      <c r="G1" s="97" t="s">
        <v>600</v>
      </c>
      <c r="H1" s="140" t="s">
        <v>601</v>
      </c>
      <c r="I1" s="139" t="s">
        <v>602</v>
      </c>
      <c r="J1" s="82" t="s">
        <v>603</v>
      </c>
    </row>
    <row r="2" spans="1:10" hidden="1">
      <c r="A2" s="142" t="s">
        <v>604</v>
      </c>
      <c r="B2" s="94">
        <v>4612171</v>
      </c>
      <c r="C2" s="94" t="s">
        <v>605</v>
      </c>
      <c r="D2" s="94" t="s">
        <v>606</v>
      </c>
      <c r="E2" s="80" t="s">
        <v>539</v>
      </c>
      <c r="F2" s="96" t="s">
        <v>490</v>
      </c>
      <c r="G2" s="87" t="s">
        <v>116</v>
      </c>
      <c r="H2" s="160" t="s">
        <v>607</v>
      </c>
      <c r="I2" s="159" t="s">
        <v>608</v>
      </c>
      <c r="J2" s="166">
        <v>46296</v>
      </c>
    </row>
    <row r="3" spans="1:10" hidden="1">
      <c r="A3" s="142" t="s">
        <v>604</v>
      </c>
      <c r="B3" s="94">
        <v>4612050</v>
      </c>
      <c r="C3" s="94" t="s">
        <v>609</v>
      </c>
      <c r="D3" s="94" t="s">
        <v>606</v>
      </c>
      <c r="E3" s="80" t="s">
        <v>489</v>
      </c>
      <c r="F3" s="96" t="s">
        <v>490</v>
      </c>
      <c r="G3" s="87" t="s">
        <v>106</v>
      </c>
      <c r="H3" s="160" t="s">
        <v>610</v>
      </c>
      <c r="I3" s="159" t="s">
        <v>608</v>
      </c>
      <c r="J3" s="166">
        <v>46174</v>
      </c>
    </row>
    <row r="4" spans="1:10" hidden="1">
      <c r="A4" s="142" t="s">
        <v>604</v>
      </c>
      <c r="B4" s="94">
        <v>4612140</v>
      </c>
      <c r="C4" s="94" t="s">
        <v>611</v>
      </c>
      <c r="D4" s="94" t="s">
        <v>606</v>
      </c>
      <c r="E4" s="80" t="s">
        <v>294</v>
      </c>
      <c r="F4" s="96" t="s">
        <v>490</v>
      </c>
      <c r="G4" s="87" t="s">
        <v>114</v>
      </c>
      <c r="H4" s="160" t="s">
        <v>612</v>
      </c>
      <c r="I4" s="159" t="s">
        <v>608</v>
      </c>
      <c r="J4" s="166">
        <v>46296</v>
      </c>
    </row>
    <row r="5" spans="1:10" hidden="1">
      <c r="A5" s="142" t="s">
        <v>613</v>
      </c>
      <c r="B5" s="94">
        <v>4608389</v>
      </c>
      <c r="C5" s="94" t="s">
        <v>614</v>
      </c>
      <c r="D5" s="94" t="s">
        <v>606</v>
      </c>
      <c r="E5" s="80" t="s">
        <v>539</v>
      </c>
      <c r="F5" s="96" t="s">
        <v>490</v>
      </c>
      <c r="G5" s="87" t="s">
        <v>22</v>
      </c>
      <c r="H5" s="160" t="s">
        <v>615</v>
      </c>
      <c r="I5" s="159" t="s">
        <v>608</v>
      </c>
      <c r="J5" s="166">
        <v>46296</v>
      </c>
    </row>
    <row r="6" spans="1:10">
      <c r="A6" s="142" t="s">
        <v>613</v>
      </c>
      <c r="B6" s="94">
        <v>4612098</v>
      </c>
      <c r="C6" s="94" t="s">
        <v>616</v>
      </c>
      <c r="D6" s="94" t="s">
        <v>606</v>
      </c>
      <c r="E6" s="80" t="s">
        <v>539</v>
      </c>
      <c r="F6" s="96" t="s">
        <v>490</v>
      </c>
      <c r="G6" s="87" t="s">
        <v>104</v>
      </c>
      <c r="H6" s="161" t="s">
        <v>617</v>
      </c>
      <c r="I6" s="159" t="s">
        <v>608</v>
      </c>
      <c r="J6" s="166">
        <v>46235</v>
      </c>
    </row>
    <row r="7" spans="1:10" hidden="1">
      <c r="A7" s="143" t="s">
        <v>613</v>
      </c>
      <c r="B7" s="94">
        <v>4612126</v>
      </c>
      <c r="C7" s="94" t="s">
        <v>618</v>
      </c>
      <c r="D7" s="94" t="s">
        <v>606</v>
      </c>
      <c r="E7" s="80" t="s">
        <v>489</v>
      </c>
      <c r="F7" s="80" t="s">
        <v>490</v>
      </c>
      <c r="G7" s="165" t="s">
        <v>111</v>
      </c>
      <c r="H7" s="137" t="s">
        <v>619</v>
      </c>
      <c r="I7" s="144" t="s">
        <v>620</v>
      </c>
      <c r="J7" s="5" t="s">
        <v>621</v>
      </c>
    </row>
    <row r="8" spans="1:10" hidden="1">
      <c r="A8" s="142" t="s">
        <v>613</v>
      </c>
      <c r="B8" s="94">
        <v>4613176</v>
      </c>
      <c r="C8" s="94" t="s">
        <v>622</v>
      </c>
      <c r="D8" s="94" t="s">
        <v>606</v>
      </c>
      <c r="E8" s="80" t="s">
        <v>489</v>
      </c>
      <c r="F8" s="96" t="s">
        <v>490</v>
      </c>
      <c r="G8" s="87" t="s">
        <v>331</v>
      </c>
      <c r="H8" s="161" t="s">
        <v>623</v>
      </c>
      <c r="I8" s="159" t="s">
        <v>608</v>
      </c>
      <c r="J8" s="166">
        <v>46235</v>
      </c>
    </row>
    <row r="9" spans="1:10" hidden="1">
      <c r="A9" s="142" t="s">
        <v>613</v>
      </c>
      <c r="B9" s="94">
        <v>4613186</v>
      </c>
      <c r="C9" s="94" t="s">
        <v>624</v>
      </c>
      <c r="D9" s="94" t="s">
        <v>606</v>
      </c>
      <c r="E9" s="80" t="s">
        <v>294</v>
      </c>
      <c r="F9" s="96" t="s">
        <v>490</v>
      </c>
      <c r="G9" s="87" t="s">
        <v>318</v>
      </c>
      <c r="H9" s="160" t="s">
        <v>625</v>
      </c>
      <c r="I9" s="159" t="s">
        <v>608</v>
      </c>
      <c r="J9" s="166">
        <v>46296</v>
      </c>
    </row>
    <row r="10" spans="1:10" hidden="1">
      <c r="A10" s="142" t="s">
        <v>626</v>
      </c>
      <c r="B10" s="94">
        <v>4612243</v>
      </c>
      <c r="C10" s="94" t="s">
        <v>627</v>
      </c>
      <c r="D10" s="94" t="s">
        <v>606</v>
      </c>
      <c r="E10" s="80" t="s">
        <v>539</v>
      </c>
      <c r="F10" s="96" t="s">
        <v>490</v>
      </c>
      <c r="G10" s="87" t="s">
        <v>108</v>
      </c>
      <c r="H10" s="160" t="s">
        <v>628</v>
      </c>
      <c r="I10" s="159" t="s">
        <v>608</v>
      </c>
      <c r="J10" s="166">
        <v>46174</v>
      </c>
    </row>
    <row r="11" spans="1:10">
      <c r="A11" s="142" t="s">
        <v>626</v>
      </c>
      <c r="B11" s="94">
        <v>4612389</v>
      </c>
      <c r="C11" s="94" t="s">
        <v>629</v>
      </c>
      <c r="D11" s="94" t="s">
        <v>606</v>
      </c>
      <c r="E11" s="80" t="s">
        <v>539</v>
      </c>
      <c r="F11" s="96" t="s">
        <v>490</v>
      </c>
      <c r="G11" s="87" t="s">
        <v>109</v>
      </c>
      <c r="H11" s="161" t="s">
        <v>630</v>
      </c>
      <c r="I11" s="159" t="s">
        <v>608</v>
      </c>
      <c r="J11" s="166">
        <v>46235</v>
      </c>
    </row>
    <row r="12" spans="1:10" hidden="1">
      <c r="A12" s="142" t="s">
        <v>626</v>
      </c>
      <c r="B12" s="94">
        <v>4612192</v>
      </c>
      <c r="C12" s="94" t="s">
        <v>631</v>
      </c>
      <c r="D12" s="94" t="s">
        <v>606</v>
      </c>
      <c r="E12" s="80" t="s">
        <v>489</v>
      </c>
      <c r="F12" s="96" t="s">
        <v>490</v>
      </c>
      <c r="G12" s="87" t="s">
        <v>113</v>
      </c>
      <c r="H12" s="160" t="s">
        <v>632</v>
      </c>
      <c r="I12" s="159" t="s">
        <v>608</v>
      </c>
      <c r="J12" s="166">
        <v>46296</v>
      </c>
    </row>
    <row r="13" spans="1:10" hidden="1">
      <c r="A13" s="142" t="s">
        <v>626</v>
      </c>
      <c r="B13" s="94">
        <v>4612393</v>
      </c>
      <c r="C13" s="94" t="s">
        <v>633</v>
      </c>
      <c r="D13" s="94" t="s">
        <v>606</v>
      </c>
      <c r="E13" s="80" t="s">
        <v>294</v>
      </c>
      <c r="F13" s="96" t="s">
        <v>490</v>
      </c>
      <c r="G13" s="87" t="s">
        <v>10</v>
      </c>
      <c r="H13" s="160" t="s">
        <v>634</v>
      </c>
      <c r="I13" s="159" t="s">
        <v>608</v>
      </c>
      <c r="J13" s="166">
        <v>46296</v>
      </c>
    </row>
    <row r="14" spans="1:10" hidden="1">
      <c r="A14" s="142" t="s">
        <v>626</v>
      </c>
      <c r="B14" s="94">
        <v>4612228</v>
      </c>
      <c r="C14" s="94" t="s">
        <v>635</v>
      </c>
      <c r="D14" s="94" t="s">
        <v>606</v>
      </c>
      <c r="E14" s="80" t="s">
        <v>489</v>
      </c>
      <c r="F14" s="96" t="s">
        <v>490</v>
      </c>
      <c r="G14" s="87" t="s">
        <v>142</v>
      </c>
      <c r="H14" s="160" t="s">
        <v>636</v>
      </c>
      <c r="I14" s="159" t="s">
        <v>608</v>
      </c>
      <c r="J14" s="166">
        <v>46174</v>
      </c>
    </row>
    <row r="15" spans="1:10" hidden="1">
      <c r="A15" s="142" t="s">
        <v>626</v>
      </c>
      <c r="B15" s="94">
        <v>4612247</v>
      </c>
      <c r="C15" s="94" t="s">
        <v>637</v>
      </c>
      <c r="D15" s="94" t="s">
        <v>606</v>
      </c>
      <c r="E15" s="80" t="s">
        <v>294</v>
      </c>
      <c r="F15" s="96" t="s">
        <v>490</v>
      </c>
      <c r="G15" s="87" t="s">
        <v>140</v>
      </c>
      <c r="H15" s="160" t="s">
        <v>638</v>
      </c>
      <c r="I15" s="159" t="s">
        <v>608</v>
      </c>
      <c r="J15" s="166">
        <v>46174</v>
      </c>
    </row>
    <row r="16" spans="1:10" hidden="1">
      <c r="A16" s="142" t="s">
        <v>626</v>
      </c>
      <c r="B16" s="94">
        <v>1385950</v>
      </c>
      <c r="C16" s="94" t="s">
        <v>639</v>
      </c>
      <c r="D16" s="94" t="s">
        <v>606</v>
      </c>
      <c r="E16" s="80" t="s">
        <v>489</v>
      </c>
      <c r="F16" s="80" t="s">
        <v>540</v>
      </c>
      <c r="G16" s="165" t="s">
        <v>205</v>
      </c>
      <c r="H16" s="138" t="s">
        <v>640</v>
      </c>
      <c r="I16" s="145" t="s">
        <v>641</v>
      </c>
      <c r="J16" s="5" t="s">
        <v>621</v>
      </c>
    </row>
    <row r="17" spans="1:10" hidden="1">
      <c r="A17" s="142" t="s">
        <v>626</v>
      </c>
      <c r="B17" s="94">
        <v>1387328</v>
      </c>
      <c r="C17" s="94" t="s">
        <v>642</v>
      </c>
      <c r="D17" s="94" t="s">
        <v>606</v>
      </c>
      <c r="E17" s="80" t="s">
        <v>489</v>
      </c>
      <c r="F17" s="96" t="s">
        <v>540</v>
      </c>
      <c r="G17" s="87" t="s">
        <v>239</v>
      </c>
      <c r="H17" s="161" t="s">
        <v>643</v>
      </c>
      <c r="I17" s="159" t="s">
        <v>608</v>
      </c>
      <c r="J17" s="166">
        <v>46296</v>
      </c>
    </row>
    <row r="18" spans="1:10" hidden="1">
      <c r="A18" s="142" t="s">
        <v>626</v>
      </c>
      <c r="B18" s="94">
        <v>1385870</v>
      </c>
      <c r="C18" s="94" t="s">
        <v>644</v>
      </c>
      <c r="D18" s="94" t="s">
        <v>606</v>
      </c>
      <c r="E18" s="80" t="s">
        <v>294</v>
      </c>
      <c r="F18" s="96" t="s">
        <v>540</v>
      </c>
      <c r="G18" s="87" t="s">
        <v>24</v>
      </c>
      <c r="H18" s="161" t="s">
        <v>645</v>
      </c>
      <c r="I18" s="159" t="s">
        <v>608</v>
      </c>
      <c r="J18" s="166">
        <v>46235</v>
      </c>
    </row>
    <row r="19" spans="1:10" hidden="1">
      <c r="A19" s="142" t="s">
        <v>626</v>
      </c>
      <c r="B19" s="94">
        <v>1386288</v>
      </c>
      <c r="C19" s="94" t="s">
        <v>646</v>
      </c>
      <c r="D19" s="94" t="s">
        <v>606</v>
      </c>
      <c r="E19" s="80" t="s">
        <v>294</v>
      </c>
      <c r="F19" s="96" t="s">
        <v>540</v>
      </c>
      <c r="G19" s="87" t="s">
        <v>207</v>
      </c>
      <c r="H19" s="161" t="s">
        <v>647</v>
      </c>
      <c r="I19" s="159" t="s">
        <v>608</v>
      </c>
      <c r="J19" s="166">
        <v>46174</v>
      </c>
    </row>
    <row r="20" spans="1:10" hidden="1">
      <c r="A20" s="142" t="s">
        <v>626</v>
      </c>
      <c r="B20" s="94">
        <v>9678697</v>
      </c>
      <c r="C20" s="94" t="s">
        <v>648</v>
      </c>
      <c r="D20" s="94" t="s">
        <v>606</v>
      </c>
      <c r="E20" s="80" t="s">
        <v>539</v>
      </c>
      <c r="F20" s="96" t="s">
        <v>540</v>
      </c>
      <c r="G20" s="87" t="s">
        <v>264</v>
      </c>
      <c r="H20" s="161" t="s">
        <v>649</v>
      </c>
      <c r="I20" s="159" t="s">
        <v>608</v>
      </c>
      <c r="J20" s="166">
        <v>46296</v>
      </c>
    </row>
    <row r="21" spans="1:10" hidden="1">
      <c r="A21" s="142" t="s">
        <v>604</v>
      </c>
      <c r="B21" s="94">
        <v>9921954</v>
      </c>
      <c r="C21" s="94" t="s">
        <v>650</v>
      </c>
      <c r="D21" s="94" t="s">
        <v>606</v>
      </c>
      <c r="E21" s="80" t="s">
        <v>489</v>
      </c>
      <c r="F21" s="96" t="s">
        <v>540</v>
      </c>
      <c r="G21" s="87" t="s">
        <v>229</v>
      </c>
      <c r="H21" s="161" t="s">
        <v>651</v>
      </c>
      <c r="I21" s="159" t="s">
        <v>608</v>
      </c>
      <c r="J21" s="166">
        <v>46174</v>
      </c>
    </row>
    <row r="22" spans="1:10">
      <c r="A22" s="142" t="s">
        <v>604</v>
      </c>
      <c r="B22" s="94">
        <v>2448533</v>
      </c>
      <c r="C22" s="94" t="s">
        <v>652</v>
      </c>
      <c r="D22" s="94" t="s">
        <v>606</v>
      </c>
      <c r="E22" s="80" t="s">
        <v>539</v>
      </c>
      <c r="F22" s="96" t="s">
        <v>540</v>
      </c>
      <c r="G22" s="87" t="s">
        <v>225</v>
      </c>
      <c r="H22" s="161" t="s">
        <v>653</v>
      </c>
      <c r="I22" s="159" t="s">
        <v>608</v>
      </c>
      <c r="J22" s="166">
        <v>46235</v>
      </c>
    </row>
    <row r="23" spans="1:10" hidden="1">
      <c r="A23" s="79" t="s">
        <v>613</v>
      </c>
      <c r="B23" s="94">
        <v>2477135</v>
      </c>
      <c r="C23" s="94" t="s">
        <v>654</v>
      </c>
      <c r="D23" s="95" t="s">
        <v>606</v>
      </c>
      <c r="E23" s="96" t="s">
        <v>294</v>
      </c>
      <c r="F23" s="96" t="s">
        <v>540</v>
      </c>
      <c r="G23" s="87" t="s">
        <v>56</v>
      </c>
      <c r="H23" s="162" t="s">
        <v>655</v>
      </c>
      <c r="I23" s="159" t="s">
        <v>608</v>
      </c>
      <c r="J23" s="166">
        <v>46296</v>
      </c>
    </row>
    <row r="24" spans="1:10" hidden="1">
      <c r="A24" s="79" t="s">
        <v>613</v>
      </c>
      <c r="B24" s="94">
        <v>9612082</v>
      </c>
      <c r="C24" s="94" t="s">
        <v>656</v>
      </c>
      <c r="D24" s="95" t="s">
        <v>606</v>
      </c>
      <c r="E24" s="96" t="s">
        <v>489</v>
      </c>
      <c r="F24" s="96" t="s">
        <v>540</v>
      </c>
      <c r="G24" s="87" t="s">
        <v>58</v>
      </c>
      <c r="H24" s="163" t="s">
        <v>657</v>
      </c>
      <c r="I24" s="159" t="s">
        <v>608</v>
      </c>
      <c r="J24" s="166">
        <v>46174</v>
      </c>
    </row>
    <row r="25" spans="1:10" hidden="1">
      <c r="A25" s="79" t="s">
        <v>613</v>
      </c>
      <c r="B25" s="94">
        <v>2440812</v>
      </c>
      <c r="C25" s="94" t="s">
        <v>658</v>
      </c>
      <c r="D25" s="95" t="s">
        <v>659</v>
      </c>
      <c r="E25" s="96" t="s">
        <v>539</v>
      </c>
      <c r="F25" s="96" t="s">
        <v>540</v>
      </c>
      <c r="G25" s="87" t="s">
        <v>168</v>
      </c>
      <c r="H25" s="164" t="s">
        <v>660</v>
      </c>
      <c r="I25" s="159" t="s">
        <v>608</v>
      </c>
      <c r="J25" s="166">
        <v>46296</v>
      </c>
    </row>
  </sheetData>
  <autoFilter ref="A1:J25" xr:uid="{0C57050E-64A9-4D4E-9848-F5B88D189F79}">
    <filterColumn colId="4">
      <filters>
        <filter val="P80"/>
      </filters>
    </filterColumn>
    <filterColumn colId="9">
      <filters>
        <dateGroupItem year="2026" month="8" dateTimeGrouping="month"/>
      </filters>
    </filterColumn>
  </autoFilter>
  <conditionalFormatting sqref="A6:A22">
    <cfRule type="containsText" dxfId="87" priority="38" operator="containsText" text="ELET">
      <formula>NOT(ISERROR(SEARCH("ELET",A6)))</formula>
    </cfRule>
    <cfRule type="containsText" dxfId="86" priority="39" operator="containsText" text="INST">
      <formula>NOT(ISERROR(SEARCH("INST",A6)))</formula>
    </cfRule>
    <cfRule type="containsText" dxfId="85" priority="40" operator="containsText" text="MEC">
      <formula>NOT(ISERROR(SEARCH("MEC",A6)))</formula>
    </cfRule>
  </conditionalFormatting>
  <conditionalFormatting sqref="A2:F22 A1:I1">
    <cfRule type="containsText" dxfId="84" priority="44" operator="containsText" text="ELET">
      <formula>NOT(ISERROR(SEARCH("ELET",A1)))</formula>
    </cfRule>
  </conditionalFormatting>
  <conditionalFormatting sqref="A23:F23">
    <cfRule type="containsText" dxfId="83" priority="26" operator="containsText" text="ELET">
      <formula>NOT(ISERROR(SEARCH("ELET",A23)))</formula>
    </cfRule>
    <cfRule type="containsText" dxfId="82" priority="27" operator="containsText" text="INST">
      <formula>NOT(ISERROR(SEARCH("INST",A23)))</formula>
    </cfRule>
    <cfRule type="containsText" dxfId="81" priority="28" operator="containsText" text="MEC">
      <formula>NOT(ISERROR(SEARCH("MEC",A23)))</formula>
    </cfRule>
  </conditionalFormatting>
  <conditionalFormatting sqref="A24:F25">
    <cfRule type="containsText" dxfId="80" priority="4" operator="containsText" text="ELET">
      <formula>NOT(ISERROR(SEARCH("ELET",A24)))</formula>
    </cfRule>
    <cfRule type="containsText" dxfId="79" priority="5" operator="containsText" text="INST">
      <formula>NOT(ISERROR(SEARCH("INST",A24)))</formula>
    </cfRule>
    <cfRule type="containsText" dxfId="78" priority="6" operator="containsText" text="MEC">
      <formula>NOT(ISERROR(SEARCH("MEC",A24)))</formula>
    </cfRule>
  </conditionalFormatting>
  <conditionalFormatting sqref="A1:I1 A2:F22">
    <cfRule type="containsText" dxfId="77" priority="45" operator="containsText" text="INST">
      <formula>NOT(ISERROR(SEARCH("INST",A1)))</formula>
    </cfRule>
    <cfRule type="containsText" dxfId="76" priority="46" operator="containsText" text="MEC">
      <formula>NOT(ISERROR(SEARCH("MEC",A1)))</formula>
    </cfRule>
  </conditionalFormatting>
  <conditionalFormatting sqref="D6:D24">
    <cfRule type="containsText" dxfId="75" priority="20" operator="containsText" text="ELET">
      <formula>NOT(ISERROR(SEARCH("ELET",D6)))</formula>
    </cfRule>
    <cfRule type="containsText" dxfId="74" priority="21" operator="containsText" text="INST">
      <formula>NOT(ISERROR(SEARCH("INST",D6)))</formula>
    </cfRule>
    <cfRule type="containsText" dxfId="73" priority="22" operator="containsText" text="MEC">
      <formula>NOT(ISERROR(SEARCH("MEC",D6)))</formula>
    </cfRule>
  </conditionalFormatting>
  <conditionalFormatting sqref="E4">
    <cfRule type="containsText" dxfId="72" priority="41" operator="containsText" text="ELET">
      <formula>NOT(ISERROR(SEARCH("ELET",E4)))</formula>
    </cfRule>
    <cfRule type="containsText" dxfId="71" priority="42" operator="containsText" text="INST">
      <formula>NOT(ISERROR(SEARCH("INST",E4)))</formula>
    </cfRule>
    <cfRule type="containsText" dxfId="70" priority="43" operator="containsText" text="MEC">
      <formula>NOT(ISERROR(SEARCH("MEC",E4)))</formula>
    </cfRule>
  </conditionalFormatting>
  <conditionalFormatting sqref="E13">
    <cfRule type="containsText" dxfId="69" priority="29" operator="containsText" text="ELET">
      <formula>NOT(ISERROR(SEARCH("ELET",E13)))</formula>
    </cfRule>
    <cfRule type="containsText" dxfId="68" priority="30" operator="containsText" text="INST">
      <formula>NOT(ISERROR(SEARCH("INST",E13)))</formula>
    </cfRule>
    <cfRule type="containsText" dxfId="67" priority="31" operator="containsText" text="MEC">
      <formula>NOT(ISERROR(SEARCH("MEC",E13)))</formula>
    </cfRule>
  </conditionalFormatting>
  <conditionalFormatting sqref="E15:E24">
    <cfRule type="containsText" dxfId="66" priority="23" operator="containsText" text="ELET">
      <formula>NOT(ISERROR(SEARCH("ELET",E15)))</formula>
    </cfRule>
    <cfRule type="containsText" dxfId="65" priority="24" operator="containsText" text="INST">
      <formula>NOT(ISERROR(SEARCH("INST",E15)))</formula>
    </cfRule>
    <cfRule type="containsText" dxfId="64" priority="25" operator="containsText" text="MEC">
      <formula>NOT(ISERROR(SEARCH("MEC",E15)))</formula>
    </cfRule>
  </conditionalFormatting>
  <conditionalFormatting sqref="G2:G25">
    <cfRule type="cellIs" dxfId="63" priority="16" operator="equal">
      <formula>"ESTALEIRO"</formula>
    </cfRule>
  </conditionalFormatting>
  <conditionalFormatting sqref="H2:H25">
    <cfRule type="containsText" dxfId="62" priority="1" operator="containsText" text="ELET">
      <formula>NOT(ISERROR(SEARCH("ELET",H2)))</formula>
    </cfRule>
    <cfRule type="containsText" dxfId="61" priority="2" operator="containsText" text="INST">
      <formula>NOT(ISERROR(SEARCH("INST",H2)))</formula>
    </cfRule>
    <cfRule type="containsText" dxfId="60" priority="3" operator="containsText" text="MEC">
      <formula>NOT(ISERROR(SEARCH("MEC",H2)))</formula>
    </cfRule>
  </conditionalFormatting>
  <hyperlinks>
    <hyperlink ref="H2" r:id="rId1" display="mailto:tonicler.kutz@petrobras.com.br" xr:uid="{FB2C44E7-99C7-424E-9060-4F3B24906F97}"/>
    <hyperlink ref="H4" r:id="rId2" display="mailto:breno.batista@petrobras.com.br" xr:uid="{A91F5864-CDA7-496A-9D62-780D6158A8CF}"/>
    <hyperlink ref="H3" r:id="rId3" display="mailto:luiz.ramos3@petrobras.com.br" xr:uid="{0D995402-6ACF-48F2-B62A-3CD611E63468}"/>
    <hyperlink ref="H5" r:id="rId4" display="mailto:andre.sthel@petrobras.com.br" xr:uid="{DC02CCF6-BB15-4C8B-A142-290C48326063}"/>
    <hyperlink ref="H6" r:id="rId5" xr:uid="{A39236F7-88E0-4FA2-B36E-3CA686A6FA73}"/>
    <hyperlink ref="H7" r:id="rId6" display="mailto:thielles.gustavo@petrobras.com.br" xr:uid="{3DED1EBE-3B3A-45E7-9584-BF5771B6EF52}"/>
    <hyperlink ref="H10" r:id="rId7" display="mailto:pablo.p.almeida@petrobras.com.br" xr:uid="{C249C13B-22B9-46D3-A820-3456E3BCCB68}"/>
    <hyperlink ref="H11" r:id="rId8" xr:uid="{005E1B7B-CFD9-459B-8193-82F93EB05BE6}"/>
    <hyperlink ref="H12" r:id="rId9" display="mailto:victor.f.campos@petrobras.com.br" xr:uid="{DE37DC68-B096-4089-8336-102D75B145D2}"/>
    <hyperlink ref="H13" r:id="rId10" display="mailto:jailton.conceicao@petrobras.com.br" xr:uid="{27D64FD3-8245-4AEC-A96C-7E67D4359489}"/>
    <hyperlink ref="H14" r:id="rId11" display="mailto:luiz.serpa@petrobras.com.br" xr:uid="{5E69BE97-E40E-4784-AF42-F954475AF75E}"/>
    <hyperlink ref="H15" r:id="rId12" display="mailto:ricardo.uema@petrobras.com.br" xr:uid="{C468DB39-7FF7-4366-AE2E-BCB272CED74B}"/>
    <hyperlink ref="H16" r:id="rId13" display="mailto:alexandre.martins@petrobras.com.br" xr:uid="{A7D06E60-24DD-4E49-85A0-B0ED6E7D09A4}"/>
    <hyperlink ref="H17" r:id="rId14" display="mailto:acrodrig@petrobras.com.br" xr:uid="{9F6E24D8-6C4E-44FA-8D16-F641F2403331}"/>
    <hyperlink ref="H18" r:id="rId15" xr:uid="{1D9E1375-8FED-450E-BF17-82B532127B1E}"/>
    <hyperlink ref="H19" r:id="rId16" display="mailto:aureliorv@petrobras.com.br" xr:uid="{B0B98523-72C4-4FFE-9BB8-4F0CBC129B37}"/>
    <hyperlink ref="H20" r:id="rId17" display="mailto:jluiscruz@petrobras.com.br" xr:uid="{77B2649B-6381-45E4-8F9E-C61DD2EA9C11}"/>
    <hyperlink ref="H21" r:id="rId18" display="mailto:fredericoaugusto@petrobras.com.br" xr:uid="{017AD2E3-45A8-45AC-B1A9-C293925F9A14}"/>
    <hyperlink ref="H22" r:id="rId19" xr:uid="{C175DC8B-0DAB-4FA7-8433-4E9C2E2C13CB}"/>
    <hyperlink ref="H9" r:id="rId20" display="mailto:edison.amaral@petrobras.com.br" xr:uid="{CC3DDE5F-EABF-4799-8B02-473F1D0F4D57}"/>
    <hyperlink ref="H23" r:id="rId21" display="mailto:alexsandroviana@petrobras.com.br" xr:uid="{E4F0D72F-C232-463F-989C-973B92EBCCDB}"/>
    <hyperlink ref="H24" r:id="rId22" xr:uid="{63F884C7-08EA-4CE4-AA35-D65F35031920}"/>
    <hyperlink ref="H25" r:id="rId23" display="mailto:marcioamaral@petrobras.com.br" xr:uid="{FE547223-FAF6-4870-A954-FB7FA118200B}"/>
    <hyperlink ref="H8" r:id="rId24" xr:uid="{76BF1F22-92B8-47EB-B731-B0D2F759F463}"/>
  </hyperlinks>
  <pageMargins left="0.511811024" right="0.511811024" top="0.78740157499999996" bottom="0.78740157499999996" header="0.31496062000000002" footer="0.31496062000000002"/>
  <extLst>
    <ext xmlns:x14="http://schemas.microsoft.com/office/spreadsheetml/2009/9/main" uri="{CCE6A557-97BC-4b89-ADB6-D9C93CAAB3DF}">
      <x14:dataValidations xmlns:xm="http://schemas.microsoft.com/office/excel/2006/main" count="1">
        <x14:dataValidation type="list" allowBlank="1" showInputMessage="1" showErrorMessage="1" xr:uid="{9FB06FE0-7883-4B5D-BB4D-DA13C01748D6}">
          <x14:formula1>
            <xm:f>Equipe!$H$2:$H$131</xm:f>
          </x14:formula1>
          <xm:sqref>G2:G25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C853D-4B89-47CE-AA8F-BD4EA9CD1EC0}">
  <sheetPr codeName="Planilha1" filterMode="1"/>
  <dimension ref="A1:J63"/>
  <sheetViews>
    <sheetView showGridLines="0" tabSelected="1" zoomScaleNormal="100" workbookViewId="0">
      <pane ySplit="1" topLeftCell="A27" activePane="bottomLeft" state="frozen"/>
      <selection pane="bottomLeft" activeCell="C56" sqref="C56"/>
    </sheetView>
  </sheetViews>
  <sheetFormatPr defaultRowHeight="14.45"/>
  <cols>
    <col min="1" max="1" width="9.5703125" style="5" bestFit="1" customWidth="1"/>
    <col min="2" max="2" width="9.42578125" style="5" bestFit="1" customWidth="1"/>
    <col min="3" max="3" width="6.42578125" style="5" bestFit="1" customWidth="1"/>
    <col min="4" max="4" width="8.5703125" style="5" bestFit="1" customWidth="1"/>
    <col min="5" max="5" width="7.5703125" style="5" bestFit="1" customWidth="1"/>
    <col min="6" max="6" width="11.42578125" style="5" bestFit="1" customWidth="1"/>
    <col min="7" max="7" width="39.42578125" style="5" customWidth="1"/>
    <col min="8" max="8" width="23.42578125" style="5" customWidth="1"/>
    <col min="9" max="9" width="18.85546875" customWidth="1"/>
    <col min="10" max="10" width="46" customWidth="1"/>
  </cols>
  <sheetData>
    <row r="1" spans="1:10">
      <c r="A1" s="97" t="s">
        <v>596</v>
      </c>
      <c r="B1" s="98" t="s">
        <v>1</v>
      </c>
      <c r="C1" s="98" t="s">
        <v>597</v>
      </c>
      <c r="D1" s="98" t="s">
        <v>598</v>
      </c>
      <c r="E1" s="99" t="s">
        <v>599</v>
      </c>
      <c r="F1" s="99" t="s">
        <v>8</v>
      </c>
      <c r="G1" s="99" t="s">
        <v>601</v>
      </c>
      <c r="H1" s="99" t="s">
        <v>0</v>
      </c>
      <c r="I1" s="111" t="s">
        <v>661</v>
      </c>
      <c r="J1" s="112" t="s">
        <v>662</v>
      </c>
    </row>
    <row r="2" spans="1:10" hidden="1">
      <c r="A2" s="79" t="s">
        <v>604</v>
      </c>
      <c r="B2" s="94">
        <v>4612171</v>
      </c>
      <c r="C2" s="94" t="s">
        <v>605</v>
      </c>
      <c r="D2" s="95" t="s">
        <v>606</v>
      </c>
      <c r="E2" s="96" t="s">
        <v>539</v>
      </c>
      <c r="F2" s="96" t="s">
        <v>490</v>
      </c>
      <c r="G2" s="135" t="s">
        <v>607</v>
      </c>
      <c r="H2" s="96" t="s">
        <v>116</v>
      </c>
      <c r="I2" s="113" t="s">
        <v>663</v>
      </c>
      <c r="J2" s="114"/>
    </row>
    <row r="3" spans="1:10" hidden="1">
      <c r="A3" s="79" t="s">
        <v>604</v>
      </c>
      <c r="B3" s="94">
        <v>4612050</v>
      </c>
      <c r="C3" s="94" t="s">
        <v>609</v>
      </c>
      <c r="D3" s="95" t="s">
        <v>606</v>
      </c>
      <c r="E3" s="96" t="s">
        <v>489</v>
      </c>
      <c r="F3" s="96" t="s">
        <v>490</v>
      </c>
      <c r="G3" s="135" t="s">
        <v>610</v>
      </c>
      <c r="H3" s="96" t="s">
        <v>106</v>
      </c>
      <c r="I3" s="113" t="s">
        <v>664</v>
      </c>
      <c r="J3" s="114"/>
    </row>
    <row r="4" spans="1:10">
      <c r="A4" s="79" t="s">
        <v>604</v>
      </c>
      <c r="B4" s="94">
        <v>4612140</v>
      </c>
      <c r="C4" s="94" t="s">
        <v>611</v>
      </c>
      <c r="D4" s="95" t="s">
        <v>606</v>
      </c>
      <c r="E4" s="105" t="s">
        <v>294</v>
      </c>
      <c r="F4" s="96" t="s">
        <v>490</v>
      </c>
      <c r="G4" s="135" t="s">
        <v>612</v>
      </c>
      <c r="H4" s="96" t="s">
        <v>114</v>
      </c>
      <c r="I4" s="113" t="s">
        <v>663</v>
      </c>
      <c r="J4" s="114"/>
    </row>
    <row r="5" spans="1:10" hidden="1">
      <c r="A5" s="79" t="s">
        <v>604</v>
      </c>
      <c r="B5" s="94">
        <v>9842940</v>
      </c>
      <c r="C5" s="94" t="s">
        <v>665</v>
      </c>
      <c r="D5" s="95" t="s">
        <v>606</v>
      </c>
      <c r="E5" s="96" t="s">
        <v>539</v>
      </c>
      <c r="F5" s="96" t="s">
        <v>490</v>
      </c>
      <c r="G5" s="135" t="s">
        <v>666</v>
      </c>
      <c r="H5" s="96" t="s">
        <v>35</v>
      </c>
      <c r="I5" s="113" t="s">
        <v>667</v>
      </c>
      <c r="J5" s="115"/>
    </row>
    <row r="6" spans="1:10" hidden="1">
      <c r="A6" s="79" t="s">
        <v>626</v>
      </c>
      <c r="B6" s="94">
        <v>9886449</v>
      </c>
      <c r="C6" s="94" t="s">
        <v>668</v>
      </c>
      <c r="D6" s="95" t="s">
        <v>606</v>
      </c>
      <c r="E6" s="96" t="s">
        <v>539</v>
      </c>
      <c r="F6" s="96" t="s">
        <v>540</v>
      </c>
      <c r="G6" s="135" t="s">
        <v>669</v>
      </c>
      <c r="H6" s="96" t="s">
        <v>62</v>
      </c>
      <c r="I6" s="113" t="s">
        <v>664</v>
      </c>
      <c r="J6" s="115" t="s">
        <v>670</v>
      </c>
    </row>
    <row r="7" spans="1:10" hidden="1">
      <c r="A7" s="103" t="s">
        <v>626</v>
      </c>
      <c r="B7" s="94">
        <v>4608721</v>
      </c>
      <c r="C7" s="94" t="s">
        <v>671</v>
      </c>
      <c r="D7" s="104" t="s">
        <v>606</v>
      </c>
      <c r="E7" s="105" t="s">
        <v>539</v>
      </c>
      <c r="F7" s="105" t="s">
        <v>490</v>
      </c>
      <c r="G7" s="136" t="s">
        <v>672</v>
      </c>
      <c r="H7" s="105" t="s">
        <v>36</v>
      </c>
      <c r="I7" s="113" t="s">
        <v>664</v>
      </c>
      <c r="J7" s="115"/>
    </row>
    <row r="8" spans="1:10" hidden="1">
      <c r="A8" s="103" t="s">
        <v>626</v>
      </c>
      <c r="B8" s="94">
        <v>1385894</v>
      </c>
      <c r="C8" s="94" t="s">
        <v>673</v>
      </c>
      <c r="D8" s="104" t="s">
        <v>606</v>
      </c>
      <c r="E8" s="105" t="s">
        <v>539</v>
      </c>
      <c r="F8" s="105" t="s">
        <v>540</v>
      </c>
      <c r="G8" s="136" t="s">
        <v>674</v>
      </c>
      <c r="H8" s="105" t="s">
        <v>38</v>
      </c>
      <c r="I8" s="113" t="s">
        <v>664</v>
      </c>
      <c r="J8" s="115" t="s">
        <v>675</v>
      </c>
    </row>
    <row r="9" spans="1:10" hidden="1">
      <c r="A9" s="103" t="s">
        <v>626</v>
      </c>
      <c r="B9" s="94">
        <v>4608685</v>
      </c>
      <c r="C9" s="94" t="s">
        <v>676</v>
      </c>
      <c r="D9" s="104" t="s">
        <v>606</v>
      </c>
      <c r="E9" s="105" t="s">
        <v>539</v>
      </c>
      <c r="F9" s="105" t="s">
        <v>490</v>
      </c>
      <c r="G9" s="136" t="s">
        <v>677</v>
      </c>
      <c r="H9" s="105" t="s">
        <v>27</v>
      </c>
      <c r="I9" s="113" t="s">
        <v>664</v>
      </c>
      <c r="J9" s="115"/>
    </row>
    <row r="10" spans="1:10" hidden="1">
      <c r="A10" s="103" t="s">
        <v>613</v>
      </c>
      <c r="B10" s="94">
        <v>9762281</v>
      </c>
      <c r="C10" s="94" t="s">
        <v>678</v>
      </c>
      <c r="D10" s="104" t="s">
        <v>606</v>
      </c>
      <c r="E10" s="105" t="s">
        <v>539</v>
      </c>
      <c r="F10" s="105" t="s">
        <v>540</v>
      </c>
      <c r="G10" s="136" t="s">
        <v>679</v>
      </c>
      <c r="H10" s="105" t="s">
        <v>680</v>
      </c>
      <c r="I10" s="113" t="s">
        <v>664</v>
      </c>
      <c r="J10" s="123" t="s">
        <v>681</v>
      </c>
    </row>
    <row r="11" spans="1:10" hidden="1">
      <c r="A11" s="103" t="s">
        <v>613</v>
      </c>
      <c r="B11" s="94">
        <v>9683150</v>
      </c>
      <c r="C11" s="94" t="s">
        <v>682</v>
      </c>
      <c r="D11" s="104" t="s">
        <v>606</v>
      </c>
      <c r="E11" s="105" t="s">
        <v>539</v>
      </c>
      <c r="F11" s="105" t="s">
        <v>540</v>
      </c>
      <c r="G11" s="136" t="s">
        <v>683</v>
      </c>
      <c r="H11" s="105" t="s">
        <v>684</v>
      </c>
      <c r="I11" s="113" t="s">
        <v>664</v>
      </c>
      <c r="J11" s="115" t="s">
        <v>685</v>
      </c>
    </row>
    <row r="12" spans="1:10" hidden="1">
      <c r="A12" s="79" t="s">
        <v>613</v>
      </c>
      <c r="B12" s="94">
        <v>2440812</v>
      </c>
      <c r="C12" s="94" t="s">
        <v>658</v>
      </c>
      <c r="D12" s="95" t="s">
        <v>659</v>
      </c>
      <c r="E12" s="96" t="s">
        <v>539</v>
      </c>
      <c r="F12" s="96" t="s">
        <v>540</v>
      </c>
      <c r="G12" s="135" t="s">
        <v>660</v>
      </c>
      <c r="H12" s="96" t="s">
        <v>168</v>
      </c>
      <c r="I12" s="113" t="s">
        <v>664</v>
      </c>
      <c r="J12" s="115"/>
    </row>
    <row r="13" spans="1:10" hidden="1">
      <c r="A13" s="103" t="s">
        <v>613</v>
      </c>
      <c r="B13" s="94">
        <v>1381625</v>
      </c>
      <c r="C13" s="94" t="s">
        <v>686</v>
      </c>
      <c r="D13" s="95" t="s">
        <v>606</v>
      </c>
      <c r="E13" s="96" t="s">
        <v>539</v>
      </c>
      <c r="F13" s="96" t="s">
        <v>540</v>
      </c>
      <c r="G13" s="135" t="s">
        <v>687</v>
      </c>
      <c r="H13" s="96" t="s">
        <v>44</v>
      </c>
      <c r="I13" s="113" t="s">
        <v>664</v>
      </c>
      <c r="J13" s="115"/>
    </row>
    <row r="14" spans="1:10" hidden="1">
      <c r="A14" s="79" t="s">
        <v>613</v>
      </c>
      <c r="B14" s="94">
        <v>4608389</v>
      </c>
      <c r="C14" s="94" t="s">
        <v>614</v>
      </c>
      <c r="D14" s="95" t="s">
        <v>606</v>
      </c>
      <c r="E14" s="96" t="s">
        <v>539</v>
      </c>
      <c r="F14" s="96" t="s">
        <v>490</v>
      </c>
      <c r="G14" s="135" t="s">
        <v>615</v>
      </c>
      <c r="H14" s="96" t="s">
        <v>22</v>
      </c>
      <c r="I14" s="113" t="s">
        <v>664</v>
      </c>
      <c r="J14" s="115"/>
    </row>
    <row r="15" spans="1:10" hidden="1">
      <c r="A15" s="103" t="s">
        <v>604</v>
      </c>
      <c r="B15" s="94">
        <v>4608544</v>
      </c>
      <c r="C15" s="94" t="s">
        <v>688</v>
      </c>
      <c r="D15" s="95" t="s">
        <v>606</v>
      </c>
      <c r="E15" s="96" t="s">
        <v>489</v>
      </c>
      <c r="F15" s="96" t="s">
        <v>490</v>
      </c>
      <c r="G15" s="135" t="s">
        <v>689</v>
      </c>
      <c r="H15" s="96" t="s">
        <v>16</v>
      </c>
      <c r="I15" s="113" t="s">
        <v>664</v>
      </c>
      <c r="J15" s="115"/>
    </row>
    <row r="16" spans="1:10" hidden="1">
      <c r="A16" s="103" t="s">
        <v>626</v>
      </c>
      <c r="B16" s="94">
        <v>4608474</v>
      </c>
      <c r="C16" s="94" t="s">
        <v>690</v>
      </c>
      <c r="D16" s="95" t="s">
        <v>606</v>
      </c>
      <c r="E16" s="96" t="s">
        <v>489</v>
      </c>
      <c r="F16" s="105" t="s">
        <v>490</v>
      </c>
      <c r="G16" s="136" t="s">
        <v>691</v>
      </c>
      <c r="H16" s="105" t="s">
        <v>34</v>
      </c>
      <c r="I16" s="113" t="s">
        <v>664</v>
      </c>
      <c r="J16" s="115"/>
    </row>
    <row r="17" spans="1:10" hidden="1">
      <c r="A17" s="79" t="s">
        <v>626</v>
      </c>
      <c r="B17" s="94">
        <v>1386344</v>
      </c>
      <c r="C17" s="94" t="s">
        <v>692</v>
      </c>
      <c r="D17" s="104" t="s">
        <v>606</v>
      </c>
      <c r="E17" s="105" t="s">
        <v>489</v>
      </c>
      <c r="F17" s="105" t="s">
        <v>540</v>
      </c>
      <c r="G17" s="136" t="s">
        <v>693</v>
      </c>
      <c r="H17" s="105" t="s">
        <v>694</v>
      </c>
      <c r="I17" s="113" t="s">
        <v>664</v>
      </c>
      <c r="J17" s="115" t="s">
        <v>685</v>
      </c>
    </row>
    <row r="18" spans="1:10" hidden="1">
      <c r="A18" s="79" t="s">
        <v>626</v>
      </c>
      <c r="B18" s="94">
        <v>4608684</v>
      </c>
      <c r="C18" s="94" t="s">
        <v>695</v>
      </c>
      <c r="D18" s="104" t="s">
        <v>606</v>
      </c>
      <c r="E18" s="105" t="s">
        <v>489</v>
      </c>
      <c r="F18" s="105" t="s">
        <v>490</v>
      </c>
      <c r="G18" s="136" t="s">
        <v>696</v>
      </c>
      <c r="H18" s="96" t="s">
        <v>57</v>
      </c>
      <c r="I18" s="113" t="s">
        <v>664</v>
      </c>
      <c r="J18" s="115"/>
    </row>
    <row r="19" spans="1:10" hidden="1">
      <c r="A19" s="79" t="s">
        <v>613</v>
      </c>
      <c r="B19" s="94">
        <v>9612082</v>
      </c>
      <c r="C19" s="94" t="s">
        <v>656</v>
      </c>
      <c r="D19" s="104" t="s">
        <v>606</v>
      </c>
      <c r="E19" s="105" t="s">
        <v>489</v>
      </c>
      <c r="F19" s="96" t="s">
        <v>540</v>
      </c>
      <c r="G19" s="136" t="s">
        <v>657</v>
      </c>
      <c r="H19" s="105" t="s">
        <v>58</v>
      </c>
      <c r="I19" s="113" t="s">
        <v>664</v>
      </c>
      <c r="J19" s="115"/>
    </row>
    <row r="20" spans="1:10" hidden="1">
      <c r="A20" s="79" t="s">
        <v>613</v>
      </c>
      <c r="B20" s="94">
        <v>9618720</v>
      </c>
      <c r="C20" s="94" t="s">
        <v>697</v>
      </c>
      <c r="D20" s="104" t="s">
        <v>606</v>
      </c>
      <c r="E20" s="105" t="s">
        <v>489</v>
      </c>
      <c r="F20" s="96" t="s">
        <v>540</v>
      </c>
      <c r="G20" s="136" t="s">
        <v>698</v>
      </c>
      <c r="H20" s="105" t="s">
        <v>70</v>
      </c>
      <c r="I20" s="113" t="s">
        <v>664</v>
      </c>
      <c r="J20" s="115" t="s">
        <v>675</v>
      </c>
    </row>
    <row r="21" spans="1:10" hidden="1">
      <c r="A21" s="79" t="s">
        <v>613</v>
      </c>
      <c r="B21" s="94">
        <v>9724817</v>
      </c>
      <c r="C21" s="94" t="s">
        <v>699</v>
      </c>
      <c r="D21" s="104" t="s">
        <v>606</v>
      </c>
      <c r="E21" s="105" t="s">
        <v>489</v>
      </c>
      <c r="F21" s="96" t="s">
        <v>540</v>
      </c>
      <c r="G21" s="136" t="s">
        <v>700</v>
      </c>
      <c r="H21" s="105" t="s">
        <v>40</v>
      </c>
      <c r="I21" s="113" t="s">
        <v>664</v>
      </c>
      <c r="J21" s="115"/>
    </row>
    <row r="22" spans="1:10" hidden="1">
      <c r="A22" s="79" t="s">
        <v>613</v>
      </c>
      <c r="B22" s="94">
        <v>2460800</v>
      </c>
      <c r="C22" s="94" t="s">
        <v>701</v>
      </c>
      <c r="D22" s="104" t="s">
        <v>659</v>
      </c>
      <c r="E22" s="105" t="s">
        <v>489</v>
      </c>
      <c r="F22" s="96" t="s">
        <v>540</v>
      </c>
      <c r="G22" s="135" t="s">
        <v>702</v>
      </c>
      <c r="H22" s="96" t="s">
        <v>495</v>
      </c>
      <c r="I22" s="113" t="s">
        <v>667</v>
      </c>
      <c r="J22" s="115"/>
    </row>
    <row r="23" spans="1:10">
      <c r="A23" s="79" t="s">
        <v>604</v>
      </c>
      <c r="B23" s="94">
        <v>4608559</v>
      </c>
      <c r="C23" s="94" t="s">
        <v>703</v>
      </c>
      <c r="D23" s="104" t="s">
        <v>606</v>
      </c>
      <c r="E23" s="105" t="s">
        <v>294</v>
      </c>
      <c r="F23" s="105" t="s">
        <v>490</v>
      </c>
      <c r="G23" s="136" t="s">
        <v>704</v>
      </c>
      <c r="H23" s="105" t="s">
        <v>20</v>
      </c>
      <c r="I23" s="113" t="s">
        <v>664</v>
      </c>
      <c r="J23" s="114"/>
    </row>
    <row r="24" spans="1:10">
      <c r="A24" s="79" t="s">
        <v>626</v>
      </c>
      <c r="B24" s="94">
        <v>4608411</v>
      </c>
      <c r="C24" s="94" t="s">
        <v>705</v>
      </c>
      <c r="D24" s="104" t="s">
        <v>606</v>
      </c>
      <c r="E24" s="105" t="s">
        <v>294</v>
      </c>
      <c r="F24" s="96" t="s">
        <v>490</v>
      </c>
      <c r="G24" s="136" t="s">
        <v>706</v>
      </c>
      <c r="H24" s="105" t="s">
        <v>46</v>
      </c>
      <c r="I24" s="113" t="s">
        <v>664</v>
      </c>
      <c r="J24" s="114"/>
    </row>
    <row r="25" spans="1:10">
      <c r="A25" s="79" t="s">
        <v>626</v>
      </c>
      <c r="B25" s="94">
        <v>9634180</v>
      </c>
      <c r="C25" s="94" t="s">
        <v>707</v>
      </c>
      <c r="D25" s="95" t="s">
        <v>606</v>
      </c>
      <c r="E25" s="96" t="s">
        <v>294</v>
      </c>
      <c r="F25" s="96" t="s">
        <v>540</v>
      </c>
      <c r="G25" s="135" t="s">
        <v>708</v>
      </c>
      <c r="H25" s="96" t="s">
        <v>709</v>
      </c>
      <c r="I25" s="113" t="s">
        <v>664</v>
      </c>
      <c r="J25" s="114"/>
    </row>
    <row r="26" spans="1:10">
      <c r="A26" s="79" t="s">
        <v>613</v>
      </c>
      <c r="B26" s="94">
        <v>4608780</v>
      </c>
      <c r="C26" s="94" t="s">
        <v>710</v>
      </c>
      <c r="D26" s="95" t="s">
        <v>606</v>
      </c>
      <c r="E26" s="96" t="s">
        <v>294</v>
      </c>
      <c r="F26" s="96" t="s">
        <v>490</v>
      </c>
      <c r="G26" s="135" t="s">
        <v>711</v>
      </c>
      <c r="H26" s="96" t="s">
        <v>53</v>
      </c>
      <c r="I26" s="113" t="s">
        <v>664</v>
      </c>
      <c r="J26" s="114"/>
    </row>
    <row r="27" spans="1:10">
      <c r="A27" s="79" t="s">
        <v>613</v>
      </c>
      <c r="B27" s="94">
        <v>2475130</v>
      </c>
      <c r="C27" s="94" t="s">
        <v>712</v>
      </c>
      <c r="D27" s="95" t="s">
        <v>606</v>
      </c>
      <c r="E27" s="96" t="s">
        <v>294</v>
      </c>
      <c r="F27" s="96" t="s">
        <v>540</v>
      </c>
      <c r="G27" s="136" t="s">
        <v>713</v>
      </c>
      <c r="H27" s="105" t="s">
        <v>87</v>
      </c>
      <c r="I27" s="113" t="s">
        <v>667</v>
      </c>
      <c r="J27" s="115" t="s">
        <v>714</v>
      </c>
    </row>
    <row r="28" spans="1:10">
      <c r="A28" s="79" t="s">
        <v>613</v>
      </c>
      <c r="B28" s="94">
        <v>2477135</v>
      </c>
      <c r="C28" s="94" t="s">
        <v>654</v>
      </c>
      <c r="D28" s="95" t="s">
        <v>606</v>
      </c>
      <c r="E28" s="96" t="s">
        <v>294</v>
      </c>
      <c r="F28" s="96" t="s">
        <v>540</v>
      </c>
      <c r="G28" s="136" t="s">
        <v>655</v>
      </c>
      <c r="H28" s="105" t="s">
        <v>56</v>
      </c>
      <c r="I28" s="113" t="s">
        <v>664</v>
      </c>
      <c r="J28" s="114"/>
    </row>
    <row r="29" spans="1:10" hidden="1">
      <c r="A29" s="79" t="s">
        <v>604</v>
      </c>
      <c r="B29" s="94">
        <v>4606246</v>
      </c>
      <c r="C29" s="94" t="s">
        <v>715</v>
      </c>
      <c r="D29" s="95" t="s">
        <v>716</v>
      </c>
      <c r="E29" s="105" t="s">
        <v>261</v>
      </c>
      <c r="F29" s="96" t="s">
        <v>490</v>
      </c>
      <c r="G29" s="136" t="s">
        <v>717</v>
      </c>
      <c r="H29" s="105" t="s">
        <v>65</v>
      </c>
      <c r="I29" s="113" t="s">
        <v>664</v>
      </c>
      <c r="J29" s="115"/>
    </row>
    <row r="30" spans="1:10" hidden="1">
      <c r="A30" s="79" t="s">
        <v>626</v>
      </c>
      <c r="B30" s="94">
        <v>4606308</v>
      </c>
      <c r="C30" s="94" t="s">
        <v>718</v>
      </c>
      <c r="D30" s="95" t="s">
        <v>716</v>
      </c>
      <c r="E30" s="105" t="s">
        <v>261</v>
      </c>
      <c r="F30" s="96" t="s">
        <v>490</v>
      </c>
      <c r="G30" s="136" t="s">
        <v>719</v>
      </c>
      <c r="H30" s="105" t="s">
        <v>286</v>
      </c>
      <c r="I30" s="113" t="s">
        <v>667</v>
      </c>
      <c r="J30" s="115"/>
    </row>
    <row r="31" spans="1:10">
      <c r="A31" s="79" t="s">
        <v>626</v>
      </c>
      <c r="B31" s="94">
        <v>9634222</v>
      </c>
      <c r="C31" s="94" t="s">
        <v>720</v>
      </c>
      <c r="D31" s="95" t="s">
        <v>606</v>
      </c>
      <c r="E31" s="105" t="s">
        <v>294</v>
      </c>
      <c r="F31" s="96" t="s">
        <v>540</v>
      </c>
      <c r="G31" s="136" t="s">
        <v>721</v>
      </c>
      <c r="H31" s="105" t="s">
        <v>42</v>
      </c>
      <c r="I31" s="113" t="s">
        <v>664</v>
      </c>
      <c r="J31" s="115" t="s">
        <v>685</v>
      </c>
    </row>
    <row r="32" spans="1:10" hidden="1">
      <c r="A32" s="79" t="s">
        <v>626</v>
      </c>
      <c r="B32" s="94">
        <v>229316</v>
      </c>
      <c r="C32" s="94" t="s">
        <v>722</v>
      </c>
      <c r="D32" s="94" t="s">
        <v>716</v>
      </c>
      <c r="E32" s="80" t="s">
        <v>261</v>
      </c>
      <c r="F32" s="80" t="s">
        <v>540</v>
      </c>
      <c r="G32" s="137" t="s">
        <v>723</v>
      </c>
      <c r="H32" s="80" t="s">
        <v>128</v>
      </c>
      <c r="I32" s="113" t="s">
        <v>664</v>
      </c>
      <c r="J32" s="115"/>
    </row>
    <row r="33" spans="1:10" hidden="1">
      <c r="A33" s="79" t="s">
        <v>613</v>
      </c>
      <c r="B33" s="94">
        <v>2493288</v>
      </c>
      <c r="C33" s="94" t="s">
        <v>724</v>
      </c>
      <c r="D33" s="94" t="s">
        <v>716</v>
      </c>
      <c r="E33" s="80" t="s">
        <v>261</v>
      </c>
      <c r="F33" s="96" t="s">
        <v>540</v>
      </c>
      <c r="G33" s="137" t="s">
        <v>725</v>
      </c>
      <c r="H33" s="80" t="s">
        <v>37</v>
      </c>
      <c r="I33" s="113" t="s">
        <v>664</v>
      </c>
      <c r="J33" s="115"/>
    </row>
    <row r="34" spans="1:10" hidden="1">
      <c r="A34" s="79" t="s">
        <v>613</v>
      </c>
      <c r="B34" s="94">
        <v>214272</v>
      </c>
      <c r="C34" s="94" t="s">
        <v>726</v>
      </c>
      <c r="D34" s="94" t="s">
        <v>716</v>
      </c>
      <c r="E34" s="80" t="s">
        <v>261</v>
      </c>
      <c r="F34" s="96" t="s">
        <v>540</v>
      </c>
      <c r="G34" s="137" t="s">
        <v>727</v>
      </c>
      <c r="H34" s="80" t="s">
        <v>728</v>
      </c>
      <c r="I34" s="113" t="s">
        <v>664</v>
      </c>
      <c r="J34" s="115"/>
    </row>
    <row r="35" spans="1:10" hidden="1">
      <c r="A35" s="79" t="s">
        <v>613</v>
      </c>
      <c r="B35" s="94">
        <v>4606694</v>
      </c>
      <c r="C35" s="94" t="s">
        <v>729</v>
      </c>
      <c r="D35" s="95" t="s">
        <v>716</v>
      </c>
      <c r="E35" s="80" t="s">
        <v>261</v>
      </c>
      <c r="F35" s="80" t="s">
        <v>490</v>
      </c>
      <c r="G35" s="137" t="s">
        <v>730</v>
      </c>
      <c r="H35" s="80" t="s">
        <v>50</v>
      </c>
      <c r="I35" s="113" t="s">
        <v>667</v>
      </c>
      <c r="J35" s="115"/>
    </row>
    <row r="36" spans="1:10" hidden="1">
      <c r="A36" s="79" t="s">
        <v>613</v>
      </c>
      <c r="B36" s="94">
        <v>2430855</v>
      </c>
      <c r="C36" s="94" t="s">
        <v>731</v>
      </c>
      <c r="D36" s="95" t="s">
        <v>606</v>
      </c>
      <c r="E36" s="80" t="s">
        <v>261</v>
      </c>
      <c r="F36" s="80" t="s">
        <v>540</v>
      </c>
      <c r="G36" s="137" t="s">
        <v>732</v>
      </c>
      <c r="H36" s="80" t="s">
        <v>28</v>
      </c>
      <c r="I36" s="113" t="s">
        <v>664</v>
      </c>
      <c r="J36" s="115"/>
    </row>
    <row r="37" spans="1:10" hidden="1">
      <c r="A37" s="79" t="s">
        <v>613</v>
      </c>
      <c r="B37" s="94">
        <v>4604625</v>
      </c>
      <c r="C37" s="94" t="s">
        <v>733</v>
      </c>
      <c r="D37" s="95" t="s">
        <v>734</v>
      </c>
      <c r="E37" s="80" t="s">
        <v>261</v>
      </c>
      <c r="F37" s="80" t="s">
        <v>490</v>
      </c>
      <c r="G37" s="137" t="s">
        <v>735</v>
      </c>
      <c r="H37" s="80" t="s">
        <v>260</v>
      </c>
      <c r="I37" s="113" t="s">
        <v>664</v>
      </c>
      <c r="J37" s="115"/>
    </row>
    <row r="38" spans="1:10" hidden="1">
      <c r="A38" s="79" t="s">
        <v>613</v>
      </c>
      <c r="B38" s="94">
        <v>4612098</v>
      </c>
      <c r="C38" s="94" t="s">
        <v>616</v>
      </c>
      <c r="D38" s="95" t="s">
        <v>606</v>
      </c>
      <c r="E38" s="96" t="s">
        <v>539</v>
      </c>
      <c r="F38" s="80" t="s">
        <v>490</v>
      </c>
      <c r="G38" s="137" t="s">
        <v>617</v>
      </c>
      <c r="H38" s="80" t="s">
        <v>104</v>
      </c>
      <c r="I38" s="113" t="s">
        <v>664</v>
      </c>
      <c r="J38" s="114"/>
    </row>
    <row r="39" spans="1:10" hidden="1">
      <c r="A39" s="103" t="s">
        <v>613</v>
      </c>
      <c r="B39" s="94">
        <v>4612126</v>
      </c>
      <c r="C39" s="94" t="s">
        <v>618</v>
      </c>
      <c r="D39" s="95" t="s">
        <v>606</v>
      </c>
      <c r="E39" s="96" t="s">
        <v>489</v>
      </c>
      <c r="F39" s="80" t="s">
        <v>490</v>
      </c>
      <c r="G39" s="137" t="s">
        <v>619</v>
      </c>
      <c r="H39" s="80" t="s">
        <v>111</v>
      </c>
      <c r="I39" s="113" t="s">
        <v>664</v>
      </c>
      <c r="J39" s="114"/>
    </row>
    <row r="40" spans="1:10">
      <c r="A40" s="79" t="s">
        <v>613</v>
      </c>
      <c r="B40" s="94">
        <v>2550195</v>
      </c>
      <c r="C40" s="94" t="s">
        <v>736</v>
      </c>
      <c r="D40" s="94" t="s">
        <v>659</v>
      </c>
      <c r="E40" s="80" t="s">
        <v>294</v>
      </c>
      <c r="F40" s="80" t="s">
        <v>540</v>
      </c>
      <c r="G40" s="137" t="s">
        <v>737</v>
      </c>
      <c r="H40" s="80" t="s">
        <v>231</v>
      </c>
      <c r="I40" s="113" t="s">
        <v>667</v>
      </c>
      <c r="J40" s="114"/>
    </row>
    <row r="41" spans="1:10" hidden="1">
      <c r="A41" s="79" t="s">
        <v>613</v>
      </c>
      <c r="B41" s="94">
        <v>4613176</v>
      </c>
      <c r="C41" s="94" t="s">
        <v>622</v>
      </c>
      <c r="D41" s="95" t="s">
        <v>606</v>
      </c>
      <c r="E41" s="96" t="s">
        <v>489</v>
      </c>
      <c r="F41" s="80" t="s">
        <v>490</v>
      </c>
      <c r="G41" s="137" t="s">
        <v>623</v>
      </c>
      <c r="H41" s="80" t="s">
        <v>331</v>
      </c>
      <c r="I41" s="113"/>
      <c r="J41" s="114"/>
    </row>
    <row r="42" spans="1:10">
      <c r="A42" s="79" t="s">
        <v>613</v>
      </c>
      <c r="B42" s="94">
        <v>4613186</v>
      </c>
      <c r="C42" s="94" t="s">
        <v>624</v>
      </c>
      <c r="D42" s="95" t="s">
        <v>606</v>
      </c>
      <c r="E42" s="96" t="s">
        <v>294</v>
      </c>
      <c r="F42" s="80" t="s">
        <v>490</v>
      </c>
      <c r="G42" s="137" t="s">
        <v>625</v>
      </c>
      <c r="H42" s="80" t="s">
        <v>318</v>
      </c>
      <c r="I42" s="113"/>
      <c r="J42" s="114"/>
    </row>
    <row r="43" spans="1:10" hidden="1">
      <c r="A43" s="79" t="s">
        <v>626</v>
      </c>
      <c r="B43" s="94">
        <v>4612243</v>
      </c>
      <c r="C43" s="94" t="s">
        <v>627</v>
      </c>
      <c r="D43" s="95" t="s">
        <v>606</v>
      </c>
      <c r="E43" s="96" t="s">
        <v>539</v>
      </c>
      <c r="F43" s="80" t="s">
        <v>490</v>
      </c>
      <c r="G43" s="137" t="s">
        <v>628</v>
      </c>
      <c r="H43" s="80" t="s">
        <v>108</v>
      </c>
      <c r="I43" s="113" t="s">
        <v>664</v>
      </c>
      <c r="J43" s="114"/>
    </row>
    <row r="44" spans="1:10" hidden="1">
      <c r="A44" s="79" t="s">
        <v>626</v>
      </c>
      <c r="B44" s="94">
        <v>4612389</v>
      </c>
      <c r="C44" s="94" t="s">
        <v>629</v>
      </c>
      <c r="D44" s="95" t="s">
        <v>606</v>
      </c>
      <c r="E44" s="96" t="s">
        <v>539</v>
      </c>
      <c r="F44" s="80" t="s">
        <v>490</v>
      </c>
      <c r="G44" s="137" t="s">
        <v>630</v>
      </c>
      <c r="H44" s="80" t="s">
        <v>109</v>
      </c>
      <c r="I44" s="113" t="s">
        <v>664</v>
      </c>
      <c r="J44" s="114"/>
    </row>
    <row r="45" spans="1:10" hidden="1">
      <c r="A45" s="79" t="s">
        <v>626</v>
      </c>
      <c r="B45" s="94">
        <v>4612192</v>
      </c>
      <c r="C45" s="94" t="s">
        <v>631</v>
      </c>
      <c r="D45" s="95" t="s">
        <v>606</v>
      </c>
      <c r="E45" s="96" t="s">
        <v>489</v>
      </c>
      <c r="F45" s="80" t="s">
        <v>490</v>
      </c>
      <c r="G45" s="137" t="s">
        <v>632</v>
      </c>
      <c r="H45" s="80" t="s">
        <v>113</v>
      </c>
      <c r="I45" s="113" t="s">
        <v>667</v>
      </c>
      <c r="J45" s="114"/>
    </row>
    <row r="46" spans="1:10">
      <c r="A46" s="79" t="s">
        <v>626</v>
      </c>
      <c r="B46" s="94">
        <v>4612393</v>
      </c>
      <c r="C46" s="94" t="s">
        <v>633</v>
      </c>
      <c r="D46" s="95" t="s">
        <v>606</v>
      </c>
      <c r="E46" s="105" t="s">
        <v>294</v>
      </c>
      <c r="F46" s="80" t="s">
        <v>490</v>
      </c>
      <c r="G46" s="137" t="s">
        <v>634</v>
      </c>
      <c r="H46" s="80" t="s">
        <v>10</v>
      </c>
      <c r="I46" s="113" t="s">
        <v>663</v>
      </c>
      <c r="J46" s="114"/>
    </row>
    <row r="47" spans="1:10" hidden="1">
      <c r="A47" s="79" t="s">
        <v>626</v>
      </c>
      <c r="B47" s="94">
        <v>4612228</v>
      </c>
      <c r="C47" s="94" t="s">
        <v>635</v>
      </c>
      <c r="D47" s="95" t="s">
        <v>606</v>
      </c>
      <c r="E47" s="96" t="s">
        <v>489</v>
      </c>
      <c r="F47" s="80" t="s">
        <v>490</v>
      </c>
      <c r="G47" s="137" t="s">
        <v>636</v>
      </c>
      <c r="H47" s="80" t="s">
        <v>142</v>
      </c>
      <c r="I47" s="113" t="s">
        <v>664</v>
      </c>
      <c r="J47" s="114"/>
    </row>
    <row r="48" spans="1:10">
      <c r="A48" s="79" t="s">
        <v>626</v>
      </c>
      <c r="B48" s="94">
        <v>4612247</v>
      </c>
      <c r="C48" s="94" t="s">
        <v>637</v>
      </c>
      <c r="D48" s="95" t="s">
        <v>606</v>
      </c>
      <c r="E48" s="105" t="s">
        <v>294</v>
      </c>
      <c r="F48" s="80" t="s">
        <v>490</v>
      </c>
      <c r="G48" s="137" t="s">
        <v>638</v>
      </c>
      <c r="H48" s="80" t="s">
        <v>140</v>
      </c>
      <c r="I48" s="113" t="s">
        <v>663</v>
      </c>
      <c r="J48" s="114"/>
    </row>
    <row r="49" spans="1:10" hidden="1">
      <c r="A49" s="79" t="s">
        <v>626</v>
      </c>
      <c r="B49" s="94">
        <v>1385950</v>
      </c>
      <c r="C49" s="94" t="s">
        <v>639</v>
      </c>
      <c r="D49" s="95" t="s">
        <v>606</v>
      </c>
      <c r="E49" s="96" t="s">
        <v>489</v>
      </c>
      <c r="F49" s="80" t="s">
        <v>540</v>
      </c>
      <c r="G49" s="138" t="s">
        <v>640</v>
      </c>
      <c r="H49" s="80" t="s">
        <v>205</v>
      </c>
      <c r="I49" s="113"/>
      <c r="J49" s="114"/>
    </row>
    <row r="50" spans="1:10" hidden="1">
      <c r="A50" s="79" t="s">
        <v>626</v>
      </c>
      <c r="B50" s="94">
        <v>1387328</v>
      </c>
      <c r="C50" s="94" t="s">
        <v>642</v>
      </c>
      <c r="D50" s="95" t="s">
        <v>606</v>
      </c>
      <c r="E50" s="96" t="s">
        <v>489</v>
      </c>
      <c r="F50" s="80" t="s">
        <v>540</v>
      </c>
      <c r="G50" s="138" t="s">
        <v>643</v>
      </c>
      <c r="H50" s="80" t="s">
        <v>239</v>
      </c>
      <c r="I50" s="113"/>
      <c r="J50" s="114"/>
    </row>
    <row r="51" spans="1:10">
      <c r="A51" s="79" t="s">
        <v>626</v>
      </c>
      <c r="B51" s="94">
        <v>1385870</v>
      </c>
      <c r="C51" s="94" t="s">
        <v>644</v>
      </c>
      <c r="D51" s="95" t="s">
        <v>606</v>
      </c>
      <c r="E51" s="105" t="s">
        <v>294</v>
      </c>
      <c r="F51" s="80" t="s">
        <v>540</v>
      </c>
      <c r="G51" s="138" t="s">
        <v>645</v>
      </c>
      <c r="H51" s="80" t="s">
        <v>24</v>
      </c>
      <c r="I51" s="113"/>
      <c r="J51" s="114"/>
    </row>
    <row r="52" spans="1:10">
      <c r="A52" s="79" t="s">
        <v>626</v>
      </c>
      <c r="B52" s="94">
        <v>1386288</v>
      </c>
      <c r="C52" s="94" t="s">
        <v>646</v>
      </c>
      <c r="D52" s="95" t="s">
        <v>606</v>
      </c>
      <c r="E52" s="105" t="s">
        <v>294</v>
      </c>
      <c r="F52" s="80" t="s">
        <v>540</v>
      </c>
      <c r="G52" s="138" t="s">
        <v>647</v>
      </c>
      <c r="H52" s="80" t="s">
        <v>207</v>
      </c>
      <c r="I52" s="113"/>
      <c r="J52" s="114"/>
    </row>
    <row r="53" spans="1:10" hidden="1">
      <c r="A53" s="79" t="s">
        <v>626</v>
      </c>
      <c r="B53" s="94">
        <v>9678697</v>
      </c>
      <c r="C53" s="94" t="s">
        <v>648</v>
      </c>
      <c r="D53" s="95" t="s">
        <v>606</v>
      </c>
      <c r="E53" s="96" t="s">
        <v>539</v>
      </c>
      <c r="F53" s="80" t="s">
        <v>540</v>
      </c>
      <c r="G53" s="138" t="s">
        <v>649</v>
      </c>
      <c r="H53" s="80" t="s">
        <v>264</v>
      </c>
      <c r="I53" s="113"/>
      <c r="J53" s="114"/>
    </row>
    <row r="54" spans="1:10" hidden="1">
      <c r="A54" s="79" t="s">
        <v>604</v>
      </c>
      <c r="B54" s="94">
        <v>9921954</v>
      </c>
      <c r="C54" s="94" t="s">
        <v>650</v>
      </c>
      <c r="D54" s="95" t="s">
        <v>606</v>
      </c>
      <c r="E54" s="96" t="s">
        <v>489</v>
      </c>
      <c r="F54" s="80" t="s">
        <v>540</v>
      </c>
      <c r="G54" s="138" t="s">
        <v>651</v>
      </c>
      <c r="H54" s="80" t="s">
        <v>229</v>
      </c>
      <c r="I54" s="113"/>
      <c r="J54" s="114"/>
    </row>
    <row r="55" spans="1:10" hidden="1">
      <c r="A55" s="169" t="s">
        <v>604</v>
      </c>
      <c r="B55" s="170">
        <v>2448533</v>
      </c>
      <c r="C55" s="170" t="s">
        <v>652</v>
      </c>
      <c r="D55" s="171" t="s">
        <v>606</v>
      </c>
      <c r="E55" s="172" t="s">
        <v>539</v>
      </c>
      <c r="F55" s="173" t="s">
        <v>540</v>
      </c>
      <c r="G55" s="174" t="s">
        <v>653</v>
      </c>
      <c r="H55" s="173" t="s">
        <v>225</v>
      </c>
      <c r="I55" s="113"/>
      <c r="J55" s="183"/>
    </row>
    <row r="56" spans="1:10">
      <c r="A56" s="79" t="s">
        <v>613</v>
      </c>
      <c r="B56" s="94">
        <v>2416050</v>
      </c>
      <c r="C56" s="94" t="s">
        <v>738</v>
      </c>
      <c r="D56" s="94" t="s">
        <v>606</v>
      </c>
      <c r="E56" s="80" t="s">
        <v>294</v>
      </c>
      <c r="F56" s="80" t="s">
        <v>540</v>
      </c>
      <c r="G56" s="175" t="s">
        <v>739</v>
      </c>
      <c r="H56" s="80" t="s">
        <v>740</v>
      </c>
      <c r="I56" s="168"/>
      <c r="J56" s="82"/>
    </row>
    <row r="57" spans="1:10">
      <c r="A57" s="79" t="s">
        <v>613</v>
      </c>
      <c r="B57" s="94">
        <v>4614579</v>
      </c>
      <c r="C57" s="94" t="s">
        <v>741</v>
      </c>
      <c r="D57" s="94" t="s">
        <v>606</v>
      </c>
      <c r="E57" s="80" t="s">
        <v>261</v>
      </c>
      <c r="F57" s="80" t="s">
        <v>490</v>
      </c>
      <c r="G57" s="175" t="s">
        <v>742</v>
      </c>
      <c r="H57" s="80" t="s">
        <v>743</v>
      </c>
      <c r="I57" s="146"/>
      <c r="J57" s="146"/>
    </row>
    <row r="58" spans="1:10">
      <c r="A58" s="79" t="s">
        <v>613</v>
      </c>
      <c r="B58" s="94">
        <v>4614524</v>
      </c>
      <c r="C58" s="94" t="s">
        <v>744</v>
      </c>
      <c r="D58" s="94" t="s">
        <v>606</v>
      </c>
      <c r="E58" s="80" t="s">
        <v>261</v>
      </c>
      <c r="F58" s="80" t="s">
        <v>490</v>
      </c>
      <c r="G58" s="175" t="s">
        <v>745</v>
      </c>
      <c r="H58" s="80" t="s">
        <v>580</v>
      </c>
      <c r="I58" s="146"/>
      <c r="J58" s="146"/>
    </row>
    <row r="59" spans="1:10">
      <c r="A59" s="79" t="s">
        <v>613</v>
      </c>
      <c r="B59" s="94">
        <v>4614583</v>
      </c>
      <c r="C59" s="94" t="s">
        <v>746</v>
      </c>
      <c r="D59" s="94" t="s">
        <v>606</v>
      </c>
      <c r="E59" s="80" t="s">
        <v>261</v>
      </c>
      <c r="F59" s="80" t="s">
        <v>490</v>
      </c>
      <c r="G59" s="175" t="s">
        <v>747</v>
      </c>
      <c r="H59" s="80" t="s">
        <v>587</v>
      </c>
      <c r="I59" s="146"/>
      <c r="J59" s="146"/>
    </row>
    <row r="60" spans="1:10">
      <c r="A60" s="79" t="s">
        <v>613</v>
      </c>
      <c r="B60" s="94">
        <v>4614628</v>
      </c>
      <c r="C60" s="94" t="s">
        <v>748</v>
      </c>
      <c r="D60" s="94" t="s">
        <v>606</v>
      </c>
      <c r="E60" s="80" t="s">
        <v>261</v>
      </c>
      <c r="F60" s="80" t="s">
        <v>490</v>
      </c>
      <c r="G60" s="175" t="s">
        <v>749</v>
      </c>
      <c r="H60" s="80" t="s">
        <v>750</v>
      </c>
      <c r="I60" s="146"/>
      <c r="J60" s="146"/>
    </row>
    <row r="61" spans="1:10">
      <c r="A61" s="79" t="s">
        <v>613</v>
      </c>
      <c r="B61" s="94">
        <v>4614627</v>
      </c>
      <c r="C61" s="94" t="s">
        <v>751</v>
      </c>
      <c r="D61" s="94" t="s">
        <v>606</v>
      </c>
      <c r="E61" s="80" t="s">
        <v>261</v>
      </c>
      <c r="F61" s="80" t="s">
        <v>490</v>
      </c>
      <c r="G61" s="175" t="s">
        <v>752</v>
      </c>
      <c r="H61" s="80" t="s">
        <v>588</v>
      </c>
      <c r="I61" s="146"/>
      <c r="J61" s="146"/>
    </row>
    <row r="62" spans="1:10">
      <c r="A62" s="79" t="s">
        <v>613</v>
      </c>
      <c r="B62" s="94">
        <v>4614624</v>
      </c>
      <c r="C62" s="94" t="s">
        <v>753</v>
      </c>
      <c r="D62" s="94" t="s">
        <v>606</v>
      </c>
      <c r="E62" s="80" t="s">
        <v>261</v>
      </c>
      <c r="F62" s="80" t="s">
        <v>490</v>
      </c>
      <c r="G62" s="175" t="s">
        <v>754</v>
      </c>
      <c r="H62" s="80" t="s">
        <v>755</v>
      </c>
      <c r="I62" s="146"/>
      <c r="J62" s="146"/>
    </row>
    <row r="63" spans="1:10">
      <c r="A63" s="79" t="s">
        <v>613</v>
      </c>
      <c r="B63" s="94">
        <v>4614577</v>
      </c>
      <c r="C63" s="94" t="s">
        <v>756</v>
      </c>
      <c r="D63" s="94" t="s">
        <v>606</v>
      </c>
      <c r="E63" s="80" t="s">
        <v>261</v>
      </c>
      <c r="F63" s="80" t="s">
        <v>490</v>
      </c>
      <c r="G63" s="175" t="s">
        <v>757</v>
      </c>
      <c r="H63" s="80" t="s">
        <v>758</v>
      </c>
      <c r="I63" s="146"/>
      <c r="J63" s="146"/>
    </row>
  </sheetData>
  <autoFilter ref="A1:J63" xr:uid="{CCFC853D-4B89-47CE-AA8F-BD4EA9CD1EC0}">
    <filterColumn colId="4">
      <filters>
        <filter val="P83"/>
      </filters>
    </filterColumn>
  </autoFilter>
  <conditionalFormatting sqref="A38:A63">
    <cfRule type="containsText" dxfId="59" priority="19" operator="containsText" text="ELET">
      <formula>NOT(ISERROR(SEARCH("ELET",A38)))</formula>
    </cfRule>
    <cfRule type="containsText" dxfId="58" priority="20" operator="containsText" text="INST">
      <formula>NOT(ISERROR(SEARCH("INST",A38)))</formula>
    </cfRule>
    <cfRule type="containsText" dxfId="57" priority="21" operator="containsText" text="MEC">
      <formula>NOT(ISERROR(SEARCH("MEC",A38)))</formula>
    </cfRule>
  </conditionalFormatting>
  <conditionalFormatting sqref="A57:A63">
    <cfRule type="containsText" dxfId="56" priority="4" operator="containsText" text="ELET">
      <formula>NOT(ISERROR(SEARCH("ELET",A57)))</formula>
    </cfRule>
    <cfRule type="containsText" dxfId="55" priority="5" operator="containsText" text="INST">
      <formula>NOT(ISERROR(SEARCH("INST",A57)))</formula>
    </cfRule>
    <cfRule type="containsText" dxfId="54" priority="6" operator="containsText" text="MEC">
      <formula>NOT(ISERROR(SEARCH("MEC",A57)))</formula>
    </cfRule>
  </conditionalFormatting>
  <conditionalFormatting sqref="A1:G55 A56:F56 B57:E63">
    <cfRule type="containsText" dxfId="53" priority="31" operator="containsText" text="ELET">
      <formula>NOT(ISERROR(SEARCH("ELET",A1)))</formula>
    </cfRule>
    <cfRule type="containsText" dxfId="52" priority="32" operator="containsText" text="INST">
      <formula>NOT(ISERROR(SEARCH("INST",A1)))</formula>
    </cfRule>
    <cfRule type="containsText" dxfId="51" priority="33" operator="containsText" text="MEC">
      <formula>NOT(ISERROR(SEARCH("MEC",A1)))</formula>
    </cfRule>
  </conditionalFormatting>
  <conditionalFormatting sqref="D25:D31">
    <cfRule type="containsText" dxfId="50" priority="22" operator="containsText" text="ELET">
      <formula>NOT(ISERROR(SEARCH("ELET",D25)))</formula>
    </cfRule>
    <cfRule type="containsText" dxfId="49" priority="23" operator="containsText" text="INST">
      <formula>NOT(ISERROR(SEARCH("INST",D25)))</formula>
    </cfRule>
    <cfRule type="containsText" dxfId="48" priority="24" operator="containsText" text="MEC">
      <formula>NOT(ISERROR(SEARCH("MEC",D25)))</formula>
    </cfRule>
  </conditionalFormatting>
  <conditionalFormatting sqref="D35:D63">
    <cfRule type="containsText" dxfId="47" priority="16" operator="containsText" text="ELET">
      <formula>NOT(ISERROR(SEARCH("ELET",D35)))</formula>
    </cfRule>
    <cfRule type="containsText" dxfId="46" priority="17" operator="containsText" text="INST">
      <formula>NOT(ISERROR(SEARCH("INST",D35)))</formula>
    </cfRule>
    <cfRule type="containsText" dxfId="45" priority="18" operator="containsText" text="MEC">
      <formula>NOT(ISERROR(SEARCH("MEC",D35)))</formula>
    </cfRule>
  </conditionalFormatting>
  <conditionalFormatting sqref="E4">
    <cfRule type="containsText" dxfId="44" priority="10" operator="containsText" text="ELET">
      <formula>NOT(ISERROR(SEARCH("ELET",E4)))</formula>
    </cfRule>
    <cfRule type="containsText" dxfId="43" priority="11" operator="containsText" text="INST">
      <formula>NOT(ISERROR(SEARCH("INST",E4)))</formula>
    </cfRule>
    <cfRule type="containsText" dxfId="42" priority="12" operator="containsText" text="MEC">
      <formula>NOT(ISERROR(SEARCH("MEC",E4)))</formula>
    </cfRule>
  </conditionalFormatting>
  <conditionalFormatting sqref="E18:E22">
    <cfRule type="containsText" dxfId="41" priority="28" operator="containsText" text="ELET">
      <formula>NOT(ISERROR(SEARCH("ELET",E18)))</formula>
    </cfRule>
    <cfRule type="containsText" dxfId="40" priority="29" operator="containsText" text="INST">
      <formula>NOT(ISERROR(SEARCH("INST",E18)))</formula>
    </cfRule>
    <cfRule type="containsText" dxfId="39" priority="30" operator="containsText" text="MEC">
      <formula>NOT(ISERROR(SEARCH("MEC",E18)))</formula>
    </cfRule>
  </conditionalFormatting>
  <conditionalFormatting sqref="E22:E28">
    <cfRule type="containsText" dxfId="38" priority="25" operator="containsText" text="ELET">
      <formula>NOT(ISERROR(SEARCH("ELET",E22)))</formula>
    </cfRule>
    <cfRule type="containsText" dxfId="37" priority="26" operator="containsText" text="INST">
      <formula>NOT(ISERROR(SEARCH("INST",E22)))</formula>
    </cfRule>
    <cfRule type="containsText" dxfId="36" priority="27" operator="containsText" text="MEC">
      <formula>NOT(ISERROR(SEARCH("MEC",E22)))</formula>
    </cfRule>
  </conditionalFormatting>
  <conditionalFormatting sqref="E46">
    <cfRule type="containsText" dxfId="35" priority="7" operator="containsText" text="ELET">
      <formula>NOT(ISERROR(SEARCH("ELET",E46)))</formula>
    </cfRule>
    <cfRule type="containsText" dxfId="34" priority="8" operator="containsText" text="INST">
      <formula>NOT(ISERROR(SEARCH("INST",E46)))</formula>
    </cfRule>
    <cfRule type="containsText" dxfId="33" priority="9" operator="containsText" text="MEC">
      <formula>NOT(ISERROR(SEARCH("MEC",E46)))</formula>
    </cfRule>
  </conditionalFormatting>
  <conditionalFormatting sqref="E48:E63">
    <cfRule type="containsText" dxfId="32" priority="13" operator="containsText" text="ELET">
      <formula>NOT(ISERROR(SEARCH("ELET",E48)))</formula>
    </cfRule>
    <cfRule type="containsText" dxfId="31" priority="14" operator="containsText" text="INST">
      <formula>NOT(ISERROR(SEARCH("INST",E48)))</formula>
    </cfRule>
    <cfRule type="containsText" dxfId="30" priority="15" operator="containsText" text="MEC">
      <formula>NOT(ISERROR(SEARCH("MEC",E48)))</formula>
    </cfRule>
  </conditionalFormatting>
  <conditionalFormatting sqref="F57:F63">
    <cfRule type="containsText" dxfId="29" priority="1" operator="containsText" text="ELET">
      <formula>NOT(ISERROR(SEARCH("ELET",F57)))</formula>
    </cfRule>
    <cfRule type="containsText" dxfId="28" priority="2" operator="containsText" text="INST">
      <formula>NOT(ISERROR(SEARCH("INST",F57)))</formula>
    </cfRule>
    <cfRule type="containsText" dxfId="27" priority="3" operator="containsText" text="MEC">
      <formula>NOT(ISERROR(SEARCH("MEC",F57)))</formula>
    </cfRule>
  </conditionalFormatting>
  <conditionalFormatting sqref="I1:J1">
    <cfRule type="containsText" dxfId="26" priority="34" operator="containsText" text="ELET">
      <formula>NOT(ISERROR(SEARCH("ELET",I1)))</formula>
    </cfRule>
    <cfRule type="containsText" dxfId="25" priority="35" operator="containsText" text="INST">
      <formula>NOT(ISERROR(SEARCH("INST",I1)))</formula>
    </cfRule>
    <cfRule type="containsText" dxfId="24" priority="36" operator="containsText" text="MEC">
      <formula>NOT(ISERROR(SEARCH("MEC",I1)))</formula>
    </cfRule>
  </conditionalFormatting>
  <hyperlinks>
    <hyperlink ref="G23" r:id="rId1" display="mailto:maria.santos8@petrobras.com.br" xr:uid="{376F52AF-37B6-4A3B-9F6D-0E175EC194F5}"/>
    <hyperlink ref="G33" r:id="rId2" display="mailto:felipecahet@petrobras.com.br" xr:uid="{A46863DE-3682-4570-8738-E475C5540484}"/>
    <hyperlink ref="G31" r:id="rId3" display="mailto:rperez@petrobras.com.br" xr:uid="{F180C362-5E88-4D35-857A-8FB26EE3AFCA}"/>
    <hyperlink ref="G24" r:id="rId4" display="mailto:antonio.r.cunha@petrobras.com.br" xr:uid="{7316AE85-568F-49BC-8B89-2CA9B7671CDA}"/>
    <hyperlink ref="G35" r:id="rId5" display="mailto:fabio.unterman@petrobras.com.br" xr:uid="{9D02FC2A-FFC8-4D2F-9340-FBD3D46E0AE3}"/>
    <hyperlink ref="G32" r:id="rId6" display="mailto:leandro.eloy@petrobras.com.br" xr:uid="{351052DA-046A-403D-A3CD-3701C48C087F}"/>
    <hyperlink ref="G25" r:id="rId7" display="mailto:vledo@petrobras.com.br" xr:uid="{91A4D6D3-F2E6-4703-A391-36C381DB305E}"/>
    <hyperlink ref="G17" r:id="rId8" display="mailto:aureojr@petrobras.com.br" xr:uid="{5C33C33D-8CB1-4E93-B168-4E0D0A5C12C0}"/>
    <hyperlink ref="G30" r:id="rId9" display="mailto:pietro.konzgen@petrobras.com.br" xr:uid="{D6709593-B9B3-4531-8198-379050B3E662}"/>
    <hyperlink ref="G7" r:id="rId10" display="mailto:reinaldo.merendaz@petrobras.com.br" xr:uid="{C346525F-EB98-4E91-9248-DEFADFDA3530}"/>
    <hyperlink ref="G5" r:id="rId11" display="mailto:jorge.mariano@petrobras.com.br" xr:uid="{538A1737-7A24-4A00-B488-C5905740C1D5}"/>
    <hyperlink ref="G18" r:id="rId12" display="mailto:julio.fassarela@petrobras.com.br" xr:uid="{3DD9F62C-0CD3-47AB-8932-4E3F9AC5DE9A}"/>
    <hyperlink ref="G29" r:id="rId13" display="mailto:julio.bento@petrobras.com.br" xr:uid="{A56B0CD3-7DCE-4C76-9169-C52346B6C6D2}"/>
    <hyperlink ref="G16" r:id="rId14" display="mailto:eder.reis@petrobras.com.br" xr:uid="{C6C52E05-0C08-4292-A790-BA31C194F045}"/>
    <hyperlink ref="G15" r:id="rId15" display="mailto:kevin.cunha@petrobras.com.br" xr:uid="{C9180A6D-6BB2-4FBF-85B6-CCB751891DE5}"/>
    <hyperlink ref="G14" r:id="rId16" display="mailto:andre.sthel@petrobras.com.br" xr:uid="{F91DF56C-BA14-422D-8E19-7CBA0EB34838}"/>
    <hyperlink ref="G9" r:id="rId17" display="mailto:junio.matos@petrobras.com.br" xr:uid="{875283DC-1D4D-42DB-8BF0-853C8EE288A3}"/>
    <hyperlink ref="G11" r:id="rId18" display="mailto:flaviomarinho@petrobras.com.br" xr:uid="{4EC41A15-D0A2-436D-AD6E-2D5134C350BF}"/>
    <hyperlink ref="G10" r:id="rId19" display="mailto:marsantos@petrobras.com.br" xr:uid="{2B45D3FB-E261-4B4C-9298-1CEDF9F59394}"/>
    <hyperlink ref="G26" r:id="rId20" display="mailto:rafaelventurini@petrobras.com.br" xr:uid="{C5641994-74BF-4302-8C94-FF878120FAB0}"/>
    <hyperlink ref="G34" r:id="rId21" display="mailto:marcelo.vaqueiro@petrobras.com.br" xr:uid="{0B058E92-A933-4FC4-9CFD-6C482AC105E9}"/>
    <hyperlink ref="G36" r:id="rId22" display="mailto:thiago_gomes@petrobras.com.br" xr:uid="{038CA565-0800-4A39-AB34-4A3F2CD09713}"/>
    <hyperlink ref="G6" r:id="rId23" display="mailto:er.amaral@petrobras.com.br" xr:uid="{D3C769F8-64A7-41C2-8117-634FA3334D5D}"/>
    <hyperlink ref="G27" r:id="rId24" display="mailto:raulalende@petrobras.com.br" xr:uid="{94D79B09-F080-48B4-9AB0-A639137FBC42}"/>
    <hyperlink ref="G8" r:id="rId25" display="mailto:igorteixeira@petrobras.com.br" xr:uid="{842C7E50-0243-44E0-B5FA-188330A13DC2}"/>
    <hyperlink ref="G19" r:id="rId26" display="mailto:andi9@petrobras.com.br" xr:uid="{9F5A0D6A-C3F2-4CF1-9370-818AF19EF173}"/>
    <hyperlink ref="G20" r:id="rId27" display="mailto:diogosouza@petrobras.com.br" xr:uid="{173BD878-CF91-4447-8696-D935E30C45D7}"/>
    <hyperlink ref="G21" r:id="rId28" display="mailto:al.larangeira@petrobras.com.br" xr:uid="{BAB550EC-140F-4CE6-8E0B-A9F5F2D9339B}"/>
    <hyperlink ref="G13" r:id="rId29" display="mailto:tmenegussi@petrobras.com.br" xr:uid="{B5D62EFC-1B4B-4C97-AA4A-878F6E4DB801}"/>
    <hyperlink ref="G28" r:id="rId30" display="mailto:alexsandroviana@petrobras.com.br" xr:uid="{4E41F1B9-3705-4811-9825-9AAE84C7B904}"/>
    <hyperlink ref="G37" r:id="rId31" display="mailto:vinicius.s.duarte@petrobras.com.br" xr:uid="{52EC1E44-E618-4EFA-A9A9-17E9A4007B6C}"/>
    <hyperlink ref="G2" r:id="rId32" display="mailto:tonicler.kutz@petrobras.com.br" xr:uid="{33E00501-5D32-404C-8F8B-63F16D9442EF}"/>
    <hyperlink ref="G22" r:id="rId33" display="mailto:wellingtonmarques@petrobras.com.br" xr:uid="{D6925FFD-C40D-465C-87AA-99770DAAC6C6}"/>
    <hyperlink ref="G12" r:id="rId34" display="mailto:marcioamaral@petrobras.com.br" xr:uid="{870BD905-9071-4E46-9257-6DA046B0CFC6}"/>
    <hyperlink ref="G4" r:id="rId35" display="mailto:breno.batista@petrobras.com.br" xr:uid="{6CC701F5-D552-4493-93E4-38B14ED94348}"/>
    <hyperlink ref="G38" r:id="rId36" display="mailto:andre.silva35@petrobras.com.br" xr:uid="{F56D2DD0-3037-45DF-B2A3-5BE5E74AAFC8}"/>
    <hyperlink ref="G40" r:id="rId37" display="mailto:dimitriaraujo@petrobras.com.br" xr:uid="{F1AB3A1C-1A51-4F07-8E09-90053DD6E098}"/>
    <hyperlink ref="G43" r:id="rId38" display="mailto:pablo.p.almeida@petrobras.com.br" xr:uid="{315A4F40-CE3E-4D79-9198-A1EF982267C3}"/>
    <hyperlink ref="G44" r:id="rId39" display="mailto:ronald.quaresma@petrobras.com.br" xr:uid="{8B86ECE3-C22D-495D-AC43-6CBA4F74F8B3}"/>
    <hyperlink ref="G45" r:id="rId40" display="mailto:victor.f.campos@petrobras.com.br" xr:uid="{1FE05751-5E61-4F2B-8D1B-890990D7D396}"/>
    <hyperlink ref="G46" r:id="rId41" display="mailto:jailton.conceicao@petrobras.com.br" xr:uid="{1CAF8475-DF23-4462-AD10-A5C7B587E51B}"/>
    <hyperlink ref="G47" r:id="rId42" display="mailto:luiz.serpa@petrobras.com.br" xr:uid="{4278C34C-BDFA-4DA1-84BF-B801F812337D}"/>
    <hyperlink ref="G48" r:id="rId43" display="mailto:ricardo.uema@petrobras.com.br" xr:uid="{EEA03B09-FA1F-4A9D-8B33-7D129735BAAA}"/>
    <hyperlink ref="G39" r:id="rId44" display="mailto:thielles.gustavo@petrobras.com.br" xr:uid="{4E13931B-422B-4693-82C4-21B560F41EC3}"/>
    <hyperlink ref="G3" r:id="rId45" display="mailto:luiz.ramos3@petrobras.com.br" xr:uid="{CDEC9CD3-18F3-4037-89A6-6C124C2FAB6B}"/>
    <hyperlink ref="G49" r:id="rId46" display="mailto:alexandre.martins@petrobras.com.br" xr:uid="{0ECA369B-C4F0-4D73-8581-30F8227A2AF0}"/>
    <hyperlink ref="G50" r:id="rId47" display="mailto:acrodrig@petrobras.com.br" xr:uid="{11CB2705-9BAF-483C-9915-CBD5FF63DC85}"/>
    <hyperlink ref="G51" r:id="rId48" display="mailto:acdantas@petrobras.com.br" xr:uid="{E8AB579B-D5FF-4CDA-9F29-7D247928C34D}"/>
    <hyperlink ref="G52" r:id="rId49" display="mailto:aureliorv@petrobras.com.br" xr:uid="{29CE8973-9513-4311-8E7B-99820397B973}"/>
    <hyperlink ref="G53" r:id="rId50" display="mailto:jluiscruz@petrobras.com.br" xr:uid="{BB2456B7-9A25-4293-AE93-DC57557B1CEF}"/>
    <hyperlink ref="G54" r:id="rId51" display="mailto:fredericoaugusto@petrobras.com.br" xr:uid="{797F2328-712E-41BD-AEDA-84DF7F09BC23}"/>
    <hyperlink ref="G55" r:id="rId52" display="mailto:rodrigosfn@petrobras.com.br" xr:uid="{65F0076F-84AB-4231-8726-E2A65686576E}"/>
    <hyperlink ref="G42" r:id="rId53" display="mailto:edison.amaral@petrobras.com.br" xr:uid="{EE076354-53F7-4AA2-8597-018E0B2E8941}"/>
    <hyperlink ref="G56" r:id="rId54" xr:uid="{DF3A12FF-D311-4633-A57F-DF4AB320BE91}"/>
    <hyperlink ref="G57" r:id="rId55" xr:uid="{830B4944-B46D-4927-8981-CFA567BDE0FB}"/>
    <hyperlink ref="G58" r:id="rId56" display="mailto:lincoln.azeredo@petrobras.com.br" xr:uid="{DD5FA2C9-4FE0-4586-B5F8-DFFFDDBBEE95}"/>
    <hyperlink ref="G59" r:id="rId57" display="mailto:anthony.pimenta@petrobras.com.br" xr:uid="{C2BB6234-C8D3-4720-B074-62B5E8BD1900}"/>
    <hyperlink ref="G60" r:id="rId58" display="mailto:caio.rozario@petrobras.com.br" xr:uid="{DFE412A6-EC58-4B16-9A7F-B7DAC0D1B214}"/>
    <hyperlink ref="G61" r:id="rId59" display="mailto:ronaldo.serafim@petrobras.com.br" xr:uid="{A7390215-BE86-4B29-BCA9-F6F75FBB7C58}"/>
    <hyperlink ref="G62" r:id="rId60" display="mailto:thiago.potasio@petrobras.com.br" xr:uid="{C16874CB-12C1-4D36-B43C-90FD3ADE7800}"/>
    <hyperlink ref="G63" r:id="rId61" display="mailto:wellinton.pablo@petrobras.com.br" xr:uid="{8B46BD39-63B6-4024-84D0-DD7F5B92E33A}"/>
  </hyperlink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01D2C-3B8C-401D-A3DC-45DAB443D846}">
  <sheetPr filterMode="1"/>
  <dimension ref="B1:AM97"/>
  <sheetViews>
    <sheetView showGridLines="0" topLeftCell="N1" zoomScaleNormal="100" workbookViewId="0">
      <selection activeCell="AM32" sqref="AM32"/>
    </sheetView>
  </sheetViews>
  <sheetFormatPr defaultRowHeight="15" customHeight="1"/>
  <cols>
    <col min="2" max="2" width="12" style="5" bestFit="1" customWidth="1"/>
    <col min="3" max="3" width="10.5703125" style="5" bestFit="1" customWidth="1"/>
    <col min="4" max="4" width="14.42578125" style="5" bestFit="1" customWidth="1"/>
    <col min="5" max="7" width="12.42578125" style="5" customWidth="1"/>
    <col min="8" max="8" width="4.5703125" style="5" customWidth="1"/>
    <col min="9" max="9" width="14.140625" style="5" customWidth="1"/>
    <col min="10" max="10" width="10.5703125" style="5" bestFit="1" customWidth="1"/>
    <col min="11" max="11" width="10.85546875" style="5" bestFit="1" customWidth="1"/>
    <col min="12" max="12" width="9.5703125" style="5" bestFit="1" customWidth="1"/>
    <col min="13" max="13" width="9.5703125" style="5" customWidth="1"/>
    <col min="14" max="14" width="12.42578125" style="5" customWidth="1"/>
    <col min="15" max="15" width="2.42578125" style="5" customWidth="1"/>
    <col min="16" max="16" width="12" style="5" bestFit="1" customWidth="1"/>
    <col min="17" max="18" width="10.5703125" style="5" bestFit="1" customWidth="1"/>
    <col min="19" max="19" width="8.5703125" style="5" bestFit="1" customWidth="1"/>
    <col min="20" max="20" width="8.5703125" style="5" customWidth="1"/>
    <col min="21" max="21" width="12.140625" style="5" customWidth="1"/>
    <col min="22" max="22" width="2.42578125" style="5" customWidth="1"/>
    <col min="23" max="23" width="12" style="5" bestFit="1" customWidth="1"/>
    <col min="24" max="24" width="13.85546875" style="5" customWidth="1"/>
    <col min="25" max="25" width="10.5703125" style="5" bestFit="1" customWidth="1"/>
    <col min="26" max="26" width="8" style="5" bestFit="1" customWidth="1"/>
    <col min="28" max="28" width="12" customWidth="1"/>
    <col min="35" max="35" width="17.85546875" bestFit="1" customWidth="1"/>
    <col min="36" max="36" width="14.85546875" bestFit="1" customWidth="1"/>
    <col min="37" max="37" width="13.5703125" bestFit="1" customWidth="1"/>
    <col min="38" max="38" width="10.42578125" bestFit="1" customWidth="1"/>
    <col min="39" max="39" width="9.140625" bestFit="1" customWidth="1"/>
  </cols>
  <sheetData>
    <row r="1" spans="2:39" ht="14.45">
      <c r="F1" s="126"/>
    </row>
    <row r="2" spans="2:39" ht="15" customHeight="1">
      <c r="B2" s="188" t="s">
        <v>759</v>
      </c>
      <c r="C2" s="188"/>
      <c r="D2" s="188"/>
      <c r="E2" s="188"/>
      <c r="F2" s="189"/>
      <c r="G2" s="189"/>
      <c r="I2" s="188" t="s">
        <v>539</v>
      </c>
      <c r="J2" s="188"/>
      <c r="K2" s="188"/>
      <c r="L2" s="188"/>
      <c r="M2" s="188"/>
      <c r="N2" s="188"/>
      <c r="P2" s="188" t="s">
        <v>489</v>
      </c>
      <c r="Q2" s="188"/>
      <c r="R2" s="188"/>
      <c r="S2" s="188"/>
      <c r="T2" s="188"/>
      <c r="U2" s="188"/>
      <c r="W2" s="188" t="s">
        <v>294</v>
      </c>
      <c r="X2" s="188"/>
      <c r="Y2" s="188"/>
      <c r="Z2" s="188"/>
      <c r="AA2" s="188"/>
      <c r="AB2" s="188"/>
      <c r="AE2" s="5"/>
      <c r="AF2" s="5"/>
      <c r="AG2" s="5"/>
      <c r="AH2" s="5"/>
      <c r="AI2" s="5"/>
      <c r="AJ2" s="187" t="s">
        <v>760</v>
      </c>
      <c r="AK2" s="187"/>
      <c r="AL2" s="187" t="s">
        <v>761</v>
      </c>
      <c r="AM2" s="187"/>
    </row>
    <row r="3" spans="2:39" ht="14.45">
      <c r="B3" s="110" t="s">
        <v>762</v>
      </c>
      <c r="C3" s="110" t="s">
        <v>762</v>
      </c>
      <c r="D3" s="110" t="s">
        <v>763</v>
      </c>
      <c r="E3" s="125" t="s">
        <v>764</v>
      </c>
      <c r="F3" s="124" t="s">
        <v>765</v>
      </c>
      <c r="G3" s="124" t="s">
        <v>764</v>
      </c>
      <c r="I3" s="110" t="s">
        <v>762</v>
      </c>
      <c r="J3" s="110" t="s">
        <v>762</v>
      </c>
      <c r="K3" s="110" t="s">
        <v>763</v>
      </c>
      <c r="L3" s="110" t="s">
        <v>766</v>
      </c>
      <c r="M3" s="124" t="s">
        <v>765</v>
      </c>
      <c r="N3" s="124" t="s">
        <v>764</v>
      </c>
      <c r="P3" s="110" t="s">
        <v>762</v>
      </c>
      <c r="Q3" s="110" t="s">
        <v>762</v>
      </c>
      <c r="R3" s="110" t="s">
        <v>763</v>
      </c>
      <c r="S3" s="110" t="s">
        <v>766</v>
      </c>
      <c r="T3" s="124" t="s">
        <v>765</v>
      </c>
      <c r="U3" s="124" t="s">
        <v>764</v>
      </c>
      <c r="W3" s="90" t="s">
        <v>762</v>
      </c>
      <c r="X3" s="90" t="s">
        <v>762</v>
      </c>
      <c r="Y3" s="90" t="s">
        <v>763</v>
      </c>
      <c r="Z3" s="90" t="s">
        <v>766</v>
      </c>
      <c r="AA3" s="124" t="s">
        <v>765</v>
      </c>
      <c r="AB3" s="124" t="s">
        <v>764</v>
      </c>
      <c r="AD3" s="97" t="s">
        <v>596</v>
      </c>
      <c r="AE3" s="98" t="s">
        <v>1</v>
      </c>
      <c r="AF3" s="98" t="s">
        <v>597</v>
      </c>
      <c r="AG3" s="98" t="s">
        <v>598</v>
      </c>
      <c r="AH3" s="99" t="s">
        <v>599</v>
      </c>
      <c r="AI3" s="99" t="s">
        <v>0</v>
      </c>
      <c r="AJ3" s="97" t="s">
        <v>763</v>
      </c>
      <c r="AK3" s="97" t="s">
        <v>767</v>
      </c>
      <c r="AL3" s="97" t="s">
        <v>763</v>
      </c>
      <c r="AM3" s="97" t="s">
        <v>767</v>
      </c>
    </row>
    <row r="4" spans="2:39" ht="14.45">
      <c r="B4" s="89">
        <v>45505</v>
      </c>
      <c r="C4" s="91">
        <f>B4-1</f>
        <v>45504</v>
      </c>
      <c r="D4" s="82">
        <f>K4+R4+Y4</f>
        <v>1</v>
      </c>
      <c r="E4" s="113">
        <f>COUNTIFS(Equipe!F:F,"Novo",Equipe!D:D,"Técnico")*3</f>
        <v>90</v>
      </c>
      <c r="F4" s="82">
        <f t="shared" ref="F4:F33" si="0">M4+T4+AA4</f>
        <v>12</v>
      </c>
      <c r="G4" s="115">
        <f t="shared" ref="G4:G33" si="1">E4*14</f>
        <v>1260</v>
      </c>
      <c r="I4" s="89">
        <v>45505</v>
      </c>
      <c r="J4" s="91">
        <f>I4-1</f>
        <v>45504</v>
      </c>
      <c r="K4" s="82">
        <f>COUNTIFS('Planejamento IED'!C:C,"&lt;"&amp;J4,'Planejamento IED'!F:F,"Embarque",'Planejamento IED'!H:H,'Embarques Vivenciais'!$I$2,'Planejamento IED'!I:I,"Novo")</f>
        <v>0</v>
      </c>
      <c r="L4" s="82">
        <f>COUNTIFS(Equipe!F:F,"Novo",Equipe!D:D,"Técnico",Equipe!E:E,$I$2)*3</f>
        <v>24</v>
      </c>
      <c r="M4" s="115">
        <f>SUMIFS('Planejamento IED'!E:E,'Planejamento IED'!C:C,"&lt;"&amp;J4,'Planejamento IED'!F:F,"Embarque",'Planejamento IED'!H:H,'Embarques Vivenciais'!$I$2,'Planejamento IED'!I:I,"Novo")</f>
        <v>0</v>
      </c>
      <c r="N4" s="115">
        <f t="shared" ref="N4:N33" si="2">L4*14</f>
        <v>336</v>
      </c>
      <c r="P4" s="89">
        <v>45505</v>
      </c>
      <c r="Q4" s="91">
        <f>P4-1</f>
        <v>45504</v>
      </c>
      <c r="R4" s="82">
        <f>COUNTIFS('Planejamento IED'!C:C,"&lt;"&amp;Q4,'Planejamento IED'!F:F,"Embarque",'Planejamento IED'!H:H,'Embarques Vivenciais'!$P$2,'Planejamento IED'!I:I,"Novo")</f>
        <v>1</v>
      </c>
      <c r="S4" s="82">
        <f>COUNTIFS(Equipe!F:F,"Novo",Equipe!D:D,"Técnico",Equipe!E:E,$P$2)*3</f>
        <v>24</v>
      </c>
      <c r="T4" s="115">
        <f>SUMIFS('Planejamento IED'!E:E,'Planejamento IED'!C:C,"&lt;"&amp;Q4,'Planejamento IED'!F:F,"Embarque",'Planejamento IED'!H:H,'Embarques Vivenciais'!$P$2,'Planejamento IED'!I:I,"Novo")</f>
        <v>12</v>
      </c>
      <c r="U4" s="115">
        <f t="shared" ref="U4:U33" si="3">S4*14</f>
        <v>336</v>
      </c>
      <c r="W4" s="89">
        <v>45505</v>
      </c>
      <c r="X4" s="91">
        <f>W4-1</f>
        <v>45504</v>
      </c>
      <c r="Y4" s="82">
        <f>COUNTIFS('Planejamento IED'!C:C,"&lt;"&amp;X4,'Planejamento IED'!F:F,"Embarque",'Planejamento IED'!H:H,'Embarques Vivenciais'!$W$2,'Planejamento IED'!I:I,"Novo")</f>
        <v>0</v>
      </c>
      <c r="Z4" s="82">
        <f>COUNTIFS(Equipe!F:F,"Novo",Equipe!D:D,"Técnico",Equipe!E:E,$W$2)*3</f>
        <v>21</v>
      </c>
      <c r="AA4" s="115">
        <f>SUMIFS('Planejamento IED'!E:E,'Planejamento IED'!C:C,"&lt;"&amp;X4,'Planejamento IED'!F:F,"Embarque",'Planejamento IED'!H:H,'Embarques Vivenciais'!$W$2,'Planejamento IED'!I:I,"Novo")</f>
        <v>0</v>
      </c>
      <c r="AB4" s="115">
        <f t="shared" ref="AB4:AB33" si="4">Z4*14</f>
        <v>294</v>
      </c>
      <c r="AD4" s="79" t="s">
        <v>604</v>
      </c>
      <c r="AE4" s="100">
        <v>4612171</v>
      </c>
      <c r="AF4" s="100" t="s">
        <v>605</v>
      </c>
      <c r="AG4" s="101" t="s">
        <v>606</v>
      </c>
      <c r="AH4" s="102" t="s">
        <v>539</v>
      </c>
      <c r="AI4" s="102" t="s">
        <v>116</v>
      </c>
      <c r="AJ4" s="102">
        <f ca="1">COUNTIFS('Planejamento IED'!A:A,'Embarques Vivenciais'!AI4,'Planejamento IED'!F:F,"Embarque",'Planejamento IED'!C:C,"&lt;="&amp;TODAY())</f>
        <v>3</v>
      </c>
      <c r="AK4" s="102">
        <f ca="1">SUMIFS('Planejamento IED'!E:E,'Planejamento IED'!A:A,AI4,'Planejamento IED'!F:F,"Embarque",'Planejamento IED'!D:D,"&lt;="&amp;TODAY())</f>
        <v>20</v>
      </c>
      <c r="AL4" s="102">
        <f>COUNTIFS('Planejamento IED'!A:A,'Embarques Vivenciais'!AI4,'Planejamento IED'!F:F,"Embarque")</f>
        <v>4</v>
      </c>
      <c r="AM4" s="102">
        <f>SUMIFS('Planejamento IED'!E:E,'Planejamento IED'!A:A,AI4,'Planejamento IED'!F:F,"Embarque")</f>
        <v>34</v>
      </c>
    </row>
    <row r="5" spans="2:39" ht="14.45" hidden="1">
      <c r="B5" s="89">
        <v>45536</v>
      </c>
      <c r="C5" s="91">
        <f t="shared" ref="C5:C33" si="5">B5-1</f>
        <v>45535</v>
      </c>
      <c r="D5" s="82">
        <f t="shared" ref="D5:D33" si="6">K5+R5+Y5</f>
        <v>1</v>
      </c>
      <c r="E5" s="113">
        <f>COUNTIFS(Equipe!F:F,"Novo",Equipe!D:D,"Técnico")*3</f>
        <v>90</v>
      </c>
      <c r="F5" s="82">
        <f t="shared" si="0"/>
        <v>12</v>
      </c>
      <c r="G5" s="115">
        <f t="shared" si="1"/>
        <v>1260</v>
      </c>
      <c r="I5" s="89">
        <v>45536</v>
      </c>
      <c r="J5" s="91">
        <f t="shared" ref="J5:J33" si="7">I5-1</f>
        <v>45535</v>
      </c>
      <c r="K5" s="82">
        <f>COUNTIFS('Planejamento IED'!C:C,"&lt;"&amp;J5,'Planejamento IED'!F:F,"Embarque",'Planejamento IED'!H:H,'Embarques Vivenciais'!$I$2,'Planejamento IED'!I:I,"Novo")</f>
        <v>0</v>
      </c>
      <c r="L5" s="82">
        <f>COUNTIFS(Equipe!F:F,"Novo",Equipe!D:D,"Técnico",Equipe!E:E,$I$2)*3</f>
        <v>24</v>
      </c>
      <c r="M5" s="115">
        <f>SUMIFS('Planejamento IED'!E:E,'Planejamento IED'!C:C,"&lt;"&amp;J5,'Planejamento IED'!F:F,"Embarque",'Planejamento IED'!H:H,'Embarques Vivenciais'!$I$2,'Planejamento IED'!I:I,"Novo")</f>
        <v>0</v>
      </c>
      <c r="N5" s="115">
        <f t="shared" si="2"/>
        <v>336</v>
      </c>
      <c r="P5" s="89">
        <v>45536</v>
      </c>
      <c r="Q5" s="91">
        <f t="shared" ref="Q5:Q33" si="8">P5-1</f>
        <v>45535</v>
      </c>
      <c r="R5" s="82">
        <f>COUNTIFS('Planejamento IED'!C:C,"&lt;"&amp;Q5,'Planejamento IED'!F:F,"Embarque",'Planejamento IED'!H:H,'Embarques Vivenciais'!$P$2,'Planejamento IED'!I:I,"Novo")</f>
        <v>1</v>
      </c>
      <c r="S5" s="82">
        <f>COUNTIFS(Equipe!F:F,"Novo",Equipe!D:D,"Técnico",Equipe!E:E,$P$2)*3</f>
        <v>24</v>
      </c>
      <c r="T5" s="115">
        <f>SUMIFS('Planejamento IED'!E:E,'Planejamento IED'!C:C,"&lt;"&amp;Q5,'Planejamento IED'!F:F,"Embarque",'Planejamento IED'!H:H,'Embarques Vivenciais'!$P$2,'Planejamento IED'!I:I,"Novo")</f>
        <v>12</v>
      </c>
      <c r="U5" s="115">
        <f t="shared" si="3"/>
        <v>336</v>
      </c>
      <c r="W5" s="89">
        <v>45536</v>
      </c>
      <c r="X5" s="91">
        <f t="shared" ref="X5:X33" si="9">W5-1</f>
        <v>45535</v>
      </c>
      <c r="Y5" s="82">
        <f>COUNTIFS('Planejamento IED'!C:C,"&lt;"&amp;X5,'Planejamento IED'!F:F,"Embarque",'Planejamento IED'!H:H,'Embarques Vivenciais'!$W$2,'Planejamento IED'!I:I,"Novo")</f>
        <v>0</v>
      </c>
      <c r="Z5" s="82">
        <f>COUNTIFS(Equipe!F:F,"Novo",Equipe!D:D,"Técnico",Equipe!E:E,$W$2)*3</f>
        <v>21</v>
      </c>
      <c r="AA5" s="115">
        <f>SUMIFS('Planejamento IED'!E:E,'Planejamento IED'!C:C,"&lt;"&amp;X5,'Planejamento IED'!F:F,"Embarque",'Planejamento IED'!H:H,'Embarques Vivenciais'!$W$2,'Planejamento IED'!I:I,"Novo")</f>
        <v>0</v>
      </c>
      <c r="AB5" s="115">
        <f t="shared" si="4"/>
        <v>294</v>
      </c>
      <c r="AD5" s="79" t="s">
        <v>604</v>
      </c>
      <c r="AE5" s="94">
        <v>4612050</v>
      </c>
      <c r="AF5" s="94" t="s">
        <v>609</v>
      </c>
      <c r="AG5" s="95" t="s">
        <v>606</v>
      </c>
      <c r="AH5" s="96" t="s">
        <v>489</v>
      </c>
      <c r="AI5" s="96" t="s">
        <v>106</v>
      </c>
      <c r="AJ5" s="102">
        <f ca="1">COUNTIFS('Planejamento IED'!A:A,'Embarques Vivenciais'!AI5,'Planejamento IED'!F:F,"Embarque",'Planejamento IED'!C:C,"&lt;="&amp;TODAY())</f>
        <v>2</v>
      </c>
      <c r="AK5" s="102">
        <f ca="1">SUMIFS('Planejamento IED'!E:E,'Planejamento IED'!A:A,AI5,'Planejamento IED'!F:F,"Embarque",'Planejamento IED'!D:D,"&lt;="&amp;TODAY())</f>
        <v>16</v>
      </c>
      <c r="AL5" s="102">
        <f>COUNTIFS('Planejamento IED'!A:A,'Embarques Vivenciais'!AI5,'Planejamento IED'!F:F,"Embarque")</f>
        <v>2</v>
      </c>
      <c r="AM5" s="102">
        <f>SUMIFS('Planejamento IED'!E:E,'Planejamento IED'!A:A,AI5,'Planejamento IED'!F:F,"Embarque")</f>
        <v>16</v>
      </c>
    </row>
    <row r="6" spans="2:39" ht="14.45" hidden="1">
      <c r="B6" s="89">
        <v>45566</v>
      </c>
      <c r="C6" s="91">
        <f t="shared" si="5"/>
        <v>45565</v>
      </c>
      <c r="D6" s="82">
        <f t="shared" si="6"/>
        <v>2</v>
      </c>
      <c r="E6" s="113">
        <f>COUNTIFS(Equipe!F:F,"Novo",Equipe!D:D,"Técnico")*3</f>
        <v>90</v>
      </c>
      <c r="F6" s="82">
        <f t="shared" si="0"/>
        <v>24</v>
      </c>
      <c r="G6" s="115">
        <f t="shared" si="1"/>
        <v>1260</v>
      </c>
      <c r="I6" s="89">
        <v>45566</v>
      </c>
      <c r="J6" s="91">
        <f t="shared" si="7"/>
        <v>45565</v>
      </c>
      <c r="K6" s="82">
        <f>COUNTIFS('Planejamento IED'!C:C,"&lt;"&amp;J6,'Planejamento IED'!F:F,"Embarque",'Planejamento IED'!H:H,'Embarques Vivenciais'!$I$2,'Planejamento IED'!I:I,"Novo")</f>
        <v>0</v>
      </c>
      <c r="L6" s="82">
        <f>COUNTIFS(Equipe!F:F,"Novo",Equipe!D:D,"Técnico",Equipe!E:E,$I$2)*3</f>
        <v>24</v>
      </c>
      <c r="M6" s="115">
        <f>SUMIFS('Planejamento IED'!E:E,'Planejamento IED'!C:C,"&lt;"&amp;J6,'Planejamento IED'!F:F,"Embarque",'Planejamento IED'!H:H,'Embarques Vivenciais'!$I$2,'Planejamento IED'!I:I,"Novo")</f>
        <v>0</v>
      </c>
      <c r="N6" s="115">
        <f t="shared" si="2"/>
        <v>336</v>
      </c>
      <c r="P6" s="89">
        <v>45566</v>
      </c>
      <c r="Q6" s="91">
        <f t="shared" si="8"/>
        <v>45565</v>
      </c>
      <c r="R6" s="82">
        <f>COUNTIFS('Planejamento IED'!C:C,"&lt;"&amp;Q6,'Planejamento IED'!F:F,"Embarque",'Planejamento IED'!H:H,'Embarques Vivenciais'!$P$2,'Planejamento IED'!I:I,"Novo")</f>
        <v>1</v>
      </c>
      <c r="S6" s="82">
        <f>COUNTIFS(Equipe!F:F,"Novo",Equipe!D:D,"Técnico",Equipe!E:E,$P$2)*3</f>
        <v>24</v>
      </c>
      <c r="T6" s="115">
        <f>SUMIFS('Planejamento IED'!E:E,'Planejamento IED'!C:C,"&lt;"&amp;Q6,'Planejamento IED'!F:F,"Embarque",'Planejamento IED'!H:H,'Embarques Vivenciais'!$P$2,'Planejamento IED'!I:I,"Novo")</f>
        <v>12</v>
      </c>
      <c r="U6" s="115">
        <f t="shared" si="3"/>
        <v>336</v>
      </c>
      <c r="W6" s="89">
        <v>45566</v>
      </c>
      <c r="X6" s="91">
        <f t="shared" si="9"/>
        <v>45565</v>
      </c>
      <c r="Y6" s="82">
        <f>COUNTIFS('Planejamento IED'!C:C,"&lt;"&amp;X6,'Planejamento IED'!F:F,"Embarque",'Planejamento IED'!H:H,'Embarques Vivenciais'!$W$2,'Planejamento IED'!I:I,"Novo")</f>
        <v>1</v>
      </c>
      <c r="Z6" s="82">
        <f>COUNTIFS(Equipe!F:F,"Novo",Equipe!D:D,"Técnico",Equipe!E:E,$W$2)*3</f>
        <v>21</v>
      </c>
      <c r="AA6" s="115">
        <f>SUMIFS('Planejamento IED'!E:E,'Planejamento IED'!C:C,"&lt;"&amp;X6,'Planejamento IED'!F:F,"Embarque",'Planejamento IED'!H:H,'Embarques Vivenciais'!$W$2,'Planejamento IED'!I:I,"Novo")</f>
        <v>12</v>
      </c>
      <c r="AB6" s="115">
        <f t="shared" si="4"/>
        <v>294</v>
      </c>
      <c r="AD6" s="79" t="s">
        <v>604</v>
      </c>
      <c r="AE6" s="100">
        <v>4612140</v>
      </c>
      <c r="AF6" s="100" t="s">
        <v>611</v>
      </c>
      <c r="AG6" s="101" t="s">
        <v>606</v>
      </c>
      <c r="AH6" s="102" t="s">
        <v>294</v>
      </c>
      <c r="AI6" s="102" t="s">
        <v>114</v>
      </c>
      <c r="AJ6" s="117">
        <f ca="1">COUNTIFS('Planejamento IED'!A:A,'Embarques Vivenciais'!AI6,'Planejamento IED'!F:F,"Embarque",'Planejamento IED'!C:C,"&lt;="&amp;TODAY())</f>
        <v>4</v>
      </c>
      <c r="AK6" s="117">
        <f ca="1">SUMIFS('Planejamento IED'!E:E,'Planejamento IED'!A:A,AI6,'Planejamento IED'!F:F,"Embarque",'Planejamento IED'!D:D,"&lt;="&amp;TODAY())</f>
        <v>42</v>
      </c>
      <c r="AL6" s="117">
        <f>COUNTIFS('Planejamento IED'!A:A,'Embarques Vivenciais'!AI6,'Planejamento IED'!F:F,"Embarque")</f>
        <v>4</v>
      </c>
      <c r="AM6" s="117">
        <f>SUMIFS('Planejamento IED'!E:E,'Planejamento IED'!A:A,AI6,'Planejamento IED'!F:F,"Embarque")</f>
        <v>42</v>
      </c>
    </row>
    <row r="7" spans="2:39" ht="14.45">
      <c r="B7" s="89">
        <v>45597</v>
      </c>
      <c r="C7" s="91">
        <f t="shared" si="5"/>
        <v>45596</v>
      </c>
      <c r="D7" s="82">
        <f t="shared" si="6"/>
        <v>2</v>
      </c>
      <c r="E7" s="113">
        <f>COUNTIFS(Equipe!F:F,"Novo",Equipe!D:D,"Técnico")*3</f>
        <v>90</v>
      </c>
      <c r="F7" s="82">
        <f t="shared" si="0"/>
        <v>24</v>
      </c>
      <c r="G7" s="115">
        <f t="shared" si="1"/>
        <v>1260</v>
      </c>
      <c r="I7" s="89">
        <v>45597</v>
      </c>
      <c r="J7" s="91">
        <f t="shared" si="7"/>
        <v>45596</v>
      </c>
      <c r="K7" s="82">
        <f>COUNTIFS('Planejamento IED'!C:C,"&lt;"&amp;J7,'Planejamento IED'!F:F,"Embarque",'Planejamento IED'!H:H,'Embarques Vivenciais'!$I$2,'Planejamento IED'!I:I,"Novo")</f>
        <v>0</v>
      </c>
      <c r="L7" s="82">
        <f>COUNTIFS(Equipe!F:F,"Novo",Equipe!D:D,"Técnico",Equipe!E:E,$I$2)*3</f>
        <v>24</v>
      </c>
      <c r="M7" s="115">
        <f>SUMIFS('Planejamento IED'!E:E,'Planejamento IED'!C:C,"&lt;"&amp;J7,'Planejamento IED'!F:F,"Embarque",'Planejamento IED'!H:H,'Embarques Vivenciais'!$I$2,'Planejamento IED'!I:I,"Novo")</f>
        <v>0</v>
      </c>
      <c r="N7" s="115">
        <f t="shared" si="2"/>
        <v>336</v>
      </c>
      <c r="P7" s="89">
        <v>45597</v>
      </c>
      <c r="Q7" s="91">
        <f t="shared" si="8"/>
        <v>45596</v>
      </c>
      <c r="R7" s="82">
        <f>COUNTIFS('Planejamento IED'!C:C,"&lt;"&amp;Q7,'Planejamento IED'!F:F,"Embarque",'Planejamento IED'!H:H,'Embarques Vivenciais'!$P$2,'Planejamento IED'!I:I,"Novo")</f>
        <v>1</v>
      </c>
      <c r="S7" s="82">
        <f>COUNTIFS(Equipe!F:F,"Novo",Equipe!D:D,"Técnico",Equipe!E:E,$P$2)*3</f>
        <v>24</v>
      </c>
      <c r="T7" s="115">
        <f>SUMIFS('Planejamento IED'!E:E,'Planejamento IED'!C:C,"&lt;"&amp;Q7,'Planejamento IED'!F:F,"Embarque",'Planejamento IED'!H:H,'Embarques Vivenciais'!$P$2,'Planejamento IED'!I:I,"Novo")</f>
        <v>12</v>
      </c>
      <c r="U7" s="115">
        <f t="shared" si="3"/>
        <v>336</v>
      </c>
      <c r="W7" s="89">
        <v>45597</v>
      </c>
      <c r="X7" s="91">
        <f t="shared" si="9"/>
        <v>45596</v>
      </c>
      <c r="Y7" s="82">
        <f>COUNTIFS('Planejamento IED'!C:C,"&lt;"&amp;X7,'Planejamento IED'!F:F,"Embarque",'Planejamento IED'!H:H,'Embarques Vivenciais'!$W$2,'Planejamento IED'!I:I,"Novo")</f>
        <v>1</v>
      </c>
      <c r="Z7" s="82">
        <f>COUNTIFS(Equipe!F:F,"Novo",Equipe!D:D,"Técnico",Equipe!E:E,$W$2)*3</f>
        <v>21</v>
      </c>
      <c r="AA7" s="115">
        <f>SUMIFS('Planejamento IED'!E:E,'Planejamento IED'!C:C,"&lt;"&amp;X7,'Planejamento IED'!F:F,"Embarque",'Planejamento IED'!H:H,'Embarques Vivenciais'!$W$2,'Planejamento IED'!I:I,"Novo")</f>
        <v>12</v>
      </c>
      <c r="AB7" s="115">
        <f t="shared" si="4"/>
        <v>294</v>
      </c>
      <c r="AD7" s="79" t="s">
        <v>626</v>
      </c>
      <c r="AE7" s="94">
        <v>4612243</v>
      </c>
      <c r="AF7" s="94" t="s">
        <v>627</v>
      </c>
      <c r="AG7" s="95" t="s">
        <v>606</v>
      </c>
      <c r="AH7" s="96" t="s">
        <v>539</v>
      </c>
      <c r="AI7" s="96" t="s">
        <v>108</v>
      </c>
      <c r="AJ7" s="102">
        <f ca="1">COUNTIFS('Planejamento IED'!A:A,'Embarques Vivenciais'!AI7,'Planejamento IED'!F:F,"Embarque",'Planejamento IED'!C:C,"&lt;="&amp;TODAY())</f>
        <v>2</v>
      </c>
      <c r="AK7" s="102">
        <f ca="1">SUMIFS('Planejamento IED'!E:E,'Planejamento IED'!A:A,AI7,'Planejamento IED'!F:F,"Embarque",'Planejamento IED'!D:D,"&lt;="&amp;TODAY())</f>
        <v>19</v>
      </c>
      <c r="AL7" s="102">
        <f>COUNTIFS('Planejamento IED'!A:A,'Embarques Vivenciais'!AI7,'Planejamento IED'!F:F,"Embarque")</f>
        <v>2</v>
      </c>
      <c r="AM7" s="102">
        <f>SUMIFS('Planejamento IED'!E:E,'Planejamento IED'!A:A,AI7,'Planejamento IED'!F:F,"Embarque")</f>
        <v>19</v>
      </c>
    </row>
    <row r="8" spans="2:39" ht="14.45">
      <c r="B8" s="89">
        <v>45627</v>
      </c>
      <c r="C8" s="91">
        <f t="shared" si="5"/>
        <v>45626</v>
      </c>
      <c r="D8" s="82">
        <f t="shared" si="6"/>
        <v>2</v>
      </c>
      <c r="E8" s="113">
        <f>COUNTIFS(Equipe!F:F,"Novo",Equipe!D:D,"Técnico")*3</f>
        <v>90</v>
      </c>
      <c r="F8" s="82">
        <f t="shared" si="0"/>
        <v>24</v>
      </c>
      <c r="G8" s="115">
        <f t="shared" si="1"/>
        <v>1260</v>
      </c>
      <c r="I8" s="89">
        <v>45627</v>
      </c>
      <c r="J8" s="91">
        <f t="shared" si="7"/>
        <v>45626</v>
      </c>
      <c r="K8" s="82">
        <f>COUNTIFS('Planejamento IED'!C:C,"&lt;"&amp;J8,'Planejamento IED'!F:F,"Embarque",'Planejamento IED'!H:H,'Embarques Vivenciais'!$I$2,'Planejamento IED'!I:I,"Novo")</f>
        <v>0</v>
      </c>
      <c r="L8" s="82">
        <f>COUNTIFS(Equipe!F:F,"Novo",Equipe!D:D,"Técnico",Equipe!E:E,$I$2)*3</f>
        <v>24</v>
      </c>
      <c r="M8" s="115">
        <f>SUMIFS('Planejamento IED'!E:E,'Planejamento IED'!C:C,"&lt;"&amp;J8,'Planejamento IED'!F:F,"Embarque",'Planejamento IED'!H:H,'Embarques Vivenciais'!$I$2,'Planejamento IED'!I:I,"Novo")</f>
        <v>0</v>
      </c>
      <c r="N8" s="115">
        <f t="shared" si="2"/>
        <v>336</v>
      </c>
      <c r="P8" s="89">
        <v>45627</v>
      </c>
      <c r="Q8" s="91">
        <f t="shared" si="8"/>
        <v>45626</v>
      </c>
      <c r="R8" s="82">
        <f>COUNTIFS('Planejamento IED'!C:C,"&lt;"&amp;Q8,'Planejamento IED'!F:F,"Embarque",'Planejamento IED'!H:H,'Embarques Vivenciais'!$P$2,'Planejamento IED'!I:I,"Novo")</f>
        <v>1</v>
      </c>
      <c r="S8" s="82">
        <f>COUNTIFS(Equipe!F:F,"Novo",Equipe!D:D,"Técnico",Equipe!E:E,$P$2)*3</f>
        <v>24</v>
      </c>
      <c r="T8" s="115">
        <f>SUMIFS('Planejamento IED'!E:E,'Planejamento IED'!C:C,"&lt;"&amp;Q8,'Planejamento IED'!F:F,"Embarque",'Planejamento IED'!H:H,'Embarques Vivenciais'!$P$2,'Planejamento IED'!I:I,"Novo")</f>
        <v>12</v>
      </c>
      <c r="U8" s="115">
        <f t="shared" si="3"/>
        <v>336</v>
      </c>
      <c r="W8" s="89">
        <v>45627</v>
      </c>
      <c r="X8" s="91">
        <f t="shared" si="9"/>
        <v>45626</v>
      </c>
      <c r="Y8" s="82">
        <f>COUNTIFS('Planejamento IED'!C:C,"&lt;"&amp;X8,'Planejamento IED'!F:F,"Embarque",'Planejamento IED'!H:H,'Embarques Vivenciais'!$W$2,'Planejamento IED'!I:I,"Novo")</f>
        <v>1</v>
      </c>
      <c r="Z8" s="82">
        <f>COUNTIFS(Equipe!F:F,"Novo",Equipe!D:D,"Técnico",Equipe!E:E,$W$2)*3</f>
        <v>21</v>
      </c>
      <c r="AA8" s="115">
        <f>SUMIFS('Planejamento IED'!E:E,'Planejamento IED'!C:C,"&lt;"&amp;X8,'Planejamento IED'!F:F,"Embarque",'Planejamento IED'!H:H,'Embarques Vivenciais'!$W$2,'Planejamento IED'!I:I,"Novo")</f>
        <v>12</v>
      </c>
      <c r="AB8" s="115">
        <f t="shared" si="4"/>
        <v>294</v>
      </c>
      <c r="AD8" s="79" t="s">
        <v>626</v>
      </c>
      <c r="AE8" s="100">
        <v>4612389</v>
      </c>
      <c r="AF8" s="100" t="s">
        <v>629</v>
      </c>
      <c r="AG8" s="101" t="s">
        <v>606</v>
      </c>
      <c r="AH8" s="96" t="s">
        <v>539</v>
      </c>
      <c r="AI8" s="102" t="s">
        <v>109</v>
      </c>
      <c r="AJ8" s="102">
        <f ca="1">COUNTIFS('Planejamento IED'!A:A,'Embarques Vivenciais'!AI8,'Planejamento IED'!F:F,"Embarque",'Planejamento IED'!C:C,"&lt;="&amp;TODAY())</f>
        <v>0</v>
      </c>
      <c r="AK8" s="102">
        <f ca="1">SUMIFS('Planejamento IED'!E:E,'Planejamento IED'!A:A,AI8,'Planejamento IED'!F:F,"Embarque",'Planejamento IED'!D:D,"&lt;="&amp;TODAY())</f>
        <v>0</v>
      </c>
      <c r="AL8" s="102">
        <f>COUNTIFS('Planejamento IED'!A:A,'Embarques Vivenciais'!AI8,'Planejamento IED'!F:F,"Embarque")</f>
        <v>0</v>
      </c>
      <c r="AM8" s="102">
        <f>SUMIFS('Planejamento IED'!E:E,'Planejamento IED'!A:A,AI8,'Planejamento IED'!F:F,"Embarque")</f>
        <v>0</v>
      </c>
    </row>
    <row r="9" spans="2:39" ht="14.45" hidden="1">
      <c r="B9" s="89">
        <v>45658</v>
      </c>
      <c r="C9" s="91">
        <f t="shared" si="5"/>
        <v>45657</v>
      </c>
      <c r="D9" s="82">
        <f t="shared" si="6"/>
        <v>2</v>
      </c>
      <c r="E9" s="113">
        <f>COUNTIFS(Equipe!F:F,"Novo",Equipe!D:D,"Técnico")*3</f>
        <v>90</v>
      </c>
      <c r="F9" s="82">
        <f t="shared" si="0"/>
        <v>24</v>
      </c>
      <c r="G9" s="115">
        <f t="shared" si="1"/>
        <v>1260</v>
      </c>
      <c r="I9" s="89">
        <v>45658</v>
      </c>
      <c r="J9" s="91">
        <f t="shared" si="7"/>
        <v>45657</v>
      </c>
      <c r="K9" s="82">
        <f>COUNTIFS('Planejamento IED'!C:C,"&lt;"&amp;J9,'Planejamento IED'!F:F,"Embarque",'Planejamento IED'!H:H,'Embarques Vivenciais'!$I$2,'Planejamento IED'!I:I,"Novo")</f>
        <v>0</v>
      </c>
      <c r="L9" s="82">
        <f>COUNTIFS(Equipe!F:F,"Novo",Equipe!D:D,"Técnico",Equipe!E:E,$I$2)*3</f>
        <v>24</v>
      </c>
      <c r="M9" s="115">
        <f>SUMIFS('Planejamento IED'!E:E,'Planejamento IED'!C:C,"&lt;"&amp;J9,'Planejamento IED'!F:F,"Embarque",'Planejamento IED'!H:H,'Embarques Vivenciais'!$I$2,'Planejamento IED'!I:I,"Novo")</f>
        <v>0</v>
      </c>
      <c r="N9" s="115">
        <f t="shared" si="2"/>
        <v>336</v>
      </c>
      <c r="P9" s="89">
        <v>45658</v>
      </c>
      <c r="Q9" s="91">
        <f t="shared" si="8"/>
        <v>45657</v>
      </c>
      <c r="R9" s="82">
        <f>COUNTIFS('Planejamento IED'!C:C,"&lt;"&amp;Q9,'Planejamento IED'!F:F,"Embarque",'Planejamento IED'!H:H,'Embarques Vivenciais'!$P$2,'Planejamento IED'!I:I,"Novo")</f>
        <v>1</v>
      </c>
      <c r="S9" s="82">
        <f>COUNTIFS(Equipe!F:F,"Novo",Equipe!D:D,"Técnico",Equipe!E:E,$P$2)*3</f>
        <v>24</v>
      </c>
      <c r="T9" s="115">
        <f>SUMIFS('Planejamento IED'!E:E,'Planejamento IED'!C:C,"&lt;"&amp;Q9,'Planejamento IED'!F:F,"Embarque",'Planejamento IED'!H:H,'Embarques Vivenciais'!$P$2,'Planejamento IED'!I:I,"Novo")</f>
        <v>12</v>
      </c>
      <c r="U9" s="115">
        <f t="shared" si="3"/>
        <v>336</v>
      </c>
      <c r="W9" s="89">
        <v>45658</v>
      </c>
      <c r="X9" s="91">
        <f t="shared" si="9"/>
        <v>45657</v>
      </c>
      <c r="Y9" s="82">
        <f>COUNTIFS('Planejamento IED'!C:C,"&lt;"&amp;X9,'Planejamento IED'!F:F,"Embarque",'Planejamento IED'!H:H,'Embarques Vivenciais'!$W$2,'Planejamento IED'!I:I,"Novo")</f>
        <v>1</v>
      </c>
      <c r="Z9" s="82">
        <f>COUNTIFS(Equipe!F:F,"Novo",Equipe!D:D,"Técnico",Equipe!E:E,$W$2)*3</f>
        <v>21</v>
      </c>
      <c r="AA9" s="115">
        <f>SUMIFS('Planejamento IED'!E:E,'Planejamento IED'!C:C,"&lt;"&amp;X9,'Planejamento IED'!F:F,"Embarque",'Planejamento IED'!H:H,'Embarques Vivenciais'!$W$2,'Planejamento IED'!I:I,"Novo")</f>
        <v>12</v>
      </c>
      <c r="AB9" s="115">
        <f t="shared" si="4"/>
        <v>294</v>
      </c>
      <c r="AD9" s="103" t="s">
        <v>626</v>
      </c>
      <c r="AE9" s="94">
        <v>4612192</v>
      </c>
      <c r="AF9" s="94" t="s">
        <v>631</v>
      </c>
      <c r="AG9" s="104" t="s">
        <v>606</v>
      </c>
      <c r="AH9" s="105" t="s">
        <v>489</v>
      </c>
      <c r="AI9" s="105" t="s">
        <v>113</v>
      </c>
      <c r="AJ9" s="102">
        <f ca="1">COUNTIFS('Planejamento IED'!A:A,'Embarques Vivenciais'!AI9,'Planejamento IED'!F:F,"Embarque",'Planejamento IED'!C:C,"&lt;="&amp;TODAY())</f>
        <v>2</v>
      </c>
      <c r="AK9" s="102">
        <f ca="1">SUMIFS('Planejamento IED'!E:E,'Planejamento IED'!A:A,AI9,'Planejamento IED'!F:F,"Embarque",'Planejamento IED'!D:D,"&lt;="&amp;TODAY())</f>
        <v>28</v>
      </c>
      <c r="AL9" s="102">
        <f>COUNTIFS('Planejamento IED'!A:A,'Embarques Vivenciais'!AI9,'Planejamento IED'!F:F,"Embarque")</f>
        <v>2</v>
      </c>
      <c r="AM9" s="102">
        <f>SUMIFS('Planejamento IED'!E:E,'Planejamento IED'!A:A,AI9,'Planejamento IED'!F:F,"Embarque")</f>
        <v>28</v>
      </c>
    </row>
    <row r="10" spans="2:39" ht="14.45" hidden="1">
      <c r="B10" s="89">
        <v>45689</v>
      </c>
      <c r="C10" s="91">
        <f t="shared" si="5"/>
        <v>45688</v>
      </c>
      <c r="D10" s="82">
        <f t="shared" si="6"/>
        <v>3</v>
      </c>
      <c r="E10" s="113">
        <f>COUNTIFS(Equipe!F:F,"Novo",Equipe!D:D,"Técnico")*3</f>
        <v>90</v>
      </c>
      <c r="F10" s="82">
        <f t="shared" si="0"/>
        <v>31</v>
      </c>
      <c r="G10" s="115">
        <f t="shared" si="1"/>
        <v>1260</v>
      </c>
      <c r="I10" s="89">
        <v>45689</v>
      </c>
      <c r="J10" s="91">
        <f t="shared" si="7"/>
        <v>45688</v>
      </c>
      <c r="K10" s="82">
        <f>COUNTIFS('Planejamento IED'!C:C,"&lt;"&amp;J10,'Planejamento IED'!F:F,"Embarque",'Planejamento IED'!H:H,'Embarques Vivenciais'!$I$2,'Planejamento IED'!I:I,"Novo")</f>
        <v>1</v>
      </c>
      <c r="L10" s="82">
        <f>COUNTIFS(Equipe!F:F,"Novo",Equipe!D:D,"Técnico",Equipe!E:E,$I$2)*3</f>
        <v>24</v>
      </c>
      <c r="M10" s="115">
        <f>SUMIFS('Planejamento IED'!E:E,'Planejamento IED'!C:C,"&lt;"&amp;J10,'Planejamento IED'!F:F,"Embarque",'Planejamento IED'!H:H,'Embarques Vivenciais'!$I$2,'Planejamento IED'!I:I,"Novo")</f>
        <v>7</v>
      </c>
      <c r="N10" s="115">
        <f t="shared" si="2"/>
        <v>336</v>
      </c>
      <c r="P10" s="89">
        <v>45689</v>
      </c>
      <c r="Q10" s="91">
        <f t="shared" si="8"/>
        <v>45688</v>
      </c>
      <c r="R10" s="82">
        <f>COUNTIFS('Planejamento IED'!C:C,"&lt;"&amp;Q10,'Planejamento IED'!F:F,"Embarque",'Planejamento IED'!H:H,'Embarques Vivenciais'!$P$2,'Planejamento IED'!I:I,"Novo")</f>
        <v>1</v>
      </c>
      <c r="S10" s="82">
        <f>COUNTIFS(Equipe!F:F,"Novo",Equipe!D:D,"Técnico",Equipe!E:E,$P$2)*3</f>
        <v>24</v>
      </c>
      <c r="T10" s="115">
        <f>SUMIFS('Planejamento IED'!E:E,'Planejamento IED'!C:C,"&lt;"&amp;Q10,'Planejamento IED'!F:F,"Embarque",'Planejamento IED'!H:H,'Embarques Vivenciais'!$P$2,'Planejamento IED'!I:I,"Novo")</f>
        <v>12</v>
      </c>
      <c r="U10" s="115">
        <f t="shared" si="3"/>
        <v>336</v>
      </c>
      <c r="W10" s="89">
        <v>45689</v>
      </c>
      <c r="X10" s="91">
        <f t="shared" si="9"/>
        <v>45688</v>
      </c>
      <c r="Y10" s="82">
        <f>COUNTIFS('Planejamento IED'!C:C,"&lt;"&amp;X10,'Planejamento IED'!F:F,"Embarque",'Planejamento IED'!H:H,'Embarques Vivenciais'!$W$2,'Planejamento IED'!I:I,"Novo")</f>
        <v>1</v>
      </c>
      <c r="Z10" s="82">
        <f>COUNTIFS(Equipe!F:F,"Novo",Equipe!D:D,"Técnico",Equipe!E:E,$W$2)*3</f>
        <v>21</v>
      </c>
      <c r="AA10" s="115">
        <f>SUMIFS('Planejamento IED'!E:E,'Planejamento IED'!C:C,"&lt;"&amp;X10,'Planejamento IED'!F:F,"Embarque",'Planejamento IED'!H:H,'Embarques Vivenciais'!$W$2,'Planejamento IED'!I:I,"Novo")</f>
        <v>12</v>
      </c>
      <c r="AB10" s="115">
        <f t="shared" si="4"/>
        <v>294</v>
      </c>
      <c r="AD10" s="103" t="s">
        <v>626</v>
      </c>
      <c r="AE10" s="100">
        <v>4612393</v>
      </c>
      <c r="AF10" s="100" t="s">
        <v>633</v>
      </c>
      <c r="AG10" s="106" t="s">
        <v>606</v>
      </c>
      <c r="AH10" s="102" t="s">
        <v>294</v>
      </c>
      <c r="AI10" s="107" t="s">
        <v>10</v>
      </c>
      <c r="AJ10" s="102">
        <f ca="1">COUNTIFS('Planejamento IED'!A:A,'Embarques Vivenciais'!AI10,'Planejamento IED'!F:F,"Embarque",'Planejamento IED'!C:C,"&lt;="&amp;TODAY())</f>
        <v>4</v>
      </c>
      <c r="AK10" s="102">
        <f ca="1">SUMIFS('Planejamento IED'!E:E,'Planejamento IED'!A:A,AI10,'Planejamento IED'!F:F,"Embarque",'Planejamento IED'!D:D,"&lt;="&amp;TODAY())</f>
        <v>41</v>
      </c>
      <c r="AL10" s="102">
        <f>COUNTIFS('Planejamento IED'!A:A,'Embarques Vivenciais'!AI10,'Planejamento IED'!F:F,"Embarque")</f>
        <v>4</v>
      </c>
      <c r="AM10" s="102">
        <f>SUMIFS('Planejamento IED'!E:E,'Planejamento IED'!A:A,AI10,'Planejamento IED'!F:F,"Embarque")</f>
        <v>41</v>
      </c>
    </row>
    <row r="11" spans="2:39" ht="14.45" hidden="1">
      <c r="B11" s="89">
        <v>45717</v>
      </c>
      <c r="C11" s="91">
        <f t="shared" si="5"/>
        <v>45716</v>
      </c>
      <c r="D11" s="82">
        <f t="shared" si="6"/>
        <v>3</v>
      </c>
      <c r="E11" s="113">
        <f>COUNTIFS(Equipe!F:F,"Novo",Equipe!D:D,"Técnico")*3</f>
        <v>90</v>
      </c>
      <c r="F11" s="82">
        <f t="shared" si="0"/>
        <v>31</v>
      </c>
      <c r="G11" s="115">
        <f t="shared" si="1"/>
        <v>1260</v>
      </c>
      <c r="I11" s="89">
        <v>45717</v>
      </c>
      <c r="J11" s="91">
        <f t="shared" si="7"/>
        <v>45716</v>
      </c>
      <c r="K11" s="82">
        <f>COUNTIFS('Planejamento IED'!C:C,"&lt;"&amp;J11,'Planejamento IED'!F:F,"Embarque",'Planejamento IED'!H:H,'Embarques Vivenciais'!$I$2,'Planejamento IED'!I:I,"Novo")</f>
        <v>1</v>
      </c>
      <c r="L11" s="82">
        <f>COUNTIFS(Equipe!F:F,"Novo",Equipe!D:D,"Técnico",Equipe!E:E,$I$2)*3</f>
        <v>24</v>
      </c>
      <c r="M11" s="115">
        <f>SUMIFS('Planejamento IED'!E:E,'Planejamento IED'!C:C,"&lt;"&amp;J11,'Planejamento IED'!F:F,"Embarque",'Planejamento IED'!H:H,'Embarques Vivenciais'!$I$2,'Planejamento IED'!I:I,"Novo")</f>
        <v>7</v>
      </c>
      <c r="N11" s="115">
        <f t="shared" si="2"/>
        <v>336</v>
      </c>
      <c r="P11" s="89">
        <v>45717</v>
      </c>
      <c r="Q11" s="91">
        <f t="shared" si="8"/>
        <v>45716</v>
      </c>
      <c r="R11" s="82">
        <f>COUNTIFS('Planejamento IED'!C:C,"&lt;"&amp;Q11,'Planejamento IED'!F:F,"Embarque",'Planejamento IED'!H:H,'Embarques Vivenciais'!$P$2,'Planejamento IED'!I:I,"Novo")</f>
        <v>1</v>
      </c>
      <c r="S11" s="82">
        <f>COUNTIFS(Equipe!F:F,"Novo",Equipe!D:D,"Técnico",Equipe!E:E,$P$2)*3</f>
        <v>24</v>
      </c>
      <c r="T11" s="115">
        <f>SUMIFS('Planejamento IED'!E:E,'Planejamento IED'!C:C,"&lt;"&amp;Q11,'Planejamento IED'!F:F,"Embarque",'Planejamento IED'!H:H,'Embarques Vivenciais'!$P$2,'Planejamento IED'!I:I,"Novo")</f>
        <v>12</v>
      </c>
      <c r="U11" s="115">
        <f t="shared" si="3"/>
        <v>336</v>
      </c>
      <c r="W11" s="89">
        <v>45717</v>
      </c>
      <c r="X11" s="91">
        <f t="shared" si="9"/>
        <v>45716</v>
      </c>
      <c r="Y11" s="82">
        <f>COUNTIFS('Planejamento IED'!C:C,"&lt;"&amp;X11,'Planejamento IED'!F:F,"Embarque",'Planejamento IED'!H:H,'Embarques Vivenciais'!$W$2,'Planejamento IED'!I:I,"Novo")</f>
        <v>1</v>
      </c>
      <c r="Z11" s="82">
        <f>COUNTIFS(Equipe!F:F,"Novo",Equipe!D:D,"Técnico",Equipe!E:E,$W$2)*3</f>
        <v>21</v>
      </c>
      <c r="AA11" s="115">
        <f>SUMIFS('Planejamento IED'!E:E,'Planejamento IED'!C:C,"&lt;"&amp;X11,'Planejamento IED'!F:F,"Embarque",'Planejamento IED'!H:H,'Embarques Vivenciais'!$W$2,'Planejamento IED'!I:I,"Novo")</f>
        <v>12</v>
      </c>
      <c r="AB11" s="115">
        <f t="shared" si="4"/>
        <v>294</v>
      </c>
      <c r="AD11" s="79" t="s">
        <v>626</v>
      </c>
      <c r="AE11" s="94">
        <v>4612228</v>
      </c>
      <c r="AF11" s="94" t="s">
        <v>635</v>
      </c>
      <c r="AG11" s="95" t="s">
        <v>606</v>
      </c>
      <c r="AH11" s="105" t="s">
        <v>489</v>
      </c>
      <c r="AI11" s="96" t="s">
        <v>142</v>
      </c>
      <c r="AJ11" s="102">
        <f ca="1">COUNTIFS('Planejamento IED'!A:A,'Embarques Vivenciais'!AI11,'Planejamento IED'!F:F,"Embarque",'Planejamento IED'!C:C,"&lt;="&amp;TODAY())</f>
        <v>2</v>
      </c>
      <c r="AK11" s="102">
        <f ca="1">SUMIFS('Planejamento IED'!E:E,'Planejamento IED'!A:A,AI11,'Planejamento IED'!F:F,"Embarque",'Planejamento IED'!D:D,"&lt;="&amp;TODAY())</f>
        <v>19</v>
      </c>
      <c r="AL11" s="102">
        <f>COUNTIFS('Planejamento IED'!A:A,'Embarques Vivenciais'!AI11,'Planejamento IED'!F:F,"Embarque")</f>
        <v>2</v>
      </c>
      <c r="AM11" s="102">
        <f>SUMIFS('Planejamento IED'!E:E,'Planejamento IED'!A:A,AI11,'Planejamento IED'!F:F,"Embarque")</f>
        <v>19</v>
      </c>
    </row>
    <row r="12" spans="2:39" ht="14.45" hidden="1">
      <c r="B12" s="89">
        <v>45748</v>
      </c>
      <c r="C12" s="91">
        <f t="shared" si="5"/>
        <v>45747</v>
      </c>
      <c r="D12" s="82">
        <f t="shared" si="6"/>
        <v>4</v>
      </c>
      <c r="E12" s="113">
        <f>COUNTIFS(Equipe!F:F,"Novo",Equipe!D:D,"Técnico")*3</f>
        <v>90</v>
      </c>
      <c r="F12" s="82">
        <f t="shared" si="0"/>
        <v>45</v>
      </c>
      <c r="G12" s="115">
        <f t="shared" si="1"/>
        <v>1260</v>
      </c>
      <c r="I12" s="89">
        <v>45748</v>
      </c>
      <c r="J12" s="91">
        <f t="shared" si="7"/>
        <v>45747</v>
      </c>
      <c r="K12" s="82">
        <f>COUNTIFS('Planejamento IED'!C:C,"&lt;"&amp;J12,'Planejamento IED'!F:F,"Embarque",'Planejamento IED'!H:H,'Embarques Vivenciais'!$I$2,'Planejamento IED'!I:I,"Novo")</f>
        <v>2</v>
      </c>
      <c r="L12" s="82">
        <f>COUNTIFS(Equipe!F:F,"Novo",Equipe!D:D,"Técnico",Equipe!E:E,$I$2)*3</f>
        <v>24</v>
      </c>
      <c r="M12" s="115">
        <f>SUMIFS('Planejamento IED'!E:E,'Planejamento IED'!C:C,"&lt;"&amp;J12,'Planejamento IED'!F:F,"Embarque",'Planejamento IED'!H:H,'Embarques Vivenciais'!$I$2,'Planejamento IED'!I:I,"Novo")</f>
        <v>21</v>
      </c>
      <c r="N12" s="115">
        <f t="shared" si="2"/>
        <v>336</v>
      </c>
      <c r="P12" s="89">
        <v>45748</v>
      </c>
      <c r="Q12" s="91">
        <f t="shared" si="8"/>
        <v>45747</v>
      </c>
      <c r="R12" s="82">
        <f>COUNTIFS('Planejamento IED'!C:C,"&lt;"&amp;Q12,'Planejamento IED'!F:F,"Embarque",'Planejamento IED'!H:H,'Embarques Vivenciais'!$P$2,'Planejamento IED'!I:I,"Novo")</f>
        <v>1</v>
      </c>
      <c r="S12" s="82">
        <f>COUNTIFS(Equipe!F:F,"Novo",Equipe!D:D,"Técnico",Equipe!E:E,$P$2)*3</f>
        <v>24</v>
      </c>
      <c r="T12" s="115">
        <f>SUMIFS('Planejamento IED'!E:E,'Planejamento IED'!C:C,"&lt;"&amp;Q12,'Planejamento IED'!F:F,"Embarque",'Planejamento IED'!H:H,'Embarques Vivenciais'!$P$2,'Planejamento IED'!I:I,"Novo")</f>
        <v>12</v>
      </c>
      <c r="U12" s="115">
        <f t="shared" si="3"/>
        <v>336</v>
      </c>
      <c r="W12" s="89">
        <v>45748</v>
      </c>
      <c r="X12" s="91">
        <f t="shared" si="9"/>
        <v>45747</v>
      </c>
      <c r="Y12" s="82">
        <f>COUNTIFS('Planejamento IED'!C:C,"&lt;"&amp;X12,'Planejamento IED'!F:F,"Embarque",'Planejamento IED'!H:H,'Embarques Vivenciais'!$W$2,'Planejamento IED'!I:I,"Novo")</f>
        <v>1</v>
      </c>
      <c r="Z12" s="82">
        <f>COUNTIFS(Equipe!F:F,"Novo",Equipe!D:D,"Técnico",Equipe!E:E,$W$2)*3</f>
        <v>21</v>
      </c>
      <c r="AA12" s="115">
        <f>SUMIFS('Planejamento IED'!E:E,'Planejamento IED'!C:C,"&lt;"&amp;X12,'Planejamento IED'!F:F,"Embarque",'Planejamento IED'!H:H,'Embarques Vivenciais'!$W$2,'Planejamento IED'!I:I,"Novo")</f>
        <v>12</v>
      </c>
      <c r="AB12" s="115">
        <f t="shared" si="4"/>
        <v>294</v>
      </c>
      <c r="AD12" s="103" t="s">
        <v>626</v>
      </c>
      <c r="AE12" s="100">
        <v>4612247</v>
      </c>
      <c r="AF12" s="100" t="s">
        <v>637</v>
      </c>
      <c r="AG12" s="101" t="s">
        <v>606</v>
      </c>
      <c r="AH12" s="102" t="s">
        <v>294</v>
      </c>
      <c r="AI12" s="102" t="s">
        <v>140</v>
      </c>
      <c r="AJ12" s="102">
        <f ca="1">COUNTIFS('Planejamento IED'!A:A,'Embarques Vivenciais'!AI12,'Planejamento IED'!F:F,"Embarque",'Planejamento IED'!C:C,"&lt;="&amp;TODAY())</f>
        <v>2</v>
      </c>
      <c r="AK12" s="102">
        <f ca="1">SUMIFS('Planejamento IED'!E:E,'Planejamento IED'!A:A,AI12,'Planejamento IED'!F:F,"Embarque",'Planejamento IED'!D:D,"&lt;="&amp;TODAY())</f>
        <v>25</v>
      </c>
      <c r="AL12" s="102">
        <f>COUNTIFS('Planejamento IED'!A:A,'Embarques Vivenciais'!AI12,'Planejamento IED'!F:F,"Embarque")</f>
        <v>2</v>
      </c>
      <c r="AM12" s="102">
        <f>SUMIFS('Planejamento IED'!E:E,'Planejamento IED'!A:A,AI12,'Planejamento IED'!F:F,"Embarque")</f>
        <v>25</v>
      </c>
    </row>
    <row r="13" spans="2:39" ht="14.45">
      <c r="B13" s="89">
        <v>45778</v>
      </c>
      <c r="C13" s="91">
        <f t="shared" si="5"/>
        <v>45777</v>
      </c>
      <c r="D13" s="82">
        <f t="shared" si="6"/>
        <v>6</v>
      </c>
      <c r="E13" s="113">
        <f>COUNTIFS(Equipe!F:F,"Novo",Equipe!D:D,"Técnico")*3</f>
        <v>90</v>
      </c>
      <c r="F13" s="82">
        <f t="shared" si="0"/>
        <v>51</v>
      </c>
      <c r="G13" s="115">
        <f t="shared" si="1"/>
        <v>1260</v>
      </c>
      <c r="I13" s="89">
        <v>45778</v>
      </c>
      <c r="J13" s="91">
        <f t="shared" si="7"/>
        <v>45777</v>
      </c>
      <c r="K13" s="82">
        <f>COUNTIFS('Planejamento IED'!C:C,"&lt;"&amp;J13,'Planejamento IED'!F:F,"Embarque",'Planejamento IED'!H:H,'Embarques Vivenciais'!$I$2,'Planejamento IED'!I:I,"Novo")</f>
        <v>3</v>
      </c>
      <c r="L13" s="82">
        <f>COUNTIFS(Equipe!F:F,"Novo",Equipe!D:D,"Técnico",Equipe!E:E,$I$2)*3</f>
        <v>24</v>
      </c>
      <c r="M13" s="115">
        <f>SUMIFS('Planejamento IED'!E:E,'Planejamento IED'!C:C,"&lt;"&amp;J13,'Planejamento IED'!F:F,"Embarque",'Planejamento IED'!H:H,'Embarques Vivenciais'!$I$2,'Planejamento IED'!I:I,"Novo")</f>
        <v>24</v>
      </c>
      <c r="N13" s="115">
        <f t="shared" si="2"/>
        <v>336</v>
      </c>
      <c r="P13" s="89">
        <v>45778</v>
      </c>
      <c r="Q13" s="91">
        <f t="shared" si="8"/>
        <v>45777</v>
      </c>
      <c r="R13" s="82">
        <f>COUNTIFS('Planejamento IED'!C:C,"&lt;"&amp;Q13,'Planejamento IED'!F:F,"Embarque",'Planejamento IED'!H:H,'Embarques Vivenciais'!$P$2,'Planejamento IED'!I:I,"Novo")</f>
        <v>1</v>
      </c>
      <c r="S13" s="82">
        <f>COUNTIFS(Equipe!F:F,"Novo",Equipe!D:D,"Técnico",Equipe!E:E,$P$2)*3</f>
        <v>24</v>
      </c>
      <c r="T13" s="115">
        <f>SUMIFS('Planejamento IED'!E:E,'Planejamento IED'!C:C,"&lt;"&amp;Q13,'Planejamento IED'!F:F,"Embarque",'Planejamento IED'!H:H,'Embarques Vivenciais'!$P$2,'Planejamento IED'!I:I,"Novo")</f>
        <v>12</v>
      </c>
      <c r="U13" s="115">
        <f t="shared" si="3"/>
        <v>336</v>
      </c>
      <c r="W13" s="89">
        <v>45778</v>
      </c>
      <c r="X13" s="91">
        <f t="shared" si="9"/>
        <v>45777</v>
      </c>
      <c r="Y13" s="82">
        <f>COUNTIFS('Planejamento IED'!C:C,"&lt;"&amp;X13,'Planejamento IED'!F:F,"Embarque",'Planejamento IED'!H:H,'Embarques Vivenciais'!$W$2,'Planejamento IED'!I:I,"Novo")</f>
        <v>2</v>
      </c>
      <c r="Z13" s="82">
        <f>COUNTIFS(Equipe!F:F,"Novo",Equipe!D:D,"Técnico",Equipe!E:E,$W$2)*3</f>
        <v>21</v>
      </c>
      <c r="AA13" s="115">
        <f>SUMIFS('Planejamento IED'!E:E,'Planejamento IED'!C:C,"&lt;"&amp;X13,'Planejamento IED'!F:F,"Embarque",'Planejamento IED'!H:H,'Embarques Vivenciais'!$W$2,'Planejamento IED'!I:I,"Novo")</f>
        <v>15</v>
      </c>
      <c r="AB13" s="115">
        <f t="shared" si="4"/>
        <v>294</v>
      </c>
      <c r="AD13" s="103" t="s">
        <v>613</v>
      </c>
      <c r="AE13" s="100">
        <v>4612098</v>
      </c>
      <c r="AF13" s="100" t="s">
        <v>616</v>
      </c>
      <c r="AG13" s="101" t="s">
        <v>606</v>
      </c>
      <c r="AH13" s="102" t="s">
        <v>539</v>
      </c>
      <c r="AI13" s="102" t="s">
        <v>104</v>
      </c>
      <c r="AJ13" s="117">
        <f ca="1">COUNTIFS('Planejamento IED'!A:A,'Embarques Vivenciais'!AI13,'Planejamento IED'!F:F,"Embarque",'Planejamento IED'!C:C,"&lt;="&amp;TODAY())</f>
        <v>4</v>
      </c>
      <c r="AK13" s="117">
        <f ca="1">SUMIFS('Planejamento IED'!E:E,'Planejamento IED'!A:A,AI13,'Planejamento IED'!F:F,"Embarque",'Planejamento IED'!D:D,"&lt;="&amp;TODAY())</f>
        <v>52</v>
      </c>
      <c r="AL13" s="117">
        <f>COUNTIFS('Planejamento IED'!A:A,'Embarques Vivenciais'!AI13,'Planejamento IED'!F:F,"Embarque")</f>
        <v>4</v>
      </c>
      <c r="AM13" s="117">
        <f>SUMIFS('Planejamento IED'!E:E,'Planejamento IED'!A:A,AI13,'Planejamento IED'!F:F,"Embarque")</f>
        <v>52</v>
      </c>
    </row>
    <row r="14" spans="2:39" ht="14.45" hidden="1">
      <c r="B14" s="89">
        <v>45809</v>
      </c>
      <c r="C14" s="91">
        <f t="shared" si="5"/>
        <v>45808</v>
      </c>
      <c r="D14" s="82">
        <f t="shared" si="6"/>
        <v>10</v>
      </c>
      <c r="E14" s="113">
        <f>COUNTIFS(Equipe!F:F,"Novo",Equipe!D:D,"Técnico")*3</f>
        <v>90</v>
      </c>
      <c r="F14" s="82">
        <f t="shared" si="0"/>
        <v>89</v>
      </c>
      <c r="G14" s="115">
        <f t="shared" si="1"/>
        <v>1260</v>
      </c>
      <c r="I14" s="89">
        <v>45809</v>
      </c>
      <c r="J14" s="91">
        <f t="shared" si="7"/>
        <v>45808</v>
      </c>
      <c r="K14" s="82">
        <f>COUNTIFS('Planejamento IED'!C:C,"&lt;"&amp;J14,'Planejamento IED'!F:F,"Embarque",'Planejamento IED'!H:H,'Embarques Vivenciais'!$I$2,'Planejamento IED'!I:I,"Novo")</f>
        <v>5</v>
      </c>
      <c r="L14" s="82">
        <f>COUNTIFS(Equipe!F:F,"Novo",Equipe!D:D,"Técnico",Equipe!E:E,$I$2)*3</f>
        <v>24</v>
      </c>
      <c r="M14" s="115">
        <f>SUMIFS('Planejamento IED'!E:E,'Planejamento IED'!C:C,"&lt;"&amp;J14,'Planejamento IED'!F:F,"Embarque",'Planejamento IED'!H:H,'Embarques Vivenciais'!$I$2,'Planejamento IED'!I:I,"Novo")</f>
        <v>44</v>
      </c>
      <c r="N14" s="115">
        <f t="shared" si="2"/>
        <v>336</v>
      </c>
      <c r="P14" s="89">
        <v>45809</v>
      </c>
      <c r="Q14" s="91">
        <f t="shared" si="8"/>
        <v>45808</v>
      </c>
      <c r="R14" s="82">
        <f>COUNTIFS('Planejamento IED'!C:C,"&lt;"&amp;Q14,'Planejamento IED'!F:F,"Embarque",'Planejamento IED'!H:H,'Embarques Vivenciais'!$P$2,'Planejamento IED'!I:I,"Novo")</f>
        <v>2</v>
      </c>
      <c r="S14" s="82">
        <f>COUNTIFS(Equipe!F:F,"Novo",Equipe!D:D,"Técnico",Equipe!E:E,$P$2)*3</f>
        <v>24</v>
      </c>
      <c r="T14" s="115">
        <f>SUMIFS('Planejamento IED'!E:E,'Planejamento IED'!C:C,"&lt;"&amp;Q14,'Planejamento IED'!F:F,"Embarque",'Planejamento IED'!H:H,'Embarques Vivenciais'!$P$2,'Planejamento IED'!I:I,"Novo")</f>
        <v>17</v>
      </c>
      <c r="U14" s="115">
        <f t="shared" si="3"/>
        <v>336</v>
      </c>
      <c r="W14" s="89">
        <v>45809</v>
      </c>
      <c r="X14" s="91">
        <f t="shared" si="9"/>
        <v>45808</v>
      </c>
      <c r="Y14" s="82">
        <f>COUNTIFS('Planejamento IED'!C:C,"&lt;"&amp;X14,'Planejamento IED'!F:F,"Embarque",'Planejamento IED'!H:H,'Embarques Vivenciais'!$W$2,'Planejamento IED'!I:I,"Novo")</f>
        <v>3</v>
      </c>
      <c r="Z14" s="82">
        <f>COUNTIFS(Equipe!F:F,"Novo",Equipe!D:D,"Técnico",Equipe!E:E,$W$2)*3</f>
        <v>21</v>
      </c>
      <c r="AA14" s="115">
        <f>SUMIFS('Planejamento IED'!E:E,'Planejamento IED'!C:C,"&lt;"&amp;X14,'Planejamento IED'!F:F,"Embarque",'Planejamento IED'!H:H,'Embarques Vivenciais'!$W$2,'Planejamento IED'!I:I,"Novo")</f>
        <v>28</v>
      </c>
      <c r="AB14" s="115">
        <f t="shared" si="4"/>
        <v>294</v>
      </c>
      <c r="AD14" s="103" t="s">
        <v>613</v>
      </c>
      <c r="AE14" s="94">
        <v>4612126</v>
      </c>
      <c r="AF14" s="94" t="s">
        <v>618</v>
      </c>
      <c r="AG14" s="95" t="s">
        <v>606</v>
      </c>
      <c r="AH14" s="96" t="s">
        <v>489</v>
      </c>
      <c r="AI14" s="105" t="s">
        <v>111</v>
      </c>
      <c r="AJ14" s="185">
        <f ca="1">COUNTIFS('Planejamento IED'!A:A,'Embarques Vivenciais'!AI14,'Planejamento IED'!F:F,"Embarque",'Planejamento IED'!C:C,"&lt;="&amp;TODAY())</f>
        <v>5</v>
      </c>
      <c r="AK14" s="185">
        <f ca="1">SUMIFS('Planejamento IED'!E:E,'Planejamento IED'!A:A,AI14,'Planejamento IED'!F:F,"Embarque",'Planejamento IED'!D:D,"&lt;="&amp;TODAY())</f>
        <v>62</v>
      </c>
      <c r="AL14" s="185">
        <f>COUNTIFS('Planejamento IED'!A:A,'Embarques Vivenciais'!AI14,'Planejamento IED'!F:F,"Embarque")</f>
        <v>5</v>
      </c>
      <c r="AM14" s="185">
        <f>SUMIFS('Planejamento IED'!E:E,'Planejamento IED'!A:A,AI14,'Planejamento IED'!F:F,"Embarque")</f>
        <v>62</v>
      </c>
    </row>
    <row r="15" spans="2:39" ht="14.45">
      <c r="B15" s="89">
        <v>45839</v>
      </c>
      <c r="C15" s="91">
        <f t="shared" si="5"/>
        <v>45838</v>
      </c>
      <c r="D15" s="82">
        <f t="shared" si="6"/>
        <v>13</v>
      </c>
      <c r="E15" s="113">
        <f>COUNTIFS(Equipe!F:F,"Novo",Equipe!D:D,"Técnico")*3</f>
        <v>90</v>
      </c>
      <c r="F15" s="82">
        <f t="shared" si="0"/>
        <v>114</v>
      </c>
      <c r="G15" s="115">
        <f t="shared" si="1"/>
        <v>1260</v>
      </c>
      <c r="I15" s="89">
        <v>45839</v>
      </c>
      <c r="J15" s="91">
        <f t="shared" si="7"/>
        <v>45838</v>
      </c>
      <c r="K15" s="82">
        <f>COUNTIFS('Planejamento IED'!C:C,"&lt;"&amp;J15,'Planejamento IED'!F:F,"Embarque",'Planejamento IED'!H:H,'Embarques Vivenciais'!$I$2,'Planejamento IED'!I:I,"Novo")</f>
        <v>6</v>
      </c>
      <c r="L15" s="82">
        <f>COUNTIFS(Equipe!F:F,"Novo",Equipe!D:D,"Técnico",Equipe!E:E,$I$2)*3</f>
        <v>24</v>
      </c>
      <c r="M15" s="115">
        <f>SUMIFS('Planejamento IED'!E:E,'Planejamento IED'!C:C,"&lt;"&amp;J15,'Planejamento IED'!F:F,"Embarque",'Planejamento IED'!H:H,'Embarques Vivenciais'!$I$2,'Planejamento IED'!I:I,"Novo")</f>
        <v>57</v>
      </c>
      <c r="N15" s="115">
        <f t="shared" si="2"/>
        <v>336</v>
      </c>
      <c r="P15" s="89">
        <v>45839</v>
      </c>
      <c r="Q15" s="91">
        <f t="shared" si="8"/>
        <v>45838</v>
      </c>
      <c r="R15" s="82">
        <f>COUNTIFS('Planejamento IED'!C:C,"&lt;"&amp;Q15,'Planejamento IED'!F:F,"Embarque",'Planejamento IED'!H:H,'Embarques Vivenciais'!$P$2,'Planejamento IED'!I:I,"Novo")</f>
        <v>4</v>
      </c>
      <c r="S15" s="82">
        <f>COUNTIFS(Equipe!F:F,"Novo",Equipe!D:D,"Técnico",Equipe!E:E,$P$2)*3</f>
        <v>24</v>
      </c>
      <c r="T15" s="115">
        <f>SUMIFS('Planejamento IED'!E:E,'Planejamento IED'!C:C,"&lt;"&amp;Q15,'Planejamento IED'!F:F,"Embarque",'Planejamento IED'!H:H,'Embarques Vivenciais'!$P$2,'Planejamento IED'!I:I,"Novo")</f>
        <v>29</v>
      </c>
      <c r="U15" s="115">
        <f t="shared" si="3"/>
        <v>336</v>
      </c>
      <c r="W15" s="89">
        <v>45839</v>
      </c>
      <c r="X15" s="91">
        <f t="shared" si="9"/>
        <v>45838</v>
      </c>
      <c r="Y15" s="82">
        <f>COUNTIFS('Planejamento IED'!C:C,"&lt;"&amp;X15,'Planejamento IED'!F:F,"Embarque",'Planejamento IED'!H:H,'Embarques Vivenciais'!$W$2,'Planejamento IED'!I:I,"Novo")</f>
        <v>3</v>
      </c>
      <c r="Z15" s="82">
        <f>COUNTIFS(Equipe!F:F,"Novo",Equipe!D:D,"Técnico",Equipe!E:E,$W$2)*3</f>
        <v>21</v>
      </c>
      <c r="AA15" s="115">
        <f>SUMIFS('Planejamento IED'!E:E,'Planejamento IED'!C:C,"&lt;"&amp;X15,'Planejamento IED'!F:F,"Embarque",'Planejamento IED'!H:H,'Embarques Vivenciais'!$W$2,'Planejamento IED'!I:I,"Novo")</f>
        <v>28</v>
      </c>
      <c r="AB15" s="115">
        <f t="shared" si="4"/>
        <v>294</v>
      </c>
      <c r="AD15" s="79" t="s">
        <v>604</v>
      </c>
      <c r="AE15" s="94">
        <v>9842940</v>
      </c>
      <c r="AF15" s="94" t="s">
        <v>665</v>
      </c>
      <c r="AG15" s="104" t="s">
        <v>606</v>
      </c>
      <c r="AH15" s="105" t="s">
        <v>539</v>
      </c>
      <c r="AI15" s="105" t="s">
        <v>35</v>
      </c>
      <c r="AJ15" s="117">
        <f ca="1">COUNTIFS('Planejamento IED'!A:A,'Embarques Vivenciais'!AI15,'Planejamento IED'!F:F,"Embarque",'Planejamento IED'!C:C,"&lt;="&amp;TODAY())</f>
        <v>4</v>
      </c>
      <c r="AK15" s="117">
        <f ca="1">SUMIFS('Planejamento IED'!E:E,'Planejamento IED'!A:A,AI15,'Planejamento IED'!F:F,"Embarque",'Planejamento IED'!D:D,"&lt;="&amp;TODAY())</f>
        <v>45</v>
      </c>
      <c r="AL15" s="117">
        <f>COUNTIFS('Planejamento IED'!A:A,'Embarques Vivenciais'!AI15,'Planejamento IED'!F:F,"Embarque")</f>
        <v>4</v>
      </c>
      <c r="AM15" s="117">
        <f>SUMIFS('Planejamento IED'!E:E,'Planejamento IED'!A:A,AI15,'Planejamento IED'!F:F,"Embarque")</f>
        <v>45</v>
      </c>
    </row>
    <row r="16" spans="2:39" ht="14.45">
      <c r="B16" s="89">
        <v>45870</v>
      </c>
      <c r="C16" s="91">
        <f t="shared" si="5"/>
        <v>45869</v>
      </c>
      <c r="D16" s="82">
        <f t="shared" si="6"/>
        <v>14</v>
      </c>
      <c r="E16" s="113">
        <f>COUNTIFS(Equipe!F:F,"Novo",Equipe!D:D,"Técnico")*3</f>
        <v>90</v>
      </c>
      <c r="F16" s="82">
        <f t="shared" si="0"/>
        <v>128</v>
      </c>
      <c r="G16" s="115">
        <f t="shared" si="1"/>
        <v>1260</v>
      </c>
      <c r="I16" s="89">
        <v>45870</v>
      </c>
      <c r="J16" s="91">
        <f t="shared" si="7"/>
        <v>45869</v>
      </c>
      <c r="K16" s="82">
        <f>COUNTIFS('Planejamento IED'!C:C,"&lt;"&amp;J16,'Planejamento IED'!F:F,"Embarque",'Planejamento IED'!H:H,'Embarques Vivenciais'!$I$2,'Planejamento IED'!I:I,"Novo")</f>
        <v>7</v>
      </c>
      <c r="L16" s="82">
        <f>COUNTIFS(Equipe!F:F,"Novo",Equipe!D:D,"Técnico",Equipe!E:E,$I$2)*3</f>
        <v>24</v>
      </c>
      <c r="M16" s="115">
        <f>SUMIFS('Planejamento IED'!E:E,'Planejamento IED'!C:C,"&lt;"&amp;J16,'Planejamento IED'!F:F,"Embarque",'Planejamento IED'!H:H,'Embarques Vivenciais'!$I$2,'Planejamento IED'!I:I,"Novo")</f>
        <v>71</v>
      </c>
      <c r="N16" s="115">
        <f t="shared" si="2"/>
        <v>336</v>
      </c>
      <c r="P16" s="89">
        <v>45870</v>
      </c>
      <c r="Q16" s="91">
        <f t="shared" si="8"/>
        <v>45869</v>
      </c>
      <c r="R16" s="82">
        <f>COUNTIFS('Planejamento IED'!C:C,"&lt;"&amp;Q16,'Planejamento IED'!F:F,"Embarque",'Planejamento IED'!H:H,'Embarques Vivenciais'!$P$2,'Planejamento IED'!I:I,"Novo")</f>
        <v>4</v>
      </c>
      <c r="S16" s="82">
        <f>COUNTIFS(Equipe!F:F,"Novo",Equipe!D:D,"Técnico",Equipe!E:E,$P$2)*3</f>
        <v>24</v>
      </c>
      <c r="T16" s="115">
        <f>SUMIFS('Planejamento IED'!E:E,'Planejamento IED'!C:C,"&lt;"&amp;Q16,'Planejamento IED'!F:F,"Embarque",'Planejamento IED'!H:H,'Embarques Vivenciais'!$P$2,'Planejamento IED'!I:I,"Novo")</f>
        <v>29</v>
      </c>
      <c r="U16" s="115">
        <f t="shared" si="3"/>
        <v>336</v>
      </c>
      <c r="W16" s="89">
        <v>45870</v>
      </c>
      <c r="X16" s="91">
        <f t="shared" si="9"/>
        <v>45869</v>
      </c>
      <c r="Y16" s="82">
        <f>COUNTIFS('Planejamento IED'!C:C,"&lt;"&amp;X16,'Planejamento IED'!F:F,"Embarque",'Planejamento IED'!H:H,'Embarques Vivenciais'!$W$2,'Planejamento IED'!I:I,"Novo")</f>
        <v>3</v>
      </c>
      <c r="Z16" s="82">
        <f>COUNTIFS(Equipe!F:F,"Novo",Equipe!D:D,"Técnico",Equipe!E:E,$W$2)*3</f>
        <v>21</v>
      </c>
      <c r="AA16" s="115">
        <f>SUMIFS('Planejamento IED'!E:E,'Planejamento IED'!C:C,"&lt;"&amp;X16,'Planejamento IED'!F:F,"Embarque",'Planejamento IED'!H:H,'Embarques Vivenciais'!$W$2,'Planejamento IED'!I:I,"Novo")</f>
        <v>28</v>
      </c>
      <c r="AB16" s="115">
        <f t="shared" si="4"/>
        <v>294</v>
      </c>
      <c r="AD16" s="79" t="s">
        <v>626</v>
      </c>
      <c r="AE16" s="94">
        <v>4608721</v>
      </c>
      <c r="AF16" s="94" t="s">
        <v>671</v>
      </c>
      <c r="AG16" s="104" t="s">
        <v>606</v>
      </c>
      <c r="AH16" s="105" t="s">
        <v>539</v>
      </c>
      <c r="AI16" s="96" t="s">
        <v>36</v>
      </c>
      <c r="AJ16" s="102">
        <f ca="1">COUNTIFS('Planejamento IED'!A:A,'Embarques Vivenciais'!AI16,'Planejamento IED'!F:F,"Embarque",'Planejamento IED'!C:C,"&lt;="&amp;TODAY())</f>
        <v>2</v>
      </c>
      <c r="AK16" s="102">
        <f ca="1">SUMIFS('Planejamento IED'!E:E,'Planejamento IED'!A:A,AI16,'Planejamento IED'!F:F,"Embarque",'Planejamento IED'!D:D,"&lt;="&amp;TODAY())</f>
        <v>19</v>
      </c>
      <c r="AL16" s="102">
        <f>COUNTIFS('Planejamento IED'!A:A,'Embarques Vivenciais'!AI16,'Planejamento IED'!F:F,"Embarque")</f>
        <v>2</v>
      </c>
      <c r="AM16" s="102">
        <f>SUMIFS('Planejamento IED'!E:E,'Planejamento IED'!A:A,AI16,'Planejamento IED'!F:F,"Embarque")</f>
        <v>19</v>
      </c>
    </row>
    <row r="17" spans="2:39" ht="14.45">
      <c r="B17" s="89">
        <v>45901</v>
      </c>
      <c r="C17" s="91">
        <f t="shared" si="5"/>
        <v>45900</v>
      </c>
      <c r="D17" s="82">
        <f t="shared" si="6"/>
        <v>18</v>
      </c>
      <c r="E17" s="113">
        <f>COUNTIFS(Equipe!F:F,"Novo",Equipe!D:D,"Técnico")*3</f>
        <v>90</v>
      </c>
      <c r="F17" s="82">
        <f t="shared" si="0"/>
        <v>162</v>
      </c>
      <c r="G17" s="115">
        <f t="shared" si="1"/>
        <v>1260</v>
      </c>
      <c r="I17" s="89">
        <v>45901</v>
      </c>
      <c r="J17" s="91">
        <f t="shared" si="7"/>
        <v>45900</v>
      </c>
      <c r="K17" s="82">
        <f>COUNTIFS('Planejamento IED'!C:C,"&lt;"&amp;J17,'Planejamento IED'!F:F,"Embarque",'Planejamento IED'!H:H,'Embarques Vivenciais'!$I$2,'Planejamento IED'!I:I,"Novo")</f>
        <v>9</v>
      </c>
      <c r="L17" s="82">
        <f>COUNTIFS(Equipe!F:F,"Novo",Equipe!D:D,"Técnico",Equipe!E:E,$I$2)*3</f>
        <v>24</v>
      </c>
      <c r="M17" s="115">
        <f>SUMIFS('Planejamento IED'!E:E,'Planejamento IED'!C:C,"&lt;"&amp;J17,'Planejamento IED'!F:F,"Embarque",'Planejamento IED'!H:H,'Embarques Vivenciais'!$I$2,'Planejamento IED'!I:I,"Novo")</f>
        <v>95</v>
      </c>
      <c r="N17" s="115">
        <f t="shared" si="2"/>
        <v>336</v>
      </c>
      <c r="P17" s="89">
        <v>45901</v>
      </c>
      <c r="Q17" s="91">
        <f t="shared" si="8"/>
        <v>45900</v>
      </c>
      <c r="R17" s="82">
        <f>COUNTIFS('Planejamento IED'!C:C,"&lt;"&amp;Q17,'Planejamento IED'!F:F,"Embarque",'Planejamento IED'!H:H,'Embarques Vivenciais'!$P$2,'Planejamento IED'!I:I,"Novo")</f>
        <v>4</v>
      </c>
      <c r="S17" s="82">
        <f>COUNTIFS(Equipe!F:F,"Novo",Equipe!D:D,"Técnico",Equipe!E:E,$P$2)*3</f>
        <v>24</v>
      </c>
      <c r="T17" s="115">
        <f>SUMIFS('Planejamento IED'!E:E,'Planejamento IED'!C:C,"&lt;"&amp;Q17,'Planejamento IED'!F:F,"Embarque",'Planejamento IED'!H:H,'Embarques Vivenciais'!$P$2,'Planejamento IED'!I:I,"Novo")</f>
        <v>29</v>
      </c>
      <c r="U17" s="115">
        <f t="shared" si="3"/>
        <v>336</v>
      </c>
      <c r="W17" s="89">
        <v>45901</v>
      </c>
      <c r="X17" s="91">
        <f t="shared" si="9"/>
        <v>45900</v>
      </c>
      <c r="Y17" s="82">
        <f>COUNTIFS('Planejamento IED'!C:C,"&lt;"&amp;X17,'Planejamento IED'!F:F,"Embarque",'Planejamento IED'!H:H,'Embarques Vivenciais'!$W$2,'Planejamento IED'!I:I,"Novo")</f>
        <v>5</v>
      </c>
      <c r="Z17" s="82">
        <f>COUNTIFS(Equipe!F:F,"Novo",Equipe!D:D,"Técnico",Equipe!E:E,$W$2)*3</f>
        <v>21</v>
      </c>
      <c r="AA17" s="115">
        <f>SUMIFS('Planejamento IED'!E:E,'Planejamento IED'!C:C,"&lt;"&amp;X17,'Planejamento IED'!F:F,"Embarque",'Planejamento IED'!H:H,'Embarques Vivenciais'!$W$2,'Planejamento IED'!I:I,"Novo")</f>
        <v>38</v>
      </c>
      <c r="AB17" s="115">
        <f t="shared" si="4"/>
        <v>294</v>
      </c>
      <c r="AD17" s="79" t="s">
        <v>626</v>
      </c>
      <c r="AE17" s="94">
        <v>4608685</v>
      </c>
      <c r="AF17" s="94" t="s">
        <v>676</v>
      </c>
      <c r="AG17" s="104" t="s">
        <v>606</v>
      </c>
      <c r="AH17" s="105" t="s">
        <v>539</v>
      </c>
      <c r="AI17" s="105" t="s">
        <v>27</v>
      </c>
      <c r="AJ17" s="102">
        <f ca="1">COUNTIFS('Planejamento IED'!A:A,'Embarques Vivenciais'!AI17,'Planejamento IED'!F:F,"Embarque",'Planejamento IED'!C:C,"&lt;="&amp;TODAY())</f>
        <v>3</v>
      </c>
      <c r="AK17" s="102">
        <f ca="1">SUMIFS('Planejamento IED'!E:E,'Planejamento IED'!A:A,AI17,'Planejamento IED'!F:F,"Embarque",'Planejamento IED'!D:D,"&lt;="&amp;TODAY())</f>
        <v>34</v>
      </c>
      <c r="AL17" s="102">
        <f>COUNTIFS('Planejamento IED'!A:A,'Embarques Vivenciais'!AI17,'Planejamento IED'!F:F,"Embarque")</f>
        <v>3</v>
      </c>
      <c r="AM17" s="102">
        <f>SUMIFS('Planejamento IED'!E:E,'Planejamento IED'!A:A,AI17,'Planejamento IED'!F:F,"Embarque")</f>
        <v>34</v>
      </c>
    </row>
    <row r="18" spans="2:39" ht="14.45">
      <c r="B18" s="89">
        <v>45931</v>
      </c>
      <c r="C18" s="91">
        <f t="shared" si="5"/>
        <v>45930</v>
      </c>
      <c r="D18" s="82">
        <f t="shared" si="6"/>
        <v>24</v>
      </c>
      <c r="E18" s="113">
        <f>COUNTIFS(Equipe!F:F,"Novo",Equipe!D:D,"Técnico")*3</f>
        <v>90</v>
      </c>
      <c r="F18" s="82">
        <f t="shared" si="0"/>
        <v>226</v>
      </c>
      <c r="G18" s="115">
        <f t="shared" si="1"/>
        <v>1260</v>
      </c>
      <c r="I18" s="89">
        <v>45931</v>
      </c>
      <c r="J18" s="91">
        <f t="shared" si="7"/>
        <v>45930</v>
      </c>
      <c r="K18" s="82">
        <f>COUNTIFS('Planejamento IED'!C:C,"&lt;"&amp;J18,'Planejamento IED'!F:F,"Embarque",'Planejamento IED'!H:H,'Embarques Vivenciais'!$I$2,'Planejamento IED'!I:I,"Novo")</f>
        <v>11</v>
      </c>
      <c r="L18" s="82">
        <f>COUNTIFS(Equipe!F:F,"Novo",Equipe!D:D,"Técnico",Equipe!E:E,$I$2)*3</f>
        <v>24</v>
      </c>
      <c r="M18" s="115">
        <f>SUMIFS('Planejamento IED'!E:E,'Planejamento IED'!C:C,"&lt;"&amp;J18,'Planejamento IED'!F:F,"Embarque",'Planejamento IED'!H:H,'Embarques Vivenciais'!$I$2,'Planejamento IED'!I:I,"Novo")</f>
        <v>110</v>
      </c>
      <c r="N18" s="115">
        <f t="shared" si="2"/>
        <v>336</v>
      </c>
      <c r="P18" s="89">
        <v>45931</v>
      </c>
      <c r="Q18" s="91">
        <f t="shared" si="8"/>
        <v>45930</v>
      </c>
      <c r="R18" s="82">
        <f>COUNTIFS('Planejamento IED'!C:C,"&lt;"&amp;Q18,'Planejamento IED'!F:F,"Embarque",'Planejamento IED'!H:H,'Embarques Vivenciais'!$P$2,'Planejamento IED'!I:I,"Novo")</f>
        <v>7</v>
      </c>
      <c r="S18" s="82">
        <f>COUNTIFS(Equipe!F:F,"Novo",Equipe!D:D,"Técnico",Equipe!E:E,$P$2)*3</f>
        <v>24</v>
      </c>
      <c r="T18" s="115">
        <f>SUMIFS('Planejamento IED'!E:E,'Planejamento IED'!C:C,"&lt;"&amp;Q18,'Planejamento IED'!F:F,"Embarque",'Planejamento IED'!H:H,'Embarques Vivenciais'!$P$2,'Planejamento IED'!I:I,"Novo")</f>
        <v>71</v>
      </c>
      <c r="U18" s="115">
        <f t="shared" si="3"/>
        <v>336</v>
      </c>
      <c r="W18" s="89">
        <v>45931</v>
      </c>
      <c r="X18" s="91">
        <f t="shared" si="9"/>
        <v>45930</v>
      </c>
      <c r="Y18" s="82">
        <f>COUNTIFS('Planejamento IED'!C:C,"&lt;"&amp;X18,'Planejamento IED'!F:F,"Embarque",'Planejamento IED'!H:H,'Embarques Vivenciais'!$W$2,'Planejamento IED'!I:I,"Novo")</f>
        <v>6</v>
      </c>
      <c r="Z18" s="82">
        <f>COUNTIFS(Equipe!F:F,"Novo",Equipe!D:D,"Técnico",Equipe!E:E,$W$2)*3</f>
        <v>21</v>
      </c>
      <c r="AA18" s="115">
        <f>SUMIFS('Planejamento IED'!E:E,'Planejamento IED'!C:C,"&lt;"&amp;X18,'Planejamento IED'!F:F,"Embarque",'Planejamento IED'!H:H,'Embarques Vivenciais'!$W$2,'Planejamento IED'!I:I,"Novo")</f>
        <v>45</v>
      </c>
      <c r="AB18" s="115">
        <f t="shared" si="4"/>
        <v>294</v>
      </c>
      <c r="AD18" s="79" t="s">
        <v>613</v>
      </c>
      <c r="AE18" s="100">
        <v>4608389</v>
      </c>
      <c r="AF18" s="100" t="s">
        <v>614</v>
      </c>
      <c r="AG18" s="106" t="s">
        <v>606</v>
      </c>
      <c r="AH18" s="107" t="s">
        <v>539</v>
      </c>
      <c r="AI18" s="107" t="s">
        <v>22</v>
      </c>
      <c r="AJ18" s="117">
        <f ca="1">COUNTIFS('Planejamento IED'!A:A,'Embarques Vivenciais'!AI18,'Planejamento IED'!F:F,"Embarque",'Planejamento IED'!C:C,"&lt;="&amp;TODAY())</f>
        <v>4</v>
      </c>
      <c r="AK18" s="117">
        <f ca="1">SUMIFS('Planejamento IED'!E:E,'Planejamento IED'!A:A,AI18,'Planejamento IED'!F:F,"Embarque",'Planejamento IED'!D:D,"&lt;="&amp;TODAY())</f>
        <v>47</v>
      </c>
      <c r="AL18" s="117">
        <f>COUNTIFS('Planejamento IED'!A:A,'Embarques Vivenciais'!AI18,'Planejamento IED'!F:F,"Embarque")</f>
        <v>4</v>
      </c>
      <c r="AM18" s="117">
        <f>SUMIFS('Planejamento IED'!E:E,'Planejamento IED'!A:A,AI18,'Planejamento IED'!F:F,"Embarque")</f>
        <v>47</v>
      </c>
    </row>
    <row r="19" spans="2:39" ht="14.45" hidden="1">
      <c r="B19" s="89">
        <v>45962</v>
      </c>
      <c r="C19" s="91">
        <f t="shared" si="5"/>
        <v>45961</v>
      </c>
      <c r="D19" s="82">
        <f t="shared" si="6"/>
        <v>28</v>
      </c>
      <c r="E19" s="113">
        <f>COUNTIFS(Equipe!F:F,"Novo",Equipe!D:D,"Técnico")*3</f>
        <v>90</v>
      </c>
      <c r="F19" s="82">
        <f t="shared" si="0"/>
        <v>274</v>
      </c>
      <c r="G19" s="115">
        <f t="shared" si="1"/>
        <v>1260</v>
      </c>
      <c r="I19" s="89">
        <v>45962</v>
      </c>
      <c r="J19" s="91">
        <f t="shared" si="7"/>
        <v>45961</v>
      </c>
      <c r="K19" s="82">
        <f>COUNTIFS('Planejamento IED'!C:C,"&lt;"&amp;J19,'Planejamento IED'!F:F,"Embarque",'Planejamento IED'!H:H,'Embarques Vivenciais'!$I$2,'Planejamento IED'!I:I,"Novo")</f>
        <v>13</v>
      </c>
      <c r="L19" s="82">
        <f>COUNTIFS(Equipe!F:F,"Novo",Equipe!D:D,"Técnico",Equipe!E:E,$I$2)*3</f>
        <v>24</v>
      </c>
      <c r="M19" s="115">
        <f>SUMIFS('Planejamento IED'!E:E,'Planejamento IED'!C:C,"&lt;"&amp;J19,'Planejamento IED'!F:F,"Embarque",'Planejamento IED'!H:H,'Embarques Vivenciais'!$I$2,'Planejamento IED'!I:I,"Novo")</f>
        <v>137</v>
      </c>
      <c r="N19" s="115">
        <f t="shared" si="2"/>
        <v>336</v>
      </c>
      <c r="P19" s="89">
        <v>45962</v>
      </c>
      <c r="Q19" s="91">
        <f t="shared" si="8"/>
        <v>45961</v>
      </c>
      <c r="R19" s="82">
        <f>COUNTIFS('Planejamento IED'!C:C,"&lt;"&amp;Q19,'Planejamento IED'!F:F,"Embarque",'Planejamento IED'!H:H,'Embarques Vivenciais'!$P$2,'Planejamento IED'!I:I,"Novo")</f>
        <v>8</v>
      </c>
      <c r="S19" s="82">
        <f>COUNTIFS(Equipe!F:F,"Novo",Equipe!D:D,"Técnico",Equipe!E:E,$P$2)*3</f>
        <v>24</v>
      </c>
      <c r="T19" s="115">
        <f>SUMIFS('Planejamento IED'!E:E,'Planejamento IED'!C:C,"&lt;"&amp;Q19,'Planejamento IED'!F:F,"Embarque",'Planejamento IED'!H:H,'Embarques Vivenciais'!$P$2,'Planejamento IED'!I:I,"Novo")</f>
        <v>85</v>
      </c>
      <c r="U19" s="115">
        <f t="shared" si="3"/>
        <v>336</v>
      </c>
      <c r="W19" s="89">
        <v>45962</v>
      </c>
      <c r="X19" s="91">
        <f t="shared" si="9"/>
        <v>45961</v>
      </c>
      <c r="Y19" s="82">
        <f>COUNTIFS('Planejamento IED'!C:C,"&lt;"&amp;X19,'Planejamento IED'!F:F,"Embarque",'Planejamento IED'!H:H,'Embarques Vivenciais'!$W$2,'Planejamento IED'!I:I,"Novo")</f>
        <v>7</v>
      </c>
      <c r="Z19" s="82">
        <f>COUNTIFS(Equipe!F:F,"Novo",Equipe!D:D,"Técnico",Equipe!E:E,$W$2)*3</f>
        <v>21</v>
      </c>
      <c r="AA19" s="115">
        <f>SUMIFS('Planejamento IED'!E:E,'Planejamento IED'!C:C,"&lt;"&amp;X19,'Planejamento IED'!F:F,"Embarque",'Planejamento IED'!H:H,'Embarques Vivenciais'!$W$2,'Planejamento IED'!I:I,"Novo")</f>
        <v>52</v>
      </c>
      <c r="AB19" s="115">
        <f t="shared" si="4"/>
        <v>294</v>
      </c>
      <c r="AD19" s="79" t="s">
        <v>604</v>
      </c>
      <c r="AE19" s="94">
        <v>4608544</v>
      </c>
      <c r="AF19" s="94" t="s">
        <v>688</v>
      </c>
      <c r="AG19" s="95" t="s">
        <v>606</v>
      </c>
      <c r="AH19" s="96" t="s">
        <v>489</v>
      </c>
      <c r="AI19" s="96" t="s">
        <v>16</v>
      </c>
      <c r="AJ19" s="117">
        <f ca="1">COUNTIFS('Planejamento IED'!A:A,'Embarques Vivenciais'!AI19,'Planejamento IED'!F:F,"Embarque",'Planejamento IED'!C:C,"&lt;="&amp;TODAY())</f>
        <v>4</v>
      </c>
      <c r="AK19" s="117">
        <f ca="1">SUMIFS('Planejamento IED'!E:E,'Planejamento IED'!A:A,AI19,'Planejamento IED'!F:F,"Embarque",'Planejamento IED'!D:D,"&lt;="&amp;TODAY())</f>
        <v>46</v>
      </c>
      <c r="AL19" s="117">
        <f>COUNTIFS('Planejamento IED'!A:A,'Embarques Vivenciais'!AI19,'Planejamento IED'!F:F,"Embarque")</f>
        <v>4</v>
      </c>
      <c r="AM19" s="117">
        <f>SUMIFS('Planejamento IED'!E:E,'Planejamento IED'!A:A,AI19,'Planejamento IED'!F:F,"Embarque")</f>
        <v>46</v>
      </c>
    </row>
    <row r="20" spans="2:39" ht="14.45" hidden="1">
      <c r="B20" s="89">
        <v>45992</v>
      </c>
      <c r="C20" s="91">
        <f t="shared" si="5"/>
        <v>45991</v>
      </c>
      <c r="D20" s="82">
        <f t="shared" si="6"/>
        <v>29</v>
      </c>
      <c r="E20" s="113">
        <f>COUNTIFS(Equipe!F:F,"Novo",Equipe!D:D,"Técnico")*3</f>
        <v>90</v>
      </c>
      <c r="F20" s="82">
        <f t="shared" si="0"/>
        <v>286</v>
      </c>
      <c r="G20" s="115">
        <f t="shared" si="1"/>
        <v>1260</v>
      </c>
      <c r="I20" s="89">
        <v>45992</v>
      </c>
      <c r="J20" s="91">
        <f t="shared" si="7"/>
        <v>45991</v>
      </c>
      <c r="K20" s="82">
        <f>COUNTIFS('Planejamento IED'!C:C,"&lt;"&amp;J20,'Planejamento IED'!F:F,"Embarque",'Planejamento IED'!H:H,'Embarques Vivenciais'!$I$2,'Planejamento IED'!I:I,"Novo")</f>
        <v>13</v>
      </c>
      <c r="L20" s="82">
        <f>COUNTIFS(Equipe!F:F,"Novo",Equipe!D:D,"Técnico",Equipe!E:E,$I$2)*3</f>
        <v>24</v>
      </c>
      <c r="M20" s="115">
        <f>SUMIFS('Planejamento IED'!E:E,'Planejamento IED'!C:C,"&lt;"&amp;J20,'Planejamento IED'!F:F,"Embarque",'Planejamento IED'!H:H,'Embarques Vivenciais'!$I$2,'Planejamento IED'!I:I,"Novo")</f>
        <v>137</v>
      </c>
      <c r="N20" s="115">
        <f t="shared" si="2"/>
        <v>336</v>
      </c>
      <c r="P20" s="89">
        <v>45992</v>
      </c>
      <c r="Q20" s="91">
        <f t="shared" si="8"/>
        <v>45991</v>
      </c>
      <c r="R20" s="82">
        <f>COUNTIFS('Planejamento IED'!C:C,"&lt;"&amp;Q20,'Planejamento IED'!F:F,"Embarque",'Planejamento IED'!H:H,'Embarques Vivenciais'!$P$2,'Planejamento IED'!I:I,"Novo")</f>
        <v>8</v>
      </c>
      <c r="S20" s="82">
        <f>COUNTIFS(Equipe!F:F,"Novo",Equipe!D:D,"Técnico",Equipe!E:E,$P$2)*3</f>
        <v>24</v>
      </c>
      <c r="T20" s="115">
        <f>SUMIFS('Planejamento IED'!E:E,'Planejamento IED'!C:C,"&lt;"&amp;Q20,'Planejamento IED'!F:F,"Embarque",'Planejamento IED'!H:H,'Embarques Vivenciais'!$P$2,'Planejamento IED'!I:I,"Novo")</f>
        <v>85</v>
      </c>
      <c r="U20" s="115">
        <f t="shared" si="3"/>
        <v>336</v>
      </c>
      <c r="W20" s="89">
        <v>45992</v>
      </c>
      <c r="X20" s="91">
        <f t="shared" si="9"/>
        <v>45991</v>
      </c>
      <c r="Y20" s="82">
        <f>COUNTIFS('Planejamento IED'!C:C,"&lt;"&amp;X20,'Planejamento IED'!F:F,"Embarque",'Planejamento IED'!H:H,'Embarques Vivenciais'!$W$2,'Planejamento IED'!I:I,"Novo")</f>
        <v>8</v>
      </c>
      <c r="Z20" s="82">
        <f>COUNTIFS(Equipe!F:F,"Novo",Equipe!D:D,"Técnico",Equipe!E:E,$W$2)*3</f>
        <v>21</v>
      </c>
      <c r="AA20" s="115">
        <f>SUMIFS('Planejamento IED'!E:E,'Planejamento IED'!C:C,"&lt;"&amp;X20,'Planejamento IED'!F:F,"Embarque",'Planejamento IED'!H:H,'Embarques Vivenciais'!$W$2,'Planejamento IED'!I:I,"Novo")</f>
        <v>64</v>
      </c>
      <c r="AB20" s="115">
        <f t="shared" si="4"/>
        <v>294</v>
      </c>
      <c r="AD20" s="79" t="s">
        <v>626</v>
      </c>
      <c r="AE20" s="100">
        <v>4608474</v>
      </c>
      <c r="AF20" s="100" t="s">
        <v>690</v>
      </c>
      <c r="AG20" s="101" t="s">
        <v>606</v>
      </c>
      <c r="AH20" s="102" t="s">
        <v>489</v>
      </c>
      <c r="AI20" s="102" t="s">
        <v>34</v>
      </c>
      <c r="AJ20" s="117">
        <f ca="1">COUNTIFS('Planejamento IED'!A:A,'Embarques Vivenciais'!AI20,'Planejamento IED'!F:F,"Embarque",'Planejamento IED'!C:C,"&lt;="&amp;TODAY())</f>
        <v>4</v>
      </c>
      <c r="AK20" s="117">
        <f ca="1">SUMIFS('Planejamento IED'!E:E,'Planejamento IED'!A:A,AI20,'Planejamento IED'!F:F,"Embarque",'Planejamento IED'!D:D,"&lt;="&amp;TODAY())</f>
        <v>44</v>
      </c>
      <c r="AL20" s="117">
        <f>COUNTIFS('Planejamento IED'!A:A,'Embarques Vivenciais'!AI20,'Planejamento IED'!F:F,"Embarque")</f>
        <v>4</v>
      </c>
      <c r="AM20" s="117">
        <f>SUMIFS('Planejamento IED'!E:E,'Planejamento IED'!A:A,AI20,'Planejamento IED'!F:F,"Embarque")</f>
        <v>44</v>
      </c>
    </row>
    <row r="21" spans="2:39" ht="14.45" hidden="1">
      <c r="B21" s="89">
        <v>46023</v>
      </c>
      <c r="C21" s="91">
        <f t="shared" si="5"/>
        <v>46022</v>
      </c>
      <c r="D21" s="82">
        <f t="shared" si="6"/>
        <v>34</v>
      </c>
      <c r="E21" s="113">
        <f>COUNTIFS(Equipe!F:F,"Novo",Equipe!D:D,"Técnico")*3</f>
        <v>90</v>
      </c>
      <c r="F21" s="82">
        <f t="shared" si="0"/>
        <v>318</v>
      </c>
      <c r="G21" s="115">
        <f t="shared" si="1"/>
        <v>1260</v>
      </c>
      <c r="I21" s="89">
        <v>46023</v>
      </c>
      <c r="J21" s="91">
        <f t="shared" si="7"/>
        <v>46022</v>
      </c>
      <c r="K21" s="82">
        <f>COUNTIFS('Planejamento IED'!C:C,"&lt;"&amp;J21,'Planejamento IED'!F:F,"Embarque",'Planejamento IED'!H:H,'Embarques Vivenciais'!$I$2,'Planejamento IED'!I:I,"Novo")</f>
        <v>14</v>
      </c>
      <c r="L21" s="82">
        <f>COUNTIFS(Equipe!F:F,"Novo",Equipe!D:D,"Técnico",Equipe!E:E,$I$2)*3</f>
        <v>24</v>
      </c>
      <c r="M21" s="115">
        <f>SUMIFS('Planejamento IED'!E:E,'Planejamento IED'!C:C,"&lt;"&amp;J21,'Planejamento IED'!F:F,"Embarque",'Planejamento IED'!H:H,'Embarques Vivenciais'!$I$2,'Planejamento IED'!I:I,"Novo")</f>
        <v>142</v>
      </c>
      <c r="N21" s="115">
        <f t="shared" si="2"/>
        <v>336</v>
      </c>
      <c r="P21" s="89">
        <v>46023</v>
      </c>
      <c r="Q21" s="91">
        <f t="shared" si="8"/>
        <v>46022</v>
      </c>
      <c r="R21" s="82">
        <f>COUNTIFS('Planejamento IED'!C:C,"&lt;"&amp;Q21,'Planejamento IED'!F:F,"Embarque",'Planejamento IED'!H:H,'Embarques Vivenciais'!$P$2,'Planejamento IED'!I:I,"Novo")</f>
        <v>11</v>
      </c>
      <c r="S21" s="82">
        <f>COUNTIFS(Equipe!F:F,"Novo",Equipe!D:D,"Técnico",Equipe!E:E,$P$2)*3</f>
        <v>24</v>
      </c>
      <c r="T21" s="115">
        <f>SUMIFS('Planejamento IED'!E:E,'Planejamento IED'!C:C,"&lt;"&amp;Q21,'Planejamento IED'!F:F,"Embarque",'Planejamento IED'!H:H,'Embarques Vivenciais'!$P$2,'Planejamento IED'!I:I,"Novo")</f>
        <v>107</v>
      </c>
      <c r="U21" s="115">
        <f t="shared" si="3"/>
        <v>336</v>
      </c>
      <c r="W21" s="89">
        <v>46023</v>
      </c>
      <c r="X21" s="91">
        <f t="shared" si="9"/>
        <v>46022</v>
      </c>
      <c r="Y21" s="82">
        <f>COUNTIFS('Planejamento IED'!C:C,"&lt;"&amp;X21,'Planejamento IED'!F:F,"Embarque",'Planejamento IED'!H:H,'Embarques Vivenciais'!$W$2,'Planejamento IED'!I:I,"Novo")</f>
        <v>9</v>
      </c>
      <c r="Z21" s="82">
        <f>COUNTIFS(Equipe!F:F,"Novo",Equipe!D:D,"Técnico",Equipe!E:E,$W$2)*3</f>
        <v>21</v>
      </c>
      <c r="AA21" s="115">
        <f>SUMIFS('Planejamento IED'!E:E,'Planejamento IED'!C:C,"&lt;"&amp;X21,'Planejamento IED'!F:F,"Embarque",'Planejamento IED'!H:H,'Embarques Vivenciais'!$W$2,'Planejamento IED'!I:I,"Novo")</f>
        <v>69</v>
      </c>
      <c r="AB21" s="115">
        <f t="shared" si="4"/>
        <v>294</v>
      </c>
      <c r="AD21" s="79" t="s">
        <v>626</v>
      </c>
      <c r="AE21" s="108">
        <v>4608684</v>
      </c>
      <c r="AF21" s="100" t="s">
        <v>695</v>
      </c>
      <c r="AG21" s="101" t="s">
        <v>606</v>
      </c>
      <c r="AH21" s="107" t="s">
        <v>489</v>
      </c>
      <c r="AI21" s="107" t="s">
        <v>57</v>
      </c>
      <c r="AJ21" s="102">
        <f ca="1">COUNTIFS('Planejamento IED'!A:A,'Embarques Vivenciais'!AI21,'Planejamento IED'!F:F,"Embarque",'Planejamento IED'!C:C,"&lt;="&amp;TODAY())</f>
        <v>2</v>
      </c>
      <c r="AK21" s="102">
        <f ca="1">SUMIFS('Planejamento IED'!E:E,'Planejamento IED'!A:A,AI21,'Planejamento IED'!F:F,"Embarque",'Planejamento IED'!D:D,"&lt;="&amp;TODAY())</f>
        <v>20</v>
      </c>
      <c r="AL21" s="102">
        <f>COUNTIFS('Planejamento IED'!A:A,'Embarques Vivenciais'!AI21,'Planejamento IED'!F:F,"Embarque")</f>
        <v>2</v>
      </c>
      <c r="AM21" s="102">
        <f>SUMIFS('Planejamento IED'!E:E,'Planejamento IED'!A:A,AI21,'Planejamento IED'!F:F,"Embarque")</f>
        <v>20</v>
      </c>
    </row>
    <row r="22" spans="2:39" ht="14.45" hidden="1">
      <c r="B22" s="89">
        <v>46054</v>
      </c>
      <c r="C22" s="91">
        <f t="shared" si="5"/>
        <v>46053</v>
      </c>
      <c r="D22" s="82">
        <f t="shared" si="6"/>
        <v>40</v>
      </c>
      <c r="E22" s="113">
        <f>COUNTIFS(Equipe!F:F,"Novo",Equipe!D:D,"Técnico")*3</f>
        <v>90</v>
      </c>
      <c r="F22" s="82">
        <f t="shared" si="0"/>
        <v>401</v>
      </c>
      <c r="G22" s="115">
        <f t="shared" si="1"/>
        <v>1260</v>
      </c>
      <c r="I22" s="89">
        <v>46054</v>
      </c>
      <c r="J22" s="91">
        <f t="shared" si="7"/>
        <v>46053</v>
      </c>
      <c r="K22" s="82">
        <f>COUNTIFS('Planejamento IED'!C:C,"&lt;"&amp;J22,'Planejamento IED'!F:F,"Embarque",'Planejamento IED'!H:H,'Embarques Vivenciais'!$I$2,'Planejamento IED'!I:I,"Novo")</f>
        <v>16</v>
      </c>
      <c r="L22" s="82">
        <f>COUNTIFS(Equipe!F:F,"Novo",Equipe!D:D,"Técnico",Equipe!E:E,$I$2)*3</f>
        <v>24</v>
      </c>
      <c r="M22" s="115">
        <f>SUMIFS('Planejamento IED'!E:E,'Planejamento IED'!C:C,"&lt;"&amp;J22,'Planejamento IED'!F:F,"Embarque",'Planejamento IED'!H:H,'Embarques Vivenciais'!$I$2,'Planejamento IED'!I:I,"Novo")</f>
        <v>170</v>
      </c>
      <c r="N22" s="115">
        <f t="shared" si="2"/>
        <v>336</v>
      </c>
      <c r="P22" s="89">
        <v>46054</v>
      </c>
      <c r="Q22" s="91">
        <f t="shared" si="8"/>
        <v>46053</v>
      </c>
      <c r="R22" s="82">
        <f>COUNTIFS('Planejamento IED'!C:C,"&lt;"&amp;Q22,'Planejamento IED'!F:F,"Embarque",'Planejamento IED'!H:H,'Embarques Vivenciais'!$P$2,'Planejamento IED'!I:I,"Novo")</f>
        <v>13</v>
      </c>
      <c r="S22" s="82">
        <f>COUNTIFS(Equipe!F:F,"Novo",Equipe!D:D,"Técnico",Equipe!E:E,$P$2)*3</f>
        <v>24</v>
      </c>
      <c r="T22" s="115">
        <f>SUMIFS('Planejamento IED'!E:E,'Planejamento IED'!C:C,"&lt;"&amp;Q22,'Planejamento IED'!F:F,"Embarque",'Planejamento IED'!H:H,'Embarques Vivenciais'!$P$2,'Planejamento IED'!I:I,"Novo")</f>
        <v>135</v>
      </c>
      <c r="U22" s="115">
        <f t="shared" si="3"/>
        <v>336</v>
      </c>
      <c r="W22" s="89">
        <v>46054</v>
      </c>
      <c r="X22" s="91">
        <f t="shared" si="9"/>
        <v>46053</v>
      </c>
      <c r="Y22" s="82">
        <f>COUNTIFS('Planejamento IED'!C:C,"&lt;"&amp;X22,'Planejamento IED'!F:F,"Embarque",'Planejamento IED'!H:H,'Embarques Vivenciais'!$W$2,'Planejamento IED'!I:I,"Novo")</f>
        <v>11</v>
      </c>
      <c r="Z22" s="82">
        <f>COUNTIFS(Equipe!F:F,"Novo",Equipe!D:D,"Técnico",Equipe!E:E,$W$2)*3</f>
        <v>21</v>
      </c>
      <c r="AA22" s="115">
        <f>SUMIFS('Planejamento IED'!E:E,'Planejamento IED'!C:C,"&lt;"&amp;X22,'Planejamento IED'!F:F,"Embarque",'Planejamento IED'!H:H,'Embarques Vivenciais'!$W$2,'Planejamento IED'!I:I,"Novo")</f>
        <v>96</v>
      </c>
      <c r="AB22" s="115">
        <f t="shared" si="4"/>
        <v>294</v>
      </c>
      <c r="AD22" s="79" t="s">
        <v>604</v>
      </c>
      <c r="AE22" s="94">
        <v>4608559</v>
      </c>
      <c r="AF22" s="94" t="s">
        <v>703</v>
      </c>
      <c r="AG22" s="95" t="s">
        <v>606</v>
      </c>
      <c r="AH22" s="80" t="s">
        <v>294</v>
      </c>
      <c r="AI22" s="80" t="s">
        <v>20</v>
      </c>
      <c r="AJ22" s="117">
        <f ca="1">COUNTIFS('Planejamento IED'!A:A,'Embarques Vivenciais'!AI22,'Planejamento IED'!F:F,"Embarque",'Planejamento IED'!C:C,"&lt;="&amp;TODAY())</f>
        <v>4</v>
      </c>
      <c r="AK22" s="117">
        <f ca="1">SUMIFS('Planejamento IED'!E:E,'Planejamento IED'!A:A,AI22,'Planejamento IED'!F:F,"Embarque",'Planejamento IED'!D:D,"&lt;="&amp;TODAY())</f>
        <v>44</v>
      </c>
      <c r="AL22" s="117">
        <f>COUNTIFS('Planejamento IED'!A:A,'Embarques Vivenciais'!AI22,'Planejamento IED'!F:F,"Embarque")</f>
        <v>4</v>
      </c>
      <c r="AM22" s="117">
        <f>SUMIFS('Planejamento IED'!E:E,'Planejamento IED'!A:A,AI22,'Planejamento IED'!F:F,"Embarque")</f>
        <v>44</v>
      </c>
    </row>
    <row r="23" spans="2:39" ht="14.45" hidden="1">
      <c r="B23" s="89">
        <v>46082</v>
      </c>
      <c r="C23" s="91">
        <f t="shared" si="5"/>
        <v>46081</v>
      </c>
      <c r="D23" s="82">
        <f t="shared" si="6"/>
        <v>44</v>
      </c>
      <c r="E23" s="113">
        <f>COUNTIFS(Equipe!F:F,"Novo",Equipe!D:D,"Técnico")*3</f>
        <v>90</v>
      </c>
      <c r="F23" s="82">
        <f t="shared" si="0"/>
        <v>433</v>
      </c>
      <c r="G23" s="115">
        <f t="shared" si="1"/>
        <v>1260</v>
      </c>
      <c r="I23" s="89">
        <v>46082</v>
      </c>
      <c r="J23" s="91">
        <f t="shared" si="7"/>
        <v>46081</v>
      </c>
      <c r="K23" s="82">
        <f>COUNTIFS('Planejamento IED'!C:C,"&lt;"&amp;J23,'Planejamento IED'!F:F,"Embarque",'Planejamento IED'!H:H,'Embarques Vivenciais'!$I$2,'Planejamento IED'!I:I,"Novo")</f>
        <v>18</v>
      </c>
      <c r="L23" s="82">
        <f>COUNTIFS(Equipe!F:F,"Novo",Equipe!D:D,"Técnico",Equipe!E:E,$I$2)*3</f>
        <v>24</v>
      </c>
      <c r="M23" s="115">
        <f>SUMIFS('Planejamento IED'!E:E,'Planejamento IED'!C:C,"&lt;"&amp;J23,'Planejamento IED'!F:F,"Embarque",'Planejamento IED'!H:H,'Embarques Vivenciais'!$I$2,'Planejamento IED'!I:I,"Novo")</f>
        <v>187</v>
      </c>
      <c r="N23" s="115">
        <f t="shared" si="2"/>
        <v>336</v>
      </c>
      <c r="P23" s="89">
        <v>46082</v>
      </c>
      <c r="Q23" s="91">
        <f t="shared" si="8"/>
        <v>46081</v>
      </c>
      <c r="R23" s="82">
        <f>COUNTIFS('Planejamento IED'!C:C,"&lt;"&amp;Q23,'Planejamento IED'!F:F,"Embarque",'Planejamento IED'!H:H,'Embarques Vivenciais'!$P$2,'Planejamento IED'!I:I,"Novo")</f>
        <v>14</v>
      </c>
      <c r="S23" s="82">
        <f>COUNTIFS(Equipe!F:F,"Novo",Equipe!D:D,"Técnico",Equipe!E:E,$P$2)*3</f>
        <v>24</v>
      </c>
      <c r="T23" s="115">
        <f>SUMIFS('Planejamento IED'!E:E,'Planejamento IED'!C:C,"&lt;"&amp;Q23,'Planejamento IED'!F:F,"Embarque",'Planejamento IED'!H:H,'Embarques Vivenciais'!$P$2,'Planejamento IED'!I:I,"Novo")</f>
        <v>146</v>
      </c>
      <c r="U23" s="115">
        <f t="shared" si="3"/>
        <v>336</v>
      </c>
      <c r="W23" s="89">
        <v>46082</v>
      </c>
      <c r="X23" s="91">
        <f t="shared" si="9"/>
        <v>46081</v>
      </c>
      <c r="Y23" s="82">
        <f>COUNTIFS('Planejamento IED'!C:C,"&lt;"&amp;X23,'Planejamento IED'!F:F,"Embarque",'Planejamento IED'!H:H,'Embarques Vivenciais'!$W$2,'Planejamento IED'!I:I,"Novo")</f>
        <v>12</v>
      </c>
      <c r="Z23" s="82">
        <f>COUNTIFS(Equipe!F:F,"Novo",Equipe!D:D,"Técnico",Equipe!E:E,$W$2)*3</f>
        <v>21</v>
      </c>
      <c r="AA23" s="115">
        <f>SUMIFS('Planejamento IED'!E:E,'Planejamento IED'!C:C,"&lt;"&amp;X23,'Planejamento IED'!F:F,"Embarque",'Planejamento IED'!H:H,'Embarques Vivenciais'!$W$2,'Planejamento IED'!I:I,"Novo")</f>
        <v>100</v>
      </c>
      <c r="AB23" s="115">
        <f t="shared" si="4"/>
        <v>294</v>
      </c>
      <c r="AD23" s="79" t="s">
        <v>626</v>
      </c>
      <c r="AE23" s="100">
        <v>4608411</v>
      </c>
      <c r="AF23" s="100" t="s">
        <v>705</v>
      </c>
      <c r="AG23" s="101" t="s">
        <v>606</v>
      </c>
      <c r="AH23" s="81" t="s">
        <v>294</v>
      </c>
      <c r="AI23" s="81" t="s">
        <v>46</v>
      </c>
      <c r="AJ23" s="102">
        <f ca="1">COUNTIFS('Planejamento IED'!A:A,'Embarques Vivenciais'!AI23,'Planejamento IED'!F:F,"Embarque",'Planejamento IED'!C:C,"&lt;="&amp;TODAY())</f>
        <v>3</v>
      </c>
      <c r="AK23" s="102">
        <f ca="1">SUMIFS('Planejamento IED'!E:E,'Planejamento IED'!A:A,AI23,'Planejamento IED'!F:F,"Embarque",'Planejamento IED'!D:D,"&lt;="&amp;TODAY())</f>
        <v>25</v>
      </c>
      <c r="AL23" s="102">
        <f>COUNTIFS('Planejamento IED'!A:A,'Embarques Vivenciais'!AI23,'Planejamento IED'!F:F,"Embarque")</f>
        <v>3</v>
      </c>
      <c r="AM23" s="102">
        <f>SUMIFS('Planejamento IED'!E:E,'Planejamento IED'!A:A,AI23,'Planejamento IED'!F:F,"Embarque")</f>
        <v>25</v>
      </c>
    </row>
    <row r="24" spans="2:39" ht="14.45" hidden="1">
      <c r="B24" s="89">
        <v>46113</v>
      </c>
      <c r="C24" s="91">
        <f t="shared" si="5"/>
        <v>46112</v>
      </c>
      <c r="D24" s="82">
        <f t="shared" si="6"/>
        <v>49</v>
      </c>
      <c r="E24" s="113">
        <f>COUNTIFS(Equipe!F:F,"Novo",Equipe!D:D,"Técnico")*3</f>
        <v>90</v>
      </c>
      <c r="F24" s="82">
        <f t="shared" si="0"/>
        <v>489</v>
      </c>
      <c r="G24" s="115">
        <f t="shared" si="1"/>
        <v>1260</v>
      </c>
      <c r="I24" s="89">
        <v>46113</v>
      </c>
      <c r="J24" s="91">
        <f t="shared" si="7"/>
        <v>46112</v>
      </c>
      <c r="K24" s="82">
        <f>COUNTIFS('Planejamento IED'!C:C,"&lt;"&amp;J24,'Planejamento IED'!F:F,"Embarque",'Planejamento IED'!H:H,'Embarques Vivenciais'!$I$2,'Planejamento IED'!I:I,"Novo")</f>
        <v>18</v>
      </c>
      <c r="L24" s="82">
        <f>COUNTIFS(Equipe!F:F,"Novo",Equipe!D:D,"Técnico",Equipe!E:E,$I$2)*3</f>
        <v>24</v>
      </c>
      <c r="M24" s="115">
        <f>SUMIFS('Planejamento IED'!E:E,'Planejamento IED'!C:C,"&lt;"&amp;J24,'Planejamento IED'!F:F,"Embarque",'Planejamento IED'!H:H,'Embarques Vivenciais'!$I$2,'Planejamento IED'!I:I,"Novo")</f>
        <v>187</v>
      </c>
      <c r="N24" s="115">
        <f t="shared" si="2"/>
        <v>336</v>
      </c>
      <c r="P24" s="89">
        <v>46113</v>
      </c>
      <c r="Q24" s="91">
        <f t="shared" si="8"/>
        <v>46112</v>
      </c>
      <c r="R24" s="82">
        <f>COUNTIFS('Planejamento IED'!C:C,"&lt;"&amp;Q24,'Planejamento IED'!F:F,"Embarque",'Planejamento IED'!H:H,'Embarques Vivenciais'!$P$2,'Planejamento IED'!I:I,"Novo")</f>
        <v>17</v>
      </c>
      <c r="S24" s="82">
        <f>COUNTIFS(Equipe!F:F,"Novo",Equipe!D:D,"Técnico",Equipe!E:E,$P$2)*3</f>
        <v>24</v>
      </c>
      <c r="T24" s="115">
        <f>SUMIFS('Planejamento IED'!E:E,'Planejamento IED'!C:C,"&lt;"&amp;Q24,'Planejamento IED'!F:F,"Embarque",'Planejamento IED'!H:H,'Embarques Vivenciais'!$P$2,'Planejamento IED'!I:I,"Novo")</f>
        <v>179</v>
      </c>
      <c r="U24" s="115">
        <f t="shared" si="3"/>
        <v>336</v>
      </c>
      <c r="W24" s="89">
        <v>46113</v>
      </c>
      <c r="X24" s="91">
        <f t="shared" si="9"/>
        <v>46112</v>
      </c>
      <c r="Y24" s="82">
        <f>COUNTIFS('Planejamento IED'!C:C,"&lt;"&amp;X24,'Planejamento IED'!F:F,"Embarque",'Planejamento IED'!H:H,'Embarques Vivenciais'!$W$2,'Planejamento IED'!I:I,"Novo")</f>
        <v>14</v>
      </c>
      <c r="Z24" s="82">
        <f>COUNTIFS(Equipe!F:F,"Novo",Equipe!D:D,"Técnico",Equipe!E:E,$W$2)*3</f>
        <v>21</v>
      </c>
      <c r="AA24" s="115">
        <f>SUMIFS('Planejamento IED'!E:E,'Planejamento IED'!C:C,"&lt;"&amp;X24,'Planejamento IED'!F:F,"Embarque",'Planejamento IED'!H:H,'Embarques Vivenciais'!$W$2,'Planejamento IED'!I:I,"Novo")</f>
        <v>123</v>
      </c>
      <c r="AB24" s="115">
        <f t="shared" si="4"/>
        <v>294</v>
      </c>
      <c r="AD24" s="79" t="s">
        <v>613</v>
      </c>
      <c r="AE24" s="100">
        <v>4608780</v>
      </c>
      <c r="AF24" s="100" t="s">
        <v>710</v>
      </c>
      <c r="AG24" s="101" t="s">
        <v>606</v>
      </c>
      <c r="AH24" s="81" t="s">
        <v>294</v>
      </c>
      <c r="AI24" s="81" t="s">
        <v>53</v>
      </c>
      <c r="AJ24" s="102">
        <f ca="1">COUNTIFS('Planejamento IED'!A:A,'Embarques Vivenciais'!AI24,'Planejamento IED'!F:F,"Embarque",'Planejamento IED'!C:C,"&lt;="&amp;TODAY())</f>
        <v>2</v>
      </c>
      <c r="AK24" s="102">
        <f ca="1">SUMIFS('Planejamento IED'!E:E,'Planejamento IED'!A:A,AI24,'Planejamento IED'!F:F,"Embarque",'Planejamento IED'!D:D,"&lt;="&amp;TODAY())</f>
        <v>10</v>
      </c>
      <c r="AL24" s="102">
        <f>COUNTIFS('Planejamento IED'!A:A,'Embarques Vivenciais'!AI24,'Planejamento IED'!F:F,"Embarque")</f>
        <v>2</v>
      </c>
      <c r="AM24" s="102">
        <f>SUMIFS('Planejamento IED'!E:E,'Planejamento IED'!A:A,AI24,'Planejamento IED'!F:F,"Embarque")</f>
        <v>10</v>
      </c>
    </row>
    <row r="25" spans="2:39" ht="14.45" hidden="1">
      <c r="B25" s="89">
        <v>46143</v>
      </c>
      <c r="C25" s="91">
        <f t="shared" si="5"/>
        <v>46142</v>
      </c>
      <c r="D25" s="82">
        <f t="shared" si="6"/>
        <v>56</v>
      </c>
      <c r="E25" s="113">
        <f>COUNTIFS(Equipe!F:F,"Novo",Equipe!D:D,"Técnico")*3</f>
        <v>90</v>
      </c>
      <c r="F25" s="82">
        <f t="shared" si="0"/>
        <v>572</v>
      </c>
      <c r="G25" s="115">
        <f t="shared" si="1"/>
        <v>1260</v>
      </c>
      <c r="I25" s="89">
        <v>46143</v>
      </c>
      <c r="J25" s="91">
        <f t="shared" si="7"/>
        <v>46142</v>
      </c>
      <c r="K25" s="82">
        <f>COUNTIFS('Planejamento IED'!C:C,"&lt;"&amp;J25,'Planejamento IED'!F:F,"Embarque",'Planejamento IED'!H:H,'Embarques Vivenciais'!$I$2,'Planejamento IED'!I:I,"Novo")</f>
        <v>19</v>
      </c>
      <c r="L25" s="82">
        <f>COUNTIFS(Equipe!F:F,"Novo",Equipe!D:D,"Técnico",Equipe!E:E,$I$2)*3</f>
        <v>24</v>
      </c>
      <c r="M25" s="115">
        <f>SUMIFS('Planejamento IED'!E:E,'Planejamento IED'!C:C,"&lt;"&amp;J25,'Planejamento IED'!F:F,"Embarque",'Planejamento IED'!H:H,'Embarques Vivenciais'!$I$2,'Planejamento IED'!I:I,"Novo")</f>
        <v>201</v>
      </c>
      <c r="N25" s="115">
        <f t="shared" si="2"/>
        <v>336</v>
      </c>
      <c r="P25" s="89">
        <v>46143</v>
      </c>
      <c r="Q25" s="91">
        <f t="shared" si="8"/>
        <v>46142</v>
      </c>
      <c r="R25" s="82">
        <f>COUNTIFS('Planejamento IED'!C:C,"&lt;"&amp;Q25,'Planejamento IED'!F:F,"Embarque",'Planejamento IED'!H:H,'Embarques Vivenciais'!$P$2,'Planejamento IED'!I:I,"Novo")</f>
        <v>20</v>
      </c>
      <c r="S25" s="82">
        <f>COUNTIFS(Equipe!F:F,"Novo",Equipe!D:D,"Técnico",Equipe!E:E,$P$2)*3</f>
        <v>24</v>
      </c>
      <c r="T25" s="115">
        <f>SUMIFS('Planejamento IED'!E:E,'Planejamento IED'!C:C,"&lt;"&amp;Q25,'Planejamento IED'!F:F,"Embarque",'Planejamento IED'!H:H,'Embarques Vivenciais'!$P$2,'Planejamento IED'!I:I,"Novo")</f>
        <v>221</v>
      </c>
      <c r="U25" s="115">
        <f t="shared" si="3"/>
        <v>336</v>
      </c>
      <c r="W25" s="89">
        <v>46143</v>
      </c>
      <c r="X25" s="91">
        <f t="shared" si="9"/>
        <v>46142</v>
      </c>
      <c r="Y25" s="82">
        <f>COUNTIFS('Planejamento IED'!C:C,"&lt;"&amp;X25,'Planejamento IED'!F:F,"Embarque",'Planejamento IED'!H:H,'Embarques Vivenciais'!$W$2,'Planejamento IED'!I:I,"Novo")</f>
        <v>17</v>
      </c>
      <c r="Z25" s="82">
        <f>COUNTIFS(Equipe!F:F,"Novo",Equipe!D:D,"Técnico",Equipe!E:E,$W$2)*3</f>
        <v>21</v>
      </c>
      <c r="AA25" s="115">
        <f>SUMIFS('Planejamento IED'!E:E,'Planejamento IED'!C:C,"&lt;"&amp;X25,'Planejamento IED'!F:F,"Embarque",'Planejamento IED'!H:H,'Embarques Vivenciais'!$W$2,'Planejamento IED'!I:I,"Novo")</f>
        <v>150</v>
      </c>
      <c r="AB25" s="115">
        <f t="shared" si="4"/>
        <v>294</v>
      </c>
      <c r="AD25" s="79" t="s">
        <v>613</v>
      </c>
      <c r="AE25" s="94">
        <v>4613176</v>
      </c>
      <c r="AF25" s="94" t="s">
        <v>622</v>
      </c>
      <c r="AG25" s="101" t="s">
        <v>606</v>
      </c>
      <c r="AH25" s="102" t="s">
        <v>489</v>
      </c>
      <c r="AI25" s="80" t="s">
        <v>331</v>
      </c>
      <c r="AJ25" s="102">
        <f ca="1">COUNTIFS('Planejamento IED'!A:A,'Embarques Vivenciais'!AI25,'Planejamento IED'!F:F,"Embarque",'Planejamento IED'!C:C,"&lt;="&amp;TODAY())</f>
        <v>3</v>
      </c>
      <c r="AK25" s="102">
        <f ca="1">SUMIFS('Planejamento IED'!E:E,'Planejamento IED'!A:A,AI25,'Planejamento IED'!F:F,"Embarque",'Planejamento IED'!D:D,"&lt;="&amp;TODAY())</f>
        <v>35</v>
      </c>
      <c r="AL25" s="102">
        <f>COUNTIFS('Planejamento IED'!A:A,'Embarques Vivenciais'!AI25,'Planejamento IED'!F:F,"Embarque")</f>
        <v>3</v>
      </c>
      <c r="AM25" s="102">
        <f>SUMIFS('Planejamento IED'!E:E,'Planejamento IED'!A:A,AI25,'Planejamento IED'!F:F,"Embarque")</f>
        <v>35</v>
      </c>
    </row>
    <row r="26" spans="2:39" ht="14.45" hidden="1">
      <c r="B26" s="89">
        <v>46174</v>
      </c>
      <c r="C26" s="91">
        <f t="shared" si="5"/>
        <v>46173</v>
      </c>
      <c r="D26" s="82">
        <f t="shared" si="6"/>
        <v>57</v>
      </c>
      <c r="E26" s="113">
        <f>COUNTIFS(Equipe!F:F,"Novo",Equipe!D:D,"Técnico")*3</f>
        <v>90</v>
      </c>
      <c r="F26" s="82">
        <f t="shared" si="0"/>
        <v>586</v>
      </c>
      <c r="G26" s="115">
        <f t="shared" si="1"/>
        <v>1260</v>
      </c>
      <c r="I26" s="89">
        <v>46174</v>
      </c>
      <c r="J26" s="91">
        <f t="shared" si="7"/>
        <v>46173</v>
      </c>
      <c r="K26" s="82">
        <f>COUNTIFS('Planejamento IED'!C:C,"&lt;"&amp;J26,'Planejamento IED'!F:F,"Embarque",'Planejamento IED'!H:H,'Embarques Vivenciais'!$I$2,'Planejamento IED'!I:I,"Novo")</f>
        <v>20</v>
      </c>
      <c r="L26" s="82">
        <f>COUNTIFS(Equipe!F:F,"Novo",Equipe!D:D,"Técnico",Equipe!E:E,$I$2)*3</f>
        <v>24</v>
      </c>
      <c r="M26" s="115">
        <f>SUMIFS('Planejamento IED'!E:E,'Planejamento IED'!C:C,"&lt;"&amp;J26,'Planejamento IED'!F:F,"Embarque",'Planejamento IED'!H:H,'Embarques Vivenciais'!$I$2,'Planejamento IED'!I:I,"Novo")</f>
        <v>215</v>
      </c>
      <c r="N26" s="115">
        <f t="shared" si="2"/>
        <v>336</v>
      </c>
      <c r="P26" s="89">
        <v>46174</v>
      </c>
      <c r="Q26" s="91">
        <f t="shared" si="8"/>
        <v>46173</v>
      </c>
      <c r="R26" s="82">
        <f>COUNTIFS('Planejamento IED'!C:C,"&lt;"&amp;Q26,'Planejamento IED'!F:F,"Embarque",'Planejamento IED'!H:H,'Embarques Vivenciais'!$P$2,'Planejamento IED'!I:I,"Novo")</f>
        <v>20</v>
      </c>
      <c r="S26" s="82">
        <f>COUNTIFS(Equipe!F:F,"Novo",Equipe!D:D,"Técnico",Equipe!E:E,$P$2)*3</f>
        <v>24</v>
      </c>
      <c r="T26" s="115">
        <f>SUMIFS('Planejamento IED'!E:E,'Planejamento IED'!C:C,"&lt;"&amp;Q26,'Planejamento IED'!F:F,"Embarque",'Planejamento IED'!H:H,'Embarques Vivenciais'!$P$2,'Planejamento IED'!I:I,"Novo")</f>
        <v>221</v>
      </c>
      <c r="U26" s="115">
        <f t="shared" si="3"/>
        <v>336</v>
      </c>
      <c r="W26" s="89">
        <v>46174</v>
      </c>
      <c r="X26" s="91">
        <f t="shared" si="9"/>
        <v>46173</v>
      </c>
      <c r="Y26" s="82">
        <f>COUNTIFS('Planejamento IED'!C:C,"&lt;"&amp;X26,'Planejamento IED'!F:F,"Embarque",'Planejamento IED'!H:H,'Embarques Vivenciais'!$W$2,'Planejamento IED'!I:I,"Novo")</f>
        <v>17</v>
      </c>
      <c r="Z26" s="82">
        <f>COUNTIFS(Equipe!F:F,"Novo",Equipe!D:D,"Técnico",Equipe!E:E,$W$2)*3</f>
        <v>21</v>
      </c>
      <c r="AA26" s="115">
        <f>SUMIFS('Planejamento IED'!E:E,'Planejamento IED'!C:C,"&lt;"&amp;X26,'Planejamento IED'!F:F,"Embarque",'Planejamento IED'!H:H,'Embarques Vivenciais'!$W$2,'Planejamento IED'!I:I,"Novo")</f>
        <v>150</v>
      </c>
      <c r="AB26" s="115">
        <f t="shared" si="4"/>
        <v>294</v>
      </c>
      <c r="AD26" s="79" t="s">
        <v>613</v>
      </c>
      <c r="AE26" s="100">
        <v>4613186</v>
      </c>
      <c r="AF26" s="100" t="s">
        <v>624</v>
      </c>
      <c r="AG26" s="101" t="s">
        <v>606</v>
      </c>
      <c r="AH26" s="102" t="s">
        <v>294</v>
      </c>
      <c r="AI26" s="81" t="s">
        <v>318</v>
      </c>
      <c r="AJ26" s="102">
        <f ca="1">COUNTIFS('Planejamento IED'!A:A,'Embarques Vivenciais'!AI26,'Planejamento IED'!F:F,"Embarque",'Planejamento IED'!C:C,"&lt;="&amp;TODAY())</f>
        <v>3</v>
      </c>
      <c r="AK26" s="102">
        <f ca="1">SUMIFS('Planejamento IED'!E:E,'Planejamento IED'!A:A,AI26,'Planejamento IED'!F:F,"Embarque",'Planejamento IED'!D:D,"&lt;="&amp;TODAY())</f>
        <v>34</v>
      </c>
      <c r="AL26" s="102">
        <f>COUNTIFS('Planejamento IED'!A:A,'Embarques Vivenciais'!AI26,'Planejamento IED'!F:F,"Embarque")</f>
        <v>3</v>
      </c>
      <c r="AM26" s="102">
        <f>SUMIFS('Planejamento IED'!E:E,'Planejamento IED'!A:A,AI26,'Planejamento IED'!F:F,"Embarque")</f>
        <v>34</v>
      </c>
    </row>
    <row r="27" spans="2:39" ht="14.45">
      <c r="B27" s="89">
        <v>46204</v>
      </c>
      <c r="C27" s="91">
        <f t="shared" si="5"/>
        <v>46203</v>
      </c>
      <c r="D27" s="82">
        <f t="shared" si="6"/>
        <v>61</v>
      </c>
      <c r="E27" s="113">
        <f>COUNTIFS(Equipe!F:F,"Novo",Equipe!D:D,"Técnico")*3</f>
        <v>90</v>
      </c>
      <c r="F27" s="82">
        <f t="shared" si="0"/>
        <v>641</v>
      </c>
      <c r="G27" s="115">
        <f t="shared" si="1"/>
        <v>1260</v>
      </c>
      <c r="I27" s="89">
        <v>46204</v>
      </c>
      <c r="J27" s="91">
        <f t="shared" si="7"/>
        <v>46203</v>
      </c>
      <c r="K27" s="82">
        <f>COUNTIFS('Planejamento IED'!C:C,"&lt;"&amp;J27,'Planejamento IED'!F:F,"Embarque",'Planejamento IED'!H:H,'Embarques Vivenciais'!$I$2,'Planejamento IED'!I:I,"Novo")</f>
        <v>21</v>
      </c>
      <c r="L27" s="82">
        <f>COUNTIFS(Equipe!F:F,"Novo",Equipe!D:D,"Técnico",Equipe!E:E,$I$2)*3</f>
        <v>24</v>
      </c>
      <c r="M27" s="115">
        <f>SUMIFS('Planejamento IED'!E:E,'Planejamento IED'!C:C,"&lt;"&amp;J27,'Planejamento IED'!F:F,"Embarque",'Planejamento IED'!H:H,'Embarques Vivenciais'!$I$2,'Planejamento IED'!I:I,"Novo")</f>
        <v>229</v>
      </c>
      <c r="N27" s="115">
        <f t="shared" si="2"/>
        <v>336</v>
      </c>
      <c r="P27" s="89">
        <v>46204</v>
      </c>
      <c r="Q27" s="91">
        <f t="shared" si="8"/>
        <v>46203</v>
      </c>
      <c r="R27" s="82">
        <f>COUNTIFS('Planejamento IED'!C:C,"&lt;"&amp;Q27,'Planejamento IED'!F:F,"Embarque",'Planejamento IED'!H:H,'Embarques Vivenciais'!$P$2,'Planejamento IED'!I:I,"Novo")</f>
        <v>21</v>
      </c>
      <c r="S27" s="82">
        <f>COUNTIFS(Equipe!F:F,"Novo",Equipe!D:D,"Técnico",Equipe!E:E,$P$2)*3</f>
        <v>24</v>
      </c>
      <c r="T27" s="115">
        <f>SUMIFS('Planejamento IED'!E:E,'Planejamento IED'!C:C,"&lt;"&amp;Q27,'Planejamento IED'!F:F,"Embarque",'Planejamento IED'!H:H,'Embarques Vivenciais'!$P$2,'Planejamento IED'!I:I,"Novo")</f>
        <v>233</v>
      </c>
      <c r="U27" s="115">
        <f t="shared" si="3"/>
        <v>336</v>
      </c>
      <c r="W27" s="89">
        <v>46204</v>
      </c>
      <c r="X27" s="91">
        <f t="shared" si="9"/>
        <v>46203</v>
      </c>
      <c r="Y27" s="82">
        <f>COUNTIFS('Planejamento IED'!C:C,"&lt;"&amp;X27,'Planejamento IED'!F:F,"Embarque",'Planejamento IED'!H:H,'Embarques Vivenciais'!$W$2,'Planejamento IED'!I:I,"Novo")</f>
        <v>19</v>
      </c>
      <c r="Z27" s="82">
        <f>COUNTIFS(Equipe!F:F,"Novo",Equipe!D:D,"Técnico",Equipe!E:E,$W$2)*3</f>
        <v>21</v>
      </c>
      <c r="AA27" s="115">
        <f>SUMIFS('Planejamento IED'!E:E,'Planejamento IED'!C:C,"&lt;"&amp;X27,'Planejamento IED'!F:F,"Embarque",'Planejamento IED'!H:H,'Embarques Vivenciais'!$W$2,'Planejamento IED'!I:I,"Novo")</f>
        <v>179</v>
      </c>
      <c r="AB27" s="115">
        <f t="shared" si="4"/>
        <v>294</v>
      </c>
    </row>
    <row r="28" spans="2:39" ht="14.45">
      <c r="B28" s="89">
        <v>46235</v>
      </c>
      <c r="C28" s="91">
        <f t="shared" si="5"/>
        <v>46234</v>
      </c>
      <c r="D28" s="82">
        <f t="shared" si="6"/>
        <v>68</v>
      </c>
      <c r="E28" s="113">
        <f>COUNTIFS(Equipe!F:F,"Novo",Equipe!D:D,"Técnico")*3</f>
        <v>90</v>
      </c>
      <c r="F28" s="82">
        <f t="shared" si="0"/>
        <v>727</v>
      </c>
      <c r="G28" s="115">
        <f t="shared" si="1"/>
        <v>1260</v>
      </c>
      <c r="I28" s="89">
        <v>46235</v>
      </c>
      <c r="J28" s="91">
        <f t="shared" si="7"/>
        <v>46234</v>
      </c>
      <c r="K28" s="82">
        <f>COUNTIFS('Planejamento IED'!C:C,"&lt;"&amp;J28,'Planejamento IED'!F:F,"Embarque",'Planejamento IED'!H:H,'Embarques Vivenciais'!$I$2,'Planejamento IED'!I:I,"Novo")</f>
        <v>22</v>
      </c>
      <c r="L28" s="82">
        <f>COUNTIFS(Equipe!F:F,"Novo",Equipe!D:D,"Técnico",Equipe!E:E,$I$2)*3</f>
        <v>24</v>
      </c>
      <c r="M28" s="115">
        <f>SUMIFS('Planejamento IED'!E:E,'Planejamento IED'!C:C,"&lt;"&amp;J28,'Planejamento IED'!F:F,"Embarque",'Planejamento IED'!H:H,'Embarques Vivenciais'!$I$2,'Planejamento IED'!I:I,"Novo")</f>
        <v>236</v>
      </c>
      <c r="N28" s="115">
        <f t="shared" si="2"/>
        <v>336</v>
      </c>
      <c r="P28" s="89">
        <v>46235</v>
      </c>
      <c r="Q28" s="91">
        <f t="shared" si="8"/>
        <v>46234</v>
      </c>
      <c r="R28" s="82">
        <f>COUNTIFS('Planejamento IED'!C:C,"&lt;"&amp;Q28,'Planejamento IED'!F:F,"Embarque",'Planejamento IED'!H:H,'Embarques Vivenciais'!$P$2,'Planejamento IED'!I:I,"Novo")</f>
        <v>24</v>
      </c>
      <c r="S28" s="82">
        <f>COUNTIFS(Equipe!F:F,"Novo",Equipe!D:D,"Técnico",Equipe!E:E,$P$2)*3</f>
        <v>24</v>
      </c>
      <c r="T28" s="115">
        <f>SUMIFS('Planejamento IED'!E:E,'Planejamento IED'!C:C,"&lt;"&amp;Q28,'Planejamento IED'!F:F,"Embarque",'Planejamento IED'!H:H,'Embarques Vivenciais'!$P$2,'Planejamento IED'!I:I,"Novo")</f>
        <v>270</v>
      </c>
      <c r="U28" s="115">
        <f t="shared" si="3"/>
        <v>336</v>
      </c>
      <c r="W28" s="89">
        <v>46235</v>
      </c>
      <c r="X28" s="91">
        <f t="shared" si="9"/>
        <v>46234</v>
      </c>
      <c r="Y28" s="82">
        <f>COUNTIFS('Planejamento IED'!C:C,"&lt;"&amp;X28,'Planejamento IED'!F:F,"Embarque",'Planejamento IED'!H:H,'Embarques Vivenciais'!$W$2,'Planejamento IED'!I:I,"Novo")</f>
        <v>22</v>
      </c>
      <c r="Z28" s="82">
        <f>COUNTIFS(Equipe!F:F,"Novo",Equipe!D:D,"Técnico",Equipe!E:E,$W$2)*3</f>
        <v>21</v>
      </c>
      <c r="AA28" s="115">
        <f>SUMIFS('Planejamento IED'!E:E,'Planejamento IED'!C:C,"&lt;"&amp;X28,'Planejamento IED'!F:F,"Embarque",'Planejamento IED'!H:H,'Embarques Vivenciais'!$W$2,'Planejamento IED'!I:I,"Novo")</f>
        <v>221</v>
      </c>
      <c r="AB28" s="115">
        <f t="shared" si="4"/>
        <v>294</v>
      </c>
    </row>
    <row r="29" spans="2:39" ht="14.45">
      <c r="B29" s="89">
        <v>46266</v>
      </c>
      <c r="C29" s="91">
        <f t="shared" si="5"/>
        <v>46265</v>
      </c>
      <c r="D29" s="82">
        <f t="shared" si="6"/>
        <v>68</v>
      </c>
      <c r="E29" s="113">
        <f>COUNTIFS(Equipe!F:F,"Novo",Equipe!D:D,"Técnico")*3</f>
        <v>90</v>
      </c>
      <c r="F29" s="82">
        <f t="shared" si="0"/>
        <v>727</v>
      </c>
      <c r="G29" s="115">
        <f t="shared" si="1"/>
        <v>1260</v>
      </c>
      <c r="I29" s="89">
        <v>46266</v>
      </c>
      <c r="J29" s="91">
        <f t="shared" si="7"/>
        <v>46265</v>
      </c>
      <c r="K29" s="82">
        <f>COUNTIFS('Planejamento IED'!C:C,"&lt;"&amp;J29,'Planejamento IED'!F:F,"Embarque",'Planejamento IED'!H:H,'Embarques Vivenciais'!$I$2,'Planejamento IED'!I:I,"Novo")</f>
        <v>22</v>
      </c>
      <c r="L29" s="82">
        <f>COUNTIFS(Equipe!F:F,"Novo",Equipe!D:D,"Técnico",Equipe!E:E,$I$2)*3</f>
        <v>24</v>
      </c>
      <c r="M29" s="115">
        <f>SUMIFS('Planejamento IED'!E:E,'Planejamento IED'!C:C,"&lt;"&amp;J29,'Planejamento IED'!F:F,"Embarque",'Planejamento IED'!H:H,'Embarques Vivenciais'!$I$2,'Planejamento IED'!I:I,"Novo")</f>
        <v>236</v>
      </c>
      <c r="N29" s="115">
        <f t="shared" si="2"/>
        <v>336</v>
      </c>
      <c r="P29" s="89">
        <v>46266</v>
      </c>
      <c r="Q29" s="91">
        <f t="shared" si="8"/>
        <v>46265</v>
      </c>
      <c r="R29" s="82">
        <f>COUNTIFS('Planejamento IED'!C:C,"&lt;"&amp;Q29,'Planejamento IED'!F:F,"Embarque",'Planejamento IED'!H:H,'Embarques Vivenciais'!$P$2,'Planejamento IED'!I:I,"Novo")</f>
        <v>24</v>
      </c>
      <c r="S29" s="82">
        <f>COUNTIFS(Equipe!F:F,"Novo",Equipe!D:D,"Técnico",Equipe!E:E,$P$2)*3</f>
        <v>24</v>
      </c>
      <c r="T29" s="115">
        <f>SUMIFS('Planejamento IED'!E:E,'Planejamento IED'!C:C,"&lt;"&amp;Q29,'Planejamento IED'!F:F,"Embarque",'Planejamento IED'!H:H,'Embarques Vivenciais'!$P$2,'Planejamento IED'!I:I,"Novo")</f>
        <v>270</v>
      </c>
      <c r="U29" s="115">
        <f t="shared" si="3"/>
        <v>336</v>
      </c>
      <c r="W29" s="89">
        <v>46266</v>
      </c>
      <c r="X29" s="91">
        <f t="shared" si="9"/>
        <v>46265</v>
      </c>
      <c r="Y29" s="82">
        <f>COUNTIFS('Planejamento IED'!C:C,"&lt;"&amp;X29,'Planejamento IED'!F:F,"Embarque",'Planejamento IED'!H:H,'Embarques Vivenciais'!$W$2,'Planejamento IED'!I:I,"Novo")</f>
        <v>22</v>
      </c>
      <c r="Z29" s="82">
        <f>COUNTIFS(Equipe!F:F,"Novo",Equipe!D:D,"Técnico",Equipe!E:E,$W$2)*3</f>
        <v>21</v>
      </c>
      <c r="AA29" s="115">
        <f>SUMIFS('Planejamento IED'!E:E,'Planejamento IED'!C:C,"&lt;"&amp;X29,'Planejamento IED'!F:F,"Embarque",'Planejamento IED'!H:H,'Embarques Vivenciais'!$W$2,'Planejamento IED'!I:I,"Novo")</f>
        <v>221</v>
      </c>
      <c r="AB29" s="115">
        <f t="shared" si="4"/>
        <v>294</v>
      </c>
    </row>
    <row r="30" spans="2:39" ht="14.45">
      <c r="B30" s="89">
        <v>46296</v>
      </c>
      <c r="C30" s="91">
        <f t="shared" si="5"/>
        <v>46295</v>
      </c>
      <c r="D30" s="82">
        <f t="shared" si="6"/>
        <v>69</v>
      </c>
      <c r="E30" s="113">
        <f>COUNTIFS(Equipe!F:F,"Novo",Equipe!D:D,"Técnico")*3</f>
        <v>90</v>
      </c>
      <c r="F30" s="82">
        <f t="shared" si="0"/>
        <v>741</v>
      </c>
      <c r="G30" s="115">
        <f t="shared" si="1"/>
        <v>1260</v>
      </c>
      <c r="I30" s="89">
        <v>46296</v>
      </c>
      <c r="J30" s="91">
        <f t="shared" si="7"/>
        <v>46295</v>
      </c>
      <c r="K30" s="82">
        <f>COUNTIFS('Planejamento IED'!C:C,"&lt;"&amp;J30,'Planejamento IED'!F:F,"Embarque",'Planejamento IED'!H:H,'Embarques Vivenciais'!$I$2,'Planejamento IED'!I:I,"Novo")</f>
        <v>23</v>
      </c>
      <c r="L30" s="82">
        <f>COUNTIFS(Equipe!F:F,"Novo",Equipe!D:D,"Técnico",Equipe!E:E,$I$2)*3</f>
        <v>24</v>
      </c>
      <c r="M30" s="115">
        <f>SUMIFS('Planejamento IED'!E:E,'Planejamento IED'!C:C,"&lt;"&amp;J30,'Planejamento IED'!F:F,"Embarque",'Planejamento IED'!H:H,'Embarques Vivenciais'!$I$2,'Planejamento IED'!I:I,"Novo")</f>
        <v>250</v>
      </c>
      <c r="N30" s="115">
        <f t="shared" si="2"/>
        <v>336</v>
      </c>
      <c r="P30" s="89">
        <v>46296</v>
      </c>
      <c r="Q30" s="91">
        <f t="shared" si="8"/>
        <v>46295</v>
      </c>
      <c r="R30" s="82">
        <f>COUNTIFS('Planejamento IED'!C:C,"&lt;"&amp;Q30,'Planejamento IED'!F:F,"Embarque",'Planejamento IED'!H:H,'Embarques Vivenciais'!$P$2,'Planejamento IED'!I:I,"Novo")</f>
        <v>24</v>
      </c>
      <c r="S30" s="82">
        <f>COUNTIFS(Equipe!F:F,"Novo",Equipe!D:D,"Técnico",Equipe!E:E,$P$2)*3</f>
        <v>24</v>
      </c>
      <c r="T30" s="115">
        <f>SUMIFS('Planejamento IED'!E:E,'Planejamento IED'!C:C,"&lt;"&amp;Q30,'Planejamento IED'!F:F,"Embarque",'Planejamento IED'!H:H,'Embarques Vivenciais'!$P$2,'Planejamento IED'!I:I,"Novo")</f>
        <v>270</v>
      </c>
      <c r="U30" s="115">
        <f t="shared" si="3"/>
        <v>336</v>
      </c>
      <c r="W30" s="89">
        <v>46296</v>
      </c>
      <c r="X30" s="91">
        <f t="shared" si="9"/>
        <v>46295</v>
      </c>
      <c r="Y30" s="82">
        <f>COUNTIFS('Planejamento IED'!C:C,"&lt;"&amp;X30,'Planejamento IED'!F:F,"Embarque",'Planejamento IED'!H:H,'Embarques Vivenciais'!$W$2,'Planejamento IED'!I:I,"Novo")</f>
        <v>22</v>
      </c>
      <c r="Z30" s="82">
        <f>COUNTIFS(Equipe!F:F,"Novo",Equipe!D:D,"Técnico",Equipe!E:E,$W$2)*3</f>
        <v>21</v>
      </c>
      <c r="AA30" s="115">
        <f>SUMIFS('Planejamento IED'!E:E,'Planejamento IED'!C:C,"&lt;"&amp;X30,'Planejamento IED'!F:F,"Embarque",'Planejamento IED'!H:H,'Embarques Vivenciais'!$W$2,'Planejamento IED'!I:I,"Novo")</f>
        <v>221</v>
      </c>
      <c r="AB30" s="115">
        <f t="shared" si="4"/>
        <v>294</v>
      </c>
    </row>
    <row r="31" spans="2:39" ht="14.45">
      <c r="B31" s="89">
        <v>46327</v>
      </c>
      <c r="C31" s="91">
        <f t="shared" si="5"/>
        <v>46326</v>
      </c>
      <c r="D31" s="82">
        <f t="shared" si="6"/>
        <v>69</v>
      </c>
      <c r="E31" s="113">
        <f>COUNTIFS(Equipe!F:F,"Novo",Equipe!D:D,"Técnico")*3</f>
        <v>90</v>
      </c>
      <c r="F31" s="82">
        <f t="shared" si="0"/>
        <v>741</v>
      </c>
      <c r="G31" s="115">
        <f t="shared" si="1"/>
        <v>1260</v>
      </c>
      <c r="I31" s="89">
        <v>46327</v>
      </c>
      <c r="J31" s="91">
        <f t="shared" si="7"/>
        <v>46326</v>
      </c>
      <c r="K31" s="82">
        <f>COUNTIFS('Planejamento IED'!C:C,"&lt;"&amp;J31,'Planejamento IED'!F:F,"Embarque",'Planejamento IED'!H:H,'Embarques Vivenciais'!$I$2,'Planejamento IED'!I:I,"Novo")</f>
        <v>23</v>
      </c>
      <c r="L31" s="82">
        <f>COUNTIFS(Equipe!F:F,"Novo",Equipe!D:D,"Técnico",Equipe!E:E,$I$2)*3</f>
        <v>24</v>
      </c>
      <c r="M31" s="115">
        <f>SUMIFS('Planejamento IED'!E:E,'Planejamento IED'!C:C,"&lt;"&amp;J31,'Planejamento IED'!F:F,"Embarque",'Planejamento IED'!H:H,'Embarques Vivenciais'!$I$2,'Planejamento IED'!I:I,"Novo")</f>
        <v>250</v>
      </c>
      <c r="N31" s="115">
        <f t="shared" si="2"/>
        <v>336</v>
      </c>
      <c r="P31" s="89">
        <v>46327</v>
      </c>
      <c r="Q31" s="91">
        <f t="shared" si="8"/>
        <v>46326</v>
      </c>
      <c r="R31" s="82">
        <f>COUNTIFS('Planejamento IED'!C:C,"&lt;"&amp;Q31,'Planejamento IED'!F:F,"Embarque",'Planejamento IED'!H:H,'Embarques Vivenciais'!$P$2,'Planejamento IED'!I:I,"Novo")</f>
        <v>24</v>
      </c>
      <c r="S31" s="82">
        <f>COUNTIFS(Equipe!F:F,"Novo",Equipe!D:D,"Técnico",Equipe!E:E,$P$2)*3</f>
        <v>24</v>
      </c>
      <c r="T31" s="115">
        <f>SUMIFS('Planejamento IED'!E:E,'Planejamento IED'!C:C,"&lt;"&amp;Q31,'Planejamento IED'!F:F,"Embarque",'Planejamento IED'!H:H,'Embarques Vivenciais'!$P$2,'Planejamento IED'!I:I,"Novo")</f>
        <v>270</v>
      </c>
      <c r="U31" s="115">
        <f t="shared" si="3"/>
        <v>336</v>
      </c>
      <c r="W31" s="89">
        <v>46327</v>
      </c>
      <c r="X31" s="91">
        <f t="shared" si="9"/>
        <v>46326</v>
      </c>
      <c r="Y31" s="82">
        <f>COUNTIFS('Planejamento IED'!C:C,"&lt;"&amp;X31,'Planejamento IED'!F:F,"Embarque",'Planejamento IED'!H:H,'Embarques Vivenciais'!$W$2,'Planejamento IED'!I:I,"Novo")</f>
        <v>22</v>
      </c>
      <c r="Z31" s="82">
        <f>COUNTIFS(Equipe!F:F,"Novo",Equipe!D:D,"Técnico",Equipe!E:E,$W$2)*3</f>
        <v>21</v>
      </c>
      <c r="AA31" s="115">
        <f>SUMIFS('Planejamento IED'!E:E,'Planejamento IED'!C:C,"&lt;"&amp;X31,'Planejamento IED'!F:F,"Embarque",'Planejamento IED'!H:H,'Embarques Vivenciais'!$W$2,'Planejamento IED'!I:I,"Novo")</f>
        <v>221</v>
      </c>
      <c r="AB31" s="115">
        <f t="shared" si="4"/>
        <v>294</v>
      </c>
    </row>
    <row r="32" spans="2:39" ht="14.45">
      <c r="B32" s="89">
        <v>46357</v>
      </c>
      <c r="C32" s="91">
        <f t="shared" si="5"/>
        <v>46356</v>
      </c>
      <c r="D32" s="82">
        <f t="shared" si="6"/>
        <v>69</v>
      </c>
      <c r="E32" s="113">
        <f>COUNTIFS(Equipe!F:F,"Novo",Equipe!D:D,"Técnico")*3</f>
        <v>90</v>
      </c>
      <c r="F32" s="82">
        <f t="shared" si="0"/>
        <v>741</v>
      </c>
      <c r="G32" s="115">
        <f t="shared" si="1"/>
        <v>1260</v>
      </c>
      <c r="I32" s="89">
        <v>46357</v>
      </c>
      <c r="J32" s="91">
        <f t="shared" si="7"/>
        <v>46356</v>
      </c>
      <c r="K32" s="82">
        <f>COUNTIFS('Planejamento IED'!C:C,"&lt;"&amp;J32,'Planejamento IED'!F:F,"Embarque",'Planejamento IED'!H:H,'Embarques Vivenciais'!$I$2,'Planejamento IED'!I:I,"Novo")</f>
        <v>23</v>
      </c>
      <c r="L32" s="82">
        <f>COUNTIFS(Equipe!F:F,"Novo",Equipe!D:D,"Técnico",Equipe!E:E,$I$2)*3</f>
        <v>24</v>
      </c>
      <c r="M32" s="115">
        <f>SUMIFS('Planejamento IED'!E:E,'Planejamento IED'!C:C,"&lt;"&amp;J32,'Planejamento IED'!F:F,"Embarque",'Planejamento IED'!H:H,'Embarques Vivenciais'!$I$2,'Planejamento IED'!I:I,"Novo")</f>
        <v>250</v>
      </c>
      <c r="N32" s="115">
        <f t="shared" si="2"/>
        <v>336</v>
      </c>
      <c r="P32" s="89">
        <v>46357</v>
      </c>
      <c r="Q32" s="91">
        <f t="shared" si="8"/>
        <v>46356</v>
      </c>
      <c r="R32" s="82">
        <f>COUNTIFS('Planejamento IED'!C:C,"&lt;"&amp;Q32,'Planejamento IED'!F:F,"Embarque",'Planejamento IED'!H:H,'Embarques Vivenciais'!$P$2,'Planejamento IED'!I:I,"Novo")</f>
        <v>24</v>
      </c>
      <c r="S32" s="82">
        <f>COUNTIFS(Equipe!F:F,"Novo",Equipe!D:D,"Técnico",Equipe!E:E,$P$2)*3</f>
        <v>24</v>
      </c>
      <c r="T32" s="115">
        <f>SUMIFS('Planejamento IED'!E:E,'Planejamento IED'!C:C,"&lt;"&amp;Q32,'Planejamento IED'!F:F,"Embarque",'Planejamento IED'!H:H,'Embarques Vivenciais'!$P$2,'Planejamento IED'!I:I,"Novo")</f>
        <v>270</v>
      </c>
      <c r="U32" s="115">
        <f t="shared" si="3"/>
        <v>336</v>
      </c>
      <c r="W32" s="89">
        <v>46357</v>
      </c>
      <c r="X32" s="91">
        <f t="shared" si="9"/>
        <v>46356</v>
      </c>
      <c r="Y32" s="82">
        <f>COUNTIFS('Planejamento IED'!C:C,"&lt;"&amp;X32,'Planejamento IED'!F:F,"Embarque",'Planejamento IED'!H:H,'Embarques Vivenciais'!$W$2,'Planejamento IED'!I:I,"Novo")</f>
        <v>22</v>
      </c>
      <c r="Z32" s="82">
        <f>COUNTIFS(Equipe!F:F,"Novo",Equipe!D:D,"Técnico",Equipe!E:E,$W$2)*3</f>
        <v>21</v>
      </c>
      <c r="AA32" s="115">
        <f>SUMIFS('Planejamento IED'!E:E,'Planejamento IED'!C:C,"&lt;"&amp;X32,'Planejamento IED'!F:F,"Embarque",'Planejamento IED'!H:H,'Embarques Vivenciais'!$W$2,'Planejamento IED'!I:I,"Novo")</f>
        <v>221</v>
      </c>
      <c r="AB32" s="115">
        <f t="shared" si="4"/>
        <v>294</v>
      </c>
    </row>
    <row r="33" spans="2:28" ht="14.45">
      <c r="B33" s="89">
        <v>46388</v>
      </c>
      <c r="C33" s="91">
        <f t="shared" si="5"/>
        <v>46387</v>
      </c>
      <c r="D33" s="82">
        <f t="shared" si="6"/>
        <v>69</v>
      </c>
      <c r="E33" s="113">
        <f>COUNTIFS(Equipe!F:F,"Novo",Equipe!D:D,"Técnico")*3</f>
        <v>90</v>
      </c>
      <c r="F33" s="82">
        <f t="shared" si="0"/>
        <v>741</v>
      </c>
      <c r="G33" s="115">
        <f t="shared" si="1"/>
        <v>1260</v>
      </c>
      <c r="I33" s="89">
        <v>46388</v>
      </c>
      <c r="J33" s="91">
        <f t="shared" si="7"/>
        <v>46387</v>
      </c>
      <c r="K33" s="82">
        <f>COUNTIFS('Planejamento IED'!C:C,"&lt;"&amp;J33,'Planejamento IED'!F:F,"Embarque",'Planejamento IED'!H:H,'Embarques Vivenciais'!$I$2,'Planejamento IED'!I:I,"Novo")</f>
        <v>23</v>
      </c>
      <c r="L33" s="82">
        <f>COUNTIFS(Equipe!F:F,"Novo",Equipe!D:D,"Técnico",Equipe!E:E,$I$2)*3</f>
        <v>24</v>
      </c>
      <c r="M33" s="115">
        <f>SUMIFS('Planejamento IED'!E:E,'Planejamento IED'!C:C,"&lt;"&amp;J33,'Planejamento IED'!F:F,"Embarque",'Planejamento IED'!H:H,'Embarques Vivenciais'!$I$2,'Planejamento IED'!I:I,"Novo")</f>
        <v>250</v>
      </c>
      <c r="N33" s="115">
        <f t="shared" si="2"/>
        <v>336</v>
      </c>
      <c r="P33" s="89">
        <v>46388</v>
      </c>
      <c r="Q33" s="91">
        <f t="shared" si="8"/>
        <v>46387</v>
      </c>
      <c r="R33" s="82">
        <f>COUNTIFS('Planejamento IED'!C:C,"&lt;"&amp;Q33,'Planejamento IED'!F:F,"Embarque",'Planejamento IED'!H:H,'Embarques Vivenciais'!$P$2,'Planejamento IED'!I:I,"Novo")</f>
        <v>24</v>
      </c>
      <c r="S33" s="82">
        <f>COUNTIFS(Equipe!F:F,"Novo",Equipe!D:D,"Técnico",Equipe!E:E,$P$2)*3</f>
        <v>24</v>
      </c>
      <c r="T33" s="115">
        <f>SUMIFS('Planejamento IED'!E:E,'Planejamento IED'!C:C,"&lt;"&amp;Q33,'Planejamento IED'!F:F,"Embarque",'Planejamento IED'!H:H,'Embarques Vivenciais'!$P$2,'Planejamento IED'!I:I,"Novo")</f>
        <v>270</v>
      </c>
      <c r="U33" s="115">
        <f t="shared" si="3"/>
        <v>336</v>
      </c>
      <c r="W33" s="89">
        <v>46388</v>
      </c>
      <c r="X33" s="91">
        <f t="shared" si="9"/>
        <v>46387</v>
      </c>
      <c r="Y33" s="82">
        <f>COUNTIFS('Planejamento IED'!C:C,"&lt;"&amp;X33,'Planejamento IED'!F:F,"Embarque",'Planejamento IED'!H:H,'Embarques Vivenciais'!$W$2,'Planejamento IED'!I:I,"Novo")</f>
        <v>22</v>
      </c>
      <c r="Z33" s="82">
        <f>COUNTIFS(Equipe!F:F,"Novo",Equipe!D:D,"Técnico",Equipe!E:E,$W$2)*3</f>
        <v>21</v>
      </c>
      <c r="AA33" s="115">
        <f>SUMIFS('Planejamento IED'!E:E,'Planejamento IED'!C:C,"&lt;"&amp;X33,'Planejamento IED'!F:F,"Embarque",'Planejamento IED'!H:H,'Embarques Vivenciais'!$W$2,'Planejamento IED'!I:I,"Novo")</f>
        <v>221</v>
      </c>
      <c r="AB33" s="115">
        <f t="shared" si="4"/>
        <v>294</v>
      </c>
    </row>
    <row r="40" spans="2:28" ht="15" customHeight="1">
      <c r="S40" s="116" t="s">
        <v>768</v>
      </c>
      <c r="T40" s="116"/>
      <c r="U40" s="116"/>
    </row>
    <row r="76" spans="25:26" ht="15" customHeight="1">
      <c r="Y76"/>
      <c r="Z76"/>
    </row>
    <row r="77" spans="25:26" ht="15" customHeight="1">
      <c r="Y77"/>
      <c r="Z77"/>
    </row>
    <row r="78" spans="25:26" ht="15" customHeight="1">
      <c r="Y78"/>
      <c r="Z78"/>
    </row>
    <row r="79" spans="25:26" ht="15" customHeight="1">
      <c r="Y79"/>
      <c r="Z79"/>
    </row>
    <row r="80" spans="25:26" ht="15" customHeight="1">
      <c r="Y80"/>
      <c r="Z80"/>
    </row>
    <row r="81" spans="25:26" ht="15" customHeight="1">
      <c r="Y81"/>
      <c r="Z81"/>
    </row>
    <row r="82" spans="25:26" ht="15" customHeight="1">
      <c r="Y82"/>
      <c r="Z82"/>
    </row>
    <row r="83" spans="25:26" ht="15" customHeight="1">
      <c r="Y83"/>
      <c r="Z83"/>
    </row>
    <row r="84" spans="25:26" ht="15" customHeight="1">
      <c r="Y84"/>
      <c r="Z84"/>
    </row>
    <row r="85" spans="25:26" ht="15" customHeight="1">
      <c r="Y85"/>
      <c r="Z85"/>
    </row>
    <row r="86" spans="25:26" ht="15" customHeight="1">
      <c r="Y86"/>
      <c r="Z86"/>
    </row>
    <row r="87" spans="25:26" ht="15" customHeight="1">
      <c r="Y87"/>
      <c r="Z87"/>
    </row>
    <row r="88" spans="25:26" ht="15" customHeight="1">
      <c r="Y88"/>
      <c r="Z88"/>
    </row>
    <row r="89" spans="25:26" ht="15" customHeight="1">
      <c r="Y89"/>
      <c r="Z89"/>
    </row>
    <row r="90" spans="25:26" ht="15" customHeight="1">
      <c r="Y90"/>
      <c r="Z90"/>
    </row>
    <row r="91" spans="25:26" ht="15" customHeight="1">
      <c r="Y91"/>
      <c r="Z91"/>
    </row>
    <row r="92" spans="25:26" ht="15" customHeight="1">
      <c r="Y92"/>
      <c r="Z92"/>
    </row>
    <row r="93" spans="25:26" ht="15" customHeight="1">
      <c r="Y93"/>
      <c r="Z93"/>
    </row>
    <row r="94" spans="25:26" ht="15" customHeight="1">
      <c r="Y94"/>
      <c r="Z94"/>
    </row>
    <row r="95" spans="25:26" ht="15" customHeight="1">
      <c r="Y95"/>
      <c r="Z95"/>
    </row>
    <row r="96" spans="25:26" ht="15" customHeight="1">
      <c r="Y96"/>
      <c r="Z96"/>
    </row>
    <row r="97" spans="25:26" ht="15" customHeight="1">
      <c r="Y97"/>
      <c r="Z97"/>
    </row>
  </sheetData>
  <autoFilter ref="AD3:AK26" xr:uid="{D5301D2C-3B8C-401D-A3DC-45DAB443D846}">
    <filterColumn colId="4">
      <filters>
        <filter val="P80"/>
      </filters>
    </filterColumn>
  </autoFilter>
  <sortState xmlns:xlrd2="http://schemas.microsoft.com/office/spreadsheetml/2017/richdata2" ref="AD4:AK24">
    <sortCondition ref="AH4:AH24"/>
    <sortCondition ref="AD4:AD24"/>
  </sortState>
  <mergeCells count="6">
    <mergeCell ref="AL2:AM2"/>
    <mergeCell ref="B2:G2"/>
    <mergeCell ref="I2:N2"/>
    <mergeCell ref="P2:U2"/>
    <mergeCell ref="W2:AB2"/>
    <mergeCell ref="AJ2:AK2"/>
  </mergeCells>
  <conditionalFormatting sqref="AD23:AD26">
    <cfRule type="containsText" dxfId="23" priority="25" operator="containsText" text="ELET">
      <formula>NOT(ISERROR(SEARCH("ELET",AD23)))</formula>
    </cfRule>
    <cfRule type="containsText" dxfId="22" priority="26" operator="containsText" text="INST">
      <formula>NOT(ISERROR(SEARCH("INST",AD23)))</formula>
    </cfRule>
    <cfRule type="containsText" dxfId="21" priority="27" operator="containsText" text="MEC">
      <formula>NOT(ISERROR(SEARCH("MEC",AD23)))</formula>
    </cfRule>
  </conditionalFormatting>
  <conditionalFormatting sqref="AD3:AH24">
    <cfRule type="containsText" dxfId="20" priority="40" operator="containsText" text="ELET">
      <formula>NOT(ISERROR(SEARCH("ELET",AD3)))</formula>
    </cfRule>
    <cfRule type="containsText" dxfId="19" priority="41" operator="containsText" text="INST">
      <formula>NOT(ISERROR(SEARCH("INST",AD3)))</formula>
    </cfRule>
    <cfRule type="containsText" dxfId="18" priority="42" operator="containsText" text="MEC">
      <formula>NOT(ISERROR(SEARCH("MEC",AD3)))</formula>
    </cfRule>
  </conditionalFormatting>
  <conditionalFormatting sqref="AD25:AH26">
    <cfRule type="containsText" dxfId="17" priority="1" operator="containsText" text="ELET">
      <formula>NOT(ISERROR(SEARCH("ELET",AD25)))</formula>
    </cfRule>
    <cfRule type="containsText" dxfId="16" priority="2" operator="containsText" text="INST">
      <formula>NOT(ISERROR(SEARCH("INST",AD25)))</formula>
    </cfRule>
    <cfRule type="containsText" dxfId="15" priority="3" operator="containsText" text="MEC">
      <formula>NOT(ISERROR(SEARCH("MEC",AD25)))</formula>
    </cfRule>
  </conditionalFormatting>
  <conditionalFormatting sqref="AG19:AG26">
    <cfRule type="containsText" dxfId="14" priority="28" operator="containsText" text="ELET">
      <formula>NOT(ISERROR(SEARCH("ELET",AG19)))</formula>
    </cfRule>
    <cfRule type="containsText" dxfId="13" priority="29" operator="containsText" text="INST">
      <formula>NOT(ISERROR(SEARCH("INST",AG19)))</formula>
    </cfRule>
    <cfRule type="containsText" dxfId="12" priority="30" operator="containsText" text="MEC">
      <formula>NOT(ISERROR(SEARCH("MEC",AG19)))</formula>
    </cfRule>
  </conditionalFormatting>
  <conditionalFormatting sqref="AH15:AH16">
    <cfRule type="containsText" dxfId="11" priority="37" operator="containsText" text="ELET">
      <formula>NOT(ISERROR(SEARCH("ELET",AH15)))</formula>
    </cfRule>
    <cfRule type="containsText" dxfId="10" priority="38" operator="containsText" text="INST">
      <formula>NOT(ISERROR(SEARCH("INST",AH15)))</formula>
    </cfRule>
    <cfRule type="containsText" dxfId="9" priority="39" operator="containsText" text="MEC">
      <formula>NOT(ISERROR(SEARCH("MEC",AH15)))</formula>
    </cfRule>
  </conditionalFormatting>
  <conditionalFormatting sqref="AH16:AH20">
    <cfRule type="containsText" dxfId="8" priority="34" operator="containsText" text="ELET">
      <formula>NOT(ISERROR(SEARCH("ELET",AH16)))</formula>
    </cfRule>
    <cfRule type="containsText" dxfId="7" priority="35" operator="containsText" text="INST">
      <formula>NOT(ISERROR(SEARCH("INST",AH16)))</formula>
    </cfRule>
    <cfRule type="containsText" dxfId="6" priority="36" operator="containsText" text="MEC">
      <formula>NOT(ISERROR(SEARCH("MEC",AH16)))</formula>
    </cfRule>
  </conditionalFormatting>
  <conditionalFormatting sqref="AH25">
    <cfRule type="containsText" dxfId="5" priority="7" operator="containsText" text="ELET">
      <formula>NOT(ISERROR(SEARCH("ELET",AH25)))</formula>
    </cfRule>
    <cfRule type="containsText" dxfId="4" priority="8" operator="containsText" text="INST">
      <formula>NOT(ISERROR(SEARCH("INST",AH25)))</formula>
    </cfRule>
    <cfRule type="containsText" dxfId="3" priority="9" operator="containsText" text="MEC">
      <formula>NOT(ISERROR(SEARCH("MEC",AH25)))</formula>
    </cfRule>
  </conditionalFormatting>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65445-DB1D-477C-81CF-24E0EBA9A5CD}">
  <sheetPr codeName="Planilha2">
    <pageSetUpPr fitToPage="1"/>
  </sheetPr>
  <dimension ref="A1:IE34"/>
  <sheetViews>
    <sheetView showGridLines="0" showRuler="0" zoomScale="85" zoomScaleNormal="85" zoomScalePageLayoutView="70" workbookViewId="0">
      <pane ySplit="6" topLeftCell="A8" activePane="bottomLeft" state="frozen"/>
      <selection pane="bottomLeft" activeCell="Z10" sqref="Z10"/>
    </sheetView>
  </sheetViews>
  <sheetFormatPr defaultRowHeight="30" customHeight="1"/>
  <cols>
    <col min="1" max="1" width="2.5703125" style="32" customWidth="1"/>
    <col min="2" max="2" width="19.5703125" customWidth="1"/>
    <col min="3" max="3" width="15" bestFit="1" customWidth="1"/>
    <col min="4" max="4" width="16.42578125" customWidth="1"/>
    <col min="5" max="5" width="10.42578125" style="5" customWidth="1"/>
    <col min="6" max="6" width="10.42578125" customWidth="1"/>
    <col min="7" max="7" width="2.5703125" customWidth="1"/>
    <col min="8" max="8" width="6.42578125" hidden="1" customWidth="1"/>
    <col min="9" max="71" width="2" customWidth="1"/>
    <col min="72" max="72" width="2.42578125" customWidth="1"/>
    <col min="73" max="82" width="2" customWidth="1"/>
    <col min="83" max="83" width="1.5703125" customWidth="1"/>
    <col min="84" max="93" width="2" customWidth="1"/>
    <col min="94" max="94" width="2.42578125" customWidth="1"/>
    <col min="95" max="96" width="2.42578125" style="75" customWidth="1"/>
    <col min="97" max="97" width="2.42578125" customWidth="1"/>
    <col min="98" max="101" width="2" customWidth="1"/>
    <col min="102" max="103" width="2" style="75" customWidth="1"/>
    <col min="104" max="130" width="2" customWidth="1"/>
    <col min="131" max="131" width="2" style="71" customWidth="1"/>
    <col min="132" max="155" width="2" customWidth="1"/>
    <col min="156" max="239" width="2.42578125" customWidth="1"/>
  </cols>
  <sheetData>
    <row r="1" spans="1:239" ht="30" customHeight="1">
      <c r="A1" s="33" t="s">
        <v>769</v>
      </c>
      <c r="B1" s="36" t="s">
        <v>770</v>
      </c>
      <c r="C1" s="1"/>
      <c r="D1" s="2"/>
      <c r="E1" s="4"/>
      <c r="F1" s="31"/>
      <c r="H1" s="2"/>
      <c r="I1" s="50" t="s">
        <v>771</v>
      </c>
    </row>
    <row r="2" spans="1:239" ht="30" customHeight="1">
      <c r="A2" s="32" t="s">
        <v>772</v>
      </c>
      <c r="B2" s="37" t="s">
        <v>773</v>
      </c>
      <c r="I2" s="51"/>
    </row>
    <row r="3" spans="1:239" ht="33" customHeight="1">
      <c r="A3" s="32" t="s">
        <v>774</v>
      </c>
      <c r="B3" s="70" t="s">
        <v>775</v>
      </c>
      <c r="C3" s="69">
        <f>Início_do_projeto+120</f>
        <v>46051</v>
      </c>
      <c r="D3" s="68" t="s">
        <v>776</v>
      </c>
      <c r="E3" s="193">
        <v>45931</v>
      </c>
      <c r="F3" s="193"/>
      <c r="G3" s="64"/>
    </row>
    <row r="4" spans="1:239" ht="30" customHeight="1">
      <c r="A4" s="33" t="s">
        <v>777</v>
      </c>
      <c r="C4" s="194" t="s">
        <v>778</v>
      </c>
      <c r="D4" s="195"/>
      <c r="E4" s="7">
        <v>1</v>
      </c>
      <c r="I4" s="190">
        <f>I5</f>
        <v>45929</v>
      </c>
      <c r="J4" s="191"/>
      <c r="K4" s="191"/>
      <c r="L4" s="191"/>
      <c r="M4" s="191"/>
      <c r="N4" s="191"/>
      <c r="O4" s="192"/>
      <c r="P4" s="190">
        <f>P5</f>
        <v>45936</v>
      </c>
      <c r="Q4" s="191"/>
      <c r="R4" s="191"/>
      <c r="S4" s="191"/>
      <c r="T4" s="191"/>
      <c r="U4" s="191"/>
      <c r="V4" s="192"/>
      <c r="W4" s="190">
        <f>W5</f>
        <v>45943</v>
      </c>
      <c r="X4" s="191"/>
      <c r="Y4" s="191"/>
      <c r="Z4" s="191"/>
      <c r="AA4" s="191"/>
      <c r="AB4" s="191"/>
      <c r="AC4" s="192"/>
      <c r="AD4" s="190">
        <f>AD5</f>
        <v>45950</v>
      </c>
      <c r="AE4" s="191"/>
      <c r="AF4" s="191"/>
      <c r="AG4" s="191"/>
      <c r="AH4" s="191"/>
      <c r="AI4" s="191"/>
      <c r="AJ4" s="192"/>
      <c r="AK4" s="190">
        <f>AK5</f>
        <v>45957</v>
      </c>
      <c r="AL4" s="191"/>
      <c r="AM4" s="191"/>
      <c r="AN4" s="191"/>
      <c r="AO4" s="191"/>
      <c r="AP4" s="191"/>
      <c r="AQ4" s="192"/>
      <c r="AR4" s="190">
        <f>AR5</f>
        <v>45964</v>
      </c>
      <c r="AS4" s="191"/>
      <c r="AT4" s="191"/>
      <c r="AU4" s="191"/>
      <c r="AV4" s="191"/>
      <c r="AW4" s="191"/>
      <c r="AX4" s="192"/>
      <c r="AY4" s="190">
        <f>AY5</f>
        <v>45971</v>
      </c>
      <c r="AZ4" s="191"/>
      <c r="BA4" s="191"/>
      <c r="BB4" s="191"/>
      <c r="BC4" s="191"/>
      <c r="BD4" s="191"/>
      <c r="BE4" s="192"/>
      <c r="BF4" s="190">
        <f>BF5</f>
        <v>45978</v>
      </c>
      <c r="BG4" s="191"/>
      <c r="BH4" s="191"/>
      <c r="BI4" s="191"/>
      <c r="BJ4" s="191"/>
      <c r="BK4" s="191"/>
      <c r="BL4" s="192"/>
      <c r="BM4" s="190">
        <f>BM5</f>
        <v>45985</v>
      </c>
      <c r="BN4" s="191"/>
      <c r="BO4" s="191"/>
      <c r="BP4" s="191"/>
      <c r="BQ4" s="191"/>
      <c r="BR4" s="191"/>
      <c r="BS4" s="192"/>
      <c r="BT4" s="190">
        <f>BT5</f>
        <v>45992</v>
      </c>
      <c r="BU4" s="191"/>
      <c r="BV4" s="191"/>
      <c r="BW4" s="191"/>
      <c r="BX4" s="191"/>
      <c r="BY4" s="191"/>
      <c r="BZ4" s="192"/>
      <c r="CA4" s="190">
        <f>CA5</f>
        <v>45999</v>
      </c>
      <c r="CB4" s="191"/>
      <c r="CC4" s="191"/>
      <c r="CD4" s="191"/>
      <c r="CE4" s="191"/>
      <c r="CF4" s="191"/>
      <c r="CG4" s="192"/>
      <c r="CH4" s="190">
        <f>CH5</f>
        <v>46006</v>
      </c>
      <c r="CI4" s="191"/>
      <c r="CJ4" s="191"/>
      <c r="CK4" s="191"/>
      <c r="CL4" s="191"/>
      <c r="CM4" s="191"/>
      <c r="CN4" s="192"/>
      <c r="CO4" s="190">
        <f>CO5</f>
        <v>46013</v>
      </c>
      <c r="CP4" s="191"/>
      <c r="CQ4" s="191"/>
      <c r="CR4" s="191"/>
      <c r="CS4" s="191"/>
      <c r="CT4" s="191"/>
      <c r="CU4" s="192"/>
      <c r="CV4" s="190">
        <f>CV5</f>
        <v>46020</v>
      </c>
      <c r="CW4" s="191"/>
      <c r="CX4" s="191"/>
      <c r="CY4" s="191"/>
      <c r="CZ4" s="191"/>
      <c r="DA4" s="191"/>
      <c r="DB4" s="192"/>
      <c r="DC4" s="190">
        <f>DC5</f>
        <v>46027</v>
      </c>
      <c r="DD4" s="191"/>
      <c r="DE4" s="191"/>
      <c r="DF4" s="191"/>
      <c r="DG4" s="191"/>
      <c r="DH4" s="191"/>
      <c r="DI4" s="192"/>
      <c r="DJ4" s="190">
        <f>DJ5</f>
        <v>46034</v>
      </c>
      <c r="DK4" s="191"/>
      <c r="DL4" s="191"/>
      <c r="DM4" s="191"/>
      <c r="DN4" s="191"/>
      <c r="DO4" s="191"/>
      <c r="DP4" s="192"/>
      <c r="DQ4" s="190">
        <f>DQ5</f>
        <v>46041</v>
      </c>
      <c r="DR4" s="191"/>
      <c r="DS4" s="191"/>
      <c r="DT4" s="191"/>
      <c r="DU4" s="191"/>
      <c r="DV4" s="191"/>
      <c r="DW4" s="192"/>
      <c r="DX4" s="190">
        <f>DX5</f>
        <v>46048</v>
      </c>
      <c r="DY4" s="191"/>
      <c r="DZ4" s="191"/>
      <c r="EA4" s="191"/>
      <c r="EB4" s="191"/>
      <c r="EC4" s="191"/>
      <c r="ED4" s="192"/>
      <c r="EE4" s="190">
        <f t="shared" ref="EE4" si="0">EE5</f>
        <v>46055</v>
      </c>
      <c r="EF4" s="191"/>
      <c r="EG4" s="191"/>
      <c r="EH4" s="191"/>
      <c r="EI4" s="191"/>
      <c r="EJ4" s="191"/>
      <c r="EK4" s="192"/>
      <c r="EL4" s="190">
        <f t="shared" ref="EL4" si="1">EL5</f>
        <v>46062</v>
      </c>
      <c r="EM4" s="191"/>
      <c r="EN4" s="191"/>
      <c r="EO4" s="191"/>
      <c r="EP4" s="191"/>
      <c r="EQ4" s="191"/>
      <c r="ER4" s="192"/>
      <c r="ES4" s="190">
        <f t="shared" ref="ES4" si="2">ES5</f>
        <v>46069</v>
      </c>
      <c r="ET4" s="191"/>
      <c r="EU4" s="191"/>
      <c r="EV4" s="191"/>
      <c r="EW4" s="191"/>
      <c r="EX4" s="191"/>
      <c r="EY4" s="192"/>
      <c r="EZ4" s="190">
        <f t="shared" ref="EZ4" si="3">EZ5</f>
        <v>46076</v>
      </c>
      <c r="FA4" s="191"/>
      <c r="FB4" s="191"/>
      <c r="FC4" s="191"/>
      <c r="FD4" s="191"/>
      <c r="FE4" s="191"/>
      <c r="FF4" s="192"/>
      <c r="FG4" s="190">
        <f t="shared" ref="FG4" si="4">FG5</f>
        <v>46083</v>
      </c>
      <c r="FH4" s="191"/>
      <c r="FI4" s="191"/>
      <c r="FJ4" s="191"/>
      <c r="FK4" s="191"/>
      <c r="FL4" s="191"/>
      <c r="FM4" s="192"/>
      <c r="FN4" s="190">
        <f t="shared" ref="FN4" si="5">FN5</f>
        <v>46090</v>
      </c>
      <c r="FO4" s="191"/>
      <c r="FP4" s="191"/>
      <c r="FQ4" s="191"/>
      <c r="FR4" s="191"/>
      <c r="FS4" s="191"/>
      <c r="FT4" s="192"/>
      <c r="FU4" s="190">
        <f t="shared" ref="FU4" si="6">FU5</f>
        <v>46097</v>
      </c>
      <c r="FV4" s="191"/>
      <c r="FW4" s="191"/>
      <c r="FX4" s="191"/>
      <c r="FY4" s="191"/>
      <c r="FZ4" s="191"/>
      <c r="GA4" s="192"/>
      <c r="GB4" s="190">
        <f t="shared" ref="GB4" si="7">GB5</f>
        <v>46104</v>
      </c>
      <c r="GC4" s="191"/>
      <c r="GD4" s="191"/>
      <c r="GE4" s="191"/>
      <c r="GF4" s="191"/>
      <c r="GG4" s="191"/>
      <c r="GH4" s="192"/>
      <c r="GI4" s="190">
        <f t="shared" ref="GI4" si="8">GI5</f>
        <v>46111</v>
      </c>
      <c r="GJ4" s="191"/>
      <c r="GK4" s="191"/>
      <c r="GL4" s="191"/>
      <c r="GM4" s="191"/>
      <c r="GN4" s="191"/>
      <c r="GO4" s="192"/>
      <c r="GP4" s="190">
        <f t="shared" ref="GP4" si="9">GP5</f>
        <v>46118</v>
      </c>
      <c r="GQ4" s="191"/>
      <c r="GR4" s="191"/>
      <c r="GS4" s="191"/>
      <c r="GT4" s="191"/>
      <c r="GU4" s="191"/>
      <c r="GV4" s="192"/>
      <c r="GW4" s="190">
        <f t="shared" ref="GW4" si="10">GW5</f>
        <v>46125</v>
      </c>
      <c r="GX4" s="191"/>
      <c r="GY4" s="191"/>
      <c r="GZ4" s="191"/>
      <c r="HA4" s="191"/>
      <c r="HB4" s="191"/>
      <c r="HC4" s="192"/>
      <c r="HD4" s="190">
        <f t="shared" ref="HD4" si="11">HD5</f>
        <v>46132</v>
      </c>
      <c r="HE4" s="191"/>
      <c r="HF4" s="191"/>
      <c r="HG4" s="191"/>
      <c r="HH4" s="191"/>
      <c r="HI4" s="191"/>
      <c r="HJ4" s="192"/>
      <c r="HK4" s="190">
        <f t="shared" ref="HK4" si="12">HK5</f>
        <v>46139</v>
      </c>
      <c r="HL4" s="191"/>
      <c r="HM4" s="191"/>
      <c r="HN4" s="191"/>
      <c r="HO4" s="191"/>
      <c r="HP4" s="191"/>
      <c r="HQ4" s="192"/>
      <c r="HR4" s="190">
        <f t="shared" ref="HR4" si="13">HR5</f>
        <v>46146</v>
      </c>
      <c r="HS4" s="191"/>
      <c r="HT4" s="191"/>
      <c r="HU4" s="191"/>
      <c r="HV4" s="191"/>
      <c r="HW4" s="191"/>
      <c r="HX4" s="192"/>
      <c r="HY4" s="190">
        <f t="shared" ref="HY4" si="14">HY5</f>
        <v>46153</v>
      </c>
      <c r="HZ4" s="191"/>
      <c r="IA4" s="191"/>
      <c r="IB4" s="191"/>
      <c r="IC4" s="191"/>
      <c r="ID4" s="191"/>
      <c r="IE4" s="192"/>
    </row>
    <row r="5" spans="1:239" ht="15" customHeight="1">
      <c r="A5" s="33" t="s">
        <v>779</v>
      </c>
      <c r="B5" s="49"/>
      <c r="C5" s="49"/>
      <c r="D5" s="49"/>
      <c r="E5" s="49"/>
      <c r="F5" s="49"/>
      <c r="G5" s="49"/>
      <c r="I5" s="65">
        <f>Início_do_projeto-WEEKDAY(Início_do_projeto,1)+2+7*(Semana_de_exibição-1)</f>
        <v>45929</v>
      </c>
      <c r="J5" s="66">
        <f>I5+1</f>
        <v>45930</v>
      </c>
      <c r="K5" s="66">
        <f t="shared" ref="K5:AX5" si="15">J5+1</f>
        <v>45931</v>
      </c>
      <c r="L5" s="66">
        <f t="shared" si="15"/>
        <v>45932</v>
      </c>
      <c r="M5" s="66">
        <f t="shared" si="15"/>
        <v>45933</v>
      </c>
      <c r="N5" s="66">
        <f t="shared" si="15"/>
        <v>45934</v>
      </c>
      <c r="O5" s="67">
        <f t="shared" si="15"/>
        <v>45935</v>
      </c>
      <c r="P5" s="65">
        <f>O5+1</f>
        <v>45936</v>
      </c>
      <c r="Q5" s="66">
        <f>P5+1</f>
        <v>45937</v>
      </c>
      <c r="R5" s="66">
        <f t="shared" si="15"/>
        <v>45938</v>
      </c>
      <c r="S5" s="66">
        <f t="shared" si="15"/>
        <v>45939</v>
      </c>
      <c r="T5" s="66">
        <f t="shared" si="15"/>
        <v>45940</v>
      </c>
      <c r="U5" s="66">
        <f t="shared" si="15"/>
        <v>45941</v>
      </c>
      <c r="V5" s="67">
        <f t="shared" si="15"/>
        <v>45942</v>
      </c>
      <c r="W5" s="65">
        <f>V5+1</f>
        <v>45943</v>
      </c>
      <c r="X5" s="66">
        <f>W5+1</f>
        <v>45944</v>
      </c>
      <c r="Y5" s="66">
        <f t="shared" si="15"/>
        <v>45945</v>
      </c>
      <c r="Z5" s="66">
        <f t="shared" si="15"/>
        <v>45946</v>
      </c>
      <c r="AA5" s="66">
        <f t="shared" si="15"/>
        <v>45947</v>
      </c>
      <c r="AB5" s="66">
        <f t="shared" si="15"/>
        <v>45948</v>
      </c>
      <c r="AC5" s="67">
        <f t="shared" si="15"/>
        <v>45949</v>
      </c>
      <c r="AD5" s="65">
        <f>AC5+1</f>
        <v>45950</v>
      </c>
      <c r="AE5" s="66">
        <f>AD5+1</f>
        <v>45951</v>
      </c>
      <c r="AF5" s="66">
        <f t="shared" si="15"/>
        <v>45952</v>
      </c>
      <c r="AG5" s="66">
        <f t="shared" si="15"/>
        <v>45953</v>
      </c>
      <c r="AH5" s="66">
        <f t="shared" si="15"/>
        <v>45954</v>
      </c>
      <c r="AI5" s="66">
        <f t="shared" si="15"/>
        <v>45955</v>
      </c>
      <c r="AJ5" s="67">
        <f t="shared" si="15"/>
        <v>45956</v>
      </c>
      <c r="AK5" s="65">
        <f>AJ5+1</f>
        <v>45957</v>
      </c>
      <c r="AL5" s="66">
        <f>AK5+1</f>
        <v>45958</v>
      </c>
      <c r="AM5" s="66">
        <f t="shared" si="15"/>
        <v>45959</v>
      </c>
      <c r="AN5" s="66">
        <f t="shared" si="15"/>
        <v>45960</v>
      </c>
      <c r="AO5" s="66">
        <f t="shared" si="15"/>
        <v>45961</v>
      </c>
      <c r="AP5" s="66">
        <f t="shared" si="15"/>
        <v>45962</v>
      </c>
      <c r="AQ5" s="67">
        <f t="shared" si="15"/>
        <v>45963</v>
      </c>
      <c r="AR5" s="65">
        <f>AQ5+1</f>
        <v>45964</v>
      </c>
      <c r="AS5" s="66">
        <f>AR5+1</f>
        <v>45965</v>
      </c>
      <c r="AT5" s="66">
        <f t="shared" si="15"/>
        <v>45966</v>
      </c>
      <c r="AU5" s="66">
        <f t="shared" si="15"/>
        <v>45967</v>
      </c>
      <c r="AV5" s="66">
        <f t="shared" si="15"/>
        <v>45968</v>
      </c>
      <c r="AW5" s="66">
        <f t="shared" si="15"/>
        <v>45969</v>
      </c>
      <c r="AX5" s="67">
        <f t="shared" si="15"/>
        <v>45970</v>
      </c>
      <c r="AY5" s="65">
        <f>AX5+1</f>
        <v>45971</v>
      </c>
      <c r="AZ5" s="66">
        <f>AY5+1</f>
        <v>45972</v>
      </c>
      <c r="BA5" s="66">
        <f t="shared" ref="BA5:BE5" si="16">AZ5+1</f>
        <v>45973</v>
      </c>
      <c r="BB5" s="66">
        <f t="shared" si="16"/>
        <v>45974</v>
      </c>
      <c r="BC5" s="66">
        <f t="shared" si="16"/>
        <v>45975</v>
      </c>
      <c r="BD5" s="66">
        <f t="shared" si="16"/>
        <v>45976</v>
      </c>
      <c r="BE5" s="67">
        <f t="shared" si="16"/>
        <v>45977</v>
      </c>
      <c r="BF5" s="65">
        <f>BE5+1</f>
        <v>45978</v>
      </c>
      <c r="BG5" s="66">
        <f>BF5+1</f>
        <v>45979</v>
      </c>
      <c r="BH5" s="66">
        <f t="shared" ref="BH5:BL5" si="17">BG5+1</f>
        <v>45980</v>
      </c>
      <c r="BI5" s="66">
        <f t="shared" si="17"/>
        <v>45981</v>
      </c>
      <c r="BJ5" s="66">
        <f t="shared" si="17"/>
        <v>45982</v>
      </c>
      <c r="BK5" s="66">
        <f t="shared" si="17"/>
        <v>45983</v>
      </c>
      <c r="BL5" s="67">
        <f t="shared" si="17"/>
        <v>45984</v>
      </c>
      <c r="BM5" s="65">
        <f>BL5+1</f>
        <v>45985</v>
      </c>
      <c r="BN5" s="66">
        <f>BM5+1</f>
        <v>45986</v>
      </c>
      <c r="BO5" s="66">
        <f t="shared" ref="BO5:BS5" si="18">BN5+1</f>
        <v>45987</v>
      </c>
      <c r="BP5" s="66">
        <f t="shared" si="18"/>
        <v>45988</v>
      </c>
      <c r="BQ5" s="66">
        <f t="shared" si="18"/>
        <v>45989</v>
      </c>
      <c r="BR5" s="66">
        <f t="shared" si="18"/>
        <v>45990</v>
      </c>
      <c r="BS5" s="67">
        <f t="shared" si="18"/>
        <v>45991</v>
      </c>
      <c r="BT5" s="65">
        <f>BS5+1</f>
        <v>45992</v>
      </c>
      <c r="BU5" s="66">
        <f>BT5+1</f>
        <v>45993</v>
      </c>
      <c r="BV5" s="66">
        <f t="shared" ref="BV5:BZ5" si="19">BU5+1</f>
        <v>45994</v>
      </c>
      <c r="BW5" s="66">
        <f t="shared" si="19"/>
        <v>45995</v>
      </c>
      <c r="BX5" s="66">
        <f t="shared" si="19"/>
        <v>45996</v>
      </c>
      <c r="BY5" s="66">
        <f t="shared" si="19"/>
        <v>45997</v>
      </c>
      <c r="BZ5" s="67">
        <f t="shared" si="19"/>
        <v>45998</v>
      </c>
      <c r="CA5" s="65">
        <f>BZ5+1</f>
        <v>45999</v>
      </c>
      <c r="CB5" s="66">
        <f>CA5+1</f>
        <v>46000</v>
      </c>
      <c r="CC5" s="66">
        <f t="shared" ref="CC5:CG5" si="20">CB5+1</f>
        <v>46001</v>
      </c>
      <c r="CD5" s="66">
        <f t="shared" si="20"/>
        <v>46002</v>
      </c>
      <c r="CE5" s="66">
        <f t="shared" si="20"/>
        <v>46003</v>
      </c>
      <c r="CF5" s="66">
        <f t="shared" si="20"/>
        <v>46004</v>
      </c>
      <c r="CG5" s="67">
        <f t="shared" si="20"/>
        <v>46005</v>
      </c>
      <c r="CH5" s="65">
        <f>CG5+1</f>
        <v>46006</v>
      </c>
      <c r="CI5" s="66">
        <f>CH5+1</f>
        <v>46007</v>
      </c>
      <c r="CJ5" s="66">
        <f t="shared" ref="CJ5:CN5" si="21">CI5+1</f>
        <v>46008</v>
      </c>
      <c r="CK5" s="66">
        <f t="shared" si="21"/>
        <v>46009</v>
      </c>
      <c r="CL5" s="66">
        <f t="shared" si="21"/>
        <v>46010</v>
      </c>
      <c r="CM5" s="66">
        <f t="shared" si="21"/>
        <v>46011</v>
      </c>
      <c r="CN5" s="67">
        <f t="shared" si="21"/>
        <v>46012</v>
      </c>
      <c r="CO5" s="65">
        <f>CN5+1</f>
        <v>46013</v>
      </c>
      <c r="CP5" s="66">
        <f>CO5+1</f>
        <v>46014</v>
      </c>
      <c r="CQ5" s="76">
        <f t="shared" ref="CQ5:CU5" si="22">CP5+1</f>
        <v>46015</v>
      </c>
      <c r="CR5" s="76">
        <f t="shared" si="22"/>
        <v>46016</v>
      </c>
      <c r="CS5" s="66">
        <f t="shared" si="22"/>
        <v>46017</v>
      </c>
      <c r="CT5" s="66">
        <f t="shared" si="22"/>
        <v>46018</v>
      </c>
      <c r="CU5" s="67">
        <f t="shared" si="22"/>
        <v>46019</v>
      </c>
      <c r="CV5" s="65">
        <f>CU5+1</f>
        <v>46020</v>
      </c>
      <c r="CW5" s="66">
        <f>CV5+1</f>
        <v>46021</v>
      </c>
      <c r="CX5" s="76">
        <f t="shared" ref="CX5:DB5" si="23">CW5+1</f>
        <v>46022</v>
      </c>
      <c r="CY5" s="76">
        <f t="shared" si="23"/>
        <v>46023</v>
      </c>
      <c r="CZ5" s="66">
        <f t="shared" si="23"/>
        <v>46024</v>
      </c>
      <c r="DA5" s="66">
        <f t="shared" si="23"/>
        <v>46025</v>
      </c>
      <c r="DB5" s="67">
        <f t="shared" si="23"/>
        <v>46026</v>
      </c>
      <c r="DC5" s="65">
        <f>DB5+1</f>
        <v>46027</v>
      </c>
      <c r="DD5" s="66">
        <f>DC5+1</f>
        <v>46028</v>
      </c>
      <c r="DE5" s="66">
        <f t="shared" ref="DE5:DI5" si="24">DD5+1</f>
        <v>46029</v>
      </c>
      <c r="DF5" s="66">
        <f t="shared" si="24"/>
        <v>46030</v>
      </c>
      <c r="DG5" s="66">
        <f t="shared" si="24"/>
        <v>46031</v>
      </c>
      <c r="DH5" s="66">
        <f t="shared" si="24"/>
        <v>46032</v>
      </c>
      <c r="DI5" s="67">
        <f t="shared" si="24"/>
        <v>46033</v>
      </c>
      <c r="DJ5" s="65">
        <f>DI5+1</f>
        <v>46034</v>
      </c>
      <c r="DK5" s="66">
        <f>DJ5+1</f>
        <v>46035</v>
      </c>
      <c r="DL5" s="66">
        <f t="shared" ref="DL5:DP5" si="25">DK5+1</f>
        <v>46036</v>
      </c>
      <c r="DM5" s="66">
        <f t="shared" si="25"/>
        <v>46037</v>
      </c>
      <c r="DN5" s="66">
        <f t="shared" si="25"/>
        <v>46038</v>
      </c>
      <c r="DO5" s="66">
        <f t="shared" si="25"/>
        <v>46039</v>
      </c>
      <c r="DP5" s="67">
        <f t="shared" si="25"/>
        <v>46040</v>
      </c>
      <c r="DQ5" s="65">
        <f>DP5+1</f>
        <v>46041</v>
      </c>
      <c r="DR5" s="66">
        <f>DQ5+1</f>
        <v>46042</v>
      </c>
      <c r="DS5" s="66">
        <f t="shared" ref="DS5:DW5" si="26">DR5+1</f>
        <v>46043</v>
      </c>
      <c r="DT5" s="66">
        <f t="shared" si="26"/>
        <v>46044</v>
      </c>
      <c r="DU5" s="66">
        <f t="shared" si="26"/>
        <v>46045</v>
      </c>
      <c r="DV5" s="66">
        <f t="shared" si="26"/>
        <v>46046</v>
      </c>
      <c r="DW5" s="67">
        <f t="shared" si="26"/>
        <v>46047</v>
      </c>
      <c r="DX5" s="65">
        <f>DW5+1</f>
        <v>46048</v>
      </c>
      <c r="DY5" s="66">
        <f>DX5+1</f>
        <v>46049</v>
      </c>
      <c r="DZ5" s="66">
        <f t="shared" ref="DZ5:GK5" si="27">DY5+1</f>
        <v>46050</v>
      </c>
      <c r="EA5" s="72">
        <f t="shared" si="27"/>
        <v>46051</v>
      </c>
      <c r="EB5" s="66">
        <f t="shared" si="27"/>
        <v>46052</v>
      </c>
      <c r="EC5" s="66">
        <f t="shared" si="27"/>
        <v>46053</v>
      </c>
      <c r="ED5" s="67">
        <f t="shared" si="27"/>
        <v>46054</v>
      </c>
      <c r="EE5" s="65">
        <f t="shared" si="27"/>
        <v>46055</v>
      </c>
      <c r="EF5" s="66">
        <f t="shared" si="27"/>
        <v>46056</v>
      </c>
      <c r="EG5" s="66">
        <f t="shared" si="27"/>
        <v>46057</v>
      </c>
      <c r="EH5" s="66">
        <f t="shared" si="27"/>
        <v>46058</v>
      </c>
      <c r="EI5" s="66">
        <f t="shared" si="27"/>
        <v>46059</v>
      </c>
      <c r="EJ5" s="66">
        <f t="shared" si="27"/>
        <v>46060</v>
      </c>
      <c r="EK5" s="67">
        <f t="shared" si="27"/>
        <v>46061</v>
      </c>
      <c r="EL5" s="65">
        <f t="shared" si="27"/>
        <v>46062</v>
      </c>
      <c r="EM5" s="66">
        <f t="shared" si="27"/>
        <v>46063</v>
      </c>
      <c r="EN5" s="66">
        <f t="shared" si="27"/>
        <v>46064</v>
      </c>
      <c r="EO5" s="66">
        <f t="shared" si="27"/>
        <v>46065</v>
      </c>
      <c r="EP5" s="66">
        <f t="shared" si="27"/>
        <v>46066</v>
      </c>
      <c r="EQ5" s="66">
        <f t="shared" si="27"/>
        <v>46067</v>
      </c>
      <c r="ER5" s="67">
        <f t="shared" si="27"/>
        <v>46068</v>
      </c>
      <c r="ES5" s="65">
        <f t="shared" si="27"/>
        <v>46069</v>
      </c>
      <c r="ET5" s="66">
        <f t="shared" si="27"/>
        <v>46070</v>
      </c>
      <c r="EU5" s="66">
        <f t="shared" si="27"/>
        <v>46071</v>
      </c>
      <c r="EV5" s="66">
        <f t="shared" si="27"/>
        <v>46072</v>
      </c>
      <c r="EW5" s="66">
        <f t="shared" si="27"/>
        <v>46073</v>
      </c>
      <c r="EX5" s="66">
        <f t="shared" si="27"/>
        <v>46074</v>
      </c>
      <c r="EY5" s="67">
        <f t="shared" si="27"/>
        <v>46075</v>
      </c>
      <c r="EZ5" s="65">
        <f t="shared" si="27"/>
        <v>46076</v>
      </c>
      <c r="FA5" s="66">
        <f t="shared" si="27"/>
        <v>46077</v>
      </c>
      <c r="FB5" s="66">
        <f t="shared" si="27"/>
        <v>46078</v>
      </c>
      <c r="FC5" s="66">
        <f t="shared" si="27"/>
        <v>46079</v>
      </c>
      <c r="FD5" s="66">
        <f t="shared" si="27"/>
        <v>46080</v>
      </c>
      <c r="FE5" s="66">
        <f t="shared" si="27"/>
        <v>46081</v>
      </c>
      <c r="FF5" s="67">
        <f t="shared" si="27"/>
        <v>46082</v>
      </c>
      <c r="FG5" s="65">
        <f t="shared" si="27"/>
        <v>46083</v>
      </c>
      <c r="FH5" s="66">
        <f t="shared" si="27"/>
        <v>46084</v>
      </c>
      <c r="FI5" s="66">
        <f t="shared" si="27"/>
        <v>46085</v>
      </c>
      <c r="FJ5" s="66">
        <f t="shared" si="27"/>
        <v>46086</v>
      </c>
      <c r="FK5" s="66">
        <f t="shared" si="27"/>
        <v>46087</v>
      </c>
      <c r="FL5" s="66">
        <f t="shared" si="27"/>
        <v>46088</v>
      </c>
      <c r="FM5" s="67">
        <f t="shared" si="27"/>
        <v>46089</v>
      </c>
      <c r="FN5" s="65">
        <f t="shared" si="27"/>
        <v>46090</v>
      </c>
      <c r="FO5" s="66">
        <f t="shared" si="27"/>
        <v>46091</v>
      </c>
      <c r="FP5" s="66">
        <f t="shared" si="27"/>
        <v>46092</v>
      </c>
      <c r="FQ5" s="66">
        <f t="shared" si="27"/>
        <v>46093</v>
      </c>
      <c r="FR5" s="66">
        <f t="shared" si="27"/>
        <v>46094</v>
      </c>
      <c r="FS5" s="66">
        <f t="shared" si="27"/>
        <v>46095</v>
      </c>
      <c r="FT5" s="67">
        <f t="shared" si="27"/>
        <v>46096</v>
      </c>
      <c r="FU5" s="65">
        <f t="shared" si="27"/>
        <v>46097</v>
      </c>
      <c r="FV5" s="66">
        <f t="shared" si="27"/>
        <v>46098</v>
      </c>
      <c r="FW5" s="66">
        <f t="shared" si="27"/>
        <v>46099</v>
      </c>
      <c r="FX5" s="66">
        <f t="shared" si="27"/>
        <v>46100</v>
      </c>
      <c r="FY5" s="66">
        <f t="shared" si="27"/>
        <v>46101</v>
      </c>
      <c r="FZ5" s="66">
        <f t="shared" si="27"/>
        <v>46102</v>
      </c>
      <c r="GA5" s="67">
        <f t="shared" si="27"/>
        <v>46103</v>
      </c>
      <c r="GB5" s="65">
        <f t="shared" si="27"/>
        <v>46104</v>
      </c>
      <c r="GC5" s="66">
        <f t="shared" si="27"/>
        <v>46105</v>
      </c>
      <c r="GD5" s="66">
        <f t="shared" si="27"/>
        <v>46106</v>
      </c>
      <c r="GE5" s="66">
        <f t="shared" si="27"/>
        <v>46107</v>
      </c>
      <c r="GF5" s="66">
        <f t="shared" si="27"/>
        <v>46108</v>
      </c>
      <c r="GG5" s="66">
        <f t="shared" si="27"/>
        <v>46109</v>
      </c>
      <c r="GH5" s="67">
        <f t="shared" si="27"/>
        <v>46110</v>
      </c>
      <c r="GI5" s="65">
        <f t="shared" si="27"/>
        <v>46111</v>
      </c>
      <c r="GJ5" s="66">
        <f t="shared" si="27"/>
        <v>46112</v>
      </c>
      <c r="GK5" s="66">
        <f t="shared" si="27"/>
        <v>46113</v>
      </c>
      <c r="GL5" s="66">
        <f t="shared" ref="GL5:IE5" si="28">GK5+1</f>
        <v>46114</v>
      </c>
      <c r="GM5" s="66">
        <f t="shared" si="28"/>
        <v>46115</v>
      </c>
      <c r="GN5" s="66">
        <f t="shared" si="28"/>
        <v>46116</v>
      </c>
      <c r="GO5" s="67">
        <f t="shared" si="28"/>
        <v>46117</v>
      </c>
      <c r="GP5" s="65">
        <f t="shared" si="28"/>
        <v>46118</v>
      </c>
      <c r="GQ5" s="66">
        <f t="shared" si="28"/>
        <v>46119</v>
      </c>
      <c r="GR5" s="66">
        <f t="shared" si="28"/>
        <v>46120</v>
      </c>
      <c r="GS5" s="66">
        <f t="shared" si="28"/>
        <v>46121</v>
      </c>
      <c r="GT5" s="66">
        <f t="shared" si="28"/>
        <v>46122</v>
      </c>
      <c r="GU5" s="66">
        <f t="shared" si="28"/>
        <v>46123</v>
      </c>
      <c r="GV5" s="67">
        <f t="shared" si="28"/>
        <v>46124</v>
      </c>
      <c r="GW5" s="65">
        <f t="shared" si="28"/>
        <v>46125</v>
      </c>
      <c r="GX5" s="66">
        <f t="shared" si="28"/>
        <v>46126</v>
      </c>
      <c r="GY5" s="66">
        <f t="shared" si="28"/>
        <v>46127</v>
      </c>
      <c r="GZ5" s="66">
        <f t="shared" si="28"/>
        <v>46128</v>
      </c>
      <c r="HA5" s="66">
        <f t="shared" si="28"/>
        <v>46129</v>
      </c>
      <c r="HB5" s="66">
        <f t="shared" si="28"/>
        <v>46130</v>
      </c>
      <c r="HC5" s="67">
        <f t="shared" si="28"/>
        <v>46131</v>
      </c>
      <c r="HD5" s="65">
        <f t="shared" si="28"/>
        <v>46132</v>
      </c>
      <c r="HE5" s="66">
        <f t="shared" si="28"/>
        <v>46133</v>
      </c>
      <c r="HF5" s="66">
        <f t="shared" si="28"/>
        <v>46134</v>
      </c>
      <c r="HG5" s="66">
        <f t="shared" si="28"/>
        <v>46135</v>
      </c>
      <c r="HH5" s="66">
        <f t="shared" si="28"/>
        <v>46136</v>
      </c>
      <c r="HI5" s="66">
        <f t="shared" si="28"/>
        <v>46137</v>
      </c>
      <c r="HJ5" s="67">
        <f t="shared" si="28"/>
        <v>46138</v>
      </c>
      <c r="HK5" s="65">
        <f t="shared" si="28"/>
        <v>46139</v>
      </c>
      <c r="HL5" s="66">
        <f t="shared" si="28"/>
        <v>46140</v>
      </c>
      <c r="HM5" s="66">
        <f t="shared" si="28"/>
        <v>46141</v>
      </c>
      <c r="HN5" s="66">
        <f t="shared" si="28"/>
        <v>46142</v>
      </c>
      <c r="HO5" s="66">
        <f t="shared" si="28"/>
        <v>46143</v>
      </c>
      <c r="HP5" s="66">
        <f t="shared" si="28"/>
        <v>46144</v>
      </c>
      <c r="HQ5" s="67">
        <f t="shared" si="28"/>
        <v>46145</v>
      </c>
      <c r="HR5" s="65">
        <f t="shared" si="28"/>
        <v>46146</v>
      </c>
      <c r="HS5" s="66">
        <f t="shared" si="28"/>
        <v>46147</v>
      </c>
      <c r="HT5" s="66">
        <f t="shared" si="28"/>
        <v>46148</v>
      </c>
      <c r="HU5" s="66">
        <f t="shared" si="28"/>
        <v>46149</v>
      </c>
      <c r="HV5" s="66">
        <f t="shared" si="28"/>
        <v>46150</v>
      </c>
      <c r="HW5" s="66">
        <f t="shared" si="28"/>
        <v>46151</v>
      </c>
      <c r="HX5" s="67">
        <f t="shared" si="28"/>
        <v>46152</v>
      </c>
      <c r="HY5" s="65">
        <f t="shared" si="28"/>
        <v>46153</v>
      </c>
      <c r="HZ5" s="66">
        <f t="shared" si="28"/>
        <v>46154</v>
      </c>
      <c r="IA5" s="66">
        <f t="shared" si="28"/>
        <v>46155</v>
      </c>
      <c r="IB5" s="66">
        <f t="shared" si="28"/>
        <v>46156</v>
      </c>
      <c r="IC5" s="66">
        <f t="shared" si="28"/>
        <v>46157</v>
      </c>
      <c r="ID5" s="66">
        <f t="shared" si="28"/>
        <v>46158</v>
      </c>
      <c r="IE5" s="67">
        <f t="shared" si="28"/>
        <v>46159</v>
      </c>
    </row>
    <row r="6" spans="1:239" ht="30" customHeight="1" thickBot="1">
      <c r="A6" s="33" t="s">
        <v>780</v>
      </c>
      <c r="B6" s="8" t="s">
        <v>781</v>
      </c>
      <c r="C6" s="9" t="s">
        <v>782</v>
      </c>
      <c r="D6" s="9" t="s">
        <v>783</v>
      </c>
      <c r="E6" s="9" t="s">
        <v>784</v>
      </c>
      <c r="F6" s="9" t="s">
        <v>785</v>
      </c>
      <c r="G6" s="9"/>
      <c r="H6" s="9" t="s">
        <v>4</v>
      </c>
      <c r="I6" s="10" t="str">
        <f t="shared" ref="I6:BT6" si="29">LEFT(TEXT(I5,"ddd"),1)</f>
        <v>s</v>
      </c>
      <c r="J6" s="10" t="str">
        <f t="shared" si="29"/>
        <v>t</v>
      </c>
      <c r="K6" s="10" t="str">
        <f t="shared" si="29"/>
        <v>q</v>
      </c>
      <c r="L6" s="10" t="str">
        <f t="shared" si="29"/>
        <v>q</v>
      </c>
      <c r="M6" s="10" t="str">
        <f t="shared" si="29"/>
        <v>s</v>
      </c>
      <c r="N6" s="10" t="str">
        <f t="shared" si="29"/>
        <v>s</v>
      </c>
      <c r="O6" s="10" t="str">
        <f t="shared" si="29"/>
        <v>d</v>
      </c>
      <c r="P6" s="10" t="str">
        <f t="shared" si="29"/>
        <v>s</v>
      </c>
      <c r="Q6" s="10" t="str">
        <f t="shared" si="29"/>
        <v>t</v>
      </c>
      <c r="R6" s="10" t="str">
        <f t="shared" si="29"/>
        <v>q</v>
      </c>
      <c r="S6" s="10" t="str">
        <f t="shared" si="29"/>
        <v>q</v>
      </c>
      <c r="T6" s="10" t="str">
        <f t="shared" si="29"/>
        <v>s</v>
      </c>
      <c r="U6" s="10" t="str">
        <f t="shared" si="29"/>
        <v>s</v>
      </c>
      <c r="V6" s="10" t="str">
        <f t="shared" si="29"/>
        <v>d</v>
      </c>
      <c r="W6" s="10" t="str">
        <f t="shared" si="29"/>
        <v>s</v>
      </c>
      <c r="X6" s="10" t="str">
        <f t="shared" si="29"/>
        <v>t</v>
      </c>
      <c r="Y6" s="10" t="str">
        <f t="shared" si="29"/>
        <v>q</v>
      </c>
      <c r="Z6" s="10" t="str">
        <f t="shared" si="29"/>
        <v>q</v>
      </c>
      <c r="AA6" s="10" t="str">
        <f t="shared" si="29"/>
        <v>s</v>
      </c>
      <c r="AB6" s="10" t="str">
        <f t="shared" si="29"/>
        <v>s</v>
      </c>
      <c r="AC6" s="10" t="str">
        <f t="shared" si="29"/>
        <v>d</v>
      </c>
      <c r="AD6" s="10" t="str">
        <f t="shared" si="29"/>
        <v>s</v>
      </c>
      <c r="AE6" s="10" t="str">
        <f t="shared" si="29"/>
        <v>t</v>
      </c>
      <c r="AF6" s="10" t="str">
        <f t="shared" si="29"/>
        <v>q</v>
      </c>
      <c r="AG6" s="10" t="str">
        <f t="shared" si="29"/>
        <v>q</v>
      </c>
      <c r="AH6" s="10" t="str">
        <f t="shared" si="29"/>
        <v>s</v>
      </c>
      <c r="AI6" s="10" t="str">
        <f t="shared" si="29"/>
        <v>s</v>
      </c>
      <c r="AJ6" s="10" t="str">
        <f t="shared" si="29"/>
        <v>d</v>
      </c>
      <c r="AK6" s="10" t="str">
        <f t="shared" si="29"/>
        <v>s</v>
      </c>
      <c r="AL6" s="10" t="str">
        <f t="shared" si="29"/>
        <v>t</v>
      </c>
      <c r="AM6" s="10" t="str">
        <f t="shared" si="29"/>
        <v>q</v>
      </c>
      <c r="AN6" s="10" t="str">
        <f t="shared" si="29"/>
        <v>q</v>
      </c>
      <c r="AO6" s="10" t="str">
        <f t="shared" si="29"/>
        <v>s</v>
      </c>
      <c r="AP6" s="10" t="str">
        <f t="shared" si="29"/>
        <v>s</v>
      </c>
      <c r="AQ6" s="10" t="str">
        <f t="shared" si="29"/>
        <v>d</v>
      </c>
      <c r="AR6" s="10" t="str">
        <f t="shared" si="29"/>
        <v>s</v>
      </c>
      <c r="AS6" s="10" t="str">
        <f t="shared" si="29"/>
        <v>t</v>
      </c>
      <c r="AT6" s="10" t="str">
        <f t="shared" si="29"/>
        <v>q</v>
      </c>
      <c r="AU6" s="10" t="str">
        <f t="shared" si="29"/>
        <v>q</v>
      </c>
      <c r="AV6" s="10" t="str">
        <f t="shared" si="29"/>
        <v>s</v>
      </c>
      <c r="AW6" s="10" t="str">
        <f t="shared" si="29"/>
        <v>s</v>
      </c>
      <c r="AX6" s="10" t="str">
        <f t="shared" si="29"/>
        <v>d</v>
      </c>
      <c r="AY6" s="10" t="str">
        <f t="shared" si="29"/>
        <v>s</v>
      </c>
      <c r="AZ6" s="10" t="str">
        <f t="shared" si="29"/>
        <v>t</v>
      </c>
      <c r="BA6" s="10" t="str">
        <f t="shared" si="29"/>
        <v>q</v>
      </c>
      <c r="BB6" s="10" t="str">
        <f t="shared" si="29"/>
        <v>q</v>
      </c>
      <c r="BC6" s="10" t="str">
        <f t="shared" si="29"/>
        <v>s</v>
      </c>
      <c r="BD6" s="10" t="str">
        <f t="shared" si="29"/>
        <v>s</v>
      </c>
      <c r="BE6" s="10" t="str">
        <f t="shared" si="29"/>
        <v>d</v>
      </c>
      <c r="BF6" s="10" t="str">
        <f t="shared" si="29"/>
        <v>s</v>
      </c>
      <c r="BG6" s="10" t="str">
        <f t="shared" si="29"/>
        <v>t</v>
      </c>
      <c r="BH6" s="10" t="str">
        <f t="shared" si="29"/>
        <v>q</v>
      </c>
      <c r="BI6" s="10" t="str">
        <f t="shared" si="29"/>
        <v>q</v>
      </c>
      <c r="BJ6" s="10" t="str">
        <f t="shared" si="29"/>
        <v>s</v>
      </c>
      <c r="BK6" s="10" t="str">
        <f t="shared" si="29"/>
        <v>s</v>
      </c>
      <c r="BL6" s="10" t="str">
        <f t="shared" si="29"/>
        <v>d</v>
      </c>
      <c r="BM6" s="10" t="str">
        <f t="shared" si="29"/>
        <v>s</v>
      </c>
      <c r="BN6" s="10" t="str">
        <f t="shared" si="29"/>
        <v>t</v>
      </c>
      <c r="BO6" s="10" t="str">
        <f t="shared" si="29"/>
        <v>q</v>
      </c>
      <c r="BP6" s="10" t="str">
        <f t="shared" si="29"/>
        <v>q</v>
      </c>
      <c r="BQ6" s="10" t="str">
        <f t="shared" si="29"/>
        <v>s</v>
      </c>
      <c r="BR6" s="10" t="str">
        <f t="shared" si="29"/>
        <v>s</v>
      </c>
      <c r="BS6" s="10" t="str">
        <f t="shared" si="29"/>
        <v>d</v>
      </c>
      <c r="BT6" s="10" t="str">
        <f t="shared" si="29"/>
        <v>s</v>
      </c>
      <c r="BU6" s="10" t="str">
        <f t="shared" ref="BU6:EF6" si="30">LEFT(TEXT(BU5,"ddd"),1)</f>
        <v>t</v>
      </c>
      <c r="BV6" s="10" t="str">
        <f t="shared" si="30"/>
        <v>q</v>
      </c>
      <c r="BW6" s="10" t="str">
        <f t="shared" si="30"/>
        <v>q</v>
      </c>
      <c r="BX6" s="10" t="str">
        <f t="shared" si="30"/>
        <v>s</v>
      </c>
      <c r="BY6" s="10" t="str">
        <f t="shared" si="30"/>
        <v>s</v>
      </c>
      <c r="BZ6" s="10" t="str">
        <f t="shared" si="30"/>
        <v>d</v>
      </c>
      <c r="CA6" s="10" t="str">
        <f t="shared" si="30"/>
        <v>s</v>
      </c>
      <c r="CB6" s="10" t="str">
        <f t="shared" si="30"/>
        <v>t</v>
      </c>
      <c r="CC6" s="10" t="str">
        <f t="shared" si="30"/>
        <v>q</v>
      </c>
      <c r="CD6" s="10" t="str">
        <f t="shared" si="30"/>
        <v>q</v>
      </c>
      <c r="CE6" s="10" t="str">
        <f t="shared" si="30"/>
        <v>s</v>
      </c>
      <c r="CF6" s="10" t="str">
        <f t="shared" si="30"/>
        <v>s</v>
      </c>
      <c r="CG6" s="10" t="str">
        <f t="shared" si="30"/>
        <v>d</v>
      </c>
      <c r="CH6" s="10" t="str">
        <f t="shared" si="30"/>
        <v>s</v>
      </c>
      <c r="CI6" s="10" t="str">
        <f t="shared" si="30"/>
        <v>t</v>
      </c>
      <c r="CJ6" s="10" t="str">
        <f t="shared" si="30"/>
        <v>q</v>
      </c>
      <c r="CK6" s="10" t="str">
        <f t="shared" si="30"/>
        <v>q</v>
      </c>
      <c r="CL6" s="10" t="str">
        <f t="shared" si="30"/>
        <v>s</v>
      </c>
      <c r="CM6" s="10" t="str">
        <f t="shared" si="30"/>
        <v>s</v>
      </c>
      <c r="CN6" s="10" t="str">
        <f t="shared" si="30"/>
        <v>d</v>
      </c>
      <c r="CO6" s="10" t="str">
        <f t="shared" si="30"/>
        <v>s</v>
      </c>
      <c r="CP6" s="10" t="str">
        <f t="shared" si="30"/>
        <v>t</v>
      </c>
      <c r="CQ6" s="77" t="str">
        <f t="shared" si="30"/>
        <v>q</v>
      </c>
      <c r="CR6" s="77" t="str">
        <f t="shared" si="30"/>
        <v>q</v>
      </c>
      <c r="CS6" s="10" t="str">
        <f t="shared" si="30"/>
        <v>s</v>
      </c>
      <c r="CT6" s="10" t="str">
        <f t="shared" si="30"/>
        <v>s</v>
      </c>
      <c r="CU6" s="10" t="str">
        <f t="shared" si="30"/>
        <v>d</v>
      </c>
      <c r="CV6" s="10" t="str">
        <f t="shared" si="30"/>
        <v>s</v>
      </c>
      <c r="CW6" s="10" t="str">
        <f t="shared" si="30"/>
        <v>t</v>
      </c>
      <c r="CX6" s="77" t="str">
        <f t="shared" si="30"/>
        <v>q</v>
      </c>
      <c r="CY6" s="77" t="str">
        <f t="shared" si="30"/>
        <v>q</v>
      </c>
      <c r="CZ6" s="10" t="str">
        <f t="shared" si="30"/>
        <v>s</v>
      </c>
      <c r="DA6" s="10" t="str">
        <f t="shared" si="30"/>
        <v>s</v>
      </c>
      <c r="DB6" s="10" t="str">
        <f t="shared" si="30"/>
        <v>d</v>
      </c>
      <c r="DC6" s="10" t="str">
        <f t="shared" si="30"/>
        <v>s</v>
      </c>
      <c r="DD6" s="10" t="str">
        <f t="shared" si="30"/>
        <v>t</v>
      </c>
      <c r="DE6" s="10" t="str">
        <f t="shared" si="30"/>
        <v>q</v>
      </c>
      <c r="DF6" s="10" t="str">
        <f t="shared" si="30"/>
        <v>q</v>
      </c>
      <c r="DG6" s="10" t="str">
        <f t="shared" si="30"/>
        <v>s</v>
      </c>
      <c r="DH6" s="10" t="str">
        <f t="shared" si="30"/>
        <v>s</v>
      </c>
      <c r="DI6" s="10" t="str">
        <f t="shared" si="30"/>
        <v>d</v>
      </c>
      <c r="DJ6" s="10" t="str">
        <f t="shared" si="30"/>
        <v>s</v>
      </c>
      <c r="DK6" s="10" t="str">
        <f t="shared" si="30"/>
        <v>t</v>
      </c>
      <c r="DL6" s="10" t="str">
        <f t="shared" si="30"/>
        <v>q</v>
      </c>
      <c r="DM6" s="10" t="str">
        <f t="shared" si="30"/>
        <v>q</v>
      </c>
      <c r="DN6" s="10" t="str">
        <f t="shared" si="30"/>
        <v>s</v>
      </c>
      <c r="DO6" s="10" t="str">
        <f t="shared" si="30"/>
        <v>s</v>
      </c>
      <c r="DP6" s="10" t="str">
        <f t="shared" si="30"/>
        <v>d</v>
      </c>
      <c r="DQ6" s="10" t="str">
        <f t="shared" si="30"/>
        <v>s</v>
      </c>
      <c r="DR6" s="10" t="str">
        <f t="shared" si="30"/>
        <v>t</v>
      </c>
      <c r="DS6" s="10" t="str">
        <f t="shared" si="30"/>
        <v>q</v>
      </c>
      <c r="DT6" s="10" t="str">
        <f t="shared" si="30"/>
        <v>q</v>
      </c>
      <c r="DU6" s="10" t="str">
        <f t="shared" si="30"/>
        <v>s</v>
      </c>
      <c r="DV6" s="10" t="str">
        <f t="shared" si="30"/>
        <v>s</v>
      </c>
      <c r="DW6" s="10" t="str">
        <f t="shared" si="30"/>
        <v>d</v>
      </c>
      <c r="DX6" s="10" t="str">
        <f t="shared" si="30"/>
        <v>s</v>
      </c>
      <c r="DY6" s="10" t="str">
        <f t="shared" si="30"/>
        <v>t</v>
      </c>
      <c r="DZ6" s="10" t="str">
        <f t="shared" si="30"/>
        <v>q</v>
      </c>
      <c r="EA6" s="73" t="str">
        <f t="shared" si="30"/>
        <v>q</v>
      </c>
      <c r="EB6" s="10" t="str">
        <f t="shared" si="30"/>
        <v>s</v>
      </c>
      <c r="EC6" s="10" t="str">
        <f t="shared" si="30"/>
        <v>s</v>
      </c>
      <c r="ED6" s="10" t="str">
        <f t="shared" si="30"/>
        <v>d</v>
      </c>
      <c r="EE6" s="10" t="str">
        <f t="shared" si="30"/>
        <v>s</v>
      </c>
      <c r="EF6" s="10" t="str">
        <f t="shared" si="30"/>
        <v>t</v>
      </c>
      <c r="EG6" s="10" t="str">
        <f t="shared" ref="EG6:GR6" si="31">LEFT(TEXT(EG5,"ddd"),1)</f>
        <v>q</v>
      </c>
      <c r="EH6" s="10" t="str">
        <f t="shared" si="31"/>
        <v>q</v>
      </c>
      <c r="EI6" s="10" t="str">
        <f t="shared" si="31"/>
        <v>s</v>
      </c>
      <c r="EJ6" s="10" t="str">
        <f t="shared" si="31"/>
        <v>s</v>
      </c>
      <c r="EK6" s="10" t="str">
        <f t="shared" si="31"/>
        <v>d</v>
      </c>
      <c r="EL6" s="10" t="str">
        <f t="shared" si="31"/>
        <v>s</v>
      </c>
      <c r="EM6" s="10" t="str">
        <f t="shared" si="31"/>
        <v>t</v>
      </c>
      <c r="EN6" s="10" t="str">
        <f t="shared" si="31"/>
        <v>q</v>
      </c>
      <c r="EO6" s="10" t="str">
        <f t="shared" si="31"/>
        <v>q</v>
      </c>
      <c r="EP6" s="10" t="str">
        <f t="shared" si="31"/>
        <v>s</v>
      </c>
      <c r="EQ6" s="10" t="str">
        <f t="shared" si="31"/>
        <v>s</v>
      </c>
      <c r="ER6" s="10" t="str">
        <f t="shared" si="31"/>
        <v>d</v>
      </c>
      <c r="ES6" s="10" t="str">
        <f t="shared" si="31"/>
        <v>s</v>
      </c>
      <c r="ET6" s="10" t="str">
        <f t="shared" si="31"/>
        <v>t</v>
      </c>
      <c r="EU6" s="10" t="str">
        <f t="shared" si="31"/>
        <v>q</v>
      </c>
      <c r="EV6" s="10" t="str">
        <f t="shared" si="31"/>
        <v>q</v>
      </c>
      <c r="EW6" s="10" t="str">
        <f t="shared" si="31"/>
        <v>s</v>
      </c>
      <c r="EX6" s="10" t="str">
        <f t="shared" si="31"/>
        <v>s</v>
      </c>
      <c r="EY6" s="10" t="str">
        <f t="shared" si="31"/>
        <v>d</v>
      </c>
      <c r="EZ6" s="10" t="str">
        <f t="shared" si="31"/>
        <v>s</v>
      </c>
      <c r="FA6" s="10" t="str">
        <f t="shared" si="31"/>
        <v>t</v>
      </c>
      <c r="FB6" s="10" t="str">
        <f t="shared" si="31"/>
        <v>q</v>
      </c>
      <c r="FC6" s="10" t="str">
        <f t="shared" si="31"/>
        <v>q</v>
      </c>
      <c r="FD6" s="10" t="str">
        <f t="shared" si="31"/>
        <v>s</v>
      </c>
      <c r="FE6" s="10" t="str">
        <f t="shared" si="31"/>
        <v>s</v>
      </c>
      <c r="FF6" s="10" t="str">
        <f t="shared" si="31"/>
        <v>d</v>
      </c>
      <c r="FG6" s="10" t="str">
        <f t="shared" si="31"/>
        <v>s</v>
      </c>
      <c r="FH6" s="10" t="str">
        <f t="shared" si="31"/>
        <v>t</v>
      </c>
      <c r="FI6" s="10" t="str">
        <f t="shared" si="31"/>
        <v>q</v>
      </c>
      <c r="FJ6" s="10" t="str">
        <f t="shared" si="31"/>
        <v>q</v>
      </c>
      <c r="FK6" s="10" t="str">
        <f t="shared" si="31"/>
        <v>s</v>
      </c>
      <c r="FL6" s="10" t="str">
        <f t="shared" si="31"/>
        <v>s</v>
      </c>
      <c r="FM6" s="10" t="str">
        <f t="shared" si="31"/>
        <v>d</v>
      </c>
      <c r="FN6" s="10" t="str">
        <f t="shared" si="31"/>
        <v>s</v>
      </c>
      <c r="FO6" s="10" t="str">
        <f t="shared" si="31"/>
        <v>t</v>
      </c>
      <c r="FP6" s="10" t="str">
        <f t="shared" si="31"/>
        <v>q</v>
      </c>
      <c r="FQ6" s="10" t="str">
        <f t="shared" si="31"/>
        <v>q</v>
      </c>
      <c r="FR6" s="10" t="str">
        <f t="shared" si="31"/>
        <v>s</v>
      </c>
      <c r="FS6" s="10" t="str">
        <f t="shared" si="31"/>
        <v>s</v>
      </c>
      <c r="FT6" s="10" t="str">
        <f t="shared" si="31"/>
        <v>d</v>
      </c>
      <c r="FU6" s="10" t="str">
        <f t="shared" si="31"/>
        <v>s</v>
      </c>
      <c r="FV6" s="10" t="str">
        <f t="shared" si="31"/>
        <v>t</v>
      </c>
      <c r="FW6" s="10" t="str">
        <f t="shared" si="31"/>
        <v>q</v>
      </c>
      <c r="FX6" s="10" t="str">
        <f t="shared" si="31"/>
        <v>q</v>
      </c>
      <c r="FY6" s="10" t="str">
        <f t="shared" si="31"/>
        <v>s</v>
      </c>
      <c r="FZ6" s="10" t="str">
        <f t="shared" si="31"/>
        <v>s</v>
      </c>
      <c r="GA6" s="10" t="str">
        <f t="shared" si="31"/>
        <v>d</v>
      </c>
      <c r="GB6" s="10" t="str">
        <f t="shared" si="31"/>
        <v>s</v>
      </c>
      <c r="GC6" s="10" t="str">
        <f t="shared" si="31"/>
        <v>t</v>
      </c>
      <c r="GD6" s="10" t="str">
        <f t="shared" si="31"/>
        <v>q</v>
      </c>
      <c r="GE6" s="10" t="str">
        <f t="shared" si="31"/>
        <v>q</v>
      </c>
      <c r="GF6" s="10" t="str">
        <f t="shared" si="31"/>
        <v>s</v>
      </c>
      <c r="GG6" s="10" t="str">
        <f t="shared" si="31"/>
        <v>s</v>
      </c>
      <c r="GH6" s="10" t="str">
        <f t="shared" si="31"/>
        <v>d</v>
      </c>
      <c r="GI6" s="10" t="str">
        <f t="shared" si="31"/>
        <v>s</v>
      </c>
      <c r="GJ6" s="10" t="str">
        <f t="shared" si="31"/>
        <v>t</v>
      </c>
      <c r="GK6" s="10" t="str">
        <f t="shared" si="31"/>
        <v>q</v>
      </c>
      <c r="GL6" s="10" t="str">
        <f t="shared" si="31"/>
        <v>q</v>
      </c>
      <c r="GM6" s="10" t="str">
        <f t="shared" si="31"/>
        <v>s</v>
      </c>
      <c r="GN6" s="10" t="str">
        <f t="shared" si="31"/>
        <v>s</v>
      </c>
      <c r="GO6" s="10" t="str">
        <f t="shared" si="31"/>
        <v>d</v>
      </c>
      <c r="GP6" s="10" t="str">
        <f t="shared" si="31"/>
        <v>s</v>
      </c>
      <c r="GQ6" s="10" t="str">
        <f t="shared" si="31"/>
        <v>t</v>
      </c>
      <c r="GR6" s="10" t="str">
        <f t="shared" si="31"/>
        <v>q</v>
      </c>
      <c r="GS6" s="10" t="str">
        <f t="shared" ref="GS6:IE6" si="32">LEFT(TEXT(GS5,"ddd"),1)</f>
        <v>q</v>
      </c>
      <c r="GT6" s="10" t="str">
        <f t="shared" si="32"/>
        <v>s</v>
      </c>
      <c r="GU6" s="10" t="str">
        <f t="shared" si="32"/>
        <v>s</v>
      </c>
      <c r="GV6" s="10" t="str">
        <f t="shared" si="32"/>
        <v>d</v>
      </c>
      <c r="GW6" s="10" t="str">
        <f t="shared" si="32"/>
        <v>s</v>
      </c>
      <c r="GX6" s="10" t="str">
        <f t="shared" si="32"/>
        <v>t</v>
      </c>
      <c r="GY6" s="10" t="str">
        <f t="shared" si="32"/>
        <v>q</v>
      </c>
      <c r="GZ6" s="10" t="str">
        <f t="shared" si="32"/>
        <v>q</v>
      </c>
      <c r="HA6" s="10" t="str">
        <f t="shared" si="32"/>
        <v>s</v>
      </c>
      <c r="HB6" s="10" t="str">
        <f t="shared" si="32"/>
        <v>s</v>
      </c>
      <c r="HC6" s="10" t="str">
        <f t="shared" si="32"/>
        <v>d</v>
      </c>
      <c r="HD6" s="10" t="str">
        <f t="shared" si="32"/>
        <v>s</v>
      </c>
      <c r="HE6" s="10" t="str">
        <f t="shared" si="32"/>
        <v>t</v>
      </c>
      <c r="HF6" s="10" t="str">
        <f t="shared" si="32"/>
        <v>q</v>
      </c>
      <c r="HG6" s="10" t="str">
        <f t="shared" si="32"/>
        <v>q</v>
      </c>
      <c r="HH6" s="10" t="str">
        <f t="shared" si="32"/>
        <v>s</v>
      </c>
      <c r="HI6" s="10" t="str">
        <f t="shared" si="32"/>
        <v>s</v>
      </c>
      <c r="HJ6" s="10" t="str">
        <f t="shared" si="32"/>
        <v>d</v>
      </c>
      <c r="HK6" s="10" t="str">
        <f t="shared" si="32"/>
        <v>s</v>
      </c>
      <c r="HL6" s="10" t="str">
        <f t="shared" si="32"/>
        <v>t</v>
      </c>
      <c r="HM6" s="10" t="str">
        <f t="shared" si="32"/>
        <v>q</v>
      </c>
      <c r="HN6" s="10" t="str">
        <f t="shared" si="32"/>
        <v>q</v>
      </c>
      <c r="HO6" s="10" t="str">
        <f t="shared" si="32"/>
        <v>s</v>
      </c>
      <c r="HP6" s="10" t="str">
        <f t="shared" si="32"/>
        <v>s</v>
      </c>
      <c r="HQ6" s="10" t="str">
        <f t="shared" si="32"/>
        <v>d</v>
      </c>
      <c r="HR6" s="10" t="str">
        <f t="shared" si="32"/>
        <v>s</v>
      </c>
      <c r="HS6" s="10" t="str">
        <f t="shared" si="32"/>
        <v>t</v>
      </c>
      <c r="HT6" s="10" t="str">
        <f t="shared" si="32"/>
        <v>q</v>
      </c>
      <c r="HU6" s="10" t="str">
        <f t="shared" si="32"/>
        <v>q</v>
      </c>
      <c r="HV6" s="10" t="str">
        <f t="shared" si="32"/>
        <v>s</v>
      </c>
      <c r="HW6" s="10" t="str">
        <f t="shared" si="32"/>
        <v>s</v>
      </c>
      <c r="HX6" s="10" t="str">
        <f t="shared" si="32"/>
        <v>d</v>
      </c>
      <c r="HY6" s="10" t="str">
        <f t="shared" si="32"/>
        <v>s</v>
      </c>
      <c r="HZ6" s="10" t="str">
        <f t="shared" si="32"/>
        <v>t</v>
      </c>
      <c r="IA6" s="10" t="str">
        <f t="shared" si="32"/>
        <v>q</v>
      </c>
      <c r="IB6" s="10" t="str">
        <f t="shared" si="32"/>
        <v>q</v>
      </c>
      <c r="IC6" s="10" t="str">
        <f t="shared" si="32"/>
        <v>s</v>
      </c>
      <c r="ID6" s="10" t="str">
        <f t="shared" si="32"/>
        <v>s</v>
      </c>
      <c r="IE6" s="10" t="str">
        <f t="shared" si="32"/>
        <v>d</v>
      </c>
    </row>
    <row r="7" spans="1:239" ht="30" hidden="1" customHeight="1" thickBot="1">
      <c r="A7" s="32" t="s">
        <v>786</v>
      </c>
      <c r="C7" s="35"/>
      <c r="E7"/>
      <c r="H7" t="str">
        <f ca="1">IF(OR(ISBLANK(Início_da_tarefa),ISBLANK(Término_da_tarefa)),"",Término_da_tarefa-Início_da_tarefa+1)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row>
    <row r="8" spans="1:239" s="3" customFormat="1" ht="30" customHeight="1" thickBot="1">
      <c r="A8" s="33" t="s">
        <v>787</v>
      </c>
      <c r="B8" s="15" t="s">
        <v>788</v>
      </c>
      <c r="C8" s="38"/>
      <c r="D8" s="16"/>
      <c r="E8" s="52"/>
      <c r="F8" s="53"/>
      <c r="G8" s="14"/>
      <c r="H8" s="14" t="str">
        <f t="shared" ref="H8:H31" ca="1" si="33">IF(OR(ISBLANK(Início_da_tarefa),ISBLANK(Término_da_tarefa)),"",Término_da_tarefa-Início_da_tarefa+1)</f>
        <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78"/>
      <c r="CR8" s="78"/>
      <c r="CS8" s="28"/>
      <c r="CT8" s="28"/>
      <c r="CU8" s="28"/>
      <c r="CV8" s="28"/>
      <c r="CW8" s="28"/>
      <c r="CX8" s="78"/>
      <c r="CY8" s="7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74"/>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c r="GD8" s="28"/>
      <c r="GE8" s="28"/>
      <c r="GF8" s="28"/>
      <c r="GG8" s="28"/>
      <c r="GH8" s="28"/>
      <c r="GI8" s="28"/>
      <c r="GJ8" s="28"/>
      <c r="GK8" s="28"/>
      <c r="GL8" s="28"/>
      <c r="GM8" s="28"/>
      <c r="GN8" s="28"/>
      <c r="GO8" s="28"/>
      <c r="GP8" s="28"/>
      <c r="GQ8" s="28"/>
      <c r="GR8" s="28"/>
      <c r="GS8" s="28"/>
      <c r="GT8" s="28"/>
      <c r="GU8" s="28"/>
      <c r="GV8" s="28"/>
      <c r="GW8" s="28"/>
      <c r="GX8" s="28"/>
      <c r="GY8" s="28"/>
      <c r="GZ8" s="28"/>
      <c r="HA8" s="28"/>
      <c r="HB8" s="28"/>
      <c r="HC8" s="28"/>
      <c r="HD8" s="28"/>
      <c r="HE8" s="28"/>
      <c r="HF8" s="28"/>
      <c r="HG8" s="28"/>
      <c r="HH8" s="28"/>
      <c r="HI8" s="28"/>
      <c r="HJ8" s="28"/>
      <c r="HK8" s="28"/>
      <c r="HL8" s="28"/>
      <c r="HM8" s="28"/>
      <c r="HN8" s="28"/>
      <c r="HO8" s="28"/>
      <c r="HP8" s="28"/>
      <c r="HQ8" s="28"/>
      <c r="HR8" s="28"/>
      <c r="HS8" s="28"/>
      <c r="HT8" s="28"/>
      <c r="HU8" s="28"/>
      <c r="HV8" s="28"/>
      <c r="HW8" s="28"/>
      <c r="HX8" s="28"/>
      <c r="HY8" s="28"/>
      <c r="HZ8" s="28"/>
      <c r="IA8" s="28"/>
      <c r="IB8" s="28"/>
      <c r="IC8" s="28"/>
      <c r="ID8" s="28"/>
      <c r="IE8" s="28"/>
    </row>
    <row r="9" spans="1:239" s="3" customFormat="1" ht="30" customHeight="1" thickBot="1">
      <c r="A9" s="33" t="s">
        <v>789</v>
      </c>
      <c r="B9" s="45" t="s">
        <v>790</v>
      </c>
      <c r="C9" s="39"/>
      <c r="D9" s="17">
        <v>0</v>
      </c>
      <c r="E9" s="54">
        <f>Início_do_projeto</f>
        <v>45931</v>
      </c>
      <c r="F9" s="54">
        <f>E9+13</f>
        <v>45944</v>
      </c>
      <c r="G9" s="14"/>
      <c r="H9" s="14">
        <f t="shared" ca="1" si="33"/>
        <v>14</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78"/>
      <c r="CR9" s="78"/>
      <c r="CS9" s="28"/>
      <c r="CT9" s="28"/>
      <c r="CU9" s="28"/>
      <c r="CV9" s="28"/>
      <c r="CW9" s="28"/>
      <c r="CX9" s="78"/>
      <c r="CY9" s="7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74"/>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c r="FR9" s="28"/>
      <c r="FS9" s="28"/>
      <c r="FT9" s="28"/>
      <c r="FU9" s="28"/>
      <c r="FV9" s="28"/>
      <c r="FW9" s="28"/>
      <c r="FX9" s="28"/>
      <c r="FY9" s="28"/>
      <c r="FZ9" s="28"/>
      <c r="GA9" s="28"/>
      <c r="GB9" s="28"/>
      <c r="GC9" s="28"/>
      <c r="GD9" s="28"/>
      <c r="GE9" s="28"/>
      <c r="GF9" s="28"/>
      <c r="GG9" s="28"/>
      <c r="GH9" s="28"/>
      <c r="GI9" s="28"/>
      <c r="GJ9" s="28"/>
      <c r="GK9" s="28"/>
      <c r="GL9" s="28"/>
      <c r="GM9" s="28"/>
      <c r="GN9" s="28"/>
      <c r="GO9" s="28"/>
      <c r="GP9" s="28"/>
      <c r="GQ9" s="28"/>
      <c r="GR9" s="28"/>
      <c r="GS9" s="28"/>
      <c r="GT9" s="28"/>
      <c r="GU9" s="28"/>
      <c r="GV9" s="28"/>
      <c r="GW9" s="28"/>
      <c r="GX9" s="28"/>
      <c r="GY9" s="28"/>
      <c r="GZ9" s="28"/>
      <c r="HA9" s="28"/>
      <c r="HB9" s="28"/>
      <c r="HC9" s="28"/>
      <c r="HD9" s="28"/>
      <c r="HE9" s="28"/>
      <c r="HF9" s="28"/>
      <c r="HG9" s="28"/>
      <c r="HH9" s="28"/>
      <c r="HI9" s="28"/>
      <c r="HJ9" s="28"/>
      <c r="HK9" s="28"/>
      <c r="HL9" s="28"/>
      <c r="HM9" s="28"/>
      <c r="HN9" s="28"/>
      <c r="HO9" s="28"/>
      <c r="HP9" s="28"/>
      <c r="HQ9" s="28"/>
      <c r="HR9" s="28"/>
      <c r="HS9" s="28"/>
      <c r="HT9" s="28"/>
      <c r="HU9" s="28"/>
      <c r="HV9" s="28"/>
      <c r="HW9" s="28"/>
      <c r="HX9" s="28"/>
      <c r="HY9" s="28"/>
      <c r="HZ9" s="28"/>
      <c r="IA9" s="28"/>
      <c r="IB9" s="28"/>
      <c r="IC9" s="28"/>
      <c r="ID9" s="28"/>
      <c r="IE9" s="28"/>
    </row>
    <row r="10" spans="1:239" s="3" customFormat="1" ht="30" customHeight="1" thickBot="1">
      <c r="A10" s="33" t="s">
        <v>791</v>
      </c>
      <c r="B10" s="45" t="s">
        <v>14</v>
      </c>
      <c r="C10" s="39"/>
      <c r="D10" s="17">
        <v>1</v>
      </c>
      <c r="E10" s="54">
        <f>F9+1</f>
        <v>45945</v>
      </c>
      <c r="F10" s="54">
        <f>E10+29</f>
        <v>45974</v>
      </c>
      <c r="G10" s="14"/>
      <c r="H10" s="14">
        <f t="shared" ca="1" si="33"/>
        <v>30</v>
      </c>
      <c r="I10" s="28"/>
      <c r="J10" s="28"/>
      <c r="K10" s="28"/>
      <c r="L10" s="28"/>
      <c r="M10" s="28"/>
      <c r="N10" s="28"/>
      <c r="O10" s="28"/>
      <c r="P10" s="28"/>
      <c r="Q10" s="28"/>
      <c r="R10" s="28"/>
      <c r="S10" s="28"/>
      <c r="T10" s="28"/>
      <c r="U10" s="29"/>
      <c r="V10" s="29"/>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78"/>
      <c r="CR10" s="78"/>
      <c r="CS10" s="28"/>
      <c r="CT10" s="28"/>
      <c r="CU10" s="28"/>
      <c r="CV10" s="28"/>
      <c r="CW10" s="28"/>
      <c r="CX10" s="78"/>
      <c r="CY10" s="7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74"/>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c r="GB10" s="28"/>
      <c r="GC10" s="28"/>
      <c r="GD10" s="28"/>
      <c r="GE10" s="28"/>
      <c r="GF10" s="28"/>
      <c r="GG10" s="28"/>
      <c r="GH10" s="28"/>
      <c r="GI10" s="28"/>
      <c r="GJ10" s="28"/>
      <c r="GK10" s="28"/>
      <c r="GL10" s="28"/>
      <c r="GM10" s="28"/>
      <c r="GN10" s="28"/>
      <c r="GO10" s="28"/>
      <c r="GP10" s="28"/>
      <c r="GQ10" s="28"/>
      <c r="GR10" s="28"/>
      <c r="GS10" s="28"/>
      <c r="GT10" s="28"/>
      <c r="GU10" s="28"/>
      <c r="GV10" s="28"/>
      <c r="GW10" s="28"/>
      <c r="GX10" s="28"/>
      <c r="GY10" s="28"/>
      <c r="GZ10" s="28"/>
      <c r="HA10" s="28"/>
      <c r="HB10" s="28"/>
      <c r="HC10" s="28"/>
      <c r="HD10" s="28"/>
      <c r="HE10" s="28"/>
      <c r="HF10" s="28"/>
      <c r="HG10" s="28"/>
      <c r="HH10" s="28"/>
      <c r="HI10" s="28"/>
      <c r="HJ10" s="28"/>
      <c r="HK10" s="28"/>
      <c r="HL10" s="28"/>
      <c r="HM10" s="28"/>
      <c r="HN10" s="28"/>
      <c r="HO10" s="28"/>
      <c r="HP10" s="28"/>
      <c r="HQ10" s="28"/>
      <c r="HR10" s="28"/>
      <c r="HS10" s="28"/>
      <c r="HT10" s="28"/>
      <c r="HU10" s="28"/>
      <c r="HV10" s="28"/>
      <c r="HW10" s="28"/>
      <c r="HX10" s="28"/>
      <c r="HY10" s="28"/>
      <c r="HZ10" s="28"/>
      <c r="IA10" s="28"/>
      <c r="IB10" s="28"/>
      <c r="IC10" s="28"/>
      <c r="ID10" s="28"/>
      <c r="IE10" s="28"/>
    </row>
    <row r="11" spans="1:239" s="3" customFormat="1" ht="30" customHeight="1" thickBot="1">
      <c r="A11" s="33"/>
      <c r="B11" s="45" t="s">
        <v>792</v>
      </c>
      <c r="C11" s="39"/>
      <c r="D11" s="17"/>
      <c r="E11" s="54">
        <f>E10+60</f>
        <v>46005</v>
      </c>
      <c r="F11" s="54">
        <f>E11+29</f>
        <v>46034</v>
      </c>
      <c r="G11" s="14"/>
      <c r="H11" s="14"/>
      <c r="I11" s="28"/>
      <c r="J11" s="28"/>
      <c r="K11" s="28"/>
      <c r="L11" s="28"/>
      <c r="M11" s="28"/>
      <c r="N11" s="28"/>
      <c r="O11" s="28"/>
      <c r="P11" s="28"/>
      <c r="Q11" s="28"/>
      <c r="R11" s="28"/>
      <c r="S11" s="28"/>
      <c r="T11" s="28"/>
      <c r="U11" s="29"/>
      <c r="V11" s="29"/>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78"/>
      <c r="CR11" s="78"/>
      <c r="CS11" s="28"/>
      <c r="CT11" s="28"/>
      <c r="CU11" s="28"/>
      <c r="CV11" s="28"/>
      <c r="CW11" s="28"/>
      <c r="CX11" s="78"/>
      <c r="CY11" s="7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74"/>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c r="GB11" s="28"/>
      <c r="GC11" s="28"/>
      <c r="GD11" s="28"/>
      <c r="GE11" s="28"/>
      <c r="GF11" s="28"/>
      <c r="GG11" s="28"/>
      <c r="GH11" s="28"/>
      <c r="GI11" s="28"/>
      <c r="GJ11" s="28"/>
      <c r="GK11" s="28"/>
      <c r="GL11" s="28"/>
      <c r="GM11" s="28"/>
      <c r="GN11" s="28"/>
      <c r="GO11" s="28"/>
      <c r="GP11" s="28"/>
      <c r="GQ11" s="28"/>
      <c r="GR11" s="28"/>
      <c r="GS11" s="28"/>
      <c r="GT11" s="28"/>
      <c r="GU11" s="28"/>
      <c r="GV11" s="28"/>
      <c r="GW11" s="28"/>
      <c r="GX11" s="28"/>
      <c r="GY11" s="28"/>
      <c r="GZ11" s="28"/>
      <c r="HA11" s="28"/>
      <c r="HB11" s="28"/>
      <c r="HC11" s="28"/>
      <c r="HD11" s="28"/>
      <c r="HE11" s="28"/>
      <c r="HF11" s="28"/>
      <c r="HG11" s="28"/>
      <c r="HH11" s="28"/>
      <c r="HI11" s="28"/>
      <c r="HJ11" s="28"/>
      <c r="HK11" s="28"/>
      <c r="HL11" s="28"/>
      <c r="HM11" s="28"/>
      <c r="HN11" s="28"/>
      <c r="HO11" s="28"/>
      <c r="HP11" s="28"/>
      <c r="HQ11" s="28"/>
      <c r="HR11" s="28"/>
      <c r="HS11" s="28"/>
      <c r="HT11" s="28"/>
      <c r="HU11" s="28"/>
      <c r="HV11" s="28"/>
      <c r="HW11" s="28"/>
      <c r="HX11" s="28"/>
      <c r="HY11" s="28"/>
      <c r="HZ11" s="28"/>
      <c r="IA11" s="28"/>
      <c r="IB11" s="28"/>
      <c r="IC11" s="28"/>
      <c r="ID11" s="28"/>
      <c r="IE11" s="28"/>
    </row>
    <row r="12" spans="1:239" s="3" customFormat="1" ht="30" customHeight="1" thickBot="1">
      <c r="A12" s="32"/>
      <c r="B12" s="45" t="s">
        <v>793</v>
      </c>
      <c r="C12" s="39"/>
      <c r="D12" s="17">
        <v>0</v>
      </c>
      <c r="E12" s="54">
        <f>F10+1</f>
        <v>45975</v>
      </c>
      <c r="F12" s="54">
        <f>E12+13</f>
        <v>45988</v>
      </c>
      <c r="G12" s="14"/>
      <c r="H12" s="14">
        <f t="shared" ca="1" si="33"/>
        <v>14</v>
      </c>
      <c r="I12" s="28"/>
      <c r="J12" s="28"/>
      <c r="K12" s="28"/>
      <c r="L12" s="28"/>
      <c r="M12" s="28"/>
      <c r="N12" s="28"/>
      <c r="O12" s="28"/>
      <c r="P12" s="28"/>
      <c r="Q12" s="28"/>
      <c r="R12" s="28"/>
      <c r="S12" s="28"/>
      <c r="T12" s="28"/>
      <c r="U12" s="28"/>
      <c r="V12" s="28"/>
      <c r="W12" s="28"/>
      <c r="X12" s="28"/>
      <c r="Y12" s="29"/>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78"/>
      <c r="CR12" s="78"/>
      <c r="CS12" s="28"/>
      <c r="CT12" s="28"/>
      <c r="CU12" s="28"/>
      <c r="CV12" s="28"/>
      <c r="CW12" s="28"/>
      <c r="CX12" s="78"/>
      <c r="CY12" s="7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74"/>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c r="GB12" s="28"/>
      <c r="GC12" s="28"/>
      <c r="GD12" s="28"/>
      <c r="GE12" s="28"/>
      <c r="GF12" s="28"/>
      <c r="GG12" s="28"/>
      <c r="GH12" s="28"/>
      <c r="GI12" s="28"/>
      <c r="GJ12" s="28"/>
      <c r="GK12" s="28"/>
      <c r="GL12" s="28"/>
      <c r="GM12" s="28"/>
      <c r="GN12" s="28"/>
      <c r="GO12" s="28"/>
      <c r="GP12" s="28"/>
      <c r="GQ12" s="28"/>
      <c r="GR12" s="28"/>
      <c r="GS12" s="28"/>
      <c r="GT12" s="28"/>
      <c r="GU12" s="28"/>
      <c r="GV12" s="28"/>
      <c r="GW12" s="28"/>
      <c r="GX12" s="28"/>
      <c r="GY12" s="28"/>
      <c r="GZ12" s="28"/>
      <c r="HA12" s="28"/>
      <c r="HB12" s="28"/>
      <c r="HC12" s="28"/>
      <c r="HD12" s="28"/>
      <c r="HE12" s="28"/>
      <c r="HF12" s="28"/>
      <c r="HG12" s="28"/>
      <c r="HH12" s="28"/>
      <c r="HI12" s="28"/>
      <c r="HJ12" s="28"/>
      <c r="HK12" s="28"/>
      <c r="HL12" s="28"/>
      <c r="HM12" s="28"/>
      <c r="HN12" s="28"/>
      <c r="HO12" s="28"/>
      <c r="HP12" s="28"/>
      <c r="HQ12" s="28"/>
      <c r="HR12" s="28"/>
      <c r="HS12" s="28"/>
      <c r="HT12" s="28"/>
      <c r="HU12" s="28"/>
      <c r="HV12" s="28"/>
      <c r="HW12" s="28"/>
      <c r="HX12" s="28"/>
      <c r="HY12" s="28"/>
      <c r="HZ12" s="28"/>
      <c r="IA12" s="28"/>
      <c r="IB12" s="28"/>
      <c r="IC12" s="28"/>
      <c r="ID12" s="28"/>
      <c r="IE12" s="28"/>
    </row>
    <row r="13" spans="1:239" s="3" customFormat="1" ht="30" customHeight="1" thickBot="1">
      <c r="A13" s="32"/>
      <c r="B13" s="45" t="s">
        <v>14</v>
      </c>
      <c r="C13" s="39"/>
      <c r="D13" s="17">
        <v>1</v>
      </c>
      <c r="E13" s="54">
        <f>F12+1</f>
        <v>45989</v>
      </c>
      <c r="F13" s="54">
        <f>E13+26</f>
        <v>46015</v>
      </c>
      <c r="G13" s="14"/>
      <c r="H13" s="14"/>
      <c r="I13" s="28"/>
      <c r="J13" s="28"/>
      <c r="K13" s="28"/>
      <c r="L13" s="28"/>
      <c r="M13" s="28"/>
      <c r="N13" s="28"/>
      <c r="O13" s="28"/>
      <c r="P13" s="28"/>
      <c r="Q13" s="28"/>
      <c r="R13" s="28"/>
      <c r="S13" s="28"/>
      <c r="T13" s="28"/>
      <c r="U13" s="28"/>
      <c r="V13" s="28"/>
      <c r="W13" s="28"/>
      <c r="X13" s="28"/>
      <c r="Y13" s="29"/>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78"/>
      <c r="CR13" s="78"/>
      <c r="CS13" s="28"/>
      <c r="CT13" s="28"/>
      <c r="CU13" s="28"/>
      <c r="CV13" s="28"/>
      <c r="CW13" s="28"/>
      <c r="CX13" s="78"/>
      <c r="CY13" s="7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74"/>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c r="GB13" s="28"/>
      <c r="GC13" s="28"/>
      <c r="GD13" s="28"/>
      <c r="GE13" s="28"/>
      <c r="GF13" s="28"/>
      <c r="GG13" s="28"/>
      <c r="GH13" s="28"/>
      <c r="GI13" s="28"/>
      <c r="GJ13" s="28"/>
      <c r="GK13" s="28"/>
      <c r="GL13" s="28"/>
      <c r="GM13" s="28"/>
      <c r="GN13" s="28"/>
      <c r="GO13" s="28"/>
      <c r="GP13" s="28"/>
      <c r="GQ13" s="28"/>
      <c r="GR13" s="28"/>
      <c r="GS13" s="28"/>
      <c r="GT13" s="28"/>
      <c r="GU13" s="28"/>
      <c r="GV13" s="28"/>
      <c r="GW13" s="28"/>
      <c r="GX13" s="28"/>
      <c r="GY13" s="28"/>
      <c r="GZ13" s="28"/>
      <c r="HA13" s="28"/>
      <c r="HB13" s="28"/>
      <c r="HC13" s="28"/>
      <c r="HD13" s="28"/>
      <c r="HE13" s="28"/>
      <c r="HF13" s="28"/>
      <c r="HG13" s="28"/>
      <c r="HH13" s="28"/>
      <c r="HI13" s="28"/>
      <c r="HJ13" s="28"/>
      <c r="HK13" s="28"/>
      <c r="HL13" s="28"/>
      <c r="HM13" s="28"/>
      <c r="HN13" s="28"/>
      <c r="HO13" s="28"/>
      <c r="HP13" s="28"/>
      <c r="HQ13" s="28"/>
      <c r="HR13" s="28"/>
      <c r="HS13" s="28"/>
      <c r="HT13" s="28"/>
      <c r="HU13" s="28"/>
      <c r="HV13" s="28"/>
      <c r="HW13" s="28"/>
      <c r="HX13" s="28"/>
      <c r="HY13" s="28"/>
      <c r="HZ13" s="28"/>
      <c r="IA13" s="28"/>
      <c r="IB13" s="28"/>
      <c r="IC13" s="28"/>
      <c r="ID13" s="28"/>
      <c r="IE13" s="28"/>
    </row>
    <row r="14" spans="1:239" s="3" customFormat="1" ht="30" customHeight="1" thickBot="1">
      <c r="A14" s="32"/>
      <c r="B14" s="45" t="s">
        <v>794</v>
      </c>
      <c r="C14" s="39"/>
      <c r="D14" s="17">
        <v>0</v>
      </c>
      <c r="E14" s="54">
        <f>E27</f>
        <v>46017</v>
      </c>
      <c r="F14" s="54">
        <f>E14+13</f>
        <v>46030</v>
      </c>
      <c r="G14" s="14"/>
      <c r="H14" s="14"/>
      <c r="I14" s="28"/>
      <c r="J14" s="28"/>
      <c r="K14" s="28"/>
      <c r="L14" s="28"/>
      <c r="M14" s="28"/>
      <c r="N14" s="28"/>
      <c r="O14" s="28"/>
      <c r="P14" s="28"/>
      <c r="Q14" s="28"/>
      <c r="R14" s="28"/>
      <c r="S14" s="28"/>
      <c r="T14" s="28"/>
      <c r="U14" s="28"/>
      <c r="V14" s="28"/>
      <c r="W14" s="28"/>
      <c r="X14" s="28"/>
      <c r="Y14" s="29"/>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78"/>
      <c r="CR14" s="78"/>
      <c r="CS14" s="28"/>
      <c r="CT14" s="28"/>
      <c r="CU14" s="28"/>
      <c r="CV14" s="28"/>
      <c r="CW14" s="28"/>
      <c r="CX14" s="78"/>
      <c r="CY14" s="7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74"/>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c r="GB14" s="28"/>
      <c r="GC14" s="28"/>
      <c r="GD14" s="28"/>
      <c r="GE14" s="28"/>
      <c r="GF14" s="28"/>
      <c r="GG14" s="28"/>
      <c r="GH14" s="28"/>
      <c r="GI14" s="28"/>
      <c r="GJ14" s="28"/>
      <c r="GK14" s="28"/>
      <c r="GL14" s="28"/>
      <c r="GM14" s="28"/>
      <c r="GN14" s="28"/>
      <c r="GO14" s="28"/>
      <c r="GP14" s="28"/>
      <c r="GQ14" s="28"/>
      <c r="GR14" s="28"/>
      <c r="GS14" s="28"/>
      <c r="GT14" s="28"/>
      <c r="GU14" s="28"/>
      <c r="GV14" s="28"/>
      <c r="GW14" s="28"/>
      <c r="GX14" s="28"/>
      <c r="GY14" s="28"/>
      <c r="GZ14" s="28"/>
      <c r="HA14" s="28"/>
      <c r="HB14" s="28"/>
      <c r="HC14" s="28"/>
      <c r="HD14" s="28"/>
      <c r="HE14" s="28"/>
      <c r="HF14" s="28"/>
      <c r="HG14" s="28"/>
      <c r="HH14" s="28"/>
      <c r="HI14" s="28"/>
      <c r="HJ14" s="28"/>
      <c r="HK14" s="28"/>
      <c r="HL14" s="28"/>
      <c r="HM14" s="28"/>
      <c r="HN14" s="28"/>
      <c r="HO14" s="28"/>
      <c r="HP14" s="28"/>
      <c r="HQ14" s="28"/>
      <c r="HR14" s="28"/>
      <c r="HS14" s="28"/>
      <c r="HT14" s="28"/>
      <c r="HU14" s="28"/>
      <c r="HV14" s="28"/>
      <c r="HW14" s="28"/>
      <c r="HX14" s="28"/>
      <c r="HY14" s="28"/>
      <c r="HZ14" s="28"/>
      <c r="IA14" s="28"/>
      <c r="IB14" s="28"/>
      <c r="IC14" s="28"/>
      <c r="ID14" s="28"/>
      <c r="IE14" s="28"/>
    </row>
    <row r="15" spans="1:239" s="3" customFormat="1" ht="30" customHeight="1" thickBot="1">
      <c r="A15" s="32"/>
      <c r="B15" s="45" t="s">
        <v>14</v>
      </c>
      <c r="C15" s="39"/>
      <c r="D15" s="17">
        <v>1</v>
      </c>
      <c r="E15" s="54">
        <f>F14+1</f>
        <v>46031</v>
      </c>
      <c r="F15" s="54">
        <f>E15+26</f>
        <v>46057</v>
      </c>
      <c r="G15" s="14"/>
      <c r="H15" s="14"/>
      <c r="I15" s="28"/>
      <c r="J15" s="28"/>
      <c r="K15" s="28"/>
      <c r="L15" s="28"/>
      <c r="M15" s="28"/>
      <c r="N15" s="28"/>
      <c r="O15" s="28"/>
      <c r="P15" s="28"/>
      <c r="Q15" s="28"/>
      <c r="R15" s="28"/>
      <c r="S15" s="28"/>
      <c r="T15" s="28"/>
      <c r="U15" s="28"/>
      <c r="V15" s="28"/>
      <c r="W15" s="28"/>
      <c r="X15" s="28"/>
      <c r="Y15" s="29"/>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78"/>
      <c r="CR15" s="78"/>
      <c r="CS15" s="28"/>
      <c r="CT15" s="28"/>
      <c r="CU15" s="28"/>
      <c r="CV15" s="28"/>
      <c r="CW15" s="28"/>
      <c r="CX15" s="78"/>
      <c r="CY15" s="7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74"/>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c r="GB15" s="28"/>
      <c r="GC15" s="28"/>
      <c r="GD15" s="28"/>
      <c r="GE15" s="28"/>
      <c r="GF15" s="28"/>
      <c r="GG15" s="28"/>
      <c r="GH15" s="28"/>
      <c r="GI15" s="28"/>
      <c r="GJ15" s="28"/>
      <c r="GK15" s="28"/>
      <c r="GL15" s="28"/>
      <c r="GM15" s="28"/>
      <c r="GN15" s="28"/>
      <c r="GO15" s="28"/>
      <c r="GP15" s="28"/>
      <c r="GQ15" s="28"/>
      <c r="GR15" s="28"/>
      <c r="GS15" s="28"/>
      <c r="GT15" s="28"/>
      <c r="GU15" s="28"/>
      <c r="GV15" s="28"/>
      <c r="GW15" s="28"/>
      <c r="GX15" s="28"/>
      <c r="GY15" s="28"/>
      <c r="GZ15" s="28"/>
      <c r="HA15" s="28"/>
      <c r="HB15" s="28"/>
      <c r="HC15" s="28"/>
      <c r="HD15" s="28"/>
      <c r="HE15" s="28"/>
      <c r="HF15" s="28"/>
      <c r="HG15" s="28"/>
      <c r="HH15" s="28"/>
      <c r="HI15" s="28"/>
      <c r="HJ15" s="28"/>
      <c r="HK15" s="28"/>
      <c r="HL15" s="28"/>
      <c r="HM15" s="28"/>
      <c r="HN15" s="28"/>
      <c r="HO15" s="28"/>
      <c r="HP15" s="28"/>
      <c r="HQ15" s="28"/>
      <c r="HR15" s="28"/>
      <c r="HS15" s="28"/>
      <c r="HT15" s="28"/>
      <c r="HU15" s="28"/>
      <c r="HV15" s="28"/>
      <c r="HW15" s="28"/>
      <c r="HX15" s="28"/>
      <c r="HY15" s="28"/>
      <c r="HZ15" s="28"/>
      <c r="IA15" s="28"/>
      <c r="IB15" s="28"/>
      <c r="IC15" s="28"/>
      <c r="ID15" s="28"/>
      <c r="IE15" s="28"/>
    </row>
    <row r="16" spans="1:239" s="3" customFormat="1" ht="30" customHeight="1" thickBot="1">
      <c r="A16" s="33" t="s">
        <v>795</v>
      </c>
      <c r="B16" s="18" t="s">
        <v>796</v>
      </c>
      <c r="C16" s="40"/>
      <c r="D16" s="19"/>
      <c r="E16" s="55"/>
      <c r="F16" s="56"/>
      <c r="G16" s="14"/>
      <c r="H16" s="14" t="str">
        <f t="shared" ca="1" si="33"/>
        <v/>
      </c>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78"/>
      <c r="CR16" s="78"/>
      <c r="CS16" s="28"/>
      <c r="CT16" s="28"/>
      <c r="CU16" s="28"/>
      <c r="CV16" s="28"/>
      <c r="CW16" s="28"/>
      <c r="CX16" s="78"/>
      <c r="CY16" s="7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74"/>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c r="HL16" s="28"/>
      <c r="HM16" s="28"/>
      <c r="HN16" s="28"/>
      <c r="HO16" s="28"/>
      <c r="HP16" s="28"/>
      <c r="HQ16" s="28"/>
      <c r="HR16" s="28"/>
      <c r="HS16" s="28"/>
      <c r="HT16" s="28"/>
      <c r="HU16" s="28"/>
      <c r="HV16" s="28"/>
      <c r="HW16" s="28"/>
      <c r="HX16" s="28"/>
      <c r="HY16" s="28"/>
      <c r="HZ16" s="28"/>
      <c r="IA16" s="28"/>
      <c r="IB16" s="28"/>
      <c r="IC16" s="28"/>
      <c r="ID16" s="28"/>
      <c r="IE16" s="28"/>
    </row>
    <row r="17" spans="1:239" s="3" customFormat="1" ht="30" customHeight="1" thickBot="1">
      <c r="A17" s="33"/>
      <c r="B17" s="46" t="s">
        <v>790</v>
      </c>
      <c r="C17" s="41"/>
      <c r="D17" s="20">
        <v>0</v>
      </c>
      <c r="E17" s="57">
        <f>E10</f>
        <v>45945</v>
      </c>
      <c r="F17" s="57">
        <f>E17+13</f>
        <v>45958</v>
      </c>
      <c r="G17" s="14"/>
      <c r="H17" s="14">
        <f t="shared" ca="1" si="33"/>
        <v>14</v>
      </c>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78"/>
      <c r="CR17" s="78"/>
      <c r="CS17" s="28"/>
      <c r="CT17" s="28"/>
      <c r="CU17" s="28"/>
      <c r="CV17" s="28"/>
      <c r="CW17" s="28"/>
      <c r="CX17" s="78"/>
      <c r="CY17" s="7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74"/>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c r="HL17" s="28"/>
      <c r="HM17" s="28"/>
      <c r="HN17" s="28"/>
      <c r="HO17" s="28"/>
      <c r="HP17" s="28"/>
      <c r="HQ17" s="28"/>
      <c r="HR17" s="28"/>
      <c r="HS17" s="28"/>
      <c r="HT17" s="28"/>
      <c r="HU17" s="28"/>
      <c r="HV17" s="28"/>
      <c r="HW17" s="28"/>
      <c r="HX17" s="28"/>
      <c r="HY17" s="28"/>
      <c r="HZ17" s="28"/>
      <c r="IA17" s="28"/>
      <c r="IB17" s="28"/>
      <c r="IC17" s="28"/>
      <c r="ID17" s="28"/>
      <c r="IE17" s="28"/>
    </row>
    <row r="18" spans="1:239" s="3" customFormat="1" ht="30" customHeight="1" thickBot="1">
      <c r="A18" s="32"/>
      <c r="B18" s="46" t="s">
        <v>14</v>
      </c>
      <c r="C18" s="41"/>
      <c r="D18" s="20">
        <v>1</v>
      </c>
      <c r="E18" s="57">
        <f>F17+1</f>
        <v>45959</v>
      </c>
      <c r="F18" s="57">
        <f>E18+26</f>
        <v>45985</v>
      </c>
      <c r="G18" s="14"/>
      <c r="H18" s="14">
        <f t="shared" ca="1" si="33"/>
        <v>27</v>
      </c>
      <c r="I18" s="28"/>
      <c r="J18" s="28"/>
      <c r="K18" s="28"/>
      <c r="L18" s="28"/>
      <c r="M18" s="28"/>
      <c r="N18" s="28"/>
      <c r="O18" s="28"/>
      <c r="P18" s="28"/>
      <c r="Q18" s="28"/>
      <c r="R18" s="28"/>
      <c r="S18" s="28"/>
      <c r="T18" s="28"/>
      <c r="U18" s="29"/>
      <c r="V18" s="29"/>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78"/>
      <c r="CR18" s="78"/>
      <c r="CS18" s="28"/>
      <c r="CT18" s="28"/>
      <c r="CU18" s="28"/>
      <c r="CV18" s="28"/>
      <c r="CW18" s="28"/>
      <c r="CX18" s="78"/>
      <c r="CY18" s="7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74"/>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c r="GB18" s="28"/>
      <c r="GC18" s="28"/>
      <c r="GD18" s="28"/>
      <c r="GE18" s="28"/>
      <c r="GF18" s="28"/>
      <c r="GG18" s="28"/>
      <c r="GH18" s="28"/>
      <c r="GI18" s="28"/>
      <c r="GJ18" s="28"/>
      <c r="GK18" s="28"/>
      <c r="GL18" s="28"/>
      <c r="GM18" s="28"/>
      <c r="GN18" s="28"/>
      <c r="GO18" s="28"/>
      <c r="GP18" s="28"/>
      <c r="GQ18" s="28"/>
      <c r="GR18" s="28"/>
      <c r="GS18" s="28"/>
      <c r="GT18" s="28"/>
      <c r="GU18" s="28"/>
      <c r="GV18" s="28"/>
      <c r="GW18" s="28"/>
      <c r="GX18" s="28"/>
      <c r="GY18" s="28"/>
      <c r="GZ18" s="28"/>
      <c r="HA18" s="28"/>
      <c r="HB18" s="28"/>
      <c r="HC18" s="28"/>
      <c r="HD18" s="28"/>
      <c r="HE18" s="28"/>
      <c r="HF18" s="28"/>
      <c r="HG18" s="28"/>
      <c r="HH18" s="28"/>
      <c r="HI18" s="28"/>
      <c r="HJ18" s="28"/>
      <c r="HK18" s="28"/>
      <c r="HL18" s="28"/>
      <c r="HM18" s="28"/>
      <c r="HN18" s="28"/>
      <c r="HO18" s="28"/>
      <c r="HP18" s="28"/>
      <c r="HQ18" s="28"/>
      <c r="HR18" s="28"/>
      <c r="HS18" s="28"/>
      <c r="HT18" s="28"/>
      <c r="HU18" s="28"/>
      <c r="HV18" s="28"/>
      <c r="HW18" s="28"/>
      <c r="HX18" s="28"/>
      <c r="HY18" s="28"/>
      <c r="HZ18" s="28"/>
      <c r="IA18" s="28"/>
      <c r="IB18" s="28"/>
      <c r="IC18" s="28"/>
      <c r="ID18" s="28"/>
      <c r="IE18" s="28"/>
    </row>
    <row r="19" spans="1:239" s="3" customFormat="1" ht="30" customHeight="1" thickBot="1">
      <c r="A19" s="32"/>
      <c r="B19" s="46" t="s">
        <v>793</v>
      </c>
      <c r="C19" s="41"/>
      <c r="D19" s="20">
        <v>0</v>
      </c>
      <c r="E19" s="57">
        <f>E13</f>
        <v>45989</v>
      </c>
      <c r="F19" s="57">
        <f>E19+13</f>
        <v>46002</v>
      </c>
      <c r="G19" s="14"/>
      <c r="H19" s="14">
        <f t="shared" ca="1" si="33"/>
        <v>14</v>
      </c>
      <c r="I19" s="28"/>
      <c r="J19" s="28"/>
      <c r="K19" s="28"/>
      <c r="L19" s="28"/>
      <c r="M19" s="28"/>
      <c r="N19" s="28"/>
      <c r="O19" s="28"/>
      <c r="P19" s="28"/>
      <c r="Q19" s="28"/>
      <c r="R19" s="28"/>
      <c r="S19" s="28"/>
      <c r="T19" s="28"/>
      <c r="U19" s="28"/>
      <c r="V19" s="28"/>
      <c r="W19" s="28"/>
      <c r="X19" s="28"/>
      <c r="Y19" s="29"/>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78"/>
      <c r="CR19" s="78"/>
      <c r="CS19" s="28"/>
      <c r="CT19" s="28"/>
      <c r="CU19" s="28"/>
      <c r="CV19" s="28"/>
      <c r="CW19" s="28"/>
      <c r="CX19" s="78"/>
      <c r="CY19" s="7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74"/>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c r="GB19" s="28"/>
      <c r="GC19" s="28"/>
      <c r="GD19" s="28"/>
      <c r="GE19" s="28"/>
      <c r="GF19" s="28"/>
      <c r="GG19" s="28"/>
      <c r="GH19" s="28"/>
      <c r="GI19" s="28"/>
      <c r="GJ19" s="28"/>
      <c r="GK19" s="28"/>
      <c r="GL19" s="28"/>
      <c r="GM19" s="28"/>
      <c r="GN19" s="28"/>
      <c r="GO19" s="28"/>
      <c r="GP19" s="28"/>
      <c r="GQ19" s="28"/>
      <c r="GR19" s="28"/>
      <c r="GS19" s="28"/>
      <c r="GT19" s="28"/>
      <c r="GU19" s="28"/>
      <c r="GV19" s="28"/>
      <c r="GW19" s="28"/>
      <c r="GX19" s="28"/>
      <c r="GY19" s="28"/>
      <c r="GZ19" s="28"/>
      <c r="HA19" s="28"/>
      <c r="HB19" s="28"/>
      <c r="HC19" s="28"/>
      <c r="HD19" s="28"/>
      <c r="HE19" s="28"/>
      <c r="HF19" s="28"/>
      <c r="HG19" s="28"/>
      <c r="HH19" s="28"/>
      <c r="HI19" s="28"/>
      <c r="HJ19" s="28"/>
      <c r="HK19" s="28"/>
      <c r="HL19" s="28"/>
      <c r="HM19" s="28"/>
      <c r="HN19" s="28"/>
      <c r="HO19" s="28"/>
      <c r="HP19" s="28"/>
      <c r="HQ19" s="28"/>
      <c r="HR19" s="28"/>
      <c r="HS19" s="28"/>
      <c r="HT19" s="28"/>
      <c r="HU19" s="28"/>
      <c r="HV19" s="28"/>
      <c r="HW19" s="28"/>
      <c r="HX19" s="28"/>
      <c r="HY19" s="28"/>
      <c r="HZ19" s="28"/>
      <c r="IA19" s="28"/>
      <c r="IB19" s="28"/>
      <c r="IC19" s="28"/>
      <c r="ID19" s="28"/>
      <c r="IE19" s="28"/>
    </row>
    <row r="20" spans="1:239" s="3" customFormat="1" ht="30" customHeight="1" thickBot="1">
      <c r="A20" s="32"/>
      <c r="B20" s="46" t="s">
        <v>14</v>
      </c>
      <c r="C20" s="41"/>
      <c r="D20" s="20">
        <v>1</v>
      </c>
      <c r="E20" s="57">
        <f>F19+1</f>
        <v>46003</v>
      </c>
      <c r="F20" s="57">
        <f>E20+26</f>
        <v>46029</v>
      </c>
      <c r="G20" s="14"/>
      <c r="H20" s="14"/>
      <c r="I20" s="28"/>
      <c r="J20" s="28"/>
      <c r="K20" s="28"/>
      <c r="L20" s="28"/>
      <c r="M20" s="28"/>
      <c r="N20" s="28"/>
      <c r="O20" s="28"/>
      <c r="P20" s="28"/>
      <c r="Q20" s="28"/>
      <c r="R20" s="28"/>
      <c r="S20" s="28"/>
      <c r="T20" s="28"/>
      <c r="U20" s="28"/>
      <c r="V20" s="28"/>
      <c r="W20" s="28"/>
      <c r="X20" s="28"/>
      <c r="Y20" s="29"/>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78"/>
      <c r="CR20" s="78"/>
      <c r="CS20" s="28"/>
      <c r="CT20" s="28"/>
      <c r="CU20" s="28"/>
      <c r="CV20" s="28"/>
      <c r="CW20" s="28"/>
      <c r="CX20" s="78"/>
      <c r="CY20" s="7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74"/>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c r="GB20" s="28"/>
      <c r="GC20" s="28"/>
      <c r="GD20" s="28"/>
      <c r="GE20" s="28"/>
      <c r="GF20" s="28"/>
      <c r="GG20" s="28"/>
      <c r="GH20" s="28"/>
      <c r="GI20" s="28"/>
      <c r="GJ20" s="28"/>
      <c r="GK20" s="28"/>
      <c r="GL20" s="28"/>
      <c r="GM20" s="28"/>
      <c r="GN20" s="28"/>
      <c r="GO20" s="28"/>
      <c r="GP20" s="28"/>
      <c r="GQ20" s="28"/>
      <c r="GR20" s="28"/>
      <c r="GS20" s="28"/>
      <c r="GT20" s="28"/>
      <c r="GU20" s="28"/>
      <c r="GV20" s="28"/>
      <c r="GW20" s="28"/>
      <c r="GX20" s="28"/>
      <c r="GY20" s="28"/>
      <c r="GZ20" s="28"/>
      <c r="HA20" s="28"/>
      <c r="HB20" s="28"/>
      <c r="HC20" s="28"/>
      <c r="HD20" s="28"/>
      <c r="HE20" s="28"/>
      <c r="HF20" s="28"/>
      <c r="HG20" s="28"/>
      <c r="HH20" s="28"/>
      <c r="HI20" s="28"/>
      <c r="HJ20" s="28"/>
      <c r="HK20" s="28"/>
      <c r="HL20" s="28"/>
      <c r="HM20" s="28"/>
      <c r="HN20" s="28"/>
      <c r="HO20" s="28"/>
      <c r="HP20" s="28"/>
      <c r="HQ20" s="28"/>
      <c r="HR20" s="28"/>
      <c r="HS20" s="28"/>
      <c r="HT20" s="28"/>
      <c r="HU20" s="28"/>
      <c r="HV20" s="28"/>
      <c r="HW20" s="28"/>
      <c r="HX20" s="28"/>
      <c r="HY20" s="28"/>
      <c r="HZ20" s="28"/>
      <c r="IA20" s="28"/>
      <c r="IB20" s="28"/>
      <c r="IC20" s="28"/>
      <c r="ID20" s="28"/>
      <c r="IE20" s="28"/>
    </row>
    <row r="21" spans="1:239" s="3" customFormat="1" ht="30" customHeight="1" thickBot="1">
      <c r="A21" s="32"/>
      <c r="B21" s="46" t="s">
        <v>794</v>
      </c>
      <c r="C21" s="41"/>
      <c r="D21" s="20">
        <v>0</v>
      </c>
      <c r="E21" s="57">
        <f>E15</f>
        <v>46031</v>
      </c>
      <c r="F21" s="57">
        <f>E21+13</f>
        <v>46044</v>
      </c>
      <c r="G21" s="14"/>
      <c r="H21" s="14"/>
      <c r="I21" s="28"/>
      <c r="J21" s="28"/>
      <c r="K21" s="28"/>
      <c r="L21" s="28"/>
      <c r="M21" s="28"/>
      <c r="N21" s="28"/>
      <c r="O21" s="28"/>
      <c r="P21" s="28"/>
      <c r="Q21" s="28"/>
      <c r="R21" s="28"/>
      <c r="S21" s="28"/>
      <c r="T21" s="28"/>
      <c r="U21" s="28"/>
      <c r="V21" s="28"/>
      <c r="W21" s="28"/>
      <c r="X21" s="28"/>
      <c r="Y21" s="29"/>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78"/>
      <c r="CR21" s="78"/>
      <c r="CS21" s="28"/>
      <c r="CT21" s="28"/>
      <c r="CU21" s="28"/>
      <c r="CV21" s="28"/>
      <c r="CW21" s="28"/>
      <c r="CX21" s="78"/>
      <c r="CY21" s="7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74"/>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c r="GB21" s="28"/>
      <c r="GC21" s="28"/>
      <c r="GD21" s="28"/>
      <c r="GE21" s="28"/>
      <c r="GF21" s="28"/>
      <c r="GG21" s="28"/>
      <c r="GH21" s="28"/>
      <c r="GI21" s="28"/>
      <c r="GJ21" s="28"/>
      <c r="GK21" s="28"/>
      <c r="GL21" s="28"/>
      <c r="GM21" s="28"/>
      <c r="GN21" s="28"/>
      <c r="GO21" s="28"/>
      <c r="GP21" s="28"/>
      <c r="GQ21" s="28"/>
      <c r="GR21" s="28"/>
      <c r="GS21" s="28"/>
      <c r="GT21" s="28"/>
      <c r="GU21" s="28"/>
      <c r="GV21" s="28"/>
      <c r="GW21" s="28"/>
      <c r="GX21" s="28"/>
      <c r="GY21" s="28"/>
      <c r="GZ21" s="28"/>
      <c r="HA21" s="28"/>
      <c r="HB21" s="28"/>
      <c r="HC21" s="28"/>
      <c r="HD21" s="28"/>
      <c r="HE21" s="28"/>
      <c r="HF21" s="28"/>
      <c r="HG21" s="28"/>
      <c r="HH21" s="28"/>
      <c r="HI21" s="28"/>
      <c r="HJ21" s="28"/>
      <c r="HK21" s="28"/>
      <c r="HL21" s="28"/>
      <c r="HM21" s="28"/>
      <c r="HN21" s="28"/>
      <c r="HO21" s="28"/>
      <c r="HP21" s="28"/>
      <c r="HQ21" s="28"/>
      <c r="HR21" s="28"/>
      <c r="HS21" s="28"/>
      <c r="HT21" s="28"/>
      <c r="HU21" s="28"/>
      <c r="HV21" s="28"/>
      <c r="HW21" s="28"/>
      <c r="HX21" s="28"/>
      <c r="HY21" s="28"/>
      <c r="HZ21" s="28"/>
      <c r="IA21" s="28"/>
      <c r="IB21" s="28"/>
      <c r="IC21" s="28"/>
      <c r="ID21" s="28"/>
      <c r="IE21" s="28"/>
    </row>
    <row r="22" spans="1:239" s="3" customFormat="1" ht="30" customHeight="1" thickBot="1">
      <c r="A22" s="32"/>
      <c r="B22" s="46" t="s">
        <v>14</v>
      </c>
      <c r="C22" s="41"/>
      <c r="D22" s="20">
        <v>1</v>
      </c>
      <c r="E22" s="57">
        <f>F21+1</f>
        <v>46045</v>
      </c>
      <c r="F22" s="57">
        <f>E22+26</f>
        <v>46071</v>
      </c>
      <c r="G22" s="14"/>
      <c r="H22" s="14"/>
      <c r="I22" s="28"/>
      <c r="J22" s="28"/>
      <c r="K22" s="28"/>
      <c r="L22" s="28"/>
      <c r="M22" s="28"/>
      <c r="N22" s="28"/>
      <c r="O22" s="28"/>
      <c r="P22" s="28"/>
      <c r="Q22" s="28"/>
      <c r="R22" s="28"/>
      <c r="S22" s="28"/>
      <c r="T22" s="28"/>
      <c r="U22" s="28"/>
      <c r="V22" s="28"/>
      <c r="W22" s="28"/>
      <c r="X22" s="28"/>
      <c r="Y22" s="29"/>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78"/>
      <c r="CR22" s="78"/>
      <c r="CS22" s="28"/>
      <c r="CT22" s="28"/>
      <c r="CU22" s="28"/>
      <c r="CV22" s="28"/>
      <c r="CW22" s="28"/>
      <c r="CX22" s="78"/>
      <c r="CY22" s="7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74"/>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c r="GB22" s="28"/>
      <c r="GC22" s="28"/>
      <c r="GD22" s="28"/>
      <c r="GE22" s="28"/>
      <c r="GF22" s="28"/>
      <c r="GG22" s="28"/>
      <c r="GH22" s="28"/>
      <c r="GI22" s="28"/>
      <c r="GJ22" s="28"/>
      <c r="GK22" s="28"/>
      <c r="GL22" s="28"/>
      <c r="GM22" s="28"/>
      <c r="GN22" s="28"/>
      <c r="GO22" s="28"/>
      <c r="GP22" s="28"/>
      <c r="GQ22" s="28"/>
      <c r="GR22" s="28"/>
      <c r="GS22" s="28"/>
      <c r="GT22" s="28"/>
      <c r="GU22" s="28"/>
      <c r="GV22" s="28"/>
      <c r="GW22" s="28"/>
      <c r="GX22" s="28"/>
      <c r="GY22" s="28"/>
      <c r="GZ22" s="28"/>
      <c r="HA22" s="28"/>
      <c r="HB22" s="28"/>
      <c r="HC22" s="28"/>
      <c r="HD22" s="28"/>
      <c r="HE22" s="28"/>
      <c r="HF22" s="28"/>
      <c r="HG22" s="28"/>
      <c r="HH22" s="28"/>
      <c r="HI22" s="28"/>
      <c r="HJ22" s="28"/>
      <c r="HK22" s="28"/>
      <c r="HL22" s="28"/>
      <c r="HM22" s="28"/>
      <c r="HN22" s="28"/>
      <c r="HO22" s="28"/>
      <c r="HP22" s="28"/>
      <c r="HQ22" s="28"/>
      <c r="HR22" s="28"/>
      <c r="HS22" s="28"/>
      <c r="HT22" s="28"/>
      <c r="HU22" s="28"/>
      <c r="HV22" s="28"/>
      <c r="HW22" s="28"/>
      <c r="HX22" s="28"/>
      <c r="HY22" s="28"/>
      <c r="HZ22" s="28"/>
      <c r="IA22" s="28"/>
      <c r="IB22" s="28"/>
      <c r="IC22" s="28"/>
      <c r="ID22" s="28"/>
      <c r="IE22" s="28"/>
    </row>
    <row r="23" spans="1:239" s="3" customFormat="1" ht="30" customHeight="1" thickBot="1">
      <c r="A23" s="32" t="s">
        <v>797</v>
      </c>
      <c r="B23" s="21" t="s">
        <v>798</v>
      </c>
      <c r="C23" s="42"/>
      <c r="D23" s="22"/>
      <c r="E23" s="58"/>
      <c r="F23" s="59"/>
      <c r="G23" s="14"/>
      <c r="H23" s="14" t="str">
        <f t="shared" ca="1" si="33"/>
        <v/>
      </c>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78"/>
      <c r="CR23" s="78"/>
      <c r="CS23" s="28"/>
      <c r="CT23" s="28"/>
      <c r="CU23" s="28"/>
      <c r="CV23" s="28"/>
      <c r="CW23" s="28"/>
      <c r="CX23" s="78"/>
      <c r="CY23" s="7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74"/>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c r="GB23" s="28"/>
      <c r="GC23" s="28"/>
      <c r="GD23" s="28"/>
      <c r="GE23" s="28"/>
      <c r="GF23" s="28"/>
      <c r="GG23" s="28"/>
      <c r="GH23" s="28"/>
      <c r="GI23" s="28"/>
      <c r="GJ23" s="28"/>
      <c r="GK23" s="28"/>
      <c r="GL23" s="28"/>
      <c r="GM23" s="28"/>
      <c r="GN23" s="28"/>
      <c r="GO23" s="28"/>
      <c r="GP23" s="28"/>
      <c r="GQ23" s="28"/>
      <c r="GR23" s="28"/>
      <c r="GS23" s="28"/>
      <c r="GT23" s="28"/>
      <c r="GU23" s="28"/>
      <c r="GV23" s="28"/>
      <c r="GW23" s="28"/>
      <c r="GX23" s="28"/>
      <c r="GY23" s="28"/>
      <c r="GZ23" s="28"/>
      <c r="HA23" s="28"/>
      <c r="HB23" s="28"/>
      <c r="HC23" s="28"/>
      <c r="HD23" s="28"/>
      <c r="HE23" s="28"/>
      <c r="HF23" s="28"/>
      <c r="HG23" s="28"/>
      <c r="HH23" s="28"/>
      <c r="HI23" s="28"/>
      <c r="HJ23" s="28"/>
      <c r="HK23" s="28"/>
      <c r="HL23" s="28"/>
      <c r="HM23" s="28"/>
      <c r="HN23" s="28"/>
      <c r="HO23" s="28"/>
      <c r="HP23" s="28"/>
      <c r="HQ23" s="28"/>
      <c r="HR23" s="28"/>
      <c r="HS23" s="28"/>
      <c r="HT23" s="28"/>
      <c r="HU23" s="28"/>
      <c r="HV23" s="28"/>
      <c r="HW23" s="28"/>
      <c r="HX23" s="28"/>
      <c r="HY23" s="28"/>
      <c r="HZ23" s="28"/>
      <c r="IA23" s="28"/>
      <c r="IB23" s="28"/>
      <c r="IC23" s="28"/>
      <c r="ID23" s="28"/>
      <c r="IE23" s="28"/>
    </row>
    <row r="24" spans="1:239" s="3" customFormat="1" ht="30" customHeight="1" thickBot="1">
      <c r="A24" s="32"/>
      <c r="B24" s="47" t="s">
        <v>790</v>
      </c>
      <c r="C24" s="43"/>
      <c r="D24" s="23">
        <v>0</v>
      </c>
      <c r="E24" s="60">
        <f>E18</f>
        <v>45959</v>
      </c>
      <c r="F24" s="60">
        <f>E24+13</f>
        <v>45972</v>
      </c>
      <c r="G24" s="14"/>
      <c r="H24" s="14">
        <f t="shared" ca="1" si="33"/>
        <v>14</v>
      </c>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78"/>
      <c r="CR24" s="78"/>
      <c r="CS24" s="28"/>
      <c r="CT24" s="28"/>
      <c r="CU24" s="28"/>
      <c r="CV24" s="28"/>
      <c r="CW24" s="28"/>
      <c r="CX24" s="78"/>
      <c r="CY24" s="7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74"/>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c r="GB24" s="28"/>
      <c r="GC24" s="28"/>
      <c r="GD24" s="28"/>
      <c r="GE24" s="28"/>
      <c r="GF24" s="28"/>
      <c r="GG24" s="28"/>
      <c r="GH24" s="28"/>
      <c r="GI24" s="28"/>
      <c r="GJ24" s="28"/>
      <c r="GK24" s="28"/>
      <c r="GL24" s="28"/>
      <c r="GM24" s="28"/>
      <c r="GN24" s="28"/>
      <c r="GO24" s="28"/>
      <c r="GP24" s="28"/>
      <c r="GQ24" s="28"/>
      <c r="GR24" s="28"/>
      <c r="GS24" s="28"/>
      <c r="GT24" s="28"/>
      <c r="GU24" s="28"/>
      <c r="GV24" s="28"/>
      <c r="GW24" s="28"/>
      <c r="GX24" s="28"/>
      <c r="GY24" s="28"/>
      <c r="GZ24" s="28"/>
      <c r="HA24" s="28"/>
      <c r="HB24" s="28"/>
      <c r="HC24" s="28"/>
      <c r="HD24" s="28"/>
      <c r="HE24" s="28"/>
      <c r="HF24" s="28"/>
      <c r="HG24" s="28"/>
      <c r="HH24" s="28"/>
      <c r="HI24" s="28"/>
      <c r="HJ24" s="28"/>
      <c r="HK24" s="28"/>
      <c r="HL24" s="28"/>
      <c r="HM24" s="28"/>
      <c r="HN24" s="28"/>
      <c r="HO24" s="28"/>
      <c r="HP24" s="28"/>
      <c r="HQ24" s="28"/>
      <c r="HR24" s="28"/>
      <c r="HS24" s="28"/>
      <c r="HT24" s="28"/>
      <c r="HU24" s="28"/>
      <c r="HV24" s="28"/>
      <c r="HW24" s="28"/>
      <c r="HX24" s="28"/>
      <c r="HY24" s="28"/>
      <c r="HZ24" s="28"/>
      <c r="IA24" s="28"/>
      <c r="IB24" s="28"/>
      <c r="IC24" s="28"/>
      <c r="ID24" s="28"/>
      <c r="IE24" s="28"/>
    </row>
    <row r="25" spans="1:239" s="3" customFormat="1" ht="30" customHeight="1" thickBot="1">
      <c r="A25" s="32"/>
      <c r="B25" s="47" t="s">
        <v>14</v>
      </c>
      <c r="C25" s="43"/>
      <c r="D25" s="23">
        <v>1</v>
      </c>
      <c r="E25" s="60">
        <f>F24+1</f>
        <v>45973</v>
      </c>
      <c r="F25" s="60">
        <f>E25+26</f>
        <v>45999</v>
      </c>
      <c r="G25" s="14"/>
      <c r="H25" s="14">
        <f t="shared" ca="1" si="33"/>
        <v>27</v>
      </c>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78"/>
      <c r="CR25" s="78"/>
      <c r="CS25" s="28"/>
      <c r="CT25" s="28"/>
      <c r="CU25" s="28"/>
      <c r="CV25" s="28"/>
      <c r="CW25" s="28"/>
      <c r="CX25" s="78"/>
      <c r="CY25" s="7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74"/>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c r="GV25" s="28"/>
      <c r="GW25" s="28"/>
      <c r="GX25" s="28"/>
      <c r="GY25" s="28"/>
      <c r="GZ25" s="28"/>
      <c r="HA25" s="28"/>
      <c r="HB25" s="28"/>
      <c r="HC25" s="28"/>
      <c r="HD25" s="28"/>
      <c r="HE25" s="28"/>
      <c r="HF25" s="28"/>
      <c r="HG25" s="28"/>
      <c r="HH25" s="28"/>
      <c r="HI25" s="28"/>
      <c r="HJ25" s="28"/>
      <c r="HK25" s="28"/>
      <c r="HL25" s="28"/>
      <c r="HM25" s="28"/>
      <c r="HN25" s="28"/>
      <c r="HO25" s="28"/>
      <c r="HP25" s="28"/>
      <c r="HQ25" s="28"/>
      <c r="HR25" s="28"/>
      <c r="HS25" s="28"/>
      <c r="HT25" s="28"/>
      <c r="HU25" s="28"/>
      <c r="HV25" s="28"/>
      <c r="HW25" s="28"/>
      <c r="HX25" s="28"/>
      <c r="HY25" s="28"/>
      <c r="HZ25" s="28"/>
      <c r="IA25" s="28"/>
      <c r="IB25" s="28"/>
      <c r="IC25" s="28"/>
      <c r="ID25" s="28"/>
      <c r="IE25" s="28"/>
    </row>
    <row r="26" spans="1:239" s="3" customFormat="1" ht="30" customHeight="1" thickBot="1">
      <c r="A26" s="32"/>
      <c r="B26" s="47" t="s">
        <v>793</v>
      </c>
      <c r="C26" s="43"/>
      <c r="D26" s="23">
        <v>0</v>
      </c>
      <c r="E26" s="60">
        <f>E20</f>
        <v>46003</v>
      </c>
      <c r="F26" s="60">
        <f>E26+13</f>
        <v>46016</v>
      </c>
      <c r="G26" s="14"/>
      <c r="H26" s="14"/>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78"/>
      <c r="CR26" s="78"/>
      <c r="CS26" s="28"/>
      <c r="CT26" s="28"/>
      <c r="CU26" s="28"/>
      <c r="CV26" s="28"/>
      <c r="CW26" s="28"/>
      <c r="CX26" s="78"/>
      <c r="CY26" s="7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74"/>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c r="GB26" s="28"/>
      <c r="GC26" s="28"/>
      <c r="GD26" s="28"/>
      <c r="GE26" s="28"/>
      <c r="GF26" s="28"/>
      <c r="GG26" s="28"/>
      <c r="GH26" s="28"/>
      <c r="GI26" s="28"/>
      <c r="GJ26" s="28"/>
      <c r="GK26" s="28"/>
      <c r="GL26" s="28"/>
      <c r="GM26" s="28"/>
      <c r="GN26" s="28"/>
      <c r="GO26" s="28"/>
      <c r="GP26" s="28"/>
      <c r="GQ26" s="28"/>
      <c r="GR26" s="28"/>
      <c r="GS26" s="28"/>
      <c r="GT26" s="28"/>
      <c r="GU26" s="28"/>
      <c r="GV26" s="28"/>
      <c r="GW26" s="28"/>
      <c r="GX26" s="28"/>
      <c r="GY26" s="28"/>
      <c r="GZ26" s="28"/>
      <c r="HA26" s="28"/>
      <c r="HB26" s="28"/>
      <c r="HC26" s="28"/>
      <c r="HD26" s="28"/>
      <c r="HE26" s="28"/>
      <c r="HF26" s="28"/>
      <c r="HG26" s="28"/>
      <c r="HH26" s="28"/>
      <c r="HI26" s="28"/>
      <c r="HJ26" s="28"/>
      <c r="HK26" s="28"/>
      <c r="HL26" s="28"/>
      <c r="HM26" s="28"/>
      <c r="HN26" s="28"/>
      <c r="HO26" s="28"/>
      <c r="HP26" s="28"/>
      <c r="HQ26" s="28"/>
      <c r="HR26" s="28"/>
      <c r="HS26" s="28"/>
      <c r="HT26" s="28"/>
      <c r="HU26" s="28"/>
      <c r="HV26" s="28"/>
      <c r="HW26" s="28"/>
      <c r="HX26" s="28"/>
      <c r="HY26" s="28"/>
      <c r="HZ26" s="28"/>
      <c r="IA26" s="28"/>
      <c r="IB26" s="28"/>
      <c r="IC26" s="28"/>
      <c r="ID26" s="28"/>
      <c r="IE26" s="28"/>
    </row>
    <row r="27" spans="1:239" s="3" customFormat="1" ht="30" customHeight="1" thickBot="1">
      <c r="A27" s="32"/>
      <c r="B27" s="47" t="s">
        <v>14</v>
      </c>
      <c r="C27" s="43"/>
      <c r="D27" s="23">
        <v>1</v>
      </c>
      <c r="E27" s="60">
        <f>F26+1</f>
        <v>46017</v>
      </c>
      <c r="F27" s="60">
        <f>E27+26</f>
        <v>46043</v>
      </c>
      <c r="G27" s="14"/>
      <c r="H27" s="14">
        <f t="shared" ca="1" si="33"/>
        <v>27</v>
      </c>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78"/>
      <c r="CR27" s="78"/>
      <c r="CS27" s="28"/>
      <c r="CT27" s="28"/>
      <c r="CU27" s="28"/>
      <c r="CV27" s="28"/>
      <c r="CW27" s="28"/>
      <c r="CX27" s="78"/>
      <c r="CY27" s="78"/>
      <c r="CZ27" s="28"/>
      <c r="DA27" s="28"/>
      <c r="DB27" s="28"/>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74"/>
      <c r="EB27" s="28"/>
      <c r="EC27" s="28"/>
      <c r="ED27" s="28"/>
      <c r="EE27" s="28"/>
      <c r="EF27" s="28"/>
      <c r="EG27" s="28"/>
      <c r="EH27" s="28"/>
      <c r="EI27" s="28"/>
      <c r="EJ27" s="28"/>
      <c r="EK27" s="28"/>
      <c r="EL27" s="28"/>
      <c r="EM27" s="28"/>
      <c r="EN27" s="28"/>
      <c r="EO27" s="28"/>
      <c r="EP27" s="28"/>
      <c r="EQ27" s="28"/>
      <c r="ER27" s="28"/>
      <c r="ES27" s="28"/>
      <c r="ET27" s="28"/>
      <c r="EU27" s="28"/>
      <c r="EV27" s="28"/>
      <c r="EW27" s="28"/>
      <c r="EX27" s="28"/>
      <c r="EY27" s="28"/>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c r="GB27" s="28"/>
      <c r="GC27" s="28"/>
      <c r="GD27" s="28"/>
      <c r="GE27" s="28"/>
      <c r="GF27" s="28"/>
      <c r="GG27" s="28"/>
      <c r="GH27" s="28"/>
      <c r="GI27" s="28"/>
      <c r="GJ27" s="28"/>
      <c r="GK27" s="28"/>
      <c r="GL27" s="28"/>
      <c r="GM27" s="28"/>
      <c r="GN27" s="28"/>
      <c r="GO27" s="28"/>
      <c r="GP27" s="28"/>
      <c r="GQ27" s="28"/>
      <c r="GR27" s="28"/>
      <c r="GS27" s="28"/>
      <c r="GT27" s="28"/>
      <c r="GU27" s="28"/>
      <c r="GV27" s="28"/>
      <c r="GW27" s="28"/>
      <c r="GX27" s="28"/>
      <c r="GY27" s="28"/>
      <c r="GZ27" s="28"/>
      <c r="HA27" s="28"/>
      <c r="HB27" s="28"/>
      <c r="HC27" s="28"/>
      <c r="HD27" s="28"/>
      <c r="HE27" s="28"/>
      <c r="HF27" s="28"/>
      <c r="HG27" s="28"/>
      <c r="HH27" s="28"/>
      <c r="HI27" s="28"/>
      <c r="HJ27" s="28"/>
      <c r="HK27" s="28"/>
      <c r="HL27" s="28"/>
      <c r="HM27" s="28"/>
      <c r="HN27" s="28"/>
      <c r="HO27" s="28"/>
      <c r="HP27" s="28"/>
      <c r="HQ27" s="28"/>
      <c r="HR27" s="28"/>
      <c r="HS27" s="28"/>
      <c r="HT27" s="28"/>
      <c r="HU27" s="28"/>
      <c r="HV27" s="28"/>
      <c r="HW27" s="28"/>
      <c r="HX27" s="28"/>
      <c r="HY27" s="28"/>
      <c r="HZ27" s="28"/>
      <c r="IA27" s="28"/>
      <c r="IB27" s="28"/>
      <c r="IC27" s="28"/>
      <c r="ID27" s="28"/>
      <c r="IE27" s="28"/>
    </row>
    <row r="28" spans="1:239" s="3" customFormat="1" ht="30" customHeight="1" thickBot="1">
      <c r="A28" s="32"/>
      <c r="B28" s="47" t="s">
        <v>794</v>
      </c>
      <c r="C28" s="43"/>
      <c r="D28" s="23">
        <v>0</v>
      </c>
      <c r="E28" s="60">
        <f>E22</f>
        <v>46045</v>
      </c>
      <c r="F28" s="60">
        <f>E28+13</f>
        <v>46058</v>
      </c>
      <c r="G28" s="14"/>
      <c r="H28" s="14"/>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78"/>
      <c r="CR28" s="78"/>
      <c r="CS28" s="28"/>
      <c r="CT28" s="28"/>
      <c r="CU28" s="28"/>
      <c r="CV28" s="28"/>
      <c r="CW28" s="28"/>
      <c r="CX28" s="78"/>
      <c r="CY28" s="78"/>
      <c r="CZ28" s="28"/>
      <c r="DA28" s="28"/>
      <c r="DB28" s="28"/>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74"/>
      <c r="EB28" s="28"/>
      <c r="EC28" s="28"/>
      <c r="ED28" s="28"/>
      <c r="EE28" s="28"/>
      <c r="EF28" s="28"/>
      <c r="EG28" s="28"/>
      <c r="EH28" s="28"/>
      <c r="EI28" s="28"/>
      <c r="EJ28" s="28"/>
      <c r="EK28" s="28"/>
      <c r="EL28" s="28"/>
      <c r="EM28" s="28"/>
      <c r="EN28" s="28"/>
      <c r="EO28" s="28"/>
      <c r="EP28" s="28"/>
      <c r="EQ28" s="28"/>
      <c r="ER28" s="28"/>
      <c r="ES28" s="28"/>
      <c r="ET28" s="28"/>
      <c r="EU28" s="28"/>
      <c r="EV28" s="28"/>
      <c r="EW28" s="28"/>
      <c r="EX28" s="28"/>
      <c r="EY28" s="28"/>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c r="GB28" s="28"/>
      <c r="GC28" s="28"/>
      <c r="GD28" s="28"/>
      <c r="GE28" s="28"/>
      <c r="GF28" s="28"/>
      <c r="GG28" s="28"/>
      <c r="GH28" s="28"/>
      <c r="GI28" s="28"/>
      <c r="GJ28" s="28"/>
      <c r="GK28" s="28"/>
      <c r="GL28" s="28"/>
      <c r="GM28" s="28"/>
      <c r="GN28" s="28"/>
      <c r="GO28" s="28"/>
      <c r="GP28" s="28"/>
      <c r="GQ28" s="28"/>
      <c r="GR28" s="28"/>
      <c r="GS28" s="28"/>
      <c r="GT28" s="28"/>
      <c r="GU28" s="28"/>
      <c r="GV28" s="28"/>
      <c r="GW28" s="28"/>
      <c r="GX28" s="28"/>
      <c r="GY28" s="28"/>
      <c r="GZ28" s="28"/>
      <c r="HA28" s="28"/>
      <c r="HB28" s="28"/>
      <c r="HC28" s="28"/>
      <c r="HD28" s="28"/>
      <c r="HE28" s="28"/>
      <c r="HF28" s="28"/>
      <c r="HG28" s="28"/>
      <c r="HH28" s="28"/>
      <c r="HI28" s="28"/>
      <c r="HJ28" s="28"/>
      <c r="HK28" s="28"/>
      <c r="HL28" s="28"/>
      <c r="HM28" s="28"/>
      <c r="HN28" s="28"/>
      <c r="HO28" s="28"/>
      <c r="HP28" s="28"/>
      <c r="HQ28" s="28"/>
      <c r="HR28" s="28"/>
      <c r="HS28" s="28"/>
      <c r="HT28" s="28"/>
      <c r="HU28" s="28"/>
      <c r="HV28" s="28"/>
      <c r="HW28" s="28"/>
      <c r="HX28" s="28"/>
      <c r="HY28" s="28"/>
      <c r="HZ28" s="28"/>
      <c r="IA28" s="28"/>
      <c r="IB28" s="28"/>
      <c r="IC28" s="28"/>
      <c r="ID28" s="28"/>
      <c r="IE28" s="28"/>
    </row>
    <row r="29" spans="1:239" s="3" customFormat="1" ht="30" customHeight="1" thickBot="1">
      <c r="A29" s="32"/>
      <c r="B29" s="47" t="s">
        <v>14</v>
      </c>
      <c r="C29" s="43"/>
      <c r="D29" s="23">
        <v>1</v>
      </c>
      <c r="E29" s="60">
        <f>F28+1</f>
        <v>46059</v>
      </c>
      <c r="F29" s="60">
        <f>E29+26</f>
        <v>46085</v>
      </c>
      <c r="G29" s="14"/>
      <c r="H29" s="14"/>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78"/>
      <c r="CR29" s="78"/>
      <c r="CS29" s="28"/>
      <c r="CT29" s="28"/>
      <c r="CU29" s="28"/>
      <c r="CV29" s="28"/>
      <c r="CW29" s="28"/>
      <c r="CX29" s="78"/>
      <c r="CY29" s="7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74"/>
      <c r="EB29" s="28"/>
      <c r="EC29" s="28"/>
      <c r="ED29" s="28"/>
      <c r="EE29" s="28"/>
      <c r="EF29" s="28"/>
      <c r="EG29" s="28"/>
      <c r="EH29" s="28"/>
      <c r="EI29" s="28"/>
      <c r="EJ29" s="28"/>
      <c r="EK29" s="28"/>
      <c r="EL29" s="28"/>
      <c r="EM29" s="28"/>
      <c r="EN29" s="28"/>
      <c r="EO29" s="28"/>
      <c r="EP29" s="28"/>
      <c r="EQ29" s="28"/>
      <c r="ER29" s="28"/>
      <c r="ES29" s="28"/>
      <c r="ET29" s="28"/>
      <c r="EU29" s="28"/>
      <c r="EV29" s="28"/>
      <c r="EW29" s="28"/>
      <c r="EX29" s="28"/>
      <c r="EY29" s="28"/>
      <c r="EZ29" s="28"/>
      <c r="FA29" s="28"/>
      <c r="FB29" s="28"/>
      <c r="FC29" s="28"/>
      <c r="FD29" s="28"/>
      <c r="FE29" s="28"/>
      <c r="FF29" s="28"/>
      <c r="FG29" s="28"/>
      <c r="FH29" s="28"/>
      <c r="FI29" s="28"/>
      <c r="FJ29" s="28"/>
      <c r="FK29" s="28"/>
      <c r="FL29" s="28"/>
      <c r="FM29" s="28"/>
      <c r="FN29" s="28"/>
      <c r="FO29" s="28"/>
      <c r="FP29" s="28"/>
      <c r="FQ29" s="28"/>
      <c r="FR29" s="28"/>
      <c r="FS29" s="28"/>
      <c r="FT29" s="28"/>
      <c r="FU29" s="28"/>
      <c r="FV29" s="28"/>
      <c r="FW29" s="28"/>
      <c r="FX29" s="28"/>
      <c r="FY29" s="28"/>
      <c r="FZ29" s="28"/>
      <c r="GA29" s="28"/>
      <c r="GB29" s="28"/>
      <c r="GC29" s="28"/>
      <c r="GD29" s="28"/>
      <c r="GE29" s="28"/>
      <c r="GF29" s="28"/>
      <c r="GG29" s="28"/>
      <c r="GH29" s="28"/>
      <c r="GI29" s="28"/>
      <c r="GJ29" s="28"/>
      <c r="GK29" s="28"/>
      <c r="GL29" s="28"/>
      <c r="GM29" s="28"/>
      <c r="GN29" s="28"/>
      <c r="GO29" s="28"/>
      <c r="GP29" s="28"/>
      <c r="GQ29" s="28"/>
      <c r="GR29" s="28"/>
      <c r="GS29" s="28"/>
      <c r="GT29" s="28"/>
      <c r="GU29" s="28"/>
      <c r="GV29" s="28"/>
      <c r="GW29" s="28"/>
      <c r="GX29" s="28"/>
      <c r="GY29" s="28"/>
      <c r="GZ29" s="28"/>
      <c r="HA29" s="28"/>
      <c r="HB29" s="28"/>
      <c r="HC29" s="28"/>
      <c r="HD29" s="28"/>
      <c r="HE29" s="28"/>
      <c r="HF29" s="28"/>
      <c r="HG29" s="28"/>
      <c r="HH29" s="28"/>
      <c r="HI29" s="28"/>
      <c r="HJ29" s="28"/>
      <c r="HK29" s="28"/>
      <c r="HL29" s="28"/>
      <c r="HM29" s="28"/>
      <c r="HN29" s="28"/>
      <c r="HO29" s="28"/>
      <c r="HP29" s="28"/>
      <c r="HQ29" s="28"/>
      <c r="HR29" s="28"/>
      <c r="HS29" s="28"/>
      <c r="HT29" s="28"/>
      <c r="HU29" s="28"/>
      <c r="HV29" s="28"/>
      <c r="HW29" s="28"/>
      <c r="HX29" s="28"/>
      <c r="HY29" s="28"/>
      <c r="HZ29" s="28"/>
      <c r="IA29" s="28"/>
      <c r="IB29" s="28"/>
      <c r="IC29" s="28"/>
      <c r="ID29" s="28"/>
      <c r="IE29" s="28"/>
    </row>
    <row r="30" spans="1:239" s="3" customFormat="1" ht="30" customHeight="1" thickBot="1">
      <c r="A30" s="32" t="s">
        <v>799</v>
      </c>
      <c r="B30" s="48"/>
      <c r="C30" s="44"/>
      <c r="D30" s="13"/>
      <c r="E30" s="61"/>
      <c r="F30" s="61"/>
      <c r="G30" s="14"/>
      <c r="H30" s="14" t="str">
        <f t="shared" ca="1" si="33"/>
        <v/>
      </c>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78"/>
      <c r="CR30" s="78"/>
      <c r="CS30" s="28"/>
      <c r="CT30" s="28"/>
      <c r="CU30" s="28"/>
      <c r="CV30" s="28"/>
      <c r="CW30" s="28"/>
      <c r="CX30" s="78"/>
      <c r="CY30" s="7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74"/>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c r="GV30" s="28"/>
      <c r="GW30" s="28"/>
      <c r="GX30" s="28"/>
      <c r="GY30" s="28"/>
      <c r="GZ30" s="28"/>
      <c r="HA30" s="28"/>
      <c r="HB30" s="28"/>
      <c r="HC30" s="28"/>
      <c r="HD30" s="28"/>
      <c r="HE30" s="28"/>
      <c r="HF30" s="28"/>
      <c r="HG30" s="28"/>
      <c r="HH30" s="28"/>
      <c r="HI30" s="28"/>
      <c r="HJ30" s="28"/>
      <c r="HK30" s="28"/>
      <c r="HL30" s="28"/>
      <c r="HM30" s="28"/>
      <c r="HN30" s="28"/>
      <c r="HO30" s="28"/>
      <c r="HP30" s="28"/>
      <c r="HQ30" s="28"/>
      <c r="HR30" s="28"/>
      <c r="HS30" s="28"/>
      <c r="HT30" s="28"/>
      <c r="HU30" s="28"/>
      <c r="HV30" s="28"/>
      <c r="HW30" s="28"/>
      <c r="HX30" s="28"/>
      <c r="HY30" s="28"/>
      <c r="HZ30" s="28"/>
      <c r="IA30" s="28"/>
      <c r="IB30" s="28"/>
      <c r="IC30" s="28"/>
      <c r="ID30" s="28"/>
      <c r="IE30" s="28"/>
    </row>
    <row r="31" spans="1:239" s="3" customFormat="1" ht="30" customHeight="1" thickBot="1">
      <c r="A31" s="33" t="s">
        <v>800</v>
      </c>
      <c r="B31" s="24" t="s">
        <v>801</v>
      </c>
      <c r="C31" s="25"/>
      <c r="D31" s="26"/>
      <c r="E31" s="62"/>
      <c r="F31" s="63"/>
      <c r="G31" s="27"/>
      <c r="H31" s="27" t="str">
        <f t="shared" ca="1" si="33"/>
        <v/>
      </c>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0"/>
      <c r="BZ31" s="30"/>
      <c r="CA31" s="30"/>
      <c r="CB31" s="30"/>
      <c r="CC31" s="30"/>
      <c r="CD31" s="30"/>
      <c r="CE31" s="30"/>
      <c r="CF31" s="30"/>
      <c r="CG31" s="30"/>
      <c r="CH31" s="30"/>
      <c r="CI31" s="30"/>
      <c r="CJ31" s="30"/>
      <c r="CK31" s="30"/>
      <c r="CL31" s="30"/>
      <c r="CM31" s="30"/>
      <c r="CN31" s="30"/>
      <c r="CO31" s="30"/>
      <c r="CP31" s="30"/>
      <c r="CQ31" s="78"/>
      <c r="CR31" s="78"/>
      <c r="CS31" s="30"/>
      <c r="CT31" s="30"/>
      <c r="CU31" s="30"/>
      <c r="CV31" s="30"/>
      <c r="CW31" s="30"/>
      <c r="CX31" s="78"/>
      <c r="CY31" s="78"/>
      <c r="CZ31" s="30"/>
      <c r="DA31" s="30"/>
      <c r="DB31" s="30"/>
      <c r="DC31" s="30"/>
      <c r="DD31" s="30"/>
      <c r="DE31" s="30"/>
      <c r="DF31" s="30"/>
      <c r="DG31" s="30"/>
      <c r="DH31" s="30"/>
      <c r="DI31" s="30"/>
      <c r="DJ31" s="30"/>
      <c r="DK31" s="30"/>
      <c r="DL31" s="30"/>
      <c r="DM31" s="30"/>
      <c r="DN31" s="30"/>
      <c r="DO31" s="30"/>
      <c r="DP31" s="30"/>
      <c r="DQ31" s="30"/>
      <c r="DR31" s="30"/>
      <c r="DS31" s="30"/>
      <c r="DT31" s="30"/>
      <c r="DU31" s="30"/>
      <c r="DV31" s="30"/>
      <c r="DW31" s="30"/>
      <c r="DX31" s="30"/>
      <c r="DY31" s="30"/>
      <c r="DZ31" s="30"/>
      <c r="EA31" s="74"/>
      <c r="EB31" s="30"/>
      <c r="EC31" s="30"/>
      <c r="ED31" s="30"/>
      <c r="EE31" s="30"/>
      <c r="EF31" s="30"/>
      <c r="EG31" s="30"/>
      <c r="EH31" s="30"/>
      <c r="EI31" s="30"/>
      <c r="EJ31" s="30"/>
      <c r="EK31" s="30"/>
      <c r="EL31" s="30"/>
      <c r="EM31" s="30"/>
      <c r="EN31" s="30"/>
      <c r="EO31" s="30"/>
      <c r="EP31" s="30"/>
      <c r="EQ31" s="30"/>
      <c r="ER31" s="30"/>
      <c r="ES31" s="30"/>
      <c r="ET31" s="30"/>
      <c r="EU31" s="30"/>
      <c r="EV31" s="30"/>
      <c r="EW31" s="30"/>
      <c r="EX31" s="30"/>
      <c r="EY31" s="30"/>
      <c r="EZ31" s="30"/>
      <c r="FA31" s="30"/>
      <c r="FB31" s="30"/>
      <c r="FC31" s="30"/>
      <c r="FD31" s="30"/>
      <c r="FE31" s="30"/>
      <c r="FF31" s="30"/>
      <c r="FG31" s="30"/>
      <c r="FH31" s="30"/>
      <c r="FI31" s="30"/>
      <c r="FJ31" s="30"/>
      <c r="FK31" s="30"/>
      <c r="FL31" s="30"/>
      <c r="FM31" s="30"/>
      <c r="FN31" s="30"/>
      <c r="FO31" s="30"/>
      <c r="FP31" s="30"/>
      <c r="FQ31" s="30"/>
      <c r="FR31" s="30"/>
      <c r="FS31" s="30"/>
      <c r="FT31" s="30"/>
      <c r="FU31" s="30"/>
      <c r="FV31" s="30"/>
      <c r="FW31" s="30"/>
      <c r="FX31" s="30"/>
      <c r="FY31" s="30"/>
      <c r="FZ31" s="30"/>
      <c r="GA31" s="30"/>
      <c r="GB31" s="30"/>
      <c r="GC31" s="30"/>
      <c r="GD31" s="30"/>
      <c r="GE31" s="30"/>
      <c r="GF31" s="30"/>
      <c r="GG31" s="30"/>
      <c r="GH31" s="30"/>
      <c r="GI31" s="30"/>
      <c r="GJ31" s="30"/>
      <c r="GK31" s="30"/>
      <c r="GL31" s="30"/>
      <c r="GM31" s="30"/>
      <c r="GN31" s="30"/>
      <c r="GO31" s="30"/>
      <c r="GP31" s="30"/>
      <c r="GQ31" s="30"/>
      <c r="GR31" s="30"/>
      <c r="GS31" s="30"/>
      <c r="GT31" s="30"/>
      <c r="GU31" s="30"/>
      <c r="GV31" s="30"/>
      <c r="GW31" s="30"/>
      <c r="GX31" s="30"/>
      <c r="GY31" s="30"/>
      <c r="GZ31" s="30"/>
      <c r="HA31" s="30"/>
      <c r="HB31" s="30"/>
      <c r="HC31" s="30"/>
      <c r="HD31" s="30"/>
      <c r="HE31" s="30"/>
      <c r="HF31" s="30"/>
      <c r="HG31" s="30"/>
      <c r="HH31" s="30"/>
      <c r="HI31" s="30"/>
      <c r="HJ31" s="30"/>
      <c r="HK31" s="30"/>
      <c r="HL31" s="30"/>
      <c r="HM31" s="30"/>
      <c r="HN31" s="30"/>
      <c r="HO31" s="30"/>
      <c r="HP31" s="30"/>
      <c r="HQ31" s="30"/>
      <c r="HR31" s="30"/>
      <c r="HS31" s="30"/>
      <c r="HT31" s="30"/>
      <c r="HU31" s="30"/>
      <c r="HV31" s="30"/>
      <c r="HW31" s="30"/>
      <c r="HX31" s="30"/>
      <c r="HY31" s="30"/>
      <c r="HZ31" s="30"/>
      <c r="IA31" s="30"/>
      <c r="IB31" s="30"/>
      <c r="IC31" s="30"/>
      <c r="ID31" s="30"/>
      <c r="IE31" s="30"/>
    </row>
    <row r="32" spans="1:239" ht="30" customHeight="1">
      <c r="G32" s="6"/>
    </row>
    <row r="33" spans="3:6" ht="30" customHeight="1">
      <c r="C33" s="11"/>
      <c r="F33" s="34"/>
    </row>
    <row r="34" spans="3:6" ht="30" customHeight="1">
      <c r="C34" s="12"/>
    </row>
  </sheetData>
  <mergeCells count="35">
    <mergeCell ref="GW4:HC4"/>
    <mergeCell ref="HD4:HJ4"/>
    <mergeCell ref="HK4:HQ4"/>
    <mergeCell ref="HR4:HX4"/>
    <mergeCell ref="HY4:IE4"/>
    <mergeCell ref="GP4:GV4"/>
    <mergeCell ref="DQ4:DW4"/>
    <mergeCell ref="DX4:ED4"/>
    <mergeCell ref="EE4:EK4"/>
    <mergeCell ref="EL4:ER4"/>
    <mergeCell ref="ES4:EY4"/>
    <mergeCell ref="EZ4:FF4"/>
    <mergeCell ref="FG4:FM4"/>
    <mergeCell ref="FN4:FT4"/>
    <mergeCell ref="FU4:GA4"/>
    <mergeCell ref="GB4:GH4"/>
    <mergeCell ref="GI4:GO4"/>
    <mergeCell ref="DJ4:DP4"/>
    <mergeCell ref="AK4:AQ4"/>
    <mergeCell ref="AR4:AX4"/>
    <mergeCell ref="AY4:BE4"/>
    <mergeCell ref="BF4:BL4"/>
    <mergeCell ref="BM4:BS4"/>
    <mergeCell ref="BT4:BZ4"/>
    <mergeCell ref="CA4:CG4"/>
    <mergeCell ref="CH4:CN4"/>
    <mergeCell ref="CO4:CU4"/>
    <mergeCell ref="CV4:DB4"/>
    <mergeCell ref="DC4:DI4"/>
    <mergeCell ref="AD4:AJ4"/>
    <mergeCell ref="E3:F3"/>
    <mergeCell ref="C4:D4"/>
    <mergeCell ref="I4:O4"/>
    <mergeCell ref="P4:V4"/>
    <mergeCell ref="W4:AC4"/>
  </mergeCells>
  <conditionalFormatting sqref="D7:D31">
    <cfRule type="dataBar" priority="1">
      <dataBar>
        <cfvo type="num" val="0"/>
        <cfvo type="num" val="1"/>
        <color theme="0" tint="-0.249977111117893"/>
      </dataBar>
      <extLst>
        <ext xmlns:x14="http://schemas.microsoft.com/office/spreadsheetml/2009/9/main" uri="{B025F937-C7B1-47D3-B67F-A62EFF666E3E}">
          <x14:id>{15195BDB-8042-4ABA-87C2-D49074CC88E5}</x14:id>
        </ext>
      </extLst>
    </cfRule>
  </conditionalFormatting>
  <conditionalFormatting sqref="I5:BL31 BM8:IE31 BM5:IE6">
    <cfRule type="expression" dxfId="2" priority="4">
      <formula>AND(TODAY()&gt;=I$5,TODAY()&lt;J$5)</formula>
    </cfRule>
  </conditionalFormatting>
  <conditionalFormatting sqref="I7:BL31 BM8:IE31">
    <cfRule type="expression" dxfId="1" priority="2">
      <formula>AND(Início_da_tarefa&lt;=I$5,ROUNDDOWN((Término_da_tarefa-Início_da_tarefa+1)*Progresso_da_tarefa,0)+Início_da_tarefa-1&gt;=I$5)</formula>
    </cfRule>
    <cfRule type="expression" dxfId="0" priority="3" stopIfTrue="1">
      <formula>AND(Término_da_tarefa&gt;=I$5,Início_da_tarefa&lt;J$5)</formula>
    </cfRule>
  </conditionalFormatting>
  <dataValidations count="1">
    <dataValidation type="whole" operator="greaterThanOrEqual" allowBlank="1" showInputMessage="1" promptTitle="Semana de exibição" prompt="Alterar esse número rola a exibição do Gráfico de Gantt." sqref="E4" xr:uid="{686754FD-31BD-4D29-85C1-7B838DDA1F49}">
      <formula1>1</formula1>
    </dataValidation>
  </dataValidations>
  <hyperlinks>
    <hyperlink ref="I1" r:id="rId1" xr:uid="{87A75493-F896-46BF-8E22-8635C6ACD341}"/>
  </hyperlinks>
  <printOptions horizontalCentered="1"/>
  <pageMargins left="0.35" right="0.35" top="0.35" bottom="0.5" header="0.3" footer="0.3"/>
  <pageSetup paperSize="9" scale="23" fitToHeight="0" orientation="landscape" r:id="rId2"/>
  <headerFooter differentFirst="1" scaleWithDoc="0">
    <oddFooter>&amp;L_x000D_&amp;1#&amp;"Trebuchet MS"&amp;9&amp;K008542 INTERNA</oddFooter>
    <firstFooter>&amp;L_x000D_&amp;1#&amp;"Trebuchet MS"&amp;9&amp;K008542 INTERNA</firstFooter>
  </headerFooter>
  <extLst>
    <ext xmlns:x14="http://schemas.microsoft.com/office/spreadsheetml/2009/9/main" uri="{78C0D931-6437-407d-A8EE-F0AAD7539E65}">
      <x14:conditionalFormattings>
        <x14:conditionalFormatting xmlns:xm="http://schemas.microsoft.com/office/excel/2006/main">
          <x14:cfRule type="dataBar" id="{15195BDB-8042-4ABA-87C2-D49074CC88E5}">
            <x14:dataBar minLength="0" maxLength="100" gradient="0">
              <x14:cfvo type="num">
                <xm:f>0</xm:f>
              </x14:cfvo>
              <x14:cfvo type="num">
                <xm:f>1</xm:f>
              </x14:cfvo>
              <x14:negativeFillColor rgb="FFFF0000"/>
              <x14:axisColor rgb="FF000000"/>
            </x14:dataBar>
          </x14:cfRule>
          <xm:sqref>D7:D31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07D4A70B9C02140AA2101FC0916705B" ma:contentTypeVersion="20" ma:contentTypeDescription="Crie um novo documento." ma:contentTypeScope="" ma:versionID="f3c7dc8bababf5f01f5cecf796b8f012">
  <xsd:schema xmlns:xsd="http://www.w3.org/2001/XMLSchema" xmlns:xs="http://www.w3.org/2001/XMLSchema" xmlns:p="http://schemas.microsoft.com/office/2006/metadata/properties" xmlns:ns2="a9f3451a-73cb-4405-a932-26db050e40a8" xmlns:ns3="0d1dea18-7b56-4ac7-aa1d-7834839a8030" targetNamespace="http://schemas.microsoft.com/office/2006/metadata/properties" ma:root="true" ma:fieldsID="5eef82cb9f10128cc8ef02693a3e5f2c" ns2:_="" ns3:_="">
    <xsd:import namespace="a9f3451a-73cb-4405-a932-26db050e40a8"/>
    <xsd:import namespace="0d1dea18-7b56-4ac7-aa1d-7834839a803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DateTaken" minOccurs="0"/>
                <xsd:element ref="ns2:lcf76f155ced4ddcb4097134ff3c332f" minOccurs="0"/>
                <xsd:element ref="ns3:TaxCatchAll" minOccurs="0"/>
                <xsd:element ref="ns2:MediaLengthInSeconds" minOccurs="0"/>
                <xsd:element ref="ns2:MediaServiceLocation" minOccurs="0"/>
                <xsd:element ref="ns2:_Flow_SignoffStatu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f3451a-73cb-4405-a932-26db050e40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d566a8fd-94ed-4d49-8999-3a54f140f053"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description="" ma:internalName="MediaServiceLocation" ma:readOnly="true">
      <xsd:simpleType>
        <xsd:restriction base="dms:Text"/>
      </xsd:simpleType>
    </xsd:element>
    <xsd:element name="_Flow_SignoffStatus" ma:index="24" nillable="true" ma:displayName="Status de liberação" ma:internalName="Status_x0020_de_x0020_libera_x00e7__x00e3_o">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d1dea18-7b56-4ac7-aa1d-7834839a8030" elementFormDefault="qualified">
    <xsd:import namespace="http://schemas.microsoft.com/office/2006/documentManagement/types"/>
    <xsd:import namespace="http://schemas.microsoft.com/office/infopath/2007/PartnerControls"/>
    <xsd:element name="SharedWithUsers" ma:index="14"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dfafbf1b-3213-4d18-a3db-f7a3a872d57a}" ma:internalName="TaxCatchAll" ma:showField="CatchAllData" ma:web="0d1dea18-7b56-4ac7-aa1d-7834839a80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d1dea18-7b56-4ac7-aa1d-7834839a8030" xsi:nil="true"/>
    <lcf76f155ced4ddcb4097134ff3c332f xmlns="a9f3451a-73cb-4405-a932-26db050e40a8">
      <Terms xmlns="http://schemas.microsoft.com/office/infopath/2007/PartnerControls"/>
    </lcf76f155ced4ddcb4097134ff3c332f>
    <_Flow_SignoffStatus xmlns="a9f3451a-73cb-4405-a932-26db050e40a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4A5EFD-6F1A-42ED-A1E9-9044F366DAD3}"/>
</file>

<file path=customXml/itemProps2.xml><?xml version="1.0" encoding="utf-8"?>
<ds:datastoreItem xmlns:ds="http://schemas.openxmlformats.org/officeDocument/2006/customXml" ds:itemID="{AC3AD2E1-977A-4D4F-8EE8-D64B5FFADF75}"/>
</file>

<file path=customXml/itemProps3.xml><?xml version="1.0" encoding="utf-8"?>
<ds:datastoreItem xmlns:ds="http://schemas.openxmlformats.org/officeDocument/2006/customXml" ds:itemID="{E4A34E49-7289-4AEA-9593-4F55E04ADB10}"/>
</file>

<file path=docMetadata/LabelInfo.xml><?xml version="1.0" encoding="utf-8"?>
<clbl:labelList xmlns:clbl="http://schemas.microsoft.com/office/2020/mipLabelMetadata">
  <clbl:label id="{cdac03a7-e156-4c4b-b35d-d580a54520fa}" enabled="1" method="Privileged" siteId="{5b6f6241-9a57-4be4-8e50-1dfa72e79a57}" removed="0"/>
</clbl:labelList>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2026-08-04T14:56:56Z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0x010100307D4A70B9C02140AA2101FC0916705B</vt:lpwstr>
  </property>
  <property fmtid="{D5CDD505-2E9C-101B-9397-08002B2CF9AE}" pid="3" name="MSIP_Label_cdac03a7-e156-4c4b-b35d-d580a54520fa_Enabled">
    <vt:lpwstr>true</vt:lpwstr>
  </property>
  <property fmtid="{D5CDD505-2E9C-101B-9397-08002B2CF9AE}" pid="4" name="MSIP_Label_cdac03a7-e156-4c4b-b35d-d580a54520fa_SetDate">
    <vt:lpwstr>2025-01-23T17:35:15Z</vt:lpwstr>
  </property>
  <property fmtid="{D5CDD505-2E9C-101B-9397-08002B2CF9AE}" pid="5" name="MSIP_Label_cdac03a7-e156-4c4b-b35d-d580a54520fa_Method">
    <vt:lpwstr>Privileged</vt:lpwstr>
  </property>
  <property fmtid="{D5CDD505-2E9C-101B-9397-08002B2CF9AE}" pid="6" name="MSIP_Label_cdac03a7-e156-4c4b-b35d-d580a54520fa_Name">
    <vt:lpwstr>Interna</vt:lpwstr>
  </property>
  <property fmtid="{D5CDD505-2E9C-101B-9397-08002B2CF9AE}" pid="7" name="MSIP_Label_cdac03a7-e156-4c4b-b35d-d580a54520fa_SiteId">
    <vt:lpwstr>5b6f6241-9a57-4be4-8e50-1dfa72e79a57</vt:lpwstr>
  </property>
  <property fmtid="{D5CDD505-2E9C-101B-9397-08002B2CF9AE}" pid="8" name="MSIP_Label_cdac03a7-e156-4c4b-b35d-d580a54520fa_ActionId">
    <vt:lpwstr>cf9bba5f-75e2-42c0-935d-96252fb8dedf</vt:lpwstr>
  </property>
  <property fmtid="{D5CDD505-2E9C-101B-9397-08002B2CF9AE}" pid="9" name="MSIP_Label_cdac03a7-e156-4c4b-b35d-d580a54520fa_ContentBits">
    <vt:lpwstr>2</vt:lpwstr>
  </property>
  <property fmtid="{D5CDD505-2E9C-101B-9397-08002B2CF9AE}" pid="10" name="MediaServiceImageTags">
    <vt:lpwstr/>
  </property>
</Properties>
</file>