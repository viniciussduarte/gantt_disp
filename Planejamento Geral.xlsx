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filterPrivacy="1" updateLinks="always" codeName="EstaPastaDeTrabalho"/>
  <xr:revisionPtr revIDLastSave="3652" documentId="13_ncr:1_{8CB3FCBC-DACE-4BCA-A656-CE7D6185D885}" xr6:coauthVersionLast="47" xr6:coauthVersionMax="47" xr10:uidLastSave="{2B7F0640-135C-4DF4-943F-EEF2B2D679DA}"/>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Equipe!$A$1:$I$46</definedName>
    <definedName name="_xlnm._FilterDatabase" localSheetId="0" hidden="1">'Planejamento IED'!$A$1:$E$1017</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1" i="11" l="1"/>
  <c r="B261" i="11"/>
  <c r="D7" i="11"/>
  <c r="D260" i="11"/>
  <c r="D258" i="11"/>
  <c r="D257" i="11"/>
  <c r="D251" i="11"/>
  <c r="D250" i="11"/>
  <c r="D252" i="11"/>
  <c r="D249" i="11"/>
  <c r="B243" i="11"/>
  <c r="H243" i="11" s="1"/>
  <c r="D243" i="11"/>
  <c r="D242" i="11"/>
  <c r="B242" i="11"/>
  <c r="D241" i="11"/>
  <c r="B241" i="11"/>
  <c r="D221" i="11"/>
  <c r="D236" i="11"/>
  <c r="D228" i="11"/>
  <c r="B228" i="11"/>
  <c r="I228" i="11" s="1"/>
  <c r="H85" i="15"/>
  <c r="G85" i="15"/>
  <c r="H84" i="15"/>
  <c r="G84" i="15"/>
  <c r="H83" i="15"/>
  <c r="G83" i="15"/>
  <c r="H81" i="15"/>
  <c r="G81" i="15"/>
  <c r="B230" i="11"/>
  <c r="H230" i="11" s="1"/>
  <c r="D227" i="11"/>
  <c r="H80" i="15" s="1"/>
  <c r="I243" i="11" l="1"/>
  <c r="I242" i="11"/>
  <c r="H242" i="11"/>
  <c r="I241" i="11"/>
  <c r="H241" i="11"/>
  <c r="G80" i="15"/>
  <c r="I230" i="11"/>
  <c r="H228" i="11"/>
  <c r="D223" i="11"/>
  <c r="D189" i="11"/>
  <c r="D212" i="11"/>
  <c r="D183" i="11"/>
  <c r="D182" i="11"/>
  <c r="D219"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G87" i="15" l="1"/>
  <c r="H87" i="15"/>
  <c r="H86" i="15"/>
  <c r="G86" i="15"/>
  <c r="H77" i="15"/>
  <c r="G77" i="15"/>
  <c r="H79" i="15"/>
  <c r="G79" i="15"/>
  <c r="H78" i="15"/>
  <c r="G78" i="15"/>
  <c r="B200" i="11"/>
  <c r="B193" i="11"/>
  <c r="H193" i="11" s="1"/>
  <c r="B186" i="11"/>
  <c r="H186" i="11" s="1"/>
  <c r="B183" i="11"/>
  <c r="H183" i="11" s="1"/>
  <c r="B184" i="11"/>
  <c r="H184" i="11" s="1"/>
  <c r="B181" i="11"/>
  <c r="H181" i="11" s="1"/>
  <c r="B182" i="11"/>
  <c r="H182" i="11" s="1"/>
  <c r="H179" i="11"/>
  <c r="B180" i="11"/>
  <c r="H180" i="11" s="1"/>
  <c r="B177" i="11"/>
  <c r="H177" i="11" s="1"/>
  <c r="B178" i="11"/>
  <c r="H178" i="11" s="1"/>
  <c r="B175" i="11"/>
  <c r="H175" i="11" s="1"/>
  <c r="B176" i="11"/>
  <c r="H176" i="11" s="1"/>
  <c r="B174" i="11"/>
  <c r="H174" i="11" s="1"/>
  <c r="B170" i="11"/>
  <c r="B173" i="11"/>
  <c r="D75" i="11"/>
  <c r="D76" i="11"/>
  <c r="D77" i="11"/>
  <c r="B77" i="11"/>
  <c r="H77" i="11" s="1"/>
  <c r="I193" i="11" l="1"/>
  <c r="I186" i="11"/>
  <c r="I175" i="11"/>
  <c r="I183" i="11"/>
  <c r="I178" i="11"/>
  <c r="I176" i="11"/>
  <c r="I177" i="11"/>
  <c r="I184" i="11"/>
  <c r="I180" i="11"/>
  <c r="I181" i="11"/>
  <c r="I179" i="11"/>
  <c r="I182" i="11"/>
  <c r="I174" i="11"/>
  <c r="I77"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6" i="15" l="1"/>
  <c r="G96" i="15"/>
  <c r="H95" i="15"/>
  <c r="G95"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H88" i="15" l="1"/>
  <c r="G88" i="15"/>
  <c r="I83" i="11"/>
  <c r="H153" i="11"/>
  <c r="H81" i="11"/>
  <c r="H82" i="11"/>
  <c r="H71" i="11"/>
  <c r="H6" i="11"/>
  <c r="H63" i="11"/>
  <c r="H107" i="11"/>
  <c r="D103" i="11" l="1"/>
  <c r="B103" i="11"/>
  <c r="H103" i="11" s="1"/>
  <c r="B152" i="11"/>
  <c r="I152" i="11" s="1"/>
  <c r="D146" i="11"/>
  <c r="B146" i="11"/>
  <c r="I68" i="11"/>
  <c r="I87" i="11"/>
  <c r="I89" i="11"/>
  <c r="I112" i="11"/>
  <c r="I138" i="11"/>
  <c r="I1016"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16"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16"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4" i="11"/>
  <c r="D225" i="11"/>
  <c r="D226" i="11"/>
  <c r="D231" i="11"/>
  <c r="D235" i="11"/>
  <c r="D237" i="11"/>
  <c r="D238" i="11"/>
  <c r="D239" i="11"/>
  <c r="D240" i="11"/>
  <c r="D244" i="11"/>
  <c r="D245" i="11"/>
  <c r="D246" i="11"/>
  <c r="D247" i="11"/>
  <c r="D248" i="11"/>
  <c r="D253" i="11"/>
  <c r="D254" i="11"/>
  <c r="D255" i="11"/>
  <c r="D256" i="11"/>
  <c r="D259"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45" i="11"/>
  <c r="D147" i="11"/>
  <c r="D148" i="11"/>
  <c r="D4" i="11"/>
  <c r="D5"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5" i="11"/>
  <c r="B226" i="11"/>
  <c r="B227" i="11"/>
  <c r="B229" i="11"/>
  <c r="B232" i="11"/>
  <c r="B233" i="11"/>
  <c r="B234" i="11"/>
  <c r="B235" i="11"/>
  <c r="B236" i="11"/>
  <c r="B237" i="11"/>
  <c r="B238" i="11"/>
  <c r="B239" i="11"/>
  <c r="B240" i="11"/>
  <c r="B244" i="11"/>
  <c r="B245" i="11"/>
  <c r="B246" i="11"/>
  <c r="B247" i="11"/>
  <c r="B248" i="11"/>
  <c r="B249" i="11"/>
  <c r="B250" i="11"/>
  <c r="B251" i="11"/>
  <c r="B252" i="11"/>
  <c r="B253" i="11"/>
  <c r="B254" i="11"/>
  <c r="B255" i="11"/>
  <c r="B256" i="11"/>
  <c r="B257" i="11"/>
  <c r="B258" i="11"/>
  <c r="B259"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82" i="15" l="1"/>
  <c r="G82" i="15"/>
  <c r="G94" i="15"/>
  <c r="H94" i="15"/>
  <c r="G89" i="15"/>
  <c r="H89" i="15"/>
  <c r="H97" i="15"/>
  <c r="G97" i="15"/>
  <c r="H92" i="15"/>
  <c r="G92" i="15"/>
  <c r="H91" i="15"/>
  <c r="G91" i="15"/>
  <c r="H93" i="15"/>
  <c r="G93" i="15"/>
  <c r="H90" i="15"/>
  <c r="G90" i="15"/>
  <c r="H2" i="11"/>
  <c r="I2" i="11"/>
  <c r="H1015" i="11"/>
  <c r="I1015" i="11"/>
  <c r="H1014" i="11"/>
  <c r="I1014" i="11"/>
  <c r="H1013" i="11"/>
  <c r="I1013" i="11"/>
  <c r="H1012" i="11"/>
  <c r="I1012" i="11"/>
  <c r="H1011" i="11"/>
  <c r="I1011"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5" i="11"/>
  <c r="I275" i="11"/>
  <c r="H274" i="11"/>
  <c r="I274" i="11"/>
  <c r="H273" i="11"/>
  <c r="I273" i="11"/>
  <c r="H272" i="11"/>
  <c r="I272" i="11"/>
  <c r="H271" i="11"/>
  <c r="I271" i="11"/>
  <c r="H270" i="11"/>
  <c r="I270" i="11"/>
  <c r="H269" i="11"/>
  <c r="I269"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0" i="11"/>
  <c r="I240" i="11"/>
  <c r="H239" i="11"/>
  <c r="I239" i="11"/>
  <c r="H238" i="11"/>
  <c r="I238" i="11"/>
  <c r="H237" i="11"/>
  <c r="I237" i="11"/>
  <c r="H236" i="11"/>
  <c r="I236" i="11"/>
  <c r="H235" i="11"/>
  <c r="I235" i="11"/>
  <c r="H234" i="11"/>
  <c r="I234" i="11"/>
  <c r="H233" i="11"/>
  <c r="I233" i="11"/>
  <c r="H232" i="11"/>
  <c r="I232" i="11"/>
  <c r="H231" i="11"/>
  <c r="I231" i="11"/>
  <c r="H229" i="11"/>
  <c r="I229" i="11"/>
  <c r="H227" i="11"/>
  <c r="I227" i="11"/>
  <c r="H226" i="11"/>
  <c r="I226" i="11"/>
  <c r="H225" i="11"/>
  <c r="I225"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3" i="15" l="1"/>
  <c r="S9" i="15"/>
  <c r="N25" i="15"/>
  <c r="N11" i="15"/>
  <c r="I27" i="15"/>
  <c r="I13" i="15"/>
  <c r="I11" i="15"/>
  <c r="I23" i="15"/>
  <c r="N6" i="15"/>
  <c r="I22" i="15"/>
  <c r="S31" i="15"/>
  <c r="N19" i="15"/>
  <c r="S30" i="15"/>
  <c r="N18" i="15"/>
  <c r="S26" i="15"/>
  <c r="N14" i="15"/>
  <c r="N27" i="15"/>
  <c r="N26" i="15"/>
  <c r="S22" i="15"/>
  <c r="S8" i="15"/>
  <c r="N24" i="15"/>
  <c r="N10" i="15"/>
  <c r="I26" i="15"/>
  <c r="I12" i="15"/>
  <c r="N7" i="15"/>
  <c r="N20" i="15"/>
  <c r="I7" i="15"/>
  <c r="I20" i="15"/>
  <c r="I30" i="15"/>
  <c r="S11" i="15"/>
  <c r="I15" i="15"/>
  <c r="S21" i="15"/>
  <c r="S7" i="15"/>
  <c r="N23" i="15"/>
  <c r="N9" i="15"/>
  <c r="I25" i="15"/>
  <c r="I10" i="15"/>
  <c r="S4" i="15"/>
  <c r="I8" i="15"/>
  <c r="S17" i="15"/>
  <c r="I6" i="15"/>
  <c r="I14" i="15"/>
  <c r="S20" i="15"/>
  <c r="S6" i="15"/>
  <c r="N22" i="15"/>
  <c r="N8" i="15"/>
  <c r="I24" i="15"/>
  <c r="I9" i="15"/>
  <c r="S32" i="15"/>
  <c r="I21" i="15"/>
  <c r="N32" i="15"/>
  <c r="N13" i="15"/>
  <c r="S33" i="15"/>
  <c r="S19" i="15"/>
  <c r="S5" i="15"/>
  <c r="N21" i="15"/>
  <c r="S18" i="15"/>
  <c r="N33" i="15"/>
  <c r="N5" i="15"/>
  <c r="S16" i="15"/>
  <c r="N4" i="15"/>
  <c r="N28" i="15"/>
  <c r="S25" i="15"/>
  <c r="I29" i="15"/>
  <c r="N12" i="15"/>
  <c r="S29" i="15"/>
  <c r="S15" i="15"/>
  <c r="N31" i="15"/>
  <c r="N17" i="15"/>
  <c r="I33" i="15"/>
  <c r="I19" i="15"/>
  <c r="I5" i="15"/>
  <c r="I4" i="15"/>
  <c r="S27" i="15"/>
  <c r="N29" i="15"/>
  <c r="I31" i="15"/>
  <c r="I16" i="15"/>
  <c r="S24" i="15"/>
  <c r="S28" i="15"/>
  <c r="S14" i="15"/>
  <c r="N30" i="15"/>
  <c r="N16" i="15"/>
  <c r="I32" i="15"/>
  <c r="I18" i="15"/>
  <c r="S13" i="15"/>
  <c r="N15" i="15"/>
  <c r="I17" i="15"/>
  <c r="S12" i="15"/>
  <c r="S10" i="15"/>
  <c r="I28"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<sst xmlns="http://schemas.openxmlformats.org/spreadsheetml/2006/main" count="1360" uniqueCount="367">
  <si>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</si>
  <si>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</si>
  <si>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</si>
  <si>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</si>
  <si>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</si>
  <si>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</si>
  <si>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</si>
  <si>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</si>
  <si>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</si>
  <si>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</si>
  <si>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</si>
  <si>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</si>
  <si>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</si>
  <si>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</si>
  <si>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</si>
  <si>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</si>
  <si>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</si>
  <si>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</si>
  <si>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</si>
  <si>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</si>
  <si>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</si>
  <si>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</si>
  <si>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</si>
  <si>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</si>
  <si>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</si>
  <si>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</si>
  <si>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</si>
  <si>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</si>
  <si>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</si>
  <si>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</si>
  <si>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</si>
  <si>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</si>
  <si>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</si>
  <si>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</si>
  <si>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</si>
  <si>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</si>
  <si>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</si>
  <si>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</si>
  <si>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</si>
  <si>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</si>
  <si>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</si>
  <si>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</si>
  <si>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</si>
  <si>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</si>
  <si>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</si>
  <si>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</si>
  <si>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</si>
  <si>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</si>
  <si>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</si>
  <si>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</si>
  <si>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</si>
  <si>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</si>
  <si>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</si>
  <si>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</si>
  <si>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</si>
  <si>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</si>
  <si>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</si>
  <si>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</si>
  <si>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</si>
  <si>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</si>
  <si>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</si>
  <si>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</si>
  <si>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</si>
  <si>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</si>
  <si>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</si>
  <si>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</si>
  <si>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</si>
  <si>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</si>
  <si>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</si>
  <si>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</si>
  <si>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</si>
  <si>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</si>
  <si>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</si>
  <si>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</si>
  <si>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</si>
  <si>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</si>
  <si>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</si>
  <si>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</si>
  <si>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</si>
  <si>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</si>
  <si>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</si>
  <si>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</si>
  <si>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</si>
  <si>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</si>
  <si>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</si>
  <si>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</si>
  <si>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</si>
  <si>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</si>
  <si>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</si>
  <si>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</si>
  <si>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</si>
  <si>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</si>
  <si>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</si>
  <si>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</si>
  <si>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</si>
  <si>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</si>
  <si>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</si>
  <si>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</si>
  <si>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</si>
  <si>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</si>
  <si>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</si>
  <si>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</si>
  <si>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</si>
  <si>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</si>
  <si>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</si>
  <si>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</si>
  <si>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</si>
  <si>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</si>
  <si>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</si>
  <si>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</si>
  <si>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</si>
  <si>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</si>
  <si>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</si>
  <si>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</si>
  <si>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</si>
  <si>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</si>
  <si>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</si>
  <si>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</si>
  <si>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</si>
  <si>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</si>
  <si>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</si>
  <si>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</si>
  <si>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</si>
  <si>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</si>
  <si>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</si>
  <si>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</si>
  <si>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</si>
  <si>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</si>
  <si>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</si>
  <si>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</si>
  <si>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</si>
  <si>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</si>
  <si>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</si>
  <si>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</si>
  <si>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</si>
  <si>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</si>
  <si>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</si>
  <si>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</si>
  <si>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</si>
  <si>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</si>
  <si>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</si>
  <si>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</si>
  <si>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</si>
  <si>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</si>
  <si>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</si>
  <si>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</si>
  <si>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</si>
  <si>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</si>
  <si>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</si>
  <si>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</si>
  <si>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</si>
  <si>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</si>
  <si>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</si>
  <si>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</si>
  <si>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</si>
  <si>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</si>
  <si>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</si>
  <si>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</si>
  <si>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</si>
  <si>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</si>
  <si>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</si>
  <si>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</si>
  <si>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</si>
  <si>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</si>
  <si>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</si>
  <si>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</si>
  <si>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</si>
  <si>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</si>
  <si>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</si>
  <si>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</si>
  <si>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</si>
  <si>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</si>
  <si>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Embarque na P-76</t>
  </si>
  <si>
    <t>Folga de 21 dias úteis pós-embarque na P-76</t>
  </si>
  <si>
    <t>Folga de 10 dias úteis pós embarque na P-74</t>
  </si>
  <si>
    <t>EDIHB REQUISITANTE DE PT</t>
  </si>
  <si>
    <t>P-75</t>
  </si>
  <si>
    <t>T. 156512 - Válvulas de Controle e Válvulas on-off</t>
  </si>
  <si>
    <t>Treinamento "PLAN 360" EAD - Manhã</t>
  </si>
  <si>
    <t>Embarque na P-56</t>
  </si>
  <si>
    <t>Folga de 21 dias úteis pós embarque na P-56</t>
  </si>
  <si>
    <t>Folga 21 dias uteis embarque P-76</t>
  </si>
  <si>
    <t>Treinamento "Princípios de Comissionamento" EAD - Manhãs</t>
  </si>
  <si>
    <t>Folga 21 dias uteis embarque P-75</t>
  </si>
  <si>
    <t>Folga 19,5 dias uteis embarque P-70</t>
  </si>
  <si>
    <t>T. 150800 - SELEÇÃO E ESPECIFICAÇÃO DE MATERIAIS - INSTRUMENTAÇÃO</t>
  </si>
  <si>
    <t>Folga para abater MB alinhada com sup. Wellington</t>
  </si>
  <si>
    <t>Folga 21 dias embarque P-75</t>
  </si>
  <si>
    <t>Folga alinhada Supervisor Márcio. Abatimento folgas missão exterior.</t>
  </si>
  <si>
    <t>Embarque P-78</t>
  </si>
  <si>
    <t>Folga Embarque P-78</t>
  </si>
  <si>
    <t>Treinamento "Tubing para Instrumentação" EAD - Manhãs</t>
  </si>
  <si>
    <t>Plan360 - Manhã</t>
  </si>
  <si>
    <t>NR33 - RelyOn Nutec Barra da Tijuca</t>
  </si>
  <si>
    <t>Folga alinhada Supervisor Wellington</t>
  </si>
  <si>
    <t>Workshop técnico Baker Hughes</t>
  </si>
  <si>
    <t>Workshop técnico Voith</t>
  </si>
  <si>
    <t>Folga alinhada para abatimento de margem de balanço</t>
  </si>
  <si>
    <t>Aula | T.156530 - CLP - Programação em Texto Estruturado</t>
  </si>
  <si>
    <t>Treinamento "Tubing para Instrumentação." (08:00 - 12:00)</t>
  </si>
  <si>
    <t>Folga 21 dias úteis embarque P-74</t>
  </si>
  <si>
    <t>Treinamento "Planejamento de Comissionamento de FPSOs" (08:00 - 12:00)</t>
  </si>
  <si>
    <t>Treinamento "Plan 360" (08:00 - 12:00)</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</si>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</sst>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4">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cellStyleXfs>
  <cellXfs count="16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1" fillId="43" borderId="25" xfId="0" applyFont="1" applyFill="1" applyBorder="1" applyAlignment="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7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3"/>
      <tableStyleElement type="headerRow" dxfId="72"/>
      <tableStyleElement type="totalRow" dxfId="71"/>
      <tableStyleElement type="firstColumn" dxfId="70"/>
      <tableStyleElement type="lastColumn" dxfId="69"/>
      <tableStyleElement type="firstRowStripe" dxfId="68"/>
      <tableStyleElement type="secondRowStripe" dxfId="67"/>
      <tableStyleElement type="firstColumnStripe" dxfId="66"/>
      <tableStyleElement type="secondColumnStripe" dxfId="6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32</c:v>
                </c:pt>
                <c:pt idx="18">
                  <c:v>34</c:v>
                </c:pt>
                <c:pt idx="19">
                  <c:v>34</c:v>
                </c:pt>
                <c:pt idx="20">
                  <c:v>34</c:v>
                </c:pt>
                <c:pt idx="21">
                  <c:v>34</c:v>
                </c:pt>
                <c:pt idx="22">
                  <c:v>34</c:v>
                </c:pt>
                <c:pt idx="23">
                  <c:v>34</c:v>
                </c:pt>
                <c:pt idx="24">
                  <c:v>34</c:v>
                </c:pt>
                <c:pt idx="25">
                  <c:v>34</c:v>
                </c:pt>
                <c:pt idx="26">
                  <c:v>34</c:v>
                </c:pt>
                <c:pt idx="27">
                  <c:v>34</c:v>
                </c:pt>
                <c:pt idx="28">
                  <c:v>34</c:v>
                </c:pt>
                <c:pt idx="29">
                  <c:v>34</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10</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7" totalsRowShown="0" headerRowDxfId="59" dataDxfId="58" tableBorderDxfId="57" dataCellStyle="Nome">
  <autoFilter ref="A1:I1017" xr:uid="{D6AB63F5-01C4-4ED8-B3C5-D3AEB2DB48F3}"/>
  <tableColumns count="9">
    <tableColumn id="1" xr3:uid="{C8A8658B-B54C-47E5-A350-3E4123B94A55}" name="Nome" dataDxfId="56" dataCellStyle="Nome"/>
    <tableColumn id="2" xr3:uid="{41F4E0E6-9B25-4120-B6CD-9E09A0162769}" name="Matrícula" dataDxfId="55" dataCellStyle="Nome">
      <calculatedColumnFormula>_xlfn.XLOOKUP(A2,Equipe!H:H,Equipe!B:B,"",0)</calculatedColumnFormula>
    </tableColumn>
    <tableColumn id="3" xr3:uid="{6D8CE048-A690-44AB-98A4-3D9090F60FCC}" name="Início" dataDxfId="54" dataCellStyle="Nome"/>
    <tableColumn id="4" xr3:uid="{0311E592-AD43-4A82-BABD-993F0A992157}" name="Término" dataDxfId="53" dataCellStyle="Nome">
      <calculatedColumnFormula>IF(Tabela1[[#This Row],[Início]]&lt;&gt;"",C2+E2-1,"")</calculatedColumnFormula>
    </tableColumn>
    <tableColumn id="5" xr3:uid="{0725C576-3280-49B7-A694-4FE14D574464}" name="DIAS" dataDxfId="52" dataCellStyle="Nome"/>
    <tableColumn id="6" xr3:uid="{B338D826-23E6-4C77-80B3-A96E053F0A7C}" name="Atividade" dataDxfId="51" dataCellStyle="Nome"/>
    <tableColumn id="7" xr3:uid="{D5D2A029-FEE6-4FE4-888B-32B44A721791}" name="Detalhamento" dataDxfId="50" dataCellStyle="Nome"/>
    <tableColumn id="8" xr3:uid="{07C070EB-5644-4985-BE9D-E8F626409572}" name="Plataforma" dataDxfId="49" dataCellStyle="Nome">
      <calculatedColumnFormula>_xlfn.XLOOKUP(Tabela1[[#This Row],[Matrícula]],Equipe!B:B,Equipe!E:E,"ERRO",0)</calculatedColumnFormula>
    </tableColumn>
    <tableColumn id="9" xr3:uid="{FA1A80DC-0768-467C-9E9F-EAC4805F2836}" name="Experiência" dataDxfId="4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7"/>
  <sheetViews>
    <sheetView showGridLines="0" tabSelected="1" showRuler="0" zoomScaleNormal="100" zoomScalePageLayoutView="70" workbookViewId="0">
      <pane ySplit="1" topLeftCell="A18" activePane="bottomLeft" state="frozen"/>
      <selection pane="bottomLeft" activeCell="C1018" sqref="C1018"/>
      <selection activeCell="A193" sqref="A193"/>
    </sheetView>
  </sheetViews>
  <sheetFormatPr defaultRowHeight="30" customHeight="1"/>
  <cols>
    <col min="1" max="1" width="21.8554687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1.5703125" style="35" customWidth="1"/>
    <col min="8" max="8" width="15.5703125" customWidth="1"/>
    <col min="9" max="9" width="16.42578125" customWidth="1"/>
    <col min="11" max="11" width="16.5703125" customWidth="1"/>
    <col min="12" max="12" width="44.42578125" customWidth="1"/>
  </cols>
  <sheetData>
    <row r="1" spans="1:12" ht="30" customHeight="1" thickBot="1">
      <c r="A1" s="86" t="s">
        <v>0</v>
      </c>
      <c r="B1" s="86" t="s">
        <v>1</v>
      </c>
      <c r="C1" s="86" t="s">
        <v>2</v>
      </c>
      <c r="D1" s="86" t="s">
        <v>3</v>
      </c>
      <c r="E1" s="86" t="s">
        <v>4</v>
      </c>
      <c r="F1" s="87" t="s">
        <v>5</v>
      </c>
      <c r="G1" s="86" t="s">
        <v>6</v>
      </c>
      <c r="H1" s="86" t="s">
        <v>7</v>
      </c>
      <c r="I1" s="86" t="s">
        <v>8</v>
      </c>
      <c r="K1" s="91" t="s">
        <v>9</v>
      </c>
    </row>
    <row r="2" spans="1:12" ht="30" customHeight="1" thickBot="1">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customHeight="1" thickBot="1">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customHeight="1" thickBot="1">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 thickBot="1">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7"/>
    </row>
    <row r="6" spans="1:12" s="3" customFormat="1" ht="15" thickBot="1">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7"/>
    </row>
    <row r="7" spans="1:12" s="3" customFormat="1" ht="15" thickBot="1">
      <c r="A7" s="85" t="s">
        <v>21</v>
      </c>
      <c r="B7" s="104">
        <f>_xlfn.XLOOKUP(A7,Equipe!H:H,Equipe!B:B,"",0)</f>
        <v>2430855</v>
      </c>
      <c r="C7" s="89">
        <v>45728</v>
      </c>
      <c r="D7" s="105">
        <f>IF(Tabela1[[#This Row],[Início]]&lt;&gt;"",C7+E7-1,"")</f>
        <v>45730</v>
      </c>
      <c r="E7" s="85">
        <v>3</v>
      </c>
      <c r="F7" s="85" t="s">
        <v>20</v>
      </c>
      <c r="G7" s="97"/>
      <c r="H7" s="39" t="str">
        <f>_xlfn.XLOOKUP(Tabela1[[#This Row],[Matrícula]],Equipe!B:B,Equipe!E:E,"ERRO",0)</f>
        <v>PBAC</v>
      </c>
      <c r="I7" s="39" t="str">
        <f>VLOOKUP(Tabela1[[#This Row],[Matrícula]],Equipe!B:F,5,0)</f>
        <v>Experiente</v>
      </c>
      <c r="L7" s="147"/>
    </row>
    <row r="8" spans="1:12" s="3" customFormat="1" ht="15" thickBot="1">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 thickBot="1">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 thickBot="1">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 thickBot="1">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 thickBot="1">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 thickBot="1">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 thickBot="1">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 thickBot="1">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 thickBot="1">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 thickBot="1">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 thickBot="1">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 thickBot="1">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29.45" thickBot="1">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 thickBot="1">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29.45" thickBot="1">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 thickBot="1">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29.45" thickBot="1">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 thickBot="1">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 thickBot="1">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 thickBot="1">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 thickBot="1">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 thickBot="1">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thickBot="1">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thickBot="1">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thickBot="1">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 thickBot="1">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 thickBot="1">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 thickBot="1">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 thickBot="1">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 thickBot="1">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 thickBot="1">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 thickBot="1">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 thickBot="1">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29.45" thickBot="1">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 thickBot="1">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 thickBot="1">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 thickBot="1">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 thickBot="1">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 thickBot="1">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 thickBot="1">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 thickBot="1">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 thickBot="1">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 thickBot="1">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 thickBot="1">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 thickBot="1">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 thickBot="1">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 thickBot="1">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 thickBot="1">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 thickBot="1">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 thickBot="1">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 thickBot="1">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 thickBot="1">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29.45" thickBot="1">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29.45" thickBot="1">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 thickBot="1">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 thickBot="1">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 thickBot="1">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 thickBot="1">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thickBot="1">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29.45" thickBot="1">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15" thickBot="1">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 thickBot="1">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 thickBot="1">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 thickBot="1">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 thickBot="1">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4.1" thickBot="1">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15" thickBot="1">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customHeight="1" thickBot="1">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 thickBot="1">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 thickBot="1">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 thickBot="1">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 thickBot="1">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 thickBot="1">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 thickBot="1">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 thickBot="1">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 thickBot="1">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 thickBot="1">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 thickBot="1">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29.45" thickBot="1">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15" thickBot="1">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 thickBot="1">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 thickBot="1">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 thickBot="1">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 thickBot="1">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29.45" thickBot="1">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 thickBot="1">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 thickBot="1">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 thickBot="1">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 thickBot="1">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 thickBot="1">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 thickBot="1">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 thickBot="1">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 thickBot="1">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 thickBot="1">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 thickBot="1">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 thickBot="1">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 thickBot="1">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 thickBot="1">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 thickBot="1">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 thickBot="1">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 thickBot="1">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 thickBot="1">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 thickBot="1">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 thickBot="1">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 thickBot="1">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 thickBot="1">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 thickBot="1">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 thickBot="1">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 thickBot="1">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 customHeight="1" thickBot="1">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 thickBot="1">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 thickBot="1">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 thickBot="1">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 thickBot="1">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 thickBot="1">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15" thickBot="1">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 thickBot="1">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 thickBot="1">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 thickBot="1">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 thickBot="1">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 thickBot="1">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 thickBot="1">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 thickBot="1">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 thickBot="1">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15" thickBot="1">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 thickBot="1">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 thickBot="1">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 thickBot="1">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 thickBot="1">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 thickBot="1">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 thickBot="1">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 thickBot="1">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 thickBot="1">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 thickBot="1">
      <c r="A141" s="85" t="s">
        <v>25</v>
      </c>
      <c r="B141" s="129">
        <f>_xlfn.XLOOKUP(A141,Equipe!H:H,Equipe!B:B,"",0)</f>
        <v>9762281</v>
      </c>
      <c r="C141" s="89">
        <v>45481</v>
      </c>
      <c r="D141" s="105">
        <f>IF(Tabela1[[#This Row],[Início]]&lt;&gt;"",C141+E141-1,"")</f>
        <v>45501</v>
      </c>
      <c r="E141" s="85">
        <v>21</v>
      </c>
      <c r="F141" s="85" t="s">
        <v>17</v>
      </c>
      <c r="G141" s="97" t="s">
        <v>18</v>
      </c>
      <c r="H141" s="39" t="str">
        <f>_xlfn.XLOOKUP(Tabela1[[#This Row],[Matrícula]],Equipe!B:B,Equipe!E:E,"ERRO",0)</f>
        <v>P80</v>
      </c>
      <c r="I141" s="39" t="str">
        <f>VLOOKUP(Tabela1[[#This Row],[Matrícula]],Equipe!B:F,5,0)</f>
        <v>Experiente</v>
      </c>
    </row>
    <row r="142" spans="1:9" ht="15" thickBot="1">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 thickBot="1">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 thickBot="1">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 thickBot="1">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 thickBot="1">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 thickBot="1">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 thickBot="1">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 thickBot="1">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 thickBot="1">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 thickBot="1">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 thickBot="1">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 thickBot="1">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thickBot="1">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 thickBot="1">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 thickBot="1">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 thickBot="1">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 thickBot="1">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 thickBot="1">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 thickBot="1">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15" thickBot="1">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 thickBot="1">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 thickBot="1">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 thickBot="1">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 thickBot="1">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 thickBot="1">
      <c r="A166" s="85" t="s">
        <v>35</v>
      </c>
      <c r="B166" s="104">
        <f>_xlfn.XLOOKUP(A166,Equipe!H:H,Equipe!B:B,"",0)</f>
        <v>9634222</v>
      </c>
      <c r="C166" s="89">
        <v>45881</v>
      </c>
      <c r="D166" s="105">
        <f>IF(Tabela1[[#This Row],[Início]]&lt;&gt;"",C166+E166-1,"")</f>
        <v>45894</v>
      </c>
      <c r="E166" s="85">
        <v>14</v>
      </c>
      <c r="F166" s="85" t="s">
        <v>11</v>
      </c>
      <c r="G166" s="97" t="s">
        <v>95</v>
      </c>
      <c r="H166" s="39" t="str">
        <f>_xlfn.XLOOKUP(Tabela1[[#This Row],[Matrícula]],Equipe!B:B,Equipe!E:E,"ERRO",0)</f>
        <v>P83</v>
      </c>
      <c r="I166" s="39" t="str">
        <f>VLOOKUP(Tabela1[[#This Row],[Matrícula]],Equipe!B:F,5,0)</f>
        <v>Experiente</v>
      </c>
    </row>
    <row r="167" spans="1:9" ht="15" thickBot="1">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 thickBot="1">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 thickBot="1">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 thickBot="1">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 thickBot="1">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 thickBot="1">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 thickBot="1">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 thickBot="1">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 thickBot="1">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 thickBot="1">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 thickBot="1">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 thickBot="1">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 thickBot="1">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 thickBot="1">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 thickBot="1">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 thickBot="1">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 thickBot="1">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 thickBot="1">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 thickBot="1">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 thickBot="1">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 thickBot="1">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 thickBot="1">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 thickBot="1">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29.45" thickBot="1">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29.45" thickBot="1">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thickBot="1">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 thickBot="1">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 thickBot="1">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 thickBot="1">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 thickBot="1">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 thickBot="1">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 thickBot="1">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 thickBot="1">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 thickBot="1">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 thickBot="1">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 thickBot="1">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 thickBot="1">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 thickBot="1">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 thickBot="1">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29.45" thickBot="1">
      <c r="A206" s="85" t="s">
        <v>116</v>
      </c>
      <c r="B206" s="104">
        <f>_xlfn.XLOOKUP(A206,Equipe!H:H,Equipe!B:B,"",0)</f>
        <v>4612243</v>
      </c>
      <c r="C206" s="89">
        <v>45967</v>
      </c>
      <c r="D206" s="105">
        <f>IF(Tabela1[[#This Row],[Início]]&lt;&gt;"",C206+E206-1,"")</f>
        <v>45968</v>
      </c>
      <c r="E206" s="85">
        <v>2</v>
      </c>
      <c r="F206" s="85" t="s">
        <v>16</v>
      </c>
      <c r="G206" s="97" t="s">
        <v>160</v>
      </c>
      <c r="H206" s="39" t="str">
        <f>_xlfn.XLOOKUP(Tabela1[[#This Row],[Matrícula]],Equipe!B:B,Equipe!E:E,"ERRO",0)</f>
        <v>P80</v>
      </c>
      <c r="I206" s="39" t="str">
        <f>VLOOKUP(Tabela1[[#This Row],[Matrícula]],Equipe!B:F,5,0)</f>
        <v>Novo</v>
      </c>
    </row>
    <row r="207" spans="1:9" ht="15" thickBot="1">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15" thickBot="1">
      <c r="A208" s="85" t="s">
        <v>28</v>
      </c>
      <c r="B208" s="104">
        <f>_xlfn.XLOOKUP(A208,Equipe!H:H,Equipe!B:B,"",0)</f>
        <v>4608721</v>
      </c>
      <c r="C208" s="89">
        <v>45925</v>
      </c>
      <c r="D208" s="105">
        <f>IF(Tabela1[[#This Row],[Início]]&lt;&gt;"",C208+E208-1,"")</f>
        <v>45926</v>
      </c>
      <c r="E208" s="85">
        <v>2</v>
      </c>
      <c r="F208" s="85" t="s">
        <v>17</v>
      </c>
      <c r="G208" s="97" t="s">
        <v>161</v>
      </c>
      <c r="H208" s="39" t="str">
        <f>_xlfn.XLOOKUP(Tabela1[[#This Row],[Matrícula]],Equipe!B:B,Equipe!E:E,"ERRO",0)</f>
        <v>P80</v>
      </c>
      <c r="I208" s="39" t="str">
        <f>VLOOKUP(Tabela1[[#This Row],[Matrícula]],Equipe!B:F,5,0)</f>
        <v>Novo</v>
      </c>
    </row>
    <row r="209" spans="1:9" ht="29.45" thickBot="1">
      <c r="A209" s="85" t="s">
        <v>28</v>
      </c>
      <c r="B209" s="104">
        <f>_xlfn.XLOOKUP(A209,Equipe!H:H,Equipe!B:B,"",0)</f>
        <v>4608721</v>
      </c>
      <c r="C209" s="89">
        <v>45922</v>
      </c>
      <c r="D209" s="105">
        <f>IF(Tabela1[[#This Row],[Início]]&lt;&gt;"",C209+E209-1,"")</f>
        <v>45924</v>
      </c>
      <c r="E209" s="85">
        <v>3</v>
      </c>
      <c r="F209" s="85" t="s">
        <v>16</v>
      </c>
      <c r="G209" s="97" t="s">
        <v>162</v>
      </c>
      <c r="H209" s="39" t="str">
        <f>_xlfn.XLOOKUP(Tabela1[[#This Row],[Matrícula]],Equipe!B:B,Equipe!E:E,"ERRO",0)</f>
        <v>P80</v>
      </c>
      <c r="I209" s="39" t="str">
        <f>VLOOKUP(Tabela1[[#This Row],[Matrícula]],Equipe!B:F,5,0)</f>
        <v>Novo</v>
      </c>
    </row>
    <row r="210" spans="1:9" ht="29.45" thickBot="1">
      <c r="A210" s="85" t="s">
        <v>110</v>
      </c>
      <c r="B210" s="104">
        <f>_xlfn.XLOOKUP(A210,Equipe!H:H,Equipe!B:B,"",0)</f>
        <v>4612192</v>
      </c>
      <c r="C210" s="89">
        <v>45922</v>
      </c>
      <c r="D210" s="105">
        <f>IF(Tabela1[[#This Row],[Início]]&lt;&gt;"",C210+E210-1,"")</f>
        <v>45924</v>
      </c>
      <c r="E210" s="85">
        <v>3</v>
      </c>
      <c r="F210" s="85" t="s">
        <v>16</v>
      </c>
      <c r="G210" s="97" t="s">
        <v>163</v>
      </c>
      <c r="H210" s="39" t="str">
        <f>_xlfn.XLOOKUP(Tabela1[[#This Row],[Matrícula]],Equipe!B:B,Equipe!E:E,"ERRO",0)</f>
        <v>P82</v>
      </c>
      <c r="I210" s="39" t="str">
        <f>VLOOKUP(Tabela1[[#This Row],[Matrícula]],Equipe!B:F,5,0)</f>
        <v>Novo</v>
      </c>
    </row>
    <row r="211" spans="1:9" ht="15" thickBot="1">
      <c r="A211" s="85" t="s">
        <v>108</v>
      </c>
      <c r="B211" s="104">
        <f>_xlfn.XLOOKUP(A211,Equipe!H:H,Equipe!B:B,"",0)</f>
        <v>4612050</v>
      </c>
      <c r="C211" s="89">
        <v>45926</v>
      </c>
      <c r="D211" s="105">
        <f>IF(Tabela1[[#This Row],[Início]]&lt;&gt;"",C211+E211-1,"")</f>
        <v>45939</v>
      </c>
      <c r="E211" s="85">
        <v>14</v>
      </c>
      <c r="F211" s="85" t="s">
        <v>11</v>
      </c>
      <c r="G211" s="97" t="s">
        <v>164</v>
      </c>
      <c r="H211" s="39" t="str">
        <f>_xlfn.XLOOKUP(Tabela1[[#This Row],[Matrícula]],Equipe!B:B,Equipe!E:E,"ERRO",0)</f>
        <v>P82</v>
      </c>
      <c r="I211" s="39" t="str">
        <f>VLOOKUP(Tabela1[[#This Row],[Matrícula]],Equipe!B:F,5,0)</f>
        <v>Novo</v>
      </c>
    </row>
    <row r="212" spans="1:9" ht="15" thickBot="1">
      <c r="A212" s="85" t="s">
        <v>108</v>
      </c>
      <c r="B212" s="104">
        <f>_xlfn.XLOOKUP(A212,Equipe!H:H,Equipe!B:B,"",0)</f>
        <v>4612050</v>
      </c>
      <c r="C212" s="89">
        <v>45940</v>
      </c>
      <c r="D212" s="105">
        <f>IF(Tabela1[[#This Row],[Início]]&lt;&gt;"",C212+E212-1,"")</f>
        <v>45968</v>
      </c>
      <c r="E212" s="85">
        <v>29</v>
      </c>
      <c r="F212" s="85" t="s">
        <v>17</v>
      </c>
      <c r="G212" s="97" t="s">
        <v>165</v>
      </c>
      <c r="H212" s="39" t="str">
        <f>_xlfn.XLOOKUP(Tabela1[[#This Row],[Matrícula]],Equipe!B:B,Equipe!E:E,"ERRO",0)</f>
        <v>P82</v>
      </c>
      <c r="I212" s="39" t="str">
        <f>VLOOKUP(Tabela1[[#This Row],[Matrícula]],Equipe!B:F,5,0)</f>
        <v>Novo</v>
      </c>
    </row>
    <row r="213" spans="1:9" ht="15" thickBot="1">
      <c r="A213" s="85" t="s">
        <v>41</v>
      </c>
      <c r="B213" s="104">
        <f>_xlfn.XLOOKUP(A213,Equipe!H:H,Equipe!B:B,"",0)</f>
        <v>4608780</v>
      </c>
      <c r="C213" s="89">
        <v>45925</v>
      </c>
      <c r="D213" s="105">
        <f>IF(Tabela1[[#This Row],[Início]]&lt;&gt;"",C213+E213-1,"")</f>
        <v>45925</v>
      </c>
      <c r="E213" s="85">
        <v>1</v>
      </c>
      <c r="F213" s="85" t="s">
        <v>16</v>
      </c>
      <c r="G213" s="97" t="s">
        <v>166</v>
      </c>
      <c r="H213" s="39" t="str">
        <f>_xlfn.XLOOKUP(Tabela1[[#This Row],[Matrícula]],Equipe!B:B,Equipe!E:E,"ERRO",0)</f>
        <v>P83</v>
      </c>
      <c r="I213" s="39" t="str">
        <f>VLOOKUP(Tabela1[[#This Row],[Matrícula]],Equipe!B:F,5,0)</f>
        <v>Novo</v>
      </c>
    </row>
    <row r="214" spans="1:9" ht="15" thickBot="1">
      <c r="A214" s="85" t="s">
        <v>43</v>
      </c>
      <c r="B214" s="104">
        <f>_xlfn.XLOOKUP(A214,Equipe!H:H,Equipe!B:B,"",0)</f>
        <v>4608389</v>
      </c>
      <c r="C214" s="89">
        <v>45964</v>
      </c>
      <c r="D214" s="105">
        <f>IF(Tabela1[[#This Row],[Início]]&lt;&gt;"",C214+E214-1,"")</f>
        <v>45968</v>
      </c>
      <c r="E214" s="85">
        <v>5</v>
      </c>
      <c r="F214" s="85" t="s">
        <v>16</v>
      </c>
      <c r="G214" t="s">
        <v>167</v>
      </c>
      <c r="H214" s="39" t="str">
        <f>_xlfn.XLOOKUP(Tabela1[[#This Row],[Matrícula]],Equipe!B:B,Equipe!E:E,"ERRO",0)</f>
        <v>P80</v>
      </c>
      <c r="I214" s="39" t="str">
        <f>VLOOKUP(Tabela1[[#This Row],[Matrícula]],Equipe!B:F,5,0)</f>
        <v>Novo</v>
      </c>
    </row>
    <row r="215" spans="1:9" ht="15" thickBot="1">
      <c r="A215" s="85" t="s">
        <v>102</v>
      </c>
      <c r="B215" s="104">
        <f>_xlfn.XLOOKUP(A215,Equipe!H:H,Equipe!B:B,"",0)</f>
        <v>4612098</v>
      </c>
      <c r="C215" s="89">
        <v>45929</v>
      </c>
      <c r="D215" s="105">
        <v>45930</v>
      </c>
      <c r="E215" s="85">
        <v>2</v>
      </c>
      <c r="F215" s="85" t="s">
        <v>17</v>
      </c>
      <c r="G215" s="97" t="s">
        <v>161</v>
      </c>
      <c r="H215" s="39" t="str">
        <f>_xlfn.XLOOKUP(Tabela1[[#This Row],[Matrícula]],Equipe!B:B,Equipe!E:E,"ERRO",0)</f>
        <v>P80</v>
      </c>
      <c r="I215" s="39" t="str">
        <f>VLOOKUP(Tabela1[[#This Row],[Matrícula]],Equipe!B:F,5,0)</f>
        <v>Novo</v>
      </c>
    </row>
    <row r="216" spans="1:9" ht="15" thickBot="1">
      <c r="A216" s="85" t="s">
        <v>168</v>
      </c>
      <c r="B216" s="104">
        <f>_xlfn.XLOOKUP(A216,Equipe!H:H,Equipe!B:B,"",0)</f>
        <v>2440812</v>
      </c>
      <c r="C216" s="89">
        <v>45931</v>
      </c>
      <c r="D216" s="105">
        <f>IF(Tabela1[[#This Row],[Início]]&lt;&gt;"",C216+E216-1,"")</f>
        <v>45931</v>
      </c>
      <c r="E216" s="85">
        <v>1</v>
      </c>
      <c r="F216" s="85" t="s">
        <v>17</v>
      </c>
      <c r="G216" s="97" t="s">
        <v>169</v>
      </c>
      <c r="H216" s="39" t="str">
        <f>_xlfn.XLOOKUP(Tabela1[[#This Row],[Matrícula]],Equipe!B:B,Equipe!E:E,"ERRO",0)</f>
        <v>P80</v>
      </c>
      <c r="I216" s="39" t="str">
        <f>VLOOKUP(Tabela1[[#This Row],[Matrícula]],Equipe!B:F,5,0)</f>
        <v>Experiente</v>
      </c>
    </row>
    <row r="217" spans="1:9" ht="15" thickBot="1">
      <c r="A217" s="85" t="s">
        <v>41</v>
      </c>
      <c r="B217" s="104">
        <f>_xlfn.XLOOKUP(A217,Equipe!H:H,Equipe!B:B,"",0)</f>
        <v>4608780</v>
      </c>
      <c r="C217" s="89">
        <v>45944</v>
      </c>
      <c r="D217" s="105">
        <f>IF(Tabela1[[#This Row],[Início]]&lt;&gt;"",C217+E217-1,"")</f>
        <v>45950</v>
      </c>
      <c r="E217" s="85">
        <v>7</v>
      </c>
      <c r="F217" s="85" t="s">
        <v>11</v>
      </c>
      <c r="G217" s="97" t="s">
        <v>170</v>
      </c>
      <c r="H217" s="39" t="str">
        <f>_xlfn.XLOOKUP(Tabela1[[#This Row],[Matrícula]],Equipe!B:B,Equipe!E:E,"ERRO",0)</f>
        <v>P83</v>
      </c>
      <c r="I217" s="39" t="str">
        <f>VLOOKUP(Tabela1[[#This Row],[Matrícula]],Equipe!B:F,5,0)</f>
        <v>Novo</v>
      </c>
    </row>
    <row r="218" spans="1:9" ht="15" thickBot="1">
      <c r="A218" s="85" t="s">
        <v>41</v>
      </c>
      <c r="B218" s="104">
        <f>_xlfn.XLOOKUP(A218,Equipe!H:H,Equipe!B:B,"",0)</f>
        <v>4608780</v>
      </c>
      <c r="C218" s="89">
        <v>45950</v>
      </c>
      <c r="D218" s="105">
        <f>IF(Tabela1[[#This Row],[Início]]&lt;&gt;"",C218+E218-1,"")</f>
        <v>45965</v>
      </c>
      <c r="E218" s="85">
        <v>16</v>
      </c>
      <c r="F218" s="85" t="s">
        <v>17</v>
      </c>
      <c r="G218" s="108" t="s">
        <v>171</v>
      </c>
      <c r="H218" s="39" t="str">
        <f>_xlfn.XLOOKUP(Tabela1[[#This Row],[Matrícula]],Equipe!B:B,Equipe!E:E,"ERRO",0)</f>
        <v>P83</v>
      </c>
      <c r="I218" s="39" t="str">
        <f>VLOOKUP(Tabela1[[#This Row],[Matrícula]],Equipe!B:F,5,0)</f>
        <v>Novo</v>
      </c>
    </row>
    <row r="219" spans="1:9" ht="15" thickBot="1">
      <c r="A219" s="85" t="s">
        <v>41</v>
      </c>
      <c r="B219" s="104">
        <f>_xlfn.XLOOKUP(A219,Equipe!H:H,Equipe!B:B,"",0)</f>
        <v>4608780</v>
      </c>
      <c r="C219" s="89">
        <v>45987</v>
      </c>
      <c r="D219" s="105">
        <f>IF(Tabela1[[#This Row],[Início]]&lt;&gt;"",C219+E219-1,"")</f>
        <v>46000</v>
      </c>
      <c r="E219" s="85">
        <v>14</v>
      </c>
      <c r="F219" s="85" t="s">
        <v>11</v>
      </c>
      <c r="G219" s="97" t="s">
        <v>172</v>
      </c>
      <c r="H219" s="39" t="str">
        <f>_xlfn.XLOOKUP(Tabela1[[#This Row],[Matrícula]],Equipe!B:B,Equipe!E:E,"ERRO",0)</f>
        <v>P83</v>
      </c>
      <c r="I219" s="39" t="str">
        <f>VLOOKUP(Tabela1[[#This Row],[Matrícula]],Equipe!B:F,5,0)</f>
        <v>Novo</v>
      </c>
    </row>
    <row r="220" spans="1:9" ht="15" thickBot="1">
      <c r="A220" s="85" t="s">
        <v>41</v>
      </c>
      <c r="B220" s="104">
        <f>_xlfn.XLOOKUP(A220,Equipe!H:H,Equipe!B:B,"",0)</f>
        <v>4608780</v>
      </c>
      <c r="C220" s="89">
        <v>46001</v>
      </c>
      <c r="D220" s="105">
        <f>IF(Tabela1[[#This Row],[Início]]&lt;&gt;"",C220+E220-1,"")</f>
        <v>46031</v>
      </c>
      <c r="E220" s="85">
        <v>31</v>
      </c>
      <c r="F220" s="85" t="s">
        <v>17</v>
      </c>
      <c r="G220" s="108" t="s">
        <v>173</v>
      </c>
      <c r="H220" s="39" t="str">
        <f>_xlfn.XLOOKUP(Tabela1[[#This Row],[Matrícula]],Equipe!B:B,Equipe!E:E,"ERRO",0)</f>
        <v>P83</v>
      </c>
      <c r="I220" s="39" t="str">
        <f>VLOOKUP(Tabela1[[#This Row],[Matrícula]],Equipe!B:F,5,0)</f>
        <v>Novo</v>
      </c>
    </row>
    <row r="221" spans="1:9" ht="15" thickBot="1">
      <c r="A221" s="85" t="s">
        <v>45</v>
      </c>
      <c r="B221" s="104">
        <f>_xlfn.XLOOKUP(A221,Equipe!H:H,Equipe!B:B,"",0)</f>
        <v>4608411</v>
      </c>
      <c r="C221" s="89">
        <v>45924</v>
      </c>
      <c r="D221" s="105">
        <f>IF(Tabela1[[#This Row],[Início]]&lt;&gt;"",C221+E221-1,"")</f>
        <v>45930</v>
      </c>
      <c r="E221" s="85">
        <v>7</v>
      </c>
      <c r="F221" s="85" t="s">
        <v>11</v>
      </c>
      <c r="G221" s="97" t="s">
        <v>80</v>
      </c>
      <c r="H221" s="39" t="str">
        <f>_xlfn.XLOOKUP(Tabela1[[#This Row],[Matrícula]],Equipe!B:B,Equipe!E:E,"ERRO",0)</f>
        <v>P83</v>
      </c>
      <c r="I221" s="39" t="str">
        <f>VLOOKUP(Tabela1[[#This Row],[Matrícula]],Equipe!B:F,5,0)</f>
        <v>Novo</v>
      </c>
    </row>
    <row r="222" spans="1:9" ht="15" thickBot="1">
      <c r="A222" s="85" t="s">
        <v>45</v>
      </c>
      <c r="B222" s="104">
        <f>_xlfn.XLOOKUP(A222,Equipe!H:H,Equipe!B:B,"",0)</f>
        <v>4608411</v>
      </c>
      <c r="C222" s="89">
        <v>45931</v>
      </c>
      <c r="D222" s="105">
        <f>IF(Tabela1[[#This Row],[Início]]&lt;&gt;"",C222+E222-1,"")</f>
        <v>45944</v>
      </c>
      <c r="E222" s="85">
        <v>14</v>
      </c>
      <c r="F222" s="85" t="s">
        <v>17</v>
      </c>
      <c r="G222" s="97" t="s">
        <v>174</v>
      </c>
      <c r="H222" s="39" t="str">
        <f>_xlfn.XLOOKUP(Tabela1[[#This Row],[Matrícula]],Equipe!B:B,Equipe!E:E,"ERRO",0)</f>
        <v>P83</v>
      </c>
      <c r="I222" s="39" t="str">
        <f>VLOOKUP(Tabela1[[#This Row],[Matrícula]],Equipe!B:F,5,0)</f>
        <v>Novo</v>
      </c>
    </row>
    <row r="223" spans="1:9" ht="15" thickBot="1">
      <c r="A223" s="85" t="s">
        <v>22</v>
      </c>
      <c r="B223" s="104">
        <f>_xlfn.XLOOKUP(A223,Equipe!H:H,Equipe!B:B,"",0)</f>
        <v>9634180</v>
      </c>
      <c r="C223" s="89">
        <v>45938</v>
      </c>
      <c r="D223" s="128">
        <f>IF(Tabela1[[#This Row],[Início]]&lt;&gt;"",C223+E223-1,"")</f>
        <v>45938</v>
      </c>
      <c r="E223" s="85">
        <v>1</v>
      </c>
      <c r="F223" s="85" t="s">
        <v>16</v>
      </c>
      <c r="G223" s="97" t="s">
        <v>175</v>
      </c>
      <c r="H223" s="39" t="str">
        <f>_xlfn.XLOOKUP(Tabela1[[#This Row],[Matrícula]],Equipe!B:B,Equipe!E:E,"ERRO",0)</f>
        <v>P83</v>
      </c>
      <c r="I223" s="39" t="str">
        <f>VLOOKUP(Tabela1[[#This Row],[Matrícula]],Equipe!B:F,5,0)</f>
        <v>Experiente</v>
      </c>
    </row>
    <row r="224" spans="1:9" ht="15" thickBot="1">
      <c r="A224" s="85" t="s">
        <v>22</v>
      </c>
      <c r="B224" s="104">
        <f>_xlfn.XLOOKUP(A224,Equipe!H:H,Equipe!B:B,"",0)</f>
        <v>9634180</v>
      </c>
      <c r="C224" s="89">
        <v>45958</v>
      </c>
      <c r="D224" s="105">
        <f>IF(Tabela1[[#This Row],[Início]]&lt;&gt;"",C224+E224-1,"")</f>
        <v>45971</v>
      </c>
      <c r="E224" s="85">
        <v>14</v>
      </c>
      <c r="F224" s="85" t="s">
        <v>11</v>
      </c>
      <c r="G224" s="97" t="s">
        <v>176</v>
      </c>
      <c r="H224" s="39" t="str">
        <f>_xlfn.XLOOKUP(Tabela1[[#This Row],[Matrícula]],Equipe!B:B,Equipe!E:E,"ERRO",0)</f>
        <v>P83</v>
      </c>
      <c r="I224" s="39" t="str">
        <f>VLOOKUP(Tabela1[[#This Row],[Matrícula]],Equipe!B:F,5,0)</f>
        <v>Experiente</v>
      </c>
    </row>
    <row r="225" spans="1:9" ht="29.45" thickBot="1">
      <c r="A225" s="85" t="s">
        <v>51</v>
      </c>
      <c r="B225" s="104">
        <f>_xlfn.XLOOKUP(A225,Equipe!H:H,Equipe!B:B,"",0)</f>
        <v>4608684</v>
      </c>
      <c r="C225" s="89">
        <v>45936</v>
      </c>
      <c r="D225" s="105">
        <f>IF(Tabela1[[#This Row],[Início]]&lt;&gt;"",C225+E225-1,"")</f>
        <v>45939</v>
      </c>
      <c r="E225" s="85">
        <v>4</v>
      </c>
      <c r="F225" s="85" t="s">
        <v>16</v>
      </c>
      <c r="G225" s="108" t="s">
        <v>177</v>
      </c>
      <c r="H225" s="39" t="str">
        <f>_xlfn.XLOOKUP(Tabela1[[#This Row],[Matrícula]],Equipe!B:B,Equipe!E:E,"ERRO",0)</f>
        <v>P82</v>
      </c>
      <c r="I225" s="39" t="str">
        <f>VLOOKUP(Tabela1[[#This Row],[Matrícula]],Equipe!B:F,5,0)</f>
        <v>Novo</v>
      </c>
    </row>
    <row r="226" spans="1:9" ht="15" thickBot="1">
      <c r="A226" s="85" t="s">
        <v>116</v>
      </c>
      <c r="B226" s="104">
        <f>_xlfn.XLOOKUP(A226,Equipe!H:H,Equipe!B:B,"",0)</f>
        <v>4612243</v>
      </c>
      <c r="C226" s="89">
        <v>45986</v>
      </c>
      <c r="D226" s="105">
        <f>IF(Tabela1[[#This Row],[Início]]&lt;&gt;"",C226+E226-1,"")</f>
        <v>45986</v>
      </c>
      <c r="E226" s="85">
        <v>1</v>
      </c>
      <c r="F226" s="85" t="s">
        <v>16</v>
      </c>
      <c r="G226" s="97" t="s">
        <v>178</v>
      </c>
      <c r="H226" s="39" t="str">
        <f>_xlfn.XLOOKUP(Tabela1[[#This Row],[Matrícula]],Equipe!B:B,Equipe!E:E,"ERRO",0)</f>
        <v>P80</v>
      </c>
      <c r="I226" s="39" t="str">
        <f>VLOOKUP(Tabela1[[#This Row],[Matrícula]],Equipe!B:F,5,0)</f>
        <v>Novo</v>
      </c>
    </row>
    <row r="227" spans="1:9" ht="15" thickBot="1">
      <c r="A227" s="85" t="s">
        <v>116</v>
      </c>
      <c r="B227" s="104">
        <f>_xlfn.XLOOKUP(A227,Equipe!H:H,Equipe!B:B,"",0)</f>
        <v>4612243</v>
      </c>
      <c r="C227" s="89">
        <v>46001</v>
      </c>
      <c r="D227" s="105">
        <f>IF(Tabela1[[#This Row],[Início]]&lt;&gt;"",C227+E227-1,"")</f>
        <v>46014</v>
      </c>
      <c r="E227" s="85">
        <v>14</v>
      </c>
      <c r="F227" s="85" t="s">
        <v>11</v>
      </c>
      <c r="G227" s="97" t="s">
        <v>179</v>
      </c>
      <c r="H227" s="39" t="str">
        <f>_xlfn.XLOOKUP(Tabela1[[#This Row],[Matrícula]],Equipe!B:B,Equipe!E:E,"ERRO",0)</f>
        <v>P80</v>
      </c>
      <c r="I227" s="39" t="str">
        <f>VLOOKUP(Tabela1[[#This Row],[Matrícula]],Equipe!B:F,5,0)</f>
        <v>Novo</v>
      </c>
    </row>
    <row r="228" spans="1:9" ht="15" thickBot="1">
      <c r="A228" s="85" t="s">
        <v>116</v>
      </c>
      <c r="B228" s="104">
        <f>_xlfn.XLOOKUP(A228,Equipe!H:H,Equipe!B:B,"",0)</f>
        <v>4612243</v>
      </c>
      <c r="C228" s="89">
        <v>46015</v>
      </c>
      <c r="D228" s="105">
        <f>IF(Tabela1[[#This Row],[Início]]&lt;&gt;"",C228+E228-1,"")</f>
        <v>46045</v>
      </c>
      <c r="E228" s="85">
        <v>31</v>
      </c>
      <c r="F228" s="85" t="s">
        <v>17</v>
      </c>
      <c r="G228" s="97" t="s">
        <v>180</v>
      </c>
      <c r="H228" s="39" t="str">
        <f>_xlfn.XLOOKUP(Tabela1[[#This Row],[Matrícula]],Equipe!B:B,Equipe!E:E,"ERRO",0)</f>
        <v>P80</v>
      </c>
      <c r="I228" s="39" t="str">
        <f>VLOOKUP(Tabela1[[#This Row],[Matrícula]],Equipe!B:F,5,0)</f>
        <v>Novo</v>
      </c>
    </row>
    <row r="229" spans="1:9" ht="15" thickBot="1">
      <c r="A229" s="85" t="s">
        <v>102</v>
      </c>
      <c r="B229" s="104">
        <f>_xlfn.XLOOKUP(A229,Equipe!H:H,Equipe!B:B,"",0)</f>
        <v>4612098</v>
      </c>
      <c r="C229" s="89">
        <v>45952</v>
      </c>
      <c r="D229" s="105">
        <v>45965</v>
      </c>
      <c r="E229" s="85">
        <v>14</v>
      </c>
      <c r="F229" s="85" t="s">
        <v>11</v>
      </c>
      <c r="G229" s="97" t="s">
        <v>172</v>
      </c>
      <c r="H229" s="39" t="str">
        <f>_xlfn.XLOOKUP(Tabela1[[#This Row],[Matrícula]],Equipe!B:B,Equipe!E:E,"ERRO",0)</f>
        <v>P80</v>
      </c>
      <c r="I229" s="39" t="str">
        <f>VLOOKUP(Tabela1[[#This Row],[Matrícula]],Equipe!B:F,5,0)</f>
        <v>Novo</v>
      </c>
    </row>
    <row r="230" spans="1:9" ht="15" thickBot="1">
      <c r="A230" s="85" t="s">
        <v>102</v>
      </c>
      <c r="B230" s="104">
        <f>_xlfn.XLOOKUP(A230,Equipe!H:H,Equipe!B:B,"",0)</f>
        <v>4612098</v>
      </c>
      <c r="C230" s="89">
        <v>45966</v>
      </c>
      <c r="D230" s="105">
        <v>45994</v>
      </c>
      <c r="E230" s="85">
        <v>29</v>
      </c>
      <c r="F230" s="85" t="s">
        <v>17</v>
      </c>
      <c r="G230" s="97" t="s">
        <v>181</v>
      </c>
      <c r="H230" s="39" t="str">
        <f>_xlfn.XLOOKUP(Tabela1[[#This Row],[Matrícula]],Equipe!B:B,Equipe!E:E,"ERRO",0)</f>
        <v>P80</v>
      </c>
      <c r="I230" s="39" t="str">
        <f>VLOOKUP(Tabela1[[#This Row],[Matrícula]],Equipe!B:F,5,0)</f>
        <v>Novo</v>
      </c>
    </row>
    <row r="231" spans="1:9" ht="29.45" thickBot="1">
      <c r="A231" s="85" t="s">
        <v>106</v>
      </c>
      <c r="B231" s="104">
        <v>4612140</v>
      </c>
      <c r="C231" s="89">
        <v>45938</v>
      </c>
      <c r="D231" s="105">
        <f>IF(Tabela1[[#This Row],[Início]]&lt;&gt;"",C231+E231-1,"")</f>
        <v>45940</v>
      </c>
      <c r="E231" s="85">
        <v>3</v>
      </c>
      <c r="F231" s="85" t="s">
        <v>16</v>
      </c>
      <c r="G231" s="97" t="s">
        <v>182</v>
      </c>
      <c r="H231" s="39" t="str">
        <f>_xlfn.XLOOKUP(Tabela1[[#This Row],[Matrícula]],Equipe!B:B,Equipe!E:E,"ERRO",0)</f>
        <v>P83</v>
      </c>
      <c r="I231" s="39" t="str">
        <f>VLOOKUP(Tabela1[[#This Row],[Matrícula]],Equipe!B:F,5,0)</f>
        <v>Novo</v>
      </c>
    </row>
    <row r="232" spans="1:9" ht="15" thickBot="1">
      <c r="A232" s="85" t="s">
        <v>102</v>
      </c>
      <c r="B232" s="104">
        <f>_xlfn.XLOOKUP(A232,Equipe!H:H,Equipe!B:B,"",0)</f>
        <v>4612098</v>
      </c>
      <c r="C232" s="89">
        <v>46022</v>
      </c>
      <c r="D232" s="105">
        <v>46035</v>
      </c>
      <c r="E232" s="85">
        <v>14</v>
      </c>
      <c r="F232" s="85" t="s">
        <v>11</v>
      </c>
      <c r="G232" s="97" t="s">
        <v>52</v>
      </c>
      <c r="H232" s="39" t="str">
        <f>_xlfn.XLOOKUP(Tabela1[[#This Row],[Matrícula]],Equipe!B:B,Equipe!E:E,"ERRO",0)</f>
        <v>P80</v>
      </c>
      <c r="I232" s="39" t="str">
        <f>VLOOKUP(Tabela1[[#This Row],[Matrícula]],Equipe!B:F,5,0)</f>
        <v>Novo</v>
      </c>
    </row>
    <row r="233" spans="1:9" ht="15" thickBot="1">
      <c r="A233" s="85" t="s">
        <v>102</v>
      </c>
      <c r="B233" s="104">
        <f>_xlfn.XLOOKUP(A233,Equipe!H:H,Equipe!B:B,"",0)</f>
        <v>4612098</v>
      </c>
      <c r="C233" s="89">
        <v>46036</v>
      </c>
      <c r="D233" s="105">
        <v>46064</v>
      </c>
      <c r="E233" s="85">
        <v>29</v>
      </c>
      <c r="F233" s="85" t="s">
        <v>17</v>
      </c>
      <c r="G233" s="97" t="s">
        <v>181</v>
      </c>
      <c r="H233" s="39" t="str">
        <f>_xlfn.XLOOKUP(Tabela1[[#This Row],[Matrícula]],Equipe!B:B,Equipe!E:E,"ERRO",0)</f>
        <v>P80</v>
      </c>
      <c r="I233" s="39" t="str">
        <f>VLOOKUP(Tabela1[[#This Row],[Matrícula]],Equipe!B:F,5,0)</f>
        <v>Novo</v>
      </c>
    </row>
    <row r="234" spans="1:9" ht="15" thickBot="1">
      <c r="A234" s="85" t="s">
        <v>26</v>
      </c>
      <c r="B234" s="104">
        <f>_xlfn.XLOOKUP(A234,Equipe!H:H,Equipe!B:B,"",0)</f>
        <v>4608474</v>
      </c>
      <c r="C234" s="89">
        <v>45944</v>
      </c>
      <c r="D234" s="105">
        <v>45957</v>
      </c>
      <c r="E234" s="85">
        <v>14</v>
      </c>
      <c r="F234" s="85" t="s">
        <v>11</v>
      </c>
      <c r="G234" s="97" t="s">
        <v>95</v>
      </c>
      <c r="H234" s="39" t="str">
        <f>_xlfn.XLOOKUP(Tabela1[[#This Row],[Matrícula]],Equipe!B:B,Equipe!E:E,"ERRO",0)</f>
        <v>P82</v>
      </c>
      <c r="I234" s="39" t="str">
        <f>VLOOKUP(Tabela1[[#This Row],[Matrícula]],Equipe!B:F,5,0)</f>
        <v>Novo</v>
      </c>
    </row>
    <row r="235" spans="1:9" ht="15" thickBot="1">
      <c r="A235" s="85" t="s">
        <v>26</v>
      </c>
      <c r="B235" s="104">
        <f>_xlfn.XLOOKUP(A235,Equipe!H:H,Equipe!B:B,"",0)</f>
        <v>4608474</v>
      </c>
      <c r="C235" s="89">
        <v>45958</v>
      </c>
      <c r="D235" s="105">
        <f>IF(Tabela1[[#This Row],[Início]]&lt;&gt;"",C235+E235-1,"")</f>
        <v>45986</v>
      </c>
      <c r="E235" s="85">
        <v>29</v>
      </c>
      <c r="F235" s="85" t="s">
        <v>17</v>
      </c>
      <c r="G235" s="97" t="s">
        <v>183</v>
      </c>
      <c r="H235" s="39" t="str">
        <f>_xlfn.XLOOKUP(Tabela1[[#This Row],[Matrícula]],Equipe!B:B,Equipe!E:E,"ERRO",0)</f>
        <v>P82</v>
      </c>
      <c r="I235" s="39" t="str">
        <f>VLOOKUP(Tabela1[[#This Row],[Matrícula]],Equipe!B:F,5,0)</f>
        <v>Novo</v>
      </c>
    </row>
    <row r="236" spans="1:9" ht="15" thickBot="1">
      <c r="A236" s="85" t="s">
        <v>29</v>
      </c>
      <c r="B236" s="104">
        <f>_xlfn.XLOOKUP(A236,Equipe!H:H,Equipe!B:B,"",0)</f>
        <v>9842940</v>
      </c>
      <c r="C236" s="89">
        <v>45940</v>
      </c>
      <c r="D236" s="105">
        <f>IF(Tabela1[[#This Row],[Início]]&lt;&gt;"",C236+E236-1,"")</f>
        <v>45952</v>
      </c>
      <c r="E236" s="85">
        <v>13</v>
      </c>
      <c r="F236" s="85" t="s">
        <v>11</v>
      </c>
      <c r="G236" s="97" t="s">
        <v>138</v>
      </c>
      <c r="H236" s="39" t="str">
        <f>_xlfn.XLOOKUP(Tabela1[[#This Row],[Matrícula]],Equipe!B:B,Equipe!E:E,"ERRO",0)</f>
        <v>P80</v>
      </c>
      <c r="I236" s="39" t="str">
        <f>VLOOKUP(Tabela1[[#This Row],[Matrícula]],Equipe!B:F,5,0)</f>
        <v>Novo</v>
      </c>
    </row>
    <row r="237" spans="1:9" ht="15" thickBot="1">
      <c r="A237" s="85" t="s">
        <v>29</v>
      </c>
      <c r="B237" s="104">
        <f>_xlfn.XLOOKUP(A237,Equipe!H:H,Equipe!B:B,"",0)</f>
        <v>9842940</v>
      </c>
      <c r="C237" s="89">
        <v>45953</v>
      </c>
      <c r="D237" s="105">
        <f>IF(Tabela1[[#This Row],[Início]]&lt;&gt;"",C237+E237-1,"")</f>
        <v>45980</v>
      </c>
      <c r="E237" s="85">
        <v>28</v>
      </c>
      <c r="F237" s="85" t="s">
        <v>17</v>
      </c>
      <c r="G237" s="97" t="s">
        <v>184</v>
      </c>
      <c r="H237" s="39" t="str">
        <f>_xlfn.XLOOKUP(Tabela1[[#This Row],[Matrícula]],Equipe!B:B,Equipe!E:E,"ERRO",0)</f>
        <v>P80</v>
      </c>
      <c r="I237" s="39" t="str">
        <f>VLOOKUP(Tabela1[[#This Row],[Matrícula]],Equipe!B:F,5,0)</f>
        <v>Novo</v>
      </c>
    </row>
    <row r="238" spans="1:9" ht="29.45" thickBot="1">
      <c r="A238" s="85" t="s">
        <v>51</v>
      </c>
      <c r="B238" s="104">
        <f>_xlfn.XLOOKUP(A238,Equipe!H:H,Equipe!B:B,"",0)</f>
        <v>4608684</v>
      </c>
      <c r="C238" s="89">
        <v>45943</v>
      </c>
      <c r="D238" s="105">
        <f>IF(Tabela1[[#This Row],[Início]]&lt;&gt;"",C238+E238-1,"")</f>
        <v>45947</v>
      </c>
      <c r="E238" s="85">
        <v>5</v>
      </c>
      <c r="F238" s="85" t="s">
        <v>16</v>
      </c>
      <c r="G238" s="97" t="s">
        <v>185</v>
      </c>
      <c r="H238" s="39" t="str">
        <f>_xlfn.XLOOKUP(Tabela1[[#This Row],[Matrícula]],Equipe!B:B,Equipe!E:E,"ERRO",0)</f>
        <v>P82</v>
      </c>
      <c r="I238" s="39" t="str">
        <f>VLOOKUP(Tabela1[[#This Row],[Matrícula]],Equipe!B:F,5,0)</f>
        <v>Novo</v>
      </c>
    </row>
    <row r="239" spans="1:9" ht="15" thickBot="1">
      <c r="A239" s="85" t="s">
        <v>114</v>
      </c>
      <c r="B239" s="104">
        <f>_xlfn.XLOOKUP(A239,Equipe!H:H,Equipe!B:B,"",0)</f>
        <v>4612171</v>
      </c>
      <c r="C239" s="89">
        <v>45943</v>
      </c>
      <c r="D239" s="105">
        <f>IF(Tabela1[[#This Row],[Início]]&lt;&gt;"",C239+E239-1,"")</f>
        <v>45944</v>
      </c>
      <c r="E239" s="85">
        <v>2</v>
      </c>
      <c r="F239" s="85" t="s">
        <v>17</v>
      </c>
      <c r="G239" s="97" t="s">
        <v>151</v>
      </c>
      <c r="H239" s="39" t="str">
        <f>_xlfn.XLOOKUP(Tabela1[[#This Row],[Matrícula]],Equipe!B:B,Equipe!E:E,"ERRO",0)</f>
        <v>P80</v>
      </c>
      <c r="I239" s="39" t="str">
        <f>VLOOKUP(Tabela1[[#This Row],[Matrícula]],Equipe!B:F,5,0)</f>
        <v>Novo</v>
      </c>
    </row>
    <row r="240" spans="1:9" ht="29.45" thickBot="1">
      <c r="A240" s="85" t="s">
        <v>110</v>
      </c>
      <c r="B240" s="104">
        <f>_xlfn.XLOOKUP(A240,Equipe!H:H,Equipe!B:B,"",0)</f>
        <v>4612192</v>
      </c>
      <c r="C240" s="89">
        <v>45957</v>
      </c>
      <c r="D240" s="105">
        <f>IF(Tabela1[[#This Row],[Início]]&lt;&gt;"",C240+E240-1,"")</f>
        <v>45957</v>
      </c>
      <c r="E240" s="85">
        <v>1</v>
      </c>
      <c r="F240" s="85" t="s">
        <v>17</v>
      </c>
      <c r="G240" s="97" t="s">
        <v>186</v>
      </c>
      <c r="H240" s="39" t="str">
        <f>_xlfn.XLOOKUP(Tabela1[[#This Row],[Matrícula]],Equipe!B:B,Equipe!E:E,"ERRO",0)</f>
        <v>P82</v>
      </c>
      <c r="I240" s="39" t="str">
        <f>VLOOKUP(Tabela1[[#This Row],[Matrícula]],Equipe!B:F,5,0)</f>
        <v>Novo</v>
      </c>
    </row>
    <row r="241" spans="1:9" ht="15" thickBot="1">
      <c r="A241" s="85" t="s">
        <v>57</v>
      </c>
      <c r="B241" s="104">
        <f>_xlfn.XLOOKUP(A241,Equipe!H:H,Equipe!B:B,"",0)</f>
        <v>9612082</v>
      </c>
      <c r="C241" s="89">
        <v>45951</v>
      </c>
      <c r="D241" s="105">
        <f>IF(Tabela1[[#This Row],[Início]]&lt;&gt;"",C241+E241-1,"")</f>
        <v>45964</v>
      </c>
      <c r="E241" s="85">
        <v>14</v>
      </c>
      <c r="F241" s="85" t="s">
        <v>11</v>
      </c>
      <c r="G241" s="97" t="s">
        <v>125</v>
      </c>
      <c r="H241" s="39" t="str">
        <f>_xlfn.XLOOKUP(Tabela1[[#This Row],[Matrícula]],Equipe!B:B,Equipe!E:E,"ERRO",0)</f>
        <v>P82</v>
      </c>
      <c r="I241" s="39" t="str">
        <f>VLOOKUP(Tabela1[[#This Row],[Matrícula]],Equipe!B:F,5,0)</f>
        <v>Experiente</v>
      </c>
    </row>
    <row r="242" spans="1:9" ht="15" thickBot="1">
      <c r="A242" s="85" t="s">
        <v>57</v>
      </c>
      <c r="B242" s="104">
        <f>_xlfn.XLOOKUP(A242,Equipe!H:H,Equipe!B:B,"",0)</f>
        <v>9612082</v>
      </c>
      <c r="C242" s="89">
        <v>45965</v>
      </c>
      <c r="D242" s="105">
        <f>IF(Tabela1[[#This Row],[Início]]&lt;&gt;"",C242+E242-1,"")</f>
        <v>45985</v>
      </c>
      <c r="E242" s="85">
        <v>21</v>
      </c>
      <c r="F242" s="85" t="s">
        <v>17</v>
      </c>
      <c r="G242" s="97" t="s">
        <v>187</v>
      </c>
      <c r="H242" s="39" t="str">
        <f>_xlfn.XLOOKUP(Tabela1[[#This Row],[Matrícula]],Equipe!B:B,Equipe!E:E,"ERRO",0)</f>
        <v>P82</v>
      </c>
      <c r="I242" s="39" t="str">
        <f>VLOOKUP(Tabela1[[#This Row],[Matrícula]],Equipe!B:F,5,0)</f>
        <v>Experiente</v>
      </c>
    </row>
    <row r="243" spans="1:9" ht="29.45" thickBot="1">
      <c r="A243" s="85" t="s">
        <v>31</v>
      </c>
      <c r="B243" s="104">
        <f>_xlfn.XLOOKUP(A243,Equipe!H:H,Equipe!B:B,"",0)</f>
        <v>1385894</v>
      </c>
      <c r="C243" s="89">
        <v>45929</v>
      </c>
      <c r="D243" s="105">
        <f>IF(Tabela1[[#This Row],[Início]]&lt;&gt;"",C243+E243-1,"")</f>
        <v>45930</v>
      </c>
      <c r="E243" s="85">
        <v>2</v>
      </c>
      <c r="F243" s="85" t="s">
        <v>17</v>
      </c>
      <c r="G243" s="97" t="s">
        <v>188</v>
      </c>
      <c r="H243" s="39" t="str">
        <f>_xlfn.XLOOKUP(Tabela1[[#This Row],[Matrícula]],Equipe!B:B,Equipe!E:E,"ERRO",0)</f>
        <v>P80</v>
      </c>
      <c r="I243" s="39" t="str">
        <f>VLOOKUP(Tabela1[[#This Row],[Matrícula]],Equipe!B:F,5,0)</f>
        <v>Experiente</v>
      </c>
    </row>
    <row r="244" spans="1:9" ht="15" thickBot="1">
      <c r="A244" s="85" t="s">
        <v>31</v>
      </c>
      <c r="B244" s="104">
        <f>_xlfn.XLOOKUP(A244,Equipe!H:H,Equipe!B:B,"",0)</f>
        <v>1385894</v>
      </c>
      <c r="C244" s="89">
        <v>45951</v>
      </c>
      <c r="D244" s="105">
        <f>IF(Tabela1[[#This Row],[Início]]&lt;&gt;"",C244+E244-1,"")</f>
        <v>45953</v>
      </c>
      <c r="E244" s="85">
        <v>3</v>
      </c>
      <c r="F244" s="85" t="s">
        <v>11</v>
      </c>
      <c r="G244" s="97" t="s">
        <v>189</v>
      </c>
      <c r="H244" s="39" t="str">
        <f>_xlfn.XLOOKUP(Tabela1[[#This Row],[Matrícula]],Equipe!B:B,Equipe!E:E,"ERRO",0)</f>
        <v>P80</v>
      </c>
      <c r="I244" s="39" t="str">
        <f>VLOOKUP(Tabela1[[#This Row],[Matrícula]],Equipe!B:F,5,0)</f>
        <v>Experiente</v>
      </c>
    </row>
    <row r="245" spans="1:9" ht="15" thickBot="1">
      <c r="A245" s="85" t="s">
        <v>31</v>
      </c>
      <c r="B245" s="104">
        <f>_xlfn.XLOOKUP(A245,Equipe!H:H,Equipe!B:B,"",0)</f>
        <v>1385894</v>
      </c>
      <c r="C245" s="89">
        <v>45954</v>
      </c>
      <c r="D245" s="105">
        <f>IF(Tabela1[[#This Row],[Início]]&lt;&gt;"",C245+E245-1,"")</f>
        <v>45957</v>
      </c>
      <c r="E245" s="85">
        <v>4</v>
      </c>
      <c r="F245" s="85" t="s">
        <v>17</v>
      </c>
      <c r="G245" s="97" t="s">
        <v>190</v>
      </c>
      <c r="H245" s="39" t="str">
        <f>_xlfn.XLOOKUP(Tabela1[[#This Row],[Matrícula]],Equipe!B:B,Equipe!E:E,"ERRO",0)</f>
        <v>P80</v>
      </c>
      <c r="I245" s="39" t="str">
        <f>VLOOKUP(Tabela1[[#This Row],[Matrícula]],Equipe!B:F,5,0)</f>
        <v>Experiente</v>
      </c>
    </row>
    <row r="246" spans="1:9" ht="15">
      <c r="A246" s="85" t="s">
        <v>31</v>
      </c>
      <c r="B246" s="104">
        <f>_xlfn.XLOOKUP(A246,Equipe!H:H,Equipe!B:B,"",0)</f>
        <v>1385894</v>
      </c>
      <c r="C246" s="89">
        <v>45968</v>
      </c>
      <c r="D246" s="105">
        <f>IF(Tabela1[[#This Row],[Início]]&lt;&gt;"",C246+E246-1,"")</f>
        <v>45968</v>
      </c>
      <c r="E246" s="85">
        <v>1</v>
      </c>
      <c r="F246" s="85" t="s">
        <v>17</v>
      </c>
      <c r="G246" s="97" t="s">
        <v>190</v>
      </c>
      <c r="H246" s="39" t="str">
        <f>_xlfn.XLOOKUP(Tabela1[[#This Row],[Matrícula]],Equipe!B:B,Equipe!E:E,"ERRO",0)</f>
        <v>P80</v>
      </c>
      <c r="I246" s="39" t="str">
        <f>VLOOKUP(Tabela1[[#This Row],[Matrícula]],Equipe!B:F,5,0)</f>
        <v>Experiente</v>
      </c>
    </row>
    <row r="247" spans="1:9" ht="29.45" thickBot="1">
      <c r="A247" s="85" t="s">
        <v>106</v>
      </c>
      <c r="B247" s="104">
        <f>_xlfn.XLOOKUP(A247,Equipe!H:H,Equipe!B:B,"",0)</f>
        <v>4612140</v>
      </c>
      <c r="C247" s="89">
        <v>45950</v>
      </c>
      <c r="D247" s="105">
        <f>IF(Tabela1[[#This Row],[Início]]&lt;&gt;"",C247+E247-1,"")</f>
        <v>45952</v>
      </c>
      <c r="E247" s="85">
        <v>3</v>
      </c>
      <c r="F247" s="85" t="s">
        <v>16</v>
      </c>
      <c r="G247" s="97" t="s">
        <v>191</v>
      </c>
      <c r="H247" s="39" t="str">
        <f>_xlfn.XLOOKUP(Tabela1[[#This Row],[Matrícula]],Equipe!B:B,Equipe!E:E,"ERRO",0)</f>
        <v>P83</v>
      </c>
      <c r="I247" s="39" t="str">
        <f>VLOOKUP(Tabela1[[#This Row],[Matrícula]],Equipe!B:F,5,0)</f>
        <v>Novo</v>
      </c>
    </row>
    <row r="248" spans="1:9" ht="15" thickBot="1">
      <c r="A248" s="85" t="s">
        <v>53</v>
      </c>
      <c r="B248" s="104">
        <f>_xlfn.XLOOKUP(A248,Equipe!H:H,Equipe!B:B,"",0)</f>
        <v>9886449</v>
      </c>
      <c r="C248" s="89">
        <v>45958</v>
      </c>
      <c r="D248" s="105">
        <f>IF(Tabela1[[#This Row],[Início]]&lt;&gt;"",C248+E248-1,"")</f>
        <v>45958</v>
      </c>
      <c r="E248" s="85">
        <v>1</v>
      </c>
      <c r="F248" s="85" t="s">
        <v>16</v>
      </c>
      <c r="G248" s="97" t="s">
        <v>192</v>
      </c>
      <c r="H248" s="39" t="str">
        <f>_xlfn.XLOOKUP(Tabela1[[#This Row],[Matrícula]],Equipe!B:B,Equipe!E:E,"ERRO",0)</f>
        <v>P80</v>
      </c>
      <c r="I248" s="39" t="str">
        <f>VLOOKUP(Tabela1[[#This Row],[Matrícula]],Equipe!B:F,5,0)</f>
        <v>Experiente</v>
      </c>
    </row>
    <row r="249" spans="1:9" ht="15" thickBot="1">
      <c r="A249" s="85" t="s">
        <v>55</v>
      </c>
      <c r="B249" s="104">
        <f>_xlfn.XLOOKUP(A249,Equipe!H:H,Equipe!B:B,"",0)</f>
        <v>9618720</v>
      </c>
      <c r="C249" s="89">
        <v>45960</v>
      </c>
      <c r="D249" s="105">
        <f>IF(Tabela1[[#This Row],[Início]]&lt;&gt;"",C249+E249-1,"")</f>
        <v>45960</v>
      </c>
      <c r="E249" s="85">
        <v>1</v>
      </c>
      <c r="F249" s="85" t="s">
        <v>16</v>
      </c>
      <c r="G249" s="97" t="s">
        <v>193</v>
      </c>
      <c r="H249" s="39" t="str">
        <f>_xlfn.XLOOKUP(Tabela1[[#This Row],[Matrícula]],Equipe!B:B,Equipe!E:E,"ERRO",0)</f>
        <v>P82</v>
      </c>
      <c r="I249" s="39" t="str">
        <f>VLOOKUP(Tabela1[[#This Row],[Matrícula]],Equipe!B:F,5,0)</f>
        <v>Experiente</v>
      </c>
    </row>
    <row r="250" spans="1:9" ht="15" thickBot="1">
      <c r="A250" s="85" t="s">
        <v>55</v>
      </c>
      <c r="B250" s="104">
        <f>_xlfn.XLOOKUP(A250,Equipe!H:H,Equipe!B:B,"",0)</f>
        <v>9618720</v>
      </c>
      <c r="C250" s="89">
        <v>45957</v>
      </c>
      <c r="D250" s="105">
        <f>IF(Tabela1[[#This Row],[Início]]&lt;&gt;"",C250+E250,"")</f>
        <v>45958</v>
      </c>
      <c r="E250" s="85">
        <v>1</v>
      </c>
      <c r="F250" s="85" t="s">
        <v>17</v>
      </c>
      <c r="G250" s="97" t="s">
        <v>194</v>
      </c>
      <c r="H250" s="39" t="str">
        <f>_xlfn.XLOOKUP(Tabela1[[#This Row],[Matrícula]],Equipe!B:B,Equipe!E:E,"ERRO",0)</f>
        <v>P82</v>
      </c>
      <c r="I250" s="39" t="str">
        <f>VLOOKUP(Tabela1[[#This Row],[Matrícula]],Equipe!B:F,5,0)</f>
        <v>Experiente</v>
      </c>
    </row>
    <row r="251" spans="1:9" ht="15" thickBot="1">
      <c r="A251" s="85" t="s">
        <v>55</v>
      </c>
      <c r="B251" s="104">
        <f>_xlfn.XLOOKUP(A251,Equipe!H:H,Equipe!B:B,"",0)</f>
        <v>9618720</v>
      </c>
      <c r="C251" s="89">
        <v>45961</v>
      </c>
      <c r="D251" s="105">
        <f>IF(Tabela1[[#This Row],[Início]]&lt;&gt;"",C251+E251,"")</f>
        <v>45962</v>
      </c>
      <c r="E251" s="85">
        <v>1</v>
      </c>
      <c r="F251" s="85" t="s">
        <v>17</v>
      </c>
      <c r="G251" s="97" t="s">
        <v>194</v>
      </c>
      <c r="H251" s="39" t="str">
        <f>_xlfn.XLOOKUP(Tabela1[[#This Row],[Matrícula]],Equipe!B:B,Equipe!E:E,"ERRO",0)</f>
        <v>P82</v>
      </c>
      <c r="I251" s="39" t="str">
        <f>VLOOKUP(Tabela1[[#This Row],[Matrícula]],Equipe!B:F,5,0)</f>
        <v>Experiente</v>
      </c>
    </row>
    <row r="252" spans="1:9" ht="15" thickBot="1">
      <c r="A252" s="85" t="s">
        <v>168</v>
      </c>
      <c r="B252" s="104">
        <f>_xlfn.XLOOKUP(A252,Equipe!H:H,Equipe!B:B,"",0)</f>
        <v>2440812</v>
      </c>
      <c r="C252" s="89">
        <v>45960</v>
      </c>
      <c r="D252" s="105">
        <f>IF(Tabela1[[#This Row],[Início]]&lt;&gt;"",C252+E252-1,"")</f>
        <v>45960</v>
      </c>
      <c r="E252" s="85">
        <v>1</v>
      </c>
      <c r="F252" s="85" t="s">
        <v>16</v>
      </c>
      <c r="G252" s="97" t="s">
        <v>195</v>
      </c>
      <c r="H252" s="39" t="str">
        <f>_xlfn.XLOOKUP(Tabela1[[#This Row],[Matrícula]],Equipe!B:B,Equipe!E:E,"ERRO",0)</f>
        <v>P80</v>
      </c>
      <c r="I252" s="39" t="str">
        <f>VLOOKUP(Tabela1[[#This Row],[Matrícula]],Equipe!B:F,5,0)</f>
        <v>Experiente</v>
      </c>
    </row>
    <row r="253" spans="1:9" ht="15" thickBot="1">
      <c r="A253" s="85" t="s">
        <v>168</v>
      </c>
      <c r="B253" s="104">
        <f>_xlfn.XLOOKUP(A253,Equipe!H:H,Equipe!B:B,"",0)</f>
        <v>2440812</v>
      </c>
      <c r="C253" s="89">
        <v>45966</v>
      </c>
      <c r="D253" s="105">
        <f>IF(Tabela1[[#This Row],[Início]]&lt;&gt;"",C253+E253-1,"")</f>
        <v>45967</v>
      </c>
      <c r="E253" s="85">
        <v>2</v>
      </c>
      <c r="F253" s="85" t="s">
        <v>16</v>
      </c>
      <c r="G253" s="97" t="s">
        <v>196</v>
      </c>
      <c r="H253" s="39" t="str">
        <f>_xlfn.XLOOKUP(Tabela1[[#This Row],[Matrícula]],Equipe!B:B,Equipe!E:E,"ERRO",0)</f>
        <v>P80</v>
      </c>
      <c r="I253" s="39" t="str">
        <f>VLOOKUP(Tabela1[[#This Row],[Matrícula]],Equipe!B:F,5,0)</f>
        <v>Experiente</v>
      </c>
    </row>
    <row r="254" spans="1:9" ht="29.45" thickBot="1">
      <c r="A254" s="85" t="s">
        <v>31</v>
      </c>
      <c r="B254" s="104">
        <f>_xlfn.XLOOKUP(A254,Equipe!H:H,Equipe!B:B,"",0)</f>
        <v>1385894</v>
      </c>
      <c r="C254" s="89">
        <v>46003</v>
      </c>
      <c r="D254" s="105">
        <f>IF(Tabela1[[#This Row],[Início]]&lt;&gt;"",C254+E254-1,"")</f>
        <v>46003</v>
      </c>
      <c r="E254" s="85">
        <v>1</v>
      </c>
      <c r="F254" s="85" t="s">
        <v>17</v>
      </c>
      <c r="G254" s="97" t="s">
        <v>188</v>
      </c>
      <c r="H254" s="39" t="str">
        <f>_xlfn.XLOOKUP(Tabela1[[#This Row],[Matrícula]],Equipe!B:B,Equipe!E:E,"ERRO",0)</f>
        <v>P80</v>
      </c>
      <c r="I254" s="39" t="str">
        <f>VLOOKUP(Tabela1[[#This Row],[Matrícula]],Equipe!B:F,5,0)</f>
        <v>Experiente</v>
      </c>
    </row>
    <row r="255" spans="1:9" ht="29.45" thickBot="1">
      <c r="A255" s="85" t="s">
        <v>43</v>
      </c>
      <c r="B255" s="104">
        <f>_xlfn.XLOOKUP(A255,Equipe!H:H,Equipe!B:B,"",0)</f>
        <v>4608389</v>
      </c>
      <c r="C255" s="89">
        <v>45960</v>
      </c>
      <c r="D255" s="105">
        <f>IF(Tabela1[[#This Row],[Início]]&lt;&gt;"",C255+E255-1,"")</f>
        <v>45961</v>
      </c>
      <c r="E255" s="85">
        <v>2</v>
      </c>
      <c r="F255" s="85" t="s">
        <v>17</v>
      </c>
      <c r="G255" s="97" t="s">
        <v>197</v>
      </c>
      <c r="H255" s="39" t="str">
        <f>_xlfn.XLOOKUP(Tabela1[[#This Row],[Matrícula]],Equipe!B:B,Equipe!E:E,"ERRO",0)</f>
        <v>P80</v>
      </c>
      <c r="I255" s="39" t="str">
        <f>VLOOKUP(Tabela1[[#This Row],[Matrícula]],Equipe!B:F,5,0)</f>
        <v>Novo</v>
      </c>
    </row>
    <row r="256" spans="1:9" ht="29.45" thickBot="1">
      <c r="A256" s="85" t="s">
        <v>51</v>
      </c>
      <c r="B256" s="104">
        <f>_xlfn.XLOOKUP(A256,Equipe!H:H,Equipe!B:B,"",0)</f>
        <v>4608684</v>
      </c>
      <c r="C256" s="89">
        <v>45959</v>
      </c>
      <c r="D256" s="105">
        <f>IF(Tabela1[[#This Row],[Início]]&lt;&gt;"",C256+E256-1,"")</f>
        <v>45961</v>
      </c>
      <c r="E256" s="85">
        <v>3</v>
      </c>
      <c r="F256" s="85" t="s">
        <v>16</v>
      </c>
      <c r="G256" s="108" t="s">
        <v>198</v>
      </c>
      <c r="H256" s="39" t="str">
        <f>_xlfn.XLOOKUP(Tabela1[[#This Row],[Matrícula]],Equipe!B:B,Equipe!E:E,"ERRO",0)</f>
        <v>P82</v>
      </c>
      <c r="I256" s="39" t="str">
        <f>VLOOKUP(Tabela1[[#This Row],[Matrícula]],Equipe!B:F,5,0)</f>
        <v>Novo</v>
      </c>
    </row>
    <row r="257" spans="1:9" ht="29.45" thickBot="1">
      <c r="A257" s="85" t="s">
        <v>112</v>
      </c>
      <c r="B257" s="104">
        <f>_xlfn.XLOOKUP(A257,Equipe!H:H,Equipe!B:B,"",0)</f>
        <v>4612389</v>
      </c>
      <c r="C257" s="89">
        <v>45992</v>
      </c>
      <c r="D257" s="105">
        <f>IF(Tabela1[[#This Row],[Início]]&lt;&gt;"",C257+E257-1,"")</f>
        <v>45994</v>
      </c>
      <c r="E257" s="85">
        <v>3</v>
      </c>
      <c r="F257" s="85" t="s">
        <v>16</v>
      </c>
      <c r="G257" s="97" t="s">
        <v>199</v>
      </c>
      <c r="H257" s="39" t="str">
        <f>_xlfn.XLOOKUP(Tabela1[[#This Row],[Matrícula]],Equipe!B:B,Equipe!E:E,"ERRO",0)</f>
        <v>P80</v>
      </c>
      <c r="I257" s="39" t="str">
        <f>VLOOKUP(Tabela1[[#This Row],[Matrícula]],Equipe!B:F,5,0)</f>
        <v>Novo</v>
      </c>
    </row>
    <row r="258" spans="1:9" ht="29.45" thickBot="1">
      <c r="A258" s="85" t="s">
        <v>45</v>
      </c>
      <c r="B258" s="104">
        <f>_xlfn.XLOOKUP(A258,Equipe!H:H,Equipe!B:B,"",0)</f>
        <v>4608411</v>
      </c>
      <c r="C258" s="89">
        <v>45959</v>
      </c>
      <c r="D258" s="105">
        <f>IF(Tabela1[[#This Row],[Início]]&lt;&gt;"",C258+E258-1,"")</f>
        <v>45961</v>
      </c>
      <c r="E258" s="85">
        <v>3</v>
      </c>
      <c r="F258" s="85" t="s">
        <v>16</v>
      </c>
      <c r="G258" s="108" t="s">
        <v>198</v>
      </c>
      <c r="H258" s="39" t="str">
        <f>_xlfn.XLOOKUP(Tabela1[[#This Row],[Matrícula]],Equipe!B:B,Equipe!E:E,"ERRO",0)</f>
        <v>P83</v>
      </c>
      <c r="I258" s="39" t="str">
        <f>VLOOKUP(Tabela1[[#This Row],[Matrícula]],Equipe!B:F,5,0)</f>
        <v>Novo</v>
      </c>
    </row>
    <row r="259" spans="1:9" ht="29.45" thickBot="1">
      <c r="A259" s="85" t="s">
        <v>116</v>
      </c>
      <c r="B259" s="104">
        <f>_xlfn.XLOOKUP(A259,Equipe!H:H,Equipe!B:B,"",0)</f>
        <v>4612243</v>
      </c>
      <c r="C259" s="89">
        <v>45992</v>
      </c>
      <c r="D259" s="105">
        <f>IF(Tabela1[[#This Row],[Início]]&lt;&gt;"",C259+E259-1,"")</f>
        <v>45994</v>
      </c>
      <c r="E259" s="85">
        <v>3</v>
      </c>
      <c r="F259" s="85" t="s">
        <v>16</v>
      </c>
      <c r="G259" s="97" t="s">
        <v>199</v>
      </c>
      <c r="H259" s="39" t="str">
        <f>_xlfn.XLOOKUP(Tabela1[[#This Row],[Matrícula]],Equipe!B:B,Equipe!E:E,"ERRO",0)</f>
        <v>P80</v>
      </c>
      <c r="I259" s="39" t="str">
        <f>VLOOKUP(Tabela1[[#This Row],[Matrícula]],Equipe!B:F,5,0)</f>
        <v>Novo</v>
      </c>
    </row>
    <row r="260" spans="1:9" ht="15" thickBot="1">
      <c r="A260" s="85" t="s">
        <v>55</v>
      </c>
      <c r="B260" s="104">
        <v>9618720</v>
      </c>
      <c r="C260" s="89">
        <v>45966</v>
      </c>
      <c r="D260" s="105">
        <f>IF(Tabela1[[#This Row],[Início]]&lt;&gt;"",C260+E260-1,"")</f>
        <v>45967</v>
      </c>
      <c r="E260" s="85">
        <v>2</v>
      </c>
      <c r="F260" s="85" t="s">
        <v>16</v>
      </c>
      <c r="G260" s="97" t="s">
        <v>196</v>
      </c>
      <c r="H260" s="39" t="str">
        <f>_xlfn.XLOOKUP(Tabela1[[#This Row],[Matrícula]],Equipe!B:B,Equipe!E:E,"ERRO",0)</f>
        <v>P82</v>
      </c>
      <c r="I260" s="39" t="str">
        <f>VLOOKUP(Tabela1[[#This Row],[Matrícula]],Equipe!B:F,5,0)</f>
        <v>Experiente</v>
      </c>
    </row>
    <row r="261" spans="1:9" ht="30.75">
      <c r="A261" s="85" t="s">
        <v>31</v>
      </c>
      <c r="B261" s="104">
        <f>_xlfn.XLOOKUP(A261,Equipe!H:H,Equipe!B:B,"",0)</f>
        <v>1385894</v>
      </c>
      <c r="C261" s="89">
        <v>46010</v>
      </c>
      <c r="D261" s="105">
        <f>IF(Tabela1[[#This Row],[Início]]&lt;&gt;"",C261+E261-1,"")</f>
        <v>46010</v>
      </c>
      <c r="E261" s="85">
        <v>1</v>
      </c>
      <c r="F261" s="85" t="s">
        <v>17</v>
      </c>
      <c r="G261" s="97" t="s">
        <v>188</v>
      </c>
      <c r="H261" s="39" t="str">
        <f>_xlfn.XLOOKUP(Tabela1[[#This Row],[Matrícula]],Equipe!B:B,Equipe!E:E,"ERRO",0)</f>
        <v>P80</v>
      </c>
      <c r="I261" s="39" t="str">
        <f>VLOOKUP(Tabela1[[#This Row],[Matrícula]],Equipe!B:F,5,0)</f>
        <v>Experiente</v>
      </c>
    </row>
    <row r="262" spans="1:9" ht="15" thickBot="1">
      <c r="A262" s="85" t="s">
        <v>110</v>
      </c>
      <c r="B262" s="104">
        <f>_xlfn.XLOOKUP(A262,Equipe!H:H,Equipe!B:B,"",0)</f>
        <v>4612192</v>
      </c>
      <c r="C262" s="89">
        <v>46008</v>
      </c>
      <c r="D262" s="105">
        <f>IF(Tabela1[[#This Row],[Início]]&lt;&gt;"",C262+E262-1,"")</f>
        <v>46021</v>
      </c>
      <c r="E262" s="85">
        <v>14</v>
      </c>
      <c r="F262" s="85" t="s">
        <v>11</v>
      </c>
      <c r="G262" s="97" t="s">
        <v>80</v>
      </c>
      <c r="H262" s="39" t="str">
        <f>_xlfn.XLOOKUP(Tabela1[[#This Row],[Matrícula]],Equipe!B:B,Equipe!E:E,"ERRO",0)</f>
        <v>P82</v>
      </c>
      <c r="I262" s="39" t="str">
        <f>VLOOKUP(Tabela1[[#This Row],[Matrícula]],Equipe!B:F,5,0)</f>
        <v>Novo</v>
      </c>
    </row>
    <row r="263" spans="1:9" ht="15" thickBot="1">
      <c r="A263" s="85" t="s">
        <v>110</v>
      </c>
      <c r="B263" s="104">
        <f>_xlfn.XLOOKUP(A263,Equipe!H:H,Equipe!B:B,"",0)</f>
        <v>4612192</v>
      </c>
      <c r="C263" s="89">
        <v>46022</v>
      </c>
      <c r="D263" s="105">
        <f>IF(Tabela1[[#This Row],[Início]]&lt;&gt;"",C263+E263-1,"")</f>
        <v>46052</v>
      </c>
      <c r="E263" s="85">
        <v>31</v>
      </c>
      <c r="F263" s="85" t="s">
        <v>17</v>
      </c>
      <c r="G263" s="97" t="s">
        <v>200</v>
      </c>
      <c r="H263" s="39" t="str">
        <f>_xlfn.XLOOKUP(Tabela1[[#This Row],[Matrícula]],Equipe!B:B,Equipe!E:E,"ERRO",0)</f>
        <v>P82</v>
      </c>
      <c r="I263" s="39" t="str">
        <f>VLOOKUP(Tabela1[[#This Row],[Matrícula]],Equipe!B:F,5,0)</f>
        <v>Novo</v>
      </c>
    </row>
    <row r="264" spans="1:9" ht="29.45" thickBot="1">
      <c r="A264" s="85" t="s">
        <v>106</v>
      </c>
      <c r="B264" s="104">
        <f>_xlfn.XLOOKUP(A264,Equipe!H:H,Equipe!B:B,"",0)</f>
        <v>4612140</v>
      </c>
      <c r="C264" s="89">
        <v>45967</v>
      </c>
      <c r="D264" s="105">
        <f>IF(Tabela1[[#This Row],[Início]]&lt;&gt;"",C264+E264-1,"")</f>
        <v>45968</v>
      </c>
      <c r="E264" s="85">
        <v>2</v>
      </c>
      <c r="F264" s="85" t="s">
        <v>16</v>
      </c>
      <c r="G264" s="97" t="s">
        <v>201</v>
      </c>
      <c r="H264" s="39" t="str">
        <f>_xlfn.XLOOKUP(Tabela1[[#This Row],[Matrícula]],Equipe!B:B,Equipe!E:E,"ERRO",0)</f>
        <v>P83</v>
      </c>
      <c r="I264" s="39" t="str">
        <f>VLOOKUP(Tabela1[[#This Row],[Matrícula]],Equipe!B:F,5,0)</f>
        <v>Novo</v>
      </c>
    </row>
    <row r="265" spans="1:9" ht="15" thickBot="1">
      <c r="A265" s="85" t="s">
        <v>106</v>
      </c>
      <c r="B265" s="104">
        <f>_xlfn.XLOOKUP(A265,Equipe!H:H,Equipe!B:B,"",0)</f>
        <v>4612140</v>
      </c>
      <c r="C265" s="89">
        <v>45986</v>
      </c>
      <c r="D265" s="105">
        <f>IF(Tabela1[[#This Row],[Início]]&lt;&gt;"",C265+E265-1,"")</f>
        <v>45986</v>
      </c>
      <c r="E265" s="85">
        <v>1</v>
      </c>
      <c r="F265" s="85" t="s">
        <v>16</v>
      </c>
      <c r="G265" s="97" t="s">
        <v>202</v>
      </c>
      <c r="H265" s="39" t="str">
        <f>_xlfn.XLOOKUP(Tabela1[[#This Row],[Matrícula]],Equipe!B:B,Equipe!E:E,"ERRO",0)</f>
        <v>P83</v>
      </c>
      <c r="I265" s="39" t="str">
        <f>VLOOKUP(Tabela1[[#This Row],[Matrícula]],Equipe!B:F,5,0)</f>
        <v>Novo</v>
      </c>
    </row>
    <row r="266" spans="1:9" ht="29.45" thickBot="1">
      <c r="A266" s="85" t="s">
        <v>112</v>
      </c>
      <c r="B266" s="104">
        <f>_xlfn.XLOOKUP(A266,Equipe!H:H,Equipe!B:B,"",0)</f>
        <v>4612389</v>
      </c>
      <c r="C266" s="89">
        <v>45967</v>
      </c>
      <c r="D266" s="105">
        <f>IF(Tabela1[[#This Row],[Início]]&lt;&gt;"",C266+E266-1,"")</f>
        <v>45968</v>
      </c>
      <c r="E266" s="85">
        <v>2</v>
      </c>
      <c r="F266" s="85" t="s">
        <v>16</v>
      </c>
      <c r="G266" s="97" t="s">
        <v>201</v>
      </c>
      <c r="H266" s="39" t="str">
        <f>_xlfn.XLOOKUP(Tabela1[[#This Row],[Matrícula]],Equipe!B:B,Equipe!E:E,"ERRO",0)</f>
        <v>P80</v>
      </c>
      <c r="I266" s="39" t="str">
        <f>VLOOKUP(Tabela1[[#This Row],[Matrícula]],Equipe!B:F,5,0)</f>
        <v>Novo</v>
      </c>
    </row>
    <row r="267" spans="1:9" ht="15" thickBot="1">
      <c r="A267" s="85" t="s">
        <v>22</v>
      </c>
      <c r="B267" s="104">
        <f>_xlfn.XLOOKUP(A267,Equipe!H:H,Equipe!B:B,"",0)</f>
        <v>9634180</v>
      </c>
      <c r="C267" s="89">
        <v>45958</v>
      </c>
      <c r="D267" s="105">
        <f>IF(Tabela1[[#This Row],[Início]]&lt;&gt;"",C267+E267-1,"")</f>
        <v>45971</v>
      </c>
      <c r="E267" s="85">
        <v>14</v>
      </c>
      <c r="F267" s="85" t="s">
        <v>11</v>
      </c>
      <c r="G267" s="97" t="s">
        <v>95</v>
      </c>
      <c r="H267" s="39" t="str">
        <f>_xlfn.XLOOKUP(Tabela1[[#This Row],[Matrícula]],Equipe!B:B,Equipe!E:E,"ERRO",0)</f>
        <v>P83</v>
      </c>
      <c r="I267" s="39" t="str">
        <f>VLOOKUP(Tabela1[[#This Row],[Matrícula]],Equipe!B:F,5,0)</f>
        <v>Experiente</v>
      </c>
    </row>
    <row r="268" spans="1:9" ht="15" thickBot="1">
      <c r="A268" s="85" t="s">
        <v>22</v>
      </c>
      <c r="B268" s="104">
        <f>_xlfn.XLOOKUP(A268,Equipe!H:H,Equipe!B:B,"",0)</f>
        <v>9634180</v>
      </c>
      <c r="C268" s="89">
        <v>45972</v>
      </c>
      <c r="D268" s="105">
        <f>IF(Tabela1[[#This Row],[Início]]&lt;&gt;"",C268+E268-1,"")</f>
        <v>45992</v>
      </c>
      <c r="E268" s="85">
        <v>21</v>
      </c>
      <c r="F268" s="85" t="s">
        <v>17</v>
      </c>
      <c r="G268" s="97" t="s">
        <v>151</v>
      </c>
      <c r="H268" s="39" t="str">
        <f>_xlfn.XLOOKUP(Tabela1[[#This Row],[Matrícula]],Equipe!B:B,Equipe!E:E,"ERRO",0)</f>
        <v>P83</v>
      </c>
      <c r="I268" s="39" t="str">
        <f>VLOOKUP(Tabela1[[#This Row],[Matrícula]],Equipe!B:F,5,0)</f>
        <v>Experiente</v>
      </c>
    </row>
    <row r="269" spans="1:9" ht="15" thickBot="1">
      <c r="A269" s="85"/>
      <c r="B269" s="104" t="str">
        <f>_xlfn.XLOOKUP(A269,Equipe!H:H,Equipe!B:B,"",0)</f>
        <v/>
      </c>
      <c r="C269" s="89"/>
      <c r="D269" s="105" t="str">
        <f>IF(Tabela1[[#This Row],[Início]]&lt;&gt;"",C269+E269-1,"")</f>
        <v/>
      </c>
      <c r="E269" s="85"/>
      <c r="F269" s="85"/>
      <c r="G269" s="97"/>
      <c r="H269" s="39" t="str">
        <f>_xlfn.XLOOKUP(Tabela1[[#This Row],[Matrícula]],Equipe!B:B,Equipe!E:E,"ERRO",0)</f>
        <v>ERRO</v>
      </c>
      <c r="I269" s="39" t="e">
        <f>VLOOKUP(Tabela1[[#This Row],[Matrícula]],Equipe!B:F,5,0)</f>
        <v>#N/A</v>
      </c>
    </row>
    <row r="270" spans="1:9" ht="15" thickBot="1">
      <c r="A270" s="85"/>
      <c r="B270" s="104" t="str">
        <f>_xlfn.XLOOKUP(A270,Equipe!H:H,Equipe!B:B,"",0)</f>
        <v/>
      </c>
      <c r="C270" s="89"/>
      <c r="D270" s="105" t="str">
        <f>IF(Tabela1[[#This Row],[Início]]&lt;&gt;"",C270+E270-1,"")</f>
        <v/>
      </c>
      <c r="E270" s="85"/>
      <c r="F270" s="85"/>
      <c r="G270" s="97"/>
      <c r="H270" s="39" t="str">
        <f>_xlfn.XLOOKUP(Tabela1[[#This Row],[Matrícula]],Equipe!B:B,Equipe!E:E,"ERRO",0)</f>
        <v>ERRO</v>
      </c>
      <c r="I270" s="39" t="e">
        <f>VLOOKUP(Tabela1[[#This Row],[Matrícula]],Equipe!B:F,5,0)</f>
        <v>#N/A</v>
      </c>
    </row>
    <row r="271" spans="1:9" ht="15" thickBot="1">
      <c r="A271" s="85"/>
      <c r="B271" s="104" t="str">
        <f>_xlfn.XLOOKUP(A271,Equipe!H:H,Equipe!B:B,"",0)</f>
        <v/>
      </c>
      <c r="C271" s="89"/>
      <c r="D271" s="105" t="str">
        <f>IF(Tabela1[[#This Row],[Início]]&lt;&gt;"",C271+E271-1,"")</f>
        <v/>
      </c>
      <c r="E271" s="85"/>
      <c r="F271" s="85"/>
      <c r="G271" s="97"/>
      <c r="H271" s="39" t="str">
        <f>_xlfn.XLOOKUP(Tabela1[[#This Row],[Matrícula]],Equipe!B:B,Equipe!E:E,"ERRO",0)</f>
        <v>ERRO</v>
      </c>
      <c r="I271" s="39" t="e">
        <f>VLOOKUP(Tabela1[[#This Row],[Matrícula]],Equipe!B:F,5,0)</f>
        <v>#N/A</v>
      </c>
    </row>
    <row r="272" spans="1:9" ht="15" thickBot="1">
      <c r="A272" s="85"/>
      <c r="B272" s="104" t="str">
        <f>_xlfn.XLOOKUP(A272,Equipe!H:H,Equipe!B:B,"",0)</f>
        <v/>
      </c>
      <c r="C272" s="89"/>
      <c r="D272" s="105" t="str">
        <f>IF(Tabela1[[#This Row],[Início]]&lt;&gt;"",C272+E272-1,"")</f>
        <v/>
      </c>
      <c r="E272" s="85"/>
      <c r="F272" s="85"/>
      <c r="G272" s="97"/>
      <c r="H272" s="39" t="str">
        <f>_xlfn.XLOOKUP(Tabela1[[#This Row],[Matrícula]],Equipe!B:B,Equipe!E:E,"ERRO",0)</f>
        <v>ERRO</v>
      </c>
      <c r="I272" s="39" t="e">
        <f>VLOOKUP(Tabela1[[#This Row],[Matrícula]],Equipe!B:F,5,0)</f>
        <v>#N/A</v>
      </c>
    </row>
    <row r="273" spans="1:9" ht="15" thickBot="1">
      <c r="A273" s="85"/>
      <c r="B273" s="104" t="str">
        <f>_xlfn.XLOOKUP(A273,Equipe!H:H,Equipe!B:B,"",0)</f>
        <v/>
      </c>
      <c r="C273" s="89"/>
      <c r="D273" s="105" t="str">
        <f>IF(Tabela1[[#This Row],[Início]]&lt;&gt;"",C273+E273-1,"")</f>
        <v/>
      </c>
      <c r="E273" s="85"/>
      <c r="F273" s="85"/>
      <c r="G273" s="97"/>
      <c r="H273" s="39" t="str">
        <f>_xlfn.XLOOKUP(Tabela1[[#This Row],[Matrícula]],Equipe!B:B,Equipe!E:E,"ERRO",0)</f>
        <v>ERRO</v>
      </c>
      <c r="I273" s="39" t="e">
        <f>VLOOKUP(Tabela1[[#This Row],[Matrícula]],Equipe!B:F,5,0)</f>
        <v>#N/A</v>
      </c>
    </row>
    <row r="274" spans="1:9" ht="15" thickBot="1">
      <c r="A274" s="85"/>
      <c r="B274" s="104" t="str">
        <f>_xlfn.XLOOKUP(A274,Equipe!H:H,Equipe!B:B,"",0)</f>
        <v/>
      </c>
      <c r="C274" s="89"/>
      <c r="D274" s="105" t="str">
        <f>IF(Tabela1[[#This Row],[Início]]&lt;&gt;"",C274+E274-1,"")</f>
        <v/>
      </c>
      <c r="E274" s="85"/>
      <c r="F274" s="85"/>
      <c r="G274" s="97"/>
      <c r="H274" s="39" t="str">
        <f>_xlfn.XLOOKUP(Tabela1[[#This Row],[Matrícula]],Equipe!B:B,Equipe!E:E,"ERRO",0)</f>
        <v>ERRO</v>
      </c>
      <c r="I274" s="39" t="e">
        <f>VLOOKUP(Tabela1[[#This Row],[Matrícula]],Equipe!B:F,5,0)</f>
        <v>#N/A</v>
      </c>
    </row>
    <row r="275" spans="1:9" ht="15" thickBot="1">
      <c r="A275" s="85"/>
      <c r="B275" s="104" t="str">
        <f>_xlfn.XLOOKUP(A275,Equipe!H:H,Equipe!B:B,"",0)</f>
        <v/>
      </c>
      <c r="C275" s="89"/>
      <c r="D275" s="105" t="str">
        <f>IF(Tabela1[[#This Row],[Início]]&lt;&gt;"",C275+E275-1,"")</f>
        <v/>
      </c>
      <c r="E275" s="85"/>
      <c r="F275" s="85"/>
      <c r="G275" s="97"/>
      <c r="H275" s="39" t="str">
        <f>_xlfn.XLOOKUP(Tabela1[[#This Row],[Matrícula]],Equipe!B:B,Equipe!E:E,"ERRO",0)</f>
        <v>ERRO</v>
      </c>
      <c r="I275" s="39" t="e">
        <f>VLOOKUP(Tabela1[[#This Row],[Matrícula]],Equipe!B:F,5,0)</f>
        <v>#N/A</v>
      </c>
    </row>
    <row r="276" spans="1:9" ht="15" thickBot="1">
      <c r="A276" s="85"/>
      <c r="B276" s="104" t="str">
        <f>_xlfn.XLOOKUP(A276,Equipe!H:H,Equipe!B:B,"",0)</f>
        <v/>
      </c>
      <c r="C276" s="89"/>
      <c r="D276" s="105" t="str">
        <f>IF(Tabela1[[#This Row],[Início]]&lt;&gt;"",C276+E276-1,"")</f>
        <v/>
      </c>
      <c r="E276" s="85"/>
      <c r="F276" s="85"/>
      <c r="G276" s="97"/>
      <c r="H276" s="39" t="str">
        <f>_xlfn.XLOOKUP(Tabela1[[#This Row],[Matrícula]],Equipe!B:B,Equipe!E:E,"ERRO",0)</f>
        <v>ERRO</v>
      </c>
      <c r="I276" s="39" t="e">
        <f>VLOOKUP(Tabela1[[#This Row],[Matrícula]],Equipe!B:F,5,0)</f>
        <v>#N/A</v>
      </c>
    </row>
    <row r="277" spans="1:9" ht="15" thickBot="1">
      <c r="A277" s="85"/>
      <c r="B277" s="104" t="str">
        <f>_xlfn.XLOOKUP(A277,Equipe!H:H,Equipe!B:B,"",0)</f>
        <v/>
      </c>
      <c r="C277" s="89"/>
      <c r="D277" s="105" t="str">
        <f>IF(Tabela1[[#This Row],[Início]]&lt;&gt;"",C277+E277-1,"")</f>
        <v/>
      </c>
      <c r="E277" s="85"/>
      <c r="F277" s="85"/>
      <c r="G277" s="97"/>
      <c r="H277" s="39" t="str">
        <f>_xlfn.XLOOKUP(Tabela1[[#This Row],[Matrícula]],Equipe!B:B,Equipe!E:E,"ERRO",0)</f>
        <v>ERRO</v>
      </c>
      <c r="I277" s="39" t="e">
        <f>VLOOKUP(Tabela1[[#This Row],[Matrícula]],Equipe!B:F,5,0)</f>
        <v>#N/A</v>
      </c>
    </row>
    <row r="278" spans="1:9" ht="15" thickBot="1">
      <c r="A278" s="85"/>
      <c r="B278" s="104" t="str">
        <f>_xlfn.XLOOKUP(A278,Equipe!H:H,Equipe!B:B,"",0)</f>
        <v/>
      </c>
      <c r="C278" s="89"/>
      <c r="D278" s="105" t="str">
        <f>IF(Tabela1[[#This Row],[Início]]&lt;&gt;"",C278+E278-1,"")</f>
        <v/>
      </c>
      <c r="E278" s="85"/>
      <c r="F278" s="85"/>
      <c r="G278" s="97"/>
      <c r="H278" s="39" t="str">
        <f>_xlfn.XLOOKUP(Tabela1[[#This Row],[Matrícula]],Equipe!B:B,Equipe!E:E,"ERRO",0)</f>
        <v>ERRO</v>
      </c>
      <c r="I278" s="39" t="e">
        <f>VLOOKUP(Tabela1[[#This Row],[Matrícula]],Equipe!B:F,5,0)</f>
        <v>#N/A</v>
      </c>
    </row>
    <row r="279" spans="1:9" ht="15" thickBot="1">
      <c r="A279" s="85"/>
      <c r="B279" s="104" t="str">
        <f>_xlfn.XLOOKUP(A279,Equipe!H:H,Equipe!B:B,"",0)</f>
        <v/>
      </c>
      <c r="C279" s="89"/>
      <c r="D279" s="105" t="str">
        <f>IF(Tabela1[[#This Row],[Início]]&lt;&gt;"",C279+E279-1,"")</f>
        <v/>
      </c>
      <c r="E279" s="85"/>
      <c r="F279" s="85"/>
      <c r="G279" s="97"/>
      <c r="H279" s="39" t="str">
        <f>_xlfn.XLOOKUP(Tabela1[[#This Row],[Matrícula]],Equipe!B:B,Equipe!E:E,"ERRO",0)</f>
        <v>ERRO</v>
      </c>
      <c r="I279" s="39" t="e">
        <f>VLOOKUP(Tabela1[[#This Row],[Matrícula]],Equipe!B:F,5,0)</f>
        <v>#N/A</v>
      </c>
    </row>
    <row r="280" spans="1:9" ht="15" thickBot="1">
      <c r="A280" s="85"/>
      <c r="B280" s="104" t="str">
        <f>_xlfn.XLOOKUP(A280,Equipe!H:H,Equipe!B:B,"",0)</f>
        <v/>
      </c>
      <c r="C280" s="89"/>
      <c r="D280" s="105" t="str">
        <f>IF(Tabela1[[#This Row],[Início]]&lt;&gt;"",C280+E280-1,"")</f>
        <v/>
      </c>
      <c r="E280" s="85"/>
      <c r="F280" s="85"/>
      <c r="G280" s="97"/>
      <c r="H280" s="39" t="str">
        <f>_xlfn.XLOOKUP(Tabela1[[#This Row],[Matrícula]],Equipe!B:B,Equipe!E:E,"ERRO",0)</f>
        <v>ERRO</v>
      </c>
      <c r="I280" s="39" t="e">
        <f>VLOOKUP(Tabela1[[#This Row],[Matrícula]],Equipe!B:F,5,0)</f>
        <v>#N/A</v>
      </c>
    </row>
    <row r="281" spans="1:9" ht="15" thickBot="1">
      <c r="A281" s="85"/>
      <c r="B281" s="104" t="str">
        <f>_xlfn.XLOOKUP(A281,Equipe!H:H,Equipe!B:B,"",0)</f>
        <v/>
      </c>
      <c r="C281" s="89"/>
      <c r="D281" s="105" t="str">
        <f>IF(Tabela1[[#This Row],[Início]]&lt;&gt;"",C281+E281-1,"")</f>
        <v/>
      </c>
      <c r="E281" s="85"/>
      <c r="F281" s="85"/>
      <c r="G281" s="97"/>
      <c r="H281" s="39" t="str">
        <f>_xlfn.XLOOKUP(Tabela1[[#This Row],[Matrícula]],Equipe!B:B,Equipe!E:E,"ERRO",0)</f>
        <v>ERRO</v>
      </c>
      <c r="I281" s="39" t="e">
        <f>VLOOKUP(Tabela1[[#This Row],[Matrícula]],Equipe!B:F,5,0)</f>
        <v>#N/A</v>
      </c>
    </row>
    <row r="282" spans="1:9" ht="15" thickBot="1">
      <c r="A282" s="85"/>
      <c r="B282" s="104" t="str">
        <f>_xlfn.XLOOKUP(A282,Equipe!H:H,Equipe!B:B,"",0)</f>
        <v/>
      </c>
      <c r="C282" s="89"/>
      <c r="D282" s="105" t="str">
        <f>IF(Tabela1[[#This Row],[Início]]&lt;&gt;"",C282+E282-1,"")</f>
        <v/>
      </c>
      <c r="E282" s="85"/>
      <c r="F282" s="85"/>
      <c r="G282" s="97"/>
      <c r="H282" s="39" t="str">
        <f>_xlfn.XLOOKUP(Tabela1[[#This Row],[Matrícula]],Equipe!B:B,Equipe!E:E,"ERRO",0)</f>
        <v>ERRO</v>
      </c>
      <c r="I282" s="39" t="e">
        <f>VLOOKUP(Tabela1[[#This Row],[Matrícula]],Equipe!B:F,5,0)</f>
        <v>#N/A</v>
      </c>
    </row>
    <row r="283" spans="1:9" ht="15" thickBot="1">
      <c r="A283" s="85"/>
      <c r="B283" s="104" t="str">
        <f>_xlfn.XLOOKUP(A283,Equipe!H:H,Equipe!B:B,"",0)</f>
        <v/>
      </c>
      <c r="C283" s="89"/>
      <c r="D283" s="105" t="str">
        <f>IF(Tabela1[[#This Row],[Início]]&lt;&gt;"",C283+E283-1,"")</f>
        <v/>
      </c>
      <c r="E283" s="85"/>
      <c r="F283" s="85"/>
      <c r="G283" s="97"/>
      <c r="H283" s="39" t="str">
        <f>_xlfn.XLOOKUP(Tabela1[[#This Row],[Matrícula]],Equipe!B:B,Equipe!E:E,"ERRO",0)</f>
        <v>ERRO</v>
      </c>
      <c r="I283" s="39" t="e">
        <f>VLOOKUP(Tabela1[[#This Row],[Matrícula]],Equipe!B:F,5,0)</f>
        <v>#N/A</v>
      </c>
    </row>
    <row r="284" spans="1:9" ht="30" customHeight="1" thickBot="1">
      <c r="A284" s="85"/>
      <c r="B284" s="104" t="str">
        <f>_xlfn.XLOOKUP(A284,Equipe!H:H,Equipe!B:B,"",0)</f>
        <v/>
      </c>
      <c r="C284" s="89"/>
      <c r="D284" s="105" t="str">
        <f>IF(Tabela1[[#This Row],[Início]]&lt;&gt;"",C284+E284-1,"")</f>
        <v/>
      </c>
      <c r="E284" s="85"/>
      <c r="F284" s="85"/>
      <c r="G284" s="97"/>
      <c r="H284" s="39" t="str">
        <f>_xlfn.XLOOKUP(Tabela1[[#This Row],[Matrícula]],Equipe!B:B,Equipe!E:E,"ERRO",0)</f>
        <v>ERRO</v>
      </c>
      <c r="I284" s="39" t="e">
        <f>VLOOKUP(Tabela1[[#This Row],[Matrícula]],Equipe!B:F,5,0)</f>
        <v>#N/A</v>
      </c>
    </row>
    <row r="285" spans="1:9" ht="30" customHeight="1" thickBot="1">
      <c r="A285" s="85"/>
      <c r="B285" s="104" t="str">
        <f>_xlfn.XLOOKUP(A285,Equipe!H:H,Equipe!B:B,"",0)</f>
        <v/>
      </c>
      <c r="C285" s="89"/>
      <c r="D285" s="105" t="str">
        <f>IF(Tabela1[[#This Row],[Início]]&lt;&gt;"",C285+E285-1,"")</f>
        <v/>
      </c>
      <c r="E285" s="85"/>
      <c r="F285" s="85"/>
      <c r="G285" s="97"/>
      <c r="H285" s="39" t="str">
        <f>_xlfn.XLOOKUP(Tabela1[[#This Row],[Matrícula]],Equipe!B:B,Equipe!E:E,"ERRO",0)</f>
        <v>ERRO</v>
      </c>
      <c r="I285" s="39" t="e">
        <f>VLOOKUP(Tabela1[[#This Row],[Matrícula]],Equipe!B:F,5,0)</f>
        <v>#N/A</v>
      </c>
    </row>
    <row r="286" spans="1:9" ht="30" customHeight="1" thickBot="1">
      <c r="A286" s="85"/>
      <c r="B286" s="104" t="str">
        <f>_xlfn.XLOOKUP(A286,Equipe!H:H,Equipe!B:B,"",0)</f>
        <v/>
      </c>
      <c r="C286" s="89"/>
      <c r="D286" s="105" t="str">
        <f>IF(Tabela1[[#This Row],[Início]]&lt;&gt;"",C286+E286-1,"")</f>
        <v/>
      </c>
      <c r="E286" s="85"/>
      <c r="F286" s="85"/>
      <c r="G286" s="97"/>
      <c r="H286" s="39" t="str">
        <f>_xlfn.XLOOKUP(Tabela1[[#This Row],[Matrícula]],Equipe!B:B,Equipe!E:E,"ERRO",0)</f>
        <v>ERRO</v>
      </c>
      <c r="I286" s="39" t="e">
        <f>VLOOKUP(Tabela1[[#This Row],[Matrícula]],Equipe!B:F,5,0)</f>
        <v>#N/A</v>
      </c>
    </row>
    <row r="287" spans="1:9" ht="30" customHeight="1" thickBot="1">
      <c r="A287" s="85"/>
      <c r="B287" s="104" t="str">
        <f>_xlfn.XLOOKUP(A287,Equipe!H:H,Equipe!B:B,"",0)</f>
        <v/>
      </c>
      <c r="C287" s="89"/>
      <c r="D287" s="105" t="str">
        <f>IF(Tabela1[[#This Row],[Início]]&lt;&gt;"",C287+E287-1,"")</f>
        <v/>
      </c>
      <c r="E287" s="85"/>
      <c r="F287" s="85"/>
      <c r="G287" s="97"/>
      <c r="H287" s="39" t="str">
        <f>_xlfn.XLOOKUP(Tabela1[[#This Row],[Matrícula]],Equipe!B:B,Equipe!E:E,"ERRO",0)</f>
        <v>ERRO</v>
      </c>
      <c r="I287" s="39" t="e">
        <f>VLOOKUP(Tabela1[[#This Row],[Matrícula]],Equipe!B:F,5,0)</f>
        <v>#N/A</v>
      </c>
    </row>
    <row r="288" spans="1:9" ht="30" customHeight="1" thickBot="1">
      <c r="A288" s="85"/>
      <c r="B288" s="104" t="str">
        <f>_xlfn.XLOOKUP(A288,Equipe!H:H,Equipe!B:B,"",0)</f>
        <v/>
      </c>
      <c r="C288" s="89"/>
      <c r="D288" s="105" t="str">
        <f>IF(Tabela1[[#This Row],[Início]]&lt;&gt;"",C288+E288-1,"")</f>
        <v/>
      </c>
      <c r="E288" s="85"/>
      <c r="F288" s="85"/>
      <c r="G288" s="97"/>
      <c r="H288" s="39" t="str">
        <f>_xlfn.XLOOKUP(Tabela1[[#This Row],[Matrícula]],Equipe!B:B,Equipe!E:E,"ERRO",0)</f>
        <v>ERRO</v>
      </c>
      <c r="I288" s="39" t="e">
        <f>VLOOKUP(Tabela1[[#This Row],[Matrícula]],Equipe!B:F,5,0)</f>
        <v>#N/A</v>
      </c>
    </row>
    <row r="289" spans="1:9" ht="30" customHeight="1" thickBot="1">
      <c r="A289" s="85"/>
      <c r="B289" s="104" t="str">
        <f>_xlfn.XLOOKUP(A289,Equipe!H:H,Equipe!B:B,"",0)</f>
        <v/>
      </c>
      <c r="C289" s="89"/>
      <c r="D289" s="105" t="str">
        <f>IF(Tabela1[[#This Row],[Início]]&lt;&gt;"",C289+E289-1,"")</f>
        <v/>
      </c>
      <c r="E289" s="85"/>
      <c r="F289" s="85"/>
      <c r="G289" s="97"/>
      <c r="H289" s="39" t="str">
        <f>_xlfn.XLOOKUP(Tabela1[[#This Row],[Matrícula]],Equipe!B:B,Equipe!E:E,"ERRO",0)</f>
        <v>ERRO</v>
      </c>
      <c r="I289" s="39" t="e">
        <f>VLOOKUP(Tabela1[[#This Row],[Matrícula]],Equipe!B:F,5,0)</f>
        <v>#N/A</v>
      </c>
    </row>
    <row r="290" spans="1:9" ht="30" customHeight="1" thickBot="1">
      <c r="A290" s="85"/>
      <c r="B290" s="104" t="str">
        <f>_xlfn.XLOOKUP(A290,Equipe!H:H,Equipe!B:B,"",0)</f>
        <v/>
      </c>
      <c r="C290" s="89"/>
      <c r="D290" s="105" t="str">
        <f>IF(Tabela1[[#This Row],[Início]]&lt;&gt;"",C290+E290-1,"")</f>
        <v/>
      </c>
      <c r="E290" s="85"/>
      <c r="F290" s="85"/>
      <c r="G290" s="97"/>
      <c r="H290" s="39" t="str">
        <f>_xlfn.XLOOKUP(Tabela1[[#This Row],[Matrícula]],Equipe!B:B,Equipe!E:E,"ERRO",0)</f>
        <v>ERRO</v>
      </c>
      <c r="I290" s="39" t="e">
        <f>VLOOKUP(Tabela1[[#This Row],[Matrícula]],Equipe!B:F,5,0)</f>
        <v>#N/A</v>
      </c>
    </row>
    <row r="291" spans="1:9" ht="30" customHeight="1" thickBot="1">
      <c r="A291" s="85"/>
      <c r="B291" s="104" t="str">
        <f>_xlfn.XLOOKUP(A291,Equipe!H:H,Equipe!B:B,"",0)</f>
        <v/>
      </c>
      <c r="C291" s="89"/>
      <c r="D291" s="105" t="str">
        <f>IF(Tabela1[[#This Row],[Início]]&lt;&gt;"",C291+E291-1,"")</f>
        <v/>
      </c>
      <c r="E291" s="85"/>
      <c r="F291" s="85"/>
      <c r="G291" s="97"/>
      <c r="H291" s="39" t="str">
        <f>_xlfn.XLOOKUP(Tabela1[[#This Row],[Matrícula]],Equipe!B:B,Equipe!E:E,"ERRO",0)</f>
        <v>ERRO</v>
      </c>
      <c r="I291" s="39" t="e">
        <f>VLOOKUP(Tabela1[[#This Row],[Matrícula]],Equipe!B:F,5,0)</f>
        <v>#N/A</v>
      </c>
    </row>
    <row r="292" spans="1:9" ht="30" customHeight="1" thickBot="1">
      <c r="A292" s="85"/>
      <c r="B292" s="104" t="str">
        <f>_xlfn.XLOOKUP(A292,Equipe!H:H,Equipe!B:B,"",0)</f>
        <v/>
      </c>
      <c r="C292" s="89"/>
      <c r="D292" s="105" t="str">
        <f>IF(Tabela1[[#This Row],[Início]]&lt;&gt;"",C292+E292-1,"")</f>
        <v/>
      </c>
      <c r="E292" s="85"/>
      <c r="F292" s="85"/>
      <c r="G292" s="97"/>
      <c r="H292" s="39" t="str">
        <f>_xlfn.XLOOKUP(Tabela1[[#This Row],[Matrícula]],Equipe!B:B,Equipe!E:E,"ERRO",0)</f>
        <v>ERRO</v>
      </c>
      <c r="I292" s="39" t="e">
        <f>VLOOKUP(Tabela1[[#This Row],[Matrícula]],Equipe!B:F,5,0)</f>
        <v>#N/A</v>
      </c>
    </row>
    <row r="293" spans="1:9" ht="30" customHeight="1" thickBot="1">
      <c r="A293" s="85"/>
      <c r="B293" s="104" t="str">
        <f>_xlfn.XLOOKUP(A293,Equipe!H:H,Equipe!B:B,"",0)</f>
        <v/>
      </c>
      <c r="C293" s="89"/>
      <c r="D293" s="105" t="str">
        <f>IF(Tabela1[[#This Row],[Início]]&lt;&gt;"",C293+E293-1,"")</f>
        <v/>
      </c>
      <c r="E293" s="85"/>
      <c r="F293" s="85"/>
      <c r="G293" s="97"/>
      <c r="H293" s="39" t="str">
        <f>_xlfn.XLOOKUP(Tabela1[[#This Row],[Matrícula]],Equipe!B:B,Equipe!E:E,"ERRO",0)</f>
        <v>ERRO</v>
      </c>
      <c r="I293" s="39" t="e">
        <f>VLOOKUP(Tabela1[[#This Row],[Matrícula]],Equipe!B:F,5,0)</f>
        <v>#N/A</v>
      </c>
    </row>
    <row r="294" spans="1:9" ht="30" customHeight="1" thickBot="1">
      <c r="A294" s="85"/>
      <c r="B294" s="104" t="str">
        <f>_xlfn.XLOOKUP(A294,Equipe!H:H,Equipe!B:B,"",0)</f>
        <v/>
      </c>
      <c r="C294" s="89"/>
      <c r="D294" s="105" t="str">
        <f>IF(Tabela1[[#This Row],[Início]]&lt;&gt;"",C294+E294-1,"")</f>
        <v/>
      </c>
      <c r="E294" s="85"/>
      <c r="F294" s="85"/>
      <c r="G294" s="97"/>
      <c r="H294" s="39" t="str">
        <f>_xlfn.XLOOKUP(Tabela1[[#This Row],[Matrícula]],Equipe!B:B,Equipe!E:E,"ERRO",0)</f>
        <v>ERRO</v>
      </c>
      <c r="I294" s="39" t="e">
        <f>VLOOKUP(Tabela1[[#This Row],[Matrícula]],Equipe!B:F,5,0)</f>
        <v>#N/A</v>
      </c>
    </row>
    <row r="295" spans="1:9" ht="30" customHeight="1" thickBot="1">
      <c r="A295" s="85"/>
      <c r="B295" s="104" t="str">
        <f>_xlfn.XLOOKUP(A295,Equipe!H:H,Equipe!B:B,"",0)</f>
        <v/>
      </c>
      <c r="C295" s="89"/>
      <c r="D295" s="105" t="str">
        <f>IF(Tabela1[[#This Row],[Início]]&lt;&gt;"",C295+E295-1,"")</f>
        <v/>
      </c>
      <c r="E295" s="85"/>
      <c r="F295" s="85"/>
      <c r="G295" s="97"/>
      <c r="H295" s="39" t="str">
        <f>_xlfn.XLOOKUP(Tabela1[[#This Row],[Matrícula]],Equipe!B:B,Equipe!E:E,"ERRO",0)</f>
        <v>ERRO</v>
      </c>
      <c r="I295" s="39" t="e">
        <f>VLOOKUP(Tabela1[[#This Row],[Matrícula]],Equipe!B:F,5,0)</f>
        <v>#N/A</v>
      </c>
    </row>
    <row r="296" spans="1:9" ht="30" customHeight="1" thickBot="1">
      <c r="A296" s="85"/>
      <c r="B296" s="104" t="str">
        <f>_xlfn.XLOOKUP(A296,Equipe!H:H,Equipe!B:B,"",0)</f>
        <v/>
      </c>
      <c r="C296" s="89"/>
      <c r="D296" s="105" t="str">
        <f>IF(Tabela1[[#This Row],[Início]]&lt;&gt;"",C296+E296-1,"")</f>
        <v/>
      </c>
      <c r="E296" s="85"/>
      <c r="F296" s="85"/>
      <c r="G296" s="97"/>
      <c r="H296" s="39" t="str">
        <f>_xlfn.XLOOKUP(Tabela1[[#This Row],[Matrícula]],Equipe!B:B,Equipe!E:E,"ERRO",0)</f>
        <v>ERRO</v>
      </c>
      <c r="I296" s="39" t="e">
        <f>VLOOKUP(Tabela1[[#This Row],[Matrícula]],Equipe!B:F,5,0)</f>
        <v>#N/A</v>
      </c>
    </row>
    <row r="297" spans="1:9" ht="30" customHeight="1" thickBot="1">
      <c r="A297" s="85"/>
      <c r="B297" s="104" t="str">
        <f>_xlfn.XLOOKUP(A297,Equipe!H:H,Equipe!B:B,"",0)</f>
        <v/>
      </c>
      <c r="C297" s="89"/>
      <c r="D297" s="105" t="str">
        <f>IF(Tabela1[[#This Row],[Início]]&lt;&gt;"",C297+E297-1,"")</f>
        <v/>
      </c>
      <c r="E297" s="85"/>
      <c r="F297" s="85"/>
      <c r="G297" s="97"/>
      <c r="H297" s="39" t="str">
        <f>_xlfn.XLOOKUP(Tabela1[[#This Row],[Matrícula]],Equipe!B:B,Equipe!E:E,"ERRO",0)</f>
        <v>ERRO</v>
      </c>
      <c r="I297" s="39" t="e">
        <f>VLOOKUP(Tabela1[[#This Row],[Matrícula]],Equipe!B:F,5,0)</f>
        <v>#N/A</v>
      </c>
    </row>
    <row r="298" spans="1:9" ht="30" customHeight="1" thickBot="1">
      <c r="A298" s="85"/>
      <c r="B298" s="104" t="str">
        <f>_xlfn.XLOOKUP(A298,Equipe!H:H,Equipe!B:B,"",0)</f>
        <v/>
      </c>
      <c r="C298" s="89"/>
      <c r="D298" s="105" t="str">
        <f>IF(Tabela1[[#This Row],[Início]]&lt;&gt;"",C298+E298-1,"")</f>
        <v/>
      </c>
      <c r="E298" s="85"/>
      <c r="F298" s="85"/>
      <c r="G298" s="97"/>
      <c r="H298" s="39" t="str">
        <f>_xlfn.XLOOKUP(Tabela1[[#This Row],[Matrícula]],Equipe!B:B,Equipe!E:E,"ERRO",0)</f>
        <v>ERRO</v>
      </c>
      <c r="I298" s="39" t="e">
        <f>VLOOKUP(Tabela1[[#This Row],[Matrícula]],Equipe!B:F,5,0)</f>
        <v>#N/A</v>
      </c>
    </row>
    <row r="299" spans="1:9" ht="30" customHeight="1" thickBot="1">
      <c r="A299" s="85"/>
      <c r="B299" s="104" t="str">
        <f>_xlfn.XLOOKUP(A299,Equipe!H:H,Equipe!B:B,"",0)</f>
        <v/>
      </c>
      <c r="C299" s="89"/>
      <c r="D299" s="105" t="str">
        <f>IF(Tabela1[[#This Row],[Início]]&lt;&gt;"",C299+E299-1,"")</f>
        <v/>
      </c>
      <c r="E299" s="85"/>
      <c r="F299" s="85"/>
      <c r="G299" s="97"/>
      <c r="H299" s="39" t="str">
        <f>_xlfn.XLOOKUP(Tabela1[[#This Row],[Matrícula]],Equipe!B:B,Equipe!E:E,"ERRO",0)</f>
        <v>ERRO</v>
      </c>
      <c r="I299" s="39" t="e">
        <f>VLOOKUP(Tabela1[[#This Row],[Matrícula]],Equipe!B:F,5,0)</f>
        <v>#N/A</v>
      </c>
    </row>
    <row r="300" spans="1:9" ht="30" customHeight="1" thickBot="1">
      <c r="A300" s="85"/>
      <c r="B300" s="104" t="str">
        <f>_xlfn.XLOOKUP(A300,Equipe!H:H,Equipe!B:B,"",0)</f>
        <v/>
      </c>
      <c r="C300" s="89"/>
      <c r="D300" s="105" t="str">
        <f>IF(Tabela1[[#This Row],[Início]]&lt;&gt;"",C300+E300-1,"")</f>
        <v/>
      </c>
      <c r="E300" s="85"/>
      <c r="F300" s="85"/>
      <c r="G300" s="97"/>
      <c r="H300" s="39" t="str">
        <f>_xlfn.XLOOKUP(Tabela1[[#This Row],[Matrícula]],Equipe!B:B,Equipe!E:E,"ERRO",0)</f>
        <v>ERRO</v>
      </c>
      <c r="I300" s="39" t="e">
        <f>VLOOKUP(Tabela1[[#This Row],[Matrícula]],Equipe!B:F,5,0)</f>
        <v>#N/A</v>
      </c>
    </row>
    <row r="301" spans="1:9" ht="30" customHeight="1" thickBot="1">
      <c r="A301" s="85"/>
      <c r="B301" s="104" t="str">
        <f>_xlfn.XLOOKUP(A301,Equipe!H:H,Equipe!B:B,"",0)</f>
        <v/>
      </c>
      <c r="C301" s="89"/>
      <c r="D301" s="105" t="str">
        <f>IF(Tabela1[[#This Row],[Início]]&lt;&gt;"",C301+E301-1,"")</f>
        <v/>
      </c>
      <c r="E301" s="85"/>
      <c r="F301" s="85"/>
      <c r="G301" s="97"/>
      <c r="H301" s="39" t="str">
        <f>_xlfn.XLOOKUP(Tabela1[[#This Row],[Matrícula]],Equipe!B:B,Equipe!E:E,"ERRO",0)</f>
        <v>ERRO</v>
      </c>
      <c r="I301" s="39" t="e">
        <f>VLOOKUP(Tabela1[[#This Row],[Matrícula]],Equipe!B:F,5,0)</f>
        <v>#N/A</v>
      </c>
    </row>
    <row r="302" spans="1:9" ht="30" customHeight="1" thickBot="1">
      <c r="A302" s="85"/>
      <c r="B302" s="104" t="str">
        <f>_xlfn.XLOOKUP(A302,Equipe!H:H,Equipe!B:B,"",0)</f>
        <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customHeight="1" thickBot="1">
      <c r="A303" s="85"/>
      <c r="B303" s="104" t="str">
        <f>_xlfn.XLOOKUP(A303,Equipe!H:H,Equipe!B:B,"",0)</f>
        <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customHeight="1" thickBot="1">
      <c r="A304" s="85"/>
      <c r="B304" s="104" t="str">
        <f>_xlfn.XLOOKUP(A304,Equipe!H:H,Equipe!B:B,"",0)</f>
        <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customHeight="1" thickBot="1">
      <c r="A305" s="85"/>
      <c r="B305" s="104" t="str">
        <f>_xlfn.XLOOKUP(A305,Equipe!H:H,Equipe!B:B,"",0)</f>
        <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customHeight="1" thickBot="1">
      <c r="A306" s="85"/>
      <c r="B306" s="104" t="str">
        <f>_xlfn.XLOOKUP(A306,Equipe!H:H,Equipe!B:B,"",0)</f>
        <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customHeight="1" thickBot="1">
      <c r="A307" s="85"/>
      <c r="B307" s="104" t="str">
        <f>_xlfn.XLOOKUP(A307,Equipe!H:H,Equipe!B:B,"",0)</f>
        <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customHeight="1" thickBot="1">
      <c r="A308" s="85"/>
      <c r="B308" s="104" t="str">
        <f>_xlfn.XLOOKUP(A308,Equipe!H:H,Equipe!B:B,"",0)</f>
        <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customHeight="1" thickBot="1">
      <c r="A309" s="85"/>
      <c r="B309" s="104" t="str">
        <f>_xlfn.XLOOKUP(A309,Equipe!H:H,Equipe!B:B,"",0)</f>
        <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customHeight="1" thickBot="1">
      <c r="A310" s="85"/>
      <c r="B310" s="104" t="str">
        <f>_xlfn.XLOOKUP(A310,Equipe!H:H,Equipe!B:B,"",0)</f>
        <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customHeight="1" thickBot="1">
      <c r="A311" s="85"/>
      <c r="B311" s="104" t="str">
        <f>_xlfn.XLOOKUP(A311,Equipe!H:H,Equipe!B:B,"",0)</f>
        <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customHeight="1" thickBot="1">
      <c r="A312" s="85"/>
      <c r="B312" s="104" t="str">
        <f>_xlfn.XLOOKUP(A312,Equipe!H:H,Equipe!B:B,"",0)</f>
        <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customHeight="1" thickBot="1">
      <c r="A313" s="85"/>
      <c r="B313" s="104" t="str">
        <f>_xlfn.XLOOKUP(A313,Equipe!H:H,Equipe!B:B,"",0)</f>
        <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customHeight="1" thickBot="1">
      <c r="A314" s="85"/>
      <c r="B314" s="104" t="str">
        <f>_xlfn.XLOOKUP(A314,Equipe!H:H,Equipe!B:B,"",0)</f>
        <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customHeight="1" thickBot="1">
      <c r="A315" s="85"/>
      <c r="B315" s="104" t="str">
        <f>_xlfn.XLOOKUP(A315,Equipe!H:H,Equipe!B:B,"",0)</f>
        <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customHeight="1" thickBot="1">
      <c r="A316" s="85"/>
      <c r="B316" s="104" t="str">
        <f>_xlfn.XLOOKUP(A316,Equipe!H:H,Equipe!B:B,"",0)</f>
        <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customHeight="1" thickBot="1">
      <c r="A317" s="85"/>
      <c r="B317" s="104" t="str">
        <f>_xlfn.XLOOKUP(A317,Equipe!H:H,Equipe!B:B,"",0)</f>
        <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customHeight="1" thickBot="1">
      <c r="A318" s="85"/>
      <c r="B318" s="104" t="str">
        <f>_xlfn.XLOOKUP(A318,Equipe!H:H,Equipe!B:B,"",0)</f>
        <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customHeight="1" thickBot="1">
      <c r="A319" s="85"/>
      <c r="B319" s="104" t="str">
        <f>_xlfn.XLOOKUP(A319,Equipe!H:H,Equipe!B:B,"",0)</f>
        <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customHeight="1" thickBot="1">
      <c r="A320" s="85"/>
      <c r="B320" s="104" t="str">
        <f>_xlfn.XLOOKUP(A320,Equipe!H:H,Equipe!B:B,"",0)</f>
        <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customHeight="1" thickBot="1">
      <c r="A321" s="85"/>
      <c r="B321" s="104" t="str">
        <f>_xlfn.XLOOKUP(A321,Equipe!H:H,Equipe!B:B,"",0)</f>
        <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customHeight="1" thickBot="1">
      <c r="A322" s="85"/>
      <c r="B322" s="104" t="str">
        <f>_xlfn.XLOOKUP(A322,Equipe!H:H,Equipe!B:B,"",0)</f>
        <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customHeight="1" thickBot="1">
      <c r="A323" s="85"/>
      <c r="B323" s="104" t="str">
        <f>_xlfn.XLOOKUP(A323,Equipe!H:H,Equipe!B:B,"",0)</f>
        <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customHeight="1" thickBot="1">
      <c r="A324" s="85"/>
      <c r="B324" s="104" t="str">
        <f>_xlfn.XLOOKUP(A324,Equipe!H:H,Equipe!B:B,"",0)</f>
        <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customHeight="1" thickBot="1">
      <c r="A325" s="85"/>
      <c r="B325" s="104" t="str">
        <f>_xlfn.XLOOKUP(A325,Equipe!H:H,Equipe!B:B,"",0)</f>
        <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customHeight="1" thickBot="1">
      <c r="A326" s="85"/>
      <c r="B326" s="104" t="str">
        <f>_xlfn.XLOOKUP(A326,Equipe!H:H,Equipe!B:B,"",0)</f>
        <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c r="A327" s="85"/>
      <c r="B327" s="104" t="str">
        <f>_xlfn.XLOOKUP(A327,Equipe!H:H,Equipe!B:B,"",0)</f>
        <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c r="A328" s="85"/>
      <c r="B328" s="104" t="str">
        <f>_xlfn.XLOOKUP(A328,Equipe!H:H,Equipe!B:B,"",0)</f>
        <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c r="A329" s="85"/>
      <c r="B329" s="104" t="str">
        <f>_xlfn.XLOOKUP(A329,Equipe!H:H,Equipe!B:B,"",0)</f>
        <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c r="A330" s="85"/>
      <c r="B330" s="104" t="str">
        <f>_xlfn.XLOOKUP(A330,Equipe!H:H,Equipe!B:B,"",0)</f>
        <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c r="A331" s="85"/>
      <c r="B331" s="104" t="str">
        <f>_xlfn.XLOOKUP(A331,Equipe!H:H,Equipe!B:B,"",0)</f>
        <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c r="A332" s="85"/>
      <c r="B332" s="104" t="str">
        <f>_xlfn.XLOOKUP(A332,Equipe!H:H,Equipe!B:B,"",0)</f>
        <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c r="A333" s="85"/>
      <c r="B333" s="104" t="str">
        <f>_xlfn.XLOOKUP(A333,Equipe!H:H,Equipe!B:B,"",0)</f>
        <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c r="A334" s="85"/>
      <c r="B334" s="104" t="str">
        <f>_xlfn.XLOOKUP(A334,Equipe!H:H,Equipe!B:B,"",0)</f>
        <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c r="A335" s="85"/>
      <c r="B335" s="104" t="str">
        <f>_xlfn.XLOOKUP(A335,Equipe!H:H,Equipe!B:B,"",0)</f>
        <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c r="A336" s="85"/>
      <c r="B336" s="104" t="str">
        <f>_xlfn.XLOOKUP(A336,Equipe!H:H,Equipe!B:B,"",0)</f>
        <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c r="A337" s="85"/>
      <c r="B337" s="104" t="str">
        <f>_xlfn.XLOOKUP(A337,Equipe!H:H,Equipe!B:B,"",0)</f>
        <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c r="A338" s="85"/>
      <c r="B338" s="104" t="str">
        <f>_xlfn.XLOOKUP(A338,Equipe!H:H,Equipe!B:B,"",0)</f>
        <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c r="A339" s="85"/>
      <c r="B339" s="104" t="str">
        <f>_xlfn.XLOOKUP(A339,Equipe!H:H,Equipe!B:B,"",0)</f>
        <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c r="A340" s="85"/>
      <c r="B340" s="104" t="str">
        <f>_xlfn.XLOOKUP(A340,Equipe!H:H,Equipe!B:B,"",0)</f>
        <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c r="A341" s="85"/>
      <c r="B341" s="104" t="str">
        <f>_xlfn.XLOOKUP(A341,Equipe!H:H,Equipe!B:B,"",0)</f>
        <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c r="A342" s="85"/>
      <c r="B342" s="104" t="str">
        <f>_xlfn.XLOOKUP(A342,Equipe!H:H,Equipe!B:B,"",0)</f>
        <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c r="A343" s="85"/>
      <c r="B343" s="104" t="str">
        <f>_xlfn.XLOOKUP(A343,Equipe!H:H,Equipe!B:B,"",0)</f>
        <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c r="A344" s="85"/>
      <c r="B344" s="104" t="str">
        <f>_xlfn.XLOOKUP(A344,Equipe!H:H,Equipe!B:B,"",0)</f>
        <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c r="A345" s="85"/>
      <c r="B345" s="104" t="str">
        <f>_xlfn.XLOOKUP(A345,Equipe!H:H,Equipe!B:B,"",0)</f>
        <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c r="A346" s="85"/>
      <c r="B346" s="104" t="str">
        <f>_xlfn.XLOOKUP(A346,Equipe!H:H,Equipe!B:B,"",0)</f>
        <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c r="A347" s="85"/>
      <c r="B347" s="104" t="str">
        <f>_xlfn.XLOOKUP(A347,Equipe!H:H,Equipe!B:B,"",0)</f>
        <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c r="A348" s="85"/>
      <c r="B348" s="104" t="str">
        <f>_xlfn.XLOOKUP(A348,Equipe!H:H,Equipe!B:B,"",0)</f>
        <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c r="A349" s="85"/>
      <c r="B349" s="104" t="str">
        <f>_xlfn.XLOOKUP(A349,Equipe!H:H,Equipe!B:B,"",0)</f>
        <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c r="A350" s="85"/>
      <c r="B350" s="104" t="str">
        <f>_xlfn.XLOOKUP(A350,Equipe!H:H,Equipe!B:B,"",0)</f>
        <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c r="A351" s="85"/>
      <c r="B351" s="104" t="str">
        <f>_xlfn.XLOOKUP(A351,Equipe!H:H,Equipe!B:B,"",0)</f>
        <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c r="A352" s="85"/>
      <c r="B352" s="104" t="str">
        <f>_xlfn.XLOOKUP(A352,Equipe!H:H,Equipe!B:B,"",0)</f>
        <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c r="A353" s="85"/>
      <c r="B353" s="104" t="str">
        <f>_xlfn.XLOOKUP(A353,Equipe!H:H,Equipe!B:B,"",0)</f>
        <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c r="A354" s="85"/>
      <c r="B354" s="104" t="str">
        <f>_xlfn.XLOOKUP(A354,Equipe!H:H,Equipe!B:B,"",0)</f>
        <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c r="A355" s="85"/>
      <c r="B355" s="104" t="str">
        <f>_xlfn.XLOOKUP(A355,Equipe!H:H,Equipe!B:B,"",0)</f>
        <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c r="A356" s="85"/>
      <c r="B356" s="104" t="str">
        <f>_xlfn.XLOOKUP(A356,Equipe!H:H,Equipe!B:B,"",0)</f>
        <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c r="A357" s="85"/>
      <c r="B357" s="104" t="str">
        <f>_xlfn.XLOOKUP(A357,Equipe!H:H,Equipe!B:B,"",0)</f>
        <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c r="A358" s="85"/>
      <c r="B358" s="104" t="str">
        <f>_xlfn.XLOOKUP(A358,Equipe!H:H,Equipe!B:B,"",0)</f>
        <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c r="A359" s="85"/>
      <c r="B359" s="104" t="str">
        <f>_xlfn.XLOOKUP(A359,Equipe!H:H,Equipe!B:B,"",0)</f>
        <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c r="A360" s="85"/>
      <c r="B360" s="104" t="str">
        <f>_xlfn.XLOOKUP(A360,Equipe!H:H,Equipe!B:B,"",0)</f>
        <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c r="A361" s="85"/>
      <c r="B361" s="104" t="str">
        <f>_xlfn.XLOOKUP(A361,Equipe!H:H,Equipe!B:B,"",0)</f>
        <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c r="A362" s="85"/>
      <c r="B362" s="104" t="str">
        <f>_xlfn.XLOOKUP(A362,Equipe!H:H,Equipe!B:B,"",0)</f>
        <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c r="A363" s="85"/>
      <c r="B363" s="104" t="str">
        <f>_xlfn.XLOOKUP(A363,Equipe!H:H,Equipe!B:B,"",0)</f>
        <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c r="A364" s="85"/>
      <c r="B364" s="104" t="str">
        <f>_xlfn.XLOOKUP(A364,Equipe!H:H,Equipe!B:B,"",0)</f>
        <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c r="A365" s="85"/>
      <c r="B365" s="104" t="str">
        <f>_xlfn.XLOOKUP(A365,Equipe!H:H,Equipe!B:B,"",0)</f>
        <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c r="A366" s="85"/>
      <c r="B366" s="104" t="str">
        <f>_xlfn.XLOOKUP(A366,Equipe!H:H,Equipe!B:B,"",0)</f>
        <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c r="A367" s="85"/>
      <c r="B367" s="104" t="str">
        <f>_xlfn.XLOOKUP(A367,Equipe!H:H,Equipe!B:B,"",0)</f>
        <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c r="A368" s="85"/>
      <c r="B368" s="104" t="str">
        <f>_xlfn.XLOOKUP(A368,Equipe!H:H,Equipe!B:B,"",0)</f>
        <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c r="A369" s="85"/>
      <c r="B369" s="104" t="str">
        <f>_xlfn.XLOOKUP(A369,Equipe!H:H,Equipe!B:B,"",0)</f>
        <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c r="A370" s="85"/>
      <c r="B370" s="104" t="str">
        <f>_xlfn.XLOOKUP(A370,Equipe!H:H,Equipe!B:B,"",0)</f>
        <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c r="A371" s="85"/>
      <c r="B371" s="104" t="str">
        <f>_xlfn.XLOOKUP(A371,Equipe!H:H,Equipe!B:B,"",0)</f>
        <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c r="A372" s="85"/>
      <c r="B372" s="104" t="str">
        <f>_xlfn.XLOOKUP(A372,Equipe!H:H,Equipe!B:B,"",0)</f>
        <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c r="A373" s="85"/>
      <c r="B373" s="104" t="str">
        <f>_xlfn.XLOOKUP(A373,Equipe!H:H,Equipe!B:B,"",0)</f>
        <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c r="A374" s="85"/>
      <c r="B374" s="104" t="str">
        <f>_xlfn.XLOOKUP(A374,Equipe!H:H,Equipe!B:B,"",0)</f>
        <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c r="A375" s="85"/>
      <c r="B375" s="104" t="str">
        <f>_xlfn.XLOOKUP(A375,Equipe!H:H,Equipe!B:B,"",0)</f>
        <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c r="A376" s="85"/>
      <c r="B376" s="104" t="str">
        <f>_xlfn.XLOOKUP(A376,Equipe!H:H,Equipe!B:B,"",0)</f>
        <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c r="A377" s="85"/>
      <c r="B377" s="104" t="str">
        <f>_xlfn.XLOOKUP(A377,Equipe!H:H,Equipe!B:B,"",0)</f>
        <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c r="A378" s="85"/>
      <c r="B378" s="104" t="str">
        <f>_xlfn.XLOOKUP(A378,Equipe!H:H,Equipe!B:B,"",0)</f>
        <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c r="A379" s="85"/>
      <c r="B379" s="104" t="str">
        <f>_xlfn.XLOOKUP(A379,Equipe!H:H,Equipe!B:B,"",0)</f>
        <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c r="A380" s="85"/>
      <c r="B380" s="104" t="str">
        <f>_xlfn.XLOOKUP(A380,Equipe!H:H,Equipe!B:B,"",0)</f>
        <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c r="A381" s="85"/>
      <c r="B381" s="104" t="str">
        <f>_xlfn.XLOOKUP(A381,Equipe!H:H,Equipe!B:B,"",0)</f>
        <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c r="A382" s="85"/>
      <c r="B382" s="104" t="str">
        <f>_xlfn.XLOOKUP(A382,Equipe!H:H,Equipe!B:B,"",0)</f>
        <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c r="A383" s="85"/>
      <c r="B383" s="104" t="str">
        <f>_xlfn.XLOOKUP(A383,Equipe!H:H,Equipe!B:B,"",0)</f>
        <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c r="A384" s="85"/>
      <c r="B384" s="104" t="str">
        <f>_xlfn.XLOOKUP(A384,Equipe!H:H,Equipe!B:B,"",0)</f>
        <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c r="A385" s="85"/>
      <c r="B385" s="104" t="str">
        <f>_xlfn.XLOOKUP(A385,Equipe!H:H,Equipe!B:B,"",0)</f>
        <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c r="A386" s="85"/>
      <c r="B386" s="104" t="str">
        <f>_xlfn.XLOOKUP(A386,Equipe!H:H,Equipe!B:B,"",0)</f>
        <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c r="A387" s="85"/>
      <c r="B387" s="104" t="str">
        <f>_xlfn.XLOOKUP(A387,Equipe!H:H,Equipe!B:B,"",0)</f>
        <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c r="A388" s="85"/>
      <c r="B388" s="104" t="str">
        <f>_xlfn.XLOOKUP(A388,Equipe!H:H,Equipe!B:B,"",0)</f>
        <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c r="A389" s="85"/>
      <c r="B389" s="104" t="str">
        <f>_xlfn.XLOOKUP(A389,Equipe!H:H,Equipe!B:B,"",0)</f>
        <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c r="A390" s="85"/>
      <c r="B390" s="104" t="str">
        <f>_xlfn.XLOOKUP(A390,Equipe!H:H,Equipe!B:B,"",0)</f>
        <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c r="A391" s="85"/>
      <c r="B391" s="104" t="str">
        <f>_xlfn.XLOOKUP(A391,Equipe!H:H,Equipe!B:B,"",0)</f>
        <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c r="A392" s="85"/>
      <c r="B392" s="104" t="str">
        <f>_xlfn.XLOOKUP(A392,Equipe!H:H,Equipe!B:B,"",0)</f>
        <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c r="A393" s="85"/>
      <c r="B393" s="104" t="str">
        <f>_xlfn.XLOOKUP(A393,Equipe!H:H,Equipe!B:B,"",0)</f>
        <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c r="A394" s="85"/>
      <c r="B394" s="104" t="str">
        <f>_xlfn.XLOOKUP(A394,Equipe!H:H,Equipe!B:B,"",0)</f>
        <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c r="A395" s="85"/>
      <c r="B395" s="104" t="str">
        <f>_xlfn.XLOOKUP(A395,Equipe!H:H,Equipe!B:B,"",0)</f>
        <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c r="A396" s="85"/>
      <c r="B396" s="104" t="str">
        <f>_xlfn.XLOOKUP(A396,Equipe!H:H,Equipe!B:B,"",0)</f>
        <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c r="A397" s="85"/>
      <c r="B397" s="104" t="str">
        <f>_xlfn.XLOOKUP(A397,Equipe!H:H,Equipe!B:B,"",0)</f>
        <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c r="A398" s="85"/>
      <c r="B398" s="104" t="str">
        <f>_xlfn.XLOOKUP(A398,Equipe!H:H,Equipe!B:B,"",0)</f>
        <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c r="A399" s="85"/>
      <c r="B399" s="104" t="str">
        <f>_xlfn.XLOOKUP(A399,Equipe!H:H,Equipe!B:B,"",0)</f>
        <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c r="A400" s="85"/>
      <c r="B400" s="104" t="str">
        <f>_xlfn.XLOOKUP(A400,Equipe!H:H,Equipe!B:B,"",0)</f>
        <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c r="A401" s="85"/>
      <c r="B401" s="104" t="str">
        <f>_xlfn.XLOOKUP(A401,Equipe!H:H,Equipe!B:B,"",0)</f>
        <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c r="A402" s="85"/>
      <c r="B402" s="104" t="str">
        <f>_xlfn.XLOOKUP(A402,Equipe!H:H,Equipe!B:B,"",0)</f>
        <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c r="A403" s="85"/>
      <c r="B403" s="104" t="str">
        <f>_xlfn.XLOOKUP(A403,Equipe!H:H,Equipe!B:B,"",0)</f>
        <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c r="A404" s="85"/>
      <c r="B404" s="104" t="str">
        <f>_xlfn.XLOOKUP(A404,Equipe!H:H,Equipe!B:B,"",0)</f>
        <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c r="A405" s="85"/>
      <c r="B405" s="104" t="str">
        <f>_xlfn.XLOOKUP(A405,Equipe!H:H,Equipe!B:B,"",0)</f>
        <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c r="A406" s="85"/>
      <c r="B406" s="104" t="str">
        <f>_xlfn.XLOOKUP(A406,Equipe!H:H,Equipe!B:B,"",0)</f>
        <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c r="A407" s="85"/>
      <c r="B407" s="104" t="str">
        <f>_xlfn.XLOOKUP(A407,Equipe!H:H,Equipe!B:B,"",0)</f>
        <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c r="A408" s="85"/>
      <c r="B408" s="104" t="str">
        <f>_xlfn.XLOOKUP(A408,Equipe!H:H,Equipe!B:B,"",0)</f>
        <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c r="A409" s="85"/>
      <c r="B409" s="104" t="str">
        <f>_xlfn.XLOOKUP(A409,Equipe!H:H,Equipe!B:B,"",0)</f>
        <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c r="A410" s="85"/>
      <c r="B410" s="104" t="str">
        <f>_xlfn.XLOOKUP(A410,Equipe!H:H,Equipe!B:B,"",0)</f>
        <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c r="A411" s="85"/>
      <c r="B411" s="104" t="str">
        <f>_xlfn.XLOOKUP(A411,Equipe!H:H,Equipe!B:B,"",0)</f>
        <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c r="A412" s="85"/>
      <c r="B412" s="104" t="str">
        <f>_xlfn.XLOOKUP(A412,Equipe!H:H,Equipe!B:B,"",0)</f>
        <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c r="A413" s="85"/>
      <c r="B413" s="104" t="str">
        <f>_xlfn.XLOOKUP(A413,Equipe!H:H,Equipe!B:B,"",0)</f>
        <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c r="A414" s="85"/>
      <c r="B414" s="104" t="str">
        <f>_xlfn.XLOOKUP(A414,Equipe!H:H,Equipe!B:B,"",0)</f>
        <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c r="A415" s="85"/>
      <c r="B415" s="104" t="str">
        <f>_xlfn.XLOOKUP(A415,Equipe!H:H,Equipe!B:B,"",0)</f>
        <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c r="A416" s="85"/>
      <c r="B416" s="104" t="str">
        <f>_xlfn.XLOOKUP(A416,Equipe!H:H,Equipe!B:B,"",0)</f>
        <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c r="A417" s="85"/>
      <c r="B417" s="104" t="str">
        <f>_xlfn.XLOOKUP(A417,Equipe!H:H,Equipe!B:B,"",0)</f>
        <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c r="A418" s="85"/>
      <c r="B418" s="104" t="str">
        <f>_xlfn.XLOOKUP(A418,Equipe!H:H,Equipe!B:B,"",0)</f>
        <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c r="A419" s="85"/>
      <c r="B419" s="104" t="str">
        <f>_xlfn.XLOOKUP(A419,Equipe!H:H,Equipe!B:B,"",0)</f>
        <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c r="A420" s="85"/>
      <c r="B420" s="104" t="str">
        <f>_xlfn.XLOOKUP(A420,Equipe!H:H,Equipe!B:B,"",0)</f>
        <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c r="A421" s="85"/>
      <c r="B421" s="104" t="str">
        <f>_xlfn.XLOOKUP(A421,Equipe!H:H,Equipe!B:B,"",0)</f>
        <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c r="A422" s="85"/>
      <c r="B422" s="104" t="str">
        <f>_xlfn.XLOOKUP(A422,Equipe!H:H,Equipe!B:B,"",0)</f>
        <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c r="A423" s="85"/>
      <c r="B423" s="104" t="str">
        <f>_xlfn.XLOOKUP(A423,Equipe!H:H,Equipe!B:B,"",0)</f>
        <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c r="A424" s="85"/>
      <c r="B424" s="104" t="str">
        <f>_xlfn.XLOOKUP(A424,Equipe!H:H,Equipe!B:B,"",0)</f>
        <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c r="A425" s="85"/>
      <c r="B425" s="104" t="str">
        <f>_xlfn.XLOOKUP(A425,Equipe!H:H,Equipe!B:B,"",0)</f>
        <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c r="A426" s="85"/>
      <c r="B426" s="104" t="str">
        <f>_xlfn.XLOOKUP(A426,Equipe!H:H,Equipe!B:B,"",0)</f>
        <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c r="A427" s="85"/>
      <c r="B427" s="104" t="str">
        <f>_xlfn.XLOOKUP(A427,Equipe!H:H,Equipe!B:B,"",0)</f>
        <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c r="A428" s="85"/>
      <c r="B428" s="104" t="str">
        <f>_xlfn.XLOOKUP(A428,Equipe!H:H,Equipe!B:B,"",0)</f>
        <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c r="A429" s="85"/>
      <c r="B429" s="104" t="str">
        <f>_xlfn.XLOOKUP(A429,Equipe!H:H,Equipe!B:B,"",0)</f>
        <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c r="A430" s="85"/>
      <c r="B430" s="104" t="str">
        <f>_xlfn.XLOOKUP(A430,Equipe!H:H,Equipe!B:B,"",0)</f>
        <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c r="A431" s="85"/>
      <c r="B431" s="104" t="str">
        <f>_xlfn.XLOOKUP(A431,Equipe!H:H,Equipe!B:B,"",0)</f>
        <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c r="A432" s="85"/>
      <c r="B432" s="104" t="str">
        <f>_xlfn.XLOOKUP(A432,Equipe!H:H,Equipe!B:B,"",0)</f>
        <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c r="A433" s="85"/>
      <c r="B433" s="104" t="str">
        <f>_xlfn.XLOOKUP(A433,Equipe!H:H,Equipe!B:B,"",0)</f>
        <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c r="A434" s="85"/>
      <c r="B434" s="104" t="str">
        <f>_xlfn.XLOOKUP(A434,Equipe!H:H,Equipe!B:B,"",0)</f>
        <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c r="A435" s="85"/>
      <c r="B435" s="104" t="str">
        <f>_xlfn.XLOOKUP(A435,Equipe!H:H,Equipe!B:B,"",0)</f>
        <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c r="A436" s="85"/>
      <c r="B436" s="104" t="str">
        <f>_xlfn.XLOOKUP(A436,Equipe!H:H,Equipe!B:B,"",0)</f>
        <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c r="A437" s="85"/>
      <c r="B437" s="104" t="str">
        <f>_xlfn.XLOOKUP(A437,Equipe!H:H,Equipe!B:B,"",0)</f>
        <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c r="A438" s="85"/>
      <c r="B438" s="104" t="str">
        <f>_xlfn.XLOOKUP(A438,Equipe!H:H,Equipe!B:B,"",0)</f>
        <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c r="A439" s="85"/>
      <c r="B439" s="104" t="str">
        <f>_xlfn.XLOOKUP(A439,Equipe!H:H,Equipe!B:B,"",0)</f>
        <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c r="A440" s="85"/>
      <c r="B440" s="104" t="str">
        <f>_xlfn.XLOOKUP(A440,Equipe!H:H,Equipe!B:B,"",0)</f>
        <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c r="A441" s="85"/>
      <c r="B441" s="104" t="str">
        <f>_xlfn.XLOOKUP(A441,Equipe!H:H,Equipe!B:B,"",0)</f>
        <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c r="A442" s="85"/>
      <c r="B442" s="104" t="str">
        <f>_xlfn.XLOOKUP(A442,Equipe!H:H,Equipe!B:B,"",0)</f>
        <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c r="A443" s="85"/>
      <c r="B443" s="104" t="str">
        <f>_xlfn.XLOOKUP(A443,Equipe!H:H,Equipe!B:B,"",0)</f>
        <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c r="A444" s="85"/>
      <c r="B444" s="104" t="str">
        <f>_xlfn.XLOOKUP(A444,Equipe!H:H,Equipe!B:B,"",0)</f>
        <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c r="A445" s="85"/>
      <c r="B445" s="104" t="str">
        <f>_xlfn.XLOOKUP(A445,Equipe!H:H,Equipe!B:B,"",0)</f>
        <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c r="A446" s="85"/>
      <c r="B446" s="104" t="str">
        <f>_xlfn.XLOOKUP(A446,Equipe!H:H,Equipe!B:B,"",0)</f>
        <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c r="A447" s="85"/>
      <c r="B447" s="104" t="str">
        <f>_xlfn.XLOOKUP(A447,Equipe!H:H,Equipe!B:B,"",0)</f>
        <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c r="A448" s="85"/>
      <c r="B448" s="104" t="str">
        <f>_xlfn.XLOOKUP(A448,Equipe!H:H,Equipe!B:B,"",0)</f>
        <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c r="A449" s="85"/>
      <c r="B449" s="104" t="str">
        <f>_xlfn.XLOOKUP(A449,Equipe!H:H,Equipe!B:B,"",0)</f>
        <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c r="A450" s="85"/>
      <c r="B450" s="104" t="str">
        <f>_xlfn.XLOOKUP(A450,Equipe!H:H,Equipe!B:B,"",0)</f>
        <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c r="A451" s="85"/>
      <c r="B451" s="104" t="str">
        <f>_xlfn.XLOOKUP(A451,Equipe!H:H,Equipe!B:B,"",0)</f>
        <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c r="A452" s="85"/>
      <c r="B452" s="104" t="str">
        <f>_xlfn.XLOOKUP(A452,Equipe!H:H,Equipe!B:B,"",0)</f>
        <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c r="A453" s="85"/>
      <c r="B453" s="104" t="str">
        <f>_xlfn.XLOOKUP(A453,Equipe!H:H,Equipe!B:B,"",0)</f>
        <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c r="A454" s="85"/>
      <c r="B454" s="104" t="str">
        <f>_xlfn.XLOOKUP(A454,Equipe!H:H,Equipe!B:B,"",0)</f>
        <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c r="A455" s="85"/>
      <c r="B455" s="104" t="str">
        <f>_xlfn.XLOOKUP(A455,Equipe!H:H,Equipe!B:B,"",0)</f>
        <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c r="A456" s="85"/>
      <c r="B456" s="104" t="str">
        <f>_xlfn.XLOOKUP(A456,Equipe!H:H,Equipe!B:B,"",0)</f>
        <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c r="A457" s="85"/>
      <c r="B457" s="104" t="str">
        <f>_xlfn.XLOOKUP(A457,Equipe!H:H,Equipe!B:B,"",0)</f>
        <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c r="A458" s="85"/>
      <c r="B458" s="104" t="str">
        <f>_xlfn.XLOOKUP(A458,Equipe!H:H,Equipe!B:B,"",0)</f>
        <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c r="A459" s="85"/>
      <c r="B459" s="104" t="str">
        <f>_xlfn.XLOOKUP(A459,Equipe!H:H,Equipe!B:B,"",0)</f>
        <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c r="A460" s="85"/>
      <c r="B460" s="104" t="str">
        <f>_xlfn.XLOOKUP(A460,Equipe!H:H,Equipe!B:B,"",0)</f>
        <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c r="A461" s="85"/>
      <c r="B461" s="104" t="str">
        <f>_xlfn.XLOOKUP(A461,Equipe!H:H,Equipe!B:B,"",0)</f>
        <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c r="A462" s="85"/>
      <c r="B462" s="104" t="str">
        <f>_xlfn.XLOOKUP(A462,Equipe!H:H,Equipe!B:B,"",0)</f>
        <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c r="A463" s="85"/>
      <c r="B463" s="104" t="str">
        <f>_xlfn.XLOOKUP(A463,Equipe!H:H,Equipe!B:B,"",0)</f>
        <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c r="A464" s="85"/>
      <c r="B464" s="104" t="str">
        <f>_xlfn.XLOOKUP(A464,Equipe!H:H,Equipe!B:B,"",0)</f>
        <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c r="A465" s="85"/>
      <c r="B465" s="104" t="str">
        <f>_xlfn.XLOOKUP(A465,Equipe!H:H,Equipe!B:B,"",0)</f>
        <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c r="A466" s="85"/>
      <c r="B466" s="104" t="str">
        <f>_xlfn.XLOOKUP(A466,Equipe!H:H,Equipe!B:B,"",0)</f>
        <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c r="A467" s="85"/>
      <c r="B467" s="104" t="str">
        <f>_xlfn.XLOOKUP(A467,Equipe!H:H,Equipe!B:B,"",0)</f>
        <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c r="A468" s="85"/>
      <c r="B468" s="104" t="str">
        <f>_xlfn.XLOOKUP(A468,Equipe!H:H,Equipe!B:B,"",0)</f>
        <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c r="A469" s="85"/>
      <c r="B469" s="104" t="str">
        <f>_xlfn.XLOOKUP(A469,Equipe!H:H,Equipe!B:B,"",0)</f>
        <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c r="A470" s="85"/>
      <c r="B470" s="104" t="str">
        <f>_xlfn.XLOOKUP(A470,Equipe!H:H,Equipe!B:B,"",0)</f>
        <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c r="A471" s="85"/>
      <c r="B471" s="104" t="str">
        <f>_xlfn.XLOOKUP(A471,Equipe!H:H,Equipe!B:B,"",0)</f>
        <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c r="A472" s="85"/>
      <c r="B472" s="104" t="str">
        <f>_xlfn.XLOOKUP(A472,Equipe!H:H,Equipe!B:B,"",0)</f>
        <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c r="A473" s="85"/>
      <c r="B473" s="104" t="str">
        <f>_xlfn.XLOOKUP(A473,Equipe!H:H,Equipe!B:B,"",0)</f>
        <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c r="A474" s="85"/>
      <c r="B474" s="104" t="str">
        <f>_xlfn.XLOOKUP(A474,Equipe!H:H,Equipe!B:B,"",0)</f>
        <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c r="A475" s="85"/>
      <c r="B475" s="104" t="str">
        <f>_xlfn.XLOOKUP(A475,Equipe!H:H,Equipe!B:B,"",0)</f>
        <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c r="A476" s="85"/>
      <c r="B476" s="104" t="str">
        <f>_xlfn.XLOOKUP(A476,Equipe!H:H,Equipe!B:B,"",0)</f>
        <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c r="A477" s="85"/>
      <c r="B477" s="104" t="str">
        <f>_xlfn.XLOOKUP(A477,Equipe!H:H,Equipe!B:B,"",0)</f>
        <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c r="A478" s="85"/>
      <c r="B478" s="104" t="str">
        <f>_xlfn.XLOOKUP(A478,Equipe!H:H,Equipe!B:B,"",0)</f>
        <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c r="A479" s="85"/>
      <c r="B479" s="104" t="str">
        <f>_xlfn.XLOOKUP(A479,Equipe!H:H,Equipe!B:B,"",0)</f>
        <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c r="A480" s="85"/>
      <c r="B480" s="104" t="str">
        <f>_xlfn.XLOOKUP(A480,Equipe!H:H,Equipe!B:B,"",0)</f>
        <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c r="A481" s="85"/>
      <c r="B481" s="104" t="str">
        <f>_xlfn.XLOOKUP(A481,Equipe!H:H,Equipe!B:B,"",0)</f>
        <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c r="A482" s="85"/>
      <c r="B482" s="104" t="str">
        <f>_xlfn.XLOOKUP(A482,Equipe!H:H,Equipe!B:B,"",0)</f>
        <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c r="A483" s="85"/>
      <c r="B483" s="104" t="str">
        <f>_xlfn.XLOOKUP(A483,Equipe!H:H,Equipe!B:B,"",0)</f>
        <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c r="A484" s="85"/>
      <c r="B484" s="104" t="str">
        <f>_xlfn.XLOOKUP(A484,Equipe!H:H,Equipe!B:B,"",0)</f>
        <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c r="A485" s="85"/>
      <c r="B485" s="104" t="str">
        <f>_xlfn.XLOOKUP(A485,Equipe!H:H,Equipe!B:B,"",0)</f>
        <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c r="A486" s="85"/>
      <c r="B486" s="104" t="str">
        <f>_xlfn.XLOOKUP(A486,Equipe!H:H,Equipe!B:B,"",0)</f>
        <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c r="A487" s="85"/>
      <c r="B487" s="104" t="str">
        <f>_xlfn.XLOOKUP(A487,Equipe!H:H,Equipe!B:B,"",0)</f>
        <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c r="A488" s="85"/>
      <c r="B488" s="104" t="str">
        <f>_xlfn.XLOOKUP(A488,Equipe!H:H,Equipe!B:B,"",0)</f>
        <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c r="A489" s="85"/>
      <c r="B489" s="104" t="str">
        <f>_xlfn.XLOOKUP(A489,Equipe!H:H,Equipe!B:B,"",0)</f>
        <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c r="A490" s="85"/>
      <c r="B490" s="104" t="str">
        <f>_xlfn.XLOOKUP(A490,Equipe!H:H,Equipe!B:B,"",0)</f>
        <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c r="A491" s="85"/>
      <c r="B491" s="104" t="str">
        <f>_xlfn.XLOOKUP(A491,Equipe!H:H,Equipe!B:B,"",0)</f>
        <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c r="A492" s="85"/>
      <c r="B492" s="104" t="str">
        <f>_xlfn.XLOOKUP(A492,Equipe!H:H,Equipe!B:B,"",0)</f>
        <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c r="A493" s="85"/>
      <c r="B493" s="104" t="str">
        <f>_xlfn.XLOOKUP(A493,Equipe!H:H,Equipe!B:B,"",0)</f>
        <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c r="A494" s="85"/>
      <c r="B494" s="104" t="str">
        <f>_xlfn.XLOOKUP(A494,Equipe!H:H,Equipe!B:B,"",0)</f>
        <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c r="A495" s="85"/>
      <c r="B495" s="104" t="str">
        <f>_xlfn.XLOOKUP(A495,Equipe!H:H,Equipe!B:B,"",0)</f>
        <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c r="A496" s="85"/>
      <c r="B496" s="104" t="str">
        <f>_xlfn.XLOOKUP(A496,Equipe!H:H,Equipe!B:B,"",0)</f>
        <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c r="A497" s="85"/>
      <c r="B497" s="104" t="str">
        <f>_xlfn.XLOOKUP(A497,Equipe!H:H,Equipe!B:B,"",0)</f>
        <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c r="A498" s="85"/>
      <c r="B498" s="104" t="str">
        <f>_xlfn.XLOOKUP(A498,Equipe!H:H,Equipe!B:B,"",0)</f>
        <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c r="A499" s="85"/>
      <c r="B499" s="104" t="str">
        <f>_xlfn.XLOOKUP(A499,Equipe!H:H,Equipe!B:B,"",0)</f>
        <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c r="A500" s="85"/>
      <c r="B500" s="104" t="str">
        <f>_xlfn.XLOOKUP(A500,Equipe!H:H,Equipe!B:B,"",0)</f>
        <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c r="A501" s="85"/>
      <c r="B501" s="104" t="str">
        <f>_xlfn.XLOOKUP(A501,Equipe!H:H,Equipe!B:B,"",0)</f>
        <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c r="A502" s="85"/>
      <c r="B502" s="104" t="str">
        <f>_xlfn.XLOOKUP(A502,Equipe!H:H,Equipe!B:B,"",0)</f>
        <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c r="A503" s="85"/>
      <c r="B503" s="104" t="str">
        <f>_xlfn.XLOOKUP(A503,Equipe!H:H,Equipe!B:B,"",0)</f>
        <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c r="A504" s="85"/>
      <c r="B504" s="104" t="str">
        <f>_xlfn.XLOOKUP(A504,Equipe!H:H,Equipe!B:B,"",0)</f>
        <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c r="A505" s="85"/>
      <c r="B505" s="104" t="str">
        <f>_xlfn.XLOOKUP(A505,Equipe!H:H,Equipe!B:B,"",0)</f>
        <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c r="A506" s="85"/>
      <c r="B506" s="104" t="str">
        <f>_xlfn.XLOOKUP(A506,Equipe!H:H,Equipe!B:B,"",0)</f>
        <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c r="A507" s="85"/>
      <c r="B507" s="104" t="str">
        <f>_xlfn.XLOOKUP(A507,Equipe!H:H,Equipe!B:B,"",0)</f>
        <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c r="A508" s="85"/>
      <c r="B508" s="104" t="str">
        <f>_xlfn.XLOOKUP(A508,Equipe!H:H,Equipe!B:B,"",0)</f>
        <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c r="A509" s="85"/>
      <c r="B509" s="104" t="str">
        <f>_xlfn.XLOOKUP(A509,Equipe!H:H,Equipe!B:B,"",0)</f>
        <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c r="A510" s="85"/>
      <c r="B510" s="104" t="str">
        <f>_xlfn.XLOOKUP(A510,Equipe!H:H,Equipe!B:B,"",0)</f>
        <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c r="A511" s="85"/>
      <c r="B511" s="104" t="str">
        <f>_xlfn.XLOOKUP(A511,Equipe!H:H,Equipe!B:B,"",0)</f>
        <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c r="A512" s="85"/>
      <c r="B512" s="104" t="str">
        <f>_xlfn.XLOOKUP(A512,Equipe!H:H,Equipe!B:B,"",0)</f>
        <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c r="A513" s="85"/>
      <c r="B513" s="104" t="str">
        <f>_xlfn.XLOOKUP(A513,Equipe!H:H,Equipe!B:B,"",0)</f>
        <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c r="A514" s="85"/>
      <c r="B514" s="104" t="str">
        <f>_xlfn.XLOOKUP(A514,Equipe!H:H,Equipe!B:B,"",0)</f>
        <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c r="A515" s="85"/>
      <c r="B515" s="104" t="str">
        <f>_xlfn.XLOOKUP(A515,Equipe!H:H,Equipe!B:B,"",0)</f>
        <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c r="A516" s="85"/>
      <c r="B516" s="104" t="str">
        <f>_xlfn.XLOOKUP(A516,Equipe!H:H,Equipe!B:B,"",0)</f>
        <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c r="A517" s="85"/>
      <c r="B517" s="104" t="str">
        <f>_xlfn.XLOOKUP(A517,Equipe!H:H,Equipe!B:B,"",0)</f>
        <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c r="A518" s="85"/>
      <c r="B518" s="104" t="str">
        <f>_xlfn.XLOOKUP(A518,Equipe!H:H,Equipe!B:B,"",0)</f>
        <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c r="A519" s="85"/>
      <c r="B519" s="104" t="str">
        <f>_xlfn.XLOOKUP(A519,Equipe!H:H,Equipe!B:B,"",0)</f>
        <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c r="A520" s="85"/>
      <c r="B520" s="104" t="str">
        <f>_xlfn.XLOOKUP(A520,Equipe!H:H,Equipe!B:B,"",0)</f>
        <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c r="A521" s="85"/>
      <c r="B521" s="104" t="str">
        <f>_xlfn.XLOOKUP(A521,Equipe!H:H,Equipe!B:B,"",0)</f>
        <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c r="A522" s="85"/>
      <c r="B522" s="104" t="str">
        <f>_xlfn.XLOOKUP(A522,Equipe!H:H,Equipe!B:B,"",0)</f>
        <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c r="A523" s="85"/>
      <c r="B523" s="104" t="str">
        <f>_xlfn.XLOOKUP(A523,Equipe!H:H,Equipe!B:B,"",0)</f>
        <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c r="A524" s="85"/>
      <c r="B524" s="104" t="str">
        <f>_xlfn.XLOOKUP(A524,Equipe!H:H,Equipe!B:B,"",0)</f>
        <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c r="A525" s="85"/>
      <c r="B525" s="104" t="str">
        <f>_xlfn.XLOOKUP(A525,Equipe!H:H,Equipe!B:B,"",0)</f>
        <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c r="A526" s="85"/>
      <c r="B526" s="104" t="str">
        <f>_xlfn.XLOOKUP(A526,Equipe!H:H,Equipe!B:B,"",0)</f>
        <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c r="A527" s="85"/>
      <c r="B527" s="104" t="str">
        <f>_xlfn.XLOOKUP(A527,Equipe!H:H,Equipe!B:B,"",0)</f>
        <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c r="A528" s="85"/>
      <c r="B528" s="104" t="str">
        <f>_xlfn.XLOOKUP(A528,Equipe!H:H,Equipe!B:B,"",0)</f>
        <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c r="A529" s="85"/>
      <c r="B529" s="104" t="str">
        <f>_xlfn.XLOOKUP(A529,Equipe!H:H,Equipe!B:B,"",0)</f>
        <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c r="A530" s="85"/>
      <c r="B530" s="104" t="str">
        <f>_xlfn.XLOOKUP(A530,Equipe!H:H,Equipe!B:B,"",0)</f>
        <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c r="A531" s="85"/>
      <c r="B531" s="104" t="str">
        <f>_xlfn.XLOOKUP(A531,Equipe!H:H,Equipe!B:B,"",0)</f>
        <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c r="A532" s="85"/>
      <c r="B532" s="104" t="str">
        <f>_xlfn.XLOOKUP(A532,Equipe!H:H,Equipe!B:B,"",0)</f>
        <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c r="A533" s="85"/>
      <c r="B533" s="104" t="str">
        <f>_xlfn.XLOOKUP(A533,Equipe!H:H,Equipe!B:B,"",0)</f>
        <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c r="A534" s="85"/>
      <c r="B534" s="104" t="str">
        <f>_xlfn.XLOOKUP(A534,Equipe!H:H,Equipe!B:B,"",0)</f>
        <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c r="A535" s="85"/>
      <c r="B535" s="104" t="str">
        <f>_xlfn.XLOOKUP(A535,Equipe!H:H,Equipe!B:B,"",0)</f>
        <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c r="A536" s="85"/>
      <c r="B536" s="104" t="str">
        <f>_xlfn.XLOOKUP(A536,Equipe!H:H,Equipe!B:B,"",0)</f>
        <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c r="A537" s="85"/>
      <c r="B537" s="104" t="str">
        <f>_xlfn.XLOOKUP(A537,Equipe!H:H,Equipe!B:B,"",0)</f>
        <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c r="A538" s="85"/>
      <c r="B538" s="104" t="str">
        <f>_xlfn.XLOOKUP(A538,Equipe!H:H,Equipe!B:B,"",0)</f>
        <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c r="A539" s="85"/>
      <c r="B539" s="104" t="str">
        <f>_xlfn.XLOOKUP(A539,Equipe!H:H,Equipe!B:B,"",0)</f>
        <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c r="A540" s="85"/>
      <c r="B540" s="104" t="str">
        <f>_xlfn.XLOOKUP(A540,Equipe!H:H,Equipe!B:B,"",0)</f>
        <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c r="A541" s="85"/>
      <c r="B541" s="104" t="str">
        <f>_xlfn.XLOOKUP(A541,Equipe!H:H,Equipe!B:B,"",0)</f>
        <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c r="A542" s="85"/>
      <c r="B542" s="104" t="str">
        <f>_xlfn.XLOOKUP(A542,Equipe!H:H,Equipe!B:B,"",0)</f>
        <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c r="A543" s="85"/>
      <c r="B543" s="104" t="str">
        <f>_xlfn.XLOOKUP(A543,Equipe!H:H,Equipe!B:B,"",0)</f>
        <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c r="A544" s="85"/>
      <c r="B544" s="104" t="str">
        <f>_xlfn.XLOOKUP(A544,Equipe!H:H,Equipe!B:B,"",0)</f>
        <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c r="A545" s="85"/>
      <c r="B545" s="104" t="str">
        <f>_xlfn.XLOOKUP(A545,Equipe!H:H,Equipe!B:B,"",0)</f>
        <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c r="A546" s="85"/>
      <c r="B546" s="104" t="str">
        <f>_xlfn.XLOOKUP(A546,Equipe!H:H,Equipe!B:B,"",0)</f>
        <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c r="A547" s="85"/>
      <c r="B547" s="104" t="str">
        <f>_xlfn.XLOOKUP(A547,Equipe!H:H,Equipe!B:B,"",0)</f>
        <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c r="A548" s="85"/>
      <c r="B548" s="104" t="str">
        <f>_xlfn.XLOOKUP(A548,Equipe!H:H,Equipe!B:B,"",0)</f>
        <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c r="A549" s="85"/>
      <c r="B549" s="104" t="str">
        <f>_xlfn.XLOOKUP(A549,Equipe!H:H,Equipe!B:B,"",0)</f>
        <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c r="A550" s="85"/>
      <c r="B550" s="104" t="str">
        <f>_xlfn.XLOOKUP(A550,Equipe!H:H,Equipe!B:B,"",0)</f>
        <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c r="A551" s="85"/>
      <c r="B551" s="104" t="str">
        <f>_xlfn.XLOOKUP(A551,Equipe!H:H,Equipe!B:B,"",0)</f>
        <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c r="A552" s="85"/>
      <c r="B552" s="104" t="str">
        <f>_xlfn.XLOOKUP(A552,Equipe!H:H,Equipe!B:B,"",0)</f>
        <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c r="A553" s="85"/>
      <c r="B553" s="104" t="str">
        <f>_xlfn.XLOOKUP(A553,Equipe!H:H,Equipe!B:B,"",0)</f>
        <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c r="A554" s="85"/>
      <c r="B554" s="104" t="str">
        <f>_xlfn.XLOOKUP(A554,Equipe!H:H,Equipe!B:B,"",0)</f>
        <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c r="A555" s="85"/>
      <c r="B555" s="104" t="str">
        <f>_xlfn.XLOOKUP(A555,Equipe!H:H,Equipe!B:B,"",0)</f>
        <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c r="A556" s="85"/>
      <c r="B556" s="104" t="str">
        <f>_xlfn.XLOOKUP(A556,Equipe!H:H,Equipe!B:B,"",0)</f>
        <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c r="A557" s="85"/>
      <c r="B557" s="104" t="str">
        <f>_xlfn.XLOOKUP(A557,Equipe!H:H,Equipe!B:B,"",0)</f>
        <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c r="A558" s="85"/>
      <c r="B558" s="104" t="str">
        <f>_xlfn.XLOOKUP(A558,Equipe!H:H,Equipe!B:B,"",0)</f>
        <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c r="A559" s="85"/>
      <c r="B559" s="104" t="str">
        <f>_xlfn.XLOOKUP(A559,Equipe!H:H,Equipe!B:B,"",0)</f>
        <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c r="A560" s="85"/>
      <c r="B560" s="104" t="str">
        <f>_xlfn.XLOOKUP(A560,Equipe!H:H,Equipe!B:B,"",0)</f>
        <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c r="A561" s="85"/>
      <c r="B561" s="104" t="str">
        <f>_xlfn.XLOOKUP(A561,Equipe!H:H,Equipe!B:B,"",0)</f>
        <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c r="A562" s="85"/>
      <c r="B562" s="104" t="str">
        <f>_xlfn.XLOOKUP(A562,Equipe!H:H,Equipe!B:B,"",0)</f>
        <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c r="A563" s="85"/>
      <c r="B563" s="104" t="str">
        <f>_xlfn.XLOOKUP(A563,Equipe!H:H,Equipe!B:B,"",0)</f>
        <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c r="A564" s="85"/>
      <c r="B564" s="104" t="str">
        <f>_xlfn.XLOOKUP(A564,Equipe!H:H,Equipe!B:B,"",0)</f>
        <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c r="A565" s="85"/>
      <c r="B565" s="104" t="str">
        <f>_xlfn.XLOOKUP(A565,Equipe!H:H,Equipe!B:B,"",0)</f>
        <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c r="A566" s="85"/>
      <c r="B566" s="104" t="str">
        <f>_xlfn.XLOOKUP(A566,Equipe!H:H,Equipe!B:B,"",0)</f>
        <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c r="A567" s="85"/>
      <c r="B567" s="104" t="str">
        <f>_xlfn.XLOOKUP(A567,Equipe!H:H,Equipe!B:B,"",0)</f>
        <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c r="A568" s="85"/>
      <c r="B568" s="104" t="str">
        <f>_xlfn.XLOOKUP(A568,Equipe!H:H,Equipe!B:B,"",0)</f>
        <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c r="A569" s="85"/>
      <c r="B569" s="104" t="str">
        <f>_xlfn.XLOOKUP(A569,Equipe!H:H,Equipe!B:B,"",0)</f>
        <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c r="A570" s="85"/>
      <c r="B570" s="104" t="str">
        <f>_xlfn.XLOOKUP(A570,Equipe!H:H,Equipe!B:B,"",0)</f>
        <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c r="A571" s="85"/>
      <c r="B571" s="104" t="str">
        <f>_xlfn.XLOOKUP(A571,Equipe!H:H,Equipe!B:B,"",0)</f>
        <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c r="A572" s="85"/>
      <c r="B572" s="104" t="str">
        <f>_xlfn.XLOOKUP(A572,Equipe!H:H,Equipe!B:B,"",0)</f>
        <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c r="A573" s="85"/>
      <c r="B573" s="104" t="str">
        <f>_xlfn.XLOOKUP(A573,Equipe!H:H,Equipe!B:B,"",0)</f>
        <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c r="A574" s="85"/>
      <c r="B574" s="104" t="str">
        <f>_xlfn.XLOOKUP(A574,Equipe!H:H,Equipe!B:B,"",0)</f>
        <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c r="A575" s="85"/>
      <c r="B575" s="104" t="str">
        <f>_xlfn.XLOOKUP(A575,Equipe!H:H,Equipe!B:B,"",0)</f>
        <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c r="A576" s="85"/>
      <c r="B576" s="104" t="str">
        <f>_xlfn.XLOOKUP(A576,Equipe!H:H,Equipe!B:B,"",0)</f>
        <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c r="A577" s="85"/>
      <c r="B577" s="104" t="str">
        <f>_xlfn.XLOOKUP(A577,Equipe!H:H,Equipe!B:B,"",0)</f>
        <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c r="A578" s="85"/>
      <c r="B578" s="104" t="str">
        <f>_xlfn.XLOOKUP(A578,Equipe!H:H,Equipe!B:B,"",0)</f>
        <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c r="A579" s="85"/>
      <c r="B579" s="104" t="str">
        <f>_xlfn.XLOOKUP(A579,Equipe!H:H,Equipe!B:B,"",0)</f>
        <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c r="A580" s="85"/>
      <c r="B580" s="104" t="str">
        <f>_xlfn.XLOOKUP(A580,Equipe!H:H,Equipe!B:B,"",0)</f>
        <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c r="A581" s="85"/>
      <c r="B581" s="104" t="str">
        <f>_xlfn.XLOOKUP(A581,Equipe!H:H,Equipe!B:B,"",0)</f>
        <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c r="A582" s="85"/>
      <c r="B582" s="104" t="str">
        <f>_xlfn.XLOOKUP(A582,Equipe!H:H,Equipe!B:B,"",0)</f>
        <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c r="A583" s="85"/>
      <c r="B583" s="104" t="str">
        <f>_xlfn.XLOOKUP(A583,Equipe!H:H,Equipe!B:B,"",0)</f>
        <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c r="A584" s="85"/>
      <c r="B584" s="104" t="str">
        <f>_xlfn.XLOOKUP(A584,Equipe!H:H,Equipe!B:B,"",0)</f>
        <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c r="A585" s="85"/>
      <c r="B585" s="104" t="str">
        <f>_xlfn.XLOOKUP(A585,Equipe!H:H,Equipe!B:B,"",0)</f>
        <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c r="A586" s="85"/>
      <c r="B586" s="104" t="str">
        <f>_xlfn.XLOOKUP(A586,Equipe!H:H,Equipe!B:B,"",0)</f>
        <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c r="A587" s="85"/>
      <c r="B587" s="104" t="str">
        <f>_xlfn.XLOOKUP(A587,Equipe!H:H,Equipe!B:B,"",0)</f>
        <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c r="A588" s="85"/>
      <c r="B588" s="104" t="str">
        <f>_xlfn.XLOOKUP(A588,Equipe!H:H,Equipe!B:B,"",0)</f>
        <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c r="A589" s="85"/>
      <c r="B589" s="104" t="str">
        <f>_xlfn.XLOOKUP(A589,Equipe!H:H,Equipe!B:B,"",0)</f>
        <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c r="A590" s="85"/>
      <c r="B590" s="104" t="str">
        <f>_xlfn.XLOOKUP(A590,Equipe!H:H,Equipe!B:B,"",0)</f>
        <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c r="A591" s="85"/>
      <c r="B591" s="104" t="str">
        <f>_xlfn.XLOOKUP(A591,Equipe!H:H,Equipe!B:B,"",0)</f>
        <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c r="A592" s="85"/>
      <c r="B592" s="104" t="str">
        <f>_xlfn.XLOOKUP(A592,Equipe!H:H,Equipe!B:B,"",0)</f>
        <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c r="A593" s="85"/>
      <c r="B593" s="104" t="str">
        <f>_xlfn.XLOOKUP(A593,Equipe!H:H,Equipe!B:B,"",0)</f>
        <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c r="A594" s="85"/>
      <c r="B594" s="104" t="str">
        <f>_xlfn.XLOOKUP(A594,Equipe!H:H,Equipe!B:B,"",0)</f>
        <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c r="A595" s="85"/>
      <c r="B595" s="104" t="str">
        <f>_xlfn.XLOOKUP(A595,Equipe!H:H,Equipe!B:B,"",0)</f>
        <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c r="A596" s="85"/>
      <c r="B596" s="104" t="str">
        <f>_xlfn.XLOOKUP(A596,Equipe!H:H,Equipe!B:B,"",0)</f>
        <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c r="A597" s="85"/>
      <c r="B597" s="104" t="str">
        <f>_xlfn.XLOOKUP(A597,Equipe!H:H,Equipe!B:B,"",0)</f>
        <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c r="A598" s="85"/>
      <c r="B598" s="104" t="str">
        <f>_xlfn.XLOOKUP(A598,Equipe!H:H,Equipe!B:B,"",0)</f>
        <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c r="A599" s="85"/>
      <c r="B599" s="104" t="str">
        <f>_xlfn.XLOOKUP(A599,Equipe!H:H,Equipe!B:B,"",0)</f>
        <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c r="A600" s="85"/>
      <c r="B600" s="104" t="str">
        <f>_xlfn.XLOOKUP(A600,Equipe!H:H,Equipe!B:B,"",0)</f>
        <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c r="A601" s="85"/>
      <c r="B601" s="104" t="str">
        <f>_xlfn.XLOOKUP(A601,Equipe!H:H,Equipe!B:B,"",0)</f>
        <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c r="A602" s="85"/>
      <c r="B602" s="104" t="str">
        <f>_xlfn.XLOOKUP(A602,Equipe!H:H,Equipe!B:B,"",0)</f>
        <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c r="A603" s="85"/>
      <c r="B603" s="104" t="str">
        <f>_xlfn.XLOOKUP(A603,Equipe!H:H,Equipe!B:B,"",0)</f>
        <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c r="A604" s="85"/>
      <c r="B604" s="104" t="str">
        <f>_xlfn.XLOOKUP(A604,Equipe!H:H,Equipe!B:B,"",0)</f>
        <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c r="A605" s="85"/>
      <c r="B605" s="104" t="str">
        <f>_xlfn.XLOOKUP(A605,Equipe!H:H,Equipe!B:B,"",0)</f>
        <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c r="A606" s="85"/>
      <c r="B606" s="104" t="str">
        <f>_xlfn.XLOOKUP(A606,Equipe!H:H,Equipe!B:B,"",0)</f>
        <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c r="A607" s="85"/>
      <c r="B607" s="104" t="str">
        <f>_xlfn.XLOOKUP(A607,Equipe!H:H,Equipe!B:B,"",0)</f>
        <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c r="A608" s="85"/>
      <c r="B608" s="104" t="str">
        <f>_xlfn.XLOOKUP(A608,Equipe!H:H,Equipe!B:B,"",0)</f>
        <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c r="A609" s="85"/>
      <c r="B609" s="104" t="str">
        <f>_xlfn.XLOOKUP(A609,Equipe!H:H,Equipe!B:B,"",0)</f>
        <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c r="A610" s="85"/>
      <c r="B610" s="104" t="str">
        <f>_xlfn.XLOOKUP(A610,Equipe!H:H,Equipe!B:B,"",0)</f>
        <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c r="A611" s="85"/>
      <c r="B611" s="104" t="str">
        <f>_xlfn.XLOOKUP(A611,Equipe!H:H,Equipe!B:B,"",0)</f>
        <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c r="A612" s="85"/>
      <c r="B612" s="104" t="str">
        <f>_xlfn.XLOOKUP(A612,Equipe!H:H,Equipe!B:B,"",0)</f>
        <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c r="A613" s="85"/>
      <c r="B613" s="104" t="str">
        <f>_xlfn.XLOOKUP(A613,Equipe!H:H,Equipe!B:B,"",0)</f>
        <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c r="A614" s="85"/>
      <c r="B614" s="104" t="str">
        <f>_xlfn.XLOOKUP(A614,Equipe!H:H,Equipe!B:B,"",0)</f>
        <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c r="A615" s="85"/>
      <c r="B615" s="104" t="str">
        <f>_xlfn.XLOOKUP(A615,Equipe!H:H,Equipe!B:B,"",0)</f>
        <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c r="A616" s="85"/>
      <c r="B616" s="104" t="str">
        <f>_xlfn.XLOOKUP(A616,Equipe!H:H,Equipe!B:B,"",0)</f>
        <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c r="A617" s="85"/>
      <c r="B617" s="104" t="str">
        <f>_xlfn.XLOOKUP(A617,Equipe!H:H,Equipe!B:B,"",0)</f>
        <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c r="A618" s="85"/>
      <c r="B618" s="104" t="str">
        <f>_xlfn.XLOOKUP(A618,Equipe!H:H,Equipe!B:B,"",0)</f>
        <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c r="A619" s="85"/>
      <c r="B619" s="104" t="str">
        <f>_xlfn.XLOOKUP(A619,Equipe!H:H,Equipe!B:B,"",0)</f>
        <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c r="A620" s="85"/>
      <c r="B620" s="104" t="str">
        <f>_xlfn.XLOOKUP(A620,Equipe!H:H,Equipe!B:B,"",0)</f>
        <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c r="A621" s="85"/>
      <c r="B621" s="104" t="str">
        <f>_xlfn.XLOOKUP(A621,Equipe!H:H,Equipe!B:B,"",0)</f>
        <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c r="A622" s="85"/>
      <c r="B622" s="104" t="str">
        <f>_xlfn.XLOOKUP(A622,Equipe!H:H,Equipe!B:B,"",0)</f>
        <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c r="A623" s="85"/>
      <c r="B623" s="104" t="str">
        <f>_xlfn.XLOOKUP(A623,Equipe!H:H,Equipe!B:B,"",0)</f>
        <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c r="A624" s="85"/>
      <c r="B624" s="104" t="str">
        <f>_xlfn.XLOOKUP(A624,Equipe!H:H,Equipe!B:B,"",0)</f>
        <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c r="A625" s="85"/>
      <c r="B625" s="104" t="str">
        <f>_xlfn.XLOOKUP(A625,Equipe!H:H,Equipe!B:B,"",0)</f>
        <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c r="A626" s="85"/>
      <c r="B626" s="104" t="str">
        <f>_xlfn.XLOOKUP(A626,Equipe!H:H,Equipe!B:B,"",0)</f>
        <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c r="A627" s="85"/>
      <c r="B627" s="104" t="str">
        <f>_xlfn.XLOOKUP(A627,Equipe!H:H,Equipe!B:B,"",0)</f>
        <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c r="A628" s="85"/>
      <c r="B628" s="104" t="str">
        <f>_xlfn.XLOOKUP(A628,Equipe!H:H,Equipe!B:B,"",0)</f>
        <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c r="A629" s="85"/>
      <c r="B629" s="104" t="str">
        <f>_xlfn.XLOOKUP(A629,Equipe!H:H,Equipe!B:B,"",0)</f>
        <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c r="A630" s="85"/>
      <c r="B630" s="104" t="str">
        <f>_xlfn.XLOOKUP(A630,Equipe!H:H,Equipe!B:B,"",0)</f>
        <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c r="A631" s="85"/>
      <c r="B631" s="104" t="str">
        <f>_xlfn.XLOOKUP(A631,Equipe!H:H,Equipe!B:B,"",0)</f>
        <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c r="A632" s="85"/>
      <c r="B632" s="104" t="str">
        <f>_xlfn.XLOOKUP(A632,Equipe!H:H,Equipe!B:B,"",0)</f>
        <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c r="A633" s="85"/>
      <c r="B633" s="104" t="str">
        <f>_xlfn.XLOOKUP(A633,Equipe!H:H,Equipe!B:B,"",0)</f>
        <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c r="A634" s="85"/>
      <c r="B634" s="104" t="str">
        <f>_xlfn.XLOOKUP(A634,Equipe!H:H,Equipe!B:B,"",0)</f>
        <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c r="A635" s="85"/>
      <c r="B635" s="104" t="str">
        <f>_xlfn.XLOOKUP(A635,Equipe!H:H,Equipe!B:B,"",0)</f>
        <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c r="A636" s="85"/>
      <c r="B636" s="104" t="str">
        <f>_xlfn.XLOOKUP(A636,Equipe!H:H,Equipe!B:B,"",0)</f>
        <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c r="A637" s="85"/>
      <c r="B637" s="104" t="str">
        <f>_xlfn.XLOOKUP(A637,Equipe!H:H,Equipe!B:B,"",0)</f>
        <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c r="A638" s="85"/>
      <c r="B638" s="104" t="str">
        <f>_xlfn.XLOOKUP(A638,Equipe!H:H,Equipe!B:B,"",0)</f>
        <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c r="A639" s="85"/>
      <c r="B639" s="104" t="str">
        <f>_xlfn.XLOOKUP(A639,Equipe!H:H,Equipe!B:B,"",0)</f>
        <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c r="A640" s="85"/>
      <c r="B640" s="104" t="str">
        <f>_xlfn.XLOOKUP(A640,Equipe!H:H,Equipe!B:B,"",0)</f>
        <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c r="A641" s="85"/>
      <c r="B641" s="104" t="str">
        <f>_xlfn.XLOOKUP(A641,Equipe!H:H,Equipe!B:B,"",0)</f>
        <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c r="A642" s="85"/>
      <c r="B642" s="104" t="str">
        <f>_xlfn.XLOOKUP(A642,Equipe!H:H,Equipe!B:B,"",0)</f>
        <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c r="A643" s="85"/>
      <c r="B643" s="104" t="str">
        <f>_xlfn.XLOOKUP(A643,Equipe!H:H,Equipe!B:B,"",0)</f>
        <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c r="A644" s="85"/>
      <c r="B644" s="104" t="str">
        <f>_xlfn.XLOOKUP(A644,Equipe!H:H,Equipe!B:B,"",0)</f>
        <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c r="A645" s="85"/>
      <c r="B645" s="104" t="str">
        <f>_xlfn.XLOOKUP(A645,Equipe!H:H,Equipe!B:B,"",0)</f>
        <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c r="A646" s="85"/>
      <c r="B646" s="104" t="str">
        <f>_xlfn.XLOOKUP(A646,Equipe!H:H,Equipe!B:B,"",0)</f>
        <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c r="A647" s="85"/>
      <c r="B647" s="104" t="str">
        <f>_xlfn.XLOOKUP(A647,Equipe!H:H,Equipe!B:B,"",0)</f>
        <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c r="A648" s="85"/>
      <c r="B648" s="104" t="str">
        <f>_xlfn.XLOOKUP(A648,Equipe!H:H,Equipe!B:B,"",0)</f>
        <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c r="A649" s="85"/>
      <c r="B649" s="104" t="str">
        <f>_xlfn.XLOOKUP(A649,Equipe!H:H,Equipe!B:B,"",0)</f>
        <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c r="A650" s="85"/>
      <c r="B650" s="104" t="str">
        <f>_xlfn.XLOOKUP(A650,Equipe!H:H,Equipe!B:B,"",0)</f>
        <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c r="A651" s="85"/>
      <c r="B651" s="104" t="str">
        <f>_xlfn.XLOOKUP(A651,Equipe!H:H,Equipe!B:B,"",0)</f>
        <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c r="A652" s="85"/>
      <c r="B652" s="104" t="str">
        <f>_xlfn.XLOOKUP(A652,Equipe!H:H,Equipe!B:B,"",0)</f>
        <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c r="A653" s="85"/>
      <c r="B653" s="104" t="str">
        <f>_xlfn.XLOOKUP(A653,Equipe!H:H,Equipe!B:B,"",0)</f>
        <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c r="A654" s="85"/>
      <c r="B654" s="104" t="str">
        <f>_xlfn.XLOOKUP(A654,Equipe!H:H,Equipe!B:B,"",0)</f>
        <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c r="A655" s="85"/>
      <c r="B655" s="104" t="str">
        <f>_xlfn.XLOOKUP(A655,Equipe!H:H,Equipe!B:B,"",0)</f>
        <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c r="A656" s="85"/>
      <c r="B656" s="104" t="str">
        <f>_xlfn.XLOOKUP(A656,Equipe!H:H,Equipe!B:B,"",0)</f>
        <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c r="A657" s="85"/>
      <c r="B657" s="104" t="str">
        <f>_xlfn.XLOOKUP(A657,Equipe!H:H,Equipe!B:B,"",0)</f>
        <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c r="A658" s="85"/>
      <c r="B658" s="104" t="str">
        <f>_xlfn.XLOOKUP(A658,Equipe!H:H,Equipe!B:B,"",0)</f>
        <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c r="A659" s="85"/>
      <c r="B659" s="104" t="str">
        <f>_xlfn.XLOOKUP(A659,Equipe!H:H,Equipe!B:B,"",0)</f>
        <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c r="A660" s="85"/>
      <c r="B660" s="104" t="str">
        <f>_xlfn.XLOOKUP(A660,Equipe!H:H,Equipe!B:B,"",0)</f>
        <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c r="A661" s="85"/>
      <c r="B661" s="104" t="str">
        <f>_xlfn.XLOOKUP(A661,Equipe!H:H,Equipe!B:B,"",0)</f>
        <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c r="A662" s="85"/>
      <c r="B662" s="104" t="str">
        <f>_xlfn.XLOOKUP(A662,Equipe!H:H,Equipe!B:B,"",0)</f>
        <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c r="A663" s="85"/>
      <c r="B663" s="104" t="str">
        <f>_xlfn.XLOOKUP(A663,Equipe!H:H,Equipe!B:B,"",0)</f>
        <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c r="A664" s="85"/>
      <c r="B664" s="104" t="str">
        <f>_xlfn.XLOOKUP(A664,Equipe!H:H,Equipe!B:B,"",0)</f>
        <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c r="A665" s="85"/>
      <c r="B665" s="104" t="str">
        <f>_xlfn.XLOOKUP(A665,Equipe!H:H,Equipe!B:B,"",0)</f>
        <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c r="A666" s="85"/>
      <c r="B666" s="104" t="str">
        <f>_xlfn.XLOOKUP(A666,Equipe!H:H,Equipe!B:B,"",0)</f>
        <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c r="A667" s="85"/>
      <c r="B667" s="104" t="str">
        <f>_xlfn.XLOOKUP(A667,Equipe!H:H,Equipe!B:B,"",0)</f>
        <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c r="A668" s="85"/>
      <c r="B668" s="104" t="str">
        <f>_xlfn.XLOOKUP(A668,Equipe!H:H,Equipe!B:B,"",0)</f>
        <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c r="A669" s="85"/>
      <c r="B669" s="104" t="str">
        <f>_xlfn.XLOOKUP(A669,Equipe!H:H,Equipe!B:B,"",0)</f>
        <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c r="A670" s="85"/>
      <c r="B670" s="104" t="str">
        <f>_xlfn.XLOOKUP(A670,Equipe!H:H,Equipe!B:B,"",0)</f>
        <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c r="A671" s="85"/>
      <c r="B671" s="104" t="str">
        <f>_xlfn.XLOOKUP(A671,Equipe!H:H,Equipe!B:B,"",0)</f>
        <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c r="A672" s="85"/>
      <c r="B672" s="104" t="str">
        <f>_xlfn.XLOOKUP(A672,Equipe!H:H,Equipe!B:B,"",0)</f>
        <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c r="A673" s="85"/>
      <c r="B673" s="104" t="str">
        <f>_xlfn.XLOOKUP(A673,Equipe!H:H,Equipe!B:B,"",0)</f>
        <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c r="A674" s="85"/>
      <c r="B674" s="104" t="str">
        <f>_xlfn.XLOOKUP(A674,Equipe!H:H,Equipe!B:B,"",0)</f>
        <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c r="A675" s="85"/>
      <c r="B675" s="104" t="str">
        <f>_xlfn.XLOOKUP(A675,Equipe!H:H,Equipe!B:B,"",0)</f>
        <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c r="A676" s="85"/>
      <c r="B676" s="104" t="str">
        <f>_xlfn.XLOOKUP(A676,Equipe!H:H,Equipe!B:B,"",0)</f>
        <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c r="A677" s="85"/>
      <c r="B677" s="104" t="str">
        <f>_xlfn.XLOOKUP(A677,Equipe!H:H,Equipe!B:B,"",0)</f>
        <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c r="A678" s="85"/>
      <c r="B678" s="104" t="str">
        <f>_xlfn.XLOOKUP(A678,Equipe!H:H,Equipe!B:B,"",0)</f>
        <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c r="A679" s="85"/>
      <c r="B679" s="104" t="str">
        <f>_xlfn.XLOOKUP(A679,Equipe!H:H,Equipe!B:B,"",0)</f>
        <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c r="A680" s="85"/>
      <c r="B680" s="104" t="str">
        <f>_xlfn.XLOOKUP(A680,Equipe!H:H,Equipe!B:B,"",0)</f>
        <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c r="A681" s="85"/>
      <c r="B681" s="104" t="str">
        <f>_xlfn.XLOOKUP(A681,Equipe!H:H,Equipe!B:B,"",0)</f>
        <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c r="A682" s="85"/>
      <c r="B682" s="104" t="str">
        <f>_xlfn.XLOOKUP(A682,Equipe!H:H,Equipe!B:B,"",0)</f>
        <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c r="A683" s="85"/>
      <c r="B683" s="104" t="str">
        <f>_xlfn.XLOOKUP(A683,Equipe!H:H,Equipe!B:B,"",0)</f>
        <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c r="A684" s="85"/>
      <c r="B684" s="104" t="str">
        <f>_xlfn.XLOOKUP(A684,Equipe!H:H,Equipe!B:B,"",0)</f>
        <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c r="A685" s="85"/>
      <c r="B685" s="104" t="str">
        <f>_xlfn.XLOOKUP(A685,Equipe!H:H,Equipe!B:B,"",0)</f>
        <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c r="A686" s="85"/>
      <c r="B686" s="104" t="str">
        <f>_xlfn.XLOOKUP(A686,Equipe!H:H,Equipe!B:B,"",0)</f>
        <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c r="A687" s="85"/>
      <c r="B687" s="104" t="str">
        <f>_xlfn.XLOOKUP(A687,Equipe!H:H,Equipe!B:B,"",0)</f>
        <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c r="A688" s="85"/>
      <c r="B688" s="104" t="str">
        <f>_xlfn.XLOOKUP(A688,Equipe!H:H,Equipe!B:B,"",0)</f>
        <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c r="A689" s="85"/>
      <c r="B689" s="104" t="str">
        <f>_xlfn.XLOOKUP(A689,Equipe!H:H,Equipe!B:B,"",0)</f>
        <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c r="A690" s="85"/>
      <c r="B690" s="104" t="str">
        <f>_xlfn.XLOOKUP(A690,Equipe!H:H,Equipe!B:B,"",0)</f>
        <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c r="A691" s="85"/>
      <c r="B691" s="104" t="str">
        <f>_xlfn.XLOOKUP(A691,Equipe!H:H,Equipe!B:B,"",0)</f>
        <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c r="A692" s="85"/>
      <c r="B692" s="104" t="str">
        <f>_xlfn.XLOOKUP(A692,Equipe!H:H,Equipe!B:B,"",0)</f>
        <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c r="A693" s="85"/>
      <c r="B693" s="104" t="str">
        <f>_xlfn.XLOOKUP(A693,Equipe!H:H,Equipe!B:B,"",0)</f>
        <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c r="A694" s="85"/>
      <c r="B694" s="104" t="str">
        <f>_xlfn.XLOOKUP(A694,Equipe!H:H,Equipe!B:B,"",0)</f>
        <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c r="A695" s="85"/>
      <c r="B695" s="104" t="str">
        <f>_xlfn.XLOOKUP(A695,Equipe!H:H,Equipe!B:B,"",0)</f>
        <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c r="A696" s="85"/>
      <c r="B696" s="104" t="str">
        <f>_xlfn.XLOOKUP(A696,Equipe!H:H,Equipe!B:B,"",0)</f>
        <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c r="A697" s="85"/>
      <c r="B697" s="104" t="str">
        <f>_xlfn.XLOOKUP(A697,Equipe!H:H,Equipe!B:B,"",0)</f>
        <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c r="A698" s="85"/>
      <c r="B698" s="104" t="str">
        <f>_xlfn.XLOOKUP(A698,Equipe!H:H,Equipe!B:B,"",0)</f>
        <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c r="A699" s="85"/>
      <c r="B699" s="104" t="str">
        <f>_xlfn.XLOOKUP(A699,Equipe!H:H,Equipe!B:B,"",0)</f>
        <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c r="A700" s="85"/>
      <c r="B700" s="104" t="str">
        <f>_xlfn.XLOOKUP(A700,Equipe!H:H,Equipe!B:B,"",0)</f>
        <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c r="A701" s="85"/>
      <c r="B701" s="104" t="str">
        <f>_xlfn.XLOOKUP(A701,Equipe!H:H,Equipe!B:B,"",0)</f>
        <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c r="A702" s="85"/>
      <c r="B702" s="104" t="str">
        <f>_xlfn.XLOOKUP(A702,Equipe!H:H,Equipe!B:B,"",0)</f>
        <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c r="A703" s="85"/>
      <c r="B703" s="104" t="str">
        <f>_xlfn.XLOOKUP(A703,Equipe!H:H,Equipe!B:B,"",0)</f>
        <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c r="A704" s="85"/>
      <c r="B704" s="104" t="str">
        <f>_xlfn.XLOOKUP(A704,Equipe!H:H,Equipe!B:B,"",0)</f>
        <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c r="A705" s="85"/>
      <c r="B705" s="104" t="str">
        <f>_xlfn.XLOOKUP(A705,Equipe!H:H,Equipe!B:B,"",0)</f>
        <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c r="A706" s="85"/>
      <c r="B706" s="104" t="str">
        <f>_xlfn.XLOOKUP(A706,Equipe!H:H,Equipe!B:B,"",0)</f>
        <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c r="A707" s="85"/>
      <c r="B707" s="104" t="str">
        <f>_xlfn.XLOOKUP(A707,Equipe!H:H,Equipe!B:B,"",0)</f>
        <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c r="A708" s="85"/>
      <c r="B708" s="104" t="str">
        <f>_xlfn.XLOOKUP(A708,Equipe!H:H,Equipe!B:B,"",0)</f>
        <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c r="A709" s="85"/>
      <c r="B709" s="104" t="str">
        <f>_xlfn.XLOOKUP(A709,Equipe!H:H,Equipe!B:B,"",0)</f>
        <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c r="A710" s="85"/>
      <c r="B710" s="104" t="str">
        <f>_xlfn.XLOOKUP(A710,Equipe!H:H,Equipe!B:B,"",0)</f>
        <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c r="A711" s="85"/>
      <c r="B711" s="104" t="str">
        <f>_xlfn.XLOOKUP(A711,Equipe!H:H,Equipe!B:B,"",0)</f>
        <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c r="A712" s="85"/>
      <c r="B712" s="104" t="str">
        <f>_xlfn.XLOOKUP(A712,Equipe!H:H,Equipe!B:B,"",0)</f>
        <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c r="A713" s="85"/>
      <c r="B713" s="104" t="str">
        <f>_xlfn.XLOOKUP(A713,Equipe!H:H,Equipe!B:B,"",0)</f>
        <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c r="A714" s="85"/>
      <c r="B714" s="104" t="str">
        <f>_xlfn.XLOOKUP(A714,Equipe!H:H,Equipe!B:B,"",0)</f>
        <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c r="A715" s="85"/>
      <c r="B715" s="104" t="str">
        <f>_xlfn.XLOOKUP(A715,Equipe!H:H,Equipe!B:B,"",0)</f>
        <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c r="A716" s="85"/>
      <c r="B716" s="104" t="str">
        <f>_xlfn.XLOOKUP(A716,Equipe!H:H,Equipe!B:B,"",0)</f>
        <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c r="A717" s="85"/>
      <c r="B717" s="104" t="str">
        <f>_xlfn.XLOOKUP(A717,Equipe!H:H,Equipe!B:B,"",0)</f>
        <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c r="A718" s="85"/>
      <c r="B718" s="104" t="str">
        <f>_xlfn.XLOOKUP(A718,Equipe!H:H,Equipe!B:B,"",0)</f>
        <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c r="A719" s="85"/>
      <c r="B719" s="104" t="str">
        <f>_xlfn.XLOOKUP(A719,Equipe!H:H,Equipe!B:B,"",0)</f>
        <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c r="A720" s="85"/>
      <c r="B720" s="104" t="str">
        <f>_xlfn.XLOOKUP(A720,Equipe!H:H,Equipe!B:B,"",0)</f>
        <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c r="A721" s="85"/>
      <c r="B721" s="104" t="str">
        <f>_xlfn.XLOOKUP(A721,Equipe!H:H,Equipe!B:B,"",0)</f>
        <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c r="A722" s="85"/>
      <c r="B722" s="104" t="str">
        <f>_xlfn.XLOOKUP(A722,Equipe!H:H,Equipe!B:B,"",0)</f>
        <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c r="A723" s="85"/>
      <c r="B723" s="104" t="str">
        <f>_xlfn.XLOOKUP(A723,Equipe!H:H,Equipe!B:B,"",0)</f>
        <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c r="A724" s="85"/>
      <c r="B724" s="104" t="str">
        <f>_xlfn.XLOOKUP(A724,Equipe!H:H,Equipe!B:B,"",0)</f>
        <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c r="A725" s="85"/>
      <c r="B725" s="104" t="str">
        <f>_xlfn.XLOOKUP(A725,Equipe!H:H,Equipe!B:B,"",0)</f>
        <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c r="A726" s="85"/>
      <c r="B726" s="104" t="str">
        <f>_xlfn.XLOOKUP(A726,Equipe!H:H,Equipe!B:B,"",0)</f>
        <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c r="A727" s="85"/>
      <c r="B727" s="104" t="str">
        <f>_xlfn.XLOOKUP(A727,Equipe!H:H,Equipe!B:B,"",0)</f>
        <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c r="A728" s="85"/>
      <c r="B728" s="104" t="str">
        <f>_xlfn.XLOOKUP(A728,Equipe!H:H,Equipe!B:B,"",0)</f>
        <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c r="A729" s="85"/>
      <c r="B729" s="104" t="str">
        <f>_xlfn.XLOOKUP(A729,Equipe!H:H,Equipe!B:B,"",0)</f>
        <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c r="A730" s="85"/>
      <c r="B730" s="104" t="str">
        <f>_xlfn.XLOOKUP(A730,Equipe!H:H,Equipe!B:B,"",0)</f>
        <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c r="A731" s="85"/>
      <c r="B731" s="104" t="str">
        <f>_xlfn.XLOOKUP(A731,Equipe!H:H,Equipe!B:B,"",0)</f>
        <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c r="A732" s="85"/>
      <c r="B732" s="104" t="str">
        <f>_xlfn.XLOOKUP(A732,Equipe!H:H,Equipe!B:B,"",0)</f>
        <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c r="A733" s="85"/>
      <c r="B733" s="104" t="str">
        <f>_xlfn.XLOOKUP(A733,Equipe!H:H,Equipe!B:B,"",0)</f>
        <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c r="A734" s="85"/>
      <c r="B734" s="104" t="str">
        <f>_xlfn.XLOOKUP(A734,Equipe!H:H,Equipe!B:B,"",0)</f>
        <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c r="A735" s="85"/>
      <c r="B735" s="104" t="str">
        <f>_xlfn.XLOOKUP(A735,Equipe!H:H,Equipe!B:B,"",0)</f>
        <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c r="A736" s="85"/>
      <c r="B736" s="104" t="str">
        <f>_xlfn.XLOOKUP(A736,Equipe!H:H,Equipe!B:B,"",0)</f>
        <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c r="A737" s="85"/>
      <c r="B737" s="104" t="str">
        <f>_xlfn.XLOOKUP(A737,Equipe!H:H,Equipe!B:B,"",0)</f>
        <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c r="A738" s="85"/>
      <c r="B738" s="104" t="str">
        <f>_xlfn.XLOOKUP(A738,Equipe!H:H,Equipe!B:B,"",0)</f>
        <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c r="A739" s="85"/>
      <c r="B739" s="104" t="str">
        <f>_xlfn.XLOOKUP(A739,Equipe!H:H,Equipe!B:B,"",0)</f>
        <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c r="A740" s="85"/>
      <c r="B740" s="104" t="str">
        <f>_xlfn.XLOOKUP(A740,Equipe!H:H,Equipe!B:B,"",0)</f>
        <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c r="A741" s="85"/>
      <c r="B741" s="104" t="str">
        <f>_xlfn.XLOOKUP(A741,Equipe!H:H,Equipe!B:B,"",0)</f>
        <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c r="A742" s="85"/>
      <c r="B742" s="104" t="str">
        <f>_xlfn.XLOOKUP(A742,Equipe!H:H,Equipe!B:B,"",0)</f>
        <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c r="A743" s="85"/>
      <c r="B743" s="104" t="str">
        <f>_xlfn.XLOOKUP(A743,Equipe!H:H,Equipe!B:B,"",0)</f>
        <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c r="A744" s="85"/>
      <c r="B744" s="104" t="str">
        <f>_xlfn.XLOOKUP(A744,Equipe!H:H,Equipe!B:B,"",0)</f>
        <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c r="A745" s="85"/>
      <c r="B745" s="104" t="str">
        <f>_xlfn.XLOOKUP(A745,Equipe!H:H,Equipe!B:B,"",0)</f>
        <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c r="A746" s="85"/>
      <c r="B746" s="104" t="str">
        <f>_xlfn.XLOOKUP(A746,Equipe!H:H,Equipe!B:B,"",0)</f>
        <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c r="A747" s="85"/>
      <c r="B747" s="104" t="str">
        <f>_xlfn.XLOOKUP(A747,Equipe!H:H,Equipe!B:B,"",0)</f>
        <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c r="A748" s="85"/>
      <c r="B748" s="104" t="str">
        <f>_xlfn.XLOOKUP(A748,Equipe!H:H,Equipe!B:B,"",0)</f>
        <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c r="A749" s="85"/>
      <c r="B749" s="104" t="str">
        <f>_xlfn.XLOOKUP(A749,Equipe!H:H,Equipe!B:B,"",0)</f>
        <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c r="A750" s="85"/>
      <c r="B750" s="104" t="str">
        <f>_xlfn.XLOOKUP(A750,Equipe!H:H,Equipe!B:B,"",0)</f>
        <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c r="A751" s="85"/>
      <c r="B751" s="104" t="str">
        <f>_xlfn.XLOOKUP(A751,Equipe!H:H,Equipe!B:B,"",0)</f>
        <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c r="A752" s="85"/>
      <c r="B752" s="104" t="str">
        <f>_xlfn.XLOOKUP(A752,Equipe!H:H,Equipe!B:B,"",0)</f>
        <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c r="A753" s="85"/>
      <c r="B753" s="104" t="str">
        <f>_xlfn.XLOOKUP(A753,Equipe!H:H,Equipe!B:B,"",0)</f>
        <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c r="A754" s="85"/>
      <c r="B754" s="104" t="str">
        <f>_xlfn.XLOOKUP(A754,Equipe!H:H,Equipe!B:B,"",0)</f>
        <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c r="A755" s="85"/>
      <c r="B755" s="104" t="str">
        <f>_xlfn.XLOOKUP(A755,Equipe!H:H,Equipe!B:B,"",0)</f>
        <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c r="A756" s="85"/>
      <c r="B756" s="104" t="str">
        <f>_xlfn.XLOOKUP(A756,Equipe!H:H,Equipe!B:B,"",0)</f>
        <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c r="A757" s="85"/>
      <c r="B757" s="104" t="str">
        <f>_xlfn.XLOOKUP(A757,Equipe!H:H,Equipe!B:B,"",0)</f>
        <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c r="A758" s="85"/>
      <c r="B758" s="104" t="str">
        <f>_xlfn.XLOOKUP(A758,Equipe!H:H,Equipe!B:B,"",0)</f>
        <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c r="A759" s="85"/>
      <c r="B759" s="104" t="str">
        <f>_xlfn.XLOOKUP(A759,Equipe!H:H,Equipe!B:B,"",0)</f>
        <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c r="A760" s="85"/>
      <c r="B760" s="104" t="str">
        <f>_xlfn.XLOOKUP(A760,Equipe!H:H,Equipe!B:B,"",0)</f>
        <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c r="A761" s="85"/>
      <c r="B761" s="104" t="str">
        <f>_xlfn.XLOOKUP(A761,Equipe!H:H,Equipe!B:B,"",0)</f>
        <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c r="A762" s="85"/>
      <c r="B762" s="104" t="str">
        <f>_xlfn.XLOOKUP(A762,Equipe!H:H,Equipe!B:B,"",0)</f>
        <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c r="A763" s="85"/>
      <c r="B763" s="104" t="str">
        <f>_xlfn.XLOOKUP(A763,Equipe!H:H,Equipe!B:B,"",0)</f>
        <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c r="A764" s="85"/>
      <c r="B764" s="104" t="str">
        <f>_xlfn.XLOOKUP(A764,Equipe!H:H,Equipe!B:B,"",0)</f>
        <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c r="A765" s="85"/>
      <c r="B765" s="104" t="str">
        <f>_xlfn.XLOOKUP(A765,Equipe!H:H,Equipe!B:B,"",0)</f>
        <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c r="A766" s="85"/>
      <c r="B766" s="104" t="str">
        <f>_xlfn.XLOOKUP(A766,Equipe!H:H,Equipe!B:B,"",0)</f>
        <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c r="A767" s="85"/>
      <c r="B767" s="104" t="str">
        <f>_xlfn.XLOOKUP(A767,Equipe!H:H,Equipe!B:B,"",0)</f>
        <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c r="A768" s="85"/>
      <c r="B768" s="104" t="str">
        <f>_xlfn.XLOOKUP(A768,Equipe!H:H,Equipe!B:B,"",0)</f>
        <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c r="A769" s="85"/>
      <c r="B769" s="104" t="str">
        <f>_xlfn.XLOOKUP(A769,Equipe!H:H,Equipe!B:B,"",0)</f>
        <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c r="A770" s="85"/>
      <c r="B770" s="104" t="str">
        <f>_xlfn.XLOOKUP(A770,Equipe!H:H,Equipe!B:B,"",0)</f>
        <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c r="A771" s="85"/>
      <c r="B771" s="104" t="str">
        <f>_xlfn.XLOOKUP(A771,Equipe!H:H,Equipe!B:B,"",0)</f>
        <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c r="A772" s="85"/>
      <c r="B772" s="104" t="str">
        <f>_xlfn.XLOOKUP(A772,Equipe!H:H,Equipe!B:B,"",0)</f>
        <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c r="A773" s="85"/>
      <c r="B773" s="104" t="str">
        <f>_xlfn.XLOOKUP(A773,Equipe!H:H,Equipe!B:B,"",0)</f>
        <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c r="A774" s="85"/>
      <c r="B774" s="104" t="str">
        <f>_xlfn.XLOOKUP(A774,Equipe!H:H,Equipe!B:B,"",0)</f>
        <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c r="A775" s="85"/>
      <c r="B775" s="104" t="str">
        <f>_xlfn.XLOOKUP(A775,Equipe!H:H,Equipe!B:B,"",0)</f>
        <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c r="A776" s="85"/>
      <c r="B776" s="104" t="str">
        <f>_xlfn.XLOOKUP(A776,Equipe!H:H,Equipe!B:B,"",0)</f>
        <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c r="A777" s="85"/>
      <c r="B777" s="104" t="str">
        <f>_xlfn.XLOOKUP(A777,Equipe!H:H,Equipe!B:B,"",0)</f>
        <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c r="A778" s="85"/>
      <c r="B778" s="104" t="str">
        <f>_xlfn.XLOOKUP(A778,Equipe!H:H,Equipe!B:B,"",0)</f>
        <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c r="A779" s="85"/>
      <c r="B779" s="104" t="str">
        <f>_xlfn.XLOOKUP(A779,Equipe!H:H,Equipe!B:B,"",0)</f>
        <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c r="A780" s="85"/>
      <c r="B780" s="104" t="str">
        <f>_xlfn.XLOOKUP(A780,Equipe!H:H,Equipe!B:B,"",0)</f>
        <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c r="A781" s="85"/>
      <c r="B781" s="104" t="str">
        <f>_xlfn.XLOOKUP(A781,Equipe!H:H,Equipe!B:B,"",0)</f>
        <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c r="A782" s="85"/>
      <c r="B782" s="104" t="str">
        <f>_xlfn.XLOOKUP(A782,Equipe!H:H,Equipe!B:B,"",0)</f>
        <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c r="A783" s="85"/>
      <c r="B783" s="104" t="str">
        <f>_xlfn.XLOOKUP(A783,Equipe!H:H,Equipe!B:B,"",0)</f>
        <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c r="A784" s="85"/>
      <c r="B784" s="104" t="str">
        <f>_xlfn.XLOOKUP(A784,Equipe!H:H,Equipe!B:B,"",0)</f>
        <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c r="A785" s="85"/>
      <c r="B785" s="104" t="str">
        <f>_xlfn.XLOOKUP(A785,Equipe!H:H,Equipe!B:B,"",0)</f>
        <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c r="A786" s="85"/>
      <c r="B786" s="104" t="str">
        <f>_xlfn.XLOOKUP(A786,Equipe!H:H,Equipe!B:B,"",0)</f>
        <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c r="A787" s="85"/>
      <c r="B787" s="104" t="str">
        <f>_xlfn.XLOOKUP(A787,Equipe!H:H,Equipe!B:B,"",0)</f>
        <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c r="A788" s="85"/>
      <c r="B788" s="104" t="str">
        <f>_xlfn.XLOOKUP(A788,Equipe!H:H,Equipe!B:B,"",0)</f>
        <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c r="A789" s="85"/>
      <c r="B789" s="104" t="str">
        <f>_xlfn.XLOOKUP(A789,Equipe!H:H,Equipe!B:B,"",0)</f>
        <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c r="A790" s="85"/>
      <c r="B790" s="104" t="str">
        <f>_xlfn.XLOOKUP(A790,Equipe!H:H,Equipe!B:B,"",0)</f>
        <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c r="A791" s="85"/>
      <c r="B791" s="104" t="str">
        <f>_xlfn.XLOOKUP(A791,Equipe!H:H,Equipe!B:B,"",0)</f>
        <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c r="A792" s="85"/>
      <c r="B792" s="104" t="str">
        <f>_xlfn.XLOOKUP(A792,Equipe!H:H,Equipe!B:B,"",0)</f>
        <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c r="A793" s="85"/>
      <c r="B793" s="104" t="str">
        <f>_xlfn.XLOOKUP(A793,Equipe!H:H,Equipe!B:B,"",0)</f>
        <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c r="A794" s="85"/>
      <c r="B794" s="104" t="str">
        <f>_xlfn.XLOOKUP(A794,Equipe!H:H,Equipe!B:B,"",0)</f>
        <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c r="A795" s="85"/>
      <c r="B795" s="104" t="str">
        <f>_xlfn.XLOOKUP(A795,Equipe!H:H,Equipe!B:B,"",0)</f>
        <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c r="A796" s="85"/>
      <c r="B796" s="104" t="str">
        <f>_xlfn.XLOOKUP(A796,Equipe!H:H,Equipe!B:B,"",0)</f>
        <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c r="A797" s="85"/>
      <c r="B797" s="104" t="str">
        <f>_xlfn.XLOOKUP(A797,Equipe!H:H,Equipe!B:B,"",0)</f>
        <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c r="A798" s="85"/>
      <c r="B798" s="104" t="str">
        <f>_xlfn.XLOOKUP(A798,Equipe!H:H,Equipe!B:B,"",0)</f>
        <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c r="A799" s="85"/>
      <c r="B799" s="104" t="str">
        <f>_xlfn.XLOOKUP(A799,Equipe!H:H,Equipe!B:B,"",0)</f>
        <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c r="A800" s="85"/>
      <c r="B800" s="104" t="str">
        <f>_xlfn.XLOOKUP(A800,Equipe!H:H,Equipe!B:B,"",0)</f>
        <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c r="A801" s="85"/>
      <c r="B801" s="104" t="str">
        <f>_xlfn.XLOOKUP(A801,Equipe!H:H,Equipe!B:B,"",0)</f>
        <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c r="A802" s="85"/>
      <c r="B802" s="104" t="str">
        <f>_xlfn.XLOOKUP(A802,Equipe!H:H,Equipe!B:B,"",0)</f>
        <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c r="A803" s="85"/>
      <c r="B803" s="104" t="str">
        <f>_xlfn.XLOOKUP(A803,Equipe!H:H,Equipe!B:B,"",0)</f>
        <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c r="A804" s="85"/>
      <c r="B804" s="104" t="str">
        <f>_xlfn.XLOOKUP(A804,Equipe!H:H,Equipe!B:B,"",0)</f>
        <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c r="A805" s="85"/>
      <c r="B805" s="104" t="str">
        <f>_xlfn.XLOOKUP(A805,Equipe!H:H,Equipe!B:B,"",0)</f>
        <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c r="A806" s="85"/>
      <c r="B806" s="104" t="str">
        <f>_xlfn.XLOOKUP(A806,Equipe!H:H,Equipe!B:B,"",0)</f>
        <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c r="A807" s="85"/>
      <c r="B807" s="104" t="str">
        <f>_xlfn.XLOOKUP(A807,Equipe!H:H,Equipe!B:B,"",0)</f>
        <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c r="A808" s="85"/>
      <c r="B808" s="104" t="str">
        <f>_xlfn.XLOOKUP(A808,Equipe!H:H,Equipe!B:B,"",0)</f>
        <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c r="A809" s="85"/>
      <c r="B809" s="104" t="str">
        <f>_xlfn.XLOOKUP(A809,Equipe!H:H,Equipe!B:B,"",0)</f>
        <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c r="A810" s="85"/>
      <c r="B810" s="104" t="str">
        <f>_xlfn.XLOOKUP(A810,Equipe!H:H,Equipe!B:B,"",0)</f>
        <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c r="A811" s="85"/>
      <c r="B811" s="104" t="str">
        <f>_xlfn.XLOOKUP(A811,Equipe!H:H,Equipe!B:B,"",0)</f>
        <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c r="A812" s="85"/>
      <c r="B812" s="104" t="str">
        <f>_xlfn.XLOOKUP(A812,Equipe!H:H,Equipe!B:B,"",0)</f>
        <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c r="A813" s="85"/>
      <c r="B813" s="104" t="str">
        <f>_xlfn.XLOOKUP(A813,Equipe!H:H,Equipe!B:B,"",0)</f>
        <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c r="A814" s="85"/>
      <c r="B814" s="104" t="str">
        <f>_xlfn.XLOOKUP(A814,Equipe!H:H,Equipe!B:B,"",0)</f>
        <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c r="A815" s="85"/>
      <c r="B815" s="104" t="str">
        <f>_xlfn.XLOOKUP(A815,Equipe!H:H,Equipe!B:B,"",0)</f>
        <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c r="A816" s="85"/>
      <c r="B816" s="104" t="str">
        <f>_xlfn.XLOOKUP(A816,Equipe!H:H,Equipe!B:B,"",0)</f>
        <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c r="A817" s="85"/>
      <c r="B817" s="104" t="str">
        <f>_xlfn.XLOOKUP(A817,Equipe!H:H,Equipe!B:B,"",0)</f>
        <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c r="A818" s="85"/>
      <c r="B818" s="104" t="str">
        <f>_xlfn.XLOOKUP(A818,Equipe!H:H,Equipe!B:B,"",0)</f>
        <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c r="A819" s="85"/>
      <c r="B819" s="104" t="str">
        <f>_xlfn.XLOOKUP(A819,Equipe!H:H,Equipe!B:B,"",0)</f>
        <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c r="A820" s="85"/>
      <c r="B820" s="104" t="str">
        <f>_xlfn.XLOOKUP(A820,Equipe!H:H,Equipe!B:B,"",0)</f>
        <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c r="A821" s="85"/>
      <c r="B821" s="104" t="str">
        <f>_xlfn.XLOOKUP(A821,Equipe!H:H,Equipe!B:B,"",0)</f>
        <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c r="A822" s="85"/>
      <c r="B822" s="104" t="str">
        <f>_xlfn.XLOOKUP(A822,Equipe!H:H,Equipe!B:B,"",0)</f>
        <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c r="A823" s="85"/>
      <c r="B823" s="104" t="str">
        <f>_xlfn.XLOOKUP(A823,Equipe!H:H,Equipe!B:B,"",0)</f>
        <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c r="A824" s="85"/>
      <c r="B824" s="104" t="str">
        <f>_xlfn.XLOOKUP(A824,Equipe!H:H,Equipe!B:B,"",0)</f>
        <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c r="A825" s="85"/>
      <c r="B825" s="104" t="str">
        <f>_xlfn.XLOOKUP(A825,Equipe!H:H,Equipe!B:B,"",0)</f>
        <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c r="A826" s="85"/>
      <c r="B826" s="104" t="str">
        <f>_xlfn.XLOOKUP(A826,Equipe!H:H,Equipe!B:B,"",0)</f>
        <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c r="A827" s="85"/>
      <c r="B827" s="104" t="str">
        <f>_xlfn.XLOOKUP(A827,Equipe!H:H,Equipe!B:B,"",0)</f>
        <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c r="A828" s="85"/>
      <c r="B828" s="104" t="str">
        <f>_xlfn.XLOOKUP(A828,Equipe!H:H,Equipe!B:B,"",0)</f>
        <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c r="A829" s="85"/>
      <c r="B829" s="104" t="str">
        <f>_xlfn.XLOOKUP(A829,Equipe!H:H,Equipe!B:B,"",0)</f>
        <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c r="A830" s="85"/>
      <c r="B830" s="104" t="str">
        <f>_xlfn.XLOOKUP(A830,Equipe!H:H,Equipe!B:B,"",0)</f>
        <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c r="A831" s="85"/>
      <c r="B831" s="104" t="str">
        <f>_xlfn.XLOOKUP(A831,Equipe!H:H,Equipe!B:B,"",0)</f>
        <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c r="A832" s="85"/>
      <c r="B832" s="104" t="str">
        <f>_xlfn.XLOOKUP(A832,Equipe!H:H,Equipe!B:B,"",0)</f>
        <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c r="A833" s="85"/>
      <c r="B833" s="104" t="str">
        <f>_xlfn.XLOOKUP(A833,Equipe!H:H,Equipe!B:B,"",0)</f>
        <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c r="A834" s="85"/>
      <c r="B834" s="104" t="str">
        <f>_xlfn.XLOOKUP(A834,Equipe!H:H,Equipe!B:B,"",0)</f>
        <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c r="A835" s="85"/>
      <c r="B835" s="104" t="str">
        <f>_xlfn.XLOOKUP(A835,Equipe!H:H,Equipe!B:B,"",0)</f>
        <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c r="A836" s="85"/>
      <c r="B836" s="104" t="str">
        <f>_xlfn.XLOOKUP(A836,Equipe!H:H,Equipe!B:B,"",0)</f>
        <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c r="A837" s="85"/>
      <c r="B837" s="104" t="str">
        <f>_xlfn.XLOOKUP(A837,Equipe!H:H,Equipe!B:B,"",0)</f>
        <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c r="A838" s="85"/>
      <c r="B838" s="104" t="str">
        <f>_xlfn.XLOOKUP(A838,Equipe!H:H,Equipe!B:B,"",0)</f>
        <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c r="A839" s="85"/>
      <c r="B839" s="104" t="str">
        <f>_xlfn.XLOOKUP(A839,Equipe!H:H,Equipe!B:B,"",0)</f>
        <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c r="A840" s="85"/>
      <c r="B840" s="104" t="str">
        <f>_xlfn.XLOOKUP(A840,Equipe!H:H,Equipe!B:B,"",0)</f>
        <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c r="A841" s="85"/>
      <c r="B841" s="104" t="str">
        <f>_xlfn.XLOOKUP(A841,Equipe!H:H,Equipe!B:B,"",0)</f>
        <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c r="A842" s="85"/>
      <c r="B842" s="104" t="str">
        <f>_xlfn.XLOOKUP(A842,Equipe!H:H,Equipe!B:B,"",0)</f>
        <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c r="A843" s="85"/>
      <c r="B843" s="104" t="str">
        <f>_xlfn.XLOOKUP(A843,Equipe!H:H,Equipe!B:B,"",0)</f>
        <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c r="A844" s="85"/>
      <c r="B844" s="104" t="str">
        <f>_xlfn.XLOOKUP(A844,Equipe!H:H,Equipe!B:B,"",0)</f>
        <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c r="A845" s="85"/>
      <c r="B845" s="104" t="str">
        <f>_xlfn.XLOOKUP(A845,Equipe!H:H,Equipe!B:B,"",0)</f>
        <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c r="A846" s="85"/>
      <c r="B846" s="104" t="str">
        <f>_xlfn.XLOOKUP(A846,Equipe!H:H,Equipe!B:B,"",0)</f>
        <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c r="A847" s="85"/>
      <c r="B847" s="104" t="str">
        <f>_xlfn.XLOOKUP(A847,Equipe!H:H,Equipe!B:B,"",0)</f>
        <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c r="A848" s="85"/>
      <c r="B848" s="104" t="str">
        <f>_xlfn.XLOOKUP(A848,Equipe!H:H,Equipe!B:B,"",0)</f>
        <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c r="A849" s="85"/>
      <c r="B849" s="104" t="str">
        <f>_xlfn.XLOOKUP(A849,Equipe!H:H,Equipe!B:B,"",0)</f>
        <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c r="A850" s="85"/>
      <c r="B850" s="104" t="str">
        <f>_xlfn.XLOOKUP(A850,Equipe!H:H,Equipe!B:B,"",0)</f>
        <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c r="A851" s="85"/>
      <c r="B851" s="104" t="str">
        <f>_xlfn.XLOOKUP(A851,Equipe!H:H,Equipe!B:B,"",0)</f>
        <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c r="A852" s="85"/>
      <c r="B852" s="104" t="str">
        <f>_xlfn.XLOOKUP(A852,Equipe!H:H,Equipe!B:B,"",0)</f>
        <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c r="A853" s="85"/>
      <c r="B853" s="104" t="str">
        <f>_xlfn.XLOOKUP(A853,Equipe!H:H,Equipe!B:B,"",0)</f>
        <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c r="A854" s="85"/>
      <c r="B854" s="104" t="str">
        <f>_xlfn.XLOOKUP(A854,Equipe!H:H,Equipe!B:B,"",0)</f>
        <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c r="A855" s="85"/>
      <c r="B855" s="104" t="str">
        <f>_xlfn.XLOOKUP(A855,Equipe!H:H,Equipe!B:B,"",0)</f>
        <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c r="A856" s="85"/>
      <c r="B856" s="104" t="str">
        <f>_xlfn.XLOOKUP(A856,Equipe!H:H,Equipe!B:B,"",0)</f>
        <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c r="A857" s="85"/>
      <c r="B857" s="104" t="str">
        <f>_xlfn.XLOOKUP(A857,Equipe!H:H,Equipe!B:B,"",0)</f>
        <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c r="A858" s="85"/>
      <c r="B858" s="104" t="str">
        <f>_xlfn.XLOOKUP(A858,Equipe!H:H,Equipe!B:B,"",0)</f>
        <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c r="A859" s="85"/>
      <c r="B859" s="104" t="str">
        <f>_xlfn.XLOOKUP(A859,Equipe!H:H,Equipe!B:B,"",0)</f>
        <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c r="A860" s="85"/>
      <c r="B860" s="104" t="str">
        <f>_xlfn.XLOOKUP(A860,Equipe!H:H,Equipe!B:B,"",0)</f>
        <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c r="A861" s="85"/>
      <c r="B861" s="104" t="str">
        <f>_xlfn.XLOOKUP(A861,Equipe!H:H,Equipe!B:B,"",0)</f>
        <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c r="A862" s="85"/>
      <c r="B862" s="104" t="str">
        <f>_xlfn.XLOOKUP(A862,Equipe!H:H,Equipe!B:B,"",0)</f>
        <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c r="A863" s="85"/>
      <c r="B863" s="104" t="str">
        <f>_xlfn.XLOOKUP(A863,Equipe!H:H,Equipe!B:B,"",0)</f>
        <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c r="A864" s="85"/>
      <c r="B864" s="104" t="str">
        <f>_xlfn.XLOOKUP(A864,Equipe!H:H,Equipe!B:B,"",0)</f>
        <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c r="A865" s="85"/>
      <c r="B865" s="104" t="str">
        <f>_xlfn.XLOOKUP(A865,Equipe!H:H,Equipe!B:B,"",0)</f>
        <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c r="A866" s="85"/>
      <c r="B866" s="104" t="str">
        <f>_xlfn.XLOOKUP(A866,Equipe!H:H,Equipe!B:B,"",0)</f>
        <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c r="A867" s="85"/>
      <c r="B867" s="104" t="str">
        <f>_xlfn.XLOOKUP(A867,Equipe!H:H,Equipe!B:B,"",0)</f>
        <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c r="A868" s="85"/>
      <c r="B868" s="104" t="str">
        <f>_xlfn.XLOOKUP(A868,Equipe!H:H,Equipe!B:B,"",0)</f>
        <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c r="A869" s="85"/>
      <c r="B869" s="104" t="str">
        <f>_xlfn.XLOOKUP(A869,Equipe!H:H,Equipe!B:B,"",0)</f>
        <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c r="A870" s="85"/>
      <c r="B870" s="104" t="str">
        <f>_xlfn.XLOOKUP(A870,Equipe!H:H,Equipe!B:B,"",0)</f>
        <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c r="A871" s="85"/>
      <c r="B871" s="104" t="str">
        <f>_xlfn.XLOOKUP(A871,Equipe!H:H,Equipe!B:B,"",0)</f>
        <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c r="A872" s="85"/>
      <c r="B872" s="104" t="str">
        <f>_xlfn.XLOOKUP(A872,Equipe!H:H,Equipe!B:B,"",0)</f>
        <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c r="A873" s="85"/>
      <c r="B873" s="104" t="str">
        <f>_xlfn.XLOOKUP(A873,Equipe!H:H,Equipe!B:B,"",0)</f>
        <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c r="A874" s="85"/>
      <c r="B874" s="104" t="str">
        <f>_xlfn.XLOOKUP(A874,Equipe!H:H,Equipe!B:B,"",0)</f>
        <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c r="A875" s="85"/>
      <c r="B875" s="104" t="str">
        <f>_xlfn.XLOOKUP(A875,Equipe!H:H,Equipe!B:B,"",0)</f>
        <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c r="A876" s="85"/>
      <c r="B876" s="104" t="str">
        <f>_xlfn.XLOOKUP(A876,Equipe!H:H,Equipe!B:B,"",0)</f>
        <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c r="A877" s="85"/>
      <c r="B877" s="104" t="str">
        <f>_xlfn.XLOOKUP(A877,Equipe!H:H,Equipe!B:B,"",0)</f>
        <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c r="A878" s="85"/>
      <c r="B878" s="104" t="str">
        <f>_xlfn.XLOOKUP(A878,Equipe!H:H,Equipe!B:B,"",0)</f>
        <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c r="A879" s="85"/>
      <c r="B879" s="104" t="str">
        <f>_xlfn.XLOOKUP(A879,Equipe!H:H,Equipe!B:B,"",0)</f>
        <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c r="A880" s="85"/>
      <c r="B880" s="104" t="str">
        <f>_xlfn.XLOOKUP(A880,Equipe!H:H,Equipe!B:B,"",0)</f>
        <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c r="A881" s="85"/>
      <c r="B881" s="104" t="str">
        <f>_xlfn.XLOOKUP(A881,Equipe!H:H,Equipe!B:B,"",0)</f>
        <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c r="A882" s="85"/>
      <c r="B882" s="104" t="str">
        <f>_xlfn.XLOOKUP(A882,Equipe!H:H,Equipe!B:B,"",0)</f>
        <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c r="A883" s="85"/>
      <c r="B883" s="104" t="str">
        <f>_xlfn.XLOOKUP(A883,Equipe!H:H,Equipe!B:B,"",0)</f>
        <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c r="A884" s="85"/>
      <c r="B884" s="104" t="str">
        <f>_xlfn.XLOOKUP(A884,Equipe!H:H,Equipe!B:B,"",0)</f>
        <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c r="A885" s="85"/>
      <c r="B885" s="104" t="str">
        <f>_xlfn.XLOOKUP(A885,Equipe!H:H,Equipe!B:B,"",0)</f>
        <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c r="A886" s="85"/>
      <c r="B886" s="104" t="str">
        <f>_xlfn.XLOOKUP(A886,Equipe!H:H,Equipe!B:B,"",0)</f>
        <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c r="A887" s="85"/>
      <c r="B887" s="104" t="str">
        <f>_xlfn.XLOOKUP(A887,Equipe!H:H,Equipe!B:B,"",0)</f>
        <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c r="A888" s="85"/>
      <c r="B888" s="104" t="str">
        <f>_xlfn.XLOOKUP(A888,Equipe!H:H,Equipe!B:B,"",0)</f>
        <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c r="A889" s="85"/>
      <c r="B889" s="104" t="str">
        <f>_xlfn.XLOOKUP(A889,Equipe!H:H,Equipe!B:B,"",0)</f>
        <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c r="A890" s="85"/>
      <c r="B890" s="104" t="str">
        <f>_xlfn.XLOOKUP(A890,Equipe!H:H,Equipe!B:B,"",0)</f>
        <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c r="A891" s="85"/>
      <c r="B891" s="104" t="str">
        <f>_xlfn.XLOOKUP(A891,Equipe!H:H,Equipe!B:B,"",0)</f>
        <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c r="A892" s="85"/>
      <c r="B892" s="104" t="str">
        <f>_xlfn.XLOOKUP(A892,Equipe!H:H,Equipe!B:B,"",0)</f>
        <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c r="A893" s="85"/>
      <c r="B893" s="104" t="str">
        <f>_xlfn.XLOOKUP(A893,Equipe!H:H,Equipe!B:B,"",0)</f>
        <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c r="A894" s="85"/>
      <c r="B894" s="104" t="str">
        <f>_xlfn.XLOOKUP(A894,Equipe!H:H,Equipe!B:B,"",0)</f>
        <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c r="A895" s="85"/>
      <c r="B895" s="104" t="str">
        <f>_xlfn.XLOOKUP(A895,Equipe!H:H,Equipe!B:B,"",0)</f>
        <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c r="A896" s="85"/>
      <c r="B896" s="104" t="str">
        <f>_xlfn.XLOOKUP(A896,Equipe!H:H,Equipe!B:B,"",0)</f>
        <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c r="A897" s="85"/>
      <c r="B897" s="104" t="str">
        <f>_xlfn.XLOOKUP(A897,Equipe!H:H,Equipe!B:B,"",0)</f>
        <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c r="A898" s="85"/>
      <c r="B898" s="104" t="str">
        <f>_xlfn.XLOOKUP(A898,Equipe!H:H,Equipe!B:B,"",0)</f>
        <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c r="A899" s="85"/>
      <c r="B899" s="104" t="str">
        <f>_xlfn.XLOOKUP(A899,Equipe!H:H,Equipe!B:B,"",0)</f>
        <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c r="A900" s="85"/>
      <c r="B900" s="104" t="str">
        <f>_xlfn.XLOOKUP(A900,Equipe!H:H,Equipe!B:B,"",0)</f>
        <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c r="A901" s="85"/>
      <c r="B901" s="104" t="str">
        <f>_xlfn.XLOOKUP(A901,Equipe!H:H,Equipe!B:B,"",0)</f>
        <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c r="A902" s="85"/>
      <c r="B902" s="104" t="str">
        <f>_xlfn.XLOOKUP(A902,Equipe!H:H,Equipe!B:B,"",0)</f>
        <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c r="A903" s="85"/>
      <c r="B903" s="104" t="str">
        <f>_xlfn.XLOOKUP(A903,Equipe!H:H,Equipe!B:B,"",0)</f>
        <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c r="A904" s="85"/>
      <c r="B904" s="104" t="str">
        <f>_xlfn.XLOOKUP(A904,Equipe!H:H,Equipe!B:B,"",0)</f>
        <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c r="A905" s="85"/>
      <c r="B905" s="104" t="str">
        <f>_xlfn.XLOOKUP(A905,Equipe!H:H,Equipe!B:B,"",0)</f>
        <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c r="A906" s="85"/>
      <c r="B906" s="104" t="str">
        <f>_xlfn.XLOOKUP(A906,Equipe!H:H,Equipe!B:B,"",0)</f>
        <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c r="A907" s="85"/>
      <c r="B907" s="104" t="str">
        <f>_xlfn.XLOOKUP(A907,Equipe!H:H,Equipe!B:B,"",0)</f>
        <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c r="A908" s="85"/>
      <c r="B908" s="104" t="str">
        <f>_xlfn.XLOOKUP(A908,Equipe!H:H,Equipe!B:B,"",0)</f>
        <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c r="A909" s="85"/>
      <c r="B909" s="104" t="str">
        <f>_xlfn.XLOOKUP(A909,Equipe!H:H,Equipe!B:B,"",0)</f>
        <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c r="A910" s="85"/>
      <c r="B910" s="104" t="str">
        <f>_xlfn.XLOOKUP(A910,Equipe!H:H,Equipe!B:B,"",0)</f>
        <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c r="A911" s="85"/>
      <c r="B911" s="104" t="str">
        <f>_xlfn.XLOOKUP(A911,Equipe!H:H,Equipe!B:B,"",0)</f>
        <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c r="A912" s="85"/>
      <c r="B912" s="104" t="str">
        <f>_xlfn.XLOOKUP(A912,Equipe!H:H,Equipe!B:B,"",0)</f>
        <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c r="A913" s="85"/>
      <c r="B913" s="104" t="str">
        <f>_xlfn.XLOOKUP(A913,Equipe!H:H,Equipe!B:B,"",0)</f>
        <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c r="A914" s="85"/>
      <c r="B914" s="104" t="str">
        <f>_xlfn.XLOOKUP(A914,Equipe!H:H,Equipe!B:B,"",0)</f>
        <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c r="A915" s="85"/>
      <c r="B915" s="104" t="str">
        <f>_xlfn.XLOOKUP(A915,Equipe!H:H,Equipe!B:B,"",0)</f>
        <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c r="A916" s="85"/>
      <c r="B916" s="104" t="str">
        <f>_xlfn.XLOOKUP(A916,Equipe!H:H,Equipe!B:B,"",0)</f>
        <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c r="A917" s="85"/>
      <c r="B917" s="104" t="str">
        <f>_xlfn.XLOOKUP(A917,Equipe!H:H,Equipe!B:B,"",0)</f>
        <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c r="A918" s="85"/>
      <c r="B918" s="104" t="str">
        <f>_xlfn.XLOOKUP(A918,Equipe!H:H,Equipe!B:B,"",0)</f>
        <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c r="A919" s="85"/>
      <c r="B919" s="104" t="str">
        <f>_xlfn.XLOOKUP(A919,Equipe!H:H,Equipe!B:B,"",0)</f>
        <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c r="A920" s="85"/>
      <c r="B920" s="104" t="str">
        <f>_xlfn.XLOOKUP(A920,Equipe!H:H,Equipe!B:B,"",0)</f>
        <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c r="A921" s="85"/>
      <c r="B921" s="104" t="str">
        <f>_xlfn.XLOOKUP(A921,Equipe!H:H,Equipe!B:B,"",0)</f>
        <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c r="A922" s="85"/>
      <c r="B922" s="104" t="str">
        <f>_xlfn.XLOOKUP(A922,Equipe!H:H,Equipe!B:B,"",0)</f>
        <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c r="A923" s="85"/>
      <c r="B923" s="104" t="str">
        <f>_xlfn.XLOOKUP(A923,Equipe!H:H,Equipe!B:B,"",0)</f>
        <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c r="A924" s="85"/>
      <c r="B924" s="104" t="str">
        <f>_xlfn.XLOOKUP(A924,Equipe!H:H,Equipe!B:B,"",0)</f>
        <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c r="A925" s="85"/>
      <c r="B925" s="104" t="str">
        <f>_xlfn.XLOOKUP(A925,Equipe!H:H,Equipe!B:B,"",0)</f>
        <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c r="A926" s="85"/>
      <c r="B926" s="104" t="str">
        <f>_xlfn.XLOOKUP(A926,Equipe!H:H,Equipe!B:B,"",0)</f>
        <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c r="A927" s="85"/>
      <c r="B927" s="104" t="str">
        <f>_xlfn.XLOOKUP(A927,Equipe!H:H,Equipe!B:B,"",0)</f>
        <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c r="A928" s="85"/>
      <c r="B928" s="104" t="str">
        <f>_xlfn.XLOOKUP(A928,Equipe!H:H,Equipe!B:B,"",0)</f>
        <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c r="A929" s="85"/>
      <c r="B929" s="104" t="str">
        <f>_xlfn.XLOOKUP(A929,Equipe!H:H,Equipe!B:B,"",0)</f>
        <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c r="A930" s="85"/>
      <c r="B930" s="104" t="str">
        <f>_xlfn.XLOOKUP(A930,Equipe!H:H,Equipe!B:B,"",0)</f>
        <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c r="A931" s="85"/>
      <c r="B931" s="104" t="str">
        <f>_xlfn.XLOOKUP(A931,Equipe!H:H,Equipe!B:B,"",0)</f>
        <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c r="A932" s="85"/>
      <c r="B932" s="104" t="str">
        <f>_xlfn.XLOOKUP(A932,Equipe!H:H,Equipe!B:B,"",0)</f>
        <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c r="A933" s="85"/>
      <c r="B933" s="104" t="str">
        <f>_xlfn.XLOOKUP(A933,Equipe!H:H,Equipe!B:B,"",0)</f>
        <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c r="A934" s="85"/>
      <c r="B934" s="104" t="str">
        <f>_xlfn.XLOOKUP(A934,Equipe!H:H,Equipe!B:B,"",0)</f>
        <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c r="A935" s="85"/>
      <c r="B935" s="104" t="str">
        <f>_xlfn.XLOOKUP(A935,Equipe!H:H,Equipe!B:B,"",0)</f>
        <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c r="A936" s="85"/>
      <c r="B936" s="104" t="str">
        <f>_xlfn.XLOOKUP(A936,Equipe!H:H,Equipe!B:B,"",0)</f>
        <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c r="A937" s="85"/>
      <c r="B937" s="104" t="str">
        <f>_xlfn.XLOOKUP(A937,Equipe!H:H,Equipe!B:B,"",0)</f>
        <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c r="A938" s="85"/>
      <c r="B938" s="104" t="str">
        <f>_xlfn.XLOOKUP(A938,Equipe!H:H,Equipe!B:B,"",0)</f>
        <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c r="A939" s="85"/>
      <c r="B939" s="104" t="str">
        <f>_xlfn.XLOOKUP(A939,Equipe!H:H,Equipe!B:B,"",0)</f>
        <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c r="A940" s="85"/>
      <c r="B940" s="104" t="str">
        <f>_xlfn.XLOOKUP(A940,Equipe!H:H,Equipe!B:B,"",0)</f>
        <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c r="A941" s="85"/>
      <c r="B941" s="104" t="str">
        <f>_xlfn.XLOOKUP(A941,Equipe!H:H,Equipe!B:B,"",0)</f>
        <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c r="A942" s="85"/>
      <c r="B942" s="104" t="str">
        <f>_xlfn.XLOOKUP(A942,Equipe!H:H,Equipe!B:B,"",0)</f>
        <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c r="A943" s="85"/>
      <c r="B943" s="104" t="str">
        <f>_xlfn.XLOOKUP(A943,Equipe!H:H,Equipe!B:B,"",0)</f>
        <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c r="A944" s="85"/>
      <c r="B944" s="104" t="str">
        <f>_xlfn.XLOOKUP(A944,Equipe!H:H,Equipe!B:B,"",0)</f>
        <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c r="A945" s="85"/>
      <c r="B945" s="104" t="str">
        <f>_xlfn.XLOOKUP(A945,Equipe!H:H,Equipe!B:B,"",0)</f>
        <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c r="A946" s="85"/>
      <c r="B946" s="104" t="str">
        <f>_xlfn.XLOOKUP(A946,Equipe!H:H,Equipe!B:B,"",0)</f>
        <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c r="A947" s="85"/>
      <c r="B947" s="104" t="str">
        <f>_xlfn.XLOOKUP(A947,Equipe!H:H,Equipe!B:B,"",0)</f>
        <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c r="A948" s="85"/>
      <c r="B948" s="104" t="str">
        <f>_xlfn.XLOOKUP(A948,Equipe!H:H,Equipe!B:B,"",0)</f>
        <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c r="A949" s="85"/>
      <c r="B949" s="104" t="str">
        <f>_xlfn.XLOOKUP(A949,Equipe!H:H,Equipe!B:B,"",0)</f>
        <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c r="A950" s="85"/>
      <c r="B950" s="104" t="str">
        <f>_xlfn.XLOOKUP(A950,Equipe!H:H,Equipe!B:B,"",0)</f>
        <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c r="A951" s="85"/>
      <c r="B951" s="104" t="str">
        <f>_xlfn.XLOOKUP(A951,Equipe!H:H,Equipe!B:B,"",0)</f>
        <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c r="A952" s="85"/>
      <c r="B952" s="104" t="str">
        <f>_xlfn.XLOOKUP(A952,Equipe!H:H,Equipe!B:B,"",0)</f>
        <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c r="A953" s="85"/>
      <c r="B953" s="104" t="str">
        <f>_xlfn.XLOOKUP(A953,Equipe!H:H,Equipe!B:B,"",0)</f>
        <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c r="A954" s="85"/>
      <c r="B954" s="104" t="str">
        <f>_xlfn.XLOOKUP(A954,Equipe!H:H,Equipe!B:B,"",0)</f>
        <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c r="A955" s="85"/>
      <c r="B955" s="104" t="str">
        <f>_xlfn.XLOOKUP(A955,Equipe!H:H,Equipe!B:B,"",0)</f>
        <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c r="A956" s="85"/>
      <c r="B956" s="104" t="str">
        <f>_xlfn.XLOOKUP(A956,Equipe!H:H,Equipe!B:B,"",0)</f>
        <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c r="A957" s="85"/>
      <c r="B957" s="104" t="str">
        <f>_xlfn.XLOOKUP(A957,Equipe!H:H,Equipe!B:B,"",0)</f>
        <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c r="A958" s="85"/>
      <c r="B958" s="104" t="str">
        <f>_xlfn.XLOOKUP(A958,Equipe!H:H,Equipe!B:B,"",0)</f>
        <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c r="A959" s="85"/>
      <c r="B959" s="104" t="str">
        <f>_xlfn.XLOOKUP(A959,Equipe!H:H,Equipe!B:B,"",0)</f>
        <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c r="A960" s="85"/>
      <c r="B960" s="104" t="str">
        <f>_xlfn.XLOOKUP(A960,Equipe!H:H,Equipe!B:B,"",0)</f>
        <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c r="A961" s="85"/>
      <c r="B961" s="104" t="str">
        <f>_xlfn.XLOOKUP(A961,Equipe!H:H,Equipe!B:B,"",0)</f>
        <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c r="A962" s="85"/>
      <c r="B962" s="104" t="str">
        <f>_xlfn.XLOOKUP(A962,Equipe!H:H,Equipe!B:B,"",0)</f>
        <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c r="A963" s="85"/>
      <c r="B963" s="104" t="str">
        <f>_xlfn.XLOOKUP(A963,Equipe!H:H,Equipe!B:B,"",0)</f>
        <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c r="A964" s="85"/>
      <c r="B964" s="104" t="str">
        <f>_xlfn.XLOOKUP(A964,Equipe!H:H,Equipe!B:B,"",0)</f>
        <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c r="A965" s="85"/>
      <c r="B965" s="104" t="str">
        <f>_xlfn.XLOOKUP(A965,Equipe!H:H,Equipe!B:B,"",0)</f>
        <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c r="A966" s="85"/>
      <c r="B966" s="104" t="str">
        <f>_xlfn.XLOOKUP(A966,Equipe!H:H,Equipe!B:B,"",0)</f>
        <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c r="A967" s="85"/>
      <c r="B967" s="104" t="str">
        <f>_xlfn.XLOOKUP(A967,Equipe!H:H,Equipe!B:B,"",0)</f>
        <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c r="A968" s="85"/>
      <c r="B968" s="104" t="str">
        <f>_xlfn.XLOOKUP(A968,Equipe!H:H,Equipe!B:B,"",0)</f>
        <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c r="A969" s="85"/>
      <c r="B969" s="104" t="str">
        <f>_xlfn.XLOOKUP(A969,Equipe!H:H,Equipe!B:B,"",0)</f>
        <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c r="A970" s="85"/>
      <c r="B970" s="104" t="str">
        <f>_xlfn.XLOOKUP(A970,Equipe!H:H,Equipe!B:B,"",0)</f>
        <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c r="A971" s="85"/>
      <c r="B971" s="104" t="str">
        <f>_xlfn.XLOOKUP(A971,Equipe!H:H,Equipe!B:B,"",0)</f>
        <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c r="A972" s="85"/>
      <c r="B972" s="104" t="str">
        <f>_xlfn.XLOOKUP(A972,Equipe!H:H,Equipe!B:B,"",0)</f>
        <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c r="A973" s="85"/>
      <c r="B973" s="104" t="str">
        <f>_xlfn.XLOOKUP(A973,Equipe!H:H,Equipe!B:B,"",0)</f>
        <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c r="A974" s="85"/>
      <c r="B974" s="104" t="str">
        <f>_xlfn.XLOOKUP(A974,Equipe!H:H,Equipe!B:B,"",0)</f>
        <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c r="A975" s="85"/>
      <c r="B975" s="104" t="str">
        <f>_xlfn.XLOOKUP(A975,Equipe!H:H,Equipe!B:B,"",0)</f>
        <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c r="A976" s="85"/>
      <c r="B976" s="104" t="str">
        <f>_xlfn.XLOOKUP(A976,Equipe!H:H,Equipe!B:B,"",0)</f>
        <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c r="A977" s="85"/>
      <c r="B977" s="104" t="str">
        <f>_xlfn.XLOOKUP(A977,Equipe!H:H,Equipe!B:B,"",0)</f>
        <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c r="A978" s="85"/>
      <c r="B978" s="104" t="str">
        <f>_xlfn.XLOOKUP(A978,Equipe!H:H,Equipe!B:B,"",0)</f>
        <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c r="A979" s="85"/>
      <c r="B979" s="104" t="str">
        <f>_xlfn.XLOOKUP(A979,Equipe!H:H,Equipe!B:B,"",0)</f>
        <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c r="A980" s="85"/>
      <c r="B980" s="104" t="str">
        <f>_xlfn.XLOOKUP(A980,Equipe!H:H,Equipe!B:B,"",0)</f>
        <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c r="A981" s="85"/>
      <c r="B981" s="104" t="str">
        <f>_xlfn.XLOOKUP(A981,Equipe!H:H,Equipe!B:B,"",0)</f>
        <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c r="A982" s="85"/>
      <c r="B982" s="104" t="str">
        <f>_xlfn.XLOOKUP(A982,Equipe!H:H,Equipe!B:B,"",0)</f>
        <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c r="A983" s="85"/>
      <c r="B983" s="104" t="str">
        <f>_xlfn.XLOOKUP(A983,Equipe!H:H,Equipe!B:B,"",0)</f>
        <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c r="A984" s="85"/>
      <c r="B984" s="104" t="str">
        <f>_xlfn.XLOOKUP(A984,Equipe!H:H,Equipe!B:B,"",0)</f>
        <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c r="A985" s="85"/>
      <c r="B985" s="104" t="str">
        <f>_xlfn.XLOOKUP(A985,Equipe!H:H,Equipe!B:B,"",0)</f>
        <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c r="A986" s="85"/>
      <c r="B986" s="104" t="str">
        <f>_xlfn.XLOOKUP(A986,Equipe!H:H,Equipe!B:B,"",0)</f>
        <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c r="A987" s="85"/>
      <c r="B987" s="104" t="str">
        <f>_xlfn.XLOOKUP(A987,Equipe!H:H,Equipe!B:B,"",0)</f>
        <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c r="A988" s="85"/>
      <c r="B988" s="104" t="str">
        <f>_xlfn.XLOOKUP(A988,Equipe!H:H,Equipe!B:B,"",0)</f>
        <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c r="A989" s="85"/>
      <c r="B989" s="104" t="str">
        <f>_xlfn.XLOOKUP(A989,Equipe!H:H,Equipe!B:B,"",0)</f>
        <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c r="A990" s="85"/>
      <c r="B990" s="104" t="str">
        <f>_xlfn.XLOOKUP(A990,Equipe!H:H,Equipe!B:B,"",0)</f>
        <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c r="A991" s="85"/>
      <c r="B991" s="104" t="str">
        <f>_xlfn.XLOOKUP(A991,Equipe!H:H,Equipe!B:B,"",0)</f>
        <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c r="A992" s="85"/>
      <c r="B992" s="104" t="str">
        <f>_xlfn.XLOOKUP(A992,Equipe!H:H,Equipe!B:B,"",0)</f>
        <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c r="A993" s="85"/>
      <c r="B993" s="104" t="str">
        <f>_xlfn.XLOOKUP(A993,Equipe!H:H,Equipe!B:B,"",0)</f>
        <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c r="A994" s="85"/>
      <c r="B994" s="104" t="str">
        <f>_xlfn.XLOOKUP(A994,Equipe!H:H,Equipe!B:B,"",0)</f>
        <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c r="A995" s="85"/>
      <c r="B995" s="104" t="str">
        <f>_xlfn.XLOOKUP(A995,Equipe!H:H,Equipe!B:B,"",0)</f>
        <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c r="A996" s="85"/>
      <c r="B996" s="104" t="str">
        <f>_xlfn.XLOOKUP(A996,Equipe!H:H,Equipe!B:B,"",0)</f>
        <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c r="A997" s="85"/>
      <c r="B997" s="104" t="str">
        <f>_xlfn.XLOOKUP(A997,Equipe!H:H,Equipe!B:B,"",0)</f>
        <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c r="A998" s="85"/>
      <c r="B998" s="104" t="str">
        <f>_xlfn.XLOOKUP(A998,Equipe!H:H,Equipe!B:B,"",0)</f>
        <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c r="A999" s="85"/>
      <c r="B999" s="104" t="str">
        <f>_xlfn.XLOOKUP(A999,Equipe!H:H,Equipe!B:B,"",0)</f>
        <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c r="A1000" s="85"/>
      <c r="B1000" s="104" t="str">
        <f>_xlfn.XLOOKUP(A1000,Equipe!H:H,Equipe!B:B,"",0)</f>
        <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c r="A1001" s="85"/>
      <c r="B1001" s="104" t="str">
        <f>_xlfn.XLOOKUP(A1001,Equipe!H:H,Equipe!B:B,"",0)</f>
        <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c r="A1002" s="85"/>
      <c r="B1002" s="104" t="str">
        <f>_xlfn.XLOOKUP(A1002,Equipe!H:H,Equipe!B:B,"",0)</f>
        <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c r="A1003" s="85"/>
      <c r="B1003" s="104" t="str">
        <f>_xlfn.XLOOKUP(A1003,Equipe!H:H,Equipe!B:B,"",0)</f>
        <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c r="A1004" s="85"/>
      <c r="B1004" s="104" t="str">
        <f>_xlfn.XLOOKUP(A1004,Equipe!H:H,Equipe!B:B,"",0)</f>
        <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c r="A1005" s="85"/>
      <c r="B1005" s="104" t="str">
        <f>_xlfn.XLOOKUP(A1005,Equipe!H:H,Equipe!B:B,"",0)</f>
        <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c r="A1006" s="85"/>
      <c r="B1006" s="104" t="str">
        <f>_xlfn.XLOOKUP(A1006,Equipe!H:H,Equipe!B:B,"",0)</f>
        <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customHeight="1" thickBot="1">
      <c r="A1007" s="85"/>
      <c r="B1007" s="104" t="str">
        <f>_xlfn.XLOOKUP(A1007,Equipe!H:H,Equipe!B:B,"",0)</f>
        <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c r="A1008" s="85"/>
      <c r="B1008" s="104" t="str">
        <f>_xlfn.XLOOKUP(A1008,Equipe!H:H,Equipe!B:B,"",0)</f>
        <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30" customHeight="1" thickBot="1">
      <c r="A1009" s="85"/>
      <c r="B1009" s="104" t="str">
        <f>_xlfn.XLOOKUP(A1009,Equipe!H:H,Equipe!B:B,"",0)</f>
        <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30" customHeight="1" thickBot="1">
      <c r="A1010" s="85"/>
      <c r="B1010" s="104" t="str">
        <f>_xlfn.XLOOKUP(A1010,Equipe!H:H,Equipe!B:B,"",0)</f>
        <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customHeight="1" thickBot="1">
      <c r="A1011" s="85"/>
      <c r="B1011" s="104" t="str">
        <f>_xlfn.XLOOKUP(A1011,Equipe!H:H,Equipe!B:B,"",0)</f>
        <v/>
      </c>
      <c r="C1011" s="89"/>
      <c r="D1011" s="105" t="str">
        <f>IF(Tabela1[[#This Row],[Início]]&lt;&gt;"",C1011+E1011-1,"")</f>
        <v/>
      </c>
      <c r="E1011" s="85"/>
      <c r="F1011" s="85"/>
      <c r="G1011" s="97"/>
      <c r="H1011" s="39" t="str">
        <f>_xlfn.XLOOKUP(Tabela1[[#This Row],[Matrícula]],Equipe!B:B,Equipe!E:E,"ERRO",0)</f>
        <v>ERRO</v>
      </c>
      <c r="I1011" s="39" t="e">
        <f>VLOOKUP(Tabela1[[#This Row],[Matrícula]],Equipe!B:F,5,0)</f>
        <v>#N/A</v>
      </c>
    </row>
    <row r="1012" spans="1:9" ht="30" customHeight="1" thickBot="1">
      <c r="A1012" s="85"/>
      <c r="B1012" s="104" t="str">
        <f>_xlfn.XLOOKUP(A1012,Equipe!H:H,Equipe!B:B,"",0)</f>
        <v/>
      </c>
      <c r="C1012" s="89"/>
      <c r="D1012" s="105" t="str">
        <f>IF(Tabela1[[#This Row],[Início]]&lt;&gt;"",C1012+E1012-1,"")</f>
        <v/>
      </c>
      <c r="E1012" s="85"/>
      <c r="F1012" s="85"/>
      <c r="G1012" s="97"/>
      <c r="H1012" s="39" t="str">
        <f>_xlfn.XLOOKUP(Tabela1[[#This Row],[Matrícula]],Equipe!B:B,Equipe!E:E,"ERRO",0)</f>
        <v>ERRO</v>
      </c>
      <c r="I1012" s="39" t="e">
        <f>VLOOKUP(Tabela1[[#This Row],[Matrícula]],Equipe!B:F,5,0)</f>
        <v>#N/A</v>
      </c>
    </row>
    <row r="1013" spans="1:9" ht="30" customHeight="1" thickBot="1">
      <c r="A1013" s="85"/>
      <c r="B1013" s="104" t="str">
        <f>_xlfn.XLOOKUP(A1013,Equipe!H:H,Equipe!B:B,"",0)</f>
        <v/>
      </c>
      <c r="C1013" s="89"/>
      <c r="D1013" s="105" t="str">
        <f>IF(Tabela1[[#This Row],[Início]]&lt;&gt;"",C1013+E1013-1,"")</f>
        <v/>
      </c>
      <c r="E1013" s="85"/>
      <c r="F1013" s="85"/>
      <c r="G1013" s="97"/>
      <c r="H1013" s="39" t="str">
        <f>_xlfn.XLOOKUP(Tabela1[[#This Row],[Matrícula]],Equipe!B:B,Equipe!E:E,"ERRO",0)</f>
        <v>ERRO</v>
      </c>
      <c r="I1013" s="39" t="e">
        <f>VLOOKUP(Tabela1[[#This Row],[Matrícula]],Equipe!B:F,5,0)</f>
        <v>#N/A</v>
      </c>
    </row>
    <row r="1014" spans="1:9" ht="1.35" customHeight="1" thickBot="1">
      <c r="A1014" s="85"/>
      <c r="B1014" s="104" t="str">
        <f>_xlfn.XLOOKUP(A1014,Equipe!H:H,Equipe!B:B,"",0)</f>
        <v/>
      </c>
      <c r="C1014" s="89"/>
      <c r="D1014" s="105" t="str">
        <f>IF(Tabela1[[#This Row],[Início]]&lt;&gt;"",C1014+E1014-1,"")</f>
        <v/>
      </c>
      <c r="E1014" s="85"/>
      <c r="F1014" s="85"/>
      <c r="G1014" s="97"/>
      <c r="H1014" s="39" t="str">
        <f>_xlfn.XLOOKUP(Tabela1[[#This Row],[Matrícula]],Equipe!B:B,Equipe!E:E,"ERRO",0)</f>
        <v>ERRO</v>
      </c>
      <c r="I1014" s="39" t="e">
        <f>VLOOKUP(Tabela1[[#This Row],[Matrícula]],Equipe!B:F,5,0)</f>
        <v>#N/A</v>
      </c>
    </row>
    <row r="1015" spans="1:9" ht="30" customHeight="1" thickBot="1">
      <c r="A1015" s="85"/>
      <c r="B1015" s="104" t="str">
        <f>_xlfn.XLOOKUP(A1015,Equipe!H:H,Equipe!B:B,"",0)</f>
        <v/>
      </c>
      <c r="C1015" s="89"/>
      <c r="D1015" s="105" t="str">
        <f>IF(Tabela1[[#This Row],[Início]]&lt;&gt;"",C1015+E1015-1,"")</f>
        <v/>
      </c>
      <c r="E1015" s="85"/>
      <c r="F1015" s="85"/>
      <c r="G1015" s="97"/>
      <c r="H1015" s="39" t="str">
        <f>_xlfn.XLOOKUP(Tabela1[[#This Row],[Matrícula]],Equipe!B:B,Equipe!E:E,"ERRO",0)</f>
        <v>ERRO</v>
      </c>
      <c r="I1015" s="39" t="e">
        <f>VLOOKUP(Tabela1[[#This Row],[Matrícula]],Equipe!B:F,5,0)</f>
        <v>#N/A</v>
      </c>
    </row>
    <row r="1016" spans="1:9" ht="30" customHeight="1" thickBot="1">
      <c r="A1016" s="88"/>
      <c r="B1016" s="88">
        <v>4608</v>
      </c>
      <c r="C1016" s="90"/>
      <c r="D1016" s="107" t="str">
        <f>IF(Tabela1[[#This Row],[Início]]&lt;&gt;"",C1016+E1016-1,"")</f>
        <v/>
      </c>
      <c r="E1016" s="88"/>
      <c r="F1016" s="88"/>
      <c r="G1016" s="100"/>
      <c r="H1016" s="39" t="str">
        <f>_xlfn.XLOOKUP(Tabela1[[#This Row],[Matrícula]],Equipe!B:B,Equipe!E:E,"ERRO",0)</f>
        <v>ERRO</v>
      </c>
      <c r="I1016" s="39" t="e">
        <f>VLOOKUP(Tabela1[[#This Row],[Matrícula]],Equipe!B:F,5,0)</f>
        <v>#N/A</v>
      </c>
    </row>
    <row r="1017" spans="1:9" ht="30" customHeight="1">
      <c r="A1017" s="88"/>
      <c r="B1017" s="88"/>
      <c r="C1017" s="90"/>
      <c r="D1017" s="107"/>
      <c r="E1017" s="88"/>
      <c r="F1017" s="88"/>
      <c r="G1017" s="100"/>
      <c r="H1017" s="143"/>
      <c r="I1017" s="143"/>
    </row>
  </sheetData>
  <mergeCells count="1">
    <mergeCell ref="L5:L7"/>
  </mergeCells>
  <phoneticPr fontId="29" type="noConversion"/>
  <conditionalFormatting sqref="A1:XFD1 C2:XFD3 K2:K6 A2:B34 L4:XFD4 E4:J62 C4:D68 M5:XFD7 L8:XFD170 K9:K170 A35:A54 B35:B64 A56:A64 E63:I73 J63:J170 A65:B68 A69:C70 D69:D73 A70:B72 A73:C73 A74:I84 A85:B86 D85:I86 A87:I104 A105:B105 D105:I105 A106:I113 A114:F114 H114:I114 A115:I145 A146:B146 D146:I146 A147:I159 E160:I170 A160:D209 E171:XFD184 E185:F185 H185:XFD185 E186:XFD209 A210:XFD213 A214:F214 H214:XFD214 A215:XFD1048576">
    <cfRule type="cellIs" dxfId="64" priority="11" operator="equal">
      <formula>"ESTALEIRO"</formula>
    </cfRule>
  </conditionalFormatting>
  <conditionalFormatting sqref="C71:C72">
    <cfRule type="cellIs" dxfId="63" priority="5" operator="equal">
      <formula>"ESTALEIRO"</formula>
    </cfRule>
  </conditionalFormatting>
  <conditionalFormatting sqref="C85:C86">
    <cfRule type="cellIs" dxfId="62" priority="3" operator="equal">
      <formula>"ESTALEIRO"</formula>
    </cfRule>
  </conditionalFormatting>
  <conditionalFormatting sqref="C105">
    <cfRule type="cellIs" dxfId="61" priority="2" operator="equal">
      <formula>"ESTALEIRO"</formula>
    </cfRule>
  </conditionalFormatting>
  <conditionalFormatting sqref="C146">
    <cfRule type="cellIs" dxfId="60" priority="1" operator="equal">
      <formula>"ESTALEIRO"</formula>
    </cfRule>
  </conditionalFormatting>
  <dataValidations count="3">
    <dataValidation type="list" allowBlank="1" showInputMessage="1" showErrorMessage="1" sqref="F1016:F1116" xr:uid="{FE92769D-A30C-45A3-B10C-426BB3355AD8}">
      <formula1>#REF!</formula1>
    </dataValidation>
    <dataValidation type="list" allowBlank="1" showInputMessage="1" showErrorMessage="1" sqref="F2:F1015" xr:uid="{156E15E9-23E7-431B-9B12-A26E3B0A7469}">
      <formula1>$K$2:$K$11</formula1>
    </dataValidation>
    <dataValidation type="date" allowBlank="1" showInputMessage="1" showErrorMessage="1" sqref="C2:C1017"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zoomScale="120" zoomScaleNormal="120" workbookViewId="0">
      <pane ySplit="1" topLeftCell="A12" activePane="bottomLeft" state="frozen"/>
      <selection pane="bottomLeft" activeCell="H39" sqref="H39"/>
    </sheetView>
  </sheetViews>
  <sheetFormatPr defaultRowHeight="14.4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c r="A1" s="112" t="s">
        <v>203</v>
      </c>
      <c r="B1" s="113" t="s">
        <v>1</v>
      </c>
      <c r="C1" s="113" t="s">
        <v>204</v>
      </c>
      <c r="D1" s="113" t="s">
        <v>205</v>
      </c>
      <c r="E1" s="114" t="s">
        <v>206</v>
      </c>
      <c r="F1" s="114" t="s">
        <v>8</v>
      </c>
      <c r="G1" s="114" t="s">
        <v>207</v>
      </c>
      <c r="H1" s="114" t="s">
        <v>0</v>
      </c>
      <c r="I1" s="131" t="s">
        <v>208</v>
      </c>
      <c r="J1" s="132" t="s">
        <v>209</v>
      </c>
    </row>
    <row r="2" spans="1:10">
      <c r="A2" s="79" t="s">
        <v>210</v>
      </c>
      <c r="B2" s="115">
        <v>4612171</v>
      </c>
      <c r="C2" s="115" t="s">
        <v>211</v>
      </c>
      <c r="D2" s="116" t="s">
        <v>212</v>
      </c>
      <c r="E2" s="117" t="s">
        <v>213</v>
      </c>
      <c r="F2" s="117" t="s">
        <v>214</v>
      </c>
      <c r="G2" s="118" t="s">
        <v>215</v>
      </c>
      <c r="H2" s="117" t="s">
        <v>114</v>
      </c>
      <c r="I2" s="133" t="s">
        <v>216</v>
      </c>
      <c r="J2" s="134"/>
    </row>
    <row r="3" spans="1:10">
      <c r="A3" s="79" t="s">
        <v>210</v>
      </c>
      <c r="B3" s="109">
        <v>4612050</v>
      </c>
      <c r="C3" s="109" t="s">
        <v>217</v>
      </c>
      <c r="D3" s="110" t="s">
        <v>212</v>
      </c>
      <c r="E3" s="117" t="s">
        <v>218</v>
      </c>
      <c r="F3" s="111" t="s">
        <v>214</v>
      </c>
      <c r="G3" s="119" t="s">
        <v>219</v>
      </c>
      <c r="H3" s="111" t="s">
        <v>108</v>
      </c>
      <c r="I3" s="133" t="s">
        <v>216</v>
      </c>
      <c r="J3" s="134"/>
    </row>
    <row r="4" spans="1:10">
      <c r="A4" s="79" t="s">
        <v>210</v>
      </c>
      <c r="B4" s="115">
        <v>4612140</v>
      </c>
      <c r="C4" s="115" t="s">
        <v>220</v>
      </c>
      <c r="D4" s="116" t="s">
        <v>212</v>
      </c>
      <c r="E4" s="122" t="s">
        <v>221</v>
      </c>
      <c r="F4" s="117" t="s">
        <v>214</v>
      </c>
      <c r="G4" s="118" t="s">
        <v>222</v>
      </c>
      <c r="H4" s="117" t="s">
        <v>106</v>
      </c>
      <c r="I4" s="133" t="s">
        <v>216</v>
      </c>
      <c r="J4" s="134"/>
    </row>
    <row r="5" spans="1:10">
      <c r="A5" s="79" t="s">
        <v>210</v>
      </c>
      <c r="B5" s="109">
        <v>9842940</v>
      </c>
      <c r="C5" s="109" t="s">
        <v>223</v>
      </c>
      <c r="D5" s="110" t="s">
        <v>212</v>
      </c>
      <c r="E5" s="111" t="s">
        <v>213</v>
      </c>
      <c r="F5" s="111" t="s">
        <v>214</v>
      </c>
      <c r="G5" s="119" t="s">
        <v>224</v>
      </c>
      <c r="H5" s="111" t="s">
        <v>29</v>
      </c>
      <c r="I5" s="133" t="s">
        <v>225</v>
      </c>
      <c r="J5" s="135"/>
    </row>
    <row r="6" spans="1:10">
      <c r="A6" s="79" t="s">
        <v>226</v>
      </c>
      <c r="B6" s="115">
        <v>9886449</v>
      </c>
      <c r="C6" s="115" t="s">
        <v>227</v>
      </c>
      <c r="D6" s="116" t="s">
        <v>212</v>
      </c>
      <c r="E6" s="117" t="s">
        <v>213</v>
      </c>
      <c r="F6" s="117" t="s">
        <v>228</v>
      </c>
      <c r="G6" s="136" t="s">
        <v>229</v>
      </c>
      <c r="H6" s="117" t="s">
        <v>53</v>
      </c>
      <c r="I6" s="133" t="s">
        <v>216</v>
      </c>
      <c r="J6" s="135" t="s">
        <v>230</v>
      </c>
    </row>
    <row r="7" spans="1:10">
      <c r="A7" s="120" t="s">
        <v>226</v>
      </c>
      <c r="B7" s="109">
        <v>4608721</v>
      </c>
      <c r="C7" s="109" t="s">
        <v>231</v>
      </c>
      <c r="D7" s="121" t="s">
        <v>212</v>
      </c>
      <c r="E7" s="122" t="s">
        <v>213</v>
      </c>
      <c r="F7" s="122" t="s">
        <v>214</v>
      </c>
      <c r="G7" s="123" t="s">
        <v>232</v>
      </c>
      <c r="H7" s="122" t="s">
        <v>28</v>
      </c>
      <c r="I7" s="133" t="s">
        <v>216</v>
      </c>
      <c r="J7" s="135"/>
    </row>
    <row r="8" spans="1:10">
      <c r="A8" s="120" t="s">
        <v>226</v>
      </c>
      <c r="B8" s="115">
        <v>1385894</v>
      </c>
      <c r="C8" s="115" t="s">
        <v>233</v>
      </c>
      <c r="D8" s="124" t="s">
        <v>212</v>
      </c>
      <c r="E8" s="125" t="s">
        <v>213</v>
      </c>
      <c r="F8" s="125" t="s">
        <v>228</v>
      </c>
      <c r="G8" s="137" t="s">
        <v>234</v>
      </c>
      <c r="H8" s="125" t="s">
        <v>31</v>
      </c>
      <c r="I8" s="133" t="s">
        <v>216</v>
      </c>
      <c r="J8" s="135" t="s">
        <v>230</v>
      </c>
    </row>
    <row r="9" spans="1:10">
      <c r="A9" s="120" t="s">
        <v>226</v>
      </c>
      <c r="B9" s="109">
        <v>4608685</v>
      </c>
      <c r="C9" s="109" t="s">
        <v>235</v>
      </c>
      <c r="D9" s="121" t="s">
        <v>212</v>
      </c>
      <c r="E9" s="122" t="s">
        <v>213</v>
      </c>
      <c r="F9" s="122" t="s">
        <v>214</v>
      </c>
      <c r="G9" s="138" t="s">
        <v>236</v>
      </c>
      <c r="H9" s="122" t="s">
        <v>19</v>
      </c>
      <c r="I9" s="133" t="s">
        <v>216</v>
      </c>
      <c r="J9" s="135"/>
    </row>
    <row r="10" spans="1:10">
      <c r="A10" s="120" t="s">
        <v>237</v>
      </c>
      <c r="B10" s="115">
        <v>9762281</v>
      </c>
      <c r="C10" s="115" t="s">
        <v>238</v>
      </c>
      <c r="D10" s="124" t="s">
        <v>212</v>
      </c>
      <c r="E10" s="125" t="s">
        <v>213</v>
      </c>
      <c r="F10" s="125" t="s">
        <v>228</v>
      </c>
      <c r="G10" s="137" t="s">
        <v>239</v>
      </c>
      <c r="H10" s="125" t="s">
        <v>240</v>
      </c>
      <c r="I10" s="133" t="s">
        <v>216</v>
      </c>
      <c r="J10" s="135" t="s">
        <v>241</v>
      </c>
    </row>
    <row r="11" spans="1:10">
      <c r="A11" s="120" t="s">
        <v>237</v>
      </c>
      <c r="B11" s="109">
        <v>9683150</v>
      </c>
      <c r="C11" s="109" t="s">
        <v>242</v>
      </c>
      <c r="D11" s="121" t="s">
        <v>212</v>
      </c>
      <c r="E11" s="122" t="s">
        <v>213</v>
      </c>
      <c r="F11" s="122" t="s">
        <v>228</v>
      </c>
      <c r="G11" s="138" t="s">
        <v>243</v>
      </c>
      <c r="H11" s="122" t="s">
        <v>244</v>
      </c>
      <c r="I11" s="133" t="s">
        <v>216</v>
      </c>
      <c r="J11" s="135" t="s">
        <v>241</v>
      </c>
    </row>
    <row r="12" spans="1:10">
      <c r="A12" s="79" t="s">
        <v>237</v>
      </c>
      <c r="B12" s="115">
        <v>2440812</v>
      </c>
      <c r="C12" s="115" t="s">
        <v>245</v>
      </c>
      <c r="D12" s="116" t="s">
        <v>246</v>
      </c>
      <c r="E12" s="117" t="s">
        <v>213</v>
      </c>
      <c r="F12" s="117" t="s">
        <v>228</v>
      </c>
      <c r="G12" s="136" t="s">
        <v>247</v>
      </c>
      <c r="H12" s="117" t="s">
        <v>168</v>
      </c>
      <c r="I12" s="133" t="s">
        <v>216</v>
      </c>
      <c r="J12" s="135"/>
    </row>
    <row r="13" spans="1:10">
      <c r="A13" s="120" t="s">
        <v>237</v>
      </c>
      <c r="B13" s="109">
        <v>1381625</v>
      </c>
      <c r="C13" s="109" t="s">
        <v>248</v>
      </c>
      <c r="D13" s="110" t="s">
        <v>212</v>
      </c>
      <c r="E13" s="111" t="s">
        <v>213</v>
      </c>
      <c r="F13" s="111" t="s">
        <v>228</v>
      </c>
      <c r="G13" s="139" t="s">
        <v>249</v>
      </c>
      <c r="H13" s="111" t="s">
        <v>37</v>
      </c>
      <c r="I13" s="133" t="s">
        <v>216</v>
      </c>
      <c r="J13" s="135"/>
    </row>
    <row r="14" spans="1:10">
      <c r="A14" s="79" t="s">
        <v>237</v>
      </c>
      <c r="B14" s="115">
        <v>4608389</v>
      </c>
      <c r="C14" s="115" t="s">
        <v>250</v>
      </c>
      <c r="D14" s="116" t="s">
        <v>212</v>
      </c>
      <c r="E14" s="117" t="s">
        <v>213</v>
      </c>
      <c r="F14" s="117" t="s">
        <v>214</v>
      </c>
      <c r="G14" s="136" t="s">
        <v>251</v>
      </c>
      <c r="H14" s="117" t="s">
        <v>43</v>
      </c>
      <c r="I14" s="133" t="s">
        <v>216</v>
      </c>
      <c r="J14" s="135"/>
    </row>
    <row r="15" spans="1:10">
      <c r="A15" s="120" t="s">
        <v>210</v>
      </c>
      <c r="B15" s="109">
        <v>4608544</v>
      </c>
      <c r="C15" s="109" t="s">
        <v>252</v>
      </c>
      <c r="D15" s="110" t="s">
        <v>212</v>
      </c>
      <c r="E15" s="111" t="s">
        <v>218</v>
      </c>
      <c r="F15" s="111" t="s">
        <v>214</v>
      </c>
      <c r="G15" s="139" t="s">
        <v>253</v>
      </c>
      <c r="H15" s="111" t="s">
        <v>10</v>
      </c>
      <c r="I15" s="133" t="s">
        <v>216</v>
      </c>
      <c r="J15" s="135"/>
    </row>
    <row r="16" spans="1:10">
      <c r="A16" s="120" t="s">
        <v>226</v>
      </c>
      <c r="B16" s="115">
        <v>4608474</v>
      </c>
      <c r="C16" s="115" t="s">
        <v>254</v>
      </c>
      <c r="D16" s="116" t="s">
        <v>212</v>
      </c>
      <c r="E16" s="117" t="s">
        <v>218</v>
      </c>
      <c r="F16" s="125" t="s">
        <v>214</v>
      </c>
      <c r="G16" s="126" t="s">
        <v>255</v>
      </c>
      <c r="H16" s="125" t="s">
        <v>26</v>
      </c>
      <c r="I16" s="133" t="s">
        <v>216</v>
      </c>
      <c r="J16" s="135"/>
    </row>
    <row r="17" spans="1:10">
      <c r="A17" s="79" t="s">
        <v>226</v>
      </c>
      <c r="B17" s="109">
        <v>1386344</v>
      </c>
      <c r="C17" s="109" t="s">
        <v>256</v>
      </c>
      <c r="D17" s="121" t="s">
        <v>212</v>
      </c>
      <c r="E17" s="122" t="s">
        <v>218</v>
      </c>
      <c r="F17" s="122" t="s">
        <v>228</v>
      </c>
      <c r="G17" s="123" t="s">
        <v>257</v>
      </c>
      <c r="H17" s="122" t="s">
        <v>258</v>
      </c>
      <c r="I17" s="133" t="s">
        <v>216</v>
      </c>
      <c r="J17" s="135" t="s">
        <v>241</v>
      </c>
    </row>
    <row r="18" spans="1:10">
      <c r="A18" s="79" t="s">
        <v>226</v>
      </c>
      <c r="B18" s="115">
        <v>4608684</v>
      </c>
      <c r="C18" s="115" t="s">
        <v>259</v>
      </c>
      <c r="D18" s="124" t="s">
        <v>212</v>
      </c>
      <c r="E18" s="125" t="s">
        <v>218</v>
      </c>
      <c r="F18" s="125" t="s">
        <v>214</v>
      </c>
      <c r="G18" s="126" t="s">
        <v>260</v>
      </c>
      <c r="H18" s="117" t="s">
        <v>51</v>
      </c>
      <c r="I18" s="133" t="s">
        <v>216</v>
      </c>
      <c r="J18" s="135"/>
    </row>
    <row r="19" spans="1:10">
      <c r="A19" s="79" t="s">
        <v>237</v>
      </c>
      <c r="B19" s="109">
        <v>9612082</v>
      </c>
      <c r="C19" s="109" t="s">
        <v>261</v>
      </c>
      <c r="D19" s="121" t="s">
        <v>212</v>
      </c>
      <c r="E19" s="122" t="s">
        <v>218</v>
      </c>
      <c r="F19" s="111" t="s">
        <v>228</v>
      </c>
      <c r="G19" s="123" t="s">
        <v>262</v>
      </c>
      <c r="H19" s="122" t="s">
        <v>57</v>
      </c>
      <c r="I19" s="133" t="s">
        <v>216</v>
      </c>
      <c r="J19" s="135"/>
    </row>
    <row r="20" spans="1:10">
      <c r="A20" s="79" t="s">
        <v>237</v>
      </c>
      <c r="B20" s="115">
        <v>9618720</v>
      </c>
      <c r="C20" s="115" t="s">
        <v>263</v>
      </c>
      <c r="D20" s="124" t="s">
        <v>212</v>
      </c>
      <c r="E20" s="125" t="s">
        <v>218</v>
      </c>
      <c r="F20" s="117" t="s">
        <v>228</v>
      </c>
      <c r="G20" s="126" t="s">
        <v>264</v>
      </c>
      <c r="H20" s="125" t="s">
        <v>55</v>
      </c>
      <c r="I20" s="133" t="s">
        <v>216</v>
      </c>
      <c r="J20" s="135" t="s">
        <v>230</v>
      </c>
    </row>
    <row r="21" spans="1:10">
      <c r="A21" s="79" t="s">
        <v>237</v>
      </c>
      <c r="B21" s="109">
        <v>9724817</v>
      </c>
      <c r="C21" s="109" t="s">
        <v>265</v>
      </c>
      <c r="D21" s="121" t="s">
        <v>212</v>
      </c>
      <c r="E21" s="122" t="s">
        <v>218</v>
      </c>
      <c r="F21" s="111" t="s">
        <v>228</v>
      </c>
      <c r="G21" s="123" t="s">
        <v>266</v>
      </c>
      <c r="H21" s="122" t="s">
        <v>33</v>
      </c>
      <c r="I21" s="133" t="s">
        <v>216</v>
      </c>
      <c r="J21" s="135"/>
    </row>
    <row r="22" spans="1:10">
      <c r="A22" s="79" t="s">
        <v>237</v>
      </c>
      <c r="B22" s="115">
        <v>2460800</v>
      </c>
      <c r="C22" s="115" t="s">
        <v>267</v>
      </c>
      <c r="D22" s="124" t="s">
        <v>246</v>
      </c>
      <c r="E22" s="125" t="s">
        <v>218</v>
      </c>
      <c r="F22" s="117" t="s">
        <v>228</v>
      </c>
      <c r="G22" s="118" t="s">
        <v>268</v>
      </c>
      <c r="H22" s="117" t="s">
        <v>269</v>
      </c>
      <c r="I22" s="133" t="s">
        <v>216</v>
      </c>
      <c r="J22" s="135"/>
    </row>
    <row r="23" spans="1:10">
      <c r="A23" s="79" t="s">
        <v>210</v>
      </c>
      <c r="B23" s="109">
        <v>4608559</v>
      </c>
      <c r="C23" s="109" t="s">
        <v>270</v>
      </c>
      <c r="D23" s="121" t="s">
        <v>212</v>
      </c>
      <c r="E23" s="122" t="s">
        <v>221</v>
      </c>
      <c r="F23" s="122" t="s">
        <v>214</v>
      </c>
      <c r="G23" s="123" t="s">
        <v>271</v>
      </c>
      <c r="H23" s="122" t="s">
        <v>14</v>
      </c>
      <c r="I23" s="133" t="s">
        <v>216</v>
      </c>
      <c r="J23" s="134"/>
    </row>
    <row r="24" spans="1:10">
      <c r="A24" s="79" t="s">
        <v>226</v>
      </c>
      <c r="B24" s="115">
        <v>4608411</v>
      </c>
      <c r="C24" s="115" t="s">
        <v>272</v>
      </c>
      <c r="D24" s="124" t="s">
        <v>212</v>
      </c>
      <c r="E24" s="125" t="s">
        <v>221</v>
      </c>
      <c r="F24" s="117" t="s">
        <v>214</v>
      </c>
      <c r="G24" s="126" t="s">
        <v>273</v>
      </c>
      <c r="H24" s="125" t="s">
        <v>45</v>
      </c>
      <c r="I24" s="133" t="s">
        <v>216</v>
      </c>
      <c r="J24" s="134"/>
    </row>
    <row r="25" spans="1:10">
      <c r="A25" s="79" t="s">
        <v>226</v>
      </c>
      <c r="B25" s="109">
        <v>9634180</v>
      </c>
      <c r="C25" s="109" t="s">
        <v>274</v>
      </c>
      <c r="D25" s="110" t="s">
        <v>212</v>
      </c>
      <c r="E25" s="111" t="s">
        <v>221</v>
      </c>
      <c r="F25" s="111" t="s">
        <v>228</v>
      </c>
      <c r="G25" s="119" t="s">
        <v>275</v>
      </c>
      <c r="H25" s="111" t="s">
        <v>276</v>
      </c>
      <c r="I25" s="133" t="s">
        <v>216</v>
      </c>
      <c r="J25" s="134"/>
    </row>
    <row r="26" spans="1:10">
      <c r="A26" s="79" t="s">
        <v>237</v>
      </c>
      <c r="B26" s="115">
        <v>4608780</v>
      </c>
      <c r="C26" s="115" t="s">
        <v>277</v>
      </c>
      <c r="D26" s="116" t="s">
        <v>212</v>
      </c>
      <c r="E26" s="117" t="s">
        <v>221</v>
      </c>
      <c r="F26" s="117" t="s">
        <v>214</v>
      </c>
      <c r="G26" s="118" t="s">
        <v>278</v>
      </c>
      <c r="H26" s="117" t="s">
        <v>41</v>
      </c>
      <c r="I26" s="133" t="s">
        <v>216</v>
      </c>
      <c r="J26" s="134"/>
    </row>
    <row r="27" spans="1:10">
      <c r="A27" s="79" t="s">
        <v>237</v>
      </c>
      <c r="B27" s="109">
        <v>2475130</v>
      </c>
      <c r="C27" s="109" t="s">
        <v>279</v>
      </c>
      <c r="D27" s="110" t="s">
        <v>212</v>
      </c>
      <c r="E27" s="111" t="s">
        <v>221</v>
      </c>
      <c r="F27" s="111" t="s">
        <v>228</v>
      </c>
      <c r="G27" s="138" t="s">
        <v>280</v>
      </c>
      <c r="H27" s="122" t="s">
        <v>88</v>
      </c>
      <c r="I27" s="133" t="s">
        <v>216</v>
      </c>
      <c r="J27" s="134"/>
    </row>
    <row r="28" spans="1:10">
      <c r="A28" s="79" t="s">
        <v>237</v>
      </c>
      <c r="B28" s="115">
        <v>2477135</v>
      </c>
      <c r="C28" s="115" t="s">
        <v>281</v>
      </c>
      <c r="D28" s="116" t="s">
        <v>212</v>
      </c>
      <c r="E28" s="117" t="s">
        <v>221</v>
      </c>
      <c r="F28" s="117" t="s">
        <v>228</v>
      </c>
      <c r="G28" s="137" t="s">
        <v>282</v>
      </c>
      <c r="H28" s="125" t="s">
        <v>50</v>
      </c>
      <c r="I28" s="133" t="s">
        <v>216</v>
      </c>
      <c r="J28" s="134"/>
    </row>
    <row r="29" spans="1:10">
      <c r="A29" s="79" t="s">
        <v>210</v>
      </c>
      <c r="B29" s="109">
        <v>4606246</v>
      </c>
      <c r="C29" s="109" t="s">
        <v>283</v>
      </c>
      <c r="D29" s="110" t="s">
        <v>284</v>
      </c>
      <c r="E29" s="122" t="s">
        <v>285</v>
      </c>
      <c r="F29" s="111" t="s">
        <v>214</v>
      </c>
      <c r="G29" s="138" t="s">
        <v>286</v>
      </c>
      <c r="H29" s="122" t="s">
        <v>69</v>
      </c>
      <c r="I29" s="133" t="s">
        <v>216</v>
      </c>
      <c r="J29" s="135"/>
    </row>
    <row r="30" spans="1:10">
      <c r="A30" s="79" t="s">
        <v>226</v>
      </c>
      <c r="B30" s="115">
        <v>4606308</v>
      </c>
      <c r="C30" s="115" t="s">
        <v>287</v>
      </c>
      <c r="D30" s="116" t="s">
        <v>284</v>
      </c>
      <c r="E30" s="125" t="s">
        <v>285</v>
      </c>
      <c r="F30" s="117" t="s">
        <v>214</v>
      </c>
      <c r="G30" s="137" t="s">
        <v>288</v>
      </c>
      <c r="H30" s="125" t="s">
        <v>289</v>
      </c>
      <c r="I30" s="133" t="s">
        <v>216</v>
      </c>
      <c r="J30" s="135"/>
    </row>
    <row r="31" spans="1:10">
      <c r="A31" s="79" t="s">
        <v>226</v>
      </c>
      <c r="B31" s="109">
        <v>9634222</v>
      </c>
      <c r="C31" s="109" t="s">
        <v>290</v>
      </c>
      <c r="D31" s="110" t="s">
        <v>212</v>
      </c>
      <c r="E31" s="122" t="s">
        <v>221</v>
      </c>
      <c r="F31" s="111" t="s">
        <v>228</v>
      </c>
      <c r="G31" s="138" t="s">
        <v>291</v>
      </c>
      <c r="H31" s="122" t="s">
        <v>35</v>
      </c>
      <c r="I31" s="133" t="s">
        <v>216</v>
      </c>
      <c r="J31" s="135" t="s">
        <v>230</v>
      </c>
    </row>
    <row r="32" spans="1:10">
      <c r="A32" s="79" t="s">
        <v>226</v>
      </c>
      <c r="B32" s="115">
        <v>229316</v>
      </c>
      <c r="C32" s="115" t="s">
        <v>292</v>
      </c>
      <c r="D32" s="115" t="s">
        <v>284</v>
      </c>
      <c r="E32" s="81" t="s">
        <v>285</v>
      </c>
      <c r="F32" s="81" t="s">
        <v>228</v>
      </c>
      <c r="G32" s="140" t="s">
        <v>293</v>
      </c>
      <c r="H32" s="81" t="s">
        <v>120</v>
      </c>
      <c r="I32" s="133" t="s">
        <v>216</v>
      </c>
      <c r="J32" s="135"/>
    </row>
    <row r="33" spans="1:10">
      <c r="A33" s="79" t="s">
        <v>237</v>
      </c>
      <c r="B33" s="109">
        <v>2493288</v>
      </c>
      <c r="C33" s="109" t="s">
        <v>294</v>
      </c>
      <c r="D33" s="109" t="s">
        <v>284</v>
      </c>
      <c r="E33" s="80" t="s">
        <v>285</v>
      </c>
      <c r="F33" s="111" t="s">
        <v>228</v>
      </c>
      <c r="G33" s="141" t="s">
        <v>295</v>
      </c>
      <c r="H33" s="80" t="s">
        <v>30</v>
      </c>
      <c r="I33" s="133" t="s">
        <v>216</v>
      </c>
      <c r="J33" s="135"/>
    </row>
    <row r="34" spans="1:10">
      <c r="A34" s="79" t="s">
        <v>237</v>
      </c>
      <c r="B34" s="115">
        <v>214272</v>
      </c>
      <c r="C34" s="115" t="s">
        <v>296</v>
      </c>
      <c r="D34" s="115" t="s">
        <v>284</v>
      </c>
      <c r="E34" s="81" t="s">
        <v>285</v>
      </c>
      <c r="F34" s="117" t="s">
        <v>228</v>
      </c>
      <c r="G34" s="140" t="s">
        <v>297</v>
      </c>
      <c r="H34" s="81" t="s">
        <v>298</v>
      </c>
      <c r="I34" s="133" t="s">
        <v>216</v>
      </c>
      <c r="J34" s="135"/>
    </row>
    <row r="35" spans="1:10">
      <c r="A35" s="79" t="s">
        <v>237</v>
      </c>
      <c r="B35" s="109">
        <v>4606694</v>
      </c>
      <c r="C35" s="109" t="s">
        <v>299</v>
      </c>
      <c r="D35" s="110" t="s">
        <v>284</v>
      </c>
      <c r="E35" s="80" t="s">
        <v>285</v>
      </c>
      <c r="F35" s="80" t="s">
        <v>214</v>
      </c>
      <c r="G35" s="141" t="s">
        <v>300</v>
      </c>
      <c r="H35" s="80" t="s">
        <v>47</v>
      </c>
      <c r="I35" s="133" t="s">
        <v>216</v>
      </c>
      <c r="J35" s="135"/>
    </row>
    <row r="36" spans="1:10">
      <c r="A36" s="79" t="s">
        <v>237</v>
      </c>
      <c r="B36" s="115">
        <v>2430855</v>
      </c>
      <c r="C36" s="115" t="s">
        <v>301</v>
      </c>
      <c r="D36" s="116" t="s">
        <v>212</v>
      </c>
      <c r="E36" s="81" t="s">
        <v>285</v>
      </c>
      <c r="F36" s="81" t="s">
        <v>228</v>
      </c>
      <c r="G36" s="83" t="s">
        <v>302</v>
      </c>
      <c r="H36" s="81" t="s">
        <v>21</v>
      </c>
      <c r="I36" s="133" t="s">
        <v>216</v>
      </c>
      <c r="J36" s="135"/>
    </row>
    <row r="37" spans="1:10">
      <c r="A37" s="79" t="s">
        <v>237</v>
      </c>
      <c r="B37" s="109">
        <v>4604625</v>
      </c>
      <c r="C37" s="109" t="s">
        <v>303</v>
      </c>
      <c r="D37" s="110" t="s">
        <v>304</v>
      </c>
      <c r="E37" s="80" t="s">
        <v>285</v>
      </c>
      <c r="F37" s="80" t="s">
        <v>214</v>
      </c>
      <c r="G37" s="82" t="s">
        <v>305</v>
      </c>
      <c r="H37" s="80" t="s">
        <v>306</v>
      </c>
      <c r="I37" s="133" t="s">
        <v>216</v>
      </c>
      <c r="J37" s="135"/>
    </row>
    <row r="38" spans="1:10">
      <c r="A38" s="79" t="s">
        <v>237</v>
      </c>
      <c r="B38" s="115">
        <v>4612098</v>
      </c>
      <c r="C38" s="115" t="s">
        <v>307</v>
      </c>
      <c r="D38" s="116" t="s">
        <v>212</v>
      </c>
      <c r="E38" s="117" t="s">
        <v>213</v>
      </c>
      <c r="F38" s="81" t="s">
        <v>214</v>
      </c>
      <c r="G38" s="83" t="s">
        <v>308</v>
      </c>
      <c r="H38" s="81" t="s">
        <v>102</v>
      </c>
      <c r="I38" s="133"/>
      <c r="J38" s="134"/>
    </row>
    <row r="39" spans="1:10">
      <c r="A39" s="120" t="s">
        <v>237</v>
      </c>
      <c r="B39" s="109">
        <v>4612126</v>
      </c>
      <c r="C39" s="109" t="s">
        <v>309</v>
      </c>
      <c r="D39" s="110" t="s">
        <v>212</v>
      </c>
      <c r="E39" s="117" t="s">
        <v>218</v>
      </c>
      <c r="F39" s="80" t="s">
        <v>214</v>
      </c>
      <c r="G39" s="82" t="s">
        <v>310</v>
      </c>
      <c r="H39" s="80" t="s">
        <v>126</v>
      </c>
      <c r="I39" s="133" t="s">
        <v>216</v>
      </c>
      <c r="J39" s="134"/>
    </row>
    <row r="40" spans="1:10">
      <c r="A40" s="79" t="s">
        <v>237</v>
      </c>
      <c r="B40" s="115">
        <v>2550195</v>
      </c>
      <c r="C40" s="115" t="s">
        <v>311</v>
      </c>
      <c r="D40" s="115" t="s">
        <v>246</v>
      </c>
      <c r="E40" s="81" t="s">
        <v>221</v>
      </c>
      <c r="F40" s="81" t="s">
        <v>228</v>
      </c>
      <c r="G40" s="83" t="s">
        <v>312</v>
      </c>
      <c r="H40" s="81" t="s">
        <v>313</v>
      </c>
      <c r="I40" s="133" t="s">
        <v>225</v>
      </c>
      <c r="J40" s="134"/>
    </row>
    <row r="41" spans="1:10">
      <c r="A41" s="79" t="s">
        <v>226</v>
      </c>
      <c r="B41" s="109">
        <v>4612243</v>
      </c>
      <c r="C41" s="109" t="s">
        <v>314</v>
      </c>
      <c r="D41" s="110" t="s">
        <v>212</v>
      </c>
      <c r="E41" s="111" t="s">
        <v>213</v>
      </c>
      <c r="F41" s="80" t="s">
        <v>214</v>
      </c>
      <c r="G41" s="82" t="s">
        <v>315</v>
      </c>
      <c r="H41" s="80" t="s">
        <v>116</v>
      </c>
      <c r="I41" s="133" t="s">
        <v>216</v>
      </c>
      <c r="J41" s="134"/>
    </row>
    <row r="42" spans="1:10">
      <c r="A42" s="79" t="s">
        <v>226</v>
      </c>
      <c r="B42" s="115">
        <v>4612389</v>
      </c>
      <c r="C42" s="115" t="s">
        <v>316</v>
      </c>
      <c r="D42" s="116" t="s">
        <v>212</v>
      </c>
      <c r="E42" s="111" t="s">
        <v>213</v>
      </c>
      <c r="F42" s="81" t="s">
        <v>214</v>
      </c>
      <c r="G42" s="83" t="s">
        <v>317</v>
      </c>
      <c r="H42" s="81" t="s">
        <v>112</v>
      </c>
      <c r="I42" s="133" t="s">
        <v>216</v>
      </c>
      <c r="J42" s="134"/>
    </row>
    <row r="43" spans="1:10">
      <c r="A43" s="79" t="s">
        <v>226</v>
      </c>
      <c r="B43" s="109">
        <v>4612192</v>
      </c>
      <c r="C43" s="109" t="s">
        <v>318</v>
      </c>
      <c r="D43" s="110" t="s">
        <v>212</v>
      </c>
      <c r="E43" s="117" t="s">
        <v>218</v>
      </c>
      <c r="F43" s="80" t="s">
        <v>214</v>
      </c>
      <c r="G43" s="82" t="s">
        <v>319</v>
      </c>
      <c r="H43" s="80" t="s">
        <v>110</v>
      </c>
      <c r="I43" s="133" t="s">
        <v>216</v>
      </c>
      <c r="J43" s="134"/>
    </row>
    <row r="44" spans="1:10">
      <c r="A44" s="79" t="s">
        <v>226</v>
      </c>
      <c r="B44" s="115">
        <v>4612393</v>
      </c>
      <c r="C44" s="115" t="s">
        <v>320</v>
      </c>
      <c r="D44" s="116" t="s">
        <v>212</v>
      </c>
      <c r="E44" s="122" t="s">
        <v>221</v>
      </c>
      <c r="F44" s="81" t="s">
        <v>214</v>
      </c>
      <c r="G44" s="83" t="s">
        <v>321</v>
      </c>
      <c r="H44" s="81" t="s">
        <v>141</v>
      </c>
      <c r="I44" s="133" t="s">
        <v>216</v>
      </c>
      <c r="J44" s="134"/>
    </row>
    <row r="45" spans="1:10">
      <c r="A45" s="79" t="s">
        <v>226</v>
      </c>
      <c r="B45" s="109">
        <v>4612228</v>
      </c>
      <c r="C45" s="109" t="s">
        <v>322</v>
      </c>
      <c r="D45" s="110" t="s">
        <v>212</v>
      </c>
      <c r="E45" s="117" t="s">
        <v>218</v>
      </c>
      <c r="F45" s="80" t="s">
        <v>214</v>
      </c>
      <c r="G45" s="82" t="s">
        <v>323</v>
      </c>
      <c r="H45" s="80" t="s">
        <v>142</v>
      </c>
      <c r="I45" s="133" t="s">
        <v>216</v>
      </c>
      <c r="J45" s="134"/>
    </row>
    <row r="46" spans="1:10">
      <c r="A46" s="79" t="s">
        <v>226</v>
      </c>
      <c r="B46" s="115">
        <v>4612247</v>
      </c>
      <c r="C46" s="115" t="s">
        <v>324</v>
      </c>
      <c r="D46" s="116" t="s">
        <v>212</v>
      </c>
      <c r="E46" s="122" t="s">
        <v>221</v>
      </c>
      <c r="F46" s="81" t="s">
        <v>214</v>
      </c>
      <c r="G46" s="83" t="s">
        <v>325</v>
      </c>
      <c r="H46" s="81" t="s">
        <v>140</v>
      </c>
      <c r="I46" s="133" t="s">
        <v>216</v>
      </c>
      <c r="J46" s="134"/>
    </row>
  </sheetData>
  <autoFilter ref="A1:I46" xr:uid="{CCFC853D-4B89-47CE-AA8F-BD4EA9CD1EC0}"/>
  <conditionalFormatting sqref="A38:A46">
    <cfRule type="containsText" dxfId="47" priority="13" operator="containsText" text="ELET">
      <formula>NOT(ISERROR(SEARCH("ELET",A38)))</formula>
    </cfRule>
    <cfRule type="containsText" dxfId="46" priority="14" operator="containsText" text="INST">
      <formula>NOT(ISERROR(SEARCH("INST",A38)))</formula>
    </cfRule>
    <cfRule type="containsText" dxfId="45" priority="15" operator="containsText" text="MEC">
      <formula>NOT(ISERROR(SEARCH("MEC",A38)))</formula>
    </cfRule>
  </conditionalFormatting>
  <conditionalFormatting sqref="A1:G46">
    <cfRule type="containsText" dxfId="44" priority="25" operator="containsText" text="ELET">
      <formula>NOT(ISERROR(SEARCH("ELET",A1)))</formula>
    </cfRule>
    <cfRule type="containsText" dxfId="43" priority="26" operator="containsText" text="INST">
      <formula>NOT(ISERROR(SEARCH("INST",A1)))</formula>
    </cfRule>
    <cfRule type="containsText" dxfId="42" priority="27" operator="containsText" text="MEC">
      <formula>NOT(ISERROR(SEARCH("MEC",A1)))</formula>
    </cfRule>
  </conditionalFormatting>
  <conditionalFormatting sqref="D25:D31">
    <cfRule type="containsText" dxfId="41" priority="16" operator="containsText" text="ELET">
      <formula>NOT(ISERROR(SEARCH("ELET",D25)))</formula>
    </cfRule>
    <cfRule type="containsText" dxfId="40" priority="17" operator="containsText" text="INST">
      <formula>NOT(ISERROR(SEARCH("INST",D25)))</formula>
    </cfRule>
    <cfRule type="containsText" dxfId="39" priority="18" operator="containsText" text="MEC">
      <formula>NOT(ISERROR(SEARCH("MEC",D25)))</formula>
    </cfRule>
  </conditionalFormatting>
  <conditionalFormatting sqref="D35:D46">
    <cfRule type="containsText" dxfId="38" priority="10" operator="containsText" text="ELET">
      <formula>NOT(ISERROR(SEARCH("ELET",D35)))</formula>
    </cfRule>
    <cfRule type="containsText" dxfId="37" priority="11" operator="containsText" text="INST">
      <formula>NOT(ISERROR(SEARCH("INST",D35)))</formula>
    </cfRule>
    <cfRule type="containsText" dxfId="36" priority="12" operator="containsText" text="MEC">
      <formula>NOT(ISERROR(SEARCH("MEC",D35)))</formula>
    </cfRule>
  </conditionalFormatting>
  <conditionalFormatting sqref="E4">
    <cfRule type="containsText" dxfId="35" priority="4" operator="containsText" text="ELET">
      <formula>NOT(ISERROR(SEARCH("ELET",E4)))</formula>
    </cfRule>
    <cfRule type="containsText" dxfId="34" priority="5" operator="containsText" text="INST">
      <formula>NOT(ISERROR(SEARCH("INST",E4)))</formula>
    </cfRule>
    <cfRule type="containsText" dxfId="33" priority="6" operator="containsText" text="MEC">
      <formula>NOT(ISERROR(SEARCH("MEC",E4)))</formula>
    </cfRule>
  </conditionalFormatting>
  <conditionalFormatting sqref="E18:E22">
    <cfRule type="containsText" dxfId="32" priority="22" operator="containsText" text="ELET">
      <formula>NOT(ISERROR(SEARCH("ELET",E18)))</formula>
    </cfRule>
    <cfRule type="containsText" dxfId="31" priority="23" operator="containsText" text="INST">
      <formula>NOT(ISERROR(SEARCH("INST",E18)))</formula>
    </cfRule>
    <cfRule type="containsText" dxfId="30" priority="24" operator="containsText" text="MEC">
      <formula>NOT(ISERROR(SEARCH("MEC",E18)))</formula>
    </cfRule>
  </conditionalFormatting>
  <conditionalFormatting sqref="E22:E28">
    <cfRule type="containsText" dxfId="29" priority="19" operator="containsText" text="ELET">
      <formula>NOT(ISERROR(SEARCH("ELET",E22)))</formula>
    </cfRule>
    <cfRule type="containsText" dxfId="28" priority="20" operator="containsText" text="INST">
      <formula>NOT(ISERROR(SEARCH("INST",E22)))</formula>
    </cfRule>
    <cfRule type="containsText" dxfId="27" priority="21" operator="containsText" text="MEC">
      <formula>NOT(ISERROR(SEARCH("MEC",E22)))</formula>
    </cfRule>
  </conditionalFormatting>
  <conditionalFormatting sqref="E44">
    <cfRule type="containsText" dxfId="26" priority="1" operator="containsText" text="ELET">
      <formula>NOT(ISERROR(SEARCH("ELET",E44)))</formula>
    </cfRule>
    <cfRule type="containsText" dxfId="25" priority="2" operator="containsText" text="INST">
      <formula>NOT(ISERROR(SEARCH("INST",E44)))</formula>
    </cfRule>
    <cfRule type="containsText" dxfId="24" priority="3" operator="containsText" text="MEC">
      <formula>NOT(ISERROR(SEARCH("MEC",E44)))</formula>
    </cfRule>
  </conditionalFormatting>
  <conditionalFormatting sqref="E46">
    <cfRule type="containsText" dxfId="23" priority="7" operator="containsText" text="ELET">
      <formula>NOT(ISERROR(SEARCH("ELET",E46)))</formula>
    </cfRule>
    <cfRule type="containsText" dxfId="22" priority="8" operator="containsText" text="INST">
      <formula>NOT(ISERROR(SEARCH("INST",E46)))</formula>
    </cfRule>
    <cfRule type="containsText" dxfId="21" priority="9" operator="containsText" text="MEC">
      <formula>NOT(ISERROR(SEARCH("MEC",E46)))</formula>
    </cfRule>
  </conditionalFormatting>
  <conditionalFormatting sqref="I1:J1">
    <cfRule type="containsText" dxfId="20" priority="28" operator="containsText" text="ELET">
      <formula>NOT(ISERROR(SEARCH("ELET",I1)))</formula>
    </cfRule>
    <cfRule type="containsText" dxfId="19" priority="29" operator="containsText" text="INST">
      <formula>NOT(ISERROR(SEARCH("INST",I1)))</formula>
    </cfRule>
    <cfRule type="containsText" dxfId="18" priority="30"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38" zoomScaleNormal="100" workbookViewId="0">
      <selection activeCell="F87" sqref="F87"/>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5" customHeight="1">
      <c r="B2" s="152" t="s">
        <v>326</v>
      </c>
      <c r="C2" s="153"/>
      <c r="D2" s="153"/>
      <c r="E2" s="153"/>
      <c r="G2" s="148" t="s">
        <v>213</v>
      </c>
      <c r="H2" s="148"/>
      <c r="I2" s="148"/>
      <c r="J2" s="148"/>
      <c r="L2" s="149" t="s">
        <v>218</v>
      </c>
      <c r="M2" s="150"/>
      <c r="N2" s="150"/>
      <c r="O2" s="151"/>
      <c r="Q2" s="149" t="s">
        <v>221</v>
      </c>
      <c r="R2" s="150"/>
      <c r="S2" s="150"/>
      <c r="T2" s="151"/>
    </row>
    <row r="3" spans="2:35" ht="14.45">
      <c r="B3" s="130" t="s">
        <v>327</v>
      </c>
      <c r="C3" s="130" t="s">
        <v>327</v>
      </c>
      <c r="D3" s="130" t="s">
        <v>328</v>
      </c>
      <c r="E3" s="130" t="s">
        <v>329</v>
      </c>
      <c r="G3" s="102" t="s">
        <v>327</v>
      </c>
      <c r="H3" s="102" t="s">
        <v>327</v>
      </c>
      <c r="I3" s="102" t="s">
        <v>328</v>
      </c>
      <c r="J3" s="84" t="s">
        <v>330</v>
      </c>
      <c r="L3" s="102" t="s">
        <v>327</v>
      </c>
      <c r="M3" s="102" t="s">
        <v>327</v>
      </c>
      <c r="N3" s="102" t="s">
        <v>328</v>
      </c>
      <c r="O3" s="84" t="s">
        <v>330</v>
      </c>
      <c r="Q3" s="102" t="s">
        <v>327</v>
      </c>
      <c r="R3" s="102" t="s">
        <v>327</v>
      </c>
      <c r="S3" s="102" t="s">
        <v>328</v>
      </c>
      <c r="T3" s="84" t="s">
        <v>330</v>
      </c>
    </row>
    <row r="4" spans="2:35" ht="14.4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4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4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4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4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4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4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4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4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4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331</v>
      </c>
    </row>
    <row r="14" spans="2:35" ht="14.4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4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4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4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4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45">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45">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45">
      <c r="B21" s="101">
        <v>46023</v>
      </c>
      <c r="C21" s="103">
        <f t="shared" si="0"/>
        <v>46022</v>
      </c>
      <c r="D21" s="84">
        <f t="shared" si="1"/>
        <v>32</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10</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45">
      <c r="B22" s="101">
        <v>46054</v>
      </c>
      <c r="C22" s="103">
        <f t="shared" si="0"/>
        <v>46053</v>
      </c>
      <c r="D22" s="84">
        <f t="shared" si="1"/>
        <v>34</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11</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45">
      <c r="B23" s="101">
        <v>46082</v>
      </c>
      <c r="C23" s="103">
        <f t="shared" si="0"/>
        <v>46081</v>
      </c>
      <c r="D23" s="84">
        <f t="shared" si="1"/>
        <v>34</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11</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45">
      <c r="B24" s="101">
        <v>46113</v>
      </c>
      <c r="C24" s="103">
        <f t="shared" si="0"/>
        <v>46112</v>
      </c>
      <c r="D24" s="84">
        <f t="shared" si="1"/>
        <v>34</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11</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45">
      <c r="B25" s="101">
        <v>46143</v>
      </c>
      <c r="C25" s="103">
        <f t="shared" si="0"/>
        <v>46142</v>
      </c>
      <c r="D25" s="84">
        <f t="shared" si="1"/>
        <v>34</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11</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45">
      <c r="B26" s="101">
        <v>46174</v>
      </c>
      <c r="C26" s="103">
        <f t="shared" si="0"/>
        <v>46173</v>
      </c>
      <c r="D26" s="84">
        <f t="shared" si="1"/>
        <v>34</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11</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45">
      <c r="B27" s="101">
        <v>46204</v>
      </c>
      <c r="C27" s="103">
        <f t="shared" si="0"/>
        <v>46203</v>
      </c>
      <c r="D27" s="84">
        <f t="shared" si="1"/>
        <v>34</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11</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45">
      <c r="B28" s="101">
        <v>46235</v>
      </c>
      <c r="C28" s="103">
        <f t="shared" si="0"/>
        <v>46234</v>
      </c>
      <c r="D28" s="84">
        <f t="shared" si="1"/>
        <v>34</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11</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45">
      <c r="B29" s="101">
        <v>46266</v>
      </c>
      <c r="C29" s="103">
        <f t="shared" si="0"/>
        <v>46265</v>
      </c>
      <c r="D29" s="84">
        <f t="shared" si="1"/>
        <v>34</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11</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45">
      <c r="B30" s="101">
        <v>46296</v>
      </c>
      <c r="C30" s="103">
        <f t="shared" si="0"/>
        <v>46295</v>
      </c>
      <c r="D30" s="84">
        <f t="shared" si="1"/>
        <v>34</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11</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45">
      <c r="B31" s="101">
        <v>46327</v>
      </c>
      <c r="C31" s="103">
        <f t="shared" si="0"/>
        <v>46326</v>
      </c>
      <c r="D31" s="84">
        <f t="shared" si="1"/>
        <v>34</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11</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45">
      <c r="B32" s="101">
        <v>46357</v>
      </c>
      <c r="C32" s="103">
        <f t="shared" si="0"/>
        <v>46356</v>
      </c>
      <c r="D32" s="84">
        <f t="shared" si="1"/>
        <v>34</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11</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45">
      <c r="B33" s="101">
        <v>46388</v>
      </c>
      <c r="C33" s="103">
        <f t="shared" si="0"/>
        <v>46387</v>
      </c>
      <c r="D33" s="84">
        <f t="shared" si="1"/>
        <v>34</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11</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c r="O40" s="142" t="s">
        <v>332</v>
      </c>
    </row>
    <row r="76" spans="1:20" ht="15" customHeight="1">
      <c r="A76" s="112" t="s">
        <v>203</v>
      </c>
      <c r="B76" s="113" t="s">
        <v>1</v>
      </c>
      <c r="C76" s="113" t="s">
        <v>204</v>
      </c>
      <c r="D76" s="113" t="s">
        <v>205</v>
      </c>
      <c r="E76" s="114" t="s">
        <v>206</v>
      </c>
      <c r="F76" s="114" t="s">
        <v>0</v>
      </c>
      <c r="G76" s="114" t="s">
        <v>328</v>
      </c>
      <c r="H76" s="114" t="s">
        <v>333</v>
      </c>
      <c r="S76"/>
      <c r="T76"/>
    </row>
    <row r="77" spans="1:20" ht="15" customHeight="1">
      <c r="A77" s="79" t="s">
        <v>210</v>
      </c>
      <c r="B77" s="115">
        <v>4612171</v>
      </c>
      <c r="C77" s="115" t="s">
        <v>211</v>
      </c>
      <c r="D77" s="116" t="s">
        <v>212</v>
      </c>
      <c r="E77" s="117" t="s">
        <v>213</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c r="A78" s="79" t="s">
        <v>210</v>
      </c>
      <c r="B78" s="109">
        <v>4612050</v>
      </c>
      <c r="C78" s="109" t="s">
        <v>217</v>
      </c>
      <c r="D78" s="110" t="s">
        <v>212</v>
      </c>
      <c r="E78" s="111" t="s">
        <v>218</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c r="A79" s="79" t="s">
        <v>210</v>
      </c>
      <c r="B79" s="115">
        <v>4612140</v>
      </c>
      <c r="C79" s="115" t="s">
        <v>220</v>
      </c>
      <c r="D79" s="116" t="s">
        <v>212</v>
      </c>
      <c r="E79" s="117" t="s">
        <v>221</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customHeight="1">
      <c r="A80" s="79" t="s">
        <v>226</v>
      </c>
      <c r="B80" s="109">
        <v>4612243</v>
      </c>
      <c r="C80" s="109" t="s">
        <v>314</v>
      </c>
      <c r="D80" s="110" t="s">
        <v>212</v>
      </c>
      <c r="E80" s="111" t="s">
        <v>213</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customHeight="1">
      <c r="A81" s="79" t="s">
        <v>226</v>
      </c>
      <c r="B81" s="115">
        <v>4612389</v>
      </c>
      <c r="C81" s="115" t="s">
        <v>316</v>
      </c>
      <c r="D81" s="116" t="s">
        <v>212</v>
      </c>
      <c r="E81" s="111" t="s">
        <v>213</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customHeight="1">
      <c r="A82" s="120" t="s">
        <v>226</v>
      </c>
      <c r="B82" s="109">
        <v>4612192</v>
      </c>
      <c r="C82" s="109" t="s">
        <v>318</v>
      </c>
      <c r="D82" s="121" t="s">
        <v>212</v>
      </c>
      <c r="E82" s="122" t="s">
        <v>218</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customHeight="1">
      <c r="A83" s="120" t="s">
        <v>226</v>
      </c>
      <c r="B83" s="115">
        <v>4612393</v>
      </c>
      <c r="C83" s="115" t="s">
        <v>320</v>
      </c>
      <c r="D83" s="124" t="s">
        <v>212</v>
      </c>
      <c r="E83" s="117" t="s">
        <v>221</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customHeight="1">
      <c r="A84" s="79" t="s">
        <v>226</v>
      </c>
      <c r="B84" s="109">
        <v>4612228</v>
      </c>
      <c r="C84" s="109" t="s">
        <v>322</v>
      </c>
      <c r="D84" s="110" t="s">
        <v>212</v>
      </c>
      <c r="E84" s="122" t="s">
        <v>218</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customHeight="1">
      <c r="A85" s="120" t="s">
        <v>226</v>
      </c>
      <c r="B85" s="115">
        <v>4612247</v>
      </c>
      <c r="C85" s="115" t="s">
        <v>324</v>
      </c>
      <c r="D85" s="116" t="s">
        <v>212</v>
      </c>
      <c r="E85" s="117" t="s">
        <v>221</v>
      </c>
      <c r="F85" s="117" t="s">
        <v>140</v>
      </c>
      <c r="G85" s="117">
        <f ca="1">COUNTIFS('Planejamento IED'!A:A,'Embarques Vivenciais'!F85,'Planejamento IED'!F:F,"Embarque",'Planejamento IED'!D:D,"&lt;="&amp;TODAY())</f>
        <v>0</v>
      </c>
      <c r="H85" s="117">
        <f ca="1">SUMIFS('Planejamento IED'!E:E,'Planejamento IED'!A:A,F85,'Planejamento IED'!F:F,"Embarque",'Planejamento IED'!D:D,"&lt;="&amp;TODAY())</f>
        <v>0</v>
      </c>
      <c r="S85"/>
      <c r="T85"/>
    </row>
    <row r="86" spans="1:20" ht="15" customHeight="1">
      <c r="A86" s="120" t="s">
        <v>237</v>
      </c>
      <c r="B86" s="115">
        <v>4612098</v>
      </c>
      <c r="C86" s="115" t="s">
        <v>307</v>
      </c>
      <c r="D86" s="116" t="s">
        <v>212</v>
      </c>
      <c r="E86" s="117" t="s">
        <v>213</v>
      </c>
      <c r="F86" s="117" t="s">
        <v>102</v>
      </c>
      <c r="G86" s="117">
        <f ca="1">COUNTIFS('Planejamento IED'!A:A,'Embarques Vivenciais'!F86,'Planejamento IED'!F:F,"Embarque",'Planejamento IED'!D:D,"&lt;="&amp;TODAY())</f>
        <v>1</v>
      </c>
      <c r="H86" s="117">
        <f ca="1">SUMIFS('Planejamento IED'!E:E,'Planejamento IED'!A:A,F86,'Planejamento IED'!F:F,"Embarque",'Planejamento IED'!D:D,"&lt;="&amp;TODAY())</f>
        <v>10</v>
      </c>
      <c r="S86"/>
      <c r="T86"/>
    </row>
    <row r="87" spans="1:20" ht="15" customHeight="1">
      <c r="A87" s="120" t="s">
        <v>237</v>
      </c>
      <c r="B87" s="109">
        <v>4612126</v>
      </c>
      <c r="C87" s="109" t="s">
        <v>309</v>
      </c>
      <c r="D87" s="110" t="s">
        <v>212</v>
      </c>
      <c r="E87" s="111" t="s">
        <v>218</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c r="A88" s="79" t="s">
        <v>210</v>
      </c>
      <c r="B88" s="109">
        <v>9842940</v>
      </c>
      <c r="C88" s="109" t="s">
        <v>223</v>
      </c>
      <c r="D88" s="121" t="s">
        <v>212</v>
      </c>
      <c r="E88" s="122" t="s">
        <v>213</v>
      </c>
      <c r="F88" s="122" t="s">
        <v>29</v>
      </c>
      <c r="G88" s="117">
        <f ca="1">COUNTIFS('Planejamento IED'!A:A,'Embarques Vivenciais'!F88,'Planejamento IED'!F:F,"Embarque",'Planejamento IED'!D:D,"&lt;="&amp;TODAY())</f>
        <v>4</v>
      </c>
      <c r="H88" s="145">
        <f ca="1">SUMIFS('Planejamento IED'!E:E,'Planejamento IED'!A:A,F88,'Planejamento IED'!F:F,"Embarque",'Planejamento IED'!D:D,"&lt;="&amp;TODAY())</f>
        <v>45</v>
      </c>
      <c r="S88"/>
      <c r="T88"/>
    </row>
    <row r="89" spans="1:20" ht="15" customHeight="1">
      <c r="A89" s="79" t="s">
        <v>226</v>
      </c>
      <c r="B89" s="109">
        <v>4608721</v>
      </c>
      <c r="C89" s="109" t="s">
        <v>231</v>
      </c>
      <c r="D89" s="121" t="s">
        <v>212</v>
      </c>
      <c r="E89" s="122" t="s">
        <v>213</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customHeight="1">
      <c r="A90" s="79" t="s">
        <v>226</v>
      </c>
      <c r="B90" s="109">
        <v>4608685</v>
      </c>
      <c r="C90" s="109" t="s">
        <v>235</v>
      </c>
      <c r="D90" s="121" t="s">
        <v>212</v>
      </c>
      <c r="E90" s="122" t="s">
        <v>213</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customHeight="1">
      <c r="A91" s="79" t="s">
        <v>237</v>
      </c>
      <c r="B91" s="115">
        <v>4608389</v>
      </c>
      <c r="C91" s="115" t="s">
        <v>250</v>
      </c>
      <c r="D91" s="124" t="s">
        <v>212</v>
      </c>
      <c r="E91" s="125" t="s">
        <v>213</v>
      </c>
      <c r="F91" s="125" t="s">
        <v>43</v>
      </c>
      <c r="G91" s="117">
        <f ca="1">COUNTIFS('Planejamento IED'!A:A,'Embarques Vivenciais'!F91,'Planejamento IED'!F:F,"Embarque",'Planejamento IED'!D:D,"&lt;="&amp;TODAY())</f>
        <v>3</v>
      </c>
      <c r="H91" s="146">
        <f ca="1">SUMIFS('Planejamento IED'!E:E,'Planejamento IED'!A:A,F91,'Planejamento IED'!F:F,"Embarque",'Planejamento IED'!D:D,"&lt;="&amp;TODAY())</f>
        <v>33</v>
      </c>
      <c r="S91"/>
      <c r="T91"/>
    </row>
    <row r="92" spans="1:20" ht="15" customHeight="1">
      <c r="A92" s="79" t="s">
        <v>210</v>
      </c>
      <c r="B92" s="109">
        <v>4608544</v>
      </c>
      <c r="C92" s="109" t="s">
        <v>252</v>
      </c>
      <c r="D92" s="110" t="s">
        <v>212</v>
      </c>
      <c r="E92" s="111" t="s">
        <v>218</v>
      </c>
      <c r="F92" s="111" t="s">
        <v>10</v>
      </c>
      <c r="G92" s="117">
        <f ca="1">COUNTIFS('Planejamento IED'!A:A,'Embarques Vivenciais'!F92,'Planejamento IED'!F:F,"Embarque",'Planejamento IED'!D:D,"&lt;="&amp;TODAY())</f>
        <v>3</v>
      </c>
      <c r="H92" s="146">
        <f ca="1">SUMIFS('Planejamento IED'!E:E,'Planejamento IED'!A:A,F92,'Planejamento IED'!F:F,"Embarque",'Planejamento IED'!D:D,"&lt;="&amp;TODAY())</f>
        <v>32</v>
      </c>
      <c r="S92"/>
      <c r="T92"/>
    </row>
    <row r="93" spans="1:20" ht="15" customHeight="1">
      <c r="A93" s="79" t="s">
        <v>226</v>
      </c>
      <c r="B93" s="115">
        <v>4608474</v>
      </c>
      <c r="C93" s="115" t="s">
        <v>254</v>
      </c>
      <c r="D93" s="116" t="s">
        <v>212</v>
      </c>
      <c r="E93" s="117" t="s">
        <v>218</v>
      </c>
      <c r="F93" s="117" t="s">
        <v>26</v>
      </c>
      <c r="G93" s="117">
        <f ca="1">COUNTIFS('Planejamento IED'!A:A,'Embarques Vivenciais'!F93,'Planejamento IED'!F:F,"Embarque",'Planejamento IED'!D:D,"&lt;="&amp;TODAY())</f>
        <v>2</v>
      </c>
      <c r="H93" s="117">
        <f ca="1">SUMIFS('Planejamento IED'!E:E,'Planejamento IED'!A:A,F93,'Planejamento IED'!F:F,"Embarque",'Planejamento IED'!D:D,"&lt;="&amp;TODAY())</f>
        <v>19</v>
      </c>
      <c r="S93"/>
      <c r="T93"/>
    </row>
    <row r="94" spans="1:20" ht="15" customHeight="1">
      <c r="A94" s="79" t="s">
        <v>226</v>
      </c>
      <c r="B94" s="127">
        <v>4608684</v>
      </c>
      <c r="C94" s="115" t="s">
        <v>259</v>
      </c>
      <c r="D94" s="116" t="s">
        <v>212</v>
      </c>
      <c r="E94" s="125" t="s">
        <v>218</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c r="A95" s="79" t="s">
        <v>210</v>
      </c>
      <c r="B95" s="109">
        <v>4608559</v>
      </c>
      <c r="C95" s="109" t="s">
        <v>270</v>
      </c>
      <c r="D95" s="110" t="s">
        <v>212</v>
      </c>
      <c r="E95" s="80" t="s">
        <v>221</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customHeight="1">
      <c r="A96" s="79" t="s">
        <v>226</v>
      </c>
      <c r="B96" s="115">
        <v>4608411</v>
      </c>
      <c r="C96" s="115" t="s">
        <v>272</v>
      </c>
      <c r="D96" s="116" t="s">
        <v>212</v>
      </c>
      <c r="E96" s="81" t="s">
        <v>221</v>
      </c>
      <c r="F96" s="81" t="s">
        <v>45</v>
      </c>
      <c r="G96" s="117">
        <f ca="1">COUNTIFS('Planejamento IED'!A:A,'Embarques Vivenciais'!F96,'Planejamento IED'!F:F,"Embarque",'Planejamento IED'!D:D,"&lt;="&amp;TODAY())</f>
        <v>2</v>
      </c>
      <c r="H96" s="117">
        <f ca="1">SUMIFS('Planejamento IED'!E:E,'Planejamento IED'!A:A,F96,'Planejamento IED'!F:F,"Embarque",'Planejamento IED'!D:D,"&lt;="&amp;TODAY())</f>
        <v>20</v>
      </c>
      <c r="S96"/>
      <c r="T96"/>
    </row>
    <row r="97" spans="1:20" ht="15" customHeight="1">
      <c r="A97" s="79" t="s">
        <v>237</v>
      </c>
      <c r="B97" s="115">
        <v>4608780</v>
      </c>
      <c r="C97" s="115" t="s">
        <v>277</v>
      </c>
      <c r="D97" s="116" t="s">
        <v>212</v>
      </c>
      <c r="E97" s="81" t="s">
        <v>221</v>
      </c>
      <c r="F97" s="81" t="s">
        <v>41</v>
      </c>
      <c r="G97" s="117">
        <f ca="1">COUNTIFS('Planejamento IED'!A:A,'Embarques Vivenciais'!F97,'Planejamento IED'!F:F,"Embarque",'Planejamento IED'!D:D,"&lt;="&amp;TODAY())</f>
        <v>2</v>
      </c>
      <c r="H97" s="117">
        <f ca="1">SUMIFS('Planejamento IED'!E:E,'Planejamento IED'!A:A,F97,'Planejamento IED'!F:F,"Embarque",'Planejamento IED'!D:D,"&lt;="&amp;TODAY())</f>
        <v>10</v>
      </c>
      <c r="S97"/>
      <c r="T97"/>
    </row>
    <row r="98" spans="1:20" ht="15" customHeight="1">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4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334</v>
      </c>
      <c r="B1" s="36" t="s">
        <v>335</v>
      </c>
      <c r="C1" s="1"/>
      <c r="D1" s="2"/>
      <c r="E1" s="4"/>
      <c r="F1" s="31"/>
      <c r="H1" s="2"/>
      <c r="I1" s="50" t="s">
        <v>336</v>
      </c>
    </row>
    <row r="2" spans="1:239" ht="30" customHeight="1">
      <c r="A2" s="32" t="s">
        <v>337</v>
      </c>
      <c r="B2" s="37" t="s">
        <v>338</v>
      </c>
      <c r="I2" s="51"/>
    </row>
    <row r="3" spans="1:239" ht="33" customHeight="1">
      <c r="A3" s="32" t="s">
        <v>339</v>
      </c>
      <c r="B3" s="70" t="s">
        <v>340</v>
      </c>
      <c r="C3" s="69">
        <f>Início_do_projeto+120</f>
        <v>46051</v>
      </c>
      <c r="D3" s="68" t="s">
        <v>341</v>
      </c>
      <c r="E3" s="157">
        <v>45931</v>
      </c>
      <c r="F3" s="157"/>
      <c r="G3" s="64"/>
    </row>
    <row r="4" spans="1:239" ht="30" customHeight="1">
      <c r="A4" s="33" t="s">
        <v>342</v>
      </c>
      <c r="C4" s="158" t="s">
        <v>343</v>
      </c>
      <c r="D4" s="159"/>
      <c r="E4" s="7">
        <v>1</v>
      </c>
      <c r="I4" s="154">
        <f>I5</f>
        <v>45929</v>
      </c>
      <c r="J4" s="155"/>
      <c r="K4" s="155"/>
      <c r="L4" s="155"/>
      <c r="M4" s="155"/>
      <c r="N4" s="155"/>
      <c r="O4" s="156"/>
      <c r="P4" s="154">
        <f>P5</f>
        <v>45936</v>
      </c>
      <c r="Q4" s="155"/>
      <c r="R4" s="155"/>
      <c r="S4" s="155"/>
      <c r="T4" s="155"/>
      <c r="U4" s="155"/>
      <c r="V4" s="156"/>
      <c r="W4" s="154">
        <f>W5</f>
        <v>45943</v>
      </c>
      <c r="X4" s="155"/>
      <c r="Y4" s="155"/>
      <c r="Z4" s="155"/>
      <c r="AA4" s="155"/>
      <c r="AB4" s="155"/>
      <c r="AC4" s="156"/>
      <c r="AD4" s="154">
        <f>AD5</f>
        <v>45950</v>
      </c>
      <c r="AE4" s="155"/>
      <c r="AF4" s="155"/>
      <c r="AG4" s="155"/>
      <c r="AH4" s="155"/>
      <c r="AI4" s="155"/>
      <c r="AJ4" s="156"/>
      <c r="AK4" s="154">
        <f>AK5</f>
        <v>45957</v>
      </c>
      <c r="AL4" s="155"/>
      <c r="AM4" s="155"/>
      <c r="AN4" s="155"/>
      <c r="AO4" s="155"/>
      <c r="AP4" s="155"/>
      <c r="AQ4" s="156"/>
      <c r="AR4" s="154">
        <f>AR5</f>
        <v>45964</v>
      </c>
      <c r="AS4" s="155"/>
      <c r="AT4" s="155"/>
      <c r="AU4" s="155"/>
      <c r="AV4" s="155"/>
      <c r="AW4" s="155"/>
      <c r="AX4" s="156"/>
      <c r="AY4" s="154">
        <f>AY5</f>
        <v>45971</v>
      </c>
      <c r="AZ4" s="155"/>
      <c r="BA4" s="155"/>
      <c r="BB4" s="155"/>
      <c r="BC4" s="155"/>
      <c r="BD4" s="155"/>
      <c r="BE4" s="156"/>
      <c r="BF4" s="154">
        <f>BF5</f>
        <v>45978</v>
      </c>
      <c r="BG4" s="155"/>
      <c r="BH4" s="155"/>
      <c r="BI4" s="155"/>
      <c r="BJ4" s="155"/>
      <c r="BK4" s="155"/>
      <c r="BL4" s="156"/>
      <c r="BM4" s="154">
        <f>BM5</f>
        <v>45985</v>
      </c>
      <c r="BN4" s="155"/>
      <c r="BO4" s="155"/>
      <c r="BP4" s="155"/>
      <c r="BQ4" s="155"/>
      <c r="BR4" s="155"/>
      <c r="BS4" s="156"/>
      <c r="BT4" s="154">
        <f>BT5</f>
        <v>45992</v>
      </c>
      <c r="BU4" s="155"/>
      <c r="BV4" s="155"/>
      <c r="BW4" s="155"/>
      <c r="BX4" s="155"/>
      <c r="BY4" s="155"/>
      <c r="BZ4" s="156"/>
      <c r="CA4" s="154">
        <f>CA5</f>
        <v>45999</v>
      </c>
      <c r="CB4" s="155"/>
      <c r="CC4" s="155"/>
      <c r="CD4" s="155"/>
      <c r="CE4" s="155"/>
      <c r="CF4" s="155"/>
      <c r="CG4" s="156"/>
      <c r="CH4" s="154">
        <f>CH5</f>
        <v>46006</v>
      </c>
      <c r="CI4" s="155"/>
      <c r="CJ4" s="155"/>
      <c r="CK4" s="155"/>
      <c r="CL4" s="155"/>
      <c r="CM4" s="155"/>
      <c r="CN4" s="156"/>
      <c r="CO4" s="154">
        <f>CO5</f>
        <v>46013</v>
      </c>
      <c r="CP4" s="155"/>
      <c r="CQ4" s="155"/>
      <c r="CR4" s="155"/>
      <c r="CS4" s="155"/>
      <c r="CT4" s="155"/>
      <c r="CU4" s="156"/>
      <c r="CV4" s="154">
        <f>CV5</f>
        <v>46020</v>
      </c>
      <c r="CW4" s="155"/>
      <c r="CX4" s="155"/>
      <c r="CY4" s="155"/>
      <c r="CZ4" s="155"/>
      <c r="DA4" s="155"/>
      <c r="DB4" s="156"/>
      <c r="DC4" s="154">
        <f>DC5</f>
        <v>46027</v>
      </c>
      <c r="DD4" s="155"/>
      <c r="DE4" s="155"/>
      <c r="DF4" s="155"/>
      <c r="DG4" s="155"/>
      <c r="DH4" s="155"/>
      <c r="DI4" s="156"/>
      <c r="DJ4" s="154">
        <f>DJ5</f>
        <v>46034</v>
      </c>
      <c r="DK4" s="155"/>
      <c r="DL4" s="155"/>
      <c r="DM4" s="155"/>
      <c r="DN4" s="155"/>
      <c r="DO4" s="155"/>
      <c r="DP4" s="156"/>
      <c r="DQ4" s="154">
        <f>DQ5</f>
        <v>46041</v>
      </c>
      <c r="DR4" s="155"/>
      <c r="DS4" s="155"/>
      <c r="DT4" s="155"/>
      <c r="DU4" s="155"/>
      <c r="DV4" s="155"/>
      <c r="DW4" s="156"/>
      <c r="DX4" s="154">
        <f>DX5</f>
        <v>46048</v>
      </c>
      <c r="DY4" s="155"/>
      <c r="DZ4" s="155"/>
      <c r="EA4" s="155"/>
      <c r="EB4" s="155"/>
      <c r="EC4" s="155"/>
      <c r="ED4" s="156"/>
      <c r="EE4" s="154">
        <f t="shared" ref="EE4" si="0">EE5</f>
        <v>46055</v>
      </c>
      <c r="EF4" s="155"/>
      <c r="EG4" s="155"/>
      <c r="EH4" s="155"/>
      <c r="EI4" s="155"/>
      <c r="EJ4" s="155"/>
      <c r="EK4" s="156"/>
      <c r="EL4" s="154">
        <f t="shared" ref="EL4" si="1">EL5</f>
        <v>46062</v>
      </c>
      <c r="EM4" s="155"/>
      <c r="EN4" s="155"/>
      <c r="EO4" s="155"/>
      <c r="EP4" s="155"/>
      <c r="EQ4" s="155"/>
      <c r="ER4" s="156"/>
      <c r="ES4" s="154">
        <f t="shared" ref="ES4" si="2">ES5</f>
        <v>46069</v>
      </c>
      <c r="ET4" s="155"/>
      <c r="EU4" s="155"/>
      <c r="EV4" s="155"/>
      <c r="EW4" s="155"/>
      <c r="EX4" s="155"/>
      <c r="EY4" s="156"/>
      <c r="EZ4" s="154">
        <f t="shared" ref="EZ4" si="3">EZ5</f>
        <v>46076</v>
      </c>
      <c r="FA4" s="155"/>
      <c r="FB4" s="155"/>
      <c r="FC4" s="155"/>
      <c r="FD4" s="155"/>
      <c r="FE4" s="155"/>
      <c r="FF4" s="156"/>
      <c r="FG4" s="154">
        <f t="shared" ref="FG4" si="4">FG5</f>
        <v>46083</v>
      </c>
      <c r="FH4" s="155"/>
      <c r="FI4" s="155"/>
      <c r="FJ4" s="155"/>
      <c r="FK4" s="155"/>
      <c r="FL4" s="155"/>
      <c r="FM4" s="156"/>
      <c r="FN4" s="154">
        <f t="shared" ref="FN4" si="5">FN5</f>
        <v>46090</v>
      </c>
      <c r="FO4" s="155"/>
      <c r="FP4" s="155"/>
      <c r="FQ4" s="155"/>
      <c r="FR4" s="155"/>
      <c r="FS4" s="155"/>
      <c r="FT4" s="156"/>
      <c r="FU4" s="154">
        <f t="shared" ref="FU4" si="6">FU5</f>
        <v>46097</v>
      </c>
      <c r="FV4" s="155"/>
      <c r="FW4" s="155"/>
      <c r="FX4" s="155"/>
      <c r="FY4" s="155"/>
      <c r="FZ4" s="155"/>
      <c r="GA4" s="156"/>
      <c r="GB4" s="154">
        <f t="shared" ref="GB4" si="7">GB5</f>
        <v>46104</v>
      </c>
      <c r="GC4" s="155"/>
      <c r="GD4" s="155"/>
      <c r="GE4" s="155"/>
      <c r="GF4" s="155"/>
      <c r="GG4" s="155"/>
      <c r="GH4" s="156"/>
      <c r="GI4" s="154">
        <f t="shared" ref="GI4" si="8">GI5</f>
        <v>46111</v>
      </c>
      <c r="GJ4" s="155"/>
      <c r="GK4" s="155"/>
      <c r="GL4" s="155"/>
      <c r="GM4" s="155"/>
      <c r="GN4" s="155"/>
      <c r="GO4" s="156"/>
      <c r="GP4" s="154">
        <f t="shared" ref="GP4" si="9">GP5</f>
        <v>46118</v>
      </c>
      <c r="GQ4" s="155"/>
      <c r="GR4" s="155"/>
      <c r="GS4" s="155"/>
      <c r="GT4" s="155"/>
      <c r="GU4" s="155"/>
      <c r="GV4" s="156"/>
      <c r="GW4" s="154">
        <f t="shared" ref="GW4" si="10">GW5</f>
        <v>46125</v>
      </c>
      <c r="GX4" s="155"/>
      <c r="GY4" s="155"/>
      <c r="GZ4" s="155"/>
      <c r="HA4" s="155"/>
      <c r="HB4" s="155"/>
      <c r="HC4" s="156"/>
      <c r="HD4" s="154">
        <f t="shared" ref="HD4" si="11">HD5</f>
        <v>46132</v>
      </c>
      <c r="HE4" s="155"/>
      <c r="HF4" s="155"/>
      <c r="HG4" s="155"/>
      <c r="HH4" s="155"/>
      <c r="HI4" s="155"/>
      <c r="HJ4" s="156"/>
      <c r="HK4" s="154">
        <f t="shared" ref="HK4" si="12">HK5</f>
        <v>46139</v>
      </c>
      <c r="HL4" s="155"/>
      <c r="HM4" s="155"/>
      <c r="HN4" s="155"/>
      <c r="HO4" s="155"/>
      <c r="HP4" s="155"/>
      <c r="HQ4" s="156"/>
      <c r="HR4" s="154">
        <f t="shared" ref="HR4" si="13">HR5</f>
        <v>46146</v>
      </c>
      <c r="HS4" s="155"/>
      <c r="HT4" s="155"/>
      <c r="HU4" s="155"/>
      <c r="HV4" s="155"/>
      <c r="HW4" s="155"/>
      <c r="HX4" s="156"/>
      <c r="HY4" s="154">
        <f t="shared" ref="HY4" si="14">HY5</f>
        <v>46153</v>
      </c>
      <c r="HZ4" s="155"/>
      <c r="IA4" s="155"/>
      <c r="IB4" s="155"/>
      <c r="IC4" s="155"/>
      <c r="ID4" s="155"/>
      <c r="IE4" s="156"/>
    </row>
    <row r="5" spans="1:239" ht="15" customHeight="1">
      <c r="A5" s="33" t="s">
        <v>344</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345</v>
      </c>
      <c r="B6" s="8" t="s">
        <v>346</v>
      </c>
      <c r="C6" s="9" t="s">
        <v>347</v>
      </c>
      <c r="D6" s="9" t="s">
        <v>348</v>
      </c>
      <c r="E6" s="9" t="s">
        <v>349</v>
      </c>
      <c r="F6" s="9" t="s">
        <v>350</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351</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352</v>
      </c>
      <c r="B8" s="15" t="s">
        <v>353</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354</v>
      </c>
      <c r="B9" s="45" t="s">
        <v>355</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356</v>
      </c>
      <c r="B10" s="45" t="s">
        <v>17</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357</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358</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359</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360</v>
      </c>
      <c r="B16" s="18" t="s">
        <v>361</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355</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17</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358</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359</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362</v>
      </c>
      <c r="B23" s="21" t="s">
        <v>363</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355</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17</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358</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17</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359</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364</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365</v>
      </c>
      <c r="B31" s="24" t="s">
        <v>366</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6b1458c9d347ad15ca8fc7eeeb118ad">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085090ddecb5c3841dfe64c902cf320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53AF524-05AB-4EE6-AA5C-2B01F3B3D7F9}"/>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Igor Teixeira da Silva</cp:lastModifiedBy>
  <cp:revision/>
  <dcterms:created xsi:type="dcterms:W3CDTF">2021-12-14T20:18:50Z</dcterms:created>
  <dcterms:modified xsi:type="dcterms:W3CDTF">2025-11-03T11:35:00Z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