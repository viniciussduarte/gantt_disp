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filterPrivacy="1" updateLinks="always" codeName="EstaPastaDeTrabalho"/>
  <xr:revisionPtr revIDLastSave="4308" documentId="13_ncr:1_{8CB3FCBC-DACE-4BCA-A656-CE7D6185D885}" xr6:coauthVersionLast="47" xr6:coauthVersionMax="47" xr10:uidLastSave="{A03A1C72-44EA-46FC-A465-35334BDBC900}"/>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IED'!$A$1:$E$1010</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15" l="1"/>
  <c r="G79" i="15"/>
  <c r="G80" i="15"/>
  <c r="G81" i="15"/>
  <c r="G82" i="15"/>
  <c r="G83" i="15"/>
  <c r="G84" i="15"/>
  <c r="G85" i="15"/>
  <c r="G86" i="15"/>
  <c r="G87" i="15"/>
  <c r="G88" i="15"/>
  <c r="G89" i="15"/>
  <c r="G90" i="15"/>
  <c r="G91" i="15"/>
  <c r="G92" i="15"/>
  <c r="G93" i="15"/>
  <c r="G94" i="15"/>
  <c r="G95" i="15"/>
  <c r="G96" i="15"/>
  <c r="G97" i="15"/>
  <c r="G77" i="15"/>
  <c r="B322" i="11"/>
  <c r="B321" i="11"/>
  <c r="B320" i="11"/>
  <c r="B319" i="11"/>
  <c r="B318" i="11"/>
  <c r="B317" i="11"/>
  <c r="B316" i="11"/>
  <c r="B315" i="11"/>
  <c r="B314" i="11"/>
  <c r="B313" i="11"/>
  <c r="B312" i="11"/>
  <c r="B311" i="11"/>
  <c r="B304" i="11"/>
  <c r="D290" i="11"/>
  <c r="D151" i="11"/>
  <c r="B151" i="11"/>
  <c r="I151" i="11" s="1"/>
  <c r="D310" i="11"/>
  <c r="B310" i="11"/>
  <c r="H151" i="11" l="1"/>
  <c r="B271" i="11"/>
  <c r="D271" i="11"/>
  <c r="D264" i="11"/>
  <c r="D277" i="11"/>
  <c r="B286" i="11"/>
  <c r="B297" i="11"/>
  <c r="B255" i="11" l="1"/>
  <c r="H255" i="11" s="1"/>
  <c r="D255" i="11"/>
  <c r="B260" i="11"/>
  <c r="D260" i="11"/>
  <c r="B256" i="11"/>
  <c r="I256" i="11" s="1"/>
  <c r="D256" i="11"/>
  <c r="B299" i="11"/>
  <c r="D299" i="11"/>
  <c r="H85" i="15"/>
  <c r="H84" i="15"/>
  <c r="H83" i="15"/>
  <c r="H81" i="15"/>
  <c r="D11" i="11"/>
  <c r="H256" i="11" l="1"/>
  <c r="I255" i="11"/>
  <c r="D245" i="11"/>
  <c r="D234" i="11"/>
  <c r="D282" i="11"/>
  <c r="D239" i="11"/>
  <c r="D228" i="11"/>
  <c r="D237" i="11"/>
  <c r="D236" i="11"/>
  <c r="B200" i="11"/>
  <c r="H200" i="11" s="1"/>
  <c r="D200" i="11"/>
  <c r="D243" i="11"/>
  <c r="B243" i="11"/>
  <c r="D223" i="11"/>
  <c r="B223" i="11"/>
  <c r="D193" i="11"/>
  <c r="D213" i="11"/>
  <c r="D302" i="11"/>
  <c r="B302" i="11"/>
  <c r="I302" i="11" s="1"/>
  <c r="B247" i="11"/>
  <c r="H247" i="11" s="1"/>
  <c r="D291" i="11"/>
  <c r="H80" i="15" l="1"/>
  <c r="I200" i="11"/>
  <c r="I243" i="11"/>
  <c r="H243" i="11"/>
  <c r="I223" i="11"/>
  <c r="H223" i="11"/>
  <c r="I247" i="11"/>
  <c r="H302" i="11"/>
  <c r="D210" i="11"/>
  <c r="D202" i="11"/>
  <c r="D214" i="11"/>
  <c r="D188" i="11"/>
  <c r="D212" i="11"/>
  <c r="D218" i="11"/>
  <c r="B54" i="11"/>
  <c r="B242" i="11"/>
  <c r="B240" i="11"/>
  <c r="B99" i="11"/>
  <c r="B126" i="11"/>
  <c r="B128" i="11"/>
  <c r="D197" i="11"/>
  <c r="D146" i="11"/>
  <c r="D152" i="11"/>
  <c r="D153" i="11"/>
  <c r="D161" i="11"/>
  <c r="D156" i="11"/>
  <c r="D155" i="11"/>
  <c r="D157" i="11"/>
  <c r="D169" i="11"/>
  <c r="D162" i="11"/>
  <c r="D160" i="11"/>
  <c r="D163" i="11"/>
  <c r="D166" i="11"/>
  <c r="D173" i="11"/>
  <c r="D176" i="11"/>
  <c r="D184" i="11"/>
  <c r="D261" i="11"/>
  <c r="D279" i="11"/>
  <c r="D165" i="11"/>
  <c r="D170" i="11"/>
  <c r="D180" i="11"/>
  <c r="D172" i="11"/>
  <c r="D168" i="11"/>
  <c r="D171" i="11"/>
  <c r="D164" i="11"/>
  <c r="D167" i="11"/>
  <c r="D216" i="11"/>
  <c r="D198" i="11"/>
  <c r="D178" i="11"/>
  <c r="D207" i="11"/>
  <c r="D177" i="11"/>
  <c r="D179" i="11"/>
  <c r="D185" i="11"/>
  <c r="D204" i="11"/>
  <c r="D186" i="11"/>
  <c r="D206" i="11"/>
  <c r="D181" i="11"/>
  <c r="D195" i="11"/>
  <c r="D187" i="11"/>
  <c r="D205" i="11"/>
  <c r="D229" i="11"/>
  <c r="D183" i="11"/>
  <c r="D248" i="11"/>
  <c r="D191" i="11"/>
  <c r="D196" i="11"/>
  <c r="D189" i="11"/>
  <c r="H86" i="15" l="1"/>
  <c r="H79" i="15"/>
  <c r="H87" i="15"/>
  <c r="H78" i="15"/>
  <c r="H77" i="15"/>
  <c r="B181" i="11"/>
  <c r="B207" i="11"/>
  <c r="H207" i="11" s="1"/>
  <c r="B171" i="11"/>
  <c r="H171" i="11" s="1"/>
  <c r="B188" i="11"/>
  <c r="H188" i="11" s="1"/>
  <c r="B172" i="11"/>
  <c r="H172" i="11" s="1"/>
  <c r="B180" i="11"/>
  <c r="H180" i="11" s="1"/>
  <c r="B212" i="11"/>
  <c r="H212" i="11" s="1"/>
  <c r="H165" i="11"/>
  <c r="B170" i="11"/>
  <c r="H170" i="11" s="1"/>
  <c r="B261" i="11"/>
  <c r="H261" i="11" s="1"/>
  <c r="B279" i="11"/>
  <c r="H279" i="11" s="1"/>
  <c r="B184" i="11"/>
  <c r="H184" i="11" s="1"/>
  <c r="B163" i="11"/>
  <c r="B176" i="11"/>
  <c r="D174" i="11"/>
  <c r="D130" i="11"/>
  <c r="I207" i="11" l="1"/>
  <c r="I171" i="11"/>
  <c r="I261" i="11"/>
  <c r="I188" i="11"/>
  <c r="I279" i="11"/>
  <c r="I172" i="11"/>
  <c r="I170" i="11"/>
  <c r="I180" i="11"/>
  <c r="I165" i="11"/>
  <c r="I212" i="11"/>
  <c r="I184" i="11"/>
  <c r="B22" i="11"/>
  <c r="H22" i="11" s="1"/>
  <c r="D22" i="11"/>
  <c r="B2" i="11"/>
  <c r="I2" i="11" s="1"/>
  <c r="D2" i="11"/>
  <c r="B23" i="11"/>
  <c r="H23" i="11" s="1"/>
  <c r="J33" i="15"/>
  <c r="B40" i="11"/>
  <c r="I40" i="11" s="1"/>
  <c r="D40" i="11"/>
  <c r="D66" i="11"/>
  <c r="D80" i="11"/>
  <c r="D79" i="11"/>
  <c r="D92" i="11"/>
  <c r="D65" i="11"/>
  <c r="D240" i="11"/>
  <c r="B80" i="11"/>
  <c r="H80" i="11" s="1"/>
  <c r="D5" i="11"/>
  <c r="B5" i="11"/>
  <c r="H5" i="11" s="1"/>
  <c r="B8" i="11"/>
  <c r="H8" i="11" s="1"/>
  <c r="B7" i="11"/>
  <c r="I7" i="11" s="1"/>
  <c r="D7" i="11"/>
  <c r="D8" i="11"/>
  <c r="B59" i="11"/>
  <c r="I59" i="11" s="1"/>
  <c r="D59" i="11"/>
  <c r="D159" i="11"/>
  <c r="H95" i="15" l="1"/>
  <c r="I22" i="11"/>
  <c r="H2" i="11"/>
  <c r="I23" i="11"/>
  <c r="H40" i="11"/>
  <c r="I80" i="11"/>
  <c r="I5" i="11"/>
  <c r="I8" i="11"/>
  <c r="H7" i="11"/>
  <c r="H59" i="11"/>
  <c r="D145" i="11"/>
  <c r="B145" i="11"/>
  <c r="I145" i="11" s="1"/>
  <c r="D78" i="11"/>
  <c r="B78" i="11"/>
  <c r="H78" i="11" s="1"/>
  <c r="B37" i="11"/>
  <c r="I37" i="11" s="1"/>
  <c r="D37" i="11"/>
  <c r="B41" i="11"/>
  <c r="I41" i="11" s="1"/>
  <c r="D41" i="11"/>
  <c r="B79" i="11"/>
  <c r="I79" i="11" s="1"/>
  <c r="B18" i="11"/>
  <c r="I18" i="11" s="1"/>
  <c r="D18" i="11"/>
  <c r="D58" i="11"/>
  <c r="B58" i="11"/>
  <c r="I58" i="11" s="1"/>
  <c r="D209" i="11"/>
  <c r="B209" i="11"/>
  <c r="I209" i="11" s="1"/>
  <c r="H88" i="15" l="1"/>
  <c r="I78" i="11"/>
  <c r="H145" i="11"/>
  <c r="H37" i="11"/>
  <c r="H41" i="11"/>
  <c r="H79" i="11"/>
  <c r="H18" i="11"/>
  <c r="H58" i="11"/>
  <c r="H209" i="11"/>
  <c r="D158" i="11" l="1"/>
  <c r="B158" i="11"/>
  <c r="H158" i="11" s="1"/>
  <c r="B125" i="11"/>
  <c r="I125" i="11" s="1"/>
  <c r="D124" i="11"/>
  <c r="B124" i="11"/>
  <c r="I240" i="11"/>
  <c r="I99" i="11"/>
  <c r="I96" i="11"/>
  <c r="I126" i="11"/>
  <c r="I128" i="11"/>
  <c r="I1009"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0" i="11"/>
  <c r="H99" i="11"/>
  <c r="H96" i="11"/>
  <c r="H126" i="11"/>
  <c r="H128" i="11"/>
  <c r="H1009" i="11"/>
  <c r="D113" i="11"/>
  <c r="D107" i="11"/>
  <c r="B120" i="11"/>
  <c r="B109" i="11"/>
  <c r="D98" i="11"/>
  <c r="B98" i="11"/>
  <c r="D105" i="11"/>
  <c r="B105" i="11"/>
  <c r="B116" i="11"/>
  <c r="D116" i="11"/>
  <c r="D141" i="11"/>
  <c r="D148" i="11"/>
  <c r="B141" i="11"/>
  <c r="I158" i="11" l="1"/>
  <c r="H125" i="11"/>
  <c r="H141" i="11"/>
  <c r="I141" i="11"/>
  <c r="H116" i="11"/>
  <c r="I116" i="11"/>
  <c r="H105" i="11"/>
  <c r="I105" i="11"/>
  <c r="H98" i="11"/>
  <c r="I98" i="11"/>
  <c r="H109" i="11"/>
  <c r="I109" i="11"/>
  <c r="H120" i="11"/>
  <c r="I120" i="11"/>
  <c r="D83" i="11"/>
  <c r="D119" i="11"/>
  <c r="D95" i="11"/>
  <c r="B95" i="11"/>
  <c r="D135" i="11"/>
  <c r="B130" i="11"/>
  <c r="D182" i="11"/>
  <c r="D88" i="11"/>
  <c r="D87" i="11"/>
  <c r="B85" i="11"/>
  <c r="D85" i="11"/>
  <c r="H85" i="11" l="1"/>
  <c r="I85" i="11"/>
  <c r="H130" i="11"/>
  <c r="I130" i="11"/>
  <c r="H95" i="11"/>
  <c r="I95" i="11"/>
  <c r="D1009" i="11"/>
  <c r="D77" i="11"/>
  <c r="B72" i="11"/>
  <c r="D72" i="11"/>
  <c r="D93" i="11"/>
  <c r="B92" i="11"/>
  <c r="I92" i="11" l="1"/>
  <c r="H92" i="11"/>
  <c r="H72" i="11"/>
  <c r="I72" i="11"/>
  <c r="D137" i="11"/>
  <c r="D138" i="11"/>
  <c r="D125" i="11"/>
  <c r="D154" i="11"/>
  <c r="D84" i="11"/>
  <c r="D90" i="11"/>
  <c r="D4" i="11"/>
  <c r="D91" i="11"/>
  <c r="D190" i="11"/>
  <c r="D194" i="11"/>
  <c r="D242" i="11"/>
  <c r="D201" i="11"/>
  <c r="D221" i="11"/>
  <c r="D203" i="11"/>
  <c r="D208" i="11"/>
  <c r="D274" i="11"/>
  <c r="D211" i="11"/>
  <c r="D232" i="11"/>
  <c r="D225" i="11"/>
  <c r="D217" i="11"/>
  <c r="D215" i="11"/>
  <c r="D227" i="11"/>
  <c r="D222" i="11"/>
  <c r="D226" i="11"/>
  <c r="D252" i="11"/>
  <c r="D220" i="11"/>
  <c r="D230" i="11"/>
  <c r="D244" i="11"/>
  <c r="D294" i="11"/>
  <c r="D238" i="11"/>
  <c r="D233" i="11"/>
  <c r="D283" i="11"/>
  <c r="D298" i="11"/>
  <c r="D307" i="11"/>
  <c r="D249" i="11"/>
  <c r="D275" i="11"/>
  <c r="D250" i="11"/>
  <c r="D231" i="11"/>
  <c r="D258" i="11"/>
  <c r="D106" i="11"/>
  <c r="D251" i="11"/>
  <c r="D254" i="11"/>
  <c r="D265" i="11"/>
  <c r="D278" i="11"/>
  <c r="D235" i="11"/>
  <c r="D246" i="11"/>
  <c r="D266" i="11"/>
  <c r="D259" i="11"/>
  <c r="D257" i="11"/>
  <c r="D268" i="11"/>
  <c r="D280" i="11"/>
  <c r="D288" i="11"/>
  <c r="D295" i="11"/>
  <c r="D300" i="11"/>
  <c r="D263" i="11"/>
  <c r="D269" i="11"/>
  <c r="D281" i="11"/>
  <c r="D286" i="11"/>
  <c r="D297" i="11"/>
  <c r="D270" i="11"/>
  <c r="D276" i="11"/>
  <c r="D273" i="11"/>
  <c r="D287" i="11"/>
  <c r="D284" i="11"/>
  <c r="D301" i="11"/>
  <c r="D289" i="11"/>
  <c r="D293" i="11"/>
  <c r="D303" i="11"/>
  <c r="D292" i="11"/>
  <c r="D304" i="11"/>
  <c r="D311" i="11"/>
  <c r="D312" i="11"/>
  <c r="D315" i="11"/>
  <c r="D316" i="11"/>
  <c r="D317" i="11"/>
  <c r="D318" i="11"/>
  <c r="D319" i="11"/>
  <c r="D320" i="11"/>
  <c r="D321" i="11"/>
  <c r="D322"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15" i="11"/>
  <c r="D131" i="11"/>
  <c r="D136" i="11"/>
  <c r="D6" i="11"/>
  <c r="D9" i="11"/>
  <c r="D10" i="11"/>
  <c r="D12" i="11"/>
  <c r="D13" i="11"/>
  <c r="D14" i="11"/>
  <c r="D15" i="11"/>
  <c r="D16" i="11"/>
  <c r="D17" i="11"/>
  <c r="D19" i="11"/>
  <c r="D20" i="11"/>
  <c r="D21" i="11"/>
  <c r="D24" i="11"/>
  <c r="D25" i="11"/>
  <c r="D26" i="11"/>
  <c r="D27" i="11"/>
  <c r="D28" i="11"/>
  <c r="D29" i="11"/>
  <c r="D68" i="11"/>
  <c r="D30" i="11"/>
  <c r="D31" i="11"/>
  <c r="D32" i="11"/>
  <c r="D33" i="11"/>
  <c r="D34" i="11"/>
  <c r="D35" i="11"/>
  <c r="D36" i="11"/>
  <c r="D42" i="11"/>
  <c r="D43" i="11"/>
  <c r="D45" i="11"/>
  <c r="D69" i="11"/>
  <c r="D52" i="11"/>
  <c r="D53" i="11"/>
  <c r="D39" i="11"/>
  <c r="D70" i="11"/>
  <c r="D54" i="11"/>
  <c r="D55" i="11"/>
  <c r="D62" i="11"/>
  <c r="D71" i="11"/>
  <c r="D63" i="11"/>
  <c r="D64" i="11"/>
  <c r="D73" i="11"/>
  <c r="D74" i="11"/>
  <c r="D75" i="11"/>
  <c r="D38" i="11"/>
  <c r="D46" i="11"/>
  <c r="D61" i="11"/>
  <c r="D47" i="11"/>
  <c r="D48" i="11"/>
  <c r="D56" i="11"/>
  <c r="D57" i="11"/>
  <c r="D49" i="11"/>
  <c r="D76" i="11"/>
  <c r="D44" i="11"/>
  <c r="D50" i="11"/>
  <c r="D51" i="11"/>
  <c r="D60" i="11"/>
  <c r="D241" i="11"/>
  <c r="D108" i="11"/>
  <c r="D122" i="11"/>
  <c r="D81" i="11"/>
  <c r="D123" i="11"/>
  <c r="D143" i="11"/>
  <c r="D82" i="11"/>
  <c r="D86" i="11"/>
  <c r="D94" i="11"/>
  <c r="D144" i="11"/>
  <c r="D192" i="11"/>
  <c r="D117" i="11"/>
  <c r="D118" i="11"/>
  <c r="D132" i="11"/>
  <c r="D134" i="11"/>
  <c r="D140" i="11"/>
  <c r="D147" i="11"/>
  <c r="D103" i="11"/>
  <c r="D100" i="11"/>
  <c r="D101" i="11"/>
  <c r="D102" i="11"/>
  <c r="D110" i="11"/>
  <c r="D111" i="11"/>
  <c r="D104" i="11"/>
  <c r="D3" i="11"/>
  <c r="B6" i="11"/>
  <c r="B9" i="11"/>
  <c r="B11" i="11"/>
  <c r="B10" i="11"/>
  <c r="B12" i="11"/>
  <c r="B13" i="11"/>
  <c r="B14" i="11"/>
  <c r="B15" i="11"/>
  <c r="B16" i="11"/>
  <c r="B17" i="11"/>
  <c r="B19" i="11"/>
  <c r="B20" i="11"/>
  <c r="B21" i="11"/>
  <c r="B24" i="11"/>
  <c r="B25" i="11"/>
  <c r="B26" i="11"/>
  <c r="B27" i="11"/>
  <c r="B28" i="11"/>
  <c r="B29" i="11"/>
  <c r="B68" i="11"/>
  <c r="B30" i="11"/>
  <c r="B31" i="11"/>
  <c r="B32" i="11"/>
  <c r="B33" i="11"/>
  <c r="B34" i="11"/>
  <c r="B35" i="11"/>
  <c r="B36" i="11"/>
  <c r="B42" i="11"/>
  <c r="B43" i="11"/>
  <c r="B45" i="11"/>
  <c r="B69" i="11"/>
  <c r="B52" i="11"/>
  <c r="B53" i="11"/>
  <c r="B39" i="11"/>
  <c r="B70" i="11"/>
  <c r="B55" i="11"/>
  <c r="B62" i="11"/>
  <c r="B71" i="11"/>
  <c r="B63" i="11"/>
  <c r="B64" i="11"/>
  <c r="B73" i="11"/>
  <c r="B74" i="11"/>
  <c r="B75" i="11"/>
  <c r="B38" i="11"/>
  <c r="B46" i="11"/>
  <c r="B61" i="11"/>
  <c r="B47" i="11"/>
  <c r="B48" i="11"/>
  <c r="B56" i="11"/>
  <c r="B57" i="11"/>
  <c r="B49" i="11"/>
  <c r="B76" i="11"/>
  <c r="B44" i="11"/>
  <c r="B50" i="11"/>
  <c r="B51" i="11"/>
  <c r="B60" i="11"/>
  <c r="B182" i="11"/>
  <c r="B66" i="11"/>
  <c r="B65" i="11"/>
  <c r="B241" i="11"/>
  <c r="B174" i="11"/>
  <c r="B67" i="11"/>
  <c r="B175" i="11"/>
  <c r="B108" i="11"/>
  <c r="B93" i="11"/>
  <c r="B77" i="11"/>
  <c r="B122" i="11"/>
  <c r="B81" i="11"/>
  <c r="B123" i="11"/>
  <c r="B143" i="11"/>
  <c r="B82" i="11"/>
  <c r="B83" i="11"/>
  <c r="B86" i="11"/>
  <c r="B87" i="11"/>
  <c r="B88" i="11"/>
  <c r="B94" i="11"/>
  <c r="B144" i="11"/>
  <c r="B135" i="11"/>
  <c r="B192" i="11"/>
  <c r="B97" i="11"/>
  <c r="B89" i="11"/>
  <c r="B117" i="11"/>
  <c r="B118" i="11"/>
  <c r="B132" i="11"/>
  <c r="B133" i="11"/>
  <c r="B119" i="11"/>
  <c r="B134" i="11"/>
  <c r="B140" i="11"/>
  <c r="B147" i="11"/>
  <c r="B129" i="11"/>
  <c r="B103" i="11"/>
  <c r="B100" i="11"/>
  <c r="B101" i="11"/>
  <c r="B148" i="11"/>
  <c r="B102" i="11"/>
  <c r="B149" i="11"/>
  <c r="B121" i="11"/>
  <c r="B127" i="11"/>
  <c r="B110" i="11"/>
  <c r="B111" i="11"/>
  <c r="B112" i="11"/>
  <c r="B113" i="11"/>
  <c r="B104" i="11"/>
  <c r="B107" i="11"/>
  <c r="B114" i="11"/>
  <c r="B142" i="11"/>
  <c r="B150" i="11"/>
  <c r="B115" i="11"/>
  <c r="B131" i="11"/>
  <c r="B136" i="11"/>
  <c r="B139" i="11"/>
  <c r="B137" i="11"/>
  <c r="B138" i="11"/>
  <c r="B159" i="11"/>
  <c r="B154" i="11"/>
  <c r="B84" i="11"/>
  <c r="B90" i="11"/>
  <c r="B4" i="11"/>
  <c r="B91" i="11"/>
  <c r="B146" i="11"/>
  <c r="B152" i="11"/>
  <c r="B153" i="11"/>
  <c r="B161" i="11"/>
  <c r="B156" i="11"/>
  <c r="B155" i="11"/>
  <c r="B157" i="11"/>
  <c r="B169" i="11"/>
  <c r="B162" i="11"/>
  <c r="B160" i="11"/>
  <c r="B166" i="11"/>
  <c r="B173" i="11"/>
  <c r="B164" i="11"/>
  <c r="B167" i="11"/>
  <c r="B202" i="11"/>
  <c r="B216" i="11"/>
  <c r="B198" i="11"/>
  <c r="B178" i="11"/>
  <c r="B177" i="11"/>
  <c r="B179" i="11"/>
  <c r="B185" i="11"/>
  <c r="B204" i="11"/>
  <c r="B186" i="11"/>
  <c r="B206" i="11"/>
  <c r="B187" i="11"/>
  <c r="H187" i="11" s="1"/>
  <c r="B205" i="11"/>
  <c r="B229" i="11"/>
  <c r="B183" i="11"/>
  <c r="B248" i="11"/>
  <c r="B191" i="11"/>
  <c r="B196" i="11"/>
  <c r="B189" i="11"/>
  <c r="B190" i="11"/>
  <c r="B197" i="11"/>
  <c r="B214" i="11"/>
  <c r="B194" i="11"/>
  <c r="B199" i="11"/>
  <c r="B201" i="11"/>
  <c r="B218" i="11"/>
  <c r="B221" i="11"/>
  <c r="B193" i="11"/>
  <c r="B203" i="11"/>
  <c r="B210" i="11"/>
  <c r="B208" i="11"/>
  <c r="B274" i="11"/>
  <c r="B291" i="11"/>
  <c r="B224" i="11"/>
  <c r="B306" i="11"/>
  <c r="B308" i="11"/>
  <c r="B219" i="11"/>
  <c r="B232" i="11"/>
  <c r="B213" i="11"/>
  <c r="B225" i="11"/>
  <c r="B217" i="11"/>
  <c r="B215" i="11"/>
  <c r="B227" i="11"/>
  <c r="B222" i="11"/>
  <c r="B226" i="11"/>
  <c r="B252" i="11"/>
  <c r="B220" i="11"/>
  <c r="B230" i="11"/>
  <c r="B236" i="11"/>
  <c r="B228" i="11"/>
  <c r="B239" i="11"/>
  <c r="B237" i="11"/>
  <c r="B244" i="11"/>
  <c r="B294" i="11"/>
  <c r="B238" i="11"/>
  <c r="B233" i="11"/>
  <c r="B282" i="11"/>
  <c r="B234" i="11"/>
  <c r="B283" i="11"/>
  <c r="B298" i="11"/>
  <c r="B307" i="11"/>
  <c r="B249" i="11"/>
  <c r="B275" i="11"/>
  <c r="B250" i="11"/>
  <c r="B231" i="11"/>
  <c r="B258" i="11"/>
  <c r="B106" i="11"/>
  <c r="B251" i="11"/>
  <c r="B254" i="11"/>
  <c r="B265" i="11"/>
  <c r="B278" i="11"/>
  <c r="B235" i="11"/>
  <c r="B246" i="11"/>
  <c r="B266" i="11"/>
  <c r="B259" i="11"/>
  <c r="B253" i="11"/>
  <c r="B272" i="11"/>
  <c r="B257" i="11"/>
  <c r="B267" i="11"/>
  <c r="B262" i="11"/>
  <c r="B268" i="11"/>
  <c r="B280" i="11"/>
  <c r="B288" i="11"/>
  <c r="B295" i="11"/>
  <c r="B300" i="11"/>
  <c r="B263" i="11"/>
  <c r="B269" i="11"/>
  <c r="B281" i="11"/>
  <c r="B276" i="11"/>
  <c r="B273" i="11"/>
  <c r="B277" i="11"/>
  <c r="B264" i="11"/>
  <c r="B287" i="11"/>
  <c r="B284" i="11"/>
  <c r="B301" i="11"/>
  <c r="B289" i="11"/>
  <c r="B290" i="11"/>
  <c r="B285" i="11"/>
  <c r="B296" i="11"/>
  <c r="B293" i="11"/>
  <c r="B303"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96" i="15" l="1"/>
  <c r="H91" i="15"/>
  <c r="H97" i="15"/>
  <c r="H82" i="15"/>
  <c r="H89" i="15"/>
  <c r="H93" i="15"/>
  <c r="H94" i="15"/>
  <c r="H92" i="15"/>
  <c r="H90" i="15"/>
  <c r="H3" i="11"/>
  <c r="I3"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04" i="11"/>
  <c r="I304" i="11"/>
  <c r="H292" i="11"/>
  <c r="I292" i="11"/>
  <c r="H303" i="11"/>
  <c r="I303" i="11"/>
  <c r="H293" i="11"/>
  <c r="I293" i="11"/>
  <c r="H296" i="11"/>
  <c r="I296" i="11"/>
  <c r="H285" i="11"/>
  <c r="I285" i="11"/>
  <c r="H290" i="11"/>
  <c r="I290" i="11"/>
  <c r="H289" i="11"/>
  <c r="I289" i="11"/>
  <c r="H301" i="11"/>
  <c r="I301" i="11"/>
  <c r="H284" i="11"/>
  <c r="I284" i="11"/>
  <c r="H287" i="11"/>
  <c r="I287" i="11"/>
  <c r="H310" i="11"/>
  <c r="I310" i="11"/>
  <c r="H271" i="11"/>
  <c r="I271" i="11"/>
  <c r="H264" i="11"/>
  <c r="I264" i="11"/>
  <c r="H277" i="11"/>
  <c r="I277" i="11"/>
  <c r="H273" i="11"/>
  <c r="I273" i="11"/>
  <c r="H276" i="11"/>
  <c r="I276" i="11"/>
  <c r="H270" i="11"/>
  <c r="I270" i="11"/>
  <c r="H297" i="11"/>
  <c r="I297" i="11"/>
  <c r="H286" i="11"/>
  <c r="I286" i="11"/>
  <c r="H281" i="11"/>
  <c r="I281" i="11"/>
  <c r="H269" i="11"/>
  <c r="I269" i="11"/>
  <c r="H263" i="11"/>
  <c r="I263" i="11"/>
  <c r="H300" i="11"/>
  <c r="I300" i="11"/>
  <c r="H295" i="11"/>
  <c r="I295" i="11"/>
  <c r="H288" i="11"/>
  <c r="I288" i="11"/>
  <c r="H280" i="11"/>
  <c r="I280" i="11"/>
  <c r="H268" i="11"/>
  <c r="I268" i="11"/>
  <c r="H262" i="11"/>
  <c r="I262" i="11"/>
  <c r="H267" i="11"/>
  <c r="I267" i="11"/>
  <c r="H257" i="11"/>
  <c r="I257" i="11"/>
  <c r="H272" i="11"/>
  <c r="I272" i="11"/>
  <c r="H253" i="11"/>
  <c r="I253" i="11"/>
  <c r="H260" i="11"/>
  <c r="I260" i="11"/>
  <c r="H259" i="11"/>
  <c r="I259" i="11"/>
  <c r="H266" i="11"/>
  <c r="I266" i="11"/>
  <c r="H246" i="11"/>
  <c r="I246" i="11"/>
  <c r="H235" i="11"/>
  <c r="I235" i="11"/>
  <c r="H278" i="11"/>
  <c r="I278" i="11"/>
  <c r="H265" i="11"/>
  <c r="I265" i="11"/>
  <c r="H254" i="11"/>
  <c r="I254" i="11"/>
  <c r="H251" i="11"/>
  <c r="I251" i="11"/>
  <c r="H106" i="11"/>
  <c r="I106" i="11"/>
  <c r="H258" i="11"/>
  <c r="I258" i="11"/>
  <c r="H231" i="11"/>
  <c r="I231" i="11"/>
  <c r="H250" i="11"/>
  <c r="I250" i="11"/>
  <c r="H275" i="11"/>
  <c r="I275" i="11"/>
  <c r="H249" i="11"/>
  <c r="I249" i="11"/>
  <c r="H307" i="11"/>
  <c r="I307" i="11"/>
  <c r="H298" i="11"/>
  <c r="I298" i="11"/>
  <c r="H299" i="11"/>
  <c r="I299" i="11"/>
  <c r="H245" i="11"/>
  <c r="I245" i="11"/>
  <c r="H283" i="11"/>
  <c r="I283" i="11"/>
  <c r="H234" i="11"/>
  <c r="I234" i="11"/>
  <c r="H282" i="11"/>
  <c r="I282" i="11"/>
  <c r="H233" i="11"/>
  <c r="I233" i="11"/>
  <c r="H238" i="11"/>
  <c r="I238" i="11"/>
  <c r="H294" i="11"/>
  <c r="I294" i="11"/>
  <c r="H244" i="11"/>
  <c r="I244" i="11"/>
  <c r="H237" i="11"/>
  <c r="I237" i="11"/>
  <c r="H239" i="11"/>
  <c r="I239" i="11"/>
  <c r="H228" i="11"/>
  <c r="I228" i="11"/>
  <c r="H236" i="11"/>
  <c r="I236" i="11"/>
  <c r="H230" i="11"/>
  <c r="I230" i="11"/>
  <c r="H220" i="11"/>
  <c r="I220" i="11"/>
  <c r="H252" i="11"/>
  <c r="I252" i="11"/>
  <c r="H226" i="11"/>
  <c r="I226" i="11"/>
  <c r="H222" i="11"/>
  <c r="I222" i="11"/>
  <c r="H227" i="11"/>
  <c r="I227" i="11"/>
  <c r="H215" i="11"/>
  <c r="I215" i="11"/>
  <c r="H217" i="11"/>
  <c r="I217" i="11"/>
  <c r="H225" i="11"/>
  <c r="I225" i="11"/>
  <c r="H213" i="11"/>
  <c r="I213" i="11"/>
  <c r="H232" i="11"/>
  <c r="I232" i="11"/>
  <c r="H219" i="11"/>
  <c r="I219" i="11"/>
  <c r="H308" i="11"/>
  <c r="I308" i="11"/>
  <c r="H306" i="11"/>
  <c r="I306" i="11"/>
  <c r="H211" i="11"/>
  <c r="I211" i="11"/>
  <c r="H224" i="11"/>
  <c r="I224" i="11"/>
  <c r="H291" i="11"/>
  <c r="I291" i="11"/>
  <c r="H274" i="11"/>
  <c r="I274" i="11"/>
  <c r="H208" i="11"/>
  <c r="I208" i="11"/>
  <c r="H210" i="11"/>
  <c r="I210" i="11"/>
  <c r="H203" i="11"/>
  <c r="I203" i="11"/>
  <c r="H193" i="11"/>
  <c r="I193" i="11"/>
  <c r="H221" i="11"/>
  <c r="I221" i="11"/>
  <c r="H218" i="11"/>
  <c r="I218" i="11"/>
  <c r="H201" i="11"/>
  <c r="I201" i="11"/>
  <c r="H199" i="11"/>
  <c r="I199" i="11"/>
  <c r="H242" i="11"/>
  <c r="I242" i="11"/>
  <c r="H194" i="11"/>
  <c r="I194" i="11"/>
  <c r="H214" i="11"/>
  <c r="I214" i="11"/>
  <c r="H197" i="11"/>
  <c r="I197" i="11"/>
  <c r="H190" i="11"/>
  <c r="I190" i="11"/>
  <c r="H189" i="11"/>
  <c r="I189" i="11"/>
  <c r="H196" i="11"/>
  <c r="I196" i="11"/>
  <c r="H191" i="11"/>
  <c r="I191" i="11"/>
  <c r="H248" i="11"/>
  <c r="I248" i="11"/>
  <c r="H183" i="11"/>
  <c r="I183" i="11"/>
  <c r="H229" i="11"/>
  <c r="I229" i="11"/>
  <c r="H205" i="11"/>
  <c r="I205" i="11"/>
  <c r="I187" i="11"/>
  <c r="H195" i="11"/>
  <c r="I195" i="11"/>
  <c r="H181" i="11"/>
  <c r="I181" i="11"/>
  <c r="H206" i="11"/>
  <c r="I206" i="11"/>
  <c r="H186" i="11"/>
  <c r="I186" i="11"/>
  <c r="H204" i="11"/>
  <c r="I204" i="11"/>
  <c r="H185" i="11"/>
  <c r="I185" i="11"/>
  <c r="H179" i="11"/>
  <c r="I179" i="11"/>
  <c r="H177" i="11"/>
  <c r="I177" i="11"/>
  <c r="H178" i="11"/>
  <c r="I178" i="11"/>
  <c r="H198" i="11"/>
  <c r="I198" i="11"/>
  <c r="H216" i="11"/>
  <c r="I216" i="11"/>
  <c r="H202" i="11"/>
  <c r="I202" i="11"/>
  <c r="H167" i="11"/>
  <c r="I167" i="11"/>
  <c r="H164" i="11"/>
  <c r="I164" i="11"/>
  <c r="H168" i="11"/>
  <c r="I168" i="11"/>
  <c r="H173" i="11"/>
  <c r="I173" i="11"/>
  <c r="H166" i="11"/>
  <c r="I166" i="11"/>
  <c r="H176" i="11"/>
  <c r="I176" i="11"/>
  <c r="H163" i="11"/>
  <c r="I163" i="11"/>
  <c r="H160" i="11"/>
  <c r="I160" i="11"/>
  <c r="H162" i="11"/>
  <c r="I162" i="11"/>
  <c r="H169" i="11"/>
  <c r="I169" i="11"/>
  <c r="H157" i="11"/>
  <c r="I157" i="11"/>
  <c r="H155" i="11"/>
  <c r="I155" i="11"/>
  <c r="H156" i="11"/>
  <c r="I156" i="11"/>
  <c r="H161" i="11"/>
  <c r="I161" i="11"/>
  <c r="H153" i="11"/>
  <c r="I153" i="11"/>
  <c r="H152" i="11"/>
  <c r="I152" i="11"/>
  <c r="H146" i="11"/>
  <c r="I146" i="11"/>
  <c r="H91" i="11"/>
  <c r="I91" i="11"/>
  <c r="H4" i="11"/>
  <c r="I4" i="11"/>
  <c r="H90" i="11"/>
  <c r="I90" i="11"/>
  <c r="H84" i="11"/>
  <c r="I84" i="11"/>
  <c r="H154" i="11"/>
  <c r="I154" i="11"/>
  <c r="H159" i="11"/>
  <c r="I159" i="11"/>
  <c r="H138" i="11"/>
  <c r="I138" i="11"/>
  <c r="H137" i="11"/>
  <c r="I137" i="11"/>
  <c r="H139" i="11"/>
  <c r="I139" i="11"/>
  <c r="H136" i="11"/>
  <c r="I136" i="11"/>
  <c r="H131" i="11"/>
  <c r="I131" i="11"/>
  <c r="H124" i="11"/>
  <c r="I124" i="11"/>
  <c r="H115" i="11"/>
  <c r="I115" i="11"/>
  <c r="H150" i="11"/>
  <c r="I150" i="11"/>
  <c r="H142" i="11"/>
  <c r="I142" i="11"/>
  <c r="H114" i="11"/>
  <c r="I114" i="11"/>
  <c r="H107" i="11"/>
  <c r="I107" i="11"/>
  <c r="H104" i="11"/>
  <c r="I104" i="11"/>
  <c r="H113" i="11"/>
  <c r="I113" i="11"/>
  <c r="H112" i="11"/>
  <c r="I112" i="11"/>
  <c r="H111" i="11"/>
  <c r="I111" i="11"/>
  <c r="H110" i="11"/>
  <c r="I110" i="11"/>
  <c r="H127" i="11"/>
  <c r="I127" i="11"/>
  <c r="H121" i="11"/>
  <c r="I121" i="11"/>
  <c r="H149" i="11"/>
  <c r="I149" i="11"/>
  <c r="H102" i="11"/>
  <c r="I102" i="11"/>
  <c r="H148" i="11"/>
  <c r="I148" i="11"/>
  <c r="H101" i="11"/>
  <c r="I101" i="11"/>
  <c r="H100" i="11"/>
  <c r="I100" i="11"/>
  <c r="H103" i="11"/>
  <c r="I103" i="11"/>
  <c r="H129" i="11"/>
  <c r="I129" i="11"/>
  <c r="H147" i="11"/>
  <c r="I147" i="11"/>
  <c r="H140" i="11"/>
  <c r="I140" i="11"/>
  <c r="H134" i="11"/>
  <c r="I134" i="11"/>
  <c r="H119" i="11"/>
  <c r="I119" i="11"/>
  <c r="H133" i="11"/>
  <c r="I133" i="11"/>
  <c r="H132" i="11"/>
  <c r="I132" i="11"/>
  <c r="H118" i="11"/>
  <c r="I118" i="11"/>
  <c r="H117" i="11"/>
  <c r="I117" i="11"/>
  <c r="H89" i="11"/>
  <c r="I89" i="11"/>
  <c r="H97" i="11"/>
  <c r="I97" i="11"/>
  <c r="H192" i="11"/>
  <c r="I192" i="11"/>
  <c r="H135" i="11"/>
  <c r="I135" i="11"/>
  <c r="H144" i="11"/>
  <c r="I144" i="11"/>
  <c r="H94" i="11"/>
  <c r="I94" i="11"/>
  <c r="H88" i="11"/>
  <c r="I88" i="11"/>
  <c r="H87" i="11"/>
  <c r="I87" i="11"/>
  <c r="H86" i="11"/>
  <c r="I86" i="11"/>
  <c r="H83" i="11"/>
  <c r="I83" i="11"/>
  <c r="H82" i="11"/>
  <c r="I82" i="11"/>
  <c r="H143" i="11"/>
  <c r="I143" i="11"/>
  <c r="H123" i="11"/>
  <c r="I123" i="11"/>
  <c r="H81" i="11"/>
  <c r="I81" i="11"/>
  <c r="H122" i="11"/>
  <c r="I122" i="11"/>
  <c r="H77" i="11"/>
  <c r="I77" i="11"/>
  <c r="H93" i="11"/>
  <c r="I93" i="11"/>
  <c r="H108" i="11"/>
  <c r="I108" i="11"/>
  <c r="H175" i="11"/>
  <c r="I175" i="11"/>
  <c r="H67" i="11"/>
  <c r="I67" i="11"/>
  <c r="H174" i="11"/>
  <c r="I174" i="11"/>
  <c r="H241" i="11"/>
  <c r="I241" i="11"/>
  <c r="H65" i="11"/>
  <c r="I65" i="11"/>
  <c r="H66" i="11"/>
  <c r="I66" i="11"/>
  <c r="H182" i="11"/>
  <c r="I182" i="11"/>
  <c r="H60" i="11"/>
  <c r="I60" i="11"/>
  <c r="H51" i="11"/>
  <c r="I51" i="11"/>
  <c r="H50" i="11"/>
  <c r="I50" i="11"/>
  <c r="H44" i="11"/>
  <c r="I44" i="11"/>
  <c r="H76" i="11"/>
  <c r="I76" i="11"/>
  <c r="H49" i="11"/>
  <c r="I49" i="11"/>
  <c r="H57" i="11"/>
  <c r="I57" i="11"/>
  <c r="H56" i="11"/>
  <c r="I56" i="11"/>
  <c r="H48" i="11"/>
  <c r="I48" i="11"/>
  <c r="H47" i="11"/>
  <c r="I47" i="11"/>
  <c r="H61" i="11"/>
  <c r="I61" i="11"/>
  <c r="H46" i="11"/>
  <c r="I46" i="11"/>
  <c r="H38" i="11"/>
  <c r="I38" i="11"/>
  <c r="H75" i="11"/>
  <c r="I75" i="11"/>
  <c r="H74" i="11"/>
  <c r="I74" i="11"/>
  <c r="H73" i="11"/>
  <c r="I73" i="11"/>
  <c r="H64" i="11"/>
  <c r="I64" i="11"/>
  <c r="H63" i="11"/>
  <c r="I63" i="11"/>
  <c r="H71" i="11"/>
  <c r="I71" i="11"/>
  <c r="H62" i="11"/>
  <c r="I62" i="11"/>
  <c r="H55" i="11"/>
  <c r="I55" i="11"/>
  <c r="H54" i="11"/>
  <c r="I54" i="11"/>
  <c r="H70" i="11"/>
  <c r="I70" i="11"/>
  <c r="H39" i="11"/>
  <c r="I39" i="11"/>
  <c r="H53" i="11"/>
  <c r="I53" i="11"/>
  <c r="H52" i="11"/>
  <c r="I52" i="11"/>
  <c r="H69" i="11"/>
  <c r="I69" i="11"/>
  <c r="H45" i="11"/>
  <c r="I45" i="11"/>
  <c r="H43" i="11"/>
  <c r="I43" i="11"/>
  <c r="H42" i="11"/>
  <c r="I42" i="11"/>
  <c r="H36" i="11"/>
  <c r="I36" i="11"/>
  <c r="H35" i="11"/>
  <c r="I35" i="11"/>
  <c r="H34" i="11"/>
  <c r="I34" i="11"/>
  <c r="H33" i="11"/>
  <c r="I33" i="11"/>
  <c r="H32" i="11"/>
  <c r="I32" i="11"/>
  <c r="H31" i="11"/>
  <c r="I31" i="11"/>
  <c r="H30" i="11"/>
  <c r="I30" i="11"/>
  <c r="H68" i="11"/>
  <c r="I68"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I33" i="15"/>
  <c r="I21" i="15"/>
  <c r="S20" i="15"/>
  <c r="N14" i="15"/>
  <c r="I20" i="15"/>
  <c r="S31" i="15"/>
  <c r="S7" i="15"/>
  <c r="N13" i="15"/>
  <c r="I19" i="15"/>
  <c r="S30" i="15"/>
  <c r="S6" i="15"/>
  <c r="N12" i="15"/>
  <c r="I30" i="15"/>
  <c r="I18" i="15"/>
  <c r="S29" i="15"/>
  <c r="S5" i="15"/>
  <c r="N11" i="15"/>
  <c r="I29" i="15"/>
  <c r="I17" i="15"/>
  <c r="I5" i="15"/>
  <c r="S16" i="15"/>
  <c r="S4" i="15"/>
  <c r="N22" i="15"/>
  <c r="I28" i="15"/>
  <c r="S8" i="15"/>
  <c r="I6" i="15"/>
  <c r="S17" i="15"/>
  <c r="S28" i="15"/>
  <c r="N10" i="15"/>
  <c r="I4"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9" i="15"/>
  <c r="S32" i="15"/>
  <c r="N26" i="15"/>
  <c r="I32" i="15"/>
  <c r="I8" i="15"/>
  <c r="S19" i="15"/>
  <c r="N25" i="15"/>
  <c r="I31" i="15"/>
  <c r="I7" i="15"/>
  <c r="S18" i="15"/>
  <c r="N24" i="15"/>
  <c r="N23" i="15"/>
  <c r="I1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<sst xmlns="http://schemas.openxmlformats.org/spreadsheetml/2006/main" count="1622" uniqueCount="415">
  <si>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</si>
  <si>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</si>
  <si>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</si>
  <si>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</si>
  <si>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</si>
  <si>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</si>
  <si>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</si>
  <si>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</si>
  <si>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</si>
  <si>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</si>
  <si>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</si>
  <si>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</si>
  <si>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</si>
  <si>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</si>
  <si>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</si>
  <si>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</si>
  <si>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</si>
  <si>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</si>
  <si>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</si>
  <si>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</si>
  <si>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</si>
  <si>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</si>
  <si>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</si>
  <si>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</si>
  <si>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</si>
  <si>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</si>
  <si>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</si>
  <si>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</si>
  <si>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</si>
  <si>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</si>
  <si>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</si>
  <si>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</si>
  <si>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</si>
  <si>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</si>
  <si>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</si>
  <si>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</si>
  <si>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</si>
  <si>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</si>
  <si>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</si>
  <si>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</si>
  <si>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</si>
  <si>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</si>
  <si>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</si>
  <si>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</si>
  <si>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</si>
  <si>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</si>
  <si>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</si>
  <si>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</si>
  <si>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</si>
  <si>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</si>
  <si>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</si>
  <si>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</si>
  <si>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</si>
  <si>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</si>
  <si>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</si>
  <si>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</si>
  <si>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</si>
  <si>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</si>
  <si>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</si>
  <si>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</si>
  <si>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</si>
  <si>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</si>
  <si>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</si>
  <si>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</si>
  <si>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</si>
  <si>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</si>
  <si>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</si>
  <si>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</si>
  <si>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</si>
  <si>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</si>
  <si>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</si>
  <si>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</si>
  <si>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</si>
  <si>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</si>
  <si>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</si>
  <si>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</si>
  <si>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</si>
  <si>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</si>
  <si>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</si>
  <si>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</si>
  <si>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</si>
  <si>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</si>
  <si>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</si>
  <si>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</si>
  <si>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</si>
  <si>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</si>
  <si>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</si>
  <si>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</si>
  <si>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</si>
  <si>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</si>
  <si>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</si>
  <si>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</si>
  <si>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</si>
  <si>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</si>
  <si>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</si>
  <si>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</si>
  <si>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</si>
  <si>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</si>
  <si>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</si>
  <si>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</si>
  <si>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</si>
  <si>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</si>
  <si>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</si>
  <si>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</si>
  <si>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</si>
  <si>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</si>
  <si>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</si>
  <si>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</si>
  <si>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</si>
  <si>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</si>
  <si>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</si>
  <si>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</si>
  <si>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</si>
  <si>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</si>
  <si>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</si>
  <si>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</si>
  <si>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</si>
  <si>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</si>
  <si>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</si>
  <si>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</si>
  <si>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</si>
  <si>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</si>
  <si>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</si>
  <si>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</si>
  <si>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</si>
  <si>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</si>
  <si>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</si>
  <si>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</si>
  <si>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</si>
  <si>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</si>
  <si>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</si>
  <si>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</si>
  <si>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</si>
  <si>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</si>
  <si>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</si>
  <si>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</si>
  <si>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</si>
  <si>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</si>
  <si>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</si>
  <si>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</si>
  <si>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</si>
  <si>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</si>
  <si>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</si>
  <si>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</si>
  <si>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</si>
  <si>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</si>
  <si>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</si>
  <si>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</si>
  <si>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</si>
  <si>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</si>
  <si>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</si>
  <si>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</si>
  <si>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</si>
  <si>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</si>
  <si>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</si>
  <si>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</si>
  <si>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</si>
  <si>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</si>
  <si>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</si>
  <si>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</si>
  <si>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</si>
  <si>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</si>
  <si>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</si>
  <si>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</si>
  <si>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</si>
  <si>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</si>
  <si>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</si>
  <si>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</si>
  <si>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</si>
  <si>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</si>
  <si>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</si>
  <si>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</si>
  <si>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</si>
  <si>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</si>
  <si>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</si>
  <si>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</si>
  <si>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</si>
  <si>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</si>
  <si>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</si>
  <si>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</si>
  <si>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</si>
  <si>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</si>
  <si>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</si>
  <si>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</si>
  <si>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</si>
  <si>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</si>
  <si>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</si>
  <si>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</si>
  <si>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</si>
  <si>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</si>
  <si>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</si>
  <si>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</si>
  <si>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</si>
  <si>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</si>
  <si>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</si>
  <si>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</si>
  <si>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</si>
  <si>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</si>
  <si>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</si>
  <si>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</si>
  <si>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</si>
  <si>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</si>
  <si>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</si>
  <si>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</si>
  <si>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</si>
  <si>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</si>
  <si>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</si>
  <si>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</si>
  <si>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</si>
  <si>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</si>
  <si>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</si>
  <si>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</si>
  <si>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</si>
  <si>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</si>
  <si>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</si>
  <si>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</si>
  <si>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</si>
  <si>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</si>
  <si>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</si>
  <si>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</si>
  <si>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</si>
  <si>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</si>
  <si>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</si>
  <si>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21 dias úteis pós embarque na P-56, considerando Natal, Reveillon e dia de São Sebastião (feriado no Rio).</t>
  </si>
  <si>
    <t>Folga projetada considerando Natal e Reveillon.</t>
  </si>
  <si>
    <t>Folga 21 dias uteis embarque P-74</t>
  </si>
  <si>
    <t>P80</t>
  </si>
  <si>
    <t>Novo</t>
  </si>
  <si>
    <t>Folga 21 dias úteis embarque P-74</t>
  </si>
  <si>
    <t xml:space="preserve">Folga de 13 dias uteis pendentes do embarque de nov/25 para P-74 </t>
  </si>
  <si>
    <t>Treinamento - PLANEJAMENTO DE ORDENS DE MANUTENÇÃO NO SAP PM - FOCO BÚZIOS</t>
  </si>
  <si>
    <t>Continuação folga embarque P-74</t>
  </si>
  <si>
    <t>Folga de 21 dias úteis. Embarque P-75</t>
  </si>
  <si>
    <t>Abater saldo MB</t>
  </si>
  <si>
    <t>DIMITRI ARAUJO</t>
  </si>
  <si>
    <t>FREDERICO AUGUSTO</t>
  </si>
  <si>
    <t>Disciplina</t>
  </si>
  <si>
    <t>Chave</t>
  </si>
  <si>
    <t>Função</t>
  </si>
  <si>
    <t>Projeto</t>
  </si>
  <si>
    <t>E-mail</t>
  </si>
  <si>
    <t>Escalado Angra?</t>
  </si>
  <si>
    <t>EP</t>
  </si>
  <si>
    <t>ELET</t>
  </si>
  <si>
    <t>FWB5</t>
  </si>
  <si>
    <t>Técnico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</si>
  <si>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</si>
  <si>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</si>
  <si>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</si>
  <si>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</si>
  <si>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</si>
  <si>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</si>
  <si>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</si>
  <si>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</si>
  <si>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</si>
  <si>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</si>
  <si>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</si>
  <si>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</si>
  <si>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</si>
  <si>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</si>
  <si>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</si>
  <si>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</si>
  <si>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</si>
  <si>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</si>
  <si>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</si>
  <si>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</si>
  <si>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</si>
  <si>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</si>
  <si>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</si>
  <si>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</si>
  <si>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</si>
  <si>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</si>
  <si>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</si>
  <si>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</si>
  <si>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</si>
  <si>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</si>
  <si>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</si>
  <si>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</si>
  <si>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</si>
  <si>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</si>
  <si>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</si>
  <si>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</si>
  <si>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</si>
  <si>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</si>
  <si>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</si>
  <si>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</si>
  <si>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</si>
  <si>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</si>
  <si>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</si>
  <si>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</si>
  <si>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</si>
  <si>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</si>
  <si>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</si>
  <si>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</si>
  <si>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</si>
  <si>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</si>
  <si>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</si>
  <si>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</si>
  <si>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</si>
  <si>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</si>
  <si>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</si>
  <si>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</si>
  <si>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</si>
  <si>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</si>
  <si>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</si>
  <si>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</si>
  <si>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</si>
  <si>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</si>
  <si>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</si>
  <si>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</si>
  <si>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</si>
  <si>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</si>
  <si>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</si>
  <si>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</si>
  <si>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</si>
  <si>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</si>
  <si>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</si>
  <si>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</si>
  <si>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</si>
  <si>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</si>
  <si>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</si>
  <si>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</si>
  <si>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</si>
  <si>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</si>
  <si>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</si>
  <si>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</si>
  <si>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</si>
  <si>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</si>
  <si>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</si>
  <si>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</si>
  <si>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</si>
  <si>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</si>
  <si>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</si>
  <si>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</si>
  <si>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</si>
  <si>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</si>
  <si>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</si>
  <si>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</si>
  <si>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</si>
  <si>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</si>
  <si>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</si>
  <si>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</si>
  <si>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</si>
  <si>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</si>
  <si>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</si>
  <si>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</si>
  <si>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</si>
  <si>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</si>
  <si>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</si>
  <si>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</si>
  <si>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</si>
  <si>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</si>
  <si>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</si>
  <si>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</si>
  <si>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</si>
  <si>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</si>
  <si>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</si>
  <si>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</si>
  <si>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</si>
  <si>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</si>
  <si>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FREDERICO PACHECO</t>
  </si>
  <si>
    <t>UREM</t>
  </si>
  <si>
    <t>aureliorv@petrobras.com.br</t>
  </si>
  <si>
    <t>WUXI</t>
  </si>
  <si>
    <t>jluiscruz@petrobras.com.br</t>
  </si>
  <si>
    <t xml:space="preserve">JOSE LUIS </t>
  </si>
  <si>
    <t>URCU</t>
  </si>
  <si>
    <t>acdantas@petrobras.com.br</t>
  </si>
  <si>
    <t>LMJ5</t>
  </si>
  <si>
    <t>acrodrig@petrobras.com.br</t>
  </si>
  <si>
    <t>ANDERSON COUTINHO</t>
  </si>
  <si>
    <t>URCQ</t>
  </si>
  <si>
    <t>alexandre.martins@petrobras.com.br</t>
  </si>
  <si>
    <t>JOSE LUIS</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</si>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</sst>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35</c:v>
                </c:pt>
                <c:pt idx="18">
                  <c:v>36</c:v>
                </c:pt>
                <c:pt idx="19">
                  <c:v>36</c:v>
                </c:pt>
                <c:pt idx="20">
                  <c:v>36</c:v>
                </c:pt>
                <c:pt idx="21">
                  <c:v>36</c:v>
                </c:pt>
                <c:pt idx="22">
                  <c:v>36</c:v>
                </c:pt>
                <c:pt idx="23">
                  <c:v>36</c:v>
                </c:pt>
                <c:pt idx="24">
                  <c:v>36</c:v>
                </c:pt>
                <c:pt idx="25">
                  <c:v>36</c:v>
                </c:pt>
                <c:pt idx="26">
                  <c:v>36</c:v>
                </c:pt>
                <c:pt idx="27">
                  <c:v>36</c:v>
                </c:pt>
                <c:pt idx="28">
                  <c:v>36</c:v>
                </c:pt>
                <c:pt idx="29">
                  <c:v>36</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15</c:v>
                </c:pt>
                <c:pt idx="18">
                  <c:v>16</c:v>
                </c:pt>
                <c:pt idx="19">
                  <c:v>16</c:v>
                </c:pt>
                <c:pt idx="20">
                  <c:v>16</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9</c:v>
                </c:pt>
                <c:pt idx="19">
                  <c:v>9</c:v>
                </c:pt>
                <c:pt idx="20">
                  <c:v>9</c:v>
                </c:pt>
                <c:pt idx="21">
                  <c:v>9</c:v>
                </c:pt>
                <c:pt idx="22">
                  <c:v>9</c:v>
                </c:pt>
                <c:pt idx="23">
                  <c:v>9</c:v>
                </c:pt>
                <c:pt idx="24">
                  <c:v>9</c:v>
                </c:pt>
                <c:pt idx="25">
                  <c:v>9</c:v>
                </c:pt>
                <c:pt idx="26">
                  <c:v>9</c:v>
                </c:pt>
                <c:pt idx="27">
                  <c:v>9</c:v>
                </c:pt>
                <c:pt idx="28">
                  <c:v>9</c:v>
                </c:pt>
                <c:pt idx="29">
                  <c:v>9</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0" totalsRowShown="0" headerRowDxfId="119" dataDxfId="118" tableBorderDxfId="117" dataCellStyle="Nome">
  <autoFilter ref="A1:I1010" xr:uid="{D6AB63F5-01C4-4ED8-B3C5-D3AEB2DB48F3}"/>
  <tableColumns count="9">
    <tableColumn id="1" xr3:uid="{C8A8658B-B54C-47E5-A350-3E4123B94A55}" name="Nome" dataDxfId="116" dataCellStyle="Nome"/>
    <tableColumn id="2" xr3:uid="{41F4E0E6-9B25-4120-B6CD-9E09A0162769}" name="Matrícula" dataDxfId="115" dataCellStyle="Nome">
      <calculatedColumnFormula>_xlfn.XLOOKUP(A2,Equipe!H:H,Equipe!B:B,"",0)</calculatedColumnFormula>
    </tableColumn>
    <tableColumn id="3" xr3:uid="{6D8CE048-A690-44AB-98A4-3D9090F60FCC}" name="Início" dataDxfId="114" dataCellStyle="Nome"/>
    <tableColumn id="4" xr3:uid="{0311E592-AD43-4A82-BABD-993F0A992157}" name="Término" dataDxfId="113" dataCellStyle="Nome">
      <calculatedColumnFormula>IF(Tabela1[[#This Row],[Início]]&lt;&gt;"",C2+E2-1,"")</calculatedColumnFormula>
    </tableColumn>
    <tableColumn id="5" xr3:uid="{0725C576-3280-49B7-A694-4FE14D574464}" name="DIAS" dataDxfId="112" dataCellStyle="Nome"/>
    <tableColumn id="6" xr3:uid="{B338D826-23E6-4C77-80B3-A96E053F0A7C}" name="Atividade" dataDxfId="111" dataCellStyle="Nome"/>
    <tableColumn id="7" xr3:uid="{D5D2A029-FEE6-4FE4-888B-32B44A721791}" name="Detalhamento" dataDxfId="110" dataCellStyle="Nome"/>
    <tableColumn id="8" xr3:uid="{07C070EB-5644-4985-BE9D-E8F626409572}" name="Plataforma" dataDxfId="109" dataCellStyle="Nome">
      <calculatedColumnFormula>_xlfn.XLOOKUP(Tabela1[[#This Row],[Matrícula]],Equipe!B:B,Equipe!E:E,"ERRO",0)</calculatedColumnFormula>
    </tableColumn>
    <tableColumn id="9" xr3:uid="{FA1A80DC-0768-467C-9E9F-EAC4805F2836}" name="Experiência" dataDxfId="10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0"/>
  <sheetViews>
    <sheetView showGridLines="0" tabSelected="1" showRuler="0" zoomScale="90" zoomScaleNormal="100" zoomScalePageLayoutView="70" workbookViewId="0">
      <pane ySplit="1" topLeftCell="A320" activePane="bottomLeft" state="frozen"/>
      <selection pane="bottomLeft" activeCell="G327" sqref="G327"/>
      <selection activeCell="A193" sqref="A193"/>
    </sheetView>
  </sheetViews>
  <sheetFormatPr defaultRowHeight="30" customHeight="1"/>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ht="30" customHeight="1" thickBot="1">
      <c r="A1" s="86" t="s">
        <v>0</v>
      </c>
      <c r="B1" s="86" t="s">
        <v>1</v>
      </c>
      <c r="C1" s="86" t="s">
        <v>2</v>
      </c>
      <c r="D1" s="86" t="s">
        <v>3</v>
      </c>
      <c r="E1" s="86" t="s">
        <v>4</v>
      </c>
      <c r="F1" s="87" t="s">
        <v>5</v>
      </c>
      <c r="G1" s="86" t="s">
        <v>6</v>
      </c>
      <c r="H1" s="86" t="s">
        <v>7</v>
      </c>
      <c r="I1" s="86" t="s">
        <v>8</v>
      </c>
      <c r="K1" s="91" t="s">
        <v>9</v>
      </c>
    </row>
    <row r="2" spans="1:12" ht="30" customHeight="1" thickBot="1">
      <c r="A2" s="85" t="s">
        <v>10</v>
      </c>
      <c r="B2" s="127">
        <f>_xlfn.XLOOKUP(A2,Equipe!H:H,Equipe!B:B,"",0)</f>
        <v>9762281</v>
      </c>
      <c r="C2" s="89">
        <v>45481</v>
      </c>
      <c r="D2" s="104">
        <f>IF(Tabela1[[#This Row],[Início]]&lt;&gt;"",C2+E2-1,"")</f>
        <v>45501</v>
      </c>
      <c r="E2" s="85">
        <v>21</v>
      </c>
      <c r="F2" s="85" t="s">
        <v>11</v>
      </c>
      <c r="G2" s="97" t="s">
        <v>12</v>
      </c>
      <c r="H2" s="39" t="str">
        <f>_xlfn.XLOOKUP(Tabela1[[#This Row],[Matrícula]],Equipe!B:B,Equipe!E:E,"ERRO",0)</f>
        <v>P80</v>
      </c>
      <c r="I2" s="39" t="str">
        <f>VLOOKUP(Tabela1[[#This Row],[Matrícula]],Equipe!B:F,5,0)</f>
        <v>Experiente</v>
      </c>
      <c r="K2" s="92" t="s">
        <v>13</v>
      </c>
    </row>
    <row r="3" spans="1:12" ht="30" customHeight="1" thickBot="1">
      <c r="A3" s="85" t="s">
        <v>14</v>
      </c>
      <c r="B3" s="103">
        <f>_xlfn.XLOOKUP(A3,Equipe!H:H,Equipe!B:B,"",0)</f>
        <v>4608544</v>
      </c>
      <c r="C3" s="89">
        <v>45497</v>
      </c>
      <c r="D3" s="104">
        <f>IF(Tabela1[[#This Row],[Início]]&lt;&gt;"",C3+E3-1,"")</f>
        <v>45508</v>
      </c>
      <c r="E3" s="85">
        <v>12</v>
      </c>
      <c r="F3" s="85" t="s">
        <v>15</v>
      </c>
      <c r="G3" s="97" t="s">
        <v>16</v>
      </c>
      <c r="H3" s="39" t="str">
        <f>_xlfn.XLOOKUP(Tabela1[[#This Row],[Matrícula]],Equipe!B:B,Equipe!E:E,"ERRO",0)</f>
        <v>P82</v>
      </c>
      <c r="I3" s="39" t="str">
        <f>VLOOKUP(Tabela1[[#This Row],[Matrícula]],Equipe!B:F,5,0)</f>
        <v>Novo</v>
      </c>
      <c r="K3" s="92" t="s">
        <v>17</v>
      </c>
    </row>
    <row r="4" spans="1:12" ht="30" customHeight="1" thickBot="1">
      <c r="A4" s="85" t="s">
        <v>14</v>
      </c>
      <c r="B4" s="103">
        <f>_xlfn.XLOOKUP(A4,Equipe!H:H,Equipe!B:B,"",0)</f>
        <v>4608544</v>
      </c>
      <c r="C4" s="89">
        <v>45509</v>
      </c>
      <c r="D4" s="104">
        <f>IF(Tabela1[[#This Row],[Início]]&lt;&gt;"",C4+E4-1,"")</f>
        <v>45532</v>
      </c>
      <c r="E4" s="85">
        <v>24</v>
      </c>
      <c r="F4" s="85" t="s">
        <v>11</v>
      </c>
      <c r="G4" s="97" t="s">
        <v>18</v>
      </c>
      <c r="H4" s="39" t="str">
        <f>_xlfn.XLOOKUP(Tabela1[[#This Row],[Matrícula]],Equipe!B:B,Equipe!E:E,"ERRO",0)</f>
        <v>P82</v>
      </c>
      <c r="I4" s="39" t="str">
        <f>VLOOKUP(Tabela1[[#This Row],[Matrícula]],Equipe!B:F,5,0)</f>
        <v>Novo</v>
      </c>
      <c r="K4" s="92" t="s">
        <v>15</v>
      </c>
    </row>
    <row r="5" spans="1:12" s="3" customFormat="1" ht="15" thickBot="1">
      <c r="A5" s="85" t="s">
        <v>19</v>
      </c>
      <c r="B5" s="103">
        <f>_xlfn.XLOOKUP(A5,Equipe!H:H,Equipe!B:B,"",0)</f>
        <v>4608559</v>
      </c>
      <c r="C5" s="89">
        <v>45536</v>
      </c>
      <c r="D5" s="104">
        <f>IF(Tabela1[[#This Row],[Início]]&lt;&gt;"",C5+E5-1,"")</f>
        <v>45547</v>
      </c>
      <c r="E5" s="85">
        <v>12</v>
      </c>
      <c r="F5" s="85" t="s">
        <v>15</v>
      </c>
      <c r="G5" s="98" t="s">
        <v>20</v>
      </c>
      <c r="H5" s="39" t="str">
        <f>_xlfn.XLOOKUP(Tabela1[[#This Row],[Matrícula]],Equipe!B:B,Equipe!E:E,"ERRO",0)</f>
        <v>P83</v>
      </c>
      <c r="I5" s="39" t="str">
        <f>VLOOKUP(Tabela1[[#This Row],[Matrícula]],Equipe!B:F,5,0)</f>
        <v>Novo</v>
      </c>
      <c r="K5" s="93" t="s">
        <v>21</v>
      </c>
      <c r="L5" s="148"/>
    </row>
    <row r="6" spans="1:12" s="3" customFormat="1" ht="15" thickBot="1">
      <c r="A6" s="85" t="s">
        <v>19</v>
      </c>
      <c r="B6" s="103">
        <f>_xlfn.XLOOKUP(A6,Equipe!H:H,Equipe!B:B,"",0)</f>
        <v>4608559</v>
      </c>
      <c r="C6" s="89">
        <v>45548</v>
      </c>
      <c r="D6" s="104">
        <f>IF(Tabela1[[#This Row],[Início]]&lt;&gt;"",C6+E6-1,"")</f>
        <v>45573</v>
      </c>
      <c r="E6" s="85">
        <v>26</v>
      </c>
      <c r="F6" s="85" t="s">
        <v>11</v>
      </c>
      <c r="G6" s="97" t="s">
        <v>12</v>
      </c>
      <c r="H6" s="39" t="str">
        <f>_xlfn.XLOOKUP(Tabela1[[#This Row],[Matrícula]],Equipe!B:B,Equipe!E:E,"ERRO",0)</f>
        <v>P83</v>
      </c>
      <c r="I6" s="39" t="str">
        <f>VLOOKUP(Tabela1[[#This Row],[Matrícula]],Equipe!B:F,5,0)</f>
        <v>Novo</v>
      </c>
      <c r="K6" s="92" t="s">
        <v>11</v>
      </c>
      <c r="L6" s="148"/>
    </row>
    <row r="7" spans="1:12" s="3" customFormat="1" ht="15" thickBot="1">
      <c r="A7" s="85" t="s">
        <v>22</v>
      </c>
      <c r="B7" s="103">
        <f>_xlfn.XLOOKUP(A7,Equipe!H:H,Equipe!B:B,"",0)</f>
        <v>4608389</v>
      </c>
      <c r="C7" s="89">
        <v>45664</v>
      </c>
      <c r="D7" s="104">
        <f>IF(Tabela1[[#This Row],[Início]]&lt;&gt;"",C7+E7-1,"")</f>
        <v>45670</v>
      </c>
      <c r="E7" s="85">
        <v>7</v>
      </c>
      <c r="F7" s="85" t="s">
        <v>15</v>
      </c>
      <c r="G7" s="97" t="s">
        <v>23</v>
      </c>
      <c r="H7" s="39" t="str">
        <f>_xlfn.XLOOKUP(Tabela1[[#This Row],[Matrícula]],Equipe!B:B,Equipe!E:E,"ERRO",0)</f>
        <v>P80</v>
      </c>
      <c r="I7" s="39" t="str">
        <f>VLOOKUP(Tabela1[[#This Row],[Matrícula]],Equipe!B:F,5,0)</f>
        <v>Novo</v>
      </c>
      <c r="K7" s="92" t="s">
        <v>24</v>
      </c>
      <c r="L7" s="148"/>
    </row>
    <row r="8" spans="1:12" s="3" customFormat="1" ht="15" thickBot="1">
      <c r="A8" s="85" t="s">
        <v>22</v>
      </c>
      <c r="B8" s="103">
        <f>_xlfn.XLOOKUP(A8,Equipe!H:H,Equipe!B:B,"",0)</f>
        <v>4608389</v>
      </c>
      <c r="C8" s="89">
        <v>45671</v>
      </c>
      <c r="D8" s="104">
        <f>IF(Tabela1[[#This Row],[Início]]&lt;&gt;"",C8+E8-1,"")</f>
        <v>45686</v>
      </c>
      <c r="E8" s="85">
        <v>16</v>
      </c>
      <c r="F8" s="85" t="s">
        <v>11</v>
      </c>
      <c r="G8" s="97" t="s">
        <v>12</v>
      </c>
      <c r="H8" s="39" t="str">
        <f>_xlfn.XLOOKUP(Tabela1[[#This Row],[Matrícula]],Equipe!B:B,Equipe!E:E,"ERRO",0)</f>
        <v>P80</v>
      </c>
      <c r="I8" s="39" t="str">
        <f>VLOOKUP(Tabela1[[#This Row],[Matrícula]],Equipe!B:F,5,0)</f>
        <v>Novo</v>
      </c>
    </row>
    <row r="9" spans="1:12" s="3" customFormat="1" ht="15" thickBot="1">
      <c r="A9" s="85" t="s">
        <v>25</v>
      </c>
      <c r="B9" s="103">
        <f>_xlfn.XLOOKUP(A9,Equipe!H:H,Equipe!B:B,"",0)</f>
        <v>4608685</v>
      </c>
      <c r="C9" s="95">
        <v>45721</v>
      </c>
      <c r="D9" s="104">
        <f>IF(Tabela1[[#This Row],[Início]]&lt;&gt;"",C9+E9-1,"")</f>
        <v>45734</v>
      </c>
      <c r="E9" s="85">
        <v>14</v>
      </c>
      <c r="F9" s="85" t="s">
        <v>15</v>
      </c>
      <c r="G9" s="97"/>
      <c r="H9" s="39" t="str">
        <f>_xlfn.XLOOKUP(Tabela1[[#This Row],[Matrícula]],Equipe!B:B,Equipe!E:E,"ERRO",0)</f>
        <v>P80</v>
      </c>
      <c r="I9" s="39" t="str">
        <f>VLOOKUP(Tabela1[[#This Row],[Matrícula]],Equipe!B:F,5,0)</f>
        <v>Novo</v>
      </c>
    </row>
    <row r="10" spans="1:12" s="3" customFormat="1" ht="15" thickBot="1">
      <c r="A10" s="85" t="s">
        <v>26</v>
      </c>
      <c r="B10" s="103">
        <f>_xlfn.XLOOKUP(A10,Equipe!H:H,Equipe!B:B,"",0)</f>
        <v>9634180</v>
      </c>
      <c r="C10" s="89">
        <v>45728</v>
      </c>
      <c r="D10" s="104">
        <f>IF(Tabela1[[#This Row],[Início]]&lt;&gt;"",C10+E10-1,"")</f>
        <v>45729</v>
      </c>
      <c r="E10" s="85">
        <v>2</v>
      </c>
      <c r="F10" s="85" t="s">
        <v>21</v>
      </c>
      <c r="G10" s="97"/>
      <c r="H10" s="39" t="str">
        <f>_xlfn.XLOOKUP(Tabela1[[#This Row],[Matrícula]],Equipe!B:B,Equipe!E:E,"ERRO",0)</f>
        <v>P83</v>
      </c>
      <c r="I10" s="39" t="str">
        <f>VLOOKUP(Tabela1[[#This Row],[Matrícula]],Equipe!B:F,5,0)</f>
        <v>Experiente</v>
      </c>
    </row>
    <row r="11" spans="1:12" s="3" customFormat="1" ht="15" thickBot="1">
      <c r="A11" s="85" t="s">
        <v>27</v>
      </c>
      <c r="B11" s="103">
        <f>_xlfn.XLOOKUP(A11,Equipe!H:H,Equipe!B:B,"",0)</f>
        <v>2430855</v>
      </c>
      <c r="C11" s="89">
        <v>45728</v>
      </c>
      <c r="D11" s="104">
        <f>IF(Tabela1[[#This Row],[Início]]&lt;&gt;"",C11+E11-1,"")</f>
        <v>45730</v>
      </c>
      <c r="E11" s="85">
        <v>3</v>
      </c>
      <c r="F11" s="85" t="s">
        <v>21</v>
      </c>
      <c r="G11" s="97"/>
      <c r="H11" s="39" t="str">
        <f>_xlfn.XLOOKUP(Tabela1[[#This Row],[Matrícula]],Equipe!B:B,Equipe!E:E,"ERRO",0)</f>
        <v>PBAC</v>
      </c>
      <c r="I11" s="39" t="str">
        <f>VLOOKUP(Tabela1[[#This Row],[Matrícula]],Equipe!B:F,5,0)</f>
        <v>Experiente</v>
      </c>
    </row>
    <row r="12" spans="1:12" s="3" customFormat="1" ht="15" thickBot="1">
      <c r="A12" s="85" t="s">
        <v>28</v>
      </c>
      <c r="B12" s="103">
        <f>_xlfn.XLOOKUP(A12,Equipe!H:H,Equipe!B:B,"",0)</f>
        <v>1386344</v>
      </c>
      <c r="C12" s="89">
        <v>45729</v>
      </c>
      <c r="D12" s="104">
        <f>IF(Tabela1[[#This Row],[Início]]&lt;&gt;"",C12+E12-1,"")</f>
        <v>45742</v>
      </c>
      <c r="E12" s="85">
        <v>14</v>
      </c>
      <c r="F12" s="85" t="s">
        <v>15</v>
      </c>
      <c r="G12" s="97" t="s">
        <v>29</v>
      </c>
      <c r="H12" s="39" t="str">
        <f>_xlfn.XLOOKUP(Tabela1[[#This Row],[Matrícula]],Equipe!B:B,Equipe!E:E,"ERRO",0)</f>
        <v>P82</v>
      </c>
      <c r="I12" s="39" t="str">
        <f>VLOOKUP(Tabela1[[#This Row],[Matrícula]],Equipe!B:F,5,0)</f>
        <v>Experiente</v>
      </c>
    </row>
    <row r="13" spans="1:12" s="3" customFormat="1" ht="15" thickBot="1">
      <c r="A13" s="85" t="s">
        <v>10</v>
      </c>
      <c r="B13" s="103">
        <f>_xlfn.XLOOKUP(A13,Equipe!H:H,Equipe!B:B,"",0)</f>
        <v>9762281</v>
      </c>
      <c r="C13" s="89">
        <v>45729</v>
      </c>
      <c r="D13" s="104">
        <f>IF(Tabela1[[#This Row],[Início]]&lt;&gt;"",C13+E13-1,"")</f>
        <v>45742</v>
      </c>
      <c r="E13" s="85">
        <v>14</v>
      </c>
      <c r="F13" s="85" t="s">
        <v>15</v>
      </c>
      <c r="G13" s="97" t="s">
        <v>29</v>
      </c>
      <c r="H13" s="39" t="str">
        <f>_xlfn.XLOOKUP(Tabela1[[#This Row],[Matrícula]],Equipe!B:B,Equipe!E:E,"ERRO",0)</f>
        <v>P80</v>
      </c>
      <c r="I13" s="39" t="str">
        <f>VLOOKUP(Tabela1[[#This Row],[Matrícula]],Equipe!B:F,5,0)</f>
        <v>Experiente</v>
      </c>
    </row>
    <row r="14" spans="1:12" s="3" customFormat="1" ht="15" thickBot="1">
      <c r="A14" s="85" t="s">
        <v>30</v>
      </c>
      <c r="B14" s="103">
        <f>_xlfn.XLOOKUP(A14,Equipe!H:H,Equipe!B:B,"",0)</f>
        <v>4608474</v>
      </c>
      <c r="C14" s="89">
        <v>45733</v>
      </c>
      <c r="D14" s="104">
        <f>IF(Tabela1[[#This Row],[Início]]&lt;&gt;"",C14+E14-1,"")</f>
        <v>45737</v>
      </c>
      <c r="E14" s="85">
        <v>5</v>
      </c>
      <c r="F14" s="85" t="s">
        <v>17</v>
      </c>
      <c r="G14" s="97" t="s">
        <v>31</v>
      </c>
      <c r="H14" s="39" t="str">
        <f>_xlfn.XLOOKUP(Tabela1[[#This Row],[Matrícula]],Equipe!B:B,Equipe!E:E,"ERRO",0)</f>
        <v>P82</v>
      </c>
      <c r="I14" s="39" t="str">
        <f>VLOOKUP(Tabela1[[#This Row],[Matrícula]],Equipe!B:F,5,0)</f>
        <v>Novo</v>
      </c>
    </row>
    <row r="15" spans="1:12" s="3" customFormat="1" ht="15" thickBot="1">
      <c r="A15" s="85" t="s">
        <v>32</v>
      </c>
      <c r="B15" s="103">
        <f>_xlfn.XLOOKUP(A15,Equipe!H:H,Equipe!B:B,"",0)</f>
        <v>4608721</v>
      </c>
      <c r="C15" s="90">
        <v>45733</v>
      </c>
      <c r="D15" s="104">
        <f>IF(Tabela1[[#This Row],[Início]]&lt;&gt;"",C15+E15-1,"")</f>
        <v>45737</v>
      </c>
      <c r="E15" s="85">
        <v>5</v>
      </c>
      <c r="F15" s="85" t="s">
        <v>17</v>
      </c>
      <c r="G15" s="97" t="s">
        <v>31</v>
      </c>
      <c r="H15" s="39" t="str">
        <f>_xlfn.XLOOKUP(Tabela1[[#This Row],[Matrícula]],Equipe!B:B,Equipe!E:E,"ERRO",0)</f>
        <v>P80</v>
      </c>
      <c r="I15" s="39" t="str">
        <f>VLOOKUP(Tabela1[[#This Row],[Matrícula]],Equipe!B:F,5,0)</f>
        <v>Novo</v>
      </c>
    </row>
    <row r="16" spans="1:12" s="3" customFormat="1" ht="15" thickBot="1">
      <c r="A16" s="85" t="s">
        <v>19</v>
      </c>
      <c r="B16" s="103">
        <f>_xlfn.XLOOKUP(A16,Equipe!H:H,Equipe!B:B,"",0)</f>
        <v>4608559</v>
      </c>
      <c r="C16" s="90">
        <v>45733</v>
      </c>
      <c r="D16" s="104">
        <f>IF(Tabela1[[#This Row],[Início]]&lt;&gt;"",C16+E16-1,"")</f>
        <v>45737</v>
      </c>
      <c r="E16" s="85">
        <v>5</v>
      </c>
      <c r="F16" s="85" t="s">
        <v>17</v>
      </c>
      <c r="G16" s="97" t="s">
        <v>31</v>
      </c>
      <c r="H16" s="39" t="str">
        <f>_xlfn.XLOOKUP(Tabela1[[#This Row],[Matrícula]],Equipe!B:B,Equipe!E:E,"ERRO",0)</f>
        <v>P83</v>
      </c>
      <c r="I16" s="39" t="str">
        <f>VLOOKUP(Tabela1[[#This Row],[Matrícula]],Equipe!B:F,5,0)</f>
        <v>Novo</v>
      </c>
    </row>
    <row r="17" spans="1:11" s="3" customFormat="1" ht="15" thickBot="1">
      <c r="A17" s="85" t="s">
        <v>33</v>
      </c>
      <c r="B17" s="103">
        <f>_xlfn.XLOOKUP(A17,Equipe!H:H,Equipe!B:B,"",0)</f>
        <v>9842940</v>
      </c>
      <c r="C17" s="95">
        <v>45733</v>
      </c>
      <c r="D17" s="104">
        <f>IF(Tabela1[[#This Row],[Início]]&lt;&gt;"",C17+E17-1,"")</f>
        <v>45737</v>
      </c>
      <c r="E17" s="85">
        <v>5</v>
      </c>
      <c r="F17" s="85" t="s">
        <v>17</v>
      </c>
      <c r="G17" s="97" t="s">
        <v>31</v>
      </c>
      <c r="H17" s="39" t="str">
        <f>_xlfn.XLOOKUP(Tabela1[[#This Row],[Matrícula]],Equipe!B:B,Equipe!E:E,"ERRO",0)</f>
        <v>P80</v>
      </c>
      <c r="I17" s="39" t="str">
        <f>VLOOKUP(Tabela1[[#This Row],[Matrícula]],Equipe!B:F,5,0)</f>
        <v>Novo</v>
      </c>
    </row>
    <row r="18" spans="1:11" s="3" customFormat="1" ht="15" thickBot="1">
      <c r="A18" s="85" t="s">
        <v>25</v>
      </c>
      <c r="B18" s="103">
        <f>_xlfn.XLOOKUP(A18,Equipe!H:H,Equipe!B:B,"",0)</f>
        <v>4608685</v>
      </c>
      <c r="C18" s="89">
        <v>45735</v>
      </c>
      <c r="D18" s="104">
        <f>IF(Tabela1[[#This Row],[Início]]&lt;&gt;"",C18+E18-1,"")</f>
        <v>45763</v>
      </c>
      <c r="E18" s="85">
        <v>29</v>
      </c>
      <c r="F18" s="85" t="s">
        <v>11</v>
      </c>
      <c r="G18" s="97" t="s">
        <v>12</v>
      </c>
      <c r="H18" s="39" t="str">
        <f>_xlfn.XLOOKUP(Tabela1[[#This Row],[Matrícula]],Equipe!B:B,Equipe!E:E,"ERRO",0)</f>
        <v>P80</v>
      </c>
      <c r="I18" s="39" t="str">
        <f>VLOOKUP(Tabela1[[#This Row],[Matrícula]],Equipe!B:F,5,0)</f>
        <v>Novo</v>
      </c>
    </row>
    <row r="19" spans="1:11" s="3" customFormat="1" ht="15" thickBot="1">
      <c r="A19" s="85" t="s">
        <v>34</v>
      </c>
      <c r="B19" s="103">
        <f>_xlfn.XLOOKUP(A19,Equipe!H:H,Equipe!B:B,"",0)</f>
        <v>2493288</v>
      </c>
      <c r="C19" s="89">
        <v>45740</v>
      </c>
      <c r="D19" s="104">
        <f>IF(Tabela1[[#This Row],[Início]]&lt;&gt;"",C19+E19-1,"")</f>
        <v>45741</v>
      </c>
      <c r="E19" s="85">
        <v>2</v>
      </c>
      <c r="F19" s="85" t="s">
        <v>11</v>
      </c>
      <c r="G19" s="97"/>
      <c r="H19" s="39" t="str">
        <f>_xlfn.XLOOKUP(Tabela1[[#This Row],[Matrícula]],Equipe!B:B,Equipe!E:E,"ERRO",0)</f>
        <v>PBAC</v>
      </c>
      <c r="I19" s="39" t="str">
        <f>VLOOKUP(Tabela1[[#This Row],[Matrícula]],Equipe!B:F,5,0)</f>
        <v>Experiente</v>
      </c>
    </row>
    <row r="20" spans="1:11" s="3" customFormat="1" ht="15" thickBot="1">
      <c r="A20" s="85" t="s">
        <v>35</v>
      </c>
      <c r="B20" s="103">
        <f>_xlfn.XLOOKUP(A20,Equipe!H:H,Equipe!B:B,"",0)</f>
        <v>1385894</v>
      </c>
      <c r="C20" s="89">
        <v>45743</v>
      </c>
      <c r="D20" s="104">
        <f>IF(Tabela1[[#This Row],[Início]]&lt;&gt;"",C20+E20-1,"")</f>
        <v>45743</v>
      </c>
      <c r="E20" s="85">
        <v>1</v>
      </c>
      <c r="F20" s="85" t="s">
        <v>17</v>
      </c>
      <c r="G20" s="97"/>
      <c r="H20" s="39" t="str">
        <f>_xlfn.XLOOKUP(Tabela1[[#This Row],[Matrícula]],Equipe!B:B,Equipe!E:E,"ERRO",0)</f>
        <v>P80</v>
      </c>
      <c r="I20" s="39" t="str">
        <f>VLOOKUP(Tabela1[[#This Row],[Matrícula]],Equipe!B:F,5,0)</f>
        <v>Experiente</v>
      </c>
    </row>
    <row r="21" spans="1:11" s="3" customFormat="1" ht="15" thickBot="1">
      <c r="A21" s="85" t="s">
        <v>14</v>
      </c>
      <c r="B21" s="103">
        <f>_xlfn.XLOOKUP(A21,Equipe!H:H,Equipe!B:B,"",0)</f>
        <v>4608544</v>
      </c>
      <c r="C21" s="89">
        <v>45743</v>
      </c>
      <c r="D21" s="104">
        <f>IF(Tabela1[[#This Row],[Início]]&lt;&gt;"",C21+E21-1,"")</f>
        <v>45744</v>
      </c>
      <c r="E21" s="85">
        <v>2</v>
      </c>
      <c r="F21" s="85" t="s">
        <v>11</v>
      </c>
      <c r="G21" s="97" t="s">
        <v>36</v>
      </c>
      <c r="H21" s="39" t="str">
        <f>_xlfn.XLOOKUP(Tabela1[[#This Row],[Matrícula]],Equipe!B:B,Equipe!E:E,"ERRO",0)</f>
        <v>P82</v>
      </c>
      <c r="I21" s="39" t="str">
        <f>VLOOKUP(Tabela1[[#This Row],[Matrícula]],Equipe!B:F,5,0)</f>
        <v>Novo</v>
      </c>
    </row>
    <row r="22" spans="1:11" s="3" customFormat="1" ht="15" thickBot="1">
      <c r="A22" s="85" t="s">
        <v>28</v>
      </c>
      <c r="B22" s="103">
        <f>_xlfn.XLOOKUP(A22,Equipe!H:H,Equipe!B:B,"",0)</f>
        <v>1386344</v>
      </c>
      <c r="C22" s="89">
        <v>45743</v>
      </c>
      <c r="D22" s="104">
        <f>IF(Tabela1[[#This Row],[Início]]&lt;&gt;"",C22+E22-1,"")</f>
        <v>45763</v>
      </c>
      <c r="E22" s="85">
        <v>21</v>
      </c>
      <c r="F22" s="85" t="s">
        <v>11</v>
      </c>
      <c r="G22" s="97" t="s">
        <v>12</v>
      </c>
      <c r="H22" s="39" t="str">
        <f>_xlfn.XLOOKUP(Tabela1[[#This Row],[Matrícula]],Equipe!B:B,Equipe!E:E,"ERRO",0)</f>
        <v>P82</v>
      </c>
      <c r="I22" s="39" t="str">
        <f>VLOOKUP(Tabela1[[#This Row],[Matrícula]],Equipe!B:F,5,0)</f>
        <v>Experiente</v>
      </c>
    </row>
    <row r="23" spans="1:11" s="3" customFormat="1" ht="15" thickBot="1">
      <c r="A23" s="85" t="s">
        <v>10</v>
      </c>
      <c r="B23" s="103">
        <f>_xlfn.XLOOKUP(A23,Equipe!H:H,Equipe!B:B,"",0)</f>
        <v>9762281</v>
      </c>
      <c r="C23" s="89">
        <v>45743</v>
      </c>
      <c r="D23" s="104">
        <v>45763</v>
      </c>
      <c r="E23" s="85">
        <v>21</v>
      </c>
      <c r="F23" s="85" t="s">
        <v>11</v>
      </c>
      <c r="G23" s="97" t="s">
        <v>12</v>
      </c>
      <c r="H23" s="39" t="str">
        <f>_xlfn.XLOOKUP(Tabela1[[#This Row],[Matrícula]],Equipe!B:B,Equipe!E:E,"ERRO",0)</f>
        <v>P80</v>
      </c>
      <c r="I23" s="39" t="str">
        <f>VLOOKUP(Tabela1[[#This Row],[Matrícula]],Equipe!B:F,5,0)</f>
        <v>Experiente</v>
      </c>
      <c r="K23"/>
    </row>
    <row r="24" spans="1:11" s="3" customFormat="1" ht="29.45" thickBot="1">
      <c r="A24" s="88" t="s">
        <v>37</v>
      </c>
      <c r="B24" s="103">
        <f>_xlfn.XLOOKUP(A24,Equipe!H:H,Equipe!B:B,"",0)</f>
        <v>9724817</v>
      </c>
      <c r="C24" s="90">
        <v>45748</v>
      </c>
      <c r="D24" s="104">
        <f>IF(Tabela1[[#This Row],[Início]]&lt;&gt;"",C24+E24-1,"")</f>
        <v>45758</v>
      </c>
      <c r="E24" s="88">
        <v>11</v>
      </c>
      <c r="F24" s="85" t="s">
        <v>15</v>
      </c>
      <c r="G24" s="97" t="s">
        <v>38</v>
      </c>
      <c r="H24" s="39" t="str">
        <f>_xlfn.XLOOKUP(Tabela1[[#This Row],[Matrícula]],Equipe!B:B,Equipe!E:E,"ERRO",0)</f>
        <v>P82</v>
      </c>
      <c r="I24" s="39" t="str">
        <f>VLOOKUP(Tabela1[[#This Row],[Matrícula]],Equipe!B:F,5,0)</f>
        <v>Experiente</v>
      </c>
      <c r="K24"/>
    </row>
    <row r="25" spans="1:11" ht="15" thickBot="1">
      <c r="A25" s="88" t="s">
        <v>39</v>
      </c>
      <c r="B25" s="103">
        <f>_xlfn.XLOOKUP(A25,Equipe!H:H,Equipe!B:B,"",0)</f>
        <v>9634222</v>
      </c>
      <c r="C25" s="89">
        <v>45754</v>
      </c>
      <c r="D25" s="104">
        <f>IF(Tabela1[[#This Row],[Início]]&lt;&gt;"",C25+E25-1,"")</f>
        <v>45758</v>
      </c>
      <c r="E25" s="85">
        <v>5</v>
      </c>
      <c r="F25" s="85" t="s">
        <v>17</v>
      </c>
      <c r="G25" s="97" t="s">
        <v>40</v>
      </c>
      <c r="H25" s="39" t="str">
        <f>_xlfn.XLOOKUP(Tabela1[[#This Row],[Matrícula]],Equipe!B:B,Equipe!E:E,"ERRO",0)</f>
        <v>P83</v>
      </c>
      <c r="I25" s="39" t="str">
        <f>VLOOKUP(Tabela1[[#This Row],[Matrícula]],Equipe!B:F,5,0)</f>
        <v>Experiente</v>
      </c>
    </row>
    <row r="26" spans="1:11" ht="29.45" thickBot="1">
      <c r="A26" s="88" t="s">
        <v>41</v>
      </c>
      <c r="B26" s="103">
        <f>_xlfn.XLOOKUP(A26,Equipe!H:H,Equipe!B:B,"",0)</f>
        <v>1381625</v>
      </c>
      <c r="C26" s="89">
        <v>45754</v>
      </c>
      <c r="D26" s="104">
        <f>IF(Tabela1[[#This Row],[Início]]&lt;&gt;"",C26+E26-1,"")</f>
        <v>45758</v>
      </c>
      <c r="E26" s="85">
        <v>5</v>
      </c>
      <c r="F26" s="85" t="s">
        <v>15</v>
      </c>
      <c r="G26" s="97" t="s">
        <v>42</v>
      </c>
      <c r="H26" s="39" t="str">
        <f>_xlfn.XLOOKUP(Tabela1[[#This Row],[Matrícula]],Equipe!B:B,Equipe!E:E,"ERRO",0)</f>
        <v>P80</v>
      </c>
      <c r="I26" s="39" t="str">
        <f>VLOOKUP(Tabela1[[#This Row],[Matrícula]],Equipe!B:F,5,0)</f>
        <v>Experiente</v>
      </c>
    </row>
    <row r="27" spans="1:11" ht="15" thickBot="1">
      <c r="A27" s="88" t="s">
        <v>30</v>
      </c>
      <c r="B27" s="103">
        <f>_xlfn.XLOOKUP(A27,Equipe!H:H,Equipe!B:B,"",0)</f>
        <v>4608474</v>
      </c>
      <c r="C27" s="89">
        <v>45756</v>
      </c>
      <c r="D27" s="104">
        <f>IF(Tabela1[[#This Row],[Início]]&lt;&gt;"",C27+E27-1,"")</f>
        <v>45756</v>
      </c>
      <c r="E27" s="85">
        <v>1</v>
      </c>
      <c r="F27" s="85" t="s">
        <v>13</v>
      </c>
      <c r="G27" s="97" t="s">
        <v>43</v>
      </c>
      <c r="H27" s="39" t="str">
        <f>_xlfn.XLOOKUP(Tabela1[[#This Row],[Matrícula]],Equipe!B:B,Equipe!E:E,"ERRO",0)</f>
        <v>P82</v>
      </c>
      <c r="I27" s="39" t="str">
        <f>VLOOKUP(Tabela1[[#This Row],[Matrícula]],Equipe!B:F,5,0)</f>
        <v>Novo</v>
      </c>
    </row>
    <row r="28" spans="1:11" ht="29.45" thickBot="1">
      <c r="A28" s="85" t="s">
        <v>14</v>
      </c>
      <c r="B28" s="103">
        <f>_xlfn.XLOOKUP(A28,Equipe!H:H,Equipe!B:B,"",0)</f>
        <v>4608544</v>
      </c>
      <c r="C28" s="89">
        <v>45756</v>
      </c>
      <c r="D28" s="104">
        <f>IF(Tabela1[[#This Row],[Início]]&lt;&gt;"",C28+E28-1,"")</f>
        <v>45756</v>
      </c>
      <c r="E28" s="85">
        <v>1</v>
      </c>
      <c r="F28" s="85" t="s">
        <v>13</v>
      </c>
      <c r="G28" s="97" t="s">
        <v>44</v>
      </c>
      <c r="H28" s="39" t="str">
        <f>_xlfn.XLOOKUP(Tabela1[[#This Row],[Matrícula]],Equipe!B:B,Equipe!E:E,"ERRO",0)</f>
        <v>P82</v>
      </c>
      <c r="I28" s="39" t="str">
        <f>VLOOKUP(Tabela1[[#This Row],[Matrícula]],Equipe!B:F,5,0)</f>
        <v>Novo</v>
      </c>
    </row>
    <row r="29" spans="1:11" ht="15" thickBot="1">
      <c r="A29" s="85" t="s">
        <v>45</v>
      </c>
      <c r="B29" s="103">
        <f>_xlfn.XLOOKUP(A29,Equipe!H:H,Equipe!B:B,"",0)</f>
        <v>4608780</v>
      </c>
      <c r="C29" s="89">
        <v>45756</v>
      </c>
      <c r="D29" s="104">
        <f>IF(Tabela1[[#This Row],[Início]]&lt;&gt;"",C29+E29-1,"")</f>
        <v>45756</v>
      </c>
      <c r="E29" s="85">
        <v>1</v>
      </c>
      <c r="F29" s="85" t="s">
        <v>13</v>
      </c>
      <c r="G29" s="97" t="s">
        <v>46</v>
      </c>
      <c r="H29" s="39" t="str">
        <f>_xlfn.XLOOKUP(Tabela1[[#This Row],[Matrícula]],Equipe!B:B,Equipe!E:E,"ERRO",0)</f>
        <v>P83</v>
      </c>
      <c r="I29" s="39" t="str">
        <f>VLOOKUP(Tabela1[[#This Row],[Matrícula]],Equipe!B:F,5,0)</f>
        <v>Novo</v>
      </c>
    </row>
    <row r="30" spans="1:11" ht="15" thickBot="1">
      <c r="A30" s="85" t="s">
        <v>47</v>
      </c>
      <c r="B30" s="103">
        <f>_xlfn.XLOOKUP(A30,Equipe!H:H,Equipe!B:B,"",0)</f>
        <v>4608411</v>
      </c>
      <c r="C30" s="89">
        <v>45756</v>
      </c>
      <c r="D30" s="104">
        <f>IF(Tabela1[[#This Row],[Início]]&lt;&gt;"",C30+E30-1,"")</f>
        <v>45756</v>
      </c>
      <c r="E30" s="85">
        <v>1</v>
      </c>
      <c r="F30" s="85" t="s">
        <v>13</v>
      </c>
      <c r="G30" s="97" t="s">
        <v>48</v>
      </c>
      <c r="H30" s="39" t="str">
        <f>_xlfn.XLOOKUP(Tabela1[[#This Row],[Matrícula]],Equipe!B:B,Equipe!E:E,"ERRO",0)</f>
        <v>P83</v>
      </c>
      <c r="I30" s="39" t="str">
        <f>VLOOKUP(Tabela1[[#This Row],[Matrícula]],Equipe!B:F,5,0)</f>
        <v>Novo</v>
      </c>
    </row>
    <row r="31" spans="1:11" ht="15" thickBot="1">
      <c r="A31" s="85" t="s">
        <v>49</v>
      </c>
      <c r="B31" s="103">
        <f>_xlfn.XLOOKUP(A31,Equipe!H:H,Equipe!B:B,"",0)</f>
        <v>4606694</v>
      </c>
      <c r="C31" s="89">
        <v>45756</v>
      </c>
      <c r="D31" s="104">
        <f>IF(Tabela1[[#This Row],[Início]]&lt;&gt;"",C31+E31-1,"")</f>
        <v>45756</v>
      </c>
      <c r="E31" s="85">
        <v>1</v>
      </c>
      <c r="F31" s="85" t="s">
        <v>17</v>
      </c>
      <c r="G31" s="97" t="s">
        <v>50</v>
      </c>
      <c r="H31" s="39" t="str">
        <f>_xlfn.XLOOKUP(Tabela1[[#This Row],[Matrícula]],Equipe!B:B,Equipe!E:E,"ERRO",0)</f>
        <v>PBAC</v>
      </c>
      <c r="I31" s="39" t="str">
        <f>VLOOKUP(Tabela1[[#This Row],[Matrícula]],Equipe!B:F,5,0)</f>
        <v>Novo</v>
      </c>
    </row>
    <row r="32" spans="1:11" ht="15" thickBot="1">
      <c r="A32" s="85" t="s">
        <v>47</v>
      </c>
      <c r="B32" s="103">
        <f>_xlfn.XLOOKUP(A32,Equipe!H:H,Equipe!B:B,"",0)</f>
        <v>4608411</v>
      </c>
      <c r="C32" s="89">
        <v>45757</v>
      </c>
      <c r="D32" s="104">
        <f>IF(Tabela1[[#This Row],[Início]]&lt;&gt;"",C32+E32-1,"")</f>
        <v>45758</v>
      </c>
      <c r="E32" s="85">
        <v>2</v>
      </c>
      <c r="F32" s="85" t="s">
        <v>11</v>
      </c>
      <c r="G32" s="97" t="s">
        <v>51</v>
      </c>
      <c r="H32" s="39" t="str">
        <f>_xlfn.XLOOKUP(Tabela1[[#This Row],[Matrícula]],Equipe!B:B,Equipe!E:E,"ERRO",0)</f>
        <v>P83</v>
      </c>
      <c r="I32" s="39" t="str">
        <f>VLOOKUP(Tabela1[[#This Row],[Matrícula]],Equipe!B:F,5,0)</f>
        <v>Novo</v>
      </c>
    </row>
    <row r="33" spans="1:9" ht="15" thickBot="1">
      <c r="A33" s="85" t="s">
        <v>52</v>
      </c>
      <c r="B33" s="103">
        <f>_xlfn.XLOOKUP(A33,Equipe!H:H,Equipe!B:B,"",0)</f>
        <v>2477135</v>
      </c>
      <c r="C33" s="89">
        <v>45761</v>
      </c>
      <c r="D33" s="104">
        <f>IF(Tabela1[[#This Row],[Início]]&lt;&gt;"",C33+E33-1,"")</f>
        <v>45761</v>
      </c>
      <c r="E33" s="85">
        <v>1</v>
      </c>
      <c r="F33" s="85" t="s">
        <v>13</v>
      </c>
      <c r="G33" s="97"/>
      <c r="H33" s="39" t="str">
        <f>_xlfn.XLOOKUP(Tabela1[[#This Row],[Matrícula]],Equipe!B:B,Equipe!E:E,"ERRO",0)</f>
        <v>P83</v>
      </c>
      <c r="I33" s="39" t="str">
        <f>VLOOKUP(Tabela1[[#This Row],[Matrícula]],Equipe!B:F,5,0)</f>
        <v>Experiente</v>
      </c>
    </row>
    <row r="34" spans="1:9" ht="15" thickBot="1">
      <c r="A34" s="85" t="s">
        <v>53</v>
      </c>
      <c r="B34" s="103">
        <f>_xlfn.XLOOKUP(A34,Equipe!H:H,Equipe!B:B,"",0)</f>
        <v>4608684</v>
      </c>
      <c r="C34" s="89">
        <v>45761</v>
      </c>
      <c r="D34" s="104">
        <f>IF(Tabela1[[#This Row],[Início]]&lt;&gt;"",C34+E34-1,"")</f>
        <v>45761</v>
      </c>
      <c r="E34" s="85">
        <v>1</v>
      </c>
      <c r="F34" s="85" t="s">
        <v>13</v>
      </c>
      <c r="G34" s="97"/>
      <c r="H34" s="39" t="str">
        <f>_xlfn.XLOOKUP(Tabela1[[#This Row],[Matrícula]],Equipe!B:B,Equipe!E:E,"ERRO",0)</f>
        <v>P82</v>
      </c>
      <c r="I34" s="39" t="str">
        <f>VLOOKUP(Tabela1[[#This Row],[Matrícula]],Equipe!B:F,5,0)</f>
        <v>Novo</v>
      </c>
    </row>
    <row r="35" spans="1:9" ht="15" thickBot="1">
      <c r="A35" s="85" t="s">
        <v>34</v>
      </c>
      <c r="B35" s="103">
        <f>_xlfn.XLOOKUP(A35,Equipe!H:H,Equipe!B:B,"",0)</f>
        <v>2493288</v>
      </c>
      <c r="C35" s="89">
        <v>45769</v>
      </c>
      <c r="D35" s="104">
        <f>IF(Tabela1[[#This Row],[Início]]&lt;&gt;"",C35+E35-1,"")</f>
        <v>45769</v>
      </c>
      <c r="E35" s="85">
        <v>1</v>
      </c>
      <c r="F35" s="85" t="s">
        <v>11</v>
      </c>
      <c r="G35" s="97" t="s">
        <v>36</v>
      </c>
      <c r="H35" s="39" t="str">
        <f>_xlfn.XLOOKUP(Tabela1[[#This Row],[Matrícula]],Equipe!B:B,Equipe!E:E,"ERRO",0)</f>
        <v>PBAC</v>
      </c>
      <c r="I35" s="39" t="str">
        <f>VLOOKUP(Tabela1[[#This Row],[Matrícula]],Equipe!B:F,5,0)</f>
        <v>Experiente</v>
      </c>
    </row>
    <row r="36" spans="1:9" ht="15" thickBot="1">
      <c r="A36" s="94" t="s">
        <v>45</v>
      </c>
      <c r="B36" s="103">
        <f>_xlfn.XLOOKUP(A36,Equipe!H:H,Equipe!B:B,"",0)</f>
        <v>4608780</v>
      </c>
      <c r="C36" s="89">
        <v>45770</v>
      </c>
      <c r="D36" s="104">
        <f>IF(Tabela1[[#This Row],[Início]]&lt;&gt;"",C36+E36-1,"")</f>
        <v>45772</v>
      </c>
      <c r="E36" s="85">
        <v>3</v>
      </c>
      <c r="F36" s="85" t="s">
        <v>15</v>
      </c>
      <c r="G36" s="97" t="s">
        <v>54</v>
      </c>
      <c r="H36" s="39" t="str">
        <f>_xlfn.XLOOKUP(Tabela1[[#This Row],[Matrícula]],Equipe!B:B,Equipe!E:E,"ERRO",0)</f>
        <v>P83</v>
      </c>
      <c r="I36" s="39" t="str">
        <f>VLOOKUP(Tabela1[[#This Row],[Matrícula]],Equipe!B:F,5,0)</f>
        <v>Novo</v>
      </c>
    </row>
    <row r="37" spans="1:9" ht="15" thickBot="1">
      <c r="A37" s="85" t="s">
        <v>33</v>
      </c>
      <c r="B37" s="103">
        <f>_xlfn.XLOOKUP(A37,Equipe!H:H,Equipe!B:B,"",0)</f>
        <v>9842940</v>
      </c>
      <c r="C37" s="89">
        <v>45770</v>
      </c>
      <c r="D37" s="104">
        <f>IF(Tabela1[[#This Row],[Início]]&lt;&gt;"",C37+E37-1,"")</f>
        <v>45772</v>
      </c>
      <c r="E37" s="85">
        <v>3</v>
      </c>
      <c r="F37" s="85" t="s">
        <v>15</v>
      </c>
      <c r="G37" s="97" t="s">
        <v>54</v>
      </c>
      <c r="H37" s="39" t="str">
        <f>_xlfn.XLOOKUP(Tabela1[[#This Row],[Matrícula]],Equipe!B:B,Equipe!E:E,"ERRO",0)</f>
        <v>P80</v>
      </c>
      <c r="I37" s="39" t="str">
        <f>VLOOKUP(Tabela1[[#This Row],[Matrícula]],Equipe!B:F,5,0)</f>
        <v>Novo</v>
      </c>
    </row>
    <row r="38" spans="1:9" ht="15" thickBot="1">
      <c r="A38" s="85" t="s">
        <v>35</v>
      </c>
      <c r="B38" s="103">
        <f>_xlfn.XLOOKUP(A38,Equipe!H:H,Equipe!B:B,"",0)</f>
        <v>1385894</v>
      </c>
      <c r="C38" s="89">
        <v>45770</v>
      </c>
      <c r="D38" s="104">
        <f>IF(Tabela1[[#This Row],[Início]]&lt;&gt;"",C38+E38-1,"")</f>
        <v>45777</v>
      </c>
      <c r="E38" s="85">
        <v>8</v>
      </c>
      <c r="F38" s="85" t="s">
        <v>15</v>
      </c>
      <c r="G38" s="97" t="s">
        <v>55</v>
      </c>
      <c r="H38" s="39" t="str">
        <f>_xlfn.XLOOKUP(Tabela1[[#This Row],[Matrícula]],Equipe!B:B,Equipe!E:E,"ERRO",0)</f>
        <v>P80</v>
      </c>
      <c r="I38" s="39" t="str">
        <f>VLOOKUP(Tabela1[[#This Row],[Matrícula]],Equipe!B:F,5,0)</f>
        <v>Experiente</v>
      </c>
    </row>
    <row r="39" spans="1:9" ht="29.45" thickBot="1">
      <c r="A39" s="85" t="s">
        <v>56</v>
      </c>
      <c r="B39" s="103">
        <f>_xlfn.XLOOKUP(A39,Equipe!H:H,Equipe!B:B,"",0)</f>
        <v>9612082</v>
      </c>
      <c r="C39" s="89">
        <v>45770</v>
      </c>
      <c r="D39" s="104">
        <f>IF(Tabela1[[#This Row],[Início]]&lt;&gt;"",C39+E39-1,"")</f>
        <v>45780</v>
      </c>
      <c r="E39" s="85">
        <v>11</v>
      </c>
      <c r="F39" s="85" t="s">
        <v>15</v>
      </c>
      <c r="G39" s="97" t="s">
        <v>57</v>
      </c>
      <c r="H39" s="39" t="str">
        <f>_xlfn.XLOOKUP(Tabela1[[#This Row],[Matrícula]],Equipe!B:B,Equipe!E:E,"ERRO",0)</f>
        <v>P82</v>
      </c>
      <c r="I39" s="39" t="str">
        <f>VLOOKUP(Tabela1[[#This Row],[Matrícula]],Equipe!B:F,5,0)</f>
        <v>Experiente</v>
      </c>
    </row>
    <row r="40" spans="1:9" ht="15" thickBot="1">
      <c r="A40" s="94" t="s">
        <v>45</v>
      </c>
      <c r="B40" s="103">
        <f>_xlfn.XLOOKUP(A40,Equipe!H:H,Equipe!B:B,"",0)</f>
        <v>4608780</v>
      </c>
      <c r="C40" s="89">
        <v>45773</v>
      </c>
      <c r="D40" s="104">
        <f>IF(Tabela1[[#This Row],[Início]]&lt;&gt;"",C40+E40-1,"")</f>
        <v>45782</v>
      </c>
      <c r="E40" s="85">
        <v>10</v>
      </c>
      <c r="F40" s="85" t="s">
        <v>11</v>
      </c>
      <c r="G40" s="97" t="s">
        <v>12</v>
      </c>
      <c r="H40" s="39" t="str">
        <f>_xlfn.XLOOKUP(Tabela1[[#This Row],[Matrícula]],Equipe!B:B,Equipe!E:E,"ERRO",0)</f>
        <v>P83</v>
      </c>
      <c r="I40" s="39" t="str">
        <f>VLOOKUP(Tabela1[[#This Row],[Matrícula]],Equipe!B:F,5,0)</f>
        <v>Novo</v>
      </c>
    </row>
    <row r="41" spans="1:9" ht="15" thickBot="1">
      <c r="A41" s="85" t="s">
        <v>33</v>
      </c>
      <c r="B41" s="103">
        <f>_xlfn.XLOOKUP(A41,Equipe!H:H,Equipe!B:B,"",0)</f>
        <v>9842940</v>
      </c>
      <c r="C41" s="89">
        <v>45773</v>
      </c>
      <c r="D41" s="104">
        <f>IF(Tabela1[[#This Row],[Início]]&lt;&gt;"",C41+E41-1,"")</f>
        <v>45782</v>
      </c>
      <c r="E41" s="85">
        <v>10</v>
      </c>
      <c r="F41" s="85" t="s">
        <v>11</v>
      </c>
      <c r="G41" s="97" t="s">
        <v>12</v>
      </c>
      <c r="H41" s="39" t="str">
        <f>_xlfn.XLOOKUP(Tabela1[[#This Row],[Matrícula]],Equipe!B:B,Equipe!E:E,"ERRO",0)</f>
        <v>P80</v>
      </c>
      <c r="I41" s="39" t="str">
        <f>VLOOKUP(Tabela1[[#This Row],[Matrícula]],Equipe!B:F,5,0)</f>
        <v>Novo</v>
      </c>
    </row>
    <row r="42" spans="1:9" ht="15" thickBot="1">
      <c r="A42" s="85" t="s">
        <v>27</v>
      </c>
      <c r="B42" s="103">
        <f>_xlfn.XLOOKUP(A42,Equipe!H:H,Equipe!B:B,"",0)</f>
        <v>2430855</v>
      </c>
      <c r="C42" s="89">
        <v>45775</v>
      </c>
      <c r="D42" s="104">
        <f>IF(Tabela1[[#This Row],[Início]]&lt;&gt;"",C42+E42-1,"")</f>
        <v>45775</v>
      </c>
      <c r="E42" s="85">
        <v>1</v>
      </c>
      <c r="F42" s="85" t="s">
        <v>13</v>
      </c>
      <c r="G42" s="97"/>
      <c r="H42" s="39" t="str">
        <f>_xlfn.XLOOKUP(Tabela1[[#This Row],[Matrícula]],Equipe!B:B,Equipe!E:E,"ERRO",0)</f>
        <v>PBAC</v>
      </c>
      <c r="I42" s="39" t="str">
        <f>VLOOKUP(Tabela1[[#This Row],[Matrícula]],Equipe!B:F,5,0)</f>
        <v>Experiente</v>
      </c>
    </row>
    <row r="43" spans="1:9" ht="15" thickBot="1">
      <c r="A43" s="85" t="s">
        <v>58</v>
      </c>
      <c r="B43" s="103">
        <f>_xlfn.XLOOKUP(A43,Equipe!H:H,Equipe!B:B,"",0)</f>
        <v>9886449</v>
      </c>
      <c r="C43" s="89">
        <v>45775</v>
      </c>
      <c r="D43" s="104">
        <f>IF(Tabela1[[#This Row],[Início]]&lt;&gt;"",C43+E43-1,"")</f>
        <v>45775</v>
      </c>
      <c r="E43" s="85">
        <v>1</v>
      </c>
      <c r="F43" s="85" t="s">
        <v>13</v>
      </c>
      <c r="G43" s="97"/>
      <c r="H43" s="39" t="str">
        <f>_xlfn.XLOOKUP(Tabela1[[#This Row],[Matrícula]],Equipe!B:B,Equipe!E:E,"ERRO",0)</f>
        <v>P80</v>
      </c>
      <c r="I43" s="39" t="str">
        <f>VLOOKUP(Tabela1[[#This Row],[Matrícula]],Equipe!B:F,5,0)</f>
        <v>Experiente</v>
      </c>
    </row>
    <row r="44" spans="1:9" ht="29.45" thickBot="1">
      <c r="A44" s="85" t="s">
        <v>14</v>
      </c>
      <c r="B44" s="103">
        <f>_xlfn.XLOOKUP(A44,Equipe!H:H,Equipe!B:B,"",0)</f>
        <v>4608544</v>
      </c>
      <c r="C44" s="89">
        <v>45776</v>
      </c>
      <c r="D44" s="104">
        <f>IF(Tabela1[[#This Row],[Início]]&lt;&gt;"",C44+E44-1,"")</f>
        <v>45776</v>
      </c>
      <c r="E44" s="85">
        <v>1</v>
      </c>
      <c r="F44" s="85" t="s">
        <v>17</v>
      </c>
      <c r="G44" s="97" t="s">
        <v>59</v>
      </c>
      <c r="H44" s="39" t="str">
        <f>_xlfn.XLOOKUP(Tabela1[[#This Row],[Matrícula]],Equipe!B:B,Equipe!E:E,"ERRO",0)</f>
        <v>P82</v>
      </c>
      <c r="I44" s="39" t="str">
        <f>VLOOKUP(Tabela1[[#This Row],[Matrícula]],Equipe!B:F,5,0)</f>
        <v>Novo</v>
      </c>
    </row>
    <row r="45" spans="1:9" ht="15" thickBot="1">
      <c r="A45" s="85" t="s">
        <v>34</v>
      </c>
      <c r="B45" s="103">
        <f>_xlfn.XLOOKUP(A45,Equipe!H:H,Equipe!B:B,"",0)</f>
        <v>2493288</v>
      </c>
      <c r="C45" s="89">
        <v>45779</v>
      </c>
      <c r="D45" s="104">
        <f>IF(Tabela1[[#This Row],[Início]]&lt;&gt;"",C45+E45-1,"")</f>
        <v>45779</v>
      </c>
      <c r="E45" s="85">
        <v>1</v>
      </c>
      <c r="F45" s="85" t="s">
        <v>11</v>
      </c>
      <c r="G45" s="97" t="s">
        <v>36</v>
      </c>
      <c r="H45" s="39" t="str">
        <f>_xlfn.XLOOKUP(Tabela1[[#This Row],[Matrícula]],Equipe!B:B,Equipe!E:E,"ERRO",0)</f>
        <v>PBAC</v>
      </c>
      <c r="I45" s="39" t="str">
        <f>VLOOKUP(Tabela1[[#This Row],[Matrícula]],Equipe!B:F,5,0)</f>
        <v>Experiente</v>
      </c>
    </row>
    <row r="46" spans="1:9" ht="15" thickBot="1">
      <c r="A46" s="85" t="s">
        <v>58</v>
      </c>
      <c r="B46" s="103">
        <f>_xlfn.XLOOKUP(A46,Equipe!H:H,Equipe!B:B,"",0)</f>
        <v>9886449</v>
      </c>
      <c r="C46" s="89">
        <v>45779</v>
      </c>
      <c r="D46" s="104">
        <f>IF(Tabela1[[#This Row],[Início]]&lt;&gt;"",C46+E46-1,"")</f>
        <v>45779</v>
      </c>
      <c r="E46" s="85">
        <v>1</v>
      </c>
      <c r="F46" s="85" t="s">
        <v>11</v>
      </c>
      <c r="G46" s="97" t="s">
        <v>60</v>
      </c>
      <c r="H46" s="39" t="str">
        <f>_xlfn.XLOOKUP(Tabela1[[#This Row],[Matrícula]],Equipe!B:B,Equipe!E:E,"ERRO",0)</f>
        <v>P80</v>
      </c>
      <c r="I46" s="39" t="str">
        <f>VLOOKUP(Tabela1[[#This Row],[Matrícula]],Equipe!B:F,5,0)</f>
        <v>Experiente</v>
      </c>
    </row>
    <row r="47" spans="1:9" ht="15" thickBot="1">
      <c r="A47" s="94" t="s">
        <v>49</v>
      </c>
      <c r="B47" s="103">
        <f>_xlfn.XLOOKUP(A47,Equipe!H:H,Equipe!B:B,"",0)</f>
        <v>4606694</v>
      </c>
      <c r="C47" s="89">
        <v>45779</v>
      </c>
      <c r="D47" s="104">
        <f>IF(Tabela1[[#This Row],[Início]]&lt;&gt;"",C47+E47-1,"")</f>
        <v>45779</v>
      </c>
      <c r="E47" s="85">
        <v>1</v>
      </c>
      <c r="F47" s="85" t="s">
        <v>11</v>
      </c>
      <c r="G47" s="97" t="s">
        <v>60</v>
      </c>
      <c r="H47" s="39" t="str">
        <f>_xlfn.XLOOKUP(Tabela1[[#This Row],[Matrícula]],Equipe!B:B,Equipe!E:E,"ERRO",0)</f>
        <v>PBAC</v>
      </c>
      <c r="I47" s="39" t="str">
        <f>VLOOKUP(Tabela1[[#This Row],[Matrícula]],Equipe!B:F,5,0)</f>
        <v>Novo</v>
      </c>
    </row>
    <row r="48" spans="1:9" ht="15" thickBot="1">
      <c r="A48" s="85" t="s">
        <v>61</v>
      </c>
      <c r="B48" s="103">
        <f>_xlfn.XLOOKUP(A48,Equipe!H:H,Equipe!B:B,"",0)</f>
        <v>4606246</v>
      </c>
      <c r="C48" s="89">
        <v>45779</v>
      </c>
      <c r="D48" s="104">
        <f>IF(Tabela1[[#This Row],[Início]]&lt;&gt;"",C48+E48-1,"")</f>
        <v>45779</v>
      </c>
      <c r="E48" s="85">
        <v>1</v>
      </c>
      <c r="F48" s="85" t="s">
        <v>11</v>
      </c>
      <c r="G48" s="97" t="s">
        <v>60</v>
      </c>
      <c r="H48" s="39" t="str">
        <f>_xlfn.XLOOKUP(Tabela1[[#This Row],[Matrícula]],Equipe!B:B,Equipe!E:E,"ERRO",0)</f>
        <v>PBAC</v>
      </c>
      <c r="I48" s="39" t="str">
        <f>VLOOKUP(Tabela1[[#This Row],[Matrícula]],Equipe!B:F,5,0)</f>
        <v>Novo</v>
      </c>
    </row>
    <row r="49" spans="1:9" ht="15" thickBot="1">
      <c r="A49" s="85" t="s">
        <v>62</v>
      </c>
      <c r="B49" s="103" t="str">
        <f>_xlfn.XLOOKUP(A49,Equipe!H:H,Equipe!B:B,"",0)</f>
        <v/>
      </c>
      <c r="C49" s="89">
        <v>45779</v>
      </c>
      <c r="D49" s="104">
        <f>IF(Tabela1[[#This Row],[Início]]&lt;&gt;"",C49+E49-1,"")</f>
        <v>45779</v>
      </c>
      <c r="E49" s="85">
        <v>1</v>
      </c>
      <c r="F49" s="85" t="s">
        <v>11</v>
      </c>
      <c r="G49" s="97" t="s">
        <v>63</v>
      </c>
      <c r="H49" s="39" t="str">
        <f>_xlfn.XLOOKUP(Tabela1[[#This Row],[Matrícula]],Equipe!B:B,Equipe!E:E,"ERRO",0)</f>
        <v>ERRO</v>
      </c>
      <c r="I49" s="39" t="e">
        <f>VLOOKUP(Tabela1[[#This Row],[Matrícula]],Equipe!B:F,5,0)</f>
        <v>#N/A</v>
      </c>
    </row>
    <row r="50" spans="1:9" ht="15" thickBot="1">
      <c r="A50" s="85" t="s">
        <v>30</v>
      </c>
      <c r="B50" s="103">
        <f>_xlfn.XLOOKUP(A50,Equipe!H:H,Equipe!B:B,"",0)</f>
        <v>4608474</v>
      </c>
      <c r="C50" s="89">
        <v>45779</v>
      </c>
      <c r="D50" s="104">
        <f>IF(Tabela1[[#This Row],[Início]]&lt;&gt;"",C50+E50-1,"")</f>
        <v>45783</v>
      </c>
      <c r="E50" s="85">
        <v>5</v>
      </c>
      <c r="F50" s="85" t="s">
        <v>15</v>
      </c>
      <c r="G50" s="97" t="s">
        <v>54</v>
      </c>
      <c r="H50" s="39" t="str">
        <f>_xlfn.XLOOKUP(Tabela1[[#This Row],[Matrícula]],Equipe!B:B,Equipe!E:E,"ERRO",0)</f>
        <v>P82</v>
      </c>
      <c r="I50" s="39" t="str">
        <f>VLOOKUP(Tabela1[[#This Row],[Matrícula]],Equipe!B:F,5,0)</f>
        <v>Novo</v>
      </c>
    </row>
    <row r="51" spans="1:9" ht="15" thickBot="1">
      <c r="A51" s="85" t="s">
        <v>32</v>
      </c>
      <c r="B51" s="103">
        <f>_xlfn.XLOOKUP(A51,Equipe!H:H,Equipe!B:B,"",0)</f>
        <v>4608721</v>
      </c>
      <c r="C51" s="89">
        <v>45779</v>
      </c>
      <c r="D51" s="104">
        <f>IF(Tabela1[[#This Row],[Início]]&lt;&gt;"",C51+E51-1,"")</f>
        <v>45783</v>
      </c>
      <c r="E51" s="85">
        <v>5</v>
      </c>
      <c r="F51" s="85" t="s">
        <v>15</v>
      </c>
      <c r="G51" s="97" t="s">
        <v>54</v>
      </c>
      <c r="H51" s="39" t="str">
        <f>_xlfn.XLOOKUP(Tabela1[[#This Row],[Matrícula]],Equipe!B:B,Equipe!E:E,"ERRO",0)</f>
        <v>P80</v>
      </c>
      <c r="I51" s="39" t="str">
        <f>VLOOKUP(Tabela1[[#This Row],[Matrícula]],Equipe!B:F,5,0)</f>
        <v>Novo</v>
      </c>
    </row>
    <row r="52" spans="1:9" ht="15" thickBot="1">
      <c r="A52" s="85" t="s">
        <v>64</v>
      </c>
      <c r="B52" s="103">
        <f>_xlfn.XLOOKUP(A52,Equipe!H:H,Equipe!B:B,"",0)</f>
        <v>9618720</v>
      </c>
      <c r="C52" s="89">
        <v>45784</v>
      </c>
      <c r="D52" s="104">
        <f>IF(Tabela1[[#This Row],[Início]]&lt;&gt;"",C52+E52-1,"")</f>
        <v>45784</v>
      </c>
      <c r="E52" s="85">
        <v>1</v>
      </c>
      <c r="F52" s="85" t="s">
        <v>13</v>
      </c>
      <c r="G52" s="97" t="s">
        <v>65</v>
      </c>
      <c r="H52" s="39" t="str">
        <f>_xlfn.XLOOKUP(Tabela1[[#This Row],[Matrícula]],Equipe!B:B,Equipe!E:E,"ERRO",0)</f>
        <v>P82</v>
      </c>
      <c r="I52" s="39" t="str">
        <f>VLOOKUP(Tabela1[[#This Row],[Matrícula]],Equipe!B:F,5,0)</f>
        <v>Experiente</v>
      </c>
    </row>
    <row r="53" spans="1:9" ht="15" thickBot="1">
      <c r="A53" s="85" t="s">
        <v>56</v>
      </c>
      <c r="B53" s="103">
        <f>_xlfn.XLOOKUP(A53,Equipe!H:H,Equipe!B:B,"",0)</f>
        <v>9612082</v>
      </c>
      <c r="C53" s="89">
        <v>45784</v>
      </c>
      <c r="D53" s="104">
        <f>IF(Tabela1[[#This Row],[Início]]&lt;&gt;"",C53+E53-1,"")</f>
        <v>45784</v>
      </c>
      <c r="E53" s="85">
        <v>1</v>
      </c>
      <c r="F53" s="85" t="s">
        <v>13</v>
      </c>
      <c r="G53" s="97" t="s">
        <v>66</v>
      </c>
      <c r="H53" s="39" t="str">
        <f>_xlfn.XLOOKUP(Tabela1[[#This Row],[Matrícula]],Equipe!B:B,Equipe!E:E,"ERRO",0)</f>
        <v>P82</v>
      </c>
      <c r="I53" s="39" t="str">
        <f>VLOOKUP(Tabela1[[#This Row],[Matrícula]],Equipe!B:F,5,0)</f>
        <v>Experiente</v>
      </c>
    </row>
    <row r="54" spans="1:9" ht="15" thickBot="1">
      <c r="A54" s="88" t="s">
        <v>27</v>
      </c>
      <c r="B54" s="103">
        <f>_xlfn.XLOOKUP(A54,Equipe!H:H,Equipe!B:B,"",0)</f>
        <v>2430855</v>
      </c>
      <c r="C54" s="89">
        <v>45784</v>
      </c>
      <c r="D54" s="104">
        <f>IF(Tabela1[[#This Row],[Início]]&lt;&gt;"",C54+E54-1,"")</f>
        <v>45785</v>
      </c>
      <c r="E54" s="85">
        <v>2</v>
      </c>
      <c r="F54" s="85" t="s">
        <v>21</v>
      </c>
      <c r="G54" s="97"/>
      <c r="H54" s="39" t="str">
        <f>_xlfn.XLOOKUP(Tabela1[[#This Row],[Matrícula]],Equipe!B:B,Equipe!E:E,"ERRO",0)</f>
        <v>PBAC</v>
      </c>
      <c r="I54" s="39" t="str">
        <f>VLOOKUP(Tabela1[[#This Row],[Matrícula]],Equipe!B:F,5,0)</f>
        <v>Experiente</v>
      </c>
    </row>
    <row r="55" spans="1:9" ht="15" thickBot="1">
      <c r="A55" s="85" t="s">
        <v>37</v>
      </c>
      <c r="B55" s="103">
        <f>_xlfn.XLOOKUP(A55,Equipe!H:H,Equipe!B:B,"",0)</f>
        <v>9724817</v>
      </c>
      <c r="C55" s="89">
        <v>45784</v>
      </c>
      <c r="D55" s="104">
        <f>IF(Tabela1[[#This Row],[Início]]&lt;&gt;"",C55+E55-1,"")</f>
        <v>45785</v>
      </c>
      <c r="E55" s="85">
        <v>2</v>
      </c>
      <c r="F55" s="85" t="s">
        <v>21</v>
      </c>
      <c r="G55" s="97" t="s">
        <v>67</v>
      </c>
      <c r="H55" s="39" t="str">
        <f>_xlfn.XLOOKUP(Tabela1[[#This Row],[Matrícula]],Equipe!B:B,Equipe!E:E,"ERRO",0)</f>
        <v>P82</v>
      </c>
      <c r="I55" s="39" t="str">
        <f>VLOOKUP(Tabela1[[#This Row],[Matrícula]],Equipe!B:F,5,0)</f>
        <v>Experiente</v>
      </c>
    </row>
    <row r="56" spans="1:9" ht="15" thickBot="1">
      <c r="A56" s="96" t="s">
        <v>22</v>
      </c>
      <c r="B56" s="103">
        <f>_xlfn.XLOOKUP(A56,Equipe!H:H,Equipe!B:B,"",0)</f>
        <v>4608389</v>
      </c>
      <c r="C56" s="89">
        <v>45784</v>
      </c>
      <c r="D56" s="104">
        <f>IF(Tabela1[[#This Row],[Início]]&lt;&gt;"",C56+E56-1,"")</f>
        <v>45785</v>
      </c>
      <c r="E56" s="85">
        <v>2</v>
      </c>
      <c r="F56" s="85" t="s">
        <v>21</v>
      </c>
      <c r="G56" s="97" t="s">
        <v>67</v>
      </c>
      <c r="H56" s="39" t="str">
        <f>_xlfn.XLOOKUP(Tabela1[[#This Row],[Matrícula]],Equipe!B:B,Equipe!E:E,"ERRO",0)</f>
        <v>P80</v>
      </c>
      <c r="I56" s="39" t="str">
        <f>VLOOKUP(Tabela1[[#This Row],[Matrícula]],Equipe!B:F,5,0)</f>
        <v>Novo</v>
      </c>
    </row>
    <row r="57" spans="1:9" ht="15" thickBot="1">
      <c r="A57" s="85" t="s">
        <v>26</v>
      </c>
      <c r="B57" s="103">
        <f>_xlfn.XLOOKUP(A57,Equipe!H:H,Equipe!B:B,"",0)</f>
        <v>9634180</v>
      </c>
      <c r="C57" s="89">
        <v>45784</v>
      </c>
      <c r="D57" s="104">
        <f>IF(Tabela1[[#This Row],[Início]]&lt;&gt;"",C57+E57-1,"")</f>
        <v>45785</v>
      </c>
      <c r="E57" s="85">
        <v>2</v>
      </c>
      <c r="F57" s="85" t="s">
        <v>21</v>
      </c>
      <c r="G57" s="97" t="s">
        <v>67</v>
      </c>
      <c r="H57" s="39" t="str">
        <f>_xlfn.XLOOKUP(Tabela1[[#This Row],[Matrícula]],Equipe!B:B,Equipe!E:E,"ERRO",0)</f>
        <v>P83</v>
      </c>
      <c r="I57" s="39" t="str">
        <f>VLOOKUP(Tabela1[[#This Row],[Matrícula]],Equipe!B:F,5,0)</f>
        <v>Experiente</v>
      </c>
    </row>
    <row r="58" spans="1:9" ht="15" thickBot="1">
      <c r="A58" s="94" t="s">
        <v>30</v>
      </c>
      <c r="B58" s="127">
        <f>_xlfn.XLOOKUP(A58,Equipe!H:H,Equipe!B:B,"",0)</f>
        <v>4608474</v>
      </c>
      <c r="C58" s="89">
        <v>45784</v>
      </c>
      <c r="D58" s="104">
        <f>IF(Tabela1[[#This Row],[Início]]&lt;&gt;"",C58+E58-1,"")</f>
        <v>45793</v>
      </c>
      <c r="E58" s="85">
        <v>10</v>
      </c>
      <c r="F58" s="85" t="s">
        <v>11</v>
      </c>
      <c r="G58" s="97" t="s">
        <v>12</v>
      </c>
      <c r="H58" s="39" t="str">
        <f>_xlfn.XLOOKUP(Tabela1[[#This Row],[Matrícula]],Equipe!B:B,Equipe!E:E,"ERRO",0)</f>
        <v>P82</v>
      </c>
      <c r="I58" s="39" t="str">
        <f>VLOOKUP(Tabela1[[#This Row],[Matrícula]],Equipe!B:F,5,0)</f>
        <v>Novo</v>
      </c>
    </row>
    <row r="59" spans="1:9" ht="15" thickBot="1">
      <c r="A59" s="85" t="s">
        <v>32</v>
      </c>
      <c r="B59" s="103">
        <f>_xlfn.XLOOKUP(A59,Equipe!H:H,Equipe!B:B,"",0)</f>
        <v>4608721</v>
      </c>
      <c r="C59" s="89">
        <v>45784</v>
      </c>
      <c r="D59" s="104">
        <f>IF(Tabela1[[#This Row],[Início]]&lt;&gt;"",C59+E59-1,"")</f>
        <v>45793</v>
      </c>
      <c r="E59" s="85">
        <v>10</v>
      </c>
      <c r="F59" s="85" t="s">
        <v>11</v>
      </c>
      <c r="G59" s="97" t="s">
        <v>12</v>
      </c>
      <c r="H59" s="39" t="str">
        <f>_xlfn.XLOOKUP(Tabela1[[#This Row],[Matrícula]],Equipe!B:B,Equipe!E:E,"ERRO",0)</f>
        <v>P80</v>
      </c>
      <c r="I59" s="39" t="str">
        <f>VLOOKUP(Tabela1[[#This Row],[Matrícula]],Equipe!B:F,5,0)</f>
        <v>Novo</v>
      </c>
    </row>
    <row r="60" spans="1:9" ht="15" thickBot="1">
      <c r="A60" s="85" t="s">
        <v>34</v>
      </c>
      <c r="B60" s="103">
        <f>_xlfn.XLOOKUP(A60,Equipe!H:H,Equipe!B:B,"",0)</f>
        <v>2493288</v>
      </c>
      <c r="C60" s="89">
        <v>45785</v>
      </c>
      <c r="D60" s="104">
        <f>IF(Tabela1[[#This Row],[Início]]&lt;&gt;"",C60+E60-1,"")</f>
        <v>45785</v>
      </c>
      <c r="E60" s="85">
        <v>1</v>
      </c>
      <c r="F60" s="85" t="s">
        <v>21</v>
      </c>
      <c r="G60" s="97" t="s">
        <v>68</v>
      </c>
      <c r="H60" s="39" t="str">
        <f>_xlfn.XLOOKUP(Tabela1[[#This Row],[Matrícula]],Equipe!B:B,Equipe!E:E,"ERRO",0)</f>
        <v>PBAC</v>
      </c>
      <c r="I60" s="39" t="str">
        <f>VLOOKUP(Tabela1[[#This Row],[Matrícula]],Equipe!B:F,5,0)</f>
        <v>Experiente</v>
      </c>
    </row>
    <row r="61" spans="1:9" ht="15" thickBot="1">
      <c r="A61" s="85" t="s">
        <v>58</v>
      </c>
      <c r="B61" s="103">
        <f>_xlfn.XLOOKUP(A61,Equipe!H:H,Equipe!B:B,"",0)</f>
        <v>9886449</v>
      </c>
      <c r="C61" s="89">
        <v>45785</v>
      </c>
      <c r="D61" s="104">
        <f>IF(Tabela1[[#This Row],[Início]]&lt;&gt;"",C61+E61-1,"")</f>
        <v>45786</v>
      </c>
      <c r="E61" s="85">
        <v>2</v>
      </c>
      <c r="F61" s="85" t="s">
        <v>11</v>
      </c>
      <c r="G61" s="97" t="s">
        <v>69</v>
      </c>
      <c r="H61" s="39" t="str">
        <f>_xlfn.XLOOKUP(Tabela1[[#This Row],[Matrícula]],Equipe!B:B,Equipe!E:E,"ERRO",0)</f>
        <v>P80</v>
      </c>
      <c r="I61" s="39" t="str">
        <f>VLOOKUP(Tabela1[[#This Row],[Matrícula]],Equipe!B:F,5,0)</f>
        <v>Experiente</v>
      </c>
    </row>
    <row r="62" spans="1:9" ht="15" thickBot="1">
      <c r="A62" s="85" t="s">
        <v>37</v>
      </c>
      <c r="B62" s="103">
        <f>_xlfn.XLOOKUP(A62,Equipe!H:H,Equipe!B:B,"",0)</f>
        <v>9724817</v>
      </c>
      <c r="C62" s="89">
        <v>45791</v>
      </c>
      <c r="D62" s="104">
        <f>IF(Tabela1[[#This Row],[Início]]&lt;&gt;"",C62+E62-1,"")</f>
        <v>45791</v>
      </c>
      <c r="E62" s="85">
        <v>1</v>
      </c>
      <c r="F62" s="85" t="s">
        <v>13</v>
      </c>
      <c r="G62" s="97" t="s">
        <v>70</v>
      </c>
      <c r="H62" s="39" t="str">
        <f>_xlfn.XLOOKUP(Tabela1[[#This Row],[Matrícula]],Equipe!B:B,Equipe!E:E,"ERRO",0)</f>
        <v>P82</v>
      </c>
      <c r="I62" s="39" t="str">
        <f>VLOOKUP(Tabela1[[#This Row],[Matrícula]],Equipe!B:F,5,0)</f>
        <v>Experiente</v>
      </c>
    </row>
    <row r="63" spans="1:9" ht="15" thickBot="1">
      <c r="A63" s="85" t="s">
        <v>25</v>
      </c>
      <c r="B63" s="103">
        <f>_xlfn.XLOOKUP(A63,Equipe!H:H,Equipe!B:B,"",0)</f>
        <v>4608685</v>
      </c>
      <c r="C63" s="89">
        <v>45791</v>
      </c>
      <c r="D63" s="104">
        <f>IF(Tabela1[[#This Row],[Início]]&lt;&gt;"",C63+E63-1,"")</f>
        <v>45791</v>
      </c>
      <c r="E63" s="85">
        <v>1</v>
      </c>
      <c r="F63" s="94" t="s">
        <v>13</v>
      </c>
      <c r="G63" s="97"/>
      <c r="H63" s="39" t="str">
        <f>_xlfn.XLOOKUP(Tabela1[[#This Row],[Matrícula]],Equipe!B:B,Equipe!E:E,"ERRO",0)</f>
        <v>P80</v>
      </c>
      <c r="I63" s="39" t="str">
        <f>VLOOKUP(Tabela1[[#This Row],[Matrícula]],Equipe!B:F,5,0)</f>
        <v>Novo</v>
      </c>
    </row>
    <row r="64" spans="1:9" ht="15" thickBot="1">
      <c r="A64" s="85" t="s">
        <v>41</v>
      </c>
      <c r="B64" s="103">
        <f>_xlfn.XLOOKUP(A64,Equipe!H:H,Equipe!B:B,"",0)</f>
        <v>1381625</v>
      </c>
      <c r="C64" s="89">
        <v>45791</v>
      </c>
      <c r="D64" s="104">
        <f>IF(Tabela1[[#This Row],[Início]]&lt;&gt;"",C64+E64-1,"")</f>
        <v>45791</v>
      </c>
      <c r="E64" s="85">
        <v>1</v>
      </c>
      <c r="F64" s="85" t="s">
        <v>13</v>
      </c>
      <c r="G64" s="97" t="s">
        <v>71</v>
      </c>
      <c r="H64" s="39" t="str">
        <f>_xlfn.XLOOKUP(Tabela1[[#This Row],[Matrícula]],Equipe!B:B,Equipe!E:E,"ERRO",0)</f>
        <v>P80</v>
      </c>
      <c r="I64" s="39" t="str">
        <f>VLOOKUP(Tabela1[[#This Row],[Matrícula]],Equipe!B:F,5,0)</f>
        <v>Experiente</v>
      </c>
    </row>
    <row r="65" spans="1:9" ht="44.1" thickBot="1">
      <c r="A65" s="85" t="s">
        <v>52</v>
      </c>
      <c r="B65" s="103">
        <f>_xlfn.XLOOKUP(A65,Equipe!H:H,Equipe!B:B,"",0)</f>
        <v>2477135</v>
      </c>
      <c r="C65" s="89">
        <v>45791</v>
      </c>
      <c r="D65" s="104">
        <f>IF(Tabela1[[#This Row],[Início]]&lt;&gt;"",C65+E65-1,"")</f>
        <v>45792</v>
      </c>
      <c r="E65" s="85">
        <v>2</v>
      </c>
      <c r="F65" s="85" t="s">
        <v>17</v>
      </c>
      <c r="G65" s="97" t="s">
        <v>72</v>
      </c>
      <c r="H65" s="39" t="str">
        <f>_xlfn.XLOOKUP(Tabela1[[#This Row],[Matrícula]],Equipe!B:B,Equipe!E:E,"ERRO",0)</f>
        <v>P83</v>
      </c>
      <c r="I65" s="39" t="str">
        <f>VLOOKUP(Tabela1[[#This Row],[Matrícula]],Equipe!B:F,5,0)</f>
        <v>Experiente</v>
      </c>
    </row>
    <row r="66" spans="1:9" ht="15" thickBot="1">
      <c r="A66" s="85" t="s">
        <v>47</v>
      </c>
      <c r="B66" s="103">
        <f>_xlfn.XLOOKUP(A66,Equipe!H:H,Equipe!B:B,"",0)</f>
        <v>4608411</v>
      </c>
      <c r="C66" s="89">
        <v>45796</v>
      </c>
      <c r="D66" s="104">
        <f>IF(Tabela1[[#This Row],[Início]]&lt;&gt;"",C66+E66-1,"")</f>
        <v>45808</v>
      </c>
      <c r="E66" s="85">
        <v>13</v>
      </c>
      <c r="F66" s="85" t="s">
        <v>15</v>
      </c>
      <c r="G66" s="97" t="s">
        <v>23</v>
      </c>
      <c r="H66" s="39" t="str">
        <f>_xlfn.XLOOKUP(Tabela1[[#This Row],[Matrícula]],Equipe!B:B,Equipe!E:E,"ERRO",0)</f>
        <v>P83</v>
      </c>
      <c r="I66" s="39" t="str">
        <f>VLOOKUP(Tabela1[[#This Row],[Matrícula]],Equipe!B:F,5,0)</f>
        <v>Novo</v>
      </c>
    </row>
    <row r="67" spans="1:9" ht="15" thickBot="1">
      <c r="A67" s="85" t="s">
        <v>19</v>
      </c>
      <c r="B67" s="103">
        <f>_xlfn.XLOOKUP(A67,Equipe!H:H,Equipe!B:B,"",0)</f>
        <v>4608559</v>
      </c>
      <c r="C67" s="89">
        <v>45797</v>
      </c>
      <c r="D67" s="104">
        <v>45797</v>
      </c>
      <c r="E67" s="85">
        <v>1</v>
      </c>
      <c r="F67" s="85" t="s">
        <v>11</v>
      </c>
      <c r="G67" s="97"/>
      <c r="H67" s="39" t="str">
        <f>_xlfn.XLOOKUP(Tabela1[[#This Row],[Matrícula]],Equipe!B:B,Equipe!E:E,"ERRO",0)</f>
        <v>P83</v>
      </c>
      <c r="I67" s="39" t="str">
        <f>VLOOKUP(Tabela1[[#This Row],[Matrícula]],Equipe!B:F,5,0)</f>
        <v>Novo</v>
      </c>
    </row>
    <row r="68" spans="1:9" ht="15" thickBot="1">
      <c r="A68" s="85" t="s">
        <v>22</v>
      </c>
      <c r="B68" s="103">
        <f>_xlfn.XLOOKUP(A68,Equipe!H:H,Equipe!B:B,"",0)</f>
        <v>4608389</v>
      </c>
      <c r="C68" s="89">
        <v>45798</v>
      </c>
      <c r="D68" s="104">
        <f>IF(Tabela1[[#This Row],[Início]]&lt;&gt;"",C68+E68-1,"")</f>
        <v>45798</v>
      </c>
      <c r="E68" s="85">
        <v>1</v>
      </c>
      <c r="F68" s="85" t="s">
        <v>13</v>
      </c>
      <c r="G68" s="97" t="s">
        <v>73</v>
      </c>
      <c r="H68" s="39" t="str">
        <f>_xlfn.XLOOKUP(Tabela1[[#This Row],[Matrícula]],Equipe!B:B,Equipe!E:E,"ERRO",0)</f>
        <v>P80</v>
      </c>
      <c r="I68" s="39" t="str">
        <f>VLOOKUP(Tabela1[[#This Row],[Matrícula]],Equipe!B:F,5,0)</f>
        <v>Novo</v>
      </c>
    </row>
    <row r="69" spans="1:9" ht="15" thickBot="1">
      <c r="A69" s="85" t="s">
        <v>35</v>
      </c>
      <c r="B69" s="103">
        <f>_xlfn.XLOOKUP(A69,Equipe!H:H,Equipe!B:B,"",0)</f>
        <v>1385894</v>
      </c>
      <c r="C69" s="89">
        <v>45798</v>
      </c>
      <c r="D69" s="104">
        <f>IF(Tabela1[[#This Row],[Início]]&lt;&gt;"",C69+E69-1,"")</f>
        <v>45798</v>
      </c>
      <c r="E69" s="85">
        <v>1</v>
      </c>
      <c r="F69" s="85" t="s">
        <v>13</v>
      </c>
      <c r="G69" s="97" t="s">
        <v>74</v>
      </c>
      <c r="H69" s="39" t="str">
        <f>_xlfn.XLOOKUP(Tabela1[[#This Row],[Matrícula]],Equipe!B:B,Equipe!E:E,"ERRO",0)</f>
        <v>P80</v>
      </c>
      <c r="I69" s="39" t="str">
        <f>VLOOKUP(Tabela1[[#This Row],[Matrícula]],Equipe!B:F,5,0)</f>
        <v>Experiente</v>
      </c>
    </row>
    <row r="70" spans="1:9" ht="15" thickBot="1">
      <c r="A70" s="85" t="s">
        <v>56</v>
      </c>
      <c r="B70" s="103">
        <f>_xlfn.XLOOKUP(A70,Equipe!H:H,Equipe!B:B,"",0)</f>
        <v>9612082</v>
      </c>
      <c r="C70" s="89">
        <v>45798</v>
      </c>
      <c r="D70" s="104">
        <f>IF(Tabela1[[#This Row],[Início]]&lt;&gt;"",C70+E70-1,"")</f>
        <v>45798</v>
      </c>
      <c r="E70" s="85">
        <v>1</v>
      </c>
      <c r="F70" s="85" t="s">
        <v>13</v>
      </c>
      <c r="G70" s="97" t="s">
        <v>75</v>
      </c>
      <c r="H70" s="39" t="str">
        <f>_xlfn.XLOOKUP(Tabela1[[#This Row],[Matrícula]],Equipe!B:B,Equipe!E:E,"ERRO",0)</f>
        <v>P82</v>
      </c>
      <c r="I70" s="39" t="str">
        <f>VLOOKUP(Tabela1[[#This Row],[Matrícula]],Equipe!B:F,5,0)</f>
        <v>Experiente</v>
      </c>
    </row>
    <row r="71" spans="1:9" ht="15" thickBot="1">
      <c r="A71" s="85" t="s">
        <v>19</v>
      </c>
      <c r="B71" s="103">
        <f>_xlfn.XLOOKUP(A71,Equipe!H:H,Equipe!B:B,"",0)</f>
        <v>4608559</v>
      </c>
      <c r="C71" s="89">
        <v>45798</v>
      </c>
      <c r="D71" s="104">
        <f>IF(Tabela1[[#This Row],[Início]]&lt;&gt;"",C71+E71-1,"")</f>
        <v>45798</v>
      </c>
      <c r="E71" s="85">
        <v>1</v>
      </c>
      <c r="F71" s="85" t="s">
        <v>13</v>
      </c>
      <c r="G71" s="97"/>
      <c r="H71" s="39" t="str">
        <f>_xlfn.XLOOKUP(Tabela1[[#This Row],[Matrícula]],Equipe!B:B,Equipe!E:E,"ERRO",0)</f>
        <v>P83</v>
      </c>
      <c r="I71" s="39" t="str">
        <f>VLOOKUP(Tabela1[[#This Row],[Matrícula]],Equipe!B:F,5,0)</f>
        <v>Novo</v>
      </c>
    </row>
    <row r="72" spans="1:9" ht="15" thickBot="1">
      <c r="A72" s="94" t="s">
        <v>61</v>
      </c>
      <c r="B72" s="103">
        <f>_xlfn.XLOOKUP(A72,Equipe!H:H,Equipe!B:B,"",0)</f>
        <v>4606246</v>
      </c>
      <c r="C72" s="89">
        <v>45798</v>
      </c>
      <c r="D72" s="104">
        <f>IF(Tabela1[[#This Row],[Início]]&lt;&gt;"",C72+E72-1,"")</f>
        <v>45799</v>
      </c>
      <c r="E72" s="85">
        <v>2</v>
      </c>
      <c r="F72" s="85" t="s">
        <v>11</v>
      </c>
      <c r="G72" s="97" t="s">
        <v>76</v>
      </c>
      <c r="H72" s="39" t="str">
        <f>_xlfn.XLOOKUP(Tabela1[[#This Row],[Matrícula]],Equipe!B:B,Equipe!E:E,"ERRO",0)</f>
        <v>PBAC</v>
      </c>
      <c r="I72" s="39" t="str">
        <f>VLOOKUP(Tabela1[[#This Row],[Matrícula]],Equipe!B:F,5,0)</f>
        <v>Novo</v>
      </c>
    </row>
    <row r="73" spans="1:9" ht="15" thickBot="1">
      <c r="A73" s="85" t="s">
        <v>62</v>
      </c>
      <c r="B73" s="103" t="str">
        <f>_xlfn.XLOOKUP(A73,Equipe!H:H,Equipe!B:B,"",0)</f>
        <v/>
      </c>
      <c r="C73" s="89">
        <v>45804</v>
      </c>
      <c r="D73" s="104">
        <f>IF(Tabela1[[#This Row],[Início]]&lt;&gt;"",C73+E73-1,"")</f>
        <v>45805</v>
      </c>
      <c r="E73" s="85">
        <v>2</v>
      </c>
      <c r="F73" s="85" t="s">
        <v>17</v>
      </c>
      <c r="G73" s="97" t="s">
        <v>77</v>
      </c>
      <c r="H73" s="39" t="str">
        <f>_xlfn.XLOOKUP(Tabela1[[#This Row],[Matrícula]],Equipe!B:B,Equipe!E:E,"ERRO",0)</f>
        <v>ERRO</v>
      </c>
      <c r="I73" s="39" t="e">
        <f>VLOOKUP(Tabela1[[#This Row],[Matrícula]],Equipe!B:F,5,0)</f>
        <v>#N/A</v>
      </c>
    </row>
    <row r="74" spans="1:9" ht="15" thickBot="1">
      <c r="A74" s="85" t="s">
        <v>49</v>
      </c>
      <c r="B74" s="103">
        <f>_xlfn.XLOOKUP(A74,Equipe!H:H,Equipe!B:B,"",0)</f>
        <v>4606694</v>
      </c>
      <c r="C74" s="89">
        <v>45804</v>
      </c>
      <c r="D74" s="104">
        <f>IF(Tabela1[[#This Row],[Início]]&lt;&gt;"",C74+E74-1,"")</f>
        <v>45805</v>
      </c>
      <c r="E74" s="85">
        <v>2</v>
      </c>
      <c r="F74" s="85" t="s">
        <v>17</v>
      </c>
      <c r="G74" s="97" t="s">
        <v>77</v>
      </c>
      <c r="H74" s="39" t="str">
        <f>_xlfn.XLOOKUP(Tabela1[[#This Row],[Matrícula]],Equipe!B:B,Equipe!E:E,"ERRO",0)</f>
        <v>PBAC</v>
      </c>
      <c r="I74" s="39" t="str">
        <f>VLOOKUP(Tabela1[[#This Row],[Matrícula]],Equipe!B:F,5,0)</f>
        <v>Novo</v>
      </c>
    </row>
    <row r="75" spans="1:9" ht="28.5" customHeight="1" thickBot="1">
      <c r="A75" s="85" t="s">
        <v>45</v>
      </c>
      <c r="B75" s="103">
        <f>_xlfn.XLOOKUP(A75,Equipe!H:H,Equipe!B:B,"",0)</f>
        <v>4608780</v>
      </c>
      <c r="C75" s="89">
        <v>45804</v>
      </c>
      <c r="D75" s="104">
        <f>IF(Tabela1[[#This Row],[Início]]&lt;&gt;"",C75+E75-1,"")</f>
        <v>45805</v>
      </c>
      <c r="E75" s="85">
        <v>2</v>
      </c>
      <c r="F75" s="85" t="s">
        <v>17</v>
      </c>
      <c r="G75" s="97" t="s">
        <v>77</v>
      </c>
      <c r="H75" s="39" t="str">
        <f>_xlfn.XLOOKUP(Tabela1[[#This Row],[Matrícula]],Equipe!B:B,Equipe!E:E,"ERRO",0)</f>
        <v>P83</v>
      </c>
      <c r="I75" s="39" t="str">
        <f>VLOOKUP(Tabela1[[#This Row],[Matrícula]],Equipe!B:F,5,0)</f>
        <v>Novo</v>
      </c>
    </row>
    <row r="76" spans="1:9" ht="29.45" thickBot="1">
      <c r="A76" s="85" t="s">
        <v>30</v>
      </c>
      <c r="B76" s="103">
        <f>_xlfn.XLOOKUP(A76,Equipe!H:H,Equipe!B:B,"",0)</f>
        <v>4608474</v>
      </c>
      <c r="C76" s="89">
        <v>45804</v>
      </c>
      <c r="D76" s="104">
        <f>IF(Tabela1[[#This Row],[Início]]&lt;&gt;"",C76+E76-1,"")</f>
        <v>45805</v>
      </c>
      <c r="E76" s="85">
        <v>2</v>
      </c>
      <c r="F76" s="85" t="s">
        <v>17</v>
      </c>
      <c r="G76" s="97" t="s">
        <v>78</v>
      </c>
      <c r="H76" s="39" t="str">
        <f>_xlfn.XLOOKUP(Tabela1[[#This Row],[Matrícula]],Equipe!B:B,Equipe!E:E,"ERRO",0)</f>
        <v>P82</v>
      </c>
      <c r="I76" s="39" t="str">
        <f>VLOOKUP(Tabela1[[#This Row],[Matrícula]],Equipe!B:F,5,0)</f>
        <v>Novo</v>
      </c>
    </row>
    <row r="77" spans="1:9" ht="29.45" thickBot="1">
      <c r="A77" s="94" t="s">
        <v>61</v>
      </c>
      <c r="B77" s="103">
        <f>_xlfn.XLOOKUP(A77,Equipe!H:H,Equipe!B:B,"",0)</f>
        <v>4606246</v>
      </c>
      <c r="C77" s="89">
        <v>45804</v>
      </c>
      <c r="D77" s="104">
        <f>IF(Tabela1[[#This Row],[Início]]&lt;&gt;"",C77+E77-1,"")</f>
        <v>45805</v>
      </c>
      <c r="E77" s="85">
        <v>2</v>
      </c>
      <c r="F77" s="85" t="s">
        <v>17</v>
      </c>
      <c r="G77" s="97" t="s">
        <v>78</v>
      </c>
      <c r="H77" s="39" t="str">
        <f>_xlfn.XLOOKUP(Tabela1[[#This Row],[Matrícula]],Equipe!B:B,Equipe!E:E,"ERRO",0)</f>
        <v>PBAC</v>
      </c>
      <c r="I77" s="39" t="str">
        <f>VLOOKUP(Tabela1[[#This Row],[Matrícula]],Equipe!B:F,5,0)</f>
        <v>Novo</v>
      </c>
    </row>
    <row r="78" spans="1:9" ht="15" thickBot="1">
      <c r="A78" s="85" t="s">
        <v>33</v>
      </c>
      <c r="B78" s="103">
        <f>_xlfn.XLOOKUP(A78,Equipe!H:H,Equipe!B:B,"",0)</f>
        <v>9842940</v>
      </c>
      <c r="C78" s="89">
        <v>45805</v>
      </c>
      <c r="D78" s="104">
        <f>IF(Tabela1[[#This Row],[Início]]&lt;&gt;"",C78+E78-1,"")</f>
        <v>45819</v>
      </c>
      <c r="E78" s="85">
        <v>15</v>
      </c>
      <c r="F78" s="85" t="s">
        <v>15</v>
      </c>
      <c r="G78" s="97" t="s">
        <v>79</v>
      </c>
      <c r="H78" s="39" t="str">
        <f>_xlfn.XLOOKUP(Tabela1[[#This Row],[Matrícula]],Equipe!B:B,Equipe!E:E,"ERRO",0)</f>
        <v>P80</v>
      </c>
      <c r="I78" s="39" t="str">
        <f>VLOOKUP(Tabela1[[#This Row],[Matrícula]],Equipe!B:F,5,0)</f>
        <v>Novo</v>
      </c>
    </row>
    <row r="79" spans="1:9" ht="15" thickBot="1">
      <c r="A79" s="85" t="s">
        <v>25</v>
      </c>
      <c r="B79" s="103">
        <f>_xlfn.XLOOKUP(A79,Equipe!H:H,Equipe!B:B,"",0)</f>
        <v>4608685</v>
      </c>
      <c r="C79" s="95">
        <v>45809</v>
      </c>
      <c r="D79" s="104">
        <f>IF(Tabela1[[#This Row],[Início]]&lt;&gt;"",C79+E79-1,"")</f>
        <v>45821</v>
      </c>
      <c r="E79" s="85">
        <v>13</v>
      </c>
      <c r="F79" s="85" t="s">
        <v>15</v>
      </c>
      <c r="G79" s="97" t="s">
        <v>54</v>
      </c>
      <c r="H79" s="39" t="str">
        <f>_xlfn.XLOOKUP(Tabela1[[#This Row],[Matrícula]],Equipe!B:B,Equipe!E:E,"ERRO",0)</f>
        <v>P80</v>
      </c>
      <c r="I79" s="39" t="str">
        <f>VLOOKUP(Tabela1[[#This Row],[Matrícula]],Equipe!B:F,5,0)</f>
        <v>Novo</v>
      </c>
    </row>
    <row r="80" spans="1:9" ht="15" thickBot="1">
      <c r="A80" s="85" t="s">
        <v>47</v>
      </c>
      <c r="B80" s="103">
        <f>_xlfn.XLOOKUP(A80,Equipe!H:H,Equipe!B:B,"",0)</f>
        <v>4608411</v>
      </c>
      <c r="C80" s="89">
        <v>45809</v>
      </c>
      <c r="D80" s="104">
        <f>IF(Tabela1[[#This Row],[Início]]&lt;&gt;"",C80+E80-1,"")</f>
        <v>45838</v>
      </c>
      <c r="E80" s="85">
        <v>30</v>
      </c>
      <c r="F80" s="85" t="s">
        <v>11</v>
      </c>
      <c r="G80" s="97" t="s">
        <v>12</v>
      </c>
      <c r="H80" s="39" t="str">
        <f>_xlfn.XLOOKUP(Tabela1[[#This Row],[Matrícula]],Equipe!B:B,Equipe!E:E,"ERRO",0)</f>
        <v>P83</v>
      </c>
      <c r="I80" s="39" t="str">
        <f>VLOOKUP(Tabela1[[#This Row],[Matrícula]],Equipe!B:F,5,0)</f>
        <v>Novo</v>
      </c>
    </row>
    <row r="81" spans="1:9" ht="15" thickBot="1">
      <c r="A81" s="85" t="s">
        <v>34</v>
      </c>
      <c r="B81" s="103">
        <f>_xlfn.XLOOKUP(A81,Equipe!H:H,Equipe!B:B,"",0)</f>
        <v>2493288</v>
      </c>
      <c r="C81" s="89">
        <v>45810</v>
      </c>
      <c r="D81" s="104">
        <f>IF(Tabela1[[#This Row],[Início]]&lt;&gt;"",C81+E81-1,"")</f>
        <v>45814</v>
      </c>
      <c r="E81" s="85">
        <v>5</v>
      </c>
      <c r="F81" s="85" t="s">
        <v>17</v>
      </c>
      <c r="G81" s="97" t="s">
        <v>80</v>
      </c>
      <c r="H81" s="39" t="str">
        <f>_xlfn.XLOOKUP(Tabela1[[#This Row],[Matrícula]],Equipe!B:B,Equipe!E:E,"ERRO",0)</f>
        <v>PBAC</v>
      </c>
      <c r="I81" s="39" t="str">
        <f>VLOOKUP(Tabela1[[#This Row],[Matrícula]],Equipe!B:F,5,0)</f>
        <v>Experiente</v>
      </c>
    </row>
    <row r="82" spans="1:9" ht="15" thickBot="1">
      <c r="A82" s="85" t="s">
        <v>37</v>
      </c>
      <c r="B82" s="103">
        <f>_xlfn.XLOOKUP(A82,Equipe!H:H,Equipe!B:B,"",0)</f>
        <v>9724817</v>
      </c>
      <c r="C82" s="89">
        <v>45814</v>
      </c>
      <c r="D82" s="104">
        <f>IF(Tabela1[[#This Row],[Início]]&lt;&gt;"",C82+E82-1,"")</f>
        <v>45814</v>
      </c>
      <c r="E82" s="85">
        <v>1</v>
      </c>
      <c r="F82" s="85" t="s">
        <v>17</v>
      </c>
      <c r="G82" s="97" t="s">
        <v>81</v>
      </c>
      <c r="H82" s="39" t="str">
        <f>_xlfn.XLOOKUP(Tabela1[[#This Row],[Matrícula]],Equipe!B:B,Equipe!E:E,"ERRO",0)</f>
        <v>P82</v>
      </c>
      <c r="I82" s="39" t="str">
        <f>VLOOKUP(Tabela1[[#This Row],[Matrícula]],Equipe!B:F,5,0)</f>
        <v>Experiente</v>
      </c>
    </row>
    <row r="83" spans="1:9" ht="15" thickBot="1">
      <c r="A83" s="85" t="s">
        <v>14</v>
      </c>
      <c r="B83" s="103">
        <f>_xlfn.XLOOKUP(A83,Equipe!H:H,Equipe!B:B,"",0)</f>
        <v>4608544</v>
      </c>
      <c r="C83" s="89">
        <v>45816</v>
      </c>
      <c r="D83" s="104">
        <f>IF(Tabela1[[#This Row],[Início]]&lt;&gt;"",C83+E83-1,"")</f>
        <v>45821</v>
      </c>
      <c r="E83" s="85">
        <v>6</v>
      </c>
      <c r="F83" s="85" t="s">
        <v>15</v>
      </c>
      <c r="G83" s="97" t="s">
        <v>54</v>
      </c>
      <c r="H83" s="39" t="str">
        <f>_xlfn.XLOOKUP(Tabela1[[#This Row],[Matrícula]],Equipe!B:B,Equipe!E:E,"ERRO",0)</f>
        <v>P82</v>
      </c>
      <c r="I83" s="39" t="str">
        <f>VLOOKUP(Tabela1[[#This Row],[Matrícula]],Equipe!B:F,5,0)</f>
        <v>Novo</v>
      </c>
    </row>
    <row r="84" spans="1:9" ht="15" thickBot="1">
      <c r="A84" s="85" t="s">
        <v>53</v>
      </c>
      <c r="B84" s="103">
        <f>_xlfn.XLOOKUP(A84,Equipe!H:H,Equipe!B:B,"",0)</f>
        <v>4608684</v>
      </c>
      <c r="C84" s="89">
        <v>45816</v>
      </c>
      <c r="D84" s="104">
        <f>IF(Tabela1[[#This Row],[Início]]&lt;&gt;"",C84+E84-1,"")</f>
        <v>45821</v>
      </c>
      <c r="E84" s="85">
        <v>6</v>
      </c>
      <c r="F84" s="85" t="s">
        <v>15</v>
      </c>
      <c r="G84" s="97" t="s">
        <v>54</v>
      </c>
      <c r="H84" s="39" t="str">
        <f>_xlfn.XLOOKUP(Tabela1[[#This Row],[Matrícula]],Equipe!B:B,Equipe!E:E,"ERRO",0)</f>
        <v>P82</v>
      </c>
      <c r="I84" s="39" t="str">
        <f>VLOOKUP(Tabela1[[#This Row],[Matrícula]],Equipe!B:F,5,0)</f>
        <v>Novo</v>
      </c>
    </row>
    <row r="85" spans="1:9" ht="15" thickBot="1">
      <c r="A85" s="96" t="s">
        <v>45</v>
      </c>
      <c r="B85" s="103">
        <f>_xlfn.XLOOKUP(A85,Equipe!H:H,Equipe!B:B,"",0)</f>
        <v>4608780</v>
      </c>
      <c r="C85" s="89">
        <v>45817</v>
      </c>
      <c r="D85" s="104">
        <f>IF(Tabela1[[#This Row],[Início]]&lt;&gt;"",C85+E85-1,"")</f>
        <v>45821</v>
      </c>
      <c r="E85" s="85">
        <v>5</v>
      </c>
      <c r="F85" s="85" t="s">
        <v>17</v>
      </c>
      <c r="G85" s="97" t="s">
        <v>82</v>
      </c>
      <c r="H85" s="39" t="str">
        <f>_xlfn.XLOOKUP(Tabela1[[#This Row],[Matrícula]],Equipe!B:B,Equipe!E:E,"ERRO",0)</f>
        <v>P83</v>
      </c>
      <c r="I85" s="39" t="str">
        <f>VLOOKUP(Tabela1[[#This Row],[Matrícula]],Equipe!B:F,5,0)</f>
        <v>Novo</v>
      </c>
    </row>
    <row r="86" spans="1:9" ht="15" thickBot="1">
      <c r="A86" s="96" t="s">
        <v>41</v>
      </c>
      <c r="B86" s="103">
        <f>_xlfn.XLOOKUP(A86,Equipe!H:H,Equipe!B:B,"",0)</f>
        <v>1381625</v>
      </c>
      <c r="C86" s="89">
        <v>45817</v>
      </c>
      <c r="D86" s="104">
        <f>IF(Tabela1[[#This Row],[Início]]&lt;&gt;"",C86+E86-1,"")</f>
        <v>45821</v>
      </c>
      <c r="E86" s="85">
        <v>5</v>
      </c>
      <c r="F86" s="85" t="s">
        <v>17</v>
      </c>
      <c r="G86" s="97" t="s">
        <v>83</v>
      </c>
      <c r="H86" s="39" t="str">
        <f>_xlfn.XLOOKUP(Tabela1[[#This Row],[Matrícula]],Equipe!B:B,Equipe!E:E,"ERRO",0)</f>
        <v>P80</v>
      </c>
      <c r="I86" s="39" t="str">
        <f>VLOOKUP(Tabela1[[#This Row],[Matrícula]],Equipe!B:F,5,0)</f>
        <v>Experiente</v>
      </c>
    </row>
    <row r="87" spans="1:9" ht="15" thickBot="1">
      <c r="A87" s="85" t="s">
        <v>84</v>
      </c>
      <c r="B87" s="103">
        <f>_xlfn.XLOOKUP(A87,Equipe!H:H,Equipe!B:B,"",0)</f>
        <v>2475130</v>
      </c>
      <c r="C87" s="89">
        <v>45817</v>
      </c>
      <c r="D87" s="104">
        <f>IF(Tabela1[[#This Row],[Início]]&lt;&gt;"",C87+E87-1,"")</f>
        <v>45821</v>
      </c>
      <c r="E87" s="85">
        <v>5</v>
      </c>
      <c r="F87" s="85" t="s">
        <v>21</v>
      </c>
      <c r="G87" s="97" t="s">
        <v>85</v>
      </c>
      <c r="H87" s="39" t="str">
        <f>_xlfn.XLOOKUP(Tabela1[[#This Row],[Matrícula]],Equipe!B:B,Equipe!E:E,"ERRO",0)</f>
        <v>P83</v>
      </c>
      <c r="I87" s="39" t="str">
        <f>VLOOKUP(Tabela1[[#This Row],[Matrícula]],Equipe!B:F,5,0)</f>
        <v>Experiente</v>
      </c>
    </row>
    <row r="88" spans="1:9" ht="15" thickBot="1">
      <c r="A88" s="85" t="s">
        <v>32</v>
      </c>
      <c r="B88" s="103">
        <f>_xlfn.XLOOKUP(A88,Equipe!H:H,Equipe!B:B,"",0)</f>
        <v>4608721</v>
      </c>
      <c r="C88" s="89">
        <v>45817</v>
      </c>
      <c r="D88" s="104">
        <f>IF(Tabela1[[#This Row],[Início]]&lt;&gt;"",C88+E88-1,"")</f>
        <v>45821</v>
      </c>
      <c r="E88" s="85">
        <v>5</v>
      </c>
      <c r="F88" s="85" t="s">
        <v>17</v>
      </c>
      <c r="G88" s="97" t="s">
        <v>83</v>
      </c>
      <c r="H88" s="39" t="str">
        <f>_xlfn.XLOOKUP(Tabela1[[#This Row],[Matrícula]],Equipe!B:B,Equipe!E:E,"ERRO",0)</f>
        <v>P80</v>
      </c>
      <c r="I88" s="39" t="str">
        <f>VLOOKUP(Tabela1[[#This Row],[Matrícula]],Equipe!B:F,5,0)</f>
        <v>Novo</v>
      </c>
    </row>
    <row r="89" spans="1:9" ht="15" thickBot="1">
      <c r="A89" s="85" t="s">
        <v>86</v>
      </c>
      <c r="B89" s="103">
        <f>_xlfn.XLOOKUP(A89,Equipe!H:H,Equipe!B:B,"",0)</f>
        <v>9683150</v>
      </c>
      <c r="C89" s="89">
        <v>45820</v>
      </c>
      <c r="D89" s="104">
        <v>45828</v>
      </c>
      <c r="E89" s="85">
        <v>7</v>
      </c>
      <c r="F89" s="85" t="s">
        <v>11</v>
      </c>
      <c r="G89" s="97" t="s">
        <v>87</v>
      </c>
      <c r="H89" s="39" t="str">
        <f>_xlfn.XLOOKUP(Tabela1[[#This Row],[Matrícula]],Equipe!B:B,Equipe!E:E,"ERRO",0)</f>
        <v>P80</v>
      </c>
      <c r="I89" s="39" t="str">
        <f>VLOOKUP(Tabela1[[#This Row],[Matrícula]],Equipe!B:F,5,0)</f>
        <v>Experiente</v>
      </c>
    </row>
    <row r="90" spans="1:9" ht="15" thickBot="1">
      <c r="A90" s="85" t="s">
        <v>53</v>
      </c>
      <c r="B90" s="103">
        <f>_xlfn.XLOOKUP(A90,Equipe!H:H,Equipe!B:B,"",0)</f>
        <v>4608684</v>
      </c>
      <c r="C90" s="89">
        <v>45822</v>
      </c>
      <c r="D90" s="104">
        <f>IF(Tabela1[[#This Row],[Início]]&lt;&gt;"",C90+E90-1,"")</f>
        <v>45834</v>
      </c>
      <c r="E90" s="85">
        <v>13</v>
      </c>
      <c r="F90" s="85" t="s">
        <v>11</v>
      </c>
      <c r="G90" s="97" t="s">
        <v>18</v>
      </c>
      <c r="H90" s="39" t="str">
        <f>_xlfn.XLOOKUP(Tabela1[[#This Row],[Matrícula]],Equipe!B:B,Equipe!E:E,"ERRO",0)</f>
        <v>P82</v>
      </c>
      <c r="I90" s="39" t="str">
        <f>VLOOKUP(Tabela1[[#This Row],[Matrícula]],Equipe!B:F,5,0)</f>
        <v>Novo</v>
      </c>
    </row>
    <row r="91" spans="1:9" ht="15" thickBot="1">
      <c r="A91" s="85" t="s">
        <v>14</v>
      </c>
      <c r="B91" s="103">
        <f>_xlfn.XLOOKUP(A91,Equipe!H:H,Equipe!B:B,"",0)</f>
        <v>4608544</v>
      </c>
      <c r="C91" s="89">
        <v>45822</v>
      </c>
      <c r="D91" s="104">
        <f>IF(Tabela1[[#This Row],[Início]]&lt;&gt;"",C91+E91-1,"")</f>
        <v>45834</v>
      </c>
      <c r="E91" s="85">
        <v>13</v>
      </c>
      <c r="F91" s="85" t="s">
        <v>11</v>
      </c>
      <c r="G91" s="97" t="s">
        <v>18</v>
      </c>
      <c r="H91" s="39" t="str">
        <f>_xlfn.XLOOKUP(Tabela1[[#This Row],[Matrícula]],Equipe!B:B,Equipe!E:E,"ERRO",0)</f>
        <v>P82</v>
      </c>
      <c r="I91" s="39" t="str">
        <f>VLOOKUP(Tabela1[[#This Row],[Matrícula]],Equipe!B:F,5,0)</f>
        <v>Novo</v>
      </c>
    </row>
    <row r="92" spans="1:9" ht="15" thickBot="1">
      <c r="A92" s="85" t="s">
        <v>25</v>
      </c>
      <c r="B92" s="103">
        <f>_xlfn.XLOOKUP(A92,Equipe!H:H,Equipe!B:B,"",0)</f>
        <v>4608685</v>
      </c>
      <c r="C92" s="95">
        <v>45822</v>
      </c>
      <c r="D92" s="104">
        <f>IF(Tabela1[[#This Row],[Início]]&lt;&gt;"",C92+E92-1,"")</f>
        <v>45852</v>
      </c>
      <c r="E92" s="85">
        <v>31</v>
      </c>
      <c r="F92" s="85" t="s">
        <v>11</v>
      </c>
      <c r="G92" s="97" t="s">
        <v>12</v>
      </c>
      <c r="H92" s="39" t="str">
        <f>_xlfn.XLOOKUP(Tabela1[[#This Row],[Matrícula]],Equipe!B:B,Equipe!E:E,"ERRO",0)</f>
        <v>P80</v>
      </c>
      <c r="I92" s="39" t="str">
        <f>VLOOKUP(Tabela1[[#This Row],[Matrícula]],Equipe!B:F,5,0)</f>
        <v>Novo</v>
      </c>
    </row>
    <row r="93" spans="1:9" ht="15" thickBot="1">
      <c r="A93" s="85" t="s">
        <v>33</v>
      </c>
      <c r="B93" s="103">
        <f>_xlfn.XLOOKUP(A93,Equipe!H:H,Equipe!B:B,"",0)</f>
        <v>9842940</v>
      </c>
      <c r="C93" s="89">
        <v>45823</v>
      </c>
      <c r="D93" s="104">
        <f>IF(Tabela1[[#This Row],[Início]]&lt;&gt;"",C93+E93-1,"")</f>
        <v>45848</v>
      </c>
      <c r="E93" s="85">
        <v>26</v>
      </c>
      <c r="F93" s="85" t="s">
        <v>11</v>
      </c>
      <c r="G93" s="97" t="s">
        <v>88</v>
      </c>
      <c r="H93" s="39" t="str">
        <f>_xlfn.XLOOKUP(Tabela1[[#This Row],[Matrícula]],Equipe!B:B,Equipe!E:E,"ERRO",0)</f>
        <v>P80</v>
      </c>
      <c r="I93" s="39" t="str">
        <f>VLOOKUP(Tabela1[[#This Row],[Matrícula]],Equipe!B:F,5,0)</f>
        <v>Novo</v>
      </c>
    </row>
    <row r="94" spans="1:9" ht="15" thickBot="1">
      <c r="A94" s="85" t="s">
        <v>32</v>
      </c>
      <c r="B94" s="103">
        <f>_xlfn.XLOOKUP(A94,Equipe!H:H,Equipe!B:B,"",0)</f>
        <v>4608721</v>
      </c>
      <c r="C94" s="89">
        <v>45824</v>
      </c>
      <c r="D94" s="104">
        <f>IF(Tabela1[[#This Row],[Início]]&lt;&gt;"",C94+E94-1,"")</f>
        <v>45825</v>
      </c>
      <c r="E94" s="85">
        <v>2</v>
      </c>
      <c r="F94" s="85" t="s">
        <v>11</v>
      </c>
      <c r="G94" s="97" t="s">
        <v>87</v>
      </c>
      <c r="H94" s="39" t="str">
        <f>_xlfn.XLOOKUP(Tabela1[[#This Row],[Matrícula]],Equipe!B:B,Equipe!E:E,"ERRO",0)</f>
        <v>P80</v>
      </c>
      <c r="I94" s="39" t="str">
        <f>VLOOKUP(Tabela1[[#This Row],[Matrícula]],Equipe!B:F,5,0)</f>
        <v>Novo</v>
      </c>
    </row>
    <row r="95" spans="1:9" ht="15" thickBot="1">
      <c r="A95" s="94" t="s">
        <v>61</v>
      </c>
      <c r="B95" s="103">
        <f>_xlfn.XLOOKUP(A95,Equipe!H:H,Equipe!B:B,"",0)</f>
        <v>4606246</v>
      </c>
      <c r="C95" s="89">
        <v>45825</v>
      </c>
      <c r="D95" s="104">
        <f>IF(Tabela1[[#This Row],[Início]]&lt;&gt;"",C95+E95-1,"")</f>
        <v>45825</v>
      </c>
      <c r="E95" s="85">
        <v>1</v>
      </c>
      <c r="F95" s="85" t="s">
        <v>17</v>
      </c>
      <c r="G95" s="97" t="s">
        <v>89</v>
      </c>
      <c r="H95" s="39" t="str">
        <f>_xlfn.XLOOKUP(Tabela1[[#This Row],[Matrícula]],Equipe!B:B,Equipe!E:E,"ERRO",0)</f>
        <v>PBAC</v>
      </c>
      <c r="I95" s="39" t="str">
        <f>VLOOKUP(Tabela1[[#This Row],[Matrícula]],Equipe!B:F,5,0)</f>
        <v>Novo</v>
      </c>
    </row>
    <row r="96" spans="1:9" ht="15" thickBot="1">
      <c r="A96" s="85" t="s">
        <v>28</v>
      </c>
      <c r="B96" s="103">
        <v>1386344</v>
      </c>
      <c r="C96" s="89">
        <v>45828</v>
      </c>
      <c r="D96" s="104">
        <v>45828</v>
      </c>
      <c r="E96" s="85">
        <v>1</v>
      </c>
      <c r="F96" s="85" t="s">
        <v>11</v>
      </c>
      <c r="G96" s="97" t="s">
        <v>90</v>
      </c>
      <c r="H96" s="39" t="str">
        <f>_xlfn.XLOOKUP(Tabela1[[#This Row],[Matrícula]],Equipe!B:B,Equipe!E:E,"ERRO",0)</f>
        <v>P82</v>
      </c>
      <c r="I96" s="39" t="str">
        <f>VLOOKUP(Tabela1[[#This Row],[Matrícula]],Equipe!B:F,5,0)</f>
        <v>Experiente</v>
      </c>
    </row>
    <row r="97" spans="1:9" ht="15" thickBot="1">
      <c r="A97" s="85" t="s">
        <v>37</v>
      </c>
      <c r="B97" s="103">
        <f>_xlfn.XLOOKUP(A97,Equipe!H:H,Equipe!B:B,"",0)</f>
        <v>9724817</v>
      </c>
      <c r="C97" s="89">
        <v>45828</v>
      </c>
      <c r="D97" s="104">
        <v>45828</v>
      </c>
      <c r="E97" s="85">
        <v>1</v>
      </c>
      <c r="F97" s="85" t="s">
        <v>11</v>
      </c>
      <c r="G97" s="97" t="s">
        <v>91</v>
      </c>
      <c r="H97" s="39" t="str">
        <f>_xlfn.XLOOKUP(Tabela1[[#This Row],[Matrícula]],Equipe!B:B,Equipe!E:E,"ERRO",0)</f>
        <v>P82</v>
      </c>
      <c r="I97" s="39" t="str">
        <f>VLOOKUP(Tabela1[[#This Row],[Matrícula]],Equipe!B:F,5,0)</f>
        <v>Experiente</v>
      </c>
    </row>
    <row r="98" spans="1:9" ht="15" thickBot="1">
      <c r="A98" s="94" t="s">
        <v>10</v>
      </c>
      <c r="B98" s="127">
        <f>_xlfn.XLOOKUP(A98,Equipe!H:H,Equipe!B:B,"",0)</f>
        <v>9762281</v>
      </c>
      <c r="C98" s="95">
        <v>45832</v>
      </c>
      <c r="D98" s="126">
        <f>IF(Tabela1[[#This Row],[Início]]&lt;&gt;"",C98+E98-1,"")</f>
        <v>45845</v>
      </c>
      <c r="E98" s="94">
        <v>14</v>
      </c>
      <c r="F98" s="94" t="s">
        <v>15</v>
      </c>
      <c r="G98" s="106" t="s">
        <v>29</v>
      </c>
      <c r="H98" s="39" t="str">
        <f>_xlfn.XLOOKUP(Tabela1[[#This Row],[Matrícula]],Equipe!B:B,Equipe!E:E,"ERRO",0)</f>
        <v>P80</v>
      </c>
      <c r="I98" s="39" t="str">
        <f>VLOOKUP(Tabela1[[#This Row],[Matrícula]],Equipe!B:F,5,0)</f>
        <v>Experiente</v>
      </c>
    </row>
    <row r="99" spans="1:9" ht="15" thickBot="1">
      <c r="A99" s="85" t="s">
        <v>30</v>
      </c>
      <c r="B99" s="103">
        <f>_xlfn.XLOOKUP(A99,Equipe!H:H,Equipe!B:B,"",0)</f>
        <v>4608474</v>
      </c>
      <c r="C99" s="89">
        <v>45833</v>
      </c>
      <c r="D99" s="104">
        <v>45833</v>
      </c>
      <c r="E99" s="85">
        <v>1</v>
      </c>
      <c r="F99" s="85" t="s">
        <v>17</v>
      </c>
      <c r="G99" s="97" t="s">
        <v>92</v>
      </c>
      <c r="H99" s="39" t="str">
        <f>_xlfn.XLOOKUP(Tabela1[[#This Row],[Matrícula]],Equipe!B:B,Equipe!E:E,"ERRO",0)</f>
        <v>P82</v>
      </c>
      <c r="I99" s="39" t="str">
        <f>VLOOKUP(Tabela1[[#This Row],[Matrícula]],Equipe!B:F,5,0)</f>
        <v>Novo</v>
      </c>
    </row>
    <row r="100" spans="1:9" ht="15" thickBot="1">
      <c r="A100" s="85" t="s">
        <v>32</v>
      </c>
      <c r="B100" s="103">
        <f>_xlfn.XLOOKUP(A100,Equipe!H:H,Equipe!B:B,"",0)</f>
        <v>4608721</v>
      </c>
      <c r="C100" s="89">
        <v>45833</v>
      </c>
      <c r="D100" s="104">
        <f>IF(Tabela1[[#This Row],[Início]]&lt;&gt;"",C100+E100-1,"")</f>
        <v>45833</v>
      </c>
      <c r="E100" s="85">
        <v>1</v>
      </c>
      <c r="F100" s="85" t="s">
        <v>17</v>
      </c>
      <c r="G100" s="97" t="s">
        <v>92</v>
      </c>
      <c r="H100" s="39" t="str">
        <f>_xlfn.XLOOKUP(Tabela1[[#This Row],[Matrícula]],Equipe!B:B,Equipe!E:E,"ERRO",0)</f>
        <v>P80</v>
      </c>
      <c r="I100" s="39" t="str">
        <f>VLOOKUP(Tabela1[[#This Row],[Matrícula]],Equipe!B:F,5,0)</f>
        <v>Novo</v>
      </c>
    </row>
    <row r="101" spans="1:9" ht="15" thickBot="1">
      <c r="A101" s="85" t="s">
        <v>32</v>
      </c>
      <c r="B101" s="103">
        <f>_xlfn.XLOOKUP(A101,Equipe!H:H,Equipe!B:B,"",0)</f>
        <v>4608721</v>
      </c>
      <c r="C101" s="89">
        <v>45835</v>
      </c>
      <c r="D101" s="104">
        <f>IF(Tabela1[[#This Row],[Início]]&lt;&gt;"",C101+E101-1,"")</f>
        <v>45835</v>
      </c>
      <c r="E101" s="85">
        <v>1</v>
      </c>
      <c r="F101" s="85" t="s">
        <v>17</v>
      </c>
      <c r="G101" s="97" t="s">
        <v>93</v>
      </c>
      <c r="H101" s="39" t="str">
        <f>_xlfn.XLOOKUP(Tabela1[[#This Row],[Matrícula]],Equipe!B:B,Equipe!E:E,"ERRO",0)</f>
        <v>P80</v>
      </c>
      <c r="I101" s="39" t="str">
        <f>VLOOKUP(Tabela1[[#This Row],[Matrícula]],Equipe!B:F,5,0)</f>
        <v>Novo</v>
      </c>
    </row>
    <row r="102" spans="1:9" ht="15" thickBot="1">
      <c r="A102" s="85" t="s">
        <v>58</v>
      </c>
      <c r="B102" s="103">
        <f>_xlfn.XLOOKUP(A102,Equipe!H:H,Equipe!B:B,"",0)</f>
        <v>9886449</v>
      </c>
      <c r="C102" s="89">
        <v>45835</v>
      </c>
      <c r="D102" s="104">
        <f>IF(Tabela1[[#This Row],[Início]]&lt;&gt;"",C102+E102-1,"")</f>
        <v>45835</v>
      </c>
      <c r="E102" s="85">
        <v>1</v>
      </c>
      <c r="F102" s="85" t="s">
        <v>13</v>
      </c>
      <c r="G102" s="97" t="s">
        <v>94</v>
      </c>
      <c r="H102" s="39" t="str">
        <f>_xlfn.XLOOKUP(Tabela1[[#This Row],[Matrícula]],Equipe!B:B,Equipe!E:E,"ERRO",0)</f>
        <v>P80</v>
      </c>
      <c r="I102" s="39" t="str">
        <f>VLOOKUP(Tabela1[[#This Row],[Matrícula]],Equipe!B:F,5,0)</f>
        <v>Experiente</v>
      </c>
    </row>
    <row r="103" spans="1:9" ht="15" thickBot="1">
      <c r="A103" s="85" t="s">
        <v>58</v>
      </c>
      <c r="B103" s="103">
        <f>_xlfn.XLOOKUP(A103,Equipe!H:H,Equipe!B:B,"",0)</f>
        <v>9886449</v>
      </c>
      <c r="C103" s="89">
        <v>45838</v>
      </c>
      <c r="D103" s="104">
        <f>IF(Tabela1[[#This Row],[Início]]&lt;&gt;"",C103+E103-1,"")</f>
        <v>45838</v>
      </c>
      <c r="E103" s="85">
        <v>1</v>
      </c>
      <c r="F103" s="85" t="s">
        <v>17</v>
      </c>
      <c r="G103" s="97" t="s">
        <v>95</v>
      </c>
      <c r="H103" s="39" t="str">
        <f>_xlfn.XLOOKUP(Tabela1[[#This Row],[Matrícula]],Equipe!B:B,Equipe!E:E,"ERRO",0)</f>
        <v>P80</v>
      </c>
      <c r="I103" s="39" t="str">
        <f>VLOOKUP(Tabela1[[#This Row],[Matrícula]],Equipe!B:F,5,0)</f>
        <v>Experiente</v>
      </c>
    </row>
    <row r="104" spans="1:9" ht="15" thickBot="1">
      <c r="A104" s="85" t="s">
        <v>49</v>
      </c>
      <c r="B104" s="103">
        <f>_xlfn.XLOOKUP(A104,Equipe!H:H,Equipe!B:B,"",0)</f>
        <v>4606694</v>
      </c>
      <c r="C104" s="89">
        <v>45839</v>
      </c>
      <c r="D104" s="104">
        <f>IF(Tabela1[[#This Row],[Início]]&lt;&gt;"",C104+E104-1,"")</f>
        <v>45841</v>
      </c>
      <c r="E104" s="85">
        <v>3</v>
      </c>
      <c r="F104" s="85" t="s">
        <v>21</v>
      </c>
      <c r="G104" s="97" t="s">
        <v>96</v>
      </c>
      <c r="H104" s="39" t="str">
        <f>_xlfn.XLOOKUP(Tabela1[[#This Row],[Matrícula]],Equipe!B:B,Equipe!E:E,"ERRO",0)</f>
        <v>PBAC</v>
      </c>
      <c r="I104" s="39" t="str">
        <f>VLOOKUP(Tabela1[[#This Row],[Matrícula]],Equipe!B:F,5,0)</f>
        <v>Novo</v>
      </c>
    </row>
    <row r="105" spans="1:9" ht="15" thickBot="1">
      <c r="A105" s="96" t="s">
        <v>19</v>
      </c>
      <c r="B105" s="103">
        <f>_xlfn.XLOOKUP(A105,Equipe!H:H,Equipe!B:B,"",0)</f>
        <v>4608559</v>
      </c>
      <c r="C105" s="89">
        <v>45839</v>
      </c>
      <c r="D105" s="104">
        <f>IF(Tabela1[[#This Row],[Início]]&lt;&gt;"",C105+E105-1,"")</f>
        <v>45841</v>
      </c>
      <c r="E105" s="85">
        <v>3</v>
      </c>
      <c r="F105" s="85" t="s">
        <v>21</v>
      </c>
      <c r="G105" s="97" t="s">
        <v>96</v>
      </c>
      <c r="H105" s="39" t="str">
        <f>_xlfn.XLOOKUP(Tabela1[[#This Row],[Matrícula]],Equipe!B:B,Equipe!E:E,"ERRO",0)</f>
        <v>P83</v>
      </c>
      <c r="I105" s="39" t="str">
        <f>VLOOKUP(Tabela1[[#This Row],[Matrícula]],Equipe!B:F,5,0)</f>
        <v>Novo</v>
      </c>
    </row>
    <row r="106" spans="1:9" ht="15" thickBot="1">
      <c r="A106" s="85" t="s">
        <v>14</v>
      </c>
      <c r="B106" s="103">
        <f>_xlfn.XLOOKUP(A106,Equipe!H:H,Equipe!B:B,"",0)</f>
        <v>4608544</v>
      </c>
      <c r="C106" s="89">
        <v>45839</v>
      </c>
      <c r="D106" s="104">
        <f>IF(Tabela1[[#This Row],[Início]]&lt;&gt;"",C106+E106-1,"")</f>
        <v>45842</v>
      </c>
      <c r="E106" s="85">
        <v>4</v>
      </c>
      <c r="F106" s="85" t="s">
        <v>21</v>
      </c>
      <c r="G106" s="97" t="s">
        <v>97</v>
      </c>
      <c r="H106" s="39" t="str">
        <f>_xlfn.XLOOKUP(Tabela1[[#This Row],[Matrícula]],Equipe!B:B,Equipe!E:E,"ERRO",0)</f>
        <v>P82</v>
      </c>
      <c r="I106" s="39" t="str">
        <f>VLOOKUP(Tabela1[[#This Row],[Matrícula]],Equipe!B:F,5,0)</f>
        <v>Novo</v>
      </c>
    </row>
    <row r="107" spans="1:9" ht="15" thickBot="1">
      <c r="A107" s="94" t="s">
        <v>22</v>
      </c>
      <c r="B107" s="127">
        <f>_xlfn.XLOOKUP(A107,Equipe!H:H,Equipe!B:B,"",0)</f>
        <v>4608389</v>
      </c>
      <c r="C107" s="95">
        <v>45845</v>
      </c>
      <c r="D107" s="126">
        <f>IF(Tabela1[[#This Row],[Início]]&lt;&gt;"",C107+E107-1,"")</f>
        <v>45846</v>
      </c>
      <c r="E107" s="94">
        <v>2</v>
      </c>
      <c r="F107" s="94" t="s">
        <v>17</v>
      </c>
      <c r="G107" s="106" t="s">
        <v>98</v>
      </c>
      <c r="H107" s="39" t="str">
        <f>_xlfn.XLOOKUP(Tabela1[[#This Row],[Matrícula]],Equipe!B:B,Equipe!E:E,"ERRO",0)</f>
        <v>P80</v>
      </c>
      <c r="I107" s="39" t="str">
        <f>VLOOKUP(Tabela1[[#This Row],[Matrícula]],Equipe!B:F,5,0)</f>
        <v>Novo</v>
      </c>
    </row>
    <row r="108" spans="1:9" ht="15" thickBot="1">
      <c r="A108" s="85" t="s">
        <v>58</v>
      </c>
      <c r="B108" s="103">
        <f>_xlfn.XLOOKUP(A108,Equipe!H:H,Equipe!B:B,"",0)</f>
        <v>9886449</v>
      </c>
      <c r="C108" s="89">
        <v>45845</v>
      </c>
      <c r="D108" s="104">
        <f>IF(Tabela1[[#This Row],[Início]]&lt;&gt;"",C108+E108-1,"")</f>
        <v>45849</v>
      </c>
      <c r="E108" s="85">
        <v>5</v>
      </c>
      <c r="F108" s="85" t="s">
        <v>17</v>
      </c>
      <c r="G108" s="97" t="s">
        <v>99</v>
      </c>
      <c r="H108" s="39" t="str">
        <f>_xlfn.XLOOKUP(Tabela1[[#This Row],[Matrícula]],Equipe!B:B,Equipe!E:E,"ERRO",0)</f>
        <v>P80</v>
      </c>
      <c r="I108" s="39" t="str">
        <f>VLOOKUP(Tabela1[[#This Row],[Matrícula]],Equipe!B:F,5,0)</f>
        <v>Experiente</v>
      </c>
    </row>
    <row r="109" spans="1:9" ht="15" thickBot="1">
      <c r="A109" s="85" t="s">
        <v>100</v>
      </c>
      <c r="B109" s="103">
        <f>_xlfn.XLOOKUP(A109,Equipe!H:H,Equipe!B:B,"",0)</f>
        <v>4612098</v>
      </c>
      <c r="C109" s="89">
        <v>45847</v>
      </c>
      <c r="D109" s="104">
        <v>45847</v>
      </c>
      <c r="E109" s="85">
        <v>1</v>
      </c>
      <c r="F109" s="85" t="s">
        <v>17</v>
      </c>
      <c r="G109" s="97" t="s">
        <v>101</v>
      </c>
      <c r="H109" s="39" t="str">
        <f>_xlfn.XLOOKUP(Tabela1[[#This Row],[Matrícula]],Equipe!B:B,Equipe!E:E,"ERRO",0)</f>
        <v>P80</v>
      </c>
      <c r="I109" s="39" t="str">
        <f>VLOOKUP(Tabela1[[#This Row],[Matrícula]],Equipe!B:F,5,0)</f>
        <v>Novo</v>
      </c>
    </row>
    <row r="110" spans="1:9" ht="15" thickBot="1">
      <c r="A110" s="85" t="s">
        <v>102</v>
      </c>
      <c r="B110" s="103">
        <f>_xlfn.XLOOKUP(A110,Equipe!H:H,Equipe!B:B,"",0)</f>
        <v>4612243</v>
      </c>
      <c r="C110" s="89">
        <v>45847</v>
      </c>
      <c r="D110" s="104">
        <f>IF(Tabela1[[#This Row],[Início]]&lt;&gt;"",C110+E110-1,"")</f>
        <v>45847</v>
      </c>
      <c r="E110" s="85">
        <v>1</v>
      </c>
      <c r="F110" s="85" t="s">
        <v>17</v>
      </c>
      <c r="G110" s="97" t="s">
        <v>92</v>
      </c>
      <c r="H110" s="39" t="str">
        <f>_xlfn.XLOOKUP(Tabela1[[#This Row],[Matrícula]],Equipe!B:B,Equipe!E:E,"ERRO",0)</f>
        <v>P80</v>
      </c>
      <c r="I110" s="39" t="str">
        <f>VLOOKUP(Tabela1[[#This Row],[Matrícula]],Equipe!B:F,5,0)</f>
        <v>Novo</v>
      </c>
    </row>
    <row r="111" spans="1:9" ht="15" thickBot="1">
      <c r="A111" s="85" t="s">
        <v>103</v>
      </c>
      <c r="B111" s="103">
        <f>_xlfn.XLOOKUP(A111,Equipe!H:H,Equipe!B:B,"",0)</f>
        <v>4612192</v>
      </c>
      <c r="C111" s="89">
        <v>45847</v>
      </c>
      <c r="D111" s="104">
        <f>IF(Tabela1[[#This Row],[Início]]&lt;&gt;"",C111+E111-1,"")</f>
        <v>45847</v>
      </c>
      <c r="E111" s="85">
        <v>1</v>
      </c>
      <c r="F111" s="85" t="s">
        <v>17</v>
      </c>
      <c r="G111" s="106" t="s">
        <v>104</v>
      </c>
      <c r="H111" s="39" t="str">
        <f>_xlfn.XLOOKUP(Tabela1[[#This Row],[Matrícula]],Equipe!B:B,Equipe!E:E,"ERRO",0)</f>
        <v>P82</v>
      </c>
      <c r="I111" s="39" t="str">
        <f>VLOOKUP(Tabela1[[#This Row],[Matrícula]],Equipe!B:F,5,0)</f>
        <v>Novo</v>
      </c>
    </row>
    <row r="112" spans="1:9" ht="15" thickBot="1">
      <c r="A112" s="85" t="s">
        <v>105</v>
      </c>
      <c r="B112" s="103">
        <f>_xlfn.XLOOKUP(A112,Equipe!H:H,Equipe!B:B,"",0)</f>
        <v>4612126</v>
      </c>
      <c r="C112" s="89">
        <v>45847</v>
      </c>
      <c r="D112" s="104">
        <v>45847</v>
      </c>
      <c r="E112" s="85">
        <v>1</v>
      </c>
      <c r="F112" s="85" t="s">
        <v>17</v>
      </c>
      <c r="G112" s="106" t="s">
        <v>104</v>
      </c>
      <c r="H112" s="39" t="str">
        <f>_xlfn.XLOOKUP(Tabela1[[#This Row],[Matrícula]],Equipe!B:B,Equipe!E:E,"ERRO",0)</f>
        <v>P82</v>
      </c>
      <c r="I112" s="39" t="str">
        <f>VLOOKUP(Tabela1[[#This Row],[Matrícula]],Equipe!B:F,5,0)</f>
        <v>Novo</v>
      </c>
    </row>
    <row r="113" spans="1:9" ht="15" thickBot="1">
      <c r="A113" s="85" t="s">
        <v>106</v>
      </c>
      <c r="B113" s="103">
        <f>_xlfn.XLOOKUP(A113,Equipe!H:H,Equipe!B:B,"",0)</f>
        <v>4612050</v>
      </c>
      <c r="C113" s="89">
        <v>45847</v>
      </c>
      <c r="D113" s="104">
        <f>IF(Tabela1[[#This Row],[Início]]&lt;&gt;"",C113+E113-1,"")</f>
        <v>45847</v>
      </c>
      <c r="E113" s="85">
        <v>1</v>
      </c>
      <c r="F113" s="85" t="s">
        <v>17</v>
      </c>
      <c r="G113" s="97" t="s">
        <v>107</v>
      </c>
      <c r="H113" s="39" t="str">
        <f>_xlfn.XLOOKUP(Tabela1[[#This Row],[Matrícula]],Equipe!B:B,Equipe!E:E,"ERRO",0)</f>
        <v>P82</v>
      </c>
      <c r="I113" s="39" t="str">
        <f>VLOOKUP(Tabela1[[#This Row],[Matrícula]],Equipe!B:F,5,0)</f>
        <v>Novo</v>
      </c>
    </row>
    <row r="114" spans="1:9" ht="15" thickBot="1">
      <c r="A114" s="85" t="s">
        <v>108</v>
      </c>
      <c r="B114" s="103">
        <f>_xlfn.XLOOKUP(A114,Equipe!H:H,Equipe!B:B,"",0)</f>
        <v>4612389</v>
      </c>
      <c r="C114" s="89">
        <v>45847</v>
      </c>
      <c r="D114" s="104">
        <v>45847</v>
      </c>
      <c r="E114" s="85">
        <v>1</v>
      </c>
      <c r="F114" s="85" t="s">
        <v>17</v>
      </c>
      <c r="G114" s="97" t="s">
        <v>109</v>
      </c>
      <c r="H114" s="39" t="str">
        <f>_xlfn.XLOOKUP(Tabela1[[#This Row],[Matrícula]],Equipe!B:B,Equipe!E:E,"ERRO",0)</f>
        <v>P80</v>
      </c>
      <c r="I114" s="39" t="str">
        <f>VLOOKUP(Tabela1[[#This Row],[Matrícula]],Equipe!B:F,5,0)</f>
        <v>Novo</v>
      </c>
    </row>
    <row r="115" spans="1:9" ht="15" thickBot="1">
      <c r="A115" s="85" t="s">
        <v>110</v>
      </c>
      <c r="B115" s="103">
        <f>_xlfn.XLOOKUP(A115,Equipe!H:H,Equipe!B:B,"",0)</f>
        <v>4612140</v>
      </c>
      <c r="C115" s="89">
        <v>45849</v>
      </c>
      <c r="D115" s="104">
        <f>IF(Tabela1[[#This Row],[Início]]&lt;&gt;"",C115+E115-1,"")</f>
        <v>45849</v>
      </c>
      <c r="E115" s="85">
        <v>1</v>
      </c>
      <c r="F115" s="85" t="s">
        <v>11</v>
      </c>
      <c r="G115" s="97" t="s">
        <v>90</v>
      </c>
      <c r="H115" s="39" t="str">
        <f>_xlfn.XLOOKUP(Tabela1[[#This Row],[Matrícula]],Equipe!B:B,Equipe!E:E,"ERRO",0)</f>
        <v>P83</v>
      </c>
      <c r="I115" s="39" t="str">
        <f>VLOOKUP(Tabela1[[#This Row],[Matrícula]],Equipe!B:F,5,0)</f>
        <v>Novo</v>
      </c>
    </row>
    <row r="116" spans="1:9" ht="15" thickBot="1">
      <c r="A116" s="85" t="s">
        <v>56</v>
      </c>
      <c r="B116" s="103">
        <f>_xlfn.XLOOKUP(A116,Equipe!H:H,Equipe!B:B,"",0)</f>
        <v>9612082</v>
      </c>
      <c r="C116" s="89">
        <v>45851</v>
      </c>
      <c r="D116" s="104">
        <f>IF(Tabela1[[#This Row],[Início]]&lt;&gt;"",C116+E116-1,"")</f>
        <v>45864</v>
      </c>
      <c r="E116" s="85">
        <v>14</v>
      </c>
      <c r="F116" s="85" t="s">
        <v>15</v>
      </c>
      <c r="G116" s="97" t="s">
        <v>111</v>
      </c>
      <c r="H116" s="39" t="str">
        <f>_xlfn.XLOOKUP(Tabela1[[#This Row],[Matrícula]],Equipe!B:B,Equipe!E:E,"ERRO",0)</f>
        <v>P82</v>
      </c>
      <c r="I116" s="39" t="str">
        <f>VLOOKUP(Tabela1[[#This Row],[Matrícula]],Equipe!B:F,5,0)</f>
        <v>Experiente</v>
      </c>
    </row>
    <row r="117" spans="1:9" ht="12.6" customHeight="1" thickBot="1">
      <c r="A117" s="88" t="s">
        <v>110</v>
      </c>
      <c r="B117" s="103">
        <f>_xlfn.XLOOKUP(A117,Equipe!H:H,Equipe!B:B,"",0)</f>
        <v>4612140</v>
      </c>
      <c r="C117" s="89">
        <v>45852</v>
      </c>
      <c r="D117" s="104">
        <f>IF(Tabela1[[#This Row],[Início]]&lt;&gt;"",C117+E117-1,"")</f>
        <v>45852</v>
      </c>
      <c r="E117" s="85">
        <v>1</v>
      </c>
      <c r="F117" s="85" t="s">
        <v>13</v>
      </c>
      <c r="G117" s="97" t="s">
        <v>112</v>
      </c>
      <c r="H117" s="39" t="str">
        <f>_xlfn.XLOOKUP(Tabela1[[#This Row],[Matrícula]],Equipe!B:B,Equipe!E:E,"ERRO",0)</f>
        <v>P83</v>
      </c>
      <c r="I117" s="39" t="str">
        <f>VLOOKUP(Tabela1[[#This Row],[Matrícula]],Equipe!B:F,5,0)</f>
        <v>Novo</v>
      </c>
    </row>
    <row r="118" spans="1:9" ht="15" thickBot="1">
      <c r="A118" s="88" t="s">
        <v>106</v>
      </c>
      <c r="B118" s="103">
        <f>_xlfn.XLOOKUP(A118,Equipe!H:H,Equipe!B:B,"",0)</f>
        <v>4612050</v>
      </c>
      <c r="C118" s="90">
        <v>45852</v>
      </c>
      <c r="D118" s="104">
        <f>IF(Tabela1[[#This Row],[Início]]&lt;&gt;"",C118+E118-1,"")</f>
        <v>45852</v>
      </c>
      <c r="E118" s="88">
        <v>1</v>
      </c>
      <c r="F118" s="88" t="s">
        <v>13</v>
      </c>
      <c r="G118" s="99" t="s">
        <v>113</v>
      </c>
      <c r="H118" s="39" t="str">
        <f>_xlfn.XLOOKUP(Tabela1[[#This Row],[Matrícula]],Equipe!B:B,Equipe!E:E,"ERRO",0)</f>
        <v>P82</v>
      </c>
      <c r="I118" s="39" t="str">
        <f>VLOOKUP(Tabela1[[#This Row],[Matrícula]],Equipe!B:F,5,0)</f>
        <v>Novo</v>
      </c>
    </row>
    <row r="119" spans="1:9" ht="15" thickBot="1">
      <c r="A119" s="85" t="s">
        <v>114</v>
      </c>
      <c r="B119" s="103">
        <f>_xlfn.XLOOKUP(A119,Equipe!H:H,Equipe!B:B,"",0)</f>
        <v>4612171</v>
      </c>
      <c r="C119" s="89">
        <v>45852</v>
      </c>
      <c r="D119" s="104">
        <f>IF(Tabela1[[#This Row],[Início]]&lt;&gt;"",C119+E119-1,"")</f>
        <v>45852</v>
      </c>
      <c r="E119" s="85">
        <v>1</v>
      </c>
      <c r="F119" s="85" t="s">
        <v>13</v>
      </c>
      <c r="G119" s="97" t="s">
        <v>115</v>
      </c>
      <c r="H119" s="39" t="str">
        <f>_xlfn.XLOOKUP(Tabela1[[#This Row],[Matrícula]],Equipe!B:B,Equipe!E:E,"ERRO",0)</f>
        <v>P80</v>
      </c>
      <c r="I119" s="39" t="str">
        <f>VLOOKUP(Tabela1[[#This Row],[Matrícula]],Equipe!B:F,5,0)</f>
        <v>Novo</v>
      </c>
    </row>
    <row r="120" spans="1:9" ht="15" thickBot="1">
      <c r="A120" s="85" t="s">
        <v>100</v>
      </c>
      <c r="B120" s="103">
        <f>_xlfn.XLOOKUP(A120,Equipe!H:H,Equipe!B:B,"",0)</f>
        <v>4612098</v>
      </c>
      <c r="C120" s="89">
        <v>45853</v>
      </c>
      <c r="D120" s="104">
        <v>45853</v>
      </c>
      <c r="E120" s="85">
        <v>1</v>
      </c>
      <c r="F120" s="85" t="s">
        <v>17</v>
      </c>
      <c r="G120" s="97" t="s">
        <v>116</v>
      </c>
      <c r="H120" s="39" t="str">
        <f>_xlfn.XLOOKUP(Tabela1[[#This Row],[Matrícula]],Equipe!B:B,Equipe!E:E,"ERRO",0)</f>
        <v>P80</v>
      </c>
      <c r="I120" s="39" t="str">
        <f>VLOOKUP(Tabela1[[#This Row],[Matrícula]],Equipe!B:F,5,0)</f>
        <v>Novo</v>
      </c>
    </row>
    <row r="121" spans="1:9" ht="15" thickBot="1">
      <c r="A121" s="85" t="s">
        <v>105</v>
      </c>
      <c r="B121" s="103">
        <f>_xlfn.XLOOKUP(A121,Equipe!H:H,Equipe!B:B,"",0)</f>
        <v>4612126</v>
      </c>
      <c r="C121" s="89">
        <v>45853</v>
      </c>
      <c r="D121" s="104">
        <v>45853</v>
      </c>
      <c r="E121" s="85">
        <v>1</v>
      </c>
      <c r="F121" s="85" t="s">
        <v>17</v>
      </c>
      <c r="G121" s="97" t="s">
        <v>117</v>
      </c>
      <c r="H121" s="39" t="str">
        <f>_xlfn.XLOOKUP(Tabela1[[#This Row],[Matrícula]],Equipe!B:B,Equipe!E:E,"ERRO",0)</f>
        <v>P82</v>
      </c>
      <c r="I121" s="39" t="str">
        <f>VLOOKUP(Tabela1[[#This Row],[Matrícula]],Equipe!B:F,5,0)</f>
        <v>Novo</v>
      </c>
    </row>
    <row r="122" spans="1:9" ht="15" thickBot="1">
      <c r="A122" s="85" t="s">
        <v>35</v>
      </c>
      <c r="B122" s="103">
        <f>_xlfn.XLOOKUP(A122,Equipe!H:H,Equipe!B:B,"",0)</f>
        <v>1385894</v>
      </c>
      <c r="C122" s="89">
        <v>45853</v>
      </c>
      <c r="D122" s="104">
        <f>IF(Tabela1[[#This Row],[Início]]&lt;&gt;"",C122+E122-1,"")</f>
        <v>45855</v>
      </c>
      <c r="E122" s="85">
        <v>3</v>
      </c>
      <c r="F122" s="85" t="s">
        <v>17</v>
      </c>
      <c r="G122" s="106" t="s">
        <v>118</v>
      </c>
      <c r="H122" s="39" t="str">
        <f>_xlfn.XLOOKUP(Tabela1[[#This Row],[Matrícula]],Equipe!B:B,Equipe!E:E,"ERRO",0)</f>
        <v>P80</v>
      </c>
      <c r="I122" s="39" t="str">
        <f>VLOOKUP(Tabela1[[#This Row],[Matrícula]],Equipe!B:F,5,0)</f>
        <v>Experiente</v>
      </c>
    </row>
    <row r="123" spans="1:9" ht="15" thickBot="1">
      <c r="A123" s="85" t="s">
        <v>34</v>
      </c>
      <c r="B123" s="103">
        <f>_xlfn.XLOOKUP(A123,Equipe!H:H,Equipe!B:B,"",0)</f>
        <v>2493288</v>
      </c>
      <c r="C123" s="89">
        <v>45853</v>
      </c>
      <c r="D123" s="104">
        <f>IF(Tabela1[[#This Row],[Início]]&lt;&gt;"",C123+E123-1,"")</f>
        <v>45855</v>
      </c>
      <c r="E123" s="85">
        <v>3</v>
      </c>
      <c r="F123" s="85" t="s">
        <v>17</v>
      </c>
      <c r="G123" s="97" t="s">
        <v>119</v>
      </c>
      <c r="H123" s="39" t="str">
        <f>_xlfn.XLOOKUP(Tabela1[[#This Row],[Matrícula]],Equipe!B:B,Equipe!E:E,"ERRO",0)</f>
        <v>PBAC</v>
      </c>
      <c r="I123" s="39" t="str">
        <f>VLOOKUP(Tabela1[[#This Row],[Matrícula]],Equipe!B:F,5,0)</f>
        <v>Experiente</v>
      </c>
    </row>
    <row r="124" spans="1:9" ht="15" thickBot="1">
      <c r="A124" s="94" t="s">
        <v>61</v>
      </c>
      <c r="B124" s="103">
        <f>_xlfn.XLOOKUP(A124,Equipe!H:H,Equipe!B:B,"",0)</f>
        <v>4606246</v>
      </c>
      <c r="C124" s="89">
        <v>45853</v>
      </c>
      <c r="D124" s="104">
        <f>IF(Tabela1[[#This Row],[Início]]&lt;&gt;"",C124+E124-1,"")</f>
        <v>45855</v>
      </c>
      <c r="E124" s="85">
        <v>3</v>
      </c>
      <c r="F124" s="85" t="s">
        <v>17</v>
      </c>
      <c r="G124" s="97" t="s">
        <v>120</v>
      </c>
      <c r="H124" s="39" t="str">
        <f>_xlfn.XLOOKUP(Tabela1[[#This Row],[Matrícula]],Equipe!B:B,Equipe!E:E,"ERRO",0)</f>
        <v>PBAC</v>
      </c>
      <c r="I124" s="39" t="str">
        <f>VLOOKUP(Tabela1[[#This Row],[Matrícula]],Equipe!B:F,5,0)</f>
        <v>Novo</v>
      </c>
    </row>
    <row r="125" spans="1:9" ht="15" thickBot="1">
      <c r="A125" s="94" t="s">
        <v>61</v>
      </c>
      <c r="B125" s="103">
        <f>_xlfn.XLOOKUP(A125,Equipe!H:H,Equipe!B:B,"",0)</f>
        <v>4606246</v>
      </c>
      <c r="C125" s="89">
        <v>45855</v>
      </c>
      <c r="D125" s="104">
        <f>IF(Tabela1[[#This Row],[Início]]&lt;&gt;"",C125+E125-1,"")</f>
        <v>45889</v>
      </c>
      <c r="E125" s="85">
        <v>35</v>
      </c>
      <c r="F125" s="85" t="s">
        <v>15</v>
      </c>
      <c r="G125" s="97" t="s">
        <v>121</v>
      </c>
      <c r="H125" s="39" t="str">
        <f>_xlfn.XLOOKUP(Tabela1[[#This Row],[Matrícula]],Equipe!B:B,Equipe!E:E,"ERRO",0)</f>
        <v>PBAC</v>
      </c>
      <c r="I125" s="39" t="str">
        <f>VLOOKUP(Tabela1[[#This Row],[Matrícula]],Equipe!B:F,5,0)</f>
        <v>Novo</v>
      </c>
    </row>
    <row r="126" spans="1:9" ht="15" thickBot="1">
      <c r="A126" s="85" t="s">
        <v>100</v>
      </c>
      <c r="B126" s="103">
        <f>_xlfn.XLOOKUP(A126,Equipe!H:H,Equipe!B:B,"",0)</f>
        <v>4612098</v>
      </c>
      <c r="C126" s="89">
        <v>45859</v>
      </c>
      <c r="D126" s="104">
        <v>45859</v>
      </c>
      <c r="E126" s="85">
        <v>1</v>
      </c>
      <c r="F126" s="85" t="s">
        <v>13</v>
      </c>
      <c r="G126" s="97" t="s">
        <v>122</v>
      </c>
      <c r="H126" s="39" t="str">
        <f>_xlfn.XLOOKUP(Tabela1[[#This Row],[Matrícula]],Equipe!B:B,Equipe!E:E,"ERRO",0)</f>
        <v>P80</v>
      </c>
      <c r="I126" s="39" t="str">
        <f>VLOOKUP(Tabela1[[#This Row],[Matrícula]],Equipe!B:F,5,0)</f>
        <v>Novo</v>
      </c>
    </row>
    <row r="127" spans="1:9" ht="15" thickBot="1">
      <c r="A127" s="85" t="s">
        <v>105</v>
      </c>
      <c r="B127" s="103">
        <f>_xlfn.XLOOKUP(A127,Equipe!H:H,Equipe!B:B,"",0)</f>
        <v>4612126</v>
      </c>
      <c r="C127" s="89">
        <v>45859</v>
      </c>
      <c r="D127" s="104">
        <v>45859</v>
      </c>
      <c r="E127" s="85">
        <v>1</v>
      </c>
      <c r="F127" s="85" t="s">
        <v>13</v>
      </c>
      <c r="G127" s="97" t="s">
        <v>123</v>
      </c>
      <c r="H127" s="39" t="str">
        <f>_xlfn.XLOOKUP(Tabela1[[#This Row],[Matrícula]],Equipe!B:B,Equipe!E:E,"ERRO",0)</f>
        <v>P82</v>
      </c>
      <c r="I127" s="39" t="str">
        <f>VLOOKUP(Tabela1[[#This Row],[Matrícula]],Equipe!B:F,5,0)</f>
        <v>Novo</v>
      </c>
    </row>
    <row r="128" spans="1:9" ht="15" thickBot="1">
      <c r="A128" s="94" t="s">
        <v>110</v>
      </c>
      <c r="B128" s="127">
        <f>_xlfn.XLOOKUP(A128,Equipe!H:H,Equipe!B:B,"",0)</f>
        <v>4612140</v>
      </c>
      <c r="C128" s="95">
        <v>45859</v>
      </c>
      <c r="D128" s="126">
        <v>45859</v>
      </c>
      <c r="E128" s="94">
        <v>1</v>
      </c>
      <c r="F128" s="94" t="s">
        <v>17</v>
      </c>
      <c r="G128" s="97" t="s">
        <v>107</v>
      </c>
      <c r="H128" s="39" t="str">
        <f>_xlfn.XLOOKUP(Tabela1[[#This Row],[Matrícula]],Equipe!B:B,Equipe!E:E,"ERRO",0)</f>
        <v>P83</v>
      </c>
      <c r="I128" s="39" t="str">
        <f>VLOOKUP(Tabela1[[#This Row],[Matrícula]],Equipe!B:F,5,0)</f>
        <v>Novo</v>
      </c>
    </row>
    <row r="129" spans="1:9" ht="15" thickBot="1">
      <c r="A129" s="85" t="s">
        <v>124</v>
      </c>
      <c r="B129" s="103">
        <f>_xlfn.XLOOKUP(A129,Equipe!H:H,Equipe!B:B,"",0)</f>
        <v>229316</v>
      </c>
      <c r="C129" s="89">
        <v>45860</v>
      </c>
      <c r="D129" s="104">
        <v>45862</v>
      </c>
      <c r="E129" s="85">
        <v>3</v>
      </c>
      <c r="F129" s="85" t="s">
        <v>17</v>
      </c>
      <c r="G129" s="97" t="s">
        <v>125</v>
      </c>
      <c r="H129" s="39" t="str">
        <f>_xlfn.XLOOKUP(Tabela1[[#This Row],[Matrícula]],Equipe!B:B,Equipe!E:E,"ERRO",0)</f>
        <v>PBAC</v>
      </c>
      <c r="I129" s="39" t="str">
        <f>VLOOKUP(Tabela1[[#This Row],[Matrícula]],Equipe!B:F,5,0)</f>
        <v>Experiente</v>
      </c>
    </row>
    <row r="130" spans="1:9" ht="15" thickBot="1">
      <c r="A130" s="85" t="s">
        <v>52</v>
      </c>
      <c r="B130" s="103">
        <f>_xlfn.XLOOKUP(A130,Equipe!H:H,Equipe!B:B,"",0)</f>
        <v>2477135</v>
      </c>
      <c r="C130" s="89">
        <v>45860</v>
      </c>
      <c r="D130" s="104">
        <f>IF(Tabela1[[#This Row],[Início]]&lt;&gt;"",C130+E130-1,"")</f>
        <v>45873</v>
      </c>
      <c r="E130" s="85">
        <v>14</v>
      </c>
      <c r="F130" s="85" t="s">
        <v>15</v>
      </c>
      <c r="G130" s="97" t="s">
        <v>29</v>
      </c>
      <c r="H130" s="39" t="str">
        <f>_xlfn.XLOOKUP(Tabela1[[#This Row],[Matrícula]],Equipe!B:B,Equipe!E:E,"ERRO",0)</f>
        <v>P83</v>
      </c>
      <c r="I130" s="39" t="str">
        <f>VLOOKUP(Tabela1[[#This Row],[Matrícula]],Equipe!B:F,5,0)</f>
        <v>Experiente</v>
      </c>
    </row>
    <row r="131" spans="1:9" ht="15" thickBot="1">
      <c r="A131" s="85" t="s">
        <v>114</v>
      </c>
      <c r="B131" s="103">
        <f>_xlfn.XLOOKUP(A131,Equipe!H:H,Equipe!B:B,"",0)</f>
        <v>4612171</v>
      </c>
      <c r="C131" s="89">
        <v>45863</v>
      </c>
      <c r="D131" s="104">
        <f>IF(Tabela1[[#This Row],[Início]]&lt;&gt;"",C131+E131-1,"")</f>
        <v>45863</v>
      </c>
      <c r="E131" s="85">
        <v>1</v>
      </c>
      <c r="F131" s="85" t="s">
        <v>17</v>
      </c>
      <c r="G131" s="97" t="s">
        <v>126</v>
      </c>
      <c r="H131" s="39" t="str">
        <f>_xlfn.XLOOKUP(Tabela1[[#This Row],[Matrícula]],Equipe!B:B,Equipe!E:E,"ERRO",0)</f>
        <v>P80</v>
      </c>
      <c r="I131" s="39" t="str">
        <f>VLOOKUP(Tabela1[[#This Row],[Matrícula]],Equipe!B:F,5,0)</f>
        <v>Novo</v>
      </c>
    </row>
    <row r="132" spans="1:9" ht="15" thickBot="1">
      <c r="A132" s="85" t="s">
        <v>103</v>
      </c>
      <c r="B132" s="103">
        <f>_xlfn.XLOOKUP(A132,Equipe!H:H,Equipe!B:B,"",0)</f>
        <v>4612192</v>
      </c>
      <c r="C132" s="89">
        <v>45866</v>
      </c>
      <c r="D132" s="104">
        <f>IF(Tabela1[[#This Row],[Início]]&lt;&gt;"",C132+E132-1,"")</f>
        <v>45866</v>
      </c>
      <c r="E132" s="85">
        <v>1</v>
      </c>
      <c r="F132" s="85" t="s">
        <v>13</v>
      </c>
      <c r="G132" s="97" t="s">
        <v>127</v>
      </c>
      <c r="H132" s="39" t="str">
        <f>_xlfn.XLOOKUP(Tabela1[[#This Row],[Matrícula]],Equipe!B:B,Equipe!E:E,"ERRO",0)</f>
        <v>P82</v>
      </c>
      <c r="I132" s="39" t="str">
        <f>VLOOKUP(Tabela1[[#This Row],[Matrícula]],Equipe!B:F,5,0)</f>
        <v>Novo</v>
      </c>
    </row>
    <row r="133" spans="1:9" ht="15" thickBot="1">
      <c r="A133" s="85" t="s">
        <v>108</v>
      </c>
      <c r="B133" s="103">
        <f>_xlfn.XLOOKUP(A133,Equipe!H:H,Equipe!B:B,"",0)</f>
        <v>4612389</v>
      </c>
      <c r="C133" s="89">
        <v>45866</v>
      </c>
      <c r="D133" s="104">
        <v>45866</v>
      </c>
      <c r="E133" s="85">
        <v>1</v>
      </c>
      <c r="F133" s="85" t="s">
        <v>13</v>
      </c>
      <c r="G133" s="97" t="s">
        <v>128</v>
      </c>
      <c r="H133" s="39" t="str">
        <f>_xlfn.XLOOKUP(Tabela1[[#This Row],[Matrícula]],Equipe!B:B,Equipe!E:E,"ERRO",0)</f>
        <v>P80</v>
      </c>
      <c r="I133" s="39" t="str">
        <f>VLOOKUP(Tabela1[[#This Row],[Matrícula]],Equipe!B:F,5,0)</f>
        <v>Novo</v>
      </c>
    </row>
    <row r="134" spans="1:9" ht="15" thickBot="1">
      <c r="A134" s="85" t="s">
        <v>102</v>
      </c>
      <c r="B134" s="103">
        <f>_xlfn.XLOOKUP(A134,Equipe!H:H,Equipe!B:B,"",0)</f>
        <v>4612243</v>
      </c>
      <c r="C134" s="89">
        <v>45866</v>
      </c>
      <c r="D134" s="104">
        <f>IF(Tabela1[[#This Row],[Início]]&lt;&gt;"",C134+E134-1,"")</f>
        <v>45866</v>
      </c>
      <c r="E134" s="85">
        <v>1</v>
      </c>
      <c r="F134" s="85" t="s">
        <v>13</v>
      </c>
      <c r="G134" s="97" t="s">
        <v>129</v>
      </c>
      <c r="H134" s="39" t="str">
        <f>_xlfn.XLOOKUP(Tabela1[[#This Row],[Matrícula]],Equipe!B:B,Equipe!E:E,"ERRO",0)</f>
        <v>P80</v>
      </c>
      <c r="I134" s="39" t="str">
        <f>VLOOKUP(Tabela1[[#This Row],[Matrícula]],Equipe!B:F,5,0)</f>
        <v>Novo</v>
      </c>
    </row>
    <row r="135" spans="1:9" ht="15" thickBot="1">
      <c r="A135" s="85" t="s">
        <v>19</v>
      </c>
      <c r="B135" s="103">
        <f>_xlfn.XLOOKUP(A135,Equipe!H:H,Equipe!B:B,"",0)</f>
        <v>4608559</v>
      </c>
      <c r="C135" s="89">
        <v>45866</v>
      </c>
      <c r="D135" s="104">
        <f>IF(Tabela1[[#This Row],[Início]]&lt;&gt;"",C135+E135-1,"")</f>
        <v>45867</v>
      </c>
      <c r="E135" s="85">
        <v>2</v>
      </c>
      <c r="F135" s="85" t="s">
        <v>11</v>
      </c>
      <c r="G135" s="97"/>
      <c r="H135" s="39" t="str">
        <f>_xlfn.XLOOKUP(Tabela1[[#This Row],[Matrícula]],Equipe!B:B,Equipe!E:E,"ERRO",0)</f>
        <v>P83</v>
      </c>
      <c r="I135" s="39" t="str">
        <f>VLOOKUP(Tabela1[[#This Row],[Matrícula]],Equipe!B:F,5,0)</f>
        <v>Novo</v>
      </c>
    </row>
    <row r="136" spans="1:9" ht="15" thickBot="1">
      <c r="A136" s="85" t="s">
        <v>110</v>
      </c>
      <c r="B136" s="103">
        <f>_xlfn.XLOOKUP(A136,Equipe!H:H,Equipe!B:B,"",0)</f>
        <v>4612140</v>
      </c>
      <c r="C136" s="89">
        <v>45866</v>
      </c>
      <c r="D136" s="104">
        <f>IF(Tabela1[[#This Row],[Início]]&lt;&gt;"",C136+E136-1,"")</f>
        <v>45867</v>
      </c>
      <c r="E136" s="85">
        <v>2</v>
      </c>
      <c r="F136" s="85" t="s">
        <v>17</v>
      </c>
      <c r="G136" s="97" t="s">
        <v>130</v>
      </c>
      <c r="H136" s="39" t="str">
        <f>_xlfn.XLOOKUP(Tabela1[[#This Row],[Matrícula]],Equipe!B:B,Equipe!E:E,"ERRO",0)</f>
        <v>P83</v>
      </c>
      <c r="I136" s="39" t="str">
        <f>VLOOKUP(Tabela1[[#This Row],[Matrícula]],Equipe!B:F,5,0)</f>
        <v>Novo</v>
      </c>
    </row>
    <row r="137" spans="1:9" ht="15" thickBot="1">
      <c r="A137" s="85" t="s">
        <v>34</v>
      </c>
      <c r="B137" s="103">
        <f>_xlfn.XLOOKUP(A137,Equipe!H:H,Equipe!B:B,"",0)</f>
        <v>2493288</v>
      </c>
      <c r="C137" s="89">
        <v>45866</v>
      </c>
      <c r="D137" s="104">
        <f>IF(Tabela1[[#This Row],[Início]]&lt;&gt;"",C137+E137-1,"")</f>
        <v>45867</v>
      </c>
      <c r="E137" s="85">
        <v>2</v>
      </c>
      <c r="F137" s="85" t="s">
        <v>11</v>
      </c>
      <c r="G137" s="97" t="s">
        <v>131</v>
      </c>
      <c r="H137" s="39" t="str">
        <f>_xlfn.XLOOKUP(Tabela1[[#This Row],[Matrícula]],Equipe!B:B,Equipe!E:E,"ERRO",0)</f>
        <v>PBAC</v>
      </c>
      <c r="I137" s="39" t="str">
        <f>VLOOKUP(Tabela1[[#This Row],[Matrícula]],Equipe!B:F,5,0)</f>
        <v>Experiente</v>
      </c>
    </row>
    <row r="138" spans="1:9" ht="15" thickBot="1">
      <c r="A138" s="85" t="s">
        <v>106</v>
      </c>
      <c r="B138" s="103">
        <f>_xlfn.XLOOKUP(A138,Equipe!H:H,Equipe!B:B,"",0)</f>
        <v>4612050</v>
      </c>
      <c r="C138" s="89">
        <v>45866</v>
      </c>
      <c r="D138" s="104">
        <f>IF(Tabela1[[#This Row],[Início]]&lt;&gt;"",C138+E138-1,"")</f>
        <v>45867</v>
      </c>
      <c r="E138" s="85">
        <v>2</v>
      </c>
      <c r="F138" s="85" t="s">
        <v>17</v>
      </c>
      <c r="G138" s="97" t="s">
        <v>130</v>
      </c>
      <c r="H138" s="39" t="str">
        <f>_xlfn.XLOOKUP(Tabela1[[#This Row],[Matrícula]],Equipe!B:B,Equipe!E:E,"ERRO",0)</f>
        <v>P82</v>
      </c>
      <c r="I138" s="39" t="str">
        <f>VLOOKUP(Tabela1[[#This Row],[Matrícula]],Equipe!B:F,5,0)</f>
        <v>Novo</v>
      </c>
    </row>
    <row r="139" spans="1:9" ht="15" thickBot="1">
      <c r="A139" s="85" t="s">
        <v>100</v>
      </c>
      <c r="B139" s="103">
        <f>_xlfn.XLOOKUP(A139,Equipe!H:H,Equipe!B:B,"",0)</f>
        <v>4612098</v>
      </c>
      <c r="C139" s="89">
        <v>45866</v>
      </c>
      <c r="D139" s="104">
        <v>45870</v>
      </c>
      <c r="E139" s="85">
        <v>5</v>
      </c>
      <c r="F139" s="85" t="s">
        <v>17</v>
      </c>
      <c r="G139" s="97" t="s">
        <v>40</v>
      </c>
      <c r="H139" s="39" t="str">
        <f>_xlfn.XLOOKUP(Tabela1[[#This Row],[Matrícula]],Equipe!B:B,Equipe!E:E,"ERRO",0)</f>
        <v>P80</v>
      </c>
      <c r="I139" s="39" t="str">
        <f>VLOOKUP(Tabela1[[#This Row],[Matrícula]],Equipe!B:F,5,0)</f>
        <v>Novo</v>
      </c>
    </row>
    <row r="140" spans="1:9" ht="15" thickBot="1">
      <c r="A140" s="85" t="s">
        <v>103</v>
      </c>
      <c r="B140" s="103">
        <f>_xlfn.XLOOKUP(A140,Equipe!H:H,Equipe!B:B,"",0)</f>
        <v>4612192</v>
      </c>
      <c r="C140" s="89">
        <v>45867</v>
      </c>
      <c r="D140" s="104">
        <f>IF(Tabela1[[#This Row],[Início]]&lt;&gt;"",C140+E140-1,"")</f>
        <v>45867</v>
      </c>
      <c r="E140" s="85">
        <v>1</v>
      </c>
      <c r="F140" s="85" t="s">
        <v>17</v>
      </c>
      <c r="G140" s="97" t="s">
        <v>117</v>
      </c>
      <c r="H140" s="39" t="str">
        <f>_xlfn.XLOOKUP(Tabela1[[#This Row],[Matrícula]],Equipe!B:B,Equipe!E:E,"ERRO",0)</f>
        <v>P82</v>
      </c>
      <c r="I140" s="39" t="str">
        <f>VLOOKUP(Tabela1[[#This Row],[Matrícula]],Equipe!B:F,5,0)</f>
        <v>Novo</v>
      </c>
    </row>
    <row r="141" spans="1:9" ht="15" thickBot="1">
      <c r="A141" s="85" t="s">
        <v>102</v>
      </c>
      <c r="B141" s="103">
        <f>_xlfn.XLOOKUP(A141,Equipe!H:H,Equipe!B:B,"",0)</f>
        <v>4612243</v>
      </c>
      <c r="C141" s="89">
        <v>45867</v>
      </c>
      <c r="D141" s="104">
        <f>IF(Tabela1[[#This Row],[Início]]&lt;&gt;"",C141+E141-1,"")</f>
        <v>45867</v>
      </c>
      <c r="E141" s="85">
        <v>1</v>
      </c>
      <c r="F141" s="85" t="s">
        <v>17</v>
      </c>
      <c r="G141" s="97" t="s">
        <v>117</v>
      </c>
      <c r="H141" s="39" t="str">
        <f>_xlfn.XLOOKUP(Tabela1[[#This Row],[Matrícula]],Equipe!B:B,Equipe!E:E,"ERRO",0)</f>
        <v>P80</v>
      </c>
      <c r="I141" s="39" t="str">
        <f>VLOOKUP(Tabela1[[#This Row],[Matrícula]],Equipe!B:F,5,0)</f>
        <v>Novo</v>
      </c>
    </row>
    <row r="142" spans="1:9" ht="15" thickBot="1">
      <c r="A142" s="85" t="s">
        <v>108</v>
      </c>
      <c r="B142" s="103">
        <f>_xlfn.XLOOKUP(A142,Equipe!H:H,Equipe!B:B,"",0)</f>
        <v>4612389</v>
      </c>
      <c r="C142" s="89">
        <v>45867</v>
      </c>
      <c r="D142" s="104">
        <v>45867</v>
      </c>
      <c r="E142" s="85">
        <v>1</v>
      </c>
      <c r="F142" s="85" t="s">
        <v>17</v>
      </c>
      <c r="G142" s="97" t="s">
        <v>117</v>
      </c>
      <c r="H142" s="39" t="str">
        <f>_xlfn.XLOOKUP(Tabela1[[#This Row],[Matrícula]],Equipe!B:B,Equipe!E:E,"ERRO",0)</f>
        <v>P80</v>
      </c>
      <c r="I142" s="39" t="str">
        <f>VLOOKUP(Tabela1[[#This Row],[Matrícula]],Equipe!B:F,5,0)</f>
        <v>Novo</v>
      </c>
    </row>
    <row r="143" spans="1:9" ht="29.45" thickBot="1">
      <c r="A143" s="85" t="s">
        <v>84</v>
      </c>
      <c r="B143" s="103">
        <f>_xlfn.XLOOKUP(A143,Equipe!H:H,Equipe!B:B,"",0)</f>
        <v>2475130</v>
      </c>
      <c r="C143" s="89">
        <v>45867</v>
      </c>
      <c r="D143" s="104">
        <f>IF(Tabela1[[#This Row],[Início]]&lt;&gt;"",C143+E143-1,"")</f>
        <v>45869</v>
      </c>
      <c r="E143" s="85">
        <v>3</v>
      </c>
      <c r="F143" s="85" t="s">
        <v>17</v>
      </c>
      <c r="G143" s="97" t="s">
        <v>132</v>
      </c>
      <c r="H143" s="39" t="str">
        <f>_xlfn.XLOOKUP(Tabela1[[#This Row],[Matrícula]],Equipe!B:B,Equipe!E:E,"ERRO",0)</f>
        <v>P83</v>
      </c>
      <c r="I143" s="39" t="str">
        <f>VLOOKUP(Tabela1[[#This Row],[Matrícula]],Equipe!B:F,5,0)</f>
        <v>Experiente</v>
      </c>
    </row>
    <row r="144" spans="1:9" ht="15" thickBot="1">
      <c r="A144" s="85" t="s">
        <v>22</v>
      </c>
      <c r="B144" s="103">
        <f>_xlfn.XLOOKUP(A144,Equipe!H:H,Equipe!B:B,"",0)</f>
        <v>4608389</v>
      </c>
      <c r="C144" s="89">
        <v>45867</v>
      </c>
      <c r="D144" s="104">
        <f>IF(Tabela1[[#This Row],[Início]]&lt;&gt;"",C144+E144-1,"")</f>
        <v>45880</v>
      </c>
      <c r="E144" s="85">
        <v>14</v>
      </c>
      <c r="F144" s="85" t="s">
        <v>15</v>
      </c>
      <c r="G144" s="97" t="s">
        <v>133</v>
      </c>
      <c r="H144" s="39" t="str">
        <f>_xlfn.XLOOKUP(Tabela1[[#This Row],[Matrícula]],Equipe!B:B,Equipe!E:E,"ERRO",0)</f>
        <v>P80</v>
      </c>
      <c r="I144" s="39" t="str">
        <f>VLOOKUP(Tabela1[[#This Row],[Matrícula]],Equipe!B:F,5,0)</f>
        <v>Novo</v>
      </c>
    </row>
    <row r="145" spans="1:9" ht="15" thickBot="1">
      <c r="A145" s="85" t="s">
        <v>33</v>
      </c>
      <c r="B145" s="103">
        <f>_xlfn.XLOOKUP(A145,Equipe!H:H,Equipe!B:B,"",0)</f>
        <v>9842940</v>
      </c>
      <c r="C145" s="89">
        <v>45869</v>
      </c>
      <c r="D145" s="104">
        <f>IF(Tabela1[[#This Row],[Início]]&lt;&gt;"",C145+E145-1,"")</f>
        <v>45882</v>
      </c>
      <c r="E145" s="85">
        <v>14</v>
      </c>
      <c r="F145" s="85" t="s">
        <v>15</v>
      </c>
      <c r="G145" s="97" t="s">
        <v>134</v>
      </c>
      <c r="H145" s="39" t="str">
        <f>_xlfn.XLOOKUP(Tabela1[[#This Row],[Matrícula]],Equipe!B:B,Equipe!E:E,"ERRO",0)</f>
        <v>P80</v>
      </c>
      <c r="I145" s="39" t="str">
        <f>VLOOKUP(Tabela1[[#This Row],[Matrícula]],Equipe!B:F,5,0)</f>
        <v>Novo</v>
      </c>
    </row>
    <row r="146" spans="1:9" ht="15" thickBot="1">
      <c r="A146" s="96" t="s">
        <v>86</v>
      </c>
      <c r="B146" s="103">
        <f>_xlfn.XLOOKUP(A146,Equipe!H:H,Equipe!B:B,"",0)</f>
        <v>9683150</v>
      </c>
      <c r="C146" s="89">
        <v>45870</v>
      </c>
      <c r="D146" s="104">
        <f>IF(Tabela1[[#This Row],[Início]]&lt;&gt;"",C146+E146-1,"")</f>
        <v>45870</v>
      </c>
      <c r="E146" s="85">
        <v>1</v>
      </c>
      <c r="F146" s="85" t="s">
        <v>11</v>
      </c>
      <c r="G146" s="97"/>
      <c r="H146" s="39" t="str">
        <f>_xlfn.XLOOKUP(Tabela1[[#This Row],[Matrícula]],Equipe!B:B,Equipe!E:E,"ERRO",0)</f>
        <v>P80</v>
      </c>
      <c r="I146" s="39" t="str">
        <f>VLOOKUP(Tabela1[[#This Row],[Matrícula]],Equipe!B:F,5,0)</f>
        <v>Experiente</v>
      </c>
    </row>
    <row r="147" spans="1:9" ht="15" thickBot="1">
      <c r="A147" s="85" t="s">
        <v>103</v>
      </c>
      <c r="B147" s="103">
        <f>_xlfn.XLOOKUP(A147,Equipe!H:H,Equipe!B:B,"",0)</f>
        <v>4612192</v>
      </c>
      <c r="C147" s="89">
        <v>45873</v>
      </c>
      <c r="D147" s="104">
        <f>IF(Tabela1[[#This Row],[Início]]&lt;&gt;"",C147+E147-1,"")</f>
        <v>45877</v>
      </c>
      <c r="E147" s="85">
        <v>5</v>
      </c>
      <c r="F147" s="85" t="s">
        <v>17</v>
      </c>
      <c r="G147" s="97" t="s">
        <v>135</v>
      </c>
      <c r="H147" s="39" t="str">
        <f>_xlfn.XLOOKUP(Tabela1[[#This Row],[Matrícula]],Equipe!B:B,Equipe!E:E,"ERRO",0)</f>
        <v>P82</v>
      </c>
      <c r="I147" s="39" t="str">
        <f>VLOOKUP(Tabela1[[#This Row],[Matrícula]],Equipe!B:F,5,0)</f>
        <v>Novo</v>
      </c>
    </row>
    <row r="148" spans="1:9" ht="15" thickBot="1">
      <c r="A148" s="85" t="s">
        <v>102</v>
      </c>
      <c r="B148" s="103">
        <f>_xlfn.XLOOKUP(A148,Equipe!H:H,Equipe!B:B,"",0)</f>
        <v>4612243</v>
      </c>
      <c r="C148" s="89">
        <v>45873</v>
      </c>
      <c r="D148" s="104">
        <f>IF(Tabela1[[#This Row],[Início]]&lt;&gt;"",C148+E148-1,"")</f>
        <v>45877</v>
      </c>
      <c r="E148" s="85">
        <v>5</v>
      </c>
      <c r="F148" s="85" t="s">
        <v>17</v>
      </c>
      <c r="G148" s="97" t="s">
        <v>135</v>
      </c>
      <c r="H148" s="39" t="str">
        <f>_xlfn.XLOOKUP(Tabela1[[#This Row],[Matrícula]],Equipe!B:B,Equipe!E:E,"ERRO",0)</f>
        <v>P80</v>
      </c>
      <c r="I148" s="39" t="str">
        <f>VLOOKUP(Tabela1[[#This Row],[Matrícula]],Equipe!B:F,5,0)</f>
        <v>Novo</v>
      </c>
    </row>
    <row r="149" spans="1:9" ht="15" thickBot="1">
      <c r="A149" s="85" t="s">
        <v>105</v>
      </c>
      <c r="B149" s="103">
        <f>_xlfn.XLOOKUP(A149,Equipe!H:H,Equipe!B:B,"",0)</f>
        <v>4612126</v>
      </c>
      <c r="C149" s="89">
        <v>45873</v>
      </c>
      <c r="D149" s="104">
        <v>45877</v>
      </c>
      <c r="E149" s="85">
        <v>5</v>
      </c>
      <c r="F149" s="85" t="s">
        <v>17</v>
      </c>
      <c r="G149" s="97" t="s">
        <v>40</v>
      </c>
      <c r="H149" s="39" t="str">
        <f>_xlfn.XLOOKUP(Tabela1[[#This Row],[Matrícula]],Equipe!B:B,Equipe!E:E,"ERRO",0)</f>
        <v>P82</v>
      </c>
      <c r="I149" s="39" t="str">
        <f>VLOOKUP(Tabela1[[#This Row],[Matrícula]],Equipe!B:F,5,0)</f>
        <v>Novo</v>
      </c>
    </row>
    <row r="150" spans="1:9" ht="15" thickBot="1">
      <c r="A150" s="85" t="s">
        <v>108</v>
      </c>
      <c r="B150" s="103">
        <f>_xlfn.XLOOKUP(A150,Equipe!H:H,Equipe!B:B,"",0)</f>
        <v>4612389</v>
      </c>
      <c r="C150" s="89">
        <v>45873</v>
      </c>
      <c r="D150" s="104">
        <v>45877</v>
      </c>
      <c r="E150" s="85">
        <v>5</v>
      </c>
      <c r="F150" s="85" t="s">
        <v>17</v>
      </c>
      <c r="G150" s="97" t="s">
        <v>135</v>
      </c>
      <c r="H150" s="39" t="str">
        <f>_xlfn.XLOOKUP(Tabela1[[#This Row],[Matrícula]],Equipe!B:B,Equipe!E:E,"ERRO",0)</f>
        <v>P80</v>
      </c>
      <c r="I150" s="39" t="str">
        <f>VLOOKUP(Tabela1[[#This Row],[Matrícula]],Equipe!B:F,5,0)</f>
        <v>Novo</v>
      </c>
    </row>
    <row r="151" spans="1:9" ht="15" thickBot="1">
      <c r="A151" s="85" t="s">
        <v>52</v>
      </c>
      <c r="B151" s="103">
        <f>_xlfn.XLOOKUP(A151,Equipe!H:H,Equipe!B:B,"",0)</f>
        <v>2477135</v>
      </c>
      <c r="C151" s="89">
        <v>45874</v>
      </c>
      <c r="D151" s="104">
        <f>IF(Tabela1[[#This Row],[Início]]&lt;&gt;"",C151+E151-1,"")</f>
        <v>45894</v>
      </c>
      <c r="E151" s="85">
        <v>21</v>
      </c>
      <c r="F151" s="85" t="s">
        <v>11</v>
      </c>
      <c r="G151" s="97" t="s">
        <v>12</v>
      </c>
      <c r="H151" s="39" t="str">
        <f>_xlfn.XLOOKUP(Tabela1[[#This Row],[Matrícula]],Equipe!B:B,Equipe!E:E,"ERRO",0)</f>
        <v>P83</v>
      </c>
      <c r="I151" s="39" t="str">
        <f>VLOOKUP(Tabela1[[#This Row],[Matrícula]],Equipe!B:F,5,0)</f>
        <v>Experiente</v>
      </c>
    </row>
    <row r="152" spans="1:9" ht="15" thickBot="1">
      <c r="A152" s="96" t="s">
        <v>136</v>
      </c>
      <c r="B152" s="103">
        <f>_xlfn.XLOOKUP(A152,Equipe!H:H,Equipe!B:B,"",0)</f>
        <v>4612247</v>
      </c>
      <c r="C152" s="89">
        <v>45875</v>
      </c>
      <c r="D152" s="104">
        <f>IF(Tabela1[[#This Row],[Início]]&lt;&gt;"",C152+E152-1,"")</f>
        <v>45875</v>
      </c>
      <c r="E152" s="85">
        <v>1</v>
      </c>
      <c r="F152" s="85" t="s">
        <v>17</v>
      </c>
      <c r="G152" s="97" t="s">
        <v>92</v>
      </c>
      <c r="H152" s="39" t="str">
        <f>_xlfn.XLOOKUP(Tabela1[[#This Row],[Matrícula]],Equipe!B:B,Equipe!E:E,"ERRO",0)</f>
        <v>P83</v>
      </c>
      <c r="I152" s="39" t="str">
        <f>VLOOKUP(Tabela1[[#This Row],[Matrícula]],Equipe!B:F,5,0)</f>
        <v>Novo</v>
      </c>
    </row>
    <row r="153" spans="1:9" ht="15" thickBot="1">
      <c r="A153" s="85" t="s">
        <v>137</v>
      </c>
      <c r="B153" s="103">
        <f>_xlfn.XLOOKUP(A153,Equipe!H:H,Equipe!B:B,"",0)</f>
        <v>4612393</v>
      </c>
      <c r="C153" s="89">
        <v>45875</v>
      </c>
      <c r="D153" s="104">
        <f>IF(Tabela1[[#This Row],[Início]]&lt;&gt;"",C153+E153-1,"")</f>
        <v>45875</v>
      </c>
      <c r="E153" s="85">
        <v>1</v>
      </c>
      <c r="F153" s="85" t="s">
        <v>17</v>
      </c>
      <c r="G153" s="97" t="s">
        <v>117</v>
      </c>
      <c r="H153" s="39" t="str">
        <f>_xlfn.XLOOKUP(Tabela1[[#This Row],[Matrícula]],Equipe!B:B,Equipe!E:E,"ERRO",0)</f>
        <v>P83</v>
      </c>
      <c r="I153" s="39" t="str">
        <f>VLOOKUP(Tabela1[[#This Row],[Matrícula]],Equipe!B:F,5,0)</f>
        <v>Novo</v>
      </c>
    </row>
    <row r="154" spans="1:9" ht="15" thickBot="1">
      <c r="A154" s="85" t="s">
        <v>58</v>
      </c>
      <c r="B154" s="103">
        <f>_xlfn.XLOOKUP(A154,Equipe!H:H,Equipe!B:B,"",0)</f>
        <v>9886449</v>
      </c>
      <c r="C154" s="89">
        <v>45877</v>
      </c>
      <c r="D154" s="104">
        <f>IF(Tabela1[[#This Row],[Início]]&lt;&gt;"",C154+E154-1,"")</f>
        <v>45877</v>
      </c>
      <c r="E154" s="85">
        <v>1</v>
      </c>
      <c r="F154" s="85" t="s">
        <v>11</v>
      </c>
      <c r="G154" s="97" t="s">
        <v>138</v>
      </c>
      <c r="H154" s="39" t="str">
        <f>_xlfn.XLOOKUP(Tabela1[[#This Row],[Matrícula]],Equipe!B:B,Equipe!E:E,"ERRO",0)</f>
        <v>P80</v>
      </c>
      <c r="I154" s="39" t="str">
        <f>VLOOKUP(Tabela1[[#This Row],[Matrícula]],Equipe!B:F,5,0)</f>
        <v>Experiente</v>
      </c>
    </row>
    <row r="155" spans="1:9" ht="15" thickBot="1">
      <c r="A155" s="85" t="s">
        <v>139</v>
      </c>
      <c r="B155" s="103">
        <f>_xlfn.XLOOKUP(A155,Equipe!H:H,Equipe!B:B,"",0)</f>
        <v>4612228</v>
      </c>
      <c r="C155" s="89">
        <v>45877</v>
      </c>
      <c r="D155" s="104">
        <f>IF(Tabela1[[#This Row],[Início]]&lt;&gt;"",C155+E155-1,"")</f>
        <v>45877</v>
      </c>
      <c r="E155" s="85">
        <v>1</v>
      </c>
      <c r="F155" s="85" t="s">
        <v>17</v>
      </c>
      <c r="G155" s="97" t="s">
        <v>117</v>
      </c>
      <c r="H155" s="39" t="str">
        <f>_xlfn.XLOOKUP(Tabela1[[#This Row],[Matrícula]],Equipe!B:B,Equipe!E:E,"ERRO",0)</f>
        <v>P82</v>
      </c>
      <c r="I155" s="39" t="str">
        <f>VLOOKUP(Tabela1[[#This Row],[Matrícula]],Equipe!B:F,5,0)</f>
        <v>Novo</v>
      </c>
    </row>
    <row r="156" spans="1:9" ht="15" thickBot="1">
      <c r="A156" s="85" t="s">
        <v>136</v>
      </c>
      <c r="B156" s="103">
        <f>_xlfn.XLOOKUP(A156,Equipe!H:H,Equipe!B:B,"",0)</f>
        <v>4612247</v>
      </c>
      <c r="C156" s="89">
        <v>45880</v>
      </c>
      <c r="D156" s="104">
        <f>IF(Tabela1[[#This Row],[Início]]&lt;&gt;"",C156+E156-1,"")</f>
        <v>45884</v>
      </c>
      <c r="E156" s="85">
        <v>5</v>
      </c>
      <c r="F156" s="85" t="s">
        <v>17</v>
      </c>
      <c r="G156" s="97" t="s">
        <v>135</v>
      </c>
      <c r="H156" s="39" t="str">
        <f>_xlfn.XLOOKUP(Tabela1[[#This Row],[Matrícula]],Equipe!B:B,Equipe!E:E,"ERRO",0)</f>
        <v>P83</v>
      </c>
      <c r="I156" s="39" t="str">
        <f>VLOOKUP(Tabela1[[#This Row],[Matrícula]],Equipe!B:F,5,0)</f>
        <v>Novo</v>
      </c>
    </row>
    <row r="157" spans="1:9" ht="15" thickBot="1">
      <c r="A157" s="85" t="s">
        <v>39</v>
      </c>
      <c r="B157" s="103">
        <f>_xlfn.XLOOKUP(A157,Equipe!H:H,Equipe!B:B,"",0)</f>
        <v>9634222</v>
      </c>
      <c r="C157" s="89">
        <v>45881</v>
      </c>
      <c r="D157" s="104">
        <f>IF(Tabela1[[#This Row],[Início]]&lt;&gt;"",C157+E157-1,"")</f>
        <v>45894</v>
      </c>
      <c r="E157" s="85">
        <v>14</v>
      </c>
      <c r="F157" s="85" t="s">
        <v>15</v>
      </c>
      <c r="G157" s="97" t="s">
        <v>23</v>
      </c>
      <c r="H157" s="39" t="str">
        <f>_xlfn.XLOOKUP(Tabela1[[#This Row],[Matrícula]],Equipe!B:B,Equipe!E:E,"ERRO",0)</f>
        <v>P83</v>
      </c>
      <c r="I157" s="39" t="str">
        <f>VLOOKUP(Tabela1[[#This Row],[Matrícula]],Equipe!B:F,5,0)</f>
        <v>Experiente</v>
      </c>
    </row>
    <row r="158" spans="1:9" ht="15" thickBot="1">
      <c r="A158" s="85" t="s">
        <v>22</v>
      </c>
      <c r="B158" s="103">
        <f>_xlfn.XLOOKUP(A158,Equipe!H:H,Equipe!B:B,"",0)</f>
        <v>4608389</v>
      </c>
      <c r="C158" s="89">
        <v>45882</v>
      </c>
      <c r="D158" s="104">
        <f>IF(Tabela1[[#This Row],[Início]]&lt;&gt;"",C158+E158-1,"")</f>
        <v>45910</v>
      </c>
      <c r="E158" s="85">
        <v>29</v>
      </c>
      <c r="F158" s="85" t="s">
        <v>11</v>
      </c>
      <c r="G158" s="97" t="s">
        <v>18</v>
      </c>
      <c r="H158" s="39" t="str">
        <f>_xlfn.XLOOKUP(Tabela1[[#This Row],[Matrícula]],Equipe!B:B,Equipe!E:E,"ERRO",0)</f>
        <v>P80</v>
      </c>
      <c r="I158" s="39" t="str">
        <f>VLOOKUP(Tabela1[[#This Row],[Matrícula]],Equipe!B:F,5,0)</f>
        <v>Novo</v>
      </c>
    </row>
    <row r="159" spans="1:9" ht="15" thickBot="1">
      <c r="A159" s="85" t="s">
        <v>33</v>
      </c>
      <c r="B159" s="103">
        <f>_xlfn.XLOOKUP(A159,Equipe!H:H,Equipe!B:B,"",0)</f>
        <v>9842940</v>
      </c>
      <c r="C159" s="89">
        <v>45883</v>
      </c>
      <c r="D159" s="104">
        <f>IF(Tabela1[[#This Row],[Início]]&lt;&gt;"",C159+E159-1,"")</f>
        <v>45911</v>
      </c>
      <c r="E159" s="85">
        <v>29</v>
      </c>
      <c r="F159" s="85" t="s">
        <v>11</v>
      </c>
      <c r="G159" s="97" t="s">
        <v>12</v>
      </c>
      <c r="H159" s="39" t="str">
        <f>_xlfn.XLOOKUP(Tabela1[[#This Row],[Matrícula]],Equipe!B:B,Equipe!E:E,"ERRO",0)</f>
        <v>P80</v>
      </c>
      <c r="I159" s="39" t="str">
        <f>VLOOKUP(Tabela1[[#This Row],[Matrícula]],Equipe!B:F,5,0)</f>
        <v>Novo</v>
      </c>
    </row>
    <row r="160" spans="1:9" ht="15" thickBot="1">
      <c r="A160" s="85" t="s">
        <v>136</v>
      </c>
      <c r="B160" s="103">
        <f>_xlfn.XLOOKUP(A160,Equipe!H:H,Equipe!B:B,"",0)</f>
        <v>4612247</v>
      </c>
      <c r="C160" s="89">
        <v>45887</v>
      </c>
      <c r="D160" s="104">
        <f>IF(Tabela1[[#This Row],[Início]]&lt;&gt;"",C160+E160-1,"")</f>
        <v>45887</v>
      </c>
      <c r="E160" s="85">
        <v>1</v>
      </c>
      <c r="F160" s="85" t="s">
        <v>17</v>
      </c>
      <c r="G160" s="97" t="s">
        <v>117</v>
      </c>
      <c r="H160" s="39" t="str">
        <f>_xlfn.XLOOKUP(Tabela1[[#This Row],[Matrícula]],Equipe!B:B,Equipe!E:E,"ERRO",0)</f>
        <v>P83</v>
      </c>
      <c r="I160" s="39" t="str">
        <f>VLOOKUP(Tabela1[[#This Row],[Matrícula]],Equipe!B:F,5,0)</f>
        <v>Novo</v>
      </c>
    </row>
    <row r="161" spans="1:9" ht="15" thickBot="1">
      <c r="A161" s="85" t="s">
        <v>137</v>
      </c>
      <c r="B161" s="103">
        <f>_xlfn.XLOOKUP(A161,Equipe!H:H,Equipe!B:B,"",0)</f>
        <v>4612393</v>
      </c>
      <c r="C161" s="89">
        <v>45887</v>
      </c>
      <c r="D161" s="104">
        <f>IF(Tabela1[[#This Row],[Início]]&lt;&gt;"",C161+E161-1,"")</f>
        <v>45891</v>
      </c>
      <c r="E161" s="85">
        <v>5</v>
      </c>
      <c r="F161" s="85" t="s">
        <v>17</v>
      </c>
      <c r="G161" s="97" t="s">
        <v>135</v>
      </c>
      <c r="H161" s="39" t="str">
        <f>_xlfn.XLOOKUP(Tabela1[[#This Row],[Matrícula]],Equipe!B:B,Equipe!E:E,"ERRO",0)</f>
        <v>P83</v>
      </c>
      <c r="I161" s="39" t="str">
        <f>VLOOKUP(Tabela1[[#This Row],[Matrícula]],Equipe!B:F,5,0)</f>
        <v>Novo</v>
      </c>
    </row>
    <row r="162" spans="1:9" ht="15" thickBot="1">
      <c r="A162" s="85" t="s">
        <v>139</v>
      </c>
      <c r="B162" s="103">
        <f>_xlfn.XLOOKUP(A162,Equipe!H:H,Equipe!B:B,"",0)</f>
        <v>4612228</v>
      </c>
      <c r="C162" s="89">
        <v>45887</v>
      </c>
      <c r="D162" s="104">
        <f>IF(Tabela1[[#This Row],[Início]]&lt;&gt;"",C162+E162-1,"")</f>
        <v>45891</v>
      </c>
      <c r="E162" s="85">
        <v>5</v>
      </c>
      <c r="F162" s="85" t="s">
        <v>17</v>
      </c>
      <c r="G162" s="97" t="s">
        <v>135</v>
      </c>
      <c r="H162" s="39" t="str">
        <f>_xlfn.XLOOKUP(Tabela1[[#This Row],[Matrícula]],Equipe!B:B,Equipe!E:E,"ERRO",0)</f>
        <v>P82</v>
      </c>
      <c r="I162" s="39" t="str">
        <f>VLOOKUP(Tabela1[[#This Row],[Matrícula]],Equipe!B:F,5,0)</f>
        <v>Novo</v>
      </c>
    </row>
    <row r="163" spans="1:9" ht="15" thickBot="1">
      <c r="A163" s="85" t="s">
        <v>30</v>
      </c>
      <c r="B163" s="103">
        <f>_xlfn.XLOOKUP(A163,Equipe!H:H,Equipe!B:B,"",0)</f>
        <v>4608474</v>
      </c>
      <c r="C163" s="89">
        <v>45889</v>
      </c>
      <c r="D163" s="104">
        <f>IF(Tabela1[[#This Row],[Início]]&lt;&gt;"",C163+E163-1,"")</f>
        <v>45891</v>
      </c>
      <c r="E163" s="85">
        <v>3</v>
      </c>
      <c r="F163" s="85" t="s">
        <v>11</v>
      </c>
      <c r="G163" s="97" t="s">
        <v>90</v>
      </c>
      <c r="H163" s="39" t="str">
        <f>_xlfn.XLOOKUP(Tabela1[[#This Row],[Matrícula]],Equipe!B:B,Equipe!E:E,"ERRO",0)</f>
        <v>P82</v>
      </c>
      <c r="I163" s="39" t="str">
        <f>VLOOKUP(Tabela1[[#This Row],[Matrícula]],Equipe!B:F,5,0)</f>
        <v>Novo</v>
      </c>
    </row>
    <row r="164" spans="1:9" ht="15" thickBot="1">
      <c r="A164" s="85" t="s">
        <v>19</v>
      </c>
      <c r="B164" s="103">
        <f>_xlfn.XLOOKUP(A164,Equipe!H:H,Equipe!B:B,"",0)</f>
        <v>4608559</v>
      </c>
      <c r="C164" s="89">
        <v>45889</v>
      </c>
      <c r="D164" s="104">
        <f>IF(Tabela1[[#This Row],[Início]]&lt;&gt;"",C164+E164-1,"")</f>
        <v>45891</v>
      </c>
      <c r="E164" s="85">
        <v>3</v>
      </c>
      <c r="F164" s="85" t="s">
        <v>15</v>
      </c>
      <c r="G164" s="97"/>
      <c r="H164" s="39" t="str">
        <f>_xlfn.XLOOKUP(Tabela1[[#This Row],[Matrícula]],Equipe!B:B,Equipe!E:E,"ERRO",0)</f>
        <v>P83</v>
      </c>
      <c r="I164" s="39" t="str">
        <f>VLOOKUP(Tabela1[[#This Row],[Matrícula]],Equipe!B:F,5,0)</f>
        <v>Novo</v>
      </c>
    </row>
    <row r="165" spans="1:9" ht="15" thickBot="1">
      <c r="A165" s="94" t="s">
        <v>110</v>
      </c>
      <c r="B165" s="127">
        <v>4612140</v>
      </c>
      <c r="C165" s="95">
        <v>45889</v>
      </c>
      <c r="D165" s="126">
        <f>IF(Tabela1[[#This Row],[Início]]&lt;&gt;"",C165+E165-1,"")</f>
        <v>45895</v>
      </c>
      <c r="E165" s="94">
        <v>7</v>
      </c>
      <c r="F165" s="94" t="s">
        <v>15</v>
      </c>
      <c r="G165" s="106" t="s">
        <v>79</v>
      </c>
      <c r="H165" s="142" t="str">
        <f>_xlfn.XLOOKUP(Tabela1[[#This Row],[Matrícula]],Equipe!B:B,Equipe!E:E,"ERRO",0)</f>
        <v>P83</v>
      </c>
      <c r="I165" s="142" t="str">
        <f>VLOOKUP(Tabela1[[#This Row],[Matrícula]],Equipe!B:F,5,0)</f>
        <v>Novo</v>
      </c>
    </row>
    <row r="166" spans="1:9" ht="15" thickBot="1">
      <c r="A166" s="85" t="s">
        <v>100</v>
      </c>
      <c r="B166" s="103">
        <f>_xlfn.XLOOKUP(A166,Equipe!H:H,Equipe!B:B,"",0)</f>
        <v>4612098</v>
      </c>
      <c r="C166" s="89">
        <v>45890</v>
      </c>
      <c r="D166" s="104">
        <f>IF(Tabela1[[#This Row],[Início]]&lt;&gt;"",C166+E166-1,"")</f>
        <v>45899</v>
      </c>
      <c r="E166" s="85">
        <v>10</v>
      </c>
      <c r="F166" s="85" t="s">
        <v>15</v>
      </c>
      <c r="G166" s="97" t="s">
        <v>140</v>
      </c>
      <c r="H166" s="39" t="str">
        <f>_xlfn.XLOOKUP(Tabela1[[#This Row],[Matrícula]],Equipe!B:B,Equipe!E:E,"ERRO",0)</f>
        <v>P80</v>
      </c>
      <c r="I166" s="39" t="str">
        <f>VLOOKUP(Tabela1[[#This Row],[Matrícula]],Equipe!B:F,5,0)</f>
        <v>Novo</v>
      </c>
    </row>
    <row r="167" spans="1:9" ht="15" thickBot="1">
      <c r="A167" s="85" t="s">
        <v>58</v>
      </c>
      <c r="B167" s="103">
        <f>_xlfn.XLOOKUP(A167,Equipe!H:H,Equipe!B:B,"",0)</f>
        <v>9886449</v>
      </c>
      <c r="C167" s="89">
        <v>45894</v>
      </c>
      <c r="D167" s="104">
        <f>IF(Tabela1[[#This Row],[Início]]&lt;&gt;"",C167+E167-1,"")</f>
        <v>45896</v>
      </c>
      <c r="E167" s="85">
        <v>3</v>
      </c>
      <c r="F167" s="85" t="s">
        <v>17</v>
      </c>
      <c r="G167" s="97" t="s">
        <v>141</v>
      </c>
      <c r="H167" s="39" t="str">
        <f>_xlfn.XLOOKUP(Tabela1[[#This Row],[Matrícula]],Equipe!B:B,Equipe!E:E,"ERRO",0)</f>
        <v>P80</v>
      </c>
      <c r="I167" s="39" t="str">
        <f>VLOOKUP(Tabela1[[#This Row],[Matrícula]],Equipe!B:F,5,0)</f>
        <v>Experiente</v>
      </c>
    </row>
    <row r="168" spans="1:9" ht="15" thickBot="1">
      <c r="A168" s="85" t="s">
        <v>19</v>
      </c>
      <c r="B168" s="103">
        <v>4608559</v>
      </c>
      <c r="C168" s="89">
        <v>45895</v>
      </c>
      <c r="D168" s="104">
        <f>IF(Tabela1[[#This Row],[Início]]&lt;&gt;"",C168+E168-1,"")</f>
        <v>45896</v>
      </c>
      <c r="E168" s="85">
        <v>2</v>
      </c>
      <c r="F168" s="85" t="s">
        <v>17</v>
      </c>
      <c r="G168" s="97" t="s">
        <v>142</v>
      </c>
      <c r="H168" s="39" t="str">
        <f>_xlfn.XLOOKUP(Tabela1[[#This Row],[Matrícula]],Equipe!B:B,Equipe!E:E,"ERRO",0)</f>
        <v>P83</v>
      </c>
      <c r="I168" s="39" t="str">
        <f>VLOOKUP(Tabela1[[#This Row],[Matrícula]],Equipe!B:F,5,0)</f>
        <v>Novo</v>
      </c>
    </row>
    <row r="169" spans="1:9" ht="15" thickBot="1">
      <c r="A169" s="85" t="s">
        <v>39</v>
      </c>
      <c r="B169" s="103">
        <f>_xlfn.XLOOKUP(A169,Equipe!H:H,Equipe!B:B,"",0)</f>
        <v>9634222</v>
      </c>
      <c r="C169" s="89">
        <v>45895</v>
      </c>
      <c r="D169" s="104">
        <f>IF(Tabela1[[#This Row],[Início]]&lt;&gt;"",C169+E169-1,"")</f>
        <v>45915</v>
      </c>
      <c r="E169" s="85">
        <v>21</v>
      </c>
      <c r="F169" s="85" t="s">
        <v>11</v>
      </c>
      <c r="G169" s="97" t="s">
        <v>143</v>
      </c>
      <c r="H169" s="39" t="str">
        <f>_xlfn.XLOOKUP(Tabela1[[#This Row],[Matrícula]],Equipe!B:B,Equipe!E:E,"ERRO",0)</f>
        <v>P83</v>
      </c>
      <c r="I169" s="39" t="str">
        <f>VLOOKUP(Tabela1[[#This Row],[Matrícula]],Equipe!B:F,5,0)</f>
        <v>Experiente</v>
      </c>
    </row>
    <row r="170" spans="1:9" ht="15" thickBot="1">
      <c r="A170" s="94" t="s">
        <v>110</v>
      </c>
      <c r="B170" s="127">
        <f>_xlfn.XLOOKUP(A170,Equipe!H:H,Equipe!B:B,"",0)</f>
        <v>4612140</v>
      </c>
      <c r="C170" s="95">
        <v>45896</v>
      </c>
      <c r="D170" s="126">
        <f>IF(Tabela1[[#This Row],[Início]]&lt;&gt;"",C170+E170-1,"")</f>
        <v>45910</v>
      </c>
      <c r="E170" s="94">
        <v>15</v>
      </c>
      <c r="F170" s="94" t="s">
        <v>11</v>
      </c>
      <c r="G170" s="106" t="s">
        <v>144</v>
      </c>
      <c r="H170" s="142" t="str">
        <f>_xlfn.XLOOKUP(Tabela1[[#This Row],[Matrícula]],Equipe!B:B,Equipe!E:E,"ERRO",0)</f>
        <v>P83</v>
      </c>
      <c r="I170" s="142" t="str">
        <f>VLOOKUP(Tabela1[[#This Row],[Matrícula]],Equipe!B:F,5,0)</f>
        <v>Novo</v>
      </c>
    </row>
    <row r="171" spans="1:9" ht="15" thickBot="1">
      <c r="A171" s="85" t="s">
        <v>19</v>
      </c>
      <c r="B171" s="103">
        <f>_xlfn.XLOOKUP(A171,Equipe!H:H,Equipe!B:B,"",0)</f>
        <v>4608559</v>
      </c>
      <c r="C171" s="89">
        <v>45897</v>
      </c>
      <c r="D171" s="104">
        <f>IF(Tabela1[[#This Row],[Início]]&lt;&gt;"",C171+E171-1,"")</f>
        <v>45898</v>
      </c>
      <c r="E171" s="85">
        <v>2</v>
      </c>
      <c r="F171" s="85" t="s">
        <v>11</v>
      </c>
      <c r="G171" s="97" t="s">
        <v>18</v>
      </c>
      <c r="H171" s="39" t="str">
        <f>_xlfn.XLOOKUP(Tabela1[[#This Row],[Matrícula]],Equipe!B:B,Equipe!E:E,"ERRO",0)</f>
        <v>P83</v>
      </c>
      <c r="I171" s="39" t="str">
        <f>VLOOKUP(Tabela1[[#This Row],[Matrícula]],Equipe!B:F,5,0)</f>
        <v>Novo</v>
      </c>
    </row>
    <row r="172" spans="1:9" ht="15" thickBot="1">
      <c r="A172" s="94" t="s">
        <v>41</v>
      </c>
      <c r="B172" s="127">
        <f>_xlfn.XLOOKUP(A172,Equipe!H:H,Equipe!B:B,"",0)</f>
        <v>1381625</v>
      </c>
      <c r="C172" s="95">
        <v>45901</v>
      </c>
      <c r="D172" s="126">
        <f>IF(Tabela1[[#This Row],[Início]]&lt;&gt;"",C172+E172-1,"")</f>
        <v>45903</v>
      </c>
      <c r="E172" s="94">
        <v>3</v>
      </c>
      <c r="F172" s="94" t="s">
        <v>11</v>
      </c>
      <c r="G172" s="106" t="s">
        <v>145</v>
      </c>
      <c r="H172" s="142" t="str">
        <f>_xlfn.XLOOKUP(Tabela1[[#This Row],[Matrícula]],Equipe!B:B,Equipe!E:E,"ERRO",0)</f>
        <v>P80</v>
      </c>
      <c r="I172" s="142" t="str">
        <f>VLOOKUP(Tabela1[[#This Row],[Matrícula]],Equipe!B:F,5,0)</f>
        <v>Experiente</v>
      </c>
    </row>
    <row r="173" spans="1:9" ht="15" thickBot="1">
      <c r="A173" s="85" t="s">
        <v>100</v>
      </c>
      <c r="B173" s="103">
        <f>_xlfn.XLOOKUP(A173,Equipe!H:H,Equipe!B:B,"",0)</f>
        <v>4612098</v>
      </c>
      <c r="C173" s="89">
        <v>45901</v>
      </c>
      <c r="D173" s="104">
        <f>IF(Tabela1[[#This Row],[Início]]&lt;&gt;"",C173+E173-1,"")</f>
        <v>45921</v>
      </c>
      <c r="E173" s="85">
        <v>21</v>
      </c>
      <c r="F173" s="85" t="s">
        <v>11</v>
      </c>
      <c r="G173" s="97" t="s">
        <v>146</v>
      </c>
      <c r="H173" s="39" t="str">
        <f>_xlfn.XLOOKUP(Tabela1[[#This Row],[Matrícula]],Equipe!B:B,Equipe!E:E,"ERRO",0)</f>
        <v>P80</v>
      </c>
      <c r="I173" s="39" t="str">
        <f>VLOOKUP(Tabela1[[#This Row],[Matrícula]],Equipe!B:F,5,0)</f>
        <v>Novo</v>
      </c>
    </row>
    <row r="174" spans="1:9" ht="15" thickBot="1">
      <c r="A174" s="85" t="s">
        <v>52</v>
      </c>
      <c r="B174" s="103">
        <f>_xlfn.XLOOKUP(A174,Equipe!H:H,Equipe!B:B,"",0)</f>
        <v>2477135</v>
      </c>
      <c r="C174" s="89">
        <v>45902</v>
      </c>
      <c r="D174" s="104">
        <f>IF(Tabela1[[#This Row],[Início]]&lt;&gt;"",C174+E174-1,"")</f>
        <v>45903</v>
      </c>
      <c r="E174" s="85">
        <v>2</v>
      </c>
      <c r="F174" s="85" t="s">
        <v>17</v>
      </c>
      <c r="G174" s="97" t="s">
        <v>147</v>
      </c>
      <c r="H174" s="39" t="str">
        <f>_xlfn.XLOOKUP(Tabela1[[#This Row],[Matrícula]],Equipe!B:B,Equipe!E:E,"ERRO",0)</f>
        <v>P83</v>
      </c>
      <c r="I174" s="39" t="str">
        <f>VLOOKUP(Tabela1[[#This Row],[Matrícula]],Equipe!B:F,5,0)</f>
        <v>Experiente</v>
      </c>
    </row>
    <row r="175" spans="1:9" ht="15" thickBot="1">
      <c r="A175" s="85" t="s">
        <v>49</v>
      </c>
      <c r="B175" s="103">
        <f>_xlfn.XLOOKUP(A175,Equipe!H:H,Equipe!B:B,"",0)</f>
        <v>4606694</v>
      </c>
      <c r="C175" s="89">
        <v>45902</v>
      </c>
      <c r="D175" s="104">
        <v>45903</v>
      </c>
      <c r="E175" s="85">
        <v>2</v>
      </c>
      <c r="F175" s="85" t="s">
        <v>17</v>
      </c>
      <c r="G175" s="97" t="s">
        <v>147</v>
      </c>
      <c r="H175" s="39" t="str">
        <f>_xlfn.XLOOKUP(Tabela1[[#This Row],[Matrícula]],Equipe!B:B,Equipe!E:E,"ERRO",0)</f>
        <v>PBAC</v>
      </c>
      <c r="I175" s="39" t="str">
        <f>VLOOKUP(Tabela1[[#This Row],[Matrícula]],Equipe!B:F,5,0)</f>
        <v>Novo</v>
      </c>
    </row>
    <row r="176" spans="1:9" ht="15" thickBot="1">
      <c r="A176" s="94" t="s">
        <v>14</v>
      </c>
      <c r="B176" s="127">
        <f>_xlfn.XLOOKUP(A176,Equipe!H:H,Equipe!B:B,"",0)</f>
        <v>4608544</v>
      </c>
      <c r="C176" s="95">
        <v>45904</v>
      </c>
      <c r="D176" s="126">
        <f>IF(Tabela1[[#This Row],[Início]]&lt;&gt;"",C176+E176-1,"")</f>
        <v>45917</v>
      </c>
      <c r="E176" s="94">
        <v>14</v>
      </c>
      <c r="F176" s="85" t="s">
        <v>15</v>
      </c>
      <c r="G176" s="97" t="s">
        <v>134</v>
      </c>
      <c r="H176" s="39" t="str">
        <f>_xlfn.XLOOKUP(Tabela1[[#This Row],[Matrícula]],Equipe!B:B,Equipe!E:E,"ERRO",0)</f>
        <v>P82</v>
      </c>
      <c r="I176" s="39" t="str">
        <f>VLOOKUP(Tabela1[[#This Row],[Matrícula]],Equipe!B:F,5,0)</f>
        <v>Novo</v>
      </c>
    </row>
    <row r="177" spans="1:9" ht="15" thickBot="1">
      <c r="A177" s="85" t="s">
        <v>53</v>
      </c>
      <c r="B177" s="103">
        <f>_xlfn.XLOOKUP(A177,Equipe!H:H,Equipe!B:B,"",0)</f>
        <v>4608684</v>
      </c>
      <c r="C177" s="89">
        <v>45908</v>
      </c>
      <c r="D177" s="104">
        <f>IF(Tabela1[[#This Row],[Início]]&lt;&gt;"",C177+E177-1,"")</f>
        <v>45912</v>
      </c>
      <c r="E177" s="85">
        <v>5</v>
      </c>
      <c r="F177" s="85" t="s">
        <v>17</v>
      </c>
      <c r="G177" s="106" t="s">
        <v>148</v>
      </c>
      <c r="H177" s="39" t="str">
        <f>_xlfn.XLOOKUP(Tabela1[[#This Row],[Matrícula]],Equipe!B:B,Equipe!E:E,"ERRO",0)</f>
        <v>P82</v>
      </c>
      <c r="I177" s="39" t="str">
        <f>VLOOKUP(Tabela1[[#This Row],[Matrícula]],Equipe!B:F,5,0)</f>
        <v>Novo</v>
      </c>
    </row>
    <row r="178" spans="1:9" ht="15" thickBot="1">
      <c r="A178" s="85" t="s">
        <v>37</v>
      </c>
      <c r="B178" s="103">
        <f>_xlfn.XLOOKUP(A178,Equipe!H:H,Equipe!B:B,"",0)</f>
        <v>9724817</v>
      </c>
      <c r="C178" s="89">
        <v>45909</v>
      </c>
      <c r="D178" s="104">
        <f>IF(Tabela1[[#This Row],[Início]]&lt;&gt;"",C178+E178-1,"")</f>
        <v>45912</v>
      </c>
      <c r="E178" s="85">
        <v>4</v>
      </c>
      <c r="F178" s="85" t="s">
        <v>11</v>
      </c>
      <c r="G178" s="97" t="s">
        <v>90</v>
      </c>
      <c r="H178" s="39" t="str">
        <f>_xlfn.XLOOKUP(Tabela1[[#This Row],[Matrícula]],Equipe!B:B,Equipe!E:E,"ERRO",0)</f>
        <v>P82</v>
      </c>
      <c r="I178" s="39" t="str">
        <f>VLOOKUP(Tabela1[[#This Row],[Matrícula]],Equipe!B:F,5,0)</f>
        <v>Experiente</v>
      </c>
    </row>
    <row r="179" spans="1:9" ht="15" thickBot="1">
      <c r="A179" s="85" t="s">
        <v>28</v>
      </c>
      <c r="B179" s="103">
        <f>_xlfn.XLOOKUP(A179,Equipe!H:H,Equipe!B:B,"",0)</f>
        <v>1386344</v>
      </c>
      <c r="C179" s="89">
        <v>45911</v>
      </c>
      <c r="D179" s="104">
        <f>IF(Tabela1[[#This Row],[Início]]&lt;&gt;"",C179+E179-1,"")</f>
        <v>45911</v>
      </c>
      <c r="E179" s="85">
        <v>1</v>
      </c>
      <c r="F179" s="94" t="s">
        <v>11</v>
      </c>
      <c r="G179" s="97" t="s">
        <v>90</v>
      </c>
      <c r="H179" s="39" t="str">
        <f>_xlfn.XLOOKUP(Tabela1[[#This Row],[Matrícula]],Equipe!B:B,Equipe!E:E,"ERRO",0)</f>
        <v>P82</v>
      </c>
      <c r="I179" s="39" t="str">
        <f>VLOOKUP(Tabela1[[#This Row],[Matrícula]],Equipe!B:F,5,0)</f>
        <v>Experiente</v>
      </c>
    </row>
    <row r="180" spans="1:9" ht="15" thickBot="1">
      <c r="A180" s="94" t="s">
        <v>34</v>
      </c>
      <c r="B180" s="127">
        <f>_xlfn.XLOOKUP(A180,Equipe!H:H,Equipe!B:B,"",0)</f>
        <v>2493288</v>
      </c>
      <c r="C180" s="95">
        <v>45912</v>
      </c>
      <c r="D180" s="126">
        <f>IF(Tabela1[[#This Row],[Início]]&lt;&gt;"",C180+E180-1,"")</f>
        <v>45912</v>
      </c>
      <c r="E180" s="94">
        <v>1</v>
      </c>
      <c r="F180" s="94" t="s">
        <v>11</v>
      </c>
      <c r="G180" s="106" t="s">
        <v>36</v>
      </c>
      <c r="H180" s="142" t="str">
        <f>_xlfn.XLOOKUP(Tabela1[[#This Row],[Matrícula]],Equipe!B:B,Equipe!E:E,"ERRO",0)</f>
        <v>PBAC</v>
      </c>
      <c r="I180" s="142" t="str">
        <f>VLOOKUP(Tabela1[[#This Row],[Matrícula]],Equipe!B:F,5,0)</f>
        <v>Experiente</v>
      </c>
    </row>
    <row r="181" spans="1:9" ht="15" thickBot="1">
      <c r="A181" s="85" t="s">
        <v>28</v>
      </c>
      <c r="B181" s="103">
        <f>_xlfn.XLOOKUP(A181,Equipe!H:H,Equipe!B:B,"",0)</f>
        <v>1386344</v>
      </c>
      <c r="C181" s="89">
        <v>45912</v>
      </c>
      <c r="D181" s="104">
        <f>IF(Tabela1[[#This Row],[Início]]&lt;&gt;"",C181+E181-1,"")</f>
        <v>45912</v>
      </c>
      <c r="E181" s="85">
        <v>1</v>
      </c>
      <c r="F181" s="94" t="s">
        <v>11</v>
      </c>
      <c r="G181" s="97" t="s">
        <v>90</v>
      </c>
      <c r="H181" s="39" t="str">
        <f>_xlfn.XLOOKUP(Tabela1[[#This Row],[Matrícula]],Equipe!B:B,Equipe!E:E,"ERRO",0)</f>
        <v>P82</v>
      </c>
      <c r="I181" s="39" t="str">
        <f>VLOOKUP(Tabela1[[#This Row],[Matrícula]],Equipe!B:F,5,0)</f>
        <v>Experiente</v>
      </c>
    </row>
    <row r="182" spans="1:9" ht="29.45" thickBot="1">
      <c r="A182" s="85" t="s">
        <v>34</v>
      </c>
      <c r="B182" s="103">
        <f>_xlfn.XLOOKUP(A182,Equipe!H:H,Equipe!B:B,"",0)</f>
        <v>2493288</v>
      </c>
      <c r="C182" s="89">
        <v>45916</v>
      </c>
      <c r="D182" s="104">
        <f>IF(Tabela1[[#This Row],[Início]]&lt;&gt;"",C182+E182-1,"")</f>
        <v>45918</v>
      </c>
      <c r="E182" s="85">
        <v>3</v>
      </c>
      <c r="F182" s="85" t="s">
        <v>17</v>
      </c>
      <c r="G182" s="97" t="s">
        <v>149</v>
      </c>
      <c r="H182" s="39" t="str">
        <f>_xlfn.XLOOKUP(Tabela1[[#This Row],[Matrícula]],Equipe!B:B,Equipe!E:E,"ERRO",0)</f>
        <v>PBAC</v>
      </c>
      <c r="I182" s="39" t="str">
        <f>VLOOKUP(Tabela1[[#This Row],[Matrícula]],Equipe!B:F,5,0)</f>
        <v>Experiente</v>
      </c>
    </row>
    <row r="183" spans="1:9" ht="15" thickBot="1">
      <c r="A183" s="85" t="s">
        <v>39</v>
      </c>
      <c r="B183" s="103">
        <f>_xlfn.XLOOKUP(A183,Equipe!H:H,Equipe!B:B,"",0)</f>
        <v>9634222</v>
      </c>
      <c r="C183" s="89">
        <v>45916</v>
      </c>
      <c r="D183" s="104">
        <f>IF(Tabela1[[#This Row],[Início]]&lt;&gt;"",C183+E183-1,"")</f>
        <v>45918</v>
      </c>
      <c r="E183" s="85">
        <v>3</v>
      </c>
      <c r="F183" s="85" t="s">
        <v>17</v>
      </c>
      <c r="G183" s="97" t="s">
        <v>150</v>
      </c>
      <c r="H183" s="39" t="str">
        <f>_xlfn.XLOOKUP(Tabela1[[#This Row],[Matrícula]],Equipe!B:B,Equipe!E:E,"ERRO",0)</f>
        <v>P83</v>
      </c>
      <c r="I183" s="39" t="str">
        <f>VLOOKUP(Tabela1[[#This Row],[Matrícula]],Equipe!B:F,5,0)</f>
        <v>Experiente</v>
      </c>
    </row>
    <row r="184" spans="1:9" ht="15" thickBot="1">
      <c r="A184" s="94" t="s">
        <v>14</v>
      </c>
      <c r="B184" s="127">
        <f>_xlfn.XLOOKUP(A184,Equipe!H:H,Equipe!B:B,"",0)</f>
        <v>4608544</v>
      </c>
      <c r="C184" s="95">
        <v>45918</v>
      </c>
      <c r="D184" s="126">
        <f>IF(Tabela1[[#This Row],[Início]]&lt;&gt;"",C184+E184-1,"")</f>
        <v>45946</v>
      </c>
      <c r="E184" s="94">
        <v>29</v>
      </c>
      <c r="F184" s="85" t="s">
        <v>11</v>
      </c>
      <c r="G184" s="97" t="s">
        <v>151</v>
      </c>
      <c r="H184" s="39" t="str">
        <f>_xlfn.XLOOKUP(Tabela1[[#This Row],[Matrícula]],Equipe!B:B,Equipe!E:E,"ERRO",0)</f>
        <v>P82</v>
      </c>
      <c r="I184" s="39" t="str">
        <f>VLOOKUP(Tabela1[[#This Row],[Matrícula]],Equipe!B:F,5,0)</f>
        <v>Novo</v>
      </c>
    </row>
    <row r="185" spans="1:9" ht="15" thickBot="1">
      <c r="A185" s="85" t="s">
        <v>22</v>
      </c>
      <c r="B185" s="103">
        <f>_xlfn.XLOOKUP(A185,Equipe!H:H,Equipe!B:B,"",0)</f>
        <v>4608389</v>
      </c>
      <c r="C185" s="89">
        <v>45919</v>
      </c>
      <c r="D185" s="104">
        <f>IF(Tabela1[[#This Row],[Início]]&lt;&gt;"",C185+E185-1,"")</f>
        <v>45930</v>
      </c>
      <c r="E185" s="85">
        <v>12</v>
      </c>
      <c r="F185" s="85" t="s">
        <v>15</v>
      </c>
      <c r="G185" s="97" t="s">
        <v>54</v>
      </c>
      <c r="H185" s="39" t="str">
        <f>_xlfn.XLOOKUP(Tabela1[[#This Row],[Matrícula]],Equipe!B:B,Equipe!E:E,"ERRO",0)</f>
        <v>P80</v>
      </c>
      <c r="I185" s="39" t="str">
        <f>VLOOKUP(Tabela1[[#This Row],[Matrícula]],Equipe!B:F,5,0)</f>
        <v>Novo</v>
      </c>
    </row>
    <row r="186" spans="1:9" ht="15" thickBot="1">
      <c r="A186" s="85" t="s">
        <v>37</v>
      </c>
      <c r="B186" s="103">
        <f>_xlfn.XLOOKUP(A186,Equipe!H:H,Equipe!B:B,"",0)</f>
        <v>9724817</v>
      </c>
      <c r="C186" s="89">
        <v>45919</v>
      </c>
      <c r="D186" s="104">
        <f>IF(Tabela1[[#This Row],[Início]]&lt;&gt;"",C186+E186-1,"")</f>
        <v>45932</v>
      </c>
      <c r="E186" s="85">
        <v>14</v>
      </c>
      <c r="F186" s="85" t="s">
        <v>15</v>
      </c>
      <c r="G186" s="97" t="s">
        <v>54</v>
      </c>
      <c r="H186" s="39" t="str">
        <f>_xlfn.XLOOKUP(Tabela1[[#This Row],[Matrícula]],Equipe!B:B,Equipe!E:E,"ERRO",0)</f>
        <v>P82</v>
      </c>
      <c r="I186" s="39" t="str">
        <f>VLOOKUP(Tabela1[[#This Row],[Matrícula]],Equipe!B:F,5,0)</f>
        <v>Experiente</v>
      </c>
    </row>
    <row r="187" spans="1:9" ht="15" thickBot="1">
      <c r="A187" s="85" t="s">
        <v>105</v>
      </c>
      <c r="B187" s="103">
        <f>_xlfn.XLOOKUP(A187,Equipe!H:H,Equipe!B:B,"",0)</f>
        <v>4612126</v>
      </c>
      <c r="C187" s="89">
        <v>45919</v>
      </c>
      <c r="D187" s="104">
        <f>IF(Tabela1[[#This Row],[Início]]&lt;&gt;"",C187+E187-1,"")</f>
        <v>45932</v>
      </c>
      <c r="E187" s="85">
        <v>14</v>
      </c>
      <c r="F187" s="85" t="s">
        <v>15</v>
      </c>
      <c r="G187" s="97" t="s">
        <v>54</v>
      </c>
      <c r="H187" s="39" t="str">
        <f>_xlfn.XLOOKUP(Tabela1[[#This Row],[Matrícula]],Equipe!B:B,Equipe!E:E,"ERRO",0)</f>
        <v>P82</v>
      </c>
      <c r="I187" s="39" t="str">
        <f>VLOOKUP(Tabela1[[#This Row],[Matrícula]],Equipe!B:F,5,0)</f>
        <v>Novo</v>
      </c>
    </row>
    <row r="188" spans="1:9" ht="15" thickBot="1">
      <c r="A188" s="94" t="s">
        <v>114</v>
      </c>
      <c r="B188" s="127">
        <f>_xlfn.XLOOKUP(A188,Equipe!H:H,Equipe!B:B,"",0)</f>
        <v>4612171</v>
      </c>
      <c r="C188" s="95">
        <v>45920</v>
      </c>
      <c r="D188" s="126">
        <f>IF(Tabela1[[#This Row],[Início]]&lt;&gt;"",C188+E188-1,"")</f>
        <v>45922</v>
      </c>
      <c r="E188" s="94">
        <v>3</v>
      </c>
      <c r="F188" s="94" t="s">
        <v>15</v>
      </c>
      <c r="G188" s="106" t="s">
        <v>133</v>
      </c>
      <c r="H188" s="142" t="str">
        <f>_xlfn.XLOOKUP(Tabela1[[#This Row],[Matrícula]],Equipe!B:B,Equipe!E:E,"ERRO",0)</f>
        <v>P80</v>
      </c>
      <c r="I188" s="142" t="str">
        <f>VLOOKUP(Tabela1[[#This Row],[Matrícula]],Equipe!B:F,5,0)</f>
        <v>Novo</v>
      </c>
    </row>
    <row r="189" spans="1:9" ht="29.45" thickBot="1">
      <c r="A189" s="85" t="s">
        <v>32</v>
      </c>
      <c r="B189" s="103">
        <f>_xlfn.XLOOKUP(A189,Equipe!H:H,Equipe!B:B,"",0)</f>
        <v>4608721</v>
      </c>
      <c r="C189" s="89">
        <v>45922</v>
      </c>
      <c r="D189" s="104">
        <f>IF(Tabela1[[#This Row],[Início]]&lt;&gt;"",C189+E189-1,"")</f>
        <v>45924</v>
      </c>
      <c r="E189" s="85">
        <v>3</v>
      </c>
      <c r="F189" s="85" t="s">
        <v>17</v>
      </c>
      <c r="G189" s="97" t="s">
        <v>152</v>
      </c>
      <c r="H189" s="39" t="str">
        <f>_xlfn.XLOOKUP(Tabela1[[#This Row],[Matrícula]],Equipe!B:B,Equipe!E:E,"ERRO",0)</f>
        <v>P80</v>
      </c>
      <c r="I189" s="39" t="str">
        <f>VLOOKUP(Tabela1[[#This Row],[Matrícula]],Equipe!B:F,5,0)</f>
        <v>Novo</v>
      </c>
    </row>
    <row r="190" spans="1:9" ht="29.45" thickBot="1">
      <c r="A190" s="85" t="s">
        <v>103</v>
      </c>
      <c r="B190" s="103">
        <f>_xlfn.XLOOKUP(A190,Equipe!H:H,Equipe!B:B,"",0)</f>
        <v>4612192</v>
      </c>
      <c r="C190" s="89">
        <v>45922</v>
      </c>
      <c r="D190" s="104">
        <f>IF(Tabela1[[#This Row],[Início]]&lt;&gt;"",C190+E190-1,"")</f>
        <v>45924</v>
      </c>
      <c r="E190" s="85">
        <v>3</v>
      </c>
      <c r="F190" s="85" t="s">
        <v>17</v>
      </c>
      <c r="G190" s="97" t="s">
        <v>153</v>
      </c>
      <c r="H190" s="39" t="str">
        <f>_xlfn.XLOOKUP(Tabela1[[#This Row],[Matrícula]],Equipe!B:B,Equipe!E:E,"ERRO",0)</f>
        <v>P82</v>
      </c>
      <c r="I190" s="39" t="str">
        <f>VLOOKUP(Tabela1[[#This Row],[Matrícula]],Equipe!B:F,5,0)</f>
        <v>Novo</v>
      </c>
    </row>
    <row r="191" spans="1:9" ht="15" thickBot="1">
      <c r="A191" s="85" t="s">
        <v>30</v>
      </c>
      <c r="B191" s="103">
        <f>_xlfn.XLOOKUP(A191,Equipe!H:H,Equipe!B:B,"",0)</f>
        <v>4608474</v>
      </c>
      <c r="C191" s="89">
        <v>45923</v>
      </c>
      <c r="D191" s="104">
        <f>IF(Tabela1[[#This Row],[Início]]&lt;&gt;"",C191+E191-1,"")</f>
        <v>45923</v>
      </c>
      <c r="E191" s="85">
        <v>1</v>
      </c>
      <c r="F191" s="85" t="s">
        <v>17</v>
      </c>
      <c r="G191" s="97" t="s">
        <v>154</v>
      </c>
      <c r="H191" s="39" t="str">
        <f>_xlfn.XLOOKUP(Tabela1[[#This Row],[Matrícula]],Equipe!B:B,Equipe!E:E,"ERRO",0)</f>
        <v>P82</v>
      </c>
      <c r="I191" s="39" t="str">
        <f>VLOOKUP(Tabela1[[#This Row],[Matrícula]],Equipe!B:F,5,0)</f>
        <v>Novo</v>
      </c>
    </row>
    <row r="192" spans="1:9" ht="15" thickBot="1">
      <c r="A192" s="85" t="s">
        <v>58</v>
      </c>
      <c r="B192" s="103">
        <f>_xlfn.XLOOKUP(A192,Equipe!H:H,Equipe!B:B,"",0)</f>
        <v>9886449</v>
      </c>
      <c r="C192" s="89">
        <v>45923</v>
      </c>
      <c r="D192" s="104">
        <f>IF(Tabela1[[#This Row],[Início]]&lt;&gt;"",C192+E192-1,"")</f>
        <v>45936</v>
      </c>
      <c r="E192" s="85">
        <v>14</v>
      </c>
      <c r="F192" s="85" t="s">
        <v>15</v>
      </c>
      <c r="G192" s="97" t="s">
        <v>155</v>
      </c>
      <c r="H192" s="39" t="str">
        <f>_xlfn.XLOOKUP(Tabela1[[#This Row],[Matrícula]],Equipe!B:B,Equipe!E:E,"ERRO",0)</f>
        <v>P80</v>
      </c>
      <c r="I192" s="39" t="str">
        <f>VLOOKUP(Tabela1[[#This Row],[Matrícula]],Equipe!B:F,5,0)</f>
        <v>Experiente</v>
      </c>
    </row>
    <row r="193" spans="1:9" ht="34.700000000000003" customHeight="1" thickBot="1">
      <c r="A193" s="85" t="s">
        <v>47</v>
      </c>
      <c r="B193" s="103">
        <f>_xlfn.XLOOKUP(A193,Equipe!H:H,Equipe!B:B,"",0)</f>
        <v>4608411</v>
      </c>
      <c r="C193" s="89">
        <v>45924</v>
      </c>
      <c r="D193" s="104">
        <f>IF(Tabela1[[#This Row],[Início]]&lt;&gt;"",C193+E193-1,"")</f>
        <v>45930</v>
      </c>
      <c r="E193" s="85">
        <v>7</v>
      </c>
      <c r="F193" s="85" t="s">
        <v>15</v>
      </c>
      <c r="G193" s="97" t="s">
        <v>79</v>
      </c>
      <c r="H193" s="39" t="str">
        <f>_xlfn.XLOOKUP(Tabela1[[#This Row],[Matrícula]],Equipe!B:B,Equipe!E:E,"ERRO",0)</f>
        <v>P83</v>
      </c>
      <c r="I193" s="39" t="str">
        <f>VLOOKUP(Tabela1[[#This Row],[Matrícula]],Equipe!B:F,5,0)</f>
        <v>Novo</v>
      </c>
    </row>
    <row r="194" spans="1:9" ht="15" thickBot="1">
      <c r="A194" s="85" t="s">
        <v>45</v>
      </c>
      <c r="B194" s="103">
        <f>_xlfn.XLOOKUP(A194,Equipe!H:H,Equipe!B:B,"",0)</f>
        <v>4608780</v>
      </c>
      <c r="C194" s="89">
        <v>45925</v>
      </c>
      <c r="D194" s="104">
        <f>IF(Tabela1[[#This Row],[Início]]&lt;&gt;"",C194+E194-1,"")</f>
        <v>45925</v>
      </c>
      <c r="E194" s="85">
        <v>1</v>
      </c>
      <c r="F194" s="85" t="s">
        <v>17</v>
      </c>
      <c r="G194" s="97" t="s">
        <v>156</v>
      </c>
      <c r="H194" s="39" t="str">
        <f>_xlfn.XLOOKUP(Tabela1[[#This Row],[Matrícula]],Equipe!B:B,Equipe!E:E,"ERRO",0)</f>
        <v>P83</v>
      </c>
      <c r="I194" s="39" t="str">
        <f>VLOOKUP(Tabela1[[#This Row],[Matrícula]],Equipe!B:F,5,0)</f>
        <v>Novo</v>
      </c>
    </row>
    <row r="195" spans="1:9" ht="15" thickBot="1">
      <c r="A195" s="85" t="s">
        <v>110</v>
      </c>
      <c r="B195" s="103">
        <v>4612140</v>
      </c>
      <c r="C195" s="89">
        <v>45925</v>
      </c>
      <c r="D195" s="104">
        <f>IF(Tabela1[[#This Row],[Início]]&lt;&gt;"",C195+E195-1,"")</f>
        <v>45926</v>
      </c>
      <c r="E195" s="85">
        <v>2</v>
      </c>
      <c r="F195" s="85" t="s">
        <v>17</v>
      </c>
      <c r="G195" s="97" t="s">
        <v>157</v>
      </c>
      <c r="H195" s="39" t="str">
        <f>_xlfn.XLOOKUP(Tabela1[[#This Row],[Matrícula]],Equipe!B:B,Equipe!E:E,"ERRO",0)</f>
        <v>P83</v>
      </c>
      <c r="I195" s="39" t="str">
        <f>VLOOKUP(Tabela1[[#This Row],[Matrícula]],Equipe!B:F,5,0)</f>
        <v>Novo</v>
      </c>
    </row>
    <row r="196" spans="1:9" ht="15" thickBot="1">
      <c r="A196" s="85" t="s">
        <v>32</v>
      </c>
      <c r="B196" s="103">
        <f>_xlfn.XLOOKUP(A196,Equipe!H:H,Equipe!B:B,"",0)</f>
        <v>4608721</v>
      </c>
      <c r="C196" s="89">
        <v>45925</v>
      </c>
      <c r="D196" s="104">
        <f>IF(Tabela1[[#This Row],[Início]]&lt;&gt;"",C196+E196-1,"")</f>
        <v>45926</v>
      </c>
      <c r="E196" s="85">
        <v>2</v>
      </c>
      <c r="F196" s="85" t="s">
        <v>11</v>
      </c>
      <c r="G196" s="97" t="s">
        <v>158</v>
      </c>
      <c r="H196" s="39" t="str">
        <f>_xlfn.XLOOKUP(Tabela1[[#This Row],[Matrícula]],Equipe!B:B,Equipe!E:E,"ERRO",0)</f>
        <v>P80</v>
      </c>
      <c r="I196" s="39" t="str">
        <f>VLOOKUP(Tabela1[[#This Row],[Matrícula]],Equipe!B:F,5,0)</f>
        <v>Novo</v>
      </c>
    </row>
    <row r="197" spans="1:9" ht="15" thickBot="1">
      <c r="A197" s="85" t="s">
        <v>106</v>
      </c>
      <c r="B197" s="103">
        <f>_xlfn.XLOOKUP(A197,Equipe!H:H,Equipe!B:B,"",0)</f>
        <v>4612050</v>
      </c>
      <c r="C197" s="89">
        <v>45926</v>
      </c>
      <c r="D197" s="104">
        <f>IF(Tabela1[[#This Row],[Início]]&lt;&gt;"",C197+E197-1,"")</f>
        <v>45939</v>
      </c>
      <c r="E197" s="85">
        <v>14</v>
      </c>
      <c r="F197" s="85" t="s">
        <v>15</v>
      </c>
      <c r="G197" s="97" t="s">
        <v>159</v>
      </c>
      <c r="H197" s="39" t="str">
        <f>_xlfn.XLOOKUP(Tabela1[[#This Row],[Matrícula]],Equipe!B:B,Equipe!E:E,"ERRO",0)</f>
        <v>P82</v>
      </c>
      <c r="I197" s="39" t="str">
        <f>VLOOKUP(Tabela1[[#This Row],[Matrícula]],Equipe!B:F,5,0)</f>
        <v>Novo</v>
      </c>
    </row>
    <row r="198" spans="1:9" ht="29.45" thickBot="1">
      <c r="A198" s="85" t="s">
        <v>102</v>
      </c>
      <c r="B198" s="103">
        <f>_xlfn.XLOOKUP(A198,Equipe!H:H,Equipe!B:B,"",0)</f>
        <v>4612243</v>
      </c>
      <c r="C198" s="89">
        <v>45929</v>
      </c>
      <c r="D198" s="104">
        <f>IF(Tabela1[[#This Row],[Início]]&lt;&gt;"",C198+E198-1,"")</f>
        <v>45929</v>
      </c>
      <c r="E198" s="85">
        <v>1</v>
      </c>
      <c r="F198" s="85" t="s">
        <v>13</v>
      </c>
      <c r="G198" s="97" t="s">
        <v>160</v>
      </c>
      <c r="H198" s="39" t="str">
        <f>_xlfn.XLOOKUP(Tabela1[[#This Row],[Matrícula]],Equipe!B:B,Equipe!E:E,"ERRO",0)</f>
        <v>P80</v>
      </c>
      <c r="I198" s="39" t="str">
        <f>VLOOKUP(Tabela1[[#This Row],[Matrícula]],Equipe!B:F,5,0)</f>
        <v>Novo</v>
      </c>
    </row>
    <row r="199" spans="1:9" ht="15" thickBot="1">
      <c r="A199" s="85" t="s">
        <v>100</v>
      </c>
      <c r="B199" s="103">
        <f>_xlfn.XLOOKUP(A199,Equipe!H:H,Equipe!B:B,"",0)</f>
        <v>4612098</v>
      </c>
      <c r="C199" s="89">
        <v>45929</v>
      </c>
      <c r="D199" s="104">
        <v>45930</v>
      </c>
      <c r="E199" s="85">
        <v>2</v>
      </c>
      <c r="F199" s="85" t="s">
        <v>11</v>
      </c>
      <c r="G199" s="97" t="s">
        <v>158</v>
      </c>
      <c r="H199" s="39" t="str">
        <f>_xlfn.XLOOKUP(Tabela1[[#This Row],[Matrícula]],Equipe!B:B,Equipe!E:E,"ERRO",0)</f>
        <v>P80</v>
      </c>
      <c r="I199" s="39" t="str">
        <f>VLOOKUP(Tabela1[[#This Row],[Matrícula]],Equipe!B:F,5,0)</f>
        <v>Novo</v>
      </c>
    </row>
    <row r="200" spans="1:9" ht="29.45" thickBot="1">
      <c r="A200" s="85" t="s">
        <v>35</v>
      </c>
      <c r="B200" s="103">
        <f>_xlfn.XLOOKUP(A200,Equipe!H:H,Equipe!B:B,"",0)</f>
        <v>1385894</v>
      </c>
      <c r="C200" s="89">
        <v>45929</v>
      </c>
      <c r="D200" s="104">
        <f>IF(Tabela1[[#This Row],[Início]]&lt;&gt;"",C200+E200-1,"")</f>
        <v>45930</v>
      </c>
      <c r="E200" s="85">
        <v>2</v>
      </c>
      <c r="F200" s="85" t="s">
        <v>11</v>
      </c>
      <c r="G200" s="97" t="s">
        <v>161</v>
      </c>
      <c r="H200" s="39" t="str">
        <f>_xlfn.XLOOKUP(Tabela1[[#This Row],[Matrícula]],Equipe!B:B,Equipe!E:E,"ERRO",0)</f>
        <v>P80</v>
      </c>
      <c r="I200" s="39" t="str">
        <f>VLOOKUP(Tabela1[[#This Row],[Matrícula]],Equipe!B:F,5,0)</f>
        <v>Experiente</v>
      </c>
    </row>
    <row r="201" spans="1:9" ht="15" thickBot="1">
      <c r="A201" s="85" t="s">
        <v>162</v>
      </c>
      <c r="B201" s="103">
        <f>_xlfn.XLOOKUP(A201,Equipe!H:H,Equipe!B:B,"",0)</f>
        <v>2440812</v>
      </c>
      <c r="C201" s="89">
        <v>45931</v>
      </c>
      <c r="D201" s="104">
        <f>IF(Tabela1[[#This Row],[Início]]&lt;&gt;"",C201+E201-1,"")</f>
        <v>45931</v>
      </c>
      <c r="E201" s="85">
        <v>1</v>
      </c>
      <c r="F201" s="85" t="s">
        <v>11</v>
      </c>
      <c r="G201" s="97" t="s">
        <v>163</v>
      </c>
      <c r="H201" s="39" t="str">
        <f>_xlfn.XLOOKUP(Tabela1[[#This Row],[Matrícula]],Equipe!B:B,Equipe!E:E,"ERRO",0)</f>
        <v>P80</v>
      </c>
      <c r="I201" s="39" t="str">
        <f>VLOOKUP(Tabela1[[#This Row],[Matrícula]],Equipe!B:F,5,0)</f>
        <v>Experiente</v>
      </c>
    </row>
    <row r="202" spans="1:9" ht="15" thickBot="1">
      <c r="A202" s="85" t="s">
        <v>114</v>
      </c>
      <c r="B202" s="103">
        <f>_xlfn.XLOOKUP(A202,Equipe!H:H,Equipe!B:B,"",0)</f>
        <v>4612171</v>
      </c>
      <c r="C202" s="89">
        <v>45931</v>
      </c>
      <c r="D202" s="104">
        <f>IF(Tabela1[[#This Row],[Início]]&lt;&gt;"",C202+E202-1,"")</f>
        <v>45939</v>
      </c>
      <c r="E202" s="85">
        <v>9</v>
      </c>
      <c r="F202" s="85" t="s">
        <v>11</v>
      </c>
      <c r="G202" s="97" t="s">
        <v>164</v>
      </c>
      <c r="H202" s="39" t="str">
        <f>_xlfn.XLOOKUP(Tabela1[[#This Row],[Matrícula]],Equipe!B:B,Equipe!E:E,"ERRO",0)</f>
        <v>P80</v>
      </c>
      <c r="I202" s="39" t="str">
        <f>VLOOKUP(Tabela1[[#This Row],[Matrícula]],Equipe!B:F,5,0)</f>
        <v>Novo</v>
      </c>
    </row>
    <row r="203" spans="1:9" ht="15" thickBot="1">
      <c r="A203" s="85" t="s">
        <v>47</v>
      </c>
      <c r="B203" s="103">
        <f>_xlfn.XLOOKUP(A203,Equipe!H:H,Equipe!B:B,"",0)</f>
        <v>4608411</v>
      </c>
      <c r="C203" s="89">
        <v>45931</v>
      </c>
      <c r="D203" s="104">
        <f>IF(Tabela1[[#This Row],[Início]]&lt;&gt;"",C203+E203-1,"")</f>
        <v>45944</v>
      </c>
      <c r="E203" s="85">
        <v>14</v>
      </c>
      <c r="F203" s="85" t="s">
        <v>11</v>
      </c>
      <c r="G203" s="97" t="s">
        <v>165</v>
      </c>
      <c r="H203" s="39" t="str">
        <f>_xlfn.XLOOKUP(Tabela1[[#This Row],[Matrícula]],Equipe!B:B,Equipe!E:E,"ERRO",0)</f>
        <v>P83</v>
      </c>
      <c r="I203" s="39" t="str">
        <f>VLOOKUP(Tabela1[[#This Row],[Matrícula]],Equipe!B:F,5,0)</f>
        <v>Novo</v>
      </c>
    </row>
    <row r="204" spans="1:9" ht="15" thickBot="1">
      <c r="A204" s="85" t="s">
        <v>22</v>
      </c>
      <c r="B204" s="103">
        <f>_xlfn.XLOOKUP(A204,Equipe!H:H,Equipe!B:B,"",0)</f>
        <v>4608389</v>
      </c>
      <c r="C204" s="89">
        <v>45931</v>
      </c>
      <c r="D204" s="104">
        <f>IF(Tabela1[[#This Row],[Início]]&lt;&gt;"",C204+E204-1,"")</f>
        <v>45954</v>
      </c>
      <c r="E204" s="85">
        <v>24</v>
      </c>
      <c r="F204" s="85" t="s">
        <v>11</v>
      </c>
      <c r="G204" s="97" t="s">
        <v>166</v>
      </c>
      <c r="H204" s="39" t="str">
        <f>_xlfn.XLOOKUP(Tabela1[[#This Row],[Matrícula]],Equipe!B:B,Equipe!E:E,"ERRO",0)</f>
        <v>P80</v>
      </c>
      <c r="I204" s="39" t="str">
        <f>VLOOKUP(Tabela1[[#This Row],[Matrícula]],Equipe!B:F,5,0)</f>
        <v>Novo</v>
      </c>
    </row>
    <row r="205" spans="1:9" ht="15" thickBot="1">
      <c r="A205" s="85" t="s">
        <v>105</v>
      </c>
      <c r="B205" s="103">
        <f>_xlfn.XLOOKUP(A205,Equipe!H:H,Equipe!B:B,"",0)</f>
        <v>4612126</v>
      </c>
      <c r="C205" s="89">
        <v>45932</v>
      </c>
      <c r="D205" s="104">
        <f>IF(Tabela1[[#This Row],[Início]]&lt;&gt;"",C205+E205-1,"")</f>
        <v>45952</v>
      </c>
      <c r="E205" s="85">
        <v>21</v>
      </c>
      <c r="F205" s="85" t="s">
        <v>11</v>
      </c>
      <c r="G205" s="97" t="s">
        <v>167</v>
      </c>
      <c r="H205" s="39" t="str">
        <f>_xlfn.XLOOKUP(Tabela1[[#This Row],[Matrícula]],Equipe!B:B,Equipe!E:E,"ERRO",0)</f>
        <v>P82</v>
      </c>
      <c r="I205" s="39" t="str">
        <f>VLOOKUP(Tabela1[[#This Row],[Matrícula]],Equipe!B:F,5,0)</f>
        <v>Novo</v>
      </c>
    </row>
    <row r="206" spans="1:9" ht="15" thickBot="1">
      <c r="A206" s="85" t="s">
        <v>37</v>
      </c>
      <c r="B206" s="103">
        <f>_xlfn.XLOOKUP(A206,Equipe!H:H,Equipe!B:B,"",0)</f>
        <v>9724817</v>
      </c>
      <c r="C206" s="89">
        <v>45933</v>
      </c>
      <c r="D206" s="104">
        <f>IF(Tabela1[[#This Row],[Início]]&lt;&gt;"",C206+E206-1,"")</f>
        <v>45953</v>
      </c>
      <c r="E206" s="85">
        <v>21</v>
      </c>
      <c r="F206" s="85" t="s">
        <v>11</v>
      </c>
      <c r="G206" s="97" t="s">
        <v>166</v>
      </c>
      <c r="H206" s="39" t="str">
        <f>_xlfn.XLOOKUP(Tabela1[[#This Row],[Matrícula]],Equipe!B:B,Equipe!E:E,"ERRO",0)</f>
        <v>P82</v>
      </c>
      <c r="I206" s="39" t="str">
        <f>VLOOKUP(Tabela1[[#This Row],[Matrícula]],Equipe!B:F,5,0)</f>
        <v>Experiente</v>
      </c>
    </row>
    <row r="207" spans="1:9" ht="15" thickBot="1">
      <c r="A207" s="94" t="s">
        <v>28</v>
      </c>
      <c r="B207" s="127">
        <f>_xlfn.XLOOKUP(A207,Equipe!H:H,Equipe!B:B,"",0)</f>
        <v>1386344</v>
      </c>
      <c r="C207" s="95">
        <v>45936</v>
      </c>
      <c r="D207" s="126">
        <f>IF(Tabela1[[#This Row],[Início]]&lt;&gt;"",C207+E207-1,"")</f>
        <v>45936</v>
      </c>
      <c r="E207" s="94">
        <v>1</v>
      </c>
      <c r="F207" s="94" t="s">
        <v>11</v>
      </c>
      <c r="G207" s="106" t="s">
        <v>90</v>
      </c>
      <c r="H207" s="142" t="str">
        <f>_xlfn.XLOOKUP(Tabela1[[#This Row],[Matrícula]],Equipe!B:B,Equipe!E:E,"ERRO",0)</f>
        <v>P82</v>
      </c>
      <c r="I207" s="142" t="str">
        <f>VLOOKUP(Tabela1[[#This Row],[Matrícula]],Equipe!B:F,5,0)</f>
        <v>Experiente</v>
      </c>
    </row>
    <row r="208" spans="1:9" ht="29.45" thickBot="1">
      <c r="A208" s="85" t="s">
        <v>53</v>
      </c>
      <c r="B208" s="103">
        <f>_xlfn.XLOOKUP(A208,Equipe!H:H,Equipe!B:B,"",0)</f>
        <v>4608684</v>
      </c>
      <c r="C208" s="89">
        <v>45936</v>
      </c>
      <c r="D208" s="104">
        <f>IF(Tabela1[[#This Row],[Início]]&lt;&gt;"",C208+E208-1,"")</f>
        <v>45939</v>
      </c>
      <c r="E208" s="85">
        <v>4</v>
      </c>
      <c r="F208" s="85" t="s">
        <v>17</v>
      </c>
      <c r="G208" s="106" t="s">
        <v>168</v>
      </c>
      <c r="H208" s="39" t="str">
        <f>_xlfn.XLOOKUP(Tabela1[[#This Row],[Matrícula]],Equipe!B:B,Equipe!E:E,"ERRO",0)</f>
        <v>P82</v>
      </c>
      <c r="I208" s="39" t="str">
        <f>VLOOKUP(Tabela1[[#This Row],[Matrícula]],Equipe!B:F,5,0)</f>
        <v>Novo</v>
      </c>
    </row>
    <row r="209" spans="1:9" ht="15" thickBot="1">
      <c r="A209" s="85" t="s">
        <v>58</v>
      </c>
      <c r="B209" s="103">
        <f>_xlfn.XLOOKUP(A209,Equipe!H:H,Equipe!B:B,"",0)</f>
        <v>9886449</v>
      </c>
      <c r="C209" s="89">
        <v>45937</v>
      </c>
      <c r="D209" s="104">
        <f>IF(Tabela1[[#This Row],[Início]]&lt;&gt;"",C209+E209-1,"")</f>
        <v>45957</v>
      </c>
      <c r="E209" s="85">
        <v>21</v>
      </c>
      <c r="F209" s="85" t="s">
        <v>11</v>
      </c>
      <c r="G209" s="97" t="s">
        <v>169</v>
      </c>
      <c r="H209" s="39" t="str">
        <f>_xlfn.XLOOKUP(Tabela1[[#This Row],[Matrícula]],Equipe!B:B,Equipe!E:E,"ERRO",0)</f>
        <v>P80</v>
      </c>
      <c r="I209" s="39" t="str">
        <f>VLOOKUP(Tabela1[[#This Row],[Matrícula]],Equipe!B:F,5,0)</f>
        <v>Experiente</v>
      </c>
    </row>
    <row r="210" spans="1:9" ht="15" thickBot="1">
      <c r="A210" s="85" t="s">
        <v>26</v>
      </c>
      <c r="B210" s="103">
        <f>_xlfn.XLOOKUP(A210,Equipe!H:H,Equipe!B:B,"",0)</f>
        <v>9634180</v>
      </c>
      <c r="C210" s="89">
        <v>45938</v>
      </c>
      <c r="D210" s="126">
        <f>IF(Tabela1[[#This Row],[Início]]&lt;&gt;"",C210+E210-1,"")</f>
        <v>45938</v>
      </c>
      <c r="E210" s="85">
        <v>1</v>
      </c>
      <c r="F210" s="85" t="s">
        <v>17</v>
      </c>
      <c r="G210" s="97" t="s">
        <v>170</v>
      </c>
      <c r="H210" s="39" t="str">
        <f>_xlfn.XLOOKUP(Tabela1[[#This Row],[Matrícula]],Equipe!B:B,Equipe!E:E,"ERRO",0)</f>
        <v>P83</v>
      </c>
      <c r="I210" s="39" t="str">
        <f>VLOOKUP(Tabela1[[#This Row],[Matrícula]],Equipe!B:F,5,0)</f>
        <v>Experiente</v>
      </c>
    </row>
    <row r="211" spans="1:9" ht="29.45" thickBot="1">
      <c r="A211" s="85" t="s">
        <v>110</v>
      </c>
      <c r="B211" s="103">
        <v>4612140</v>
      </c>
      <c r="C211" s="89">
        <v>45938</v>
      </c>
      <c r="D211" s="104">
        <f>IF(Tabela1[[#This Row],[Início]]&lt;&gt;"",C211+E211-1,"")</f>
        <v>45940</v>
      </c>
      <c r="E211" s="85">
        <v>3</v>
      </c>
      <c r="F211" s="85" t="s">
        <v>17</v>
      </c>
      <c r="G211" s="97" t="s">
        <v>171</v>
      </c>
      <c r="H211" s="39" t="str">
        <f>_xlfn.XLOOKUP(Tabela1[[#This Row],[Matrícula]],Equipe!B:B,Equipe!E:E,"ERRO",0)</f>
        <v>P83</v>
      </c>
      <c r="I211" s="39" t="str">
        <f>VLOOKUP(Tabela1[[#This Row],[Matrícula]],Equipe!B:F,5,0)</f>
        <v>Novo</v>
      </c>
    </row>
    <row r="212" spans="1:9" ht="15" thickBot="1">
      <c r="A212" s="94" t="s">
        <v>28</v>
      </c>
      <c r="B212" s="127">
        <f>_xlfn.XLOOKUP(A212,Equipe!H:H,Equipe!B:B,"",0)</f>
        <v>1386344</v>
      </c>
      <c r="C212" s="95">
        <v>45940</v>
      </c>
      <c r="D212" s="126">
        <f>IF(Tabela1[[#This Row],[Início]]&lt;&gt;"",C212+E212-1,"")</f>
        <v>45940</v>
      </c>
      <c r="E212" s="94">
        <v>1</v>
      </c>
      <c r="F212" s="94" t="s">
        <v>11</v>
      </c>
      <c r="G212" s="97" t="s">
        <v>90</v>
      </c>
      <c r="H212" s="142" t="str">
        <f>_xlfn.XLOOKUP(Tabela1[[#This Row],[Matrícula]],Equipe!B:B,Equipe!E:E,"ERRO",0)</f>
        <v>P82</v>
      </c>
      <c r="I212" s="142" t="str">
        <f>VLOOKUP(Tabela1[[#This Row],[Matrícula]],Equipe!B:F,5,0)</f>
        <v>Experiente</v>
      </c>
    </row>
    <row r="213" spans="1:9" ht="15" thickBot="1">
      <c r="A213" s="85" t="s">
        <v>33</v>
      </c>
      <c r="B213" s="103">
        <f>_xlfn.XLOOKUP(A213,Equipe!H:H,Equipe!B:B,"",0)</f>
        <v>9842940</v>
      </c>
      <c r="C213" s="89">
        <v>45940</v>
      </c>
      <c r="D213" s="104">
        <f>IF(Tabela1[[#This Row],[Início]]&lt;&gt;"",C213+E213-1,"")</f>
        <v>45952</v>
      </c>
      <c r="E213" s="85">
        <v>13</v>
      </c>
      <c r="F213" s="85" t="s">
        <v>15</v>
      </c>
      <c r="G213" s="97" t="s">
        <v>134</v>
      </c>
      <c r="H213" s="39" t="str">
        <f>_xlfn.XLOOKUP(Tabela1[[#This Row],[Matrícula]],Equipe!B:B,Equipe!E:E,"ERRO",0)</f>
        <v>P80</v>
      </c>
      <c r="I213" s="39" t="str">
        <f>VLOOKUP(Tabela1[[#This Row],[Matrícula]],Equipe!B:F,5,0)</f>
        <v>Novo</v>
      </c>
    </row>
    <row r="214" spans="1:9" ht="15" thickBot="1">
      <c r="A214" s="85" t="s">
        <v>106</v>
      </c>
      <c r="B214" s="103">
        <f>_xlfn.XLOOKUP(A214,Equipe!H:H,Equipe!B:B,"",0)</f>
        <v>4612050</v>
      </c>
      <c r="C214" s="89">
        <v>45940</v>
      </c>
      <c r="D214" s="104">
        <f>IF(Tabela1[[#This Row],[Início]]&lt;&gt;"",C214+E214-1,"")</f>
        <v>45968</v>
      </c>
      <c r="E214" s="85">
        <v>29</v>
      </c>
      <c r="F214" s="85" t="s">
        <v>11</v>
      </c>
      <c r="G214" s="147" t="s">
        <v>172</v>
      </c>
      <c r="H214" s="39" t="str">
        <f>_xlfn.XLOOKUP(Tabela1[[#This Row],[Matrícula]],Equipe!B:B,Equipe!E:E,"ERRO",0)</f>
        <v>P82</v>
      </c>
      <c r="I214" s="39" t="str">
        <f>VLOOKUP(Tabela1[[#This Row],[Matrícula]],Equipe!B:F,5,0)</f>
        <v>Novo</v>
      </c>
    </row>
    <row r="215" spans="1:9" ht="15" thickBot="1">
      <c r="A215" s="85" t="s">
        <v>114</v>
      </c>
      <c r="B215" s="103">
        <f>_xlfn.XLOOKUP(A215,Equipe!H:H,Equipe!B:B,"",0)</f>
        <v>4612171</v>
      </c>
      <c r="C215" s="89">
        <v>45943</v>
      </c>
      <c r="D215" s="104">
        <f>IF(Tabela1[[#This Row],[Início]]&lt;&gt;"",C215+E215-1,"")</f>
        <v>45944</v>
      </c>
      <c r="E215" s="85">
        <v>2</v>
      </c>
      <c r="F215" s="85" t="s">
        <v>11</v>
      </c>
      <c r="G215" s="97" t="s">
        <v>164</v>
      </c>
      <c r="H215" s="39" t="str">
        <f>_xlfn.XLOOKUP(Tabela1[[#This Row],[Matrícula]],Equipe!B:B,Equipe!E:E,"ERRO",0)</f>
        <v>P80</v>
      </c>
      <c r="I215" s="39" t="str">
        <f>VLOOKUP(Tabela1[[#This Row],[Matrícula]],Equipe!B:F,5,0)</f>
        <v>Novo</v>
      </c>
    </row>
    <row r="216" spans="1:9" ht="44.1" thickBot="1">
      <c r="A216" s="85" t="s">
        <v>102</v>
      </c>
      <c r="B216" s="103">
        <f>_xlfn.XLOOKUP(A216,Equipe!H:H,Equipe!B:B,"",0)</f>
        <v>4612243</v>
      </c>
      <c r="C216" s="89">
        <v>45943</v>
      </c>
      <c r="D216" s="104">
        <f>IF(Tabela1[[#This Row],[Início]]&lt;&gt;"",C216+E216-1,"")</f>
        <v>45947</v>
      </c>
      <c r="E216" s="85">
        <v>5</v>
      </c>
      <c r="F216" s="85" t="s">
        <v>17</v>
      </c>
      <c r="G216" s="97" t="s">
        <v>173</v>
      </c>
      <c r="H216" s="39" t="str">
        <f>_xlfn.XLOOKUP(Tabela1[[#This Row],[Matrícula]],Equipe!B:B,Equipe!E:E,"ERRO",0)</f>
        <v>P80</v>
      </c>
      <c r="I216" s="39" t="str">
        <f>VLOOKUP(Tabela1[[#This Row],[Matrícula]],Equipe!B:F,5,0)</f>
        <v>Novo</v>
      </c>
    </row>
    <row r="217" spans="1:9" ht="29.45" thickBot="1">
      <c r="A217" s="85" t="s">
        <v>53</v>
      </c>
      <c r="B217" s="103">
        <f>_xlfn.XLOOKUP(A217,Equipe!H:H,Equipe!B:B,"",0)</f>
        <v>4608684</v>
      </c>
      <c r="C217" s="89">
        <v>45943</v>
      </c>
      <c r="D217" s="104">
        <f>IF(Tabela1[[#This Row],[Início]]&lt;&gt;"",C217+E217-1,"")</f>
        <v>45947</v>
      </c>
      <c r="E217" s="85">
        <v>5</v>
      </c>
      <c r="F217" s="85" t="s">
        <v>17</v>
      </c>
      <c r="G217" s="97" t="s">
        <v>174</v>
      </c>
      <c r="H217" s="39" t="str">
        <f>_xlfn.XLOOKUP(Tabela1[[#This Row],[Matrícula]],Equipe!B:B,Equipe!E:E,"ERRO",0)</f>
        <v>P82</v>
      </c>
      <c r="I217" s="39" t="str">
        <f>VLOOKUP(Tabela1[[#This Row],[Matrícula]],Equipe!B:F,5,0)</f>
        <v>Novo</v>
      </c>
    </row>
    <row r="218" spans="1:9" ht="15" thickBot="1">
      <c r="A218" s="85" t="s">
        <v>45</v>
      </c>
      <c r="B218" s="103">
        <f>_xlfn.XLOOKUP(A218,Equipe!H:H,Equipe!B:B,"",0)</f>
        <v>4608780</v>
      </c>
      <c r="C218" s="89">
        <v>45944</v>
      </c>
      <c r="D218" s="104">
        <f>IF(Tabela1[[#This Row],[Início]]&lt;&gt;"",C218+E218-1,"")</f>
        <v>45950</v>
      </c>
      <c r="E218" s="85">
        <v>7</v>
      </c>
      <c r="F218" s="85" t="s">
        <v>15</v>
      </c>
      <c r="G218" s="97" t="s">
        <v>175</v>
      </c>
      <c r="H218" s="39" t="str">
        <f>_xlfn.XLOOKUP(Tabela1[[#This Row],[Matrícula]],Equipe!B:B,Equipe!E:E,"ERRO",0)</f>
        <v>P83</v>
      </c>
      <c r="I218" s="39" t="str">
        <f>VLOOKUP(Tabela1[[#This Row],[Matrícula]],Equipe!B:F,5,0)</f>
        <v>Novo</v>
      </c>
    </row>
    <row r="219" spans="1:9" ht="15" thickBot="1">
      <c r="A219" s="85" t="s">
        <v>30</v>
      </c>
      <c r="B219" s="103">
        <f>_xlfn.XLOOKUP(A219,Equipe!H:H,Equipe!B:B,"",0)</f>
        <v>4608474</v>
      </c>
      <c r="C219" s="89">
        <v>45944</v>
      </c>
      <c r="D219" s="104">
        <v>45957</v>
      </c>
      <c r="E219" s="85">
        <v>14</v>
      </c>
      <c r="F219" s="85" t="s">
        <v>15</v>
      </c>
      <c r="G219" s="97" t="s">
        <v>133</v>
      </c>
      <c r="H219" s="39" t="str">
        <f>_xlfn.XLOOKUP(Tabela1[[#This Row],[Matrícula]],Equipe!B:B,Equipe!E:E,"ERRO",0)</f>
        <v>P82</v>
      </c>
      <c r="I219" s="39" t="str">
        <f>VLOOKUP(Tabela1[[#This Row],[Matrícula]],Equipe!B:F,5,0)</f>
        <v>Novo</v>
      </c>
    </row>
    <row r="220" spans="1:9" ht="29.45" thickBot="1">
      <c r="A220" s="85" t="s">
        <v>110</v>
      </c>
      <c r="B220" s="103">
        <f>_xlfn.XLOOKUP(A220,Equipe!H:H,Equipe!B:B,"",0)</f>
        <v>4612140</v>
      </c>
      <c r="C220" s="89">
        <v>45950</v>
      </c>
      <c r="D220" s="104">
        <f>IF(Tabela1[[#This Row],[Início]]&lt;&gt;"",C220+E220-1,"")</f>
        <v>45952</v>
      </c>
      <c r="E220" s="85">
        <v>3</v>
      </c>
      <c r="F220" s="85" t="s">
        <v>17</v>
      </c>
      <c r="G220" s="97" t="s">
        <v>176</v>
      </c>
      <c r="H220" s="39" t="str">
        <f>_xlfn.XLOOKUP(Tabela1[[#This Row],[Matrícula]],Equipe!B:B,Equipe!E:E,"ERRO",0)</f>
        <v>P83</v>
      </c>
      <c r="I220" s="39" t="str">
        <f>VLOOKUP(Tabela1[[#This Row],[Matrícula]],Equipe!B:F,5,0)</f>
        <v>Novo</v>
      </c>
    </row>
    <row r="221" spans="1:9" ht="15" thickBot="1">
      <c r="A221" s="85" t="s">
        <v>45</v>
      </c>
      <c r="B221" s="103">
        <f>_xlfn.XLOOKUP(A221,Equipe!H:H,Equipe!B:B,"",0)</f>
        <v>4608780</v>
      </c>
      <c r="C221" s="89">
        <v>45950</v>
      </c>
      <c r="D221" s="104">
        <f>IF(Tabela1[[#This Row],[Início]]&lt;&gt;"",C221+E221-1,"")</f>
        <v>45965</v>
      </c>
      <c r="E221" s="85">
        <v>16</v>
      </c>
      <c r="F221" s="85" t="s">
        <v>11</v>
      </c>
      <c r="G221" s="106" t="s">
        <v>177</v>
      </c>
      <c r="H221" s="39" t="str">
        <f>_xlfn.XLOOKUP(Tabela1[[#This Row],[Matrícula]],Equipe!B:B,Equipe!E:E,"ERRO",0)</f>
        <v>P83</v>
      </c>
      <c r="I221" s="39" t="str">
        <f>VLOOKUP(Tabela1[[#This Row],[Matrícula]],Equipe!B:F,5,0)</f>
        <v>Novo</v>
      </c>
    </row>
    <row r="222" spans="1:9" ht="15" thickBot="1">
      <c r="A222" s="85" t="s">
        <v>35</v>
      </c>
      <c r="B222" s="103">
        <f>_xlfn.XLOOKUP(A222,Equipe!H:H,Equipe!B:B,"",0)</f>
        <v>1385894</v>
      </c>
      <c r="C222" s="89">
        <v>45951</v>
      </c>
      <c r="D222" s="104">
        <f>IF(Tabela1[[#This Row],[Início]]&lt;&gt;"",C222+E222-1,"")</f>
        <v>45953</v>
      </c>
      <c r="E222" s="85">
        <v>3</v>
      </c>
      <c r="F222" s="85" t="s">
        <v>15</v>
      </c>
      <c r="G222" s="97" t="s">
        <v>178</v>
      </c>
      <c r="H222" s="39" t="str">
        <f>_xlfn.XLOOKUP(Tabela1[[#This Row],[Matrícula]],Equipe!B:B,Equipe!E:E,"ERRO",0)</f>
        <v>P80</v>
      </c>
      <c r="I222" s="39" t="str">
        <f>VLOOKUP(Tabela1[[#This Row],[Matrícula]],Equipe!B:F,5,0)</f>
        <v>Experiente</v>
      </c>
    </row>
    <row r="223" spans="1:9" ht="15" thickBot="1">
      <c r="A223" s="85" t="s">
        <v>56</v>
      </c>
      <c r="B223" s="103">
        <f>_xlfn.XLOOKUP(A223,Equipe!H:H,Equipe!B:B,"",0)</f>
        <v>9612082</v>
      </c>
      <c r="C223" s="89">
        <v>45951</v>
      </c>
      <c r="D223" s="104">
        <f>IF(Tabela1[[#This Row],[Início]]&lt;&gt;"",C223+E223-1,"")</f>
        <v>45964</v>
      </c>
      <c r="E223" s="85">
        <v>14</v>
      </c>
      <c r="F223" s="85" t="s">
        <v>15</v>
      </c>
      <c r="G223" s="97" t="s">
        <v>111</v>
      </c>
      <c r="H223" s="39" t="str">
        <f>_xlfn.XLOOKUP(Tabela1[[#This Row],[Matrícula]],Equipe!B:B,Equipe!E:E,"ERRO",0)</f>
        <v>P82</v>
      </c>
      <c r="I223" s="39" t="str">
        <f>VLOOKUP(Tabela1[[#This Row],[Matrícula]],Equipe!B:F,5,0)</f>
        <v>Experiente</v>
      </c>
    </row>
    <row r="224" spans="1:9" ht="15" thickBot="1">
      <c r="A224" s="85" t="s">
        <v>100</v>
      </c>
      <c r="B224" s="103">
        <f>_xlfn.XLOOKUP(A224,Equipe!H:H,Equipe!B:B,"",0)</f>
        <v>4612098</v>
      </c>
      <c r="C224" s="89">
        <v>45952</v>
      </c>
      <c r="D224" s="104">
        <v>45965</v>
      </c>
      <c r="E224" s="85">
        <v>14</v>
      </c>
      <c r="F224" s="85" t="s">
        <v>15</v>
      </c>
      <c r="G224" s="97" t="s">
        <v>179</v>
      </c>
      <c r="H224" s="39" t="str">
        <f>_xlfn.XLOOKUP(Tabela1[[#This Row],[Matrícula]],Equipe!B:B,Equipe!E:E,"ERRO",0)</f>
        <v>P80</v>
      </c>
      <c r="I224" s="39" t="str">
        <f>VLOOKUP(Tabela1[[#This Row],[Matrícula]],Equipe!B:F,5,0)</f>
        <v>Novo</v>
      </c>
    </row>
    <row r="225" spans="1:9" ht="15" thickBot="1">
      <c r="A225" s="85" t="s">
        <v>33</v>
      </c>
      <c r="B225" s="103">
        <f>_xlfn.XLOOKUP(A225,Equipe!H:H,Equipe!B:B,"",0)</f>
        <v>9842940</v>
      </c>
      <c r="C225" s="89">
        <v>45953</v>
      </c>
      <c r="D225" s="104">
        <f>IF(Tabela1[[#This Row],[Início]]&lt;&gt;"",C225+E225-1,"")</f>
        <v>45980</v>
      </c>
      <c r="E225" s="85">
        <v>28</v>
      </c>
      <c r="F225" s="85" t="s">
        <v>11</v>
      </c>
      <c r="G225" s="97" t="s">
        <v>180</v>
      </c>
      <c r="H225" s="39" t="str">
        <f>_xlfn.XLOOKUP(Tabela1[[#This Row],[Matrícula]],Equipe!B:B,Equipe!E:E,"ERRO",0)</f>
        <v>P80</v>
      </c>
      <c r="I225" s="39" t="str">
        <f>VLOOKUP(Tabela1[[#This Row],[Matrícula]],Equipe!B:F,5,0)</f>
        <v>Novo</v>
      </c>
    </row>
    <row r="226" spans="1:9" ht="15" thickBot="1">
      <c r="A226" s="85" t="s">
        <v>35</v>
      </c>
      <c r="B226" s="103">
        <f>_xlfn.XLOOKUP(A226,Equipe!H:H,Equipe!B:B,"",0)</f>
        <v>1385894</v>
      </c>
      <c r="C226" s="89">
        <v>45954</v>
      </c>
      <c r="D226" s="104">
        <f>IF(Tabela1[[#This Row],[Início]]&lt;&gt;"",C226+E226-1,"")</f>
        <v>45957</v>
      </c>
      <c r="E226" s="85">
        <v>4</v>
      </c>
      <c r="F226" s="85" t="s">
        <v>11</v>
      </c>
      <c r="G226" s="97" t="s">
        <v>181</v>
      </c>
      <c r="H226" s="39" t="str">
        <f>_xlfn.XLOOKUP(Tabela1[[#This Row],[Matrícula]],Equipe!B:B,Equipe!E:E,"ERRO",0)</f>
        <v>P80</v>
      </c>
      <c r="I226" s="39" t="str">
        <f>VLOOKUP(Tabela1[[#This Row],[Matrícula]],Equipe!B:F,5,0)</f>
        <v>Experiente</v>
      </c>
    </row>
    <row r="227" spans="1:9" ht="29.45" thickBot="1">
      <c r="A227" s="85" t="s">
        <v>103</v>
      </c>
      <c r="B227" s="103">
        <f>_xlfn.XLOOKUP(A227,Equipe!H:H,Equipe!B:B,"",0)</f>
        <v>4612192</v>
      </c>
      <c r="C227" s="89">
        <v>45957</v>
      </c>
      <c r="D227" s="104">
        <f>IF(Tabela1[[#This Row],[Início]]&lt;&gt;"",C227+E227-1,"")</f>
        <v>45957</v>
      </c>
      <c r="E227" s="85">
        <v>1</v>
      </c>
      <c r="F227" s="85" t="s">
        <v>11</v>
      </c>
      <c r="G227" s="97" t="s">
        <v>182</v>
      </c>
      <c r="H227" s="39" t="str">
        <f>_xlfn.XLOOKUP(Tabela1[[#This Row],[Matrícula]],Equipe!B:B,Equipe!E:E,"ERRO",0)</f>
        <v>P82</v>
      </c>
      <c r="I227" s="39" t="str">
        <f>VLOOKUP(Tabela1[[#This Row],[Matrícula]],Equipe!B:F,5,0)</f>
        <v>Novo</v>
      </c>
    </row>
    <row r="228" spans="1:9" ht="15" thickBot="1">
      <c r="A228" s="85" t="s">
        <v>64</v>
      </c>
      <c r="B228" s="103">
        <f>_xlfn.XLOOKUP(A228,Equipe!H:H,Equipe!B:B,"",0)</f>
        <v>9618720</v>
      </c>
      <c r="C228" s="89">
        <v>45957</v>
      </c>
      <c r="D228" s="104">
        <f>IF(Tabela1[[#This Row],[Início]]&lt;&gt;"",C228+E228,"")</f>
        <v>45958</v>
      </c>
      <c r="E228" s="85">
        <v>1</v>
      </c>
      <c r="F228" s="85" t="s">
        <v>11</v>
      </c>
      <c r="G228" s="97" t="s">
        <v>183</v>
      </c>
      <c r="H228" s="39" t="str">
        <f>_xlfn.XLOOKUP(Tabela1[[#This Row],[Matrícula]],Equipe!B:B,Equipe!E:E,"ERRO",0)</f>
        <v>P82</v>
      </c>
      <c r="I228" s="39" t="str">
        <f>VLOOKUP(Tabela1[[#This Row],[Matrícula]],Equipe!B:F,5,0)</f>
        <v>Experiente</v>
      </c>
    </row>
    <row r="229" spans="1:9" ht="15" thickBot="1">
      <c r="A229" s="85" t="s">
        <v>58</v>
      </c>
      <c r="B229" s="103">
        <f>_xlfn.XLOOKUP(A229,Equipe!H:H,Equipe!B:B,"",0)</f>
        <v>9886449</v>
      </c>
      <c r="C229" s="89">
        <v>45958</v>
      </c>
      <c r="D229" s="104">
        <f>IF(Tabela1[[#This Row],[Início]]&lt;&gt;"",C229+E229-1,"")</f>
        <v>45958</v>
      </c>
      <c r="E229" s="85">
        <v>1</v>
      </c>
      <c r="F229" s="85" t="s">
        <v>17</v>
      </c>
      <c r="G229" s="97" t="s">
        <v>154</v>
      </c>
      <c r="H229" s="39" t="str">
        <f>_xlfn.XLOOKUP(Tabela1[[#This Row],[Matrícula]],Equipe!B:B,Equipe!E:E,"ERRO",0)</f>
        <v>P80</v>
      </c>
      <c r="I229" s="39" t="str">
        <f>VLOOKUP(Tabela1[[#This Row],[Matrícula]],Equipe!B:F,5,0)</f>
        <v>Experiente</v>
      </c>
    </row>
    <row r="230" spans="1:9" ht="15" thickBot="1">
      <c r="A230" s="85" t="s">
        <v>58</v>
      </c>
      <c r="B230" s="103">
        <f>_xlfn.XLOOKUP(A230,Equipe!H:H,Equipe!B:B,"",0)</f>
        <v>9886449</v>
      </c>
      <c r="C230" s="89">
        <v>45958</v>
      </c>
      <c r="D230" s="104">
        <f>IF(Tabela1[[#This Row],[Início]]&lt;&gt;"",C230+E230-1,"")</f>
        <v>45958</v>
      </c>
      <c r="E230" s="85">
        <v>1</v>
      </c>
      <c r="F230" s="85" t="s">
        <v>17</v>
      </c>
      <c r="G230" s="97" t="s">
        <v>184</v>
      </c>
      <c r="H230" s="39" t="str">
        <f>_xlfn.XLOOKUP(Tabela1[[#This Row],[Matrícula]],Equipe!B:B,Equipe!E:E,"ERRO",0)</f>
        <v>P80</v>
      </c>
      <c r="I230" s="39" t="str">
        <f>VLOOKUP(Tabela1[[#This Row],[Matrícula]],Equipe!B:F,5,0)</f>
        <v>Experiente</v>
      </c>
    </row>
    <row r="231" spans="1:9" ht="15" thickBot="1">
      <c r="A231" s="85" t="s">
        <v>26</v>
      </c>
      <c r="B231" s="103">
        <f>_xlfn.XLOOKUP(A231,Equipe!H:H,Equipe!B:B,"",0)</f>
        <v>9634180</v>
      </c>
      <c r="C231" s="89">
        <v>45958</v>
      </c>
      <c r="D231" s="104">
        <f>IF(Tabela1[[#This Row],[Início]]&lt;&gt;"",C231+E231-1,"")</f>
        <v>45971</v>
      </c>
      <c r="E231" s="85">
        <v>14</v>
      </c>
      <c r="F231" s="85" t="s">
        <v>15</v>
      </c>
      <c r="G231" s="97" t="s">
        <v>133</v>
      </c>
      <c r="H231" s="39" t="str">
        <f>_xlfn.XLOOKUP(Tabela1[[#This Row],[Matrícula]],Equipe!B:B,Equipe!E:E,"ERRO",0)</f>
        <v>P83</v>
      </c>
      <c r="I231" s="39" t="str">
        <f>VLOOKUP(Tabela1[[#This Row],[Matrícula]],Equipe!B:F,5,0)</f>
        <v>Experiente</v>
      </c>
    </row>
    <row r="232" spans="1:9" ht="15" thickBot="1">
      <c r="A232" s="85" t="s">
        <v>30</v>
      </c>
      <c r="B232" s="103">
        <f>_xlfn.XLOOKUP(A232,Equipe!H:H,Equipe!B:B,"",0)</f>
        <v>4608474</v>
      </c>
      <c r="C232" s="89">
        <v>45958</v>
      </c>
      <c r="D232" s="104">
        <f>IF(Tabela1[[#This Row],[Início]]&lt;&gt;"",C232+E232-1,"")</f>
        <v>45986</v>
      </c>
      <c r="E232" s="85">
        <v>29</v>
      </c>
      <c r="F232" s="85" t="s">
        <v>11</v>
      </c>
      <c r="G232" s="97" t="s">
        <v>185</v>
      </c>
      <c r="H232" s="39" t="str">
        <f>_xlfn.XLOOKUP(Tabela1[[#This Row],[Matrícula]],Equipe!B:B,Equipe!E:E,"ERRO",0)</f>
        <v>P82</v>
      </c>
      <c r="I232" s="39" t="str">
        <f>VLOOKUP(Tabela1[[#This Row],[Matrícula]],Equipe!B:F,5,0)</f>
        <v>Novo</v>
      </c>
    </row>
    <row r="233" spans="1:9" ht="29.45" thickBot="1">
      <c r="A233" s="85" t="s">
        <v>53</v>
      </c>
      <c r="B233" s="103">
        <f>_xlfn.XLOOKUP(A233,Equipe!H:H,Equipe!B:B,"",0)</f>
        <v>4608684</v>
      </c>
      <c r="C233" s="89">
        <v>45959</v>
      </c>
      <c r="D233" s="104">
        <f>IF(Tabela1[[#This Row],[Início]]&lt;&gt;"",C233+E233-1,"")</f>
        <v>45961</v>
      </c>
      <c r="E233" s="85">
        <v>3</v>
      </c>
      <c r="F233" s="85" t="s">
        <v>17</v>
      </c>
      <c r="G233" s="106" t="s">
        <v>186</v>
      </c>
      <c r="H233" s="39" t="str">
        <f>_xlfn.XLOOKUP(Tabela1[[#This Row],[Matrícula]],Equipe!B:B,Equipe!E:E,"ERRO",0)</f>
        <v>P82</v>
      </c>
      <c r="I233" s="39" t="str">
        <f>VLOOKUP(Tabela1[[#This Row],[Matrícula]],Equipe!B:F,5,0)</f>
        <v>Novo</v>
      </c>
    </row>
    <row r="234" spans="1:9" ht="29.45" thickBot="1">
      <c r="A234" s="85" t="s">
        <v>47</v>
      </c>
      <c r="B234" s="103">
        <f>_xlfn.XLOOKUP(A234,Equipe!H:H,Equipe!B:B,"",0)</f>
        <v>4608411</v>
      </c>
      <c r="C234" s="89">
        <v>45959</v>
      </c>
      <c r="D234" s="104">
        <f>IF(Tabela1[[#This Row],[Início]]&lt;&gt;"",C234+E234-1,"")</f>
        <v>45961</v>
      </c>
      <c r="E234" s="85">
        <v>3</v>
      </c>
      <c r="F234" s="85" t="s">
        <v>17</v>
      </c>
      <c r="G234" s="106" t="s">
        <v>186</v>
      </c>
      <c r="H234" s="39" t="str">
        <f>_xlfn.XLOOKUP(Tabela1[[#This Row],[Matrícula]],Equipe!B:B,Equipe!E:E,"ERRO",0)</f>
        <v>P83</v>
      </c>
      <c r="I234" s="39" t="str">
        <f>VLOOKUP(Tabela1[[#This Row],[Matrícula]],Equipe!B:F,5,0)</f>
        <v>Novo</v>
      </c>
    </row>
    <row r="235" spans="1:9" ht="15" thickBot="1">
      <c r="A235" s="85" t="s">
        <v>10</v>
      </c>
      <c r="B235" s="103">
        <f>_xlfn.XLOOKUP(A235,Equipe!H:H,Equipe!B:B,"",0)</f>
        <v>9762281</v>
      </c>
      <c r="C235" s="89">
        <v>45959</v>
      </c>
      <c r="D235" s="104">
        <f>IF(Tabela1[[#This Row],[Início]]&lt;&gt;"",C235+E235-1,"")</f>
        <v>45970</v>
      </c>
      <c r="E235" s="85">
        <v>12</v>
      </c>
      <c r="F235" s="85" t="s">
        <v>15</v>
      </c>
      <c r="G235" s="97" t="s">
        <v>79</v>
      </c>
      <c r="H235" s="39" t="str">
        <f>_xlfn.XLOOKUP(Tabela1[[#This Row],[Matrícula]],Equipe!B:B,Equipe!E:E,"ERRO",0)</f>
        <v>P80</v>
      </c>
      <c r="I235" s="39" t="str">
        <f>VLOOKUP(Tabela1[[#This Row],[Matrícula]],Equipe!B:F,5,0)</f>
        <v>Experiente</v>
      </c>
    </row>
    <row r="236" spans="1:9" ht="15" thickBot="1">
      <c r="A236" s="85" t="s">
        <v>64</v>
      </c>
      <c r="B236" s="103">
        <f>_xlfn.XLOOKUP(A236,Equipe!H:H,Equipe!B:B,"",0)</f>
        <v>9618720</v>
      </c>
      <c r="C236" s="89">
        <v>45960</v>
      </c>
      <c r="D236" s="104">
        <f>IF(Tabela1[[#This Row],[Início]]&lt;&gt;"",C236+E236-1,"")</f>
        <v>45960</v>
      </c>
      <c r="E236" s="85">
        <v>1</v>
      </c>
      <c r="F236" s="85" t="s">
        <v>17</v>
      </c>
      <c r="G236" s="97" t="s">
        <v>187</v>
      </c>
      <c r="H236" s="39" t="str">
        <f>_xlfn.XLOOKUP(Tabela1[[#This Row],[Matrícula]],Equipe!B:B,Equipe!E:E,"ERRO",0)</f>
        <v>P82</v>
      </c>
      <c r="I236" s="39" t="str">
        <f>VLOOKUP(Tabela1[[#This Row],[Matrícula]],Equipe!B:F,5,0)</f>
        <v>Experiente</v>
      </c>
    </row>
    <row r="237" spans="1:9" ht="15" thickBot="1">
      <c r="A237" s="85" t="s">
        <v>162</v>
      </c>
      <c r="B237" s="103">
        <f>_xlfn.XLOOKUP(A237,Equipe!H:H,Equipe!B:B,"",0)</f>
        <v>2440812</v>
      </c>
      <c r="C237" s="89">
        <v>45960</v>
      </c>
      <c r="D237" s="104">
        <f>IF(Tabela1[[#This Row],[Início]]&lt;&gt;"",C237+E237-1,"")</f>
        <v>45960</v>
      </c>
      <c r="E237" s="85">
        <v>1</v>
      </c>
      <c r="F237" s="85" t="s">
        <v>17</v>
      </c>
      <c r="G237" s="97" t="s">
        <v>188</v>
      </c>
      <c r="H237" s="39" t="str">
        <f>_xlfn.XLOOKUP(Tabela1[[#This Row],[Matrícula]],Equipe!B:B,Equipe!E:E,"ERRO",0)</f>
        <v>P80</v>
      </c>
      <c r="I237" s="39" t="str">
        <f>VLOOKUP(Tabela1[[#This Row],[Matrícula]],Equipe!B:F,5,0)</f>
        <v>Experiente</v>
      </c>
    </row>
    <row r="238" spans="1:9" ht="29.45" thickBot="1">
      <c r="A238" s="85" t="s">
        <v>22</v>
      </c>
      <c r="B238" s="103">
        <f>_xlfn.XLOOKUP(A238,Equipe!H:H,Equipe!B:B,"",0)</f>
        <v>4608389</v>
      </c>
      <c r="C238" s="89">
        <v>45960</v>
      </c>
      <c r="D238" s="104">
        <f>IF(Tabela1[[#This Row],[Início]]&lt;&gt;"",C238+E238-1,"")</f>
        <v>45961</v>
      </c>
      <c r="E238" s="85">
        <v>2</v>
      </c>
      <c r="F238" s="85" t="s">
        <v>11</v>
      </c>
      <c r="G238" s="97" t="s">
        <v>189</v>
      </c>
      <c r="H238" s="39" t="str">
        <f>_xlfn.XLOOKUP(Tabela1[[#This Row],[Matrícula]],Equipe!B:B,Equipe!E:E,"ERRO",0)</f>
        <v>P80</v>
      </c>
      <c r="I238" s="39" t="str">
        <f>VLOOKUP(Tabela1[[#This Row],[Matrícula]],Equipe!B:F,5,0)</f>
        <v>Novo</v>
      </c>
    </row>
    <row r="239" spans="1:9" ht="15" thickBot="1">
      <c r="A239" s="85" t="s">
        <v>64</v>
      </c>
      <c r="B239" s="103">
        <f>_xlfn.XLOOKUP(A239,Equipe!H:H,Equipe!B:B,"",0)</f>
        <v>9618720</v>
      </c>
      <c r="C239" s="89">
        <v>45961</v>
      </c>
      <c r="D239" s="104">
        <f>IF(Tabela1[[#This Row],[Início]]&lt;&gt;"",C239+E239,"")</f>
        <v>45962</v>
      </c>
      <c r="E239" s="85">
        <v>1</v>
      </c>
      <c r="F239" s="85" t="s">
        <v>11</v>
      </c>
      <c r="G239" s="97" t="s">
        <v>183</v>
      </c>
      <c r="H239" s="39" t="str">
        <f>_xlfn.XLOOKUP(Tabela1[[#This Row],[Matrícula]],Equipe!B:B,Equipe!E:E,"ERRO",0)</f>
        <v>P82</v>
      </c>
      <c r="I239" s="39" t="str">
        <f>VLOOKUP(Tabela1[[#This Row],[Matrícula]],Equipe!B:F,5,0)</f>
        <v>Experiente</v>
      </c>
    </row>
    <row r="240" spans="1:9" ht="29.45" thickBot="1">
      <c r="A240" s="85" t="s">
        <v>37</v>
      </c>
      <c r="B240" s="103">
        <f>_xlfn.XLOOKUP(A240,Equipe!H:H,Equipe!B:B,"",0)</f>
        <v>9724817</v>
      </c>
      <c r="C240" s="89">
        <v>45964</v>
      </c>
      <c r="D240" s="104">
        <f>IF(Tabela1[[#This Row],[Início]]&lt;&gt;"",C240+E240-1,"")</f>
        <v>45968</v>
      </c>
      <c r="E240" s="85">
        <v>5</v>
      </c>
      <c r="F240" s="85" t="s">
        <v>17</v>
      </c>
      <c r="G240" s="97" t="s">
        <v>190</v>
      </c>
      <c r="H240" s="39" t="str">
        <f>_xlfn.XLOOKUP(Tabela1[[#This Row],[Matrícula]],Equipe!B:B,Equipe!E:E,"ERRO",0)</f>
        <v>P82</v>
      </c>
      <c r="I240" s="39" t="str">
        <f>VLOOKUP(Tabela1[[#This Row],[Matrícula]],Equipe!B:F,5,0)</f>
        <v>Experiente</v>
      </c>
    </row>
    <row r="241" spans="1:9" ht="29.45" thickBot="1">
      <c r="A241" s="85" t="s">
        <v>41</v>
      </c>
      <c r="B241" s="103">
        <f>_xlfn.XLOOKUP(A241,Equipe!H:H,Equipe!B:B,"",0)</f>
        <v>1381625</v>
      </c>
      <c r="C241" s="89">
        <v>45964</v>
      </c>
      <c r="D241" s="104">
        <f>IF(Tabela1[[#This Row],[Início]]&lt;&gt;"",C241+E241-1,"")</f>
        <v>45968</v>
      </c>
      <c r="E241" s="85">
        <v>5</v>
      </c>
      <c r="F241" s="85" t="s">
        <v>17</v>
      </c>
      <c r="G241" s="97" t="s">
        <v>190</v>
      </c>
      <c r="H241" s="39" t="str">
        <f>_xlfn.XLOOKUP(Tabela1[[#This Row],[Matrícula]],Equipe!B:B,Equipe!E:E,"ERRO",0)</f>
        <v>P80</v>
      </c>
      <c r="I241" s="39" t="str">
        <f>VLOOKUP(Tabela1[[#This Row],[Matrícula]],Equipe!B:F,5,0)</f>
        <v>Experiente</v>
      </c>
    </row>
    <row r="242" spans="1:9" ht="15" thickBot="1">
      <c r="A242" s="85" t="s">
        <v>22</v>
      </c>
      <c r="B242" s="103">
        <f>_xlfn.XLOOKUP(A242,Equipe!H:H,Equipe!B:B,"",0)</f>
        <v>4608389</v>
      </c>
      <c r="C242" s="89">
        <v>45964</v>
      </c>
      <c r="D242" s="104">
        <f>IF(Tabela1[[#This Row],[Início]]&lt;&gt;"",C242+E242-1,"")</f>
        <v>45968</v>
      </c>
      <c r="E242" s="85">
        <v>5</v>
      </c>
      <c r="F242" s="85" t="s">
        <v>17</v>
      </c>
      <c r="G242" s="146" t="s">
        <v>191</v>
      </c>
      <c r="H242" s="39" t="str">
        <f>_xlfn.XLOOKUP(Tabela1[[#This Row],[Matrícula]],Equipe!B:B,Equipe!E:E,"ERRO",0)</f>
        <v>P80</v>
      </c>
      <c r="I242" s="39" t="str">
        <f>VLOOKUP(Tabela1[[#This Row],[Matrícula]],Equipe!B:F,5,0)</f>
        <v>Novo</v>
      </c>
    </row>
    <row r="243" spans="1:9" ht="15" thickBot="1">
      <c r="A243" s="85" t="s">
        <v>56</v>
      </c>
      <c r="B243" s="103">
        <f>_xlfn.XLOOKUP(A243,Equipe!H:H,Equipe!B:B,"",0)</f>
        <v>9612082</v>
      </c>
      <c r="C243" s="89">
        <v>45965</v>
      </c>
      <c r="D243" s="104">
        <f>IF(Tabela1[[#This Row],[Início]]&lt;&gt;"",C243+E243-1,"")</f>
        <v>45985</v>
      </c>
      <c r="E243" s="85">
        <v>21</v>
      </c>
      <c r="F243" s="85" t="s">
        <v>11</v>
      </c>
      <c r="G243" s="97" t="s">
        <v>192</v>
      </c>
      <c r="H243" s="39" t="str">
        <f>_xlfn.XLOOKUP(Tabela1[[#This Row],[Matrícula]],Equipe!B:B,Equipe!E:E,"ERRO",0)</f>
        <v>P82</v>
      </c>
      <c r="I243" s="39" t="str">
        <f>VLOOKUP(Tabela1[[#This Row],[Matrícula]],Equipe!B:F,5,0)</f>
        <v>Experiente</v>
      </c>
    </row>
    <row r="244" spans="1:9" ht="15" thickBot="1">
      <c r="A244" s="85" t="s">
        <v>162</v>
      </c>
      <c r="B244" s="103">
        <f>_xlfn.XLOOKUP(A244,Equipe!H:H,Equipe!B:B,"",0)</f>
        <v>2440812</v>
      </c>
      <c r="C244" s="89">
        <v>45966</v>
      </c>
      <c r="D244" s="104">
        <f>IF(Tabela1[[#This Row],[Início]]&lt;&gt;"",C244+E244-1,"")</f>
        <v>45967</v>
      </c>
      <c r="E244" s="85">
        <v>2</v>
      </c>
      <c r="F244" s="85" t="s">
        <v>17</v>
      </c>
      <c r="G244" s="97" t="s">
        <v>193</v>
      </c>
      <c r="H244" s="39" t="str">
        <f>_xlfn.XLOOKUP(Tabela1[[#This Row],[Matrícula]],Equipe!B:B,Equipe!E:E,"ERRO",0)</f>
        <v>P80</v>
      </c>
      <c r="I244" s="39" t="str">
        <f>VLOOKUP(Tabela1[[#This Row],[Matrícula]],Equipe!B:F,5,0)</f>
        <v>Experiente</v>
      </c>
    </row>
    <row r="245" spans="1:9" ht="15" thickBot="1">
      <c r="A245" s="85" t="s">
        <v>64</v>
      </c>
      <c r="B245" s="103">
        <v>9618720</v>
      </c>
      <c r="C245" s="89">
        <v>45966</v>
      </c>
      <c r="D245" s="104">
        <f>IF(Tabela1[[#This Row],[Início]]&lt;&gt;"",C245+E245-1,"")</f>
        <v>45967</v>
      </c>
      <c r="E245" s="85">
        <v>2</v>
      </c>
      <c r="F245" s="85" t="s">
        <v>17</v>
      </c>
      <c r="G245" s="97" t="s">
        <v>193</v>
      </c>
      <c r="H245" s="39" t="str">
        <f>_xlfn.XLOOKUP(Tabela1[[#This Row],[Matrícula]],Equipe!B:B,Equipe!E:E,"ERRO",0)</f>
        <v>P82</v>
      </c>
      <c r="I245" s="39" t="str">
        <f>VLOOKUP(Tabela1[[#This Row],[Matrícula]],Equipe!B:F,5,0)</f>
        <v>Experiente</v>
      </c>
    </row>
    <row r="246" spans="1:9" ht="15" thickBot="1">
      <c r="A246" s="85" t="s">
        <v>39</v>
      </c>
      <c r="B246" s="103">
        <f>_xlfn.XLOOKUP(A246,Equipe!H:H,Equipe!B:B,"",0)</f>
        <v>9634222</v>
      </c>
      <c r="C246" s="89">
        <v>45966</v>
      </c>
      <c r="D246" s="104">
        <f>IF(Tabela1[[#This Row],[Início]]&lt;&gt;"",C246+E246-1,"")</f>
        <v>45979</v>
      </c>
      <c r="E246" s="85">
        <v>14</v>
      </c>
      <c r="F246" s="85" t="s">
        <v>15</v>
      </c>
      <c r="G246" s="97" t="s">
        <v>79</v>
      </c>
      <c r="H246" s="39" t="str">
        <f>_xlfn.XLOOKUP(Tabela1[[#This Row],[Matrícula]],Equipe!B:B,Equipe!E:E,"ERRO",0)</f>
        <v>P83</v>
      </c>
      <c r="I246" s="39" t="str">
        <f>VLOOKUP(Tabela1[[#This Row],[Matrícula]],Equipe!B:F,5,0)</f>
        <v>Experiente</v>
      </c>
    </row>
    <row r="247" spans="1:9" ht="15" thickBot="1">
      <c r="A247" s="85" t="s">
        <v>100</v>
      </c>
      <c r="B247" s="103">
        <f>_xlfn.XLOOKUP(A247,Equipe!H:H,Equipe!B:B,"",0)</f>
        <v>4612098</v>
      </c>
      <c r="C247" s="89">
        <v>45966</v>
      </c>
      <c r="D247" s="104">
        <v>45994</v>
      </c>
      <c r="E247" s="85">
        <v>29</v>
      </c>
      <c r="F247" s="85" t="s">
        <v>11</v>
      </c>
      <c r="G247" s="97" t="s">
        <v>194</v>
      </c>
      <c r="H247" s="39" t="str">
        <f>_xlfn.XLOOKUP(Tabela1[[#This Row],[Matrícula]],Equipe!B:B,Equipe!E:E,"ERRO",0)</f>
        <v>P80</v>
      </c>
      <c r="I247" s="39" t="str">
        <f>VLOOKUP(Tabela1[[#This Row],[Matrícula]],Equipe!B:F,5,0)</f>
        <v>Novo</v>
      </c>
    </row>
    <row r="248" spans="1:9" ht="29.45" thickBot="1">
      <c r="A248" s="85" t="s">
        <v>102</v>
      </c>
      <c r="B248" s="103">
        <f>_xlfn.XLOOKUP(A248,Equipe!H:H,Equipe!B:B,"",0)</f>
        <v>4612243</v>
      </c>
      <c r="C248" s="89">
        <v>45967</v>
      </c>
      <c r="D248" s="104">
        <f>IF(Tabela1[[#This Row],[Início]]&lt;&gt;"",C248+E248-1,"")</f>
        <v>45968</v>
      </c>
      <c r="E248" s="85">
        <v>2</v>
      </c>
      <c r="F248" s="85" t="s">
        <v>17</v>
      </c>
      <c r="G248" s="97" t="s">
        <v>195</v>
      </c>
      <c r="H248" s="39" t="str">
        <f>_xlfn.XLOOKUP(Tabela1[[#This Row],[Matrícula]],Equipe!B:B,Equipe!E:E,"ERRO",0)</f>
        <v>P80</v>
      </c>
      <c r="I248" s="39" t="str">
        <f>VLOOKUP(Tabela1[[#This Row],[Matrícula]],Equipe!B:F,5,0)</f>
        <v>Novo</v>
      </c>
    </row>
    <row r="249" spans="1:9" ht="29.45" thickBot="1">
      <c r="A249" s="85" t="s">
        <v>110</v>
      </c>
      <c r="B249" s="103">
        <f>_xlfn.XLOOKUP(A249,Equipe!H:H,Equipe!B:B,"",0)</f>
        <v>4612140</v>
      </c>
      <c r="C249" s="89">
        <v>45967</v>
      </c>
      <c r="D249" s="104">
        <f>IF(Tabela1[[#This Row],[Início]]&lt;&gt;"",C249+E249-1,"")</f>
        <v>45968</v>
      </c>
      <c r="E249" s="85">
        <v>2</v>
      </c>
      <c r="F249" s="85" t="s">
        <v>17</v>
      </c>
      <c r="G249" s="97" t="s">
        <v>196</v>
      </c>
      <c r="H249" s="39" t="str">
        <f>_xlfn.XLOOKUP(Tabela1[[#This Row],[Matrícula]],Equipe!B:B,Equipe!E:E,"ERRO",0)</f>
        <v>P83</v>
      </c>
      <c r="I249" s="39" t="str">
        <f>VLOOKUP(Tabela1[[#This Row],[Matrícula]],Equipe!B:F,5,0)</f>
        <v>Novo</v>
      </c>
    </row>
    <row r="250" spans="1:9" ht="29.45" thickBot="1">
      <c r="A250" s="85" t="s">
        <v>108</v>
      </c>
      <c r="B250" s="103">
        <f>_xlfn.XLOOKUP(A250,Equipe!H:H,Equipe!B:B,"",0)</f>
        <v>4612389</v>
      </c>
      <c r="C250" s="89">
        <v>45967</v>
      </c>
      <c r="D250" s="104">
        <f>IF(Tabela1[[#This Row],[Início]]&lt;&gt;"",C250+E250-1,"")</f>
        <v>45968</v>
      </c>
      <c r="E250" s="85">
        <v>2</v>
      </c>
      <c r="F250" s="85" t="s">
        <v>17</v>
      </c>
      <c r="G250" s="97" t="s">
        <v>196</v>
      </c>
      <c r="H250" s="39" t="str">
        <f>_xlfn.XLOOKUP(Tabela1[[#This Row],[Matrícula]],Equipe!B:B,Equipe!E:E,"ERRO",0)</f>
        <v>P80</v>
      </c>
      <c r="I250" s="39" t="str">
        <f>VLOOKUP(Tabela1[[#This Row],[Matrícula]],Equipe!B:F,5,0)</f>
        <v>Novo</v>
      </c>
    </row>
    <row r="251" spans="1:9" ht="29.45" thickBot="1">
      <c r="A251" s="85" t="s">
        <v>103</v>
      </c>
      <c r="B251" s="103">
        <f>_xlfn.XLOOKUP(A251,Equipe!H:H,Equipe!B:B,"",0)</f>
        <v>4612192</v>
      </c>
      <c r="C251" s="89">
        <v>45967</v>
      </c>
      <c r="D251" s="104">
        <f>IF(Tabela1[[#This Row],[Início]]&lt;&gt;"",C251+E251-1,"")</f>
        <v>45968</v>
      </c>
      <c r="E251" s="85">
        <v>2</v>
      </c>
      <c r="F251" s="85" t="s">
        <v>17</v>
      </c>
      <c r="G251" s="97" t="s">
        <v>197</v>
      </c>
      <c r="H251" s="39" t="str">
        <f>_xlfn.XLOOKUP(Tabela1[[#This Row],[Matrícula]],Equipe!B:B,Equipe!E:E,"ERRO",0)</f>
        <v>P82</v>
      </c>
      <c r="I251" s="39" t="str">
        <f>VLOOKUP(Tabela1[[#This Row],[Matrícula]],Equipe!B:F,5,0)</f>
        <v>Novo</v>
      </c>
    </row>
    <row r="252" spans="1:9" ht="15" thickBot="1">
      <c r="A252" s="85" t="s">
        <v>35</v>
      </c>
      <c r="B252" s="103">
        <f>_xlfn.XLOOKUP(A252,Equipe!H:H,Equipe!B:B,"",0)</f>
        <v>1385894</v>
      </c>
      <c r="C252" s="89">
        <v>45968</v>
      </c>
      <c r="D252" s="104">
        <f>IF(Tabela1[[#This Row],[Início]]&lt;&gt;"",C252+E252-1,"")</f>
        <v>45968</v>
      </c>
      <c r="E252" s="85">
        <v>1</v>
      </c>
      <c r="F252" s="85" t="s">
        <v>11</v>
      </c>
      <c r="G252" s="97" t="s">
        <v>181</v>
      </c>
      <c r="H252" s="39" t="str">
        <f>_xlfn.XLOOKUP(Tabela1[[#This Row],[Matrícula]],Equipe!B:B,Equipe!E:E,"ERRO",0)</f>
        <v>P80</v>
      </c>
      <c r="I252" s="39" t="str">
        <f>VLOOKUP(Tabela1[[#This Row],[Matrícula]],Equipe!B:F,5,0)</f>
        <v>Experiente</v>
      </c>
    </row>
    <row r="253" spans="1:9" ht="15" thickBot="1">
      <c r="A253" s="85" t="s">
        <v>136</v>
      </c>
      <c r="B253" s="103">
        <f>_xlfn.XLOOKUP(A253,Equipe!H:H,Equipe!B:B,"",0)</f>
        <v>4612247</v>
      </c>
      <c r="C253" s="89">
        <v>45968</v>
      </c>
      <c r="D253" s="104">
        <v>45980</v>
      </c>
      <c r="E253" s="85">
        <v>12</v>
      </c>
      <c r="F253" s="85" t="s">
        <v>15</v>
      </c>
      <c r="G253" s="97" t="s">
        <v>198</v>
      </c>
      <c r="H253" s="39" t="str">
        <f>_xlfn.XLOOKUP(Tabela1[[#This Row],[Matrícula]],Equipe!B:B,Equipe!E:E,"ERRO",0)</f>
        <v>P83</v>
      </c>
      <c r="I253" s="39" t="str">
        <f>VLOOKUP(Tabela1[[#This Row],[Matrícula]],Equipe!B:F,5,0)</f>
        <v>Novo</v>
      </c>
    </row>
    <row r="254" spans="1:9" ht="29.45" thickBot="1">
      <c r="A254" s="85" t="s">
        <v>22</v>
      </c>
      <c r="B254" s="103">
        <f>_xlfn.XLOOKUP(A254,Equipe!H:H,Equipe!B:B,"",0)</f>
        <v>4608389</v>
      </c>
      <c r="C254" s="89">
        <v>45971</v>
      </c>
      <c r="D254" s="104">
        <f>IF(Tabela1[[#This Row],[Início]]&lt;&gt;"",C254+E254-1,"")</f>
        <v>45982</v>
      </c>
      <c r="E254" s="85">
        <v>12</v>
      </c>
      <c r="F254" s="85" t="s">
        <v>17</v>
      </c>
      <c r="G254" s="106" t="s">
        <v>199</v>
      </c>
      <c r="H254" s="39" t="str">
        <f>_xlfn.XLOOKUP(Tabela1[[#This Row],[Matrícula]],Equipe!B:B,Equipe!E:E,"ERRO",0)</f>
        <v>P80</v>
      </c>
      <c r="I254" s="39" t="str">
        <f>VLOOKUP(Tabela1[[#This Row],[Matrícula]],Equipe!B:F,5,0)</f>
        <v>Novo</v>
      </c>
    </row>
    <row r="255" spans="1:9" ht="29.45" thickBot="1">
      <c r="A255" s="94" t="s">
        <v>45</v>
      </c>
      <c r="B255" s="127">
        <f>_xlfn.XLOOKUP(A255,Equipe!H:H,Equipe!B:B,"",0)</f>
        <v>4608780</v>
      </c>
      <c r="C255" s="89">
        <v>45971</v>
      </c>
      <c r="D255" s="104">
        <f>IF(Tabela1[[#This Row],[Início]]&lt;&gt;"",C255+E255-1,"")</f>
        <v>45982</v>
      </c>
      <c r="E255" s="85">
        <v>12</v>
      </c>
      <c r="F255" s="85" t="s">
        <v>17</v>
      </c>
      <c r="G255" s="106" t="s">
        <v>199</v>
      </c>
      <c r="H255" s="142" t="str">
        <f>_xlfn.XLOOKUP(Tabela1[[#This Row],[Matrícula]],Equipe!B:B,Equipe!E:E,"ERRO",0)</f>
        <v>P83</v>
      </c>
      <c r="I255" s="142" t="str">
        <f>VLOOKUP(Tabela1[[#This Row],[Matrícula]],Equipe!B:F,5,0)</f>
        <v>Novo</v>
      </c>
    </row>
    <row r="256" spans="1:9" ht="15" thickBot="1">
      <c r="A256" s="85" t="s">
        <v>10</v>
      </c>
      <c r="B256" s="103">
        <f>_xlfn.XLOOKUP(A256,Equipe!H:H,Equipe!B:B,"",0)</f>
        <v>9762281</v>
      </c>
      <c r="C256" s="89">
        <v>45971</v>
      </c>
      <c r="D256" s="104">
        <f>IF(Tabela1[[#This Row],[Início]]&lt;&gt;"",C256+E256-1,"")</f>
        <v>45988</v>
      </c>
      <c r="E256" s="85">
        <v>18</v>
      </c>
      <c r="F256" s="85" t="s">
        <v>11</v>
      </c>
      <c r="G256" s="97" t="s">
        <v>79</v>
      </c>
      <c r="H256" s="39" t="str">
        <f>_xlfn.XLOOKUP(Tabela1[[#This Row],[Matrícula]],Equipe!B:B,Equipe!E:E,"ERRO",0)</f>
        <v>P80</v>
      </c>
      <c r="I256" s="39" t="str">
        <f>VLOOKUP(Tabela1[[#This Row],[Matrícula]],Equipe!B:F,5,0)</f>
        <v>Experiente</v>
      </c>
    </row>
    <row r="257" spans="1:9" ht="15" thickBot="1">
      <c r="A257" s="85" t="s">
        <v>53</v>
      </c>
      <c r="B257" s="103">
        <f>_xlfn.XLOOKUP(A257,Equipe!H:H,Equipe!B:B,"",0)</f>
        <v>4608684</v>
      </c>
      <c r="C257" s="89">
        <v>45972</v>
      </c>
      <c r="D257" s="104">
        <f>IF(Tabela1[[#This Row],[Início]]&lt;&gt;"",C257+E257-1,"")</f>
        <v>45974</v>
      </c>
      <c r="E257" s="85">
        <v>3</v>
      </c>
      <c r="F257" s="85" t="s">
        <v>17</v>
      </c>
      <c r="G257" s="106" t="s">
        <v>200</v>
      </c>
      <c r="H257" s="39" t="str">
        <f>_xlfn.XLOOKUP(Tabela1[[#This Row],[Matrícula]],Equipe!B:B,Equipe!E:E,"ERRO",0)</f>
        <v>P82</v>
      </c>
      <c r="I257" s="39" t="str">
        <f>VLOOKUP(Tabela1[[#This Row],[Matrícula]],Equipe!B:F,5,0)</f>
        <v>Novo</v>
      </c>
    </row>
    <row r="258" spans="1:9" ht="15" thickBot="1">
      <c r="A258" s="85" t="s">
        <v>26</v>
      </c>
      <c r="B258" s="103">
        <f>_xlfn.XLOOKUP(A258,Equipe!H:H,Equipe!B:B,"",0)</f>
        <v>9634180</v>
      </c>
      <c r="C258" s="89">
        <v>45972</v>
      </c>
      <c r="D258" s="104">
        <f>IF(Tabela1[[#This Row],[Início]]&lt;&gt;"",C258+E258-1,"")</f>
        <v>45992</v>
      </c>
      <c r="E258" s="85">
        <v>21</v>
      </c>
      <c r="F258" s="85" t="s">
        <v>11</v>
      </c>
      <c r="G258" s="97" t="s">
        <v>164</v>
      </c>
      <c r="H258" s="39" t="str">
        <f>_xlfn.XLOOKUP(Tabela1[[#This Row],[Matrícula]],Equipe!B:B,Equipe!E:E,"ERRO",0)</f>
        <v>P83</v>
      </c>
      <c r="I258" s="39" t="str">
        <f>VLOOKUP(Tabela1[[#This Row],[Matrícula]],Equipe!B:F,5,0)</f>
        <v>Experiente</v>
      </c>
    </row>
    <row r="259" spans="1:9" ht="15" thickBot="1">
      <c r="A259" s="85" t="s">
        <v>28</v>
      </c>
      <c r="B259" s="103">
        <f>_xlfn.XLOOKUP(A259,Equipe!H:H,Equipe!B:B,"",0)</f>
        <v>1386344</v>
      </c>
      <c r="C259" s="89">
        <v>45973</v>
      </c>
      <c r="D259" s="104">
        <f>IF(Tabela1[[#This Row],[Início]]&lt;&gt;"",C259+E259-1,"")</f>
        <v>45973</v>
      </c>
      <c r="E259" s="85">
        <v>1</v>
      </c>
      <c r="F259" s="85" t="s">
        <v>11</v>
      </c>
      <c r="G259" s="97" t="s">
        <v>201</v>
      </c>
      <c r="H259" s="39" t="str">
        <f>_xlfn.XLOOKUP(Tabela1[[#This Row],[Matrícula]],Equipe!B:B,Equipe!E:E,"ERRO",0)</f>
        <v>P82</v>
      </c>
      <c r="I259" s="39" t="str">
        <f>VLOOKUP(Tabela1[[#This Row],[Matrícula]],Equipe!B:F,5,0)</f>
        <v>Experiente</v>
      </c>
    </row>
    <row r="260" spans="1:9" ht="15" thickBot="1">
      <c r="A260" s="85" t="s">
        <v>28</v>
      </c>
      <c r="B260" s="103">
        <f>_xlfn.XLOOKUP(A260,Equipe!H:H,Equipe!B:B,"",0)</f>
        <v>1386344</v>
      </c>
      <c r="C260" s="89">
        <v>45974</v>
      </c>
      <c r="D260" s="104">
        <f>IF(Tabela1[[#This Row],[Início]]&lt;&gt;"",C260+E260-1,"")</f>
        <v>45974</v>
      </c>
      <c r="E260" s="85">
        <v>1</v>
      </c>
      <c r="F260" s="85" t="s">
        <v>11</v>
      </c>
      <c r="G260" s="97" t="s">
        <v>201</v>
      </c>
      <c r="H260" s="39" t="str">
        <f>_xlfn.XLOOKUP(Tabela1[[#This Row],[Matrícula]],Equipe!B:B,Equipe!E:E,"ERRO",0)</f>
        <v>P82</v>
      </c>
      <c r="I260" s="39" t="str">
        <f>VLOOKUP(Tabela1[[#This Row],[Matrícula]],Equipe!B:F,5,0)</f>
        <v>Experiente</v>
      </c>
    </row>
    <row r="261" spans="1:9" ht="15" thickBot="1">
      <c r="A261" s="94" t="s">
        <v>14</v>
      </c>
      <c r="B261" s="127">
        <f>_xlfn.XLOOKUP(A261,Equipe!H:H,Equipe!B:B,"",0)</f>
        <v>4608544</v>
      </c>
      <c r="C261" s="95">
        <v>45999</v>
      </c>
      <c r="D261" s="126">
        <f>IF(Tabela1[[#This Row],[Início]]&lt;&gt;"",C261+E261-1,"")</f>
        <v>46012</v>
      </c>
      <c r="E261" s="94">
        <v>14</v>
      </c>
      <c r="F261" s="94" t="s">
        <v>15</v>
      </c>
      <c r="G261" s="106" t="s">
        <v>134</v>
      </c>
      <c r="H261" s="142" t="str">
        <f>_xlfn.XLOOKUP(Tabela1[[#This Row],[Matrícula]],Equipe!B:B,Equipe!E:E,"ERRO",0)</f>
        <v>P82</v>
      </c>
      <c r="I261" s="142" t="str">
        <f>VLOOKUP(Tabela1[[#This Row],[Matrícula]],Equipe!B:F,5,0)</f>
        <v>Novo</v>
      </c>
    </row>
    <row r="262" spans="1:9" ht="29.45" thickBot="1">
      <c r="A262" s="85" t="s">
        <v>202</v>
      </c>
      <c r="B262" s="103">
        <f>_xlfn.XLOOKUP(A262,Equipe!H:H,Equipe!B:B,"",0)</f>
        <v>1385950</v>
      </c>
      <c r="C262" s="89">
        <v>45975</v>
      </c>
      <c r="D262" s="104">
        <v>45975</v>
      </c>
      <c r="E262" s="85">
        <v>1</v>
      </c>
      <c r="F262" s="85" t="s">
        <v>11</v>
      </c>
      <c r="G262" s="97" t="s">
        <v>203</v>
      </c>
      <c r="H262" s="39" t="str">
        <f>_xlfn.XLOOKUP(Tabela1[[#This Row],[Matrícula]],Equipe!B:B,Equipe!E:E,"ERRO",0)</f>
        <v>PBAC</v>
      </c>
      <c r="I262" s="39" t="str">
        <f>VLOOKUP(Tabela1[[#This Row],[Matrícula]],Equipe!B:F,5,0)</f>
        <v>Experiente</v>
      </c>
    </row>
    <row r="263" spans="1:9" ht="29.45" thickBot="1">
      <c r="A263" s="85" t="s">
        <v>204</v>
      </c>
      <c r="B263" s="103">
        <f>_xlfn.XLOOKUP(A263,Equipe!H:H,Equipe!B:B,"",0)</f>
        <v>1385870</v>
      </c>
      <c r="C263" s="89">
        <v>45975</v>
      </c>
      <c r="D263" s="104">
        <f>IF(Tabela1[[#This Row],[Início]]&lt;&gt;"",C263+E263-1,"")</f>
        <v>45975</v>
      </c>
      <c r="E263" s="85">
        <v>1</v>
      </c>
      <c r="F263" s="85" t="s">
        <v>11</v>
      </c>
      <c r="G263" s="97" t="s">
        <v>203</v>
      </c>
      <c r="H263" s="39" t="str">
        <f>_xlfn.XLOOKUP(Tabela1[[#This Row],[Matrícula]],Equipe!B:B,Equipe!E:E,"ERRO",0)</f>
        <v>PBAC</v>
      </c>
      <c r="I263" s="39" t="str">
        <f>VLOOKUP(Tabela1[[#This Row],[Matrícula]],Equipe!B:F,5,0)</f>
        <v>Experiente</v>
      </c>
    </row>
    <row r="264" spans="1:9" ht="29.45" thickBot="1">
      <c r="A264" s="85" t="s">
        <v>205</v>
      </c>
      <c r="B264" s="103">
        <f>_xlfn.XLOOKUP(A264,Equipe!H:H,Equipe!B:B,"",0)</f>
        <v>1386288</v>
      </c>
      <c r="C264" s="89">
        <v>45975</v>
      </c>
      <c r="D264" s="104">
        <f>IF(Tabela1[[#This Row],[Início]]&lt;&gt;"",C264+E264-1,"")</f>
        <v>45975</v>
      </c>
      <c r="E264" s="85">
        <v>1</v>
      </c>
      <c r="F264" s="85" t="s">
        <v>11</v>
      </c>
      <c r="G264" s="97" t="s">
        <v>206</v>
      </c>
      <c r="H264" s="39" t="str">
        <f>_xlfn.XLOOKUP(Tabela1[[#This Row],[Matrícula]],Equipe!B:B,Equipe!E:E,"ERRO",0)</f>
        <v>PBAC</v>
      </c>
      <c r="I264" s="39" t="str">
        <f>VLOOKUP(Tabela1[[#This Row],[Matrícula]],Equipe!B:F,5,0)</f>
        <v>Experiente</v>
      </c>
    </row>
    <row r="265" spans="1:9" ht="15" thickBot="1">
      <c r="A265" s="85" t="s">
        <v>28</v>
      </c>
      <c r="B265" s="103">
        <f>_xlfn.XLOOKUP(A265,Equipe!H:H,Equipe!B:B,"",0)</f>
        <v>1386344</v>
      </c>
      <c r="C265" s="89">
        <v>45975</v>
      </c>
      <c r="D265" s="104">
        <f>IF(Tabela1[[#This Row],[Início]]&lt;&gt;"",C265+E265-1,"")</f>
        <v>45986</v>
      </c>
      <c r="E265" s="85">
        <v>12</v>
      </c>
      <c r="F265" s="85" t="s">
        <v>15</v>
      </c>
      <c r="G265" s="97" t="s">
        <v>79</v>
      </c>
      <c r="H265" s="39" t="str">
        <f>_xlfn.XLOOKUP(Tabela1[[#This Row],[Matrícula]],Equipe!B:B,Equipe!E:E,"ERRO",0)</f>
        <v>P82</v>
      </c>
      <c r="I265" s="39" t="str">
        <f>VLOOKUP(Tabela1[[#This Row],[Matrícula]],Equipe!B:F,5,0)</f>
        <v>Experiente</v>
      </c>
    </row>
    <row r="266" spans="1:9" ht="15" thickBot="1">
      <c r="A266" s="85" t="s">
        <v>39</v>
      </c>
      <c r="B266" s="103">
        <f>_xlfn.XLOOKUP(A266,Equipe!H:H,Equipe!B:B,"",0)</f>
        <v>9634222</v>
      </c>
      <c r="C266" s="89">
        <v>45980</v>
      </c>
      <c r="D266" s="104">
        <f>IF(Tabela1[[#This Row],[Início]]&lt;&gt;"",C266+E266-1,"")</f>
        <v>46000</v>
      </c>
      <c r="E266" s="85">
        <v>21</v>
      </c>
      <c r="F266" s="85" t="s">
        <v>11</v>
      </c>
      <c r="G266" s="97" t="s">
        <v>79</v>
      </c>
      <c r="H266" s="39" t="str">
        <f>_xlfn.XLOOKUP(Tabela1[[#This Row],[Matrícula]],Equipe!B:B,Equipe!E:E,"ERRO",0)</f>
        <v>P83</v>
      </c>
      <c r="I266" s="39" t="str">
        <f>VLOOKUP(Tabela1[[#This Row],[Matrícula]],Equipe!B:F,5,0)</f>
        <v>Experiente</v>
      </c>
    </row>
    <row r="267" spans="1:9" ht="15" thickBot="1">
      <c r="A267" s="85" t="s">
        <v>137</v>
      </c>
      <c r="B267" s="103">
        <f>_xlfn.XLOOKUP(A267,Equipe!H:H,Equipe!B:B,"",0)</f>
        <v>4612393</v>
      </c>
      <c r="C267" s="89">
        <v>45982</v>
      </c>
      <c r="D267" s="104">
        <v>45982</v>
      </c>
      <c r="E267" s="85">
        <v>1</v>
      </c>
      <c r="F267" s="85" t="s">
        <v>11</v>
      </c>
      <c r="G267" s="97" t="s">
        <v>201</v>
      </c>
      <c r="H267" s="39" t="str">
        <f>_xlfn.XLOOKUP(Tabela1[[#This Row],[Matrícula]],Equipe!B:B,Equipe!E:E,"ERRO",0)</f>
        <v>P83</v>
      </c>
      <c r="I267" s="39" t="str">
        <f>VLOOKUP(Tabela1[[#This Row],[Matrícula]],Equipe!B:F,5,0)</f>
        <v>Novo</v>
      </c>
    </row>
    <row r="268" spans="1:9" ht="29.45" thickBot="1">
      <c r="A268" s="85" t="s">
        <v>202</v>
      </c>
      <c r="B268" s="103">
        <f>_xlfn.XLOOKUP(A268,Equipe!H:H,Equipe!B:B,"",0)</f>
        <v>1385950</v>
      </c>
      <c r="C268" s="89">
        <v>45982</v>
      </c>
      <c r="D268" s="104">
        <f>IF(Tabela1[[#This Row],[Início]]&lt;&gt;"",C268+E268-1,"")</f>
        <v>45982</v>
      </c>
      <c r="E268" s="85">
        <v>1</v>
      </c>
      <c r="F268" s="85" t="s">
        <v>11</v>
      </c>
      <c r="G268" s="97" t="s">
        <v>203</v>
      </c>
      <c r="H268" s="39" t="str">
        <f>_xlfn.XLOOKUP(Tabela1[[#This Row],[Matrícula]],Equipe!B:B,Equipe!E:E,"ERRO",0)</f>
        <v>PBAC</v>
      </c>
      <c r="I268" s="39" t="str">
        <f>VLOOKUP(Tabela1[[#This Row],[Matrícula]],Equipe!B:F,5,0)</f>
        <v>Experiente</v>
      </c>
    </row>
    <row r="269" spans="1:9" ht="29.45" thickBot="1">
      <c r="A269" s="85" t="s">
        <v>204</v>
      </c>
      <c r="B269" s="103">
        <f>_xlfn.XLOOKUP(A269,Equipe!H:H,Equipe!B:B,"",0)</f>
        <v>1385870</v>
      </c>
      <c r="C269" s="89">
        <v>45982</v>
      </c>
      <c r="D269" s="104">
        <f>IF(Tabela1[[#This Row],[Início]]&lt;&gt;"",C269+E269-1,"")</f>
        <v>45982</v>
      </c>
      <c r="E269" s="85">
        <v>1</v>
      </c>
      <c r="F269" s="85" t="s">
        <v>11</v>
      </c>
      <c r="G269" s="97" t="s">
        <v>203</v>
      </c>
      <c r="H269" s="39" t="str">
        <f>_xlfn.XLOOKUP(Tabela1[[#This Row],[Matrícula]],Equipe!B:B,Equipe!E:E,"ERRO",0)</f>
        <v>PBAC</v>
      </c>
      <c r="I269" s="39" t="str">
        <f>VLOOKUP(Tabela1[[#This Row],[Matrícula]],Equipe!B:F,5,0)</f>
        <v>Experiente</v>
      </c>
    </row>
    <row r="270" spans="1:9" ht="15" thickBot="1">
      <c r="A270" s="85" t="s">
        <v>19</v>
      </c>
      <c r="B270" s="103">
        <v>4608559</v>
      </c>
      <c r="C270" s="89">
        <v>45982</v>
      </c>
      <c r="D270" s="104">
        <f>IF(Tabela1[[#This Row],[Início]]&lt;&gt;"",C270+E270-1,"")</f>
        <v>45982</v>
      </c>
      <c r="E270" s="85">
        <v>1</v>
      </c>
      <c r="F270" s="85" t="s">
        <v>11</v>
      </c>
      <c r="G270" s="97" t="s">
        <v>207</v>
      </c>
      <c r="H270" s="39" t="str">
        <f>_xlfn.XLOOKUP(Tabela1[[#This Row],[Matrícula]],Equipe!B:B,Equipe!E:E,"ERRO",0)</f>
        <v>P83</v>
      </c>
      <c r="I270" s="39" t="str">
        <f>VLOOKUP(Tabela1[[#This Row],[Matrícula]],Equipe!B:F,5,0)</f>
        <v>Novo</v>
      </c>
    </row>
    <row r="271" spans="1:9" ht="29.45" thickBot="1">
      <c r="A271" s="85" t="s">
        <v>205</v>
      </c>
      <c r="B271" s="103">
        <f>_xlfn.XLOOKUP(A271,Equipe!H:H,Equipe!B:B,"",0)</f>
        <v>1386288</v>
      </c>
      <c r="C271" s="89">
        <v>45982</v>
      </c>
      <c r="D271" s="104">
        <f>IF(Tabela1[[#This Row],[Início]]&lt;&gt;"",C271+E271-1,"")</f>
        <v>45982</v>
      </c>
      <c r="E271" s="85">
        <v>1</v>
      </c>
      <c r="F271" s="85" t="s">
        <v>11</v>
      </c>
      <c r="G271" s="97" t="s">
        <v>206</v>
      </c>
      <c r="H271" s="39" t="str">
        <f>_xlfn.XLOOKUP(Tabela1[[#This Row],[Matrícula]],Equipe!B:B,Equipe!E:E,"ERRO",0)</f>
        <v>PBAC</v>
      </c>
      <c r="I271" s="39" t="str">
        <f>VLOOKUP(Tabela1[[#This Row],[Matrícula]],Equipe!B:F,5,0)</f>
        <v>Experiente</v>
      </c>
    </row>
    <row r="272" spans="1:9" ht="15" thickBot="1">
      <c r="A272" s="85" t="s">
        <v>136</v>
      </c>
      <c r="B272" s="103">
        <f>_xlfn.XLOOKUP(A272,Equipe!H:H,Equipe!B:B,"",0)</f>
        <v>4612247</v>
      </c>
      <c r="C272" s="89">
        <v>45982</v>
      </c>
      <c r="D272" s="104">
        <v>46007</v>
      </c>
      <c r="E272" s="85">
        <v>27</v>
      </c>
      <c r="F272" s="85" t="s">
        <v>11</v>
      </c>
      <c r="G272" s="97" t="s">
        <v>208</v>
      </c>
      <c r="H272" s="39" t="str">
        <f>_xlfn.XLOOKUP(Tabela1[[#This Row],[Matrícula]],Equipe!B:B,Equipe!E:E,"ERRO",0)</f>
        <v>P83</v>
      </c>
      <c r="I272" s="39" t="str">
        <f>VLOOKUP(Tabela1[[#This Row],[Matrícula]],Equipe!B:F,5,0)</f>
        <v>Novo</v>
      </c>
    </row>
    <row r="273" spans="1:9" ht="29.45" thickBot="1">
      <c r="A273" s="85" t="s">
        <v>53</v>
      </c>
      <c r="B273" s="103">
        <f>_xlfn.XLOOKUP(A273,Equipe!H:H,Equipe!B:B,"",0)</f>
        <v>4608684</v>
      </c>
      <c r="C273" s="89">
        <v>45985</v>
      </c>
      <c r="D273" s="104">
        <f>IF(Tabela1[[#This Row],[Início]]&lt;&gt;"",C273+E273-1,"")</f>
        <v>45989</v>
      </c>
      <c r="E273" s="85">
        <v>5</v>
      </c>
      <c r="F273" s="85" t="s">
        <v>17</v>
      </c>
      <c r="G273" s="106" t="s">
        <v>209</v>
      </c>
      <c r="H273" s="39" t="str">
        <f>_xlfn.XLOOKUP(Tabela1[[#This Row],[Matrícula]],Equipe!B:B,Equipe!E:E,"ERRO",0)</f>
        <v>P82</v>
      </c>
      <c r="I273" s="39" t="str">
        <f>VLOOKUP(Tabela1[[#This Row],[Matrícula]],Equipe!B:F,5,0)</f>
        <v>Novo</v>
      </c>
    </row>
    <row r="274" spans="1:9" ht="15" thickBot="1">
      <c r="A274" s="85" t="s">
        <v>102</v>
      </c>
      <c r="B274" s="103">
        <f>_xlfn.XLOOKUP(A274,Equipe!H:H,Equipe!B:B,"",0)</f>
        <v>4612243</v>
      </c>
      <c r="C274" s="89">
        <v>45986</v>
      </c>
      <c r="D274" s="104">
        <f>IF(Tabela1[[#This Row],[Início]]&lt;&gt;"",C274+E274-1,"")</f>
        <v>45986</v>
      </c>
      <c r="E274" s="85">
        <v>1</v>
      </c>
      <c r="F274" s="85" t="s">
        <v>17</v>
      </c>
      <c r="G274" s="97" t="s">
        <v>210</v>
      </c>
      <c r="H274" s="39" t="str">
        <f>_xlfn.XLOOKUP(Tabela1[[#This Row],[Matrícula]],Equipe!B:B,Equipe!E:E,"ERRO",0)</f>
        <v>P80</v>
      </c>
      <c r="I274" s="39" t="str">
        <f>VLOOKUP(Tabela1[[#This Row],[Matrícula]],Equipe!B:F,5,0)</f>
        <v>Novo</v>
      </c>
    </row>
    <row r="275" spans="1:9" ht="15" thickBot="1">
      <c r="A275" s="85" t="s">
        <v>110</v>
      </c>
      <c r="B275" s="103">
        <f>_xlfn.XLOOKUP(A275,Equipe!H:H,Equipe!B:B,"",0)</f>
        <v>4612140</v>
      </c>
      <c r="C275" s="89">
        <v>45986</v>
      </c>
      <c r="D275" s="104">
        <f>IF(Tabela1[[#This Row],[Início]]&lt;&gt;"",C275+E275-1,"")</f>
        <v>45986</v>
      </c>
      <c r="E275" s="85">
        <v>1</v>
      </c>
      <c r="F275" s="85" t="s">
        <v>17</v>
      </c>
      <c r="G275" s="97" t="s">
        <v>211</v>
      </c>
      <c r="H275" s="39" t="str">
        <f>_xlfn.XLOOKUP(Tabela1[[#This Row],[Matrícula]],Equipe!B:B,Equipe!E:E,"ERRO",0)</f>
        <v>P83</v>
      </c>
      <c r="I275" s="39" t="str">
        <f>VLOOKUP(Tabela1[[#This Row],[Matrícula]],Equipe!B:F,5,0)</f>
        <v>Novo</v>
      </c>
    </row>
    <row r="276" spans="1:9" ht="15" thickBot="1">
      <c r="A276" s="85" t="s">
        <v>110</v>
      </c>
      <c r="B276" s="103">
        <f>_xlfn.XLOOKUP(A276,Equipe!H:H,Equipe!B:B,"",0)</f>
        <v>4612140</v>
      </c>
      <c r="C276" s="89">
        <v>45986</v>
      </c>
      <c r="D276" s="104">
        <f>IF(Tabela1[[#This Row],[Início]]&lt;&gt;"",C276+E276-1,"")</f>
        <v>45986</v>
      </c>
      <c r="E276" s="85">
        <v>1</v>
      </c>
      <c r="F276" s="85" t="s">
        <v>17</v>
      </c>
      <c r="G276" s="97" t="s">
        <v>212</v>
      </c>
      <c r="H276" s="39" t="str">
        <f>_xlfn.XLOOKUP(Tabela1[[#This Row],[Matrícula]],Equipe!B:B,Equipe!E:E,"ERRO",0)</f>
        <v>P83</v>
      </c>
      <c r="I276" s="39" t="str">
        <f>VLOOKUP(Tabela1[[#This Row],[Matrícula]],Equipe!B:F,5,0)</f>
        <v>Novo</v>
      </c>
    </row>
    <row r="277" spans="1:9" ht="15" thickBot="1">
      <c r="A277" s="85" t="s">
        <v>45</v>
      </c>
      <c r="B277" s="103">
        <f>_xlfn.XLOOKUP(A277,Equipe!H:H,Equipe!B:B,"",0)</f>
        <v>4608780</v>
      </c>
      <c r="C277" s="89">
        <v>45986</v>
      </c>
      <c r="D277" s="104">
        <f>IF(Tabela1[[#This Row],[Início]]&lt;&gt;"",C277+E277-1,"")</f>
        <v>45986</v>
      </c>
      <c r="E277" s="85">
        <v>1</v>
      </c>
      <c r="F277" s="85" t="s">
        <v>17</v>
      </c>
      <c r="G277" s="97" t="s">
        <v>212</v>
      </c>
      <c r="H277" s="39" t="str">
        <f>_xlfn.XLOOKUP(Tabela1[[#This Row],[Matrícula]],Equipe!B:B,Equipe!E:E,"ERRO",0)</f>
        <v>P83</v>
      </c>
      <c r="I277" s="39" t="str">
        <f>VLOOKUP(Tabela1[[#This Row],[Matrícula]],Equipe!B:F,5,0)</f>
        <v>Novo</v>
      </c>
    </row>
    <row r="278" spans="1:9" ht="15" thickBot="1">
      <c r="A278" s="85" t="s">
        <v>28</v>
      </c>
      <c r="B278" s="103">
        <f>_xlfn.XLOOKUP(A278,Equipe!H:H,Equipe!B:B,"",0)</f>
        <v>1386344</v>
      </c>
      <c r="C278" s="89">
        <v>45987</v>
      </c>
      <c r="D278" s="104">
        <f>IF(Tabela1[[#This Row],[Início]]&lt;&gt;"",C278+E278-1,"")</f>
        <v>45992</v>
      </c>
      <c r="E278" s="85">
        <v>6</v>
      </c>
      <c r="F278" s="85" t="s">
        <v>11</v>
      </c>
      <c r="G278" s="97" t="s">
        <v>213</v>
      </c>
      <c r="H278" s="39" t="str">
        <f>_xlfn.XLOOKUP(Tabela1[[#This Row],[Matrícula]],Equipe!B:B,Equipe!E:E,"ERRO",0)</f>
        <v>P82</v>
      </c>
      <c r="I278" s="39" t="str">
        <f>VLOOKUP(Tabela1[[#This Row],[Matrícula]],Equipe!B:F,5,0)</f>
        <v>Experiente</v>
      </c>
    </row>
    <row r="279" spans="1:9" ht="15" thickBot="1">
      <c r="A279" s="94" t="s">
        <v>14</v>
      </c>
      <c r="B279" s="127">
        <f>_xlfn.XLOOKUP(A279,Equipe!H:H,Equipe!B:B,"",0)</f>
        <v>4608544</v>
      </c>
      <c r="C279" s="95">
        <v>46013</v>
      </c>
      <c r="D279" s="126">
        <f>IF(Tabela1[[#This Row],[Início]]&lt;&gt;"",C279+E279-1,"")</f>
        <v>46048</v>
      </c>
      <c r="E279" s="94">
        <v>36</v>
      </c>
      <c r="F279" s="94" t="s">
        <v>11</v>
      </c>
      <c r="G279" s="106" t="s">
        <v>151</v>
      </c>
      <c r="H279" s="142" t="str">
        <f>_xlfn.XLOOKUP(Tabela1[[#This Row],[Matrícula]],Equipe!B:B,Equipe!E:E,"ERRO",0)</f>
        <v>P82</v>
      </c>
      <c r="I279" s="142" t="str">
        <f>VLOOKUP(Tabela1[[#This Row],[Matrícula]],Equipe!B:F,5,0)</f>
        <v>Novo</v>
      </c>
    </row>
    <row r="280" spans="1:9" ht="30" customHeight="1" thickBot="1">
      <c r="A280" s="85" t="s">
        <v>202</v>
      </c>
      <c r="B280" s="103">
        <f>_xlfn.XLOOKUP(A280,Equipe!H:H,Equipe!B:B,"",0)</f>
        <v>1385950</v>
      </c>
      <c r="C280" s="89">
        <v>45989</v>
      </c>
      <c r="D280" s="104">
        <f>IF(Tabela1[[#This Row],[Início]]&lt;&gt;"",C280+E280-1,"")</f>
        <v>45989</v>
      </c>
      <c r="E280" s="85">
        <v>1</v>
      </c>
      <c r="F280" s="85" t="s">
        <v>11</v>
      </c>
      <c r="G280" s="97" t="s">
        <v>203</v>
      </c>
      <c r="H280" s="39" t="str">
        <f>_xlfn.XLOOKUP(Tabela1[[#This Row],[Matrícula]],Equipe!B:B,Equipe!E:E,"ERRO",0)</f>
        <v>PBAC</v>
      </c>
      <c r="I280" s="39" t="str">
        <f>VLOOKUP(Tabela1[[#This Row],[Matrícula]],Equipe!B:F,5,0)</f>
        <v>Experiente</v>
      </c>
    </row>
    <row r="281" spans="1:9" ht="30" customHeight="1" thickBot="1">
      <c r="A281" s="85" t="s">
        <v>204</v>
      </c>
      <c r="B281" s="103">
        <f>_xlfn.XLOOKUP(A281,Equipe!H:H,Equipe!B:B,"",0)</f>
        <v>1385870</v>
      </c>
      <c r="C281" s="89">
        <v>45989</v>
      </c>
      <c r="D281" s="104">
        <f>IF(Tabela1[[#This Row],[Início]]&lt;&gt;"",C281+E281-1,"")</f>
        <v>45989</v>
      </c>
      <c r="E281" s="85">
        <v>1</v>
      </c>
      <c r="F281" s="85" t="s">
        <v>11</v>
      </c>
      <c r="G281" s="97" t="s">
        <v>203</v>
      </c>
      <c r="H281" s="39" t="str">
        <f>_xlfn.XLOOKUP(Tabela1[[#This Row],[Matrícula]],Equipe!B:B,Equipe!E:E,"ERRO",0)</f>
        <v>PBAC</v>
      </c>
      <c r="I281" s="39" t="str">
        <f>VLOOKUP(Tabela1[[#This Row],[Matrícula]],Equipe!B:F,5,0)</f>
        <v>Experiente</v>
      </c>
    </row>
    <row r="282" spans="1:9" ht="30" customHeight="1" thickBot="1">
      <c r="A282" s="85" t="s">
        <v>108</v>
      </c>
      <c r="B282" s="103">
        <f>_xlfn.XLOOKUP(A282,Equipe!H:H,Equipe!B:B,"",0)</f>
        <v>4612389</v>
      </c>
      <c r="C282" s="89">
        <v>45992</v>
      </c>
      <c r="D282" s="104">
        <f>IF(Tabela1[[#This Row],[Início]]&lt;&gt;"",C282+E282-1,"")</f>
        <v>45994</v>
      </c>
      <c r="E282" s="85">
        <v>3</v>
      </c>
      <c r="F282" s="85" t="s">
        <v>17</v>
      </c>
      <c r="G282" s="97" t="s">
        <v>214</v>
      </c>
      <c r="H282" s="39" t="str">
        <f>_xlfn.XLOOKUP(Tabela1[[#This Row],[Matrícula]],Equipe!B:B,Equipe!E:E,"ERRO",0)</f>
        <v>P80</v>
      </c>
      <c r="I282" s="39" t="str">
        <f>VLOOKUP(Tabela1[[#This Row],[Matrícula]],Equipe!B:F,5,0)</f>
        <v>Novo</v>
      </c>
    </row>
    <row r="283" spans="1:9" ht="30" customHeight="1" thickBot="1">
      <c r="A283" s="85" t="s">
        <v>102</v>
      </c>
      <c r="B283" s="103">
        <f>_xlfn.XLOOKUP(A283,Equipe!H:H,Equipe!B:B,"",0)</f>
        <v>4612243</v>
      </c>
      <c r="C283" s="89">
        <v>45992</v>
      </c>
      <c r="D283" s="104">
        <f>IF(Tabela1[[#This Row],[Início]]&lt;&gt;"",C283+E283-1,"")</f>
        <v>45994</v>
      </c>
      <c r="E283" s="85">
        <v>3</v>
      </c>
      <c r="F283" s="85" t="s">
        <v>17</v>
      </c>
      <c r="G283" s="97" t="s">
        <v>214</v>
      </c>
      <c r="H283" s="39" t="str">
        <f>_xlfn.XLOOKUP(Tabela1[[#This Row],[Matrícula]],Equipe!B:B,Equipe!E:E,"ERRO",0)</f>
        <v>P80</v>
      </c>
      <c r="I283" s="39" t="str">
        <f>VLOOKUP(Tabela1[[#This Row],[Matrícula]],Equipe!B:F,5,0)</f>
        <v>Novo</v>
      </c>
    </row>
    <row r="284" spans="1:9" ht="30" customHeight="1" thickBot="1">
      <c r="A284" s="85" t="s">
        <v>53</v>
      </c>
      <c r="B284" s="103">
        <f>_xlfn.XLOOKUP(A284,Equipe!H:H,Equipe!B:B,"",0)</f>
        <v>4608684</v>
      </c>
      <c r="C284" s="89">
        <v>45992</v>
      </c>
      <c r="D284" s="104">
        <f>IF(Tabela1[[#This Row],[Início]]&lt;&gt;"",C284+E284-1,"")</f>
        <v>45994</v>
      </c>
      <c r="E284" s="85">
        <v>3</v>
      </c>
      <c r="F284" s="85" t="s">
        <v>17</v>
      </c>
      <c r="G284" s="106" t="s">
        <v>215</v>
      </c>
      <c r="H284" s="39" t="str">
        <f>_xlfn.XLOOKUP(Tabela1[[#This Row],[Matrícula]],Equipe!B:B,Equipe!E:E,"ERRO",0)</f>
        <v>P82</v>
      </c>
      <c r="I284" s="39" t="str">
        <f>VLOOKUP(Tabela1[[#This Row],[Matrícula]],Equipe!B:F,5,0)</f>
        <v>Novo</v>
      </c>
    </row>
    <row r="285" spans="1:9" ht="30" customHeight="1" thickBot="1">
      <c r="A285" s="85" t="s">
        <v>86</v>
      </c>
      <c r="B285" s="103">
        <f>_xlfn.XLOOKUP(A285,Equipe!H:H,Equipe!B:B,"",0)</f>
        <v>9683150</v>
      </c>
      <c r="C285" s="89">
        <v>45992</v>
      </c>
      <c r="D285" s="104">
        <v>45996</v>
      </c>
      <c r="E285" s="85"/>
      <c r="F285" s="85" t="s">
        <v>11</v>
      </c>
      <c r="G285" s="97" t="s">
        <v>206</v>
      </c>
      <c r="H285" s="39" t="str">
        <f>_xlfn.XLOOKUP(Tabela1[[#This Row],[Matrícula]],Equipe!B:B,Equipe!E:E,"ERRO",0)</f>
        <v>P80</v>
      </c>
      <c r="I285" s="39" t="str">
        <f>VLOOKUP(Tabela1[[#This Row],[Matrícula]],Equipe!B:F,5,0)</f>
        <v>Experiente</v>
      </c>
    </row>
    <row r="286" spans="1:9" ht="30" customHeight="1" thickBot="1">
      <c r="A286" s="85" t="s">
        <v>162</v>
      </c>
      <c r="B286" s="103">
        <f>_xlfn.XLOOKUP(A286,Equipe!H:H,Equipe!B:B,"",0)</f>
        <v>2440812</v>
      </c>
      <c r="C286" s="89">
        <v>45994</v>
      </c>
      <c r="D286" s="104">
        <f>IF(Tabela1[[#This Row],[Início]]&lt;&gt;"",C286+E286-1,"")</f>
        <v>45994</v>
      </c>
      <c r="E286" s="85">
        <v>1</v>
      </c>
      <c r="F286" s="85" t="s">
        <v>17</v>
      </c>
      <c r="G286" s="97" t="s">
        <v>216</v>
      </c>
      <c r="H286" s="39" t="str">
        <f>_xlfn.XLOOKUP(Tabela1[[#This Row],[Matrícula]],Equipe!B:B,Equipe!E:E,"ERRO",0)</f>
        <v>P80</v>
      </c>
      <c r="I286" s="39" t="str">
        <f>VLOOKUP(Tabela1[[#This Row],[Matrícula]],Equipe!B:F,5,0)</f>
        <v>Experiente</v>
      </c>
    </row>
    <row r="287" spans="1:9" ht="30" customHeight="1" thickBot="1">
      <c r="A287" s="85" t="s">
        <v>37</v>
      </c>
      <c r="B287" s="103">
        <f>_xlfn.XLOOKUP(A287,Equipe!H:H,Equipe!B:B,"",0)</f>
        <v>9724817</v>
      </c>
      <c r="C287" s="89">
        <v>45995</v>
      </c>
      <c r="D287" s="104">
        <f>IF(Tabela1[[#This Row],[Início]]&lt;&gt;"",C287+E287-1,"")</f>
        <v>45996</v>
      </c>
      <c r="E287" s="85">
        <v>2</v>
      </c>
      <c r="F287" s="85" t="s">
        <v>11</v>
      </c>
      <c r="G287" s="97" t="s">
        <v>217</v>
      </c>
      <c r="H287" s="39" t="str">
        <f>_xlfn.XLOOKUP(Tabela1[[#This Row],[Matrícula]],Equipe!B:B,Equipe!E:E,"ERRO",0)</f>
        <v>P82</v>
      </c>
      <c r="I287" s="39" t="str">
        <f>VLOOKUP(Tabela1[[#This Row],[Matrícula]],Equipe!B:F,5,0)</f>
        <v>Experiente</v>
      </c>
    </row>
    <row r="288" spans="1:9" ht="30" customHeight="1" thickBot="1">
      <c r="A288" s="85" t="s">
        <v>202</v>
      </c>
      <c r="B288" s="103">
        <f>_xlfn.XLOOKUP(A288,Equipe!H:H,Equipe!B:B,"",0)</f>
        <v>1385950</v>
      </c>
      <c r="C288" s="89">
        <v>45996</v>
      </c>
      <c r="D288" s="104">
        <f>IF(Tabela1[[#This Row],[Início]]&lt;&gt;"",C288+E288-1,"")</f>
        <v>45996</v>
      </c>
      <c r="E288" s="85">
        <v>1</v>
      </c>
      <c r="F288" s="85" t="s">
        <v>11</v>
      </c>
      <c r="G288" s="97" t="s">
        <v>203</v>
      </c>
      <c r="H288" s="39" t="str">
        <f>_xlfn.XLOOKUP(Tabela1[[#This Row],[Matrícula]],Equipe!B:B,Equipe!E:E,"ERRO",0)</f>
        <v>PBAC</v>
      </c>
      <c r="I288" s="39" t="str">
        <f>VLOOKUP(Tabela1[[#This Row],[Matrícula]],Equipe!B:F,5,0)</f>
        <v>Experiente</v>
      </c>
    </row>
    <row r="289" spans="1:9" ht="30" customHeight="1" thickBot="1">
      <c r="A289" s="85" t="s">
        <v>204</v>
      </c>
      <c r="B289" s="103">
        <f>_xlfn.XLOOKUP(A289,Equipe!H:H,Equipe!B:B,"",0)</f>
        <v>1385870</v>
      </c>
      <c r="C289" s="89">
        <v>45996</v>
      </c>
      <c r="D289" s="104">
        <f>IF(Tabela1[[#This Row],[Início]]&lt;&gt;"",C289+E289-1,"")</f>
        <v>45996</v>
      </c>
      <c r="E289" s="85">
        <v>1</v>
      </c>
      <c r="F289" s="85" t="s">
        <v>11</v>
      </c>
      <c r="G289" s="97" t="s">
        <v>218</v>
      </c>
      <c r="H289" s="39" t="str">
        <f>_xlfn.XLOOKUP(Tabela1[[#This Row],[Matrícula]],Equipe!B:B,Equipe!E:E,"ERRO",0)</f>
        <v>PBAC</v>
      </c>
      <c r="I289" s="39" t="str">
        <f>VLOOKUP(Tabela1[[#This Row],[Matrícula]],Equipe!B:F,5,0)</f>
        <v>Experiente</v>
      </c>
    </row>
    <row r="290" spans="1:9" ht="30" customHeight="1" thickBot="1">
      <c r="A290" s="85" t="s">
        <v>205</v>
      </c>
      <c r="B290" s="103">
        <f>_xlfn.XLOOKUP(A290,Equipe!H:H,Equipe!B:B,"",0)</f>
        <v>1386288</v>
      </c>
      <c r="C290" s="89">
        <v>45996</v>
      </c>
      <c r="D290" s="104">
        <f>IF(Tabela1[[#This Row],[Início]]&lt;&gt;"",C290+E290-1,"")</f>
        <v>45996</v>
      </c>
      <c r="E290" s="85">
        <v>1</v>
      </c>
      <c r="F290" s="85" t="s">
        <v>11</v>
      </c>
      <c r="G290" s="97" t="s">
        <v>206</v>
      </c>
      <c r="H290" s="39" t="str">
        <f>_xlfn.XLOOKUP(Tabela1[[#This Row],[Matrícula]],Equipe!B:B,Equipe!E:E,"ERRO",0)</f>
        <v>PBAC</v>
      </c>
      <c r="I290" s="39" t="str">
        <f>VLOOKUP(Tabela1[[#This Row],[Matrícula]],Equipe!B:F,5,0)</f>
        <v>Experiente</v>
      </c>
    </row>
    <row r="291" spans="1:9" ht="30" customHeight="1" thickBot="1">
      <c r="A291" s="85" t="s">
        <v>102</v>
      </c>
      <c r="B291" s="103">
        <f>_xlfn.XLOOKUP(A291,Equipe!H:H,Equipe!B:B,"",0)</f>
        <v>4612243</v>
      </c>
      <c r="C291" s="89">
        <v>46000</v>
      </c>
      <c r="D291" s="104">
        <f>IF(Tabela1[[#This Row],[Início]]&lt;&gt;"",C291+E291-1,"")</f>
        <v>46013</v>
      </c>
      <c r="E291" s="85">
        <v>14</v>
      </c>
      <c r="F291" s="85" t="s">
        <v>15</v>
      </c>
      <c r="G291" s="97" t="s">
        <v>219</v>
      </c>
      <c r="H291" s="39" t="str">
        <f>_xlfn.XLOOKUP(Tabela1[[#This Row],[Matrícula]],Equipe!B:B,Equipe!E:E,"ERRO",0)</f>
        <v>P80</v>
      </c>
      <c r="I291" s="39" t="str">
        <f>VLOOKUP(Tabela1[[#This Row],[Matrícula]],Equipe!B:F,5,0)</f>
        <v>Novo</v>
      </c>
    </row>
    <row r="292" spans="1:9" ht="30" customHeight="1" thickBot="1">
      <c r="A292" s="85" t="s">
        <v>19</v>
      </c>
      <c r="B292" s="103">
        <v>4608559</v>
      </c>
      <c r="C292" s="89">
        <v>46000</v>
      </c>
      <c r="D292" s="104">
        <f>IF(Tabela1[[#This Row],[Início]]&lt;&gt;"",C292+E292-1,"")</f>
        <v>46000</v>
      </c>
      <c r="E292" s="85">
        <v>1</v>
      </c>
      <c r="F292" s="85" t="s">
        <v>11</v>
      </c>
      <c r="G292" s="97" t="s">
        <v>220</v>
      </c>
      <c r="H292" s="39" t="str">
        <f>_xlfn.XLOOKUP(Tabela1[[#This Row],[Matrícula]],Equipe!B:B,Equipe!E:E,"ERRO",0)</f>
        <v>P83</v>
      </c>
      <c r="I292" s="39" t="str">
        <f>VLOOKUP(Tabela1[[#This Row],[Matrícula]],Equipe!B:F,5,0)</f>
        <v>Novo</v>
      </c>
    </row>
    <row r="293" spans="1:9" ht="30" customHeight="1" thickBot="1">
      <c r="A293" s="85" t="s">
        <v>47</v>
      </c>
      <c r="B293" s="103">
        <f>_xlfn.XLOOKUP(A293,Equipe!H:H,Equipe!B:B,"",0)</f>
        <v>4608411</v>
      </c>
      <c r="C293" s="89">
        <v>46001</v>
      </c>
      <c r="D293" s="104">
        <f>IF(Tabela1[[#This Row],[Início]]&lt;&gt;"",C293+E293-1,"")</f>
        <v>46014</v>
      </c>
      <c r="E293" s="85">
        <v>14</v>
      </c>
      <c r="F293" s="85" t="s">
        <v>15</v>
      </c>
      <c r="G293" s="97" t="s">
        <v>179</v>
      </c>
      <c r="H293" s="39" t="str">
        <f>_xlfn.XLOOKUP(Tabela1[[#This Row],[Matrícula]],Equipe!B:B,Equipe!E:E,"ERRO",0)</f>
        <v>P83</v>
      </c>
      <c r="I293" s="39" t="str">
        <f>VLOOKUP(Tabela1[[#This Row],[Matrícula]],Equipe!B:F,5,0)</f>
        <v>Novo</v>
      </c>
    </row>
    <row r="294" spans="1:9" ht="30" customHeight="1" thickBot="1">
      <c r="A294" s="85" t="s">
        <v>35</v>
      </c>
      <c r="B294" s="103">
        <f>_xlfn.XLOOKUP(A294,Equipe!H:H,Equipe!B:B,"",0)</f>
        <v>1385894</v>
      </c>
      <c r="C294" s="89">
        <v>46003</v>
      </c>
      <c r="D294" s="104">
        <f>IF(Tabela1[[#This Row],[Início]]&lt;&gt;"",C294+E294-1,"")</f>
        <v>46003</v>
      </c>
      <c r="E294" s="85">
        <v>1</v>
      </c>
      <c r="F294" s="85" t="s">
        <v>11</v>
      </c>
      <c r="G294" s="97" t="s">
        <v>161</v>
      </c>
      <c r="H294" s="39" t="str">
        <f>_xlfn.XLOOKUP(Tabela1[[#This Row],[Matrícula]],Equipe!B:B,Equipe!E:E,"ERRO",0)</f>
        <v>P80</v>
      </c>
      <c r="I294" s="39" t="str">
        <f>VLOOKUP(Tabela1[[#This Row],[Matrícula]],Equipe!B:F,5,0)</f>
        <v>Experiente</v>
      </c>
    </row>
    <row r="295" spans="1:9" ht="30" customHeight="1" thickBot="1">
      <c r="A295" s="85" t="s">
        <v>202</v>
      </c>
      <c r="B295" s="103">
        <f>_xlfn.XLOOKUP(A295,Equipe!H:H,Equipe!B:B,"",0)</f>
        <v>1385950</v>
      </c>
      <c r="C295" s="89">
        <v>46003</v>
      </c>
      <c r="D295" s="104">
        <f>IF(Tabela1[[#This Row],[Início]]&lt;&gt;"",C295+E295-1,"")</f>
        <v>46003</v>
      </c>
      <c r="E295" s="85">
        <v>1</v>
      </c>
      <c r="F295" s="85" t="s">
        <v>11</v>
      </c>
      <c r="G295" s="97" t="s">
        <v>203</v>
      </c>
      <c r="H295" s="39" t="str">
        <f>_xlfn.XLOOKUP(Tabela1[[#This Row],[Matrícula]],Equipe!B:B,Equipe!E:E,"ERRO",0)</f>
        <v>PBAC</v>
      </c>
      <c r="I295" s="39" t="str">
        <f>VLOOKUP(Tabela1[[#This Row],[Matrícula]],Equipe!B:F,5,0)</f>
        <v>Experiente</v>
      </c>
    </row>
    <row r="296" spans="1:9" ht="29.45" thickBot="1">
      <c r="A296" s="85" t="s">
        <v>221</v>
      </c>
      <c r="B296" s="103">
        <f>_xlfn.XLOOKUP(A296,Equipe!H:H,Equipe!B:B,"",0)</f>
        <v>2448533</v>
      </c>
      <c r="C296" s="89">
        <v>46003</v>
      </c>
      <c r="D296" s="104">
        <v>46003</v>
      </c>
      <c r="E296" s="85">
        <v>1</v>
      </c>
      <c r="F296" s="85" t="s">
        <v>11</v>
      </c>
      <c r="G296" s="97" t="s">
        <v>206</v>
      </c>
      <c r="H296" s="39" t="str">
        <f>_xlfn.XLOOKUP(Tabela1[[#This Row],[Matrícula]],Equipe!B:B,Equipe!E:E,"ERRO",0)</f>
        <v>PBAC</v>
      </c>
      <c r="I296" s="39" t="str">
        <f>VLOOKUP(Tabela1[[#This Row],[Matrícula]],Equipe!B:F,5,0)</f>
        <v>Experiente</v>
      </c>
    </row>
    <row r="297" spans="1:9" ht="30" customHeight="1" thickBot="1">
      <c r="A297" s="85" t="s">
        <v>27</v>
      </c>
      <c r="B297" s="103">
        <f>_xlfn.XLOOKUP(A297,Equipe!H:H,Equipe!B:B,"",0)</f>
        <v>2430855</v>
      </c>
      <c r="C297" s="89">
        <v>46006</v>
      </c>
      <c r="D297" s="104">
        <f>IF(Tabela1[[#This Row],[Início]]&lt;&gt;"",C297+E297-1,"")</f>
        <v>46010</v>
      </c>
      <c r="E297" s="85">
        <v>5</v>
      </c>
      <c r="F297" s="85" t="s">
        <v>17</v>
      </c>
      <c r="G297" s="97" t="s">
        <v>222</v>
      </c>
      <c r="H297" s="39" t="str">
        <f>_xlfn.XLOOKUP(Tabela1[[#This Row],[Matrícula]],Equipe!B:B,Equipe!E:E,"ERRO",0)</f>
        <v>PBAC</v>
      </c>
      <c r="I297" s="39" t="str">
        <f>VLOOKUP(Tabela1[[#This Row],[Matrícula]],Equipe!B:F,5,0)</f>
        <v>Experiente</v>
      </c>
    </row>
    <row r="298" spans="1:9" ht="30" customHeight="1" thickBot="1">
      <c r="A298" s="85" t="s">
        <v>103</v>
      </c>
      <c r="B298" s="103">
        <f>_xlfn.XLOOKUP(A298,Equipe!H:H,Equipe!B:B,"",0)</f>
        <v>4612192</v>
      </c>
      <c r="C298" s="89">
        <v>46008</v>
      </c>
      <c r="D298" s="104">
        <f>IF(Tabela1[[#This Row],[Início]]&lt;&gt;"",C298+E298-1,"")</f>
        <v>46021</v>
      </c>
      <c r="E298" s="85">
        <v>14</v>
      </c>
      <c r="F298" s="85" t="s">
        <v>15</v>
      </c>
      <c r="G298" s="97" t="s">
        <v>79</v>
      </c>
      <c r="H298" s="39" t="str">
        <f>_xlfn.XLOOKUP(Tabela1[[#This Row],[Matrícula]],Equipe!B:B,Equipe!E:E,"ERRO",0)</f>
        <v>P82</v>
      </c>
      <c r="I298" s="39" t="str">
        <f>VLOOKUP(Tabela1[[#This Row],[Matrícula]],Equipe!B:F,5,0)</f>
        <v>Novo</v>
      </c>
    </row>
    <row r="299" spans="1:9" ht="30" customHeight="1" thickBot="1">
      <c r="A299" s="85" t="s">
        <v>35</v>
      </c>
      <c r="B299" s="103">
        <f>_xlfn.XLOOKUP(A299,Equipe!H:H,Equipe!B:B,"",0)</f>
        <v>1385894</v>
      </c>
      <c r="C299" s="89">
        <v>46009</v>
      </c>
      <c r="D299" s="104">
        <f>IF(Tabela1[[#This Row],[Início]]&lt;&gt;"",C299+E299-1,"")</f>
        <v>46010</v>
      </c>
      <c r="E299" s="85">
        <v>2</v>
      </c>
      <c r="F299" s="85" t="s">
        <v>11</v>
      </c>
      <c r="G299" s="97" t="s">
        <v>161</v>
      </c>
      <c r="H299" s="39" t="str">
        <f>_xlfn.XLOOKUP(Tabela1[[#This Row],[Matrícula]],Equipe!B:B,Equipe!E:E,"ERRO",0)</f>
        <v>P80</v>
      </c>
      <c r="I299" s="39" t="str">
        <f>VLOOKUP(Tabela1[[#This Row],[Matrícula]],Equipe!B:F,5,0)</f>
        <v>Experiente</v>
      </c>
    </row>
    <row r="300" spans="1:9" ht="30.95" customHeight="1" thickBot="1">
      <c r="A300" s="85" t="s">
        <v>202</v>
      </c>
      <c r="B300" s="103">
        <f>_xlfn.XLOOKUP(A300,Equipe!H:H,Equipe!B:B,"",0)</f>
        <v>1385950</v>
      </c>
      <c r="C300" s="89">
        <v>46009</v>
      </c>
      <c r="D300" s="104">
        <f>IF(Tabela1[[#This Row],[Início]]&lt;&gt;"",C300+E300-1,"")</f>
        <v>46010</v>
      </c>
      <c r="E300" s="85">
        <v>2</v>
      </c>
      <c r="F300" s="85" t="s">
        <v>11</v>
      </c>
      <c r="G300" s="97" t="s">
        <v>203</v>
      </c>
      <c r="H300" s="39" t="str">
        <f>_xlfn.XLOOKUP(Tabela1[[#This Row],[Matrícula]],Equipe!B:B,Equipe!E:E,"ERRO",0)</f>
        <v>PBAC</v>
      </c>
      <c r="I300" s="39" t="str">
        <f>VLOOKUP(Tabela1[[#This Row],[Matrícula]],Equipe!B:F,5,0)</f>
        <v>Experiente</v>
      </c>
    </row>
    <row r="301" spans="1:9" ht="30" customHeight="1" thickBot="1">
      <c r="A301" s="85" t="s">
        <v>110</v>
      </c>
      <c r="B301" s="103">
        <f>_xlfn.XLOOKUP(A301,Equipe!H:H,Equipe!B:B,"",0)</f>
        <v>4612140</v>
      </c>
      <c r="C301" s="89">
        <v>46013</v>
      </c>
      <c r="D301" s="104">
        <f>IF(Tabela1[[#This Row],[Início]]&lt;&gt;"",C301+E301-1,"")</f>
        <v>46014</v>
      </c>
      <c r="E301" s="85">
        <v>2</v>
      </c>
      <c r="F301" s="85" t="s">
        <v>11</v>
      </c>
      <c r="G301" s="106" t="s">
        <v>145</v>
      </c>
      <c r="H301" s="39" t="str">
        <f>_xlfn.XLOOKUP(Tabela1[[#This Row],[Matrícula]],Equipe!B:B,Equipe!E:E,"ERRO",0)</f>
        <v>P83</v>
      </c>
      <c r="I301" s="39" t="str">
        <f>VLOOKUP(Tabela1[[#This Row],[Matrícula]],Equipe!B:F,5,0)</f>
        <v>Novo</v>
      </c>
    </row>
    <row r="302" spans="1:9" ht="30" customHeight="1" thickBot="1">
      <c r="A302" s="85" t="s">
        <v>102</v>
      </c>
      <c r="B302" s="103">
        <f>_xlfn.XLOOKUP(A302,Equipe!H:H,Equipe!B:B,"",0)</f>
        <v>4612243</v>
      </c>
      <c r="C302" s="89">
        <v>46014</v>
      </c>
      <c r="D302" s="104">
        <f>IF(Tabela1[[#This Row],[Início]]&lt;&gt;"",C302+E302-1,"")</f>
        <v>46049</v>
      </c>
      <c r="E302" s="85">
        <v>36</v>
      </c>
      <c r="F302" s="85" t="s">
        <v>11</v>
      </c>
      <c r="G302" s="97" t="s">
        <v>223</v>
      </c>
      <c r="H302" s="39" t="str">
        <f>_xlfn.XLOOKUP(Tabela1[[#This Row],[Matrícula]],Equipe!B:B,Equipe!E:E,"ERRO",0)</f>
        <v>P80</v>
      </c>
      <c r="I302" s="39" t="str">
        <f>VLOOKUP(Tabela1[[#This Row],[Matrícula]],Equipe!B:F,5,0)</f>
        <v>Novo</v>
      </c>
    </row>
    <row r="303" spans="1:9" ht="30" customHeight="1" thickBot="1">
      <c r="A303" s="85" t="s">
        <v>47</v>
      </c>
      <c r="B303" s="103">
        <f>_xlfn.XLOOKUP(A303,Equipe!H:H,Equipe!B:B,"",0)</f>
        <v>4608411</v>
      </c>
      <c r="C303" s="89">
        <v>46015</v>
      </c>
      <c r="D303" s="104">
        <f>IF(Tabela1[[#This Row],[Início]]&lt;&gt;"",C303+E303-1,"")</f>
        <v>46048</v>
      </c>
      <c r="E303" s="85">
        <v>34</v>
      </c>
      <c r="F303" s="85" t="s">
        <v>11</v>
      </c>
      <c r="G303" s="97" t="s">
        <v>224</v>
      </c>
      <c r="H303" s="39" t="str">
        <f>_xlfn.XLOOKUP(Tabela1[[#This Row],[Matrícula]],Equipe!B:B,Equipe!E:E,"ERRO",0)</f>
        <v>P83</v>
      </c>
      <c r="I303" s="39" t="str">
        <f>VLOOKUP(Tabela1[[#This Row],[Matrícula]],Equipe!B:F,5,0)</f>
        <v>Novo</v>
      </c>
    </row>
    <row r="304" spans="1:9" ht="30" customHeight="1" thickBot="1">
      <c r="A304" s="85" t="s">
        <v>22</v>
      </c>
      <c r="B304" s="103">
        <f>_xlfn.XLOOKUP(A304,Equipe!H:H,Equipe!B:B,"",0)</f>
        <v>4608389</v>
      </c>
      <c r="C304" s="89">
        <v>46015</v>
      </c>
      <c r="D304" s="104">
        <f>IF(Tabela1[[#This Row],[Início]]&lt;&gt;"",C304+E304-1,"")</f>
        <v>46028</v>
      </c>
      <c r="E304" s="85">
        <v>14</v>
      </c>
      <c r="F304" s="85" t="s">
        <v>15</v>
      </c>
      <c r="G304" s="97" t="s">
        <v>79</v>
      </c>
      <c r="H304" s="39" t="str">
        <f>_xlfn.XLOOKUP(Tabela1[[#This Row],[Matrícula]],Equipe!B:B,Equipe!E:E,"ERRO",0)</f>
        <v>P80</v>
      </c>
      <c r="I304" s="39" t="str">
        <f>VLOOKUP(Tabela1[[#This Row],[Matrícula]],Equipe!B:F,5,0)</f>
        <v>Novo</v>
      </c>
    </row>
    <row r="305" spans="1:9" ht="30" customHeight="1" thickBot="1">
      <c r="A305" s="94" t="s">
        <v>22</v>
      </c>
      <c r="B305" s="127">
        <v>4608389</v>
      </c>
      <c r="C305" s="95">
        <v>46029</v>
      </c>
      <c r="D305" s="126">
        <v>46057</v>
      </c>
      <c r="E305" s="94">
        <v>29</v>
      </c>
      <c r="F305" s="94" t="s">
        <v>11</v>
      </c>
      <c r="G305" s="97" t="s">
        <v>225</v>
      </c>
      <c r="H305" s="142" t="s">
        <v>226</v>
      </c>
      <c r="I305" s="142" t="s">
        <v>227</v>
      </c>
    </row>
    <row r="306" spans="1:9" ht="30" customHeight="1" thickBot="1">
      <c r="A306" s="85" t="s">
        <v>100</v>
      </c>
      <c r="B306" s="103">
        <f>_xlfn.XLOOKUP(A306,Equipe!H:H,Equipe!B:B,"",0)</f>
        <v>4612098</v>
      </c>
      <c r="C306" s="89">
        <v>46022</v>
      </c>
      <c r="D306" s="104">
        <v>46035</v>
      </c>
      <c r="E306" s="85">
        <v>14</v>
      </c>
      <c r="F306" s="85" t="s">
        <v>15</v>
      </c>
      <c r="G306" s="97" t="s">
        <v>54</v>
      </c>
      <c r="H306" s="39" t="str">
        <f>_xlfn.XLOOKUP(Tabela1[[#This Row],[Matrícula]],Equipe!B:B,Equipe!E:E,"ERRO",0)</f>
        <v>P80</v>
      </c>
      <c r="I306" s="39" t="str">
        <f>VLOOKUP(Tabela1[[#This Row],[Matrícula]],Equipe!B:F,5,0)</f>
        <v>Novo</v>
      </c>
    </row>
    <row r="307" spans="1:9" ht="30" customHeight="1" thickBot="1">
      <c r="A307" s="85" t="s">
        <v>103</v>
      </c>
      <c r="B307" s="103">
        <f>_xlfn.XLOOKUP(A307,Equipe!H:H,Equipe!B:B,"",0)</f>
        <v>4612192</v>
      </c>
      <c r="C307" s="89">
        <v>46022</v>
      </c>
      <c r="D307" s="104">
        <f>IF(Tabela1[[#This Row],[Início]]&lt;&gt;"",C307+E307-1,"")</f>
        <v>46041</v>
      </c>
      <c r="E307" s="85">
        <v>20</v>
      </c>
      <c r="F307" s="85" t="s">
        <v>11</v>
      </c>
      <c r="G307" s="97" t="s">
        <v>228</v>
      </c>
      <c r="H307" s="39" t="str">
        <f>_xlfn.XLOOKUP(Tabela1[[#This Row],[Matrícula]],Equipe!B:B,Equipe!E:E,"ERRO",0)</f>
        <v>P82</v>
      </c>
      <c r="I307" s="39" t="str">
        <f>VLOOKUP(Tabela1[[#This Row],[Matrícula]],Equipe!B:F,5,0)</f>
        <v>Novo</v>
      </c>
    </row>
    <row r="308" spans="1:9" ht="30" customHeight="1" thickBot="1">
      <c r="A308" s="85" t="s">
        <v>100</v>
      </c>
      <c r="B308" s="103">
        <f>_xlfn.XLOOKUP(A308,Equipe!H:H,Equipe!B:B,"",0)</f>
        <v>4612098</v>
      </c>
      <c r="C308" s="89">
        <v>46036</v>
      </c>
      <c r="D308" s="104">
        <v>46064</v>
      </c>
      <c r="E308" s="85">
        <v>29</v>
      </c>
      <c r="F308" s="85" t="s">
        <v>11</v>
      </c>
      <c r="G308" s="97" t="s">
        <v>194</v>
      </c>
      <c r="H308" s="39" t="str">
        <f>_xlfn.XLOOKUP(Tabela1[[#This Row],[Matrícula]],Equipe!B:B,Equipe!E:E,"ERRO",0)</f>
        <v>P80</v>
      </c>
      <c r="I308" s="39" t="str">
        <f>VLOOKUP(Tabela1[[#This Row],[Matrícula]],Equipe!B:F,5,0)</f>
        <v>Novo</v>
      </c>
    </row>
    <row r="309" spans="1:9" ht="30" customHeight="1" thickBot="1">
      <c r="A309" s="85"/>
      <c r="B309" s="103"/>
      <c r="C309" s="89"/>
      <c r="D309" s="104"/>
      <c r="E309" s="85"/>
      <c r="F309" s="85"/>
      <c r="G309" s="97"/>
      <c r="H309" s="142"/>
      <c r="I309" s="142"/>
    </row>
    <row r="310" spans="1:9" ht="30" customHeight="1" thickBot="1">
      <c r="A310" s="85" t="s">
        <v>28</v>
      </c>
      <c r="B310" s="103">
        <f>_xlfn.XLOOKUP(A310,Equipe!H:H,Equipe!B:B,"",0)</f>
        <v>1386344</v>
      </c>
      <c r="C310" s="89">
        <v>46055</v>
      </c>
      <c r="D310" s="104">
        <f>IF(Tabela1[[#This Row],[Início]]&lt;&gt;"",C310+E310-1,"")</f>
        <v>46077</v>
      </c>
      <c r="E310" s="85">
        <v>23</v>
      </c>
      <c r="F310" s="85" t="s">
        <v>11</v>
      </c>
      <c r="G310" s="97" t="s">
        <v>229</v>
      </c>
      <c r="H310" s="39" t="str">
        <f>_xlfn.XLOOKUP(Tabela1[[#This Row],[Matrícula]],Equipe!B:B,Equipe!E:E,"ERRO",0)</f>
        <v>P82</v>
      </c>
      <c r="I310" s="39" t="str">
        <f>VLOOKUP(Tabela1[[#This Row],[Matrícula]],Equipe!B:F,5,0)</f>
        <v>Experiente</v>
      </c>
    </row>
    <row r="311" spans="1:9" ht="30" customHeight="1" thickBot="1">
      <c r="A311" s="85" t="s">
        <v>103</v>
      </c>
      <c r="B311" s="103">
        <f>_xlfn.XLOOKUP(A311,Equipe!H:H,Equipe!B:B,"",0)</f>
        <v>4612192</v>
      </c>
      <c r="C311" s="89">
        <v>46043</v>
      </c>
      <c r="D311" s="104">
        <f>IF(Tabela1[[#This Row],[Início]]&lt;&gt;"",C311+E311-1,"")</f>
        <v>46045</v>
      </c>
      <c r="E311" s="85">
        <v>3</v>
      </c>
      <c r="F311" s="85" t="s">
        <v>17</v>
      </c>
      <c r="G311" s="97" t="s">
        <v>230</v>
      </c>
      <c r="H311" s="39" t="str">
        <f>_xlfn.XLOOKUP(Tabela1[[#This Row],[Matrícula]],Equipe!B:B,Equipe!E:E,"ERRO",0)</f>
        <v>P82</v>
      </c>
      <c r="I311" s="39" t="str">
        <f>VLOOKUP(Tabela1[[#This Row],[Matrícula]],Equipe!B:F,5,0)</f>
        <v>Novo</v>
      </c>
    </row>
    <row r="312" spans="1:9" ht="30" customHeight="1" thickBot="1">
      <c r="A312" s="85" t="s">
        <v>103</v>
      </c>
      <c r="B312" s="103">
        <f>_xlfn.XLOOKUP(A312,Equipe!H:H,Equipe!B:B,"",0)</f>
        <v>4612192</v>
      </c>
      <c r="C312" s="89">
        <v>46048</v>
      </c>
      <c r="D312" s="104">
        <f>IF(Tabela1[[#This Row],[Início]]&lt;&gt;"",C312+E312-1,"")</f>
        <v>46058</v>
      </c>
      <c r="E312" s="85">
        <v>11</v>
      </c>
      <c r="F312" s="85" t="s">
        <v>11</v>
      </c>
      <c r="G312" s="97" t="s">
        <v>231</v>
      </c>
      <c r="H312" s="39" t="str">
        <f>_xlfn.XLOOKUP(Tabela1[[#This Row],[Matrícula]],Equipe!B:B,Equipe!E:E,"ERRO",0)</f>
        <v>P82</v>
      </c>
      <c r="I312" s="39" t="str">
        <f>VLOOKUP(Tabela1[[#This Row],[Matrícula]],Equipe!B:F,5,0)</f>
        <v>Novo</v>
      </c>
    </row>
    <row r="313" spans="1:9" ht="30" customHeight="1" thickBot="1">
      <c r="A313" s="85" t="s">
        <v>105</v>
      </c>
      <c r="B313" s="103">
        <f>_xlfn.XLOOKUP(A313,Equipe!H:H,Equipe!B:B,"",0)</f>
        <v>4612126</v>
      </c>
      <c r="C313" s="89">
        <v>46000</v>
      </c>
      <c r="D313" s="104">
        <v>46013</v>
      </c>
      <c r="E313" s="85">
        <v>14</v>
      </c>
      <c r="F313" s="85" t="s">
        <v>15</v>
      </c>
      <c r="G313" s="97" t="s">
        <v>133</v>
      </c>
      <c r="H313" s="39" t="str">
        <f>_xlfn.XLOOKUP(Tabela1[[#This Row],[Matrícula]],Equipe!B:B,Equipe!E:E,"ERRO",0)</f>
        <v>P82</v>
      </c>
      <c r="I313" s="39" t="str">
        <f>VLOOKUP(Tabela1[[#This Row],[Matrícula]],Equipe!B:F,5,0)</f>
        <v>Novo</v>
      </c>
    </row>
    <row r="314" spans="1:9" ht="30" customHeight="1" thickBot="1">
      <c r="A314" s="85" t="s">
        <v>105</v>
      </c>
      <c r="B314" s="103">
        <f>_xlfn.XLOOKUP(A314,Equipe!H:H,Equipe!B:B,"",0)</f>
        <v>4612126</v>
      </c>
      <c r="C314" s="89">
        <v>46014</v>
      </c>
      <c r="D314" s="104">
        <v>46049</v>
      </c>
      <c r="E314" s="85">
        <v>21</v>
      </c>
      <c r="F314" s="85" t="s">
        <v>11</v>
      </c>
      <c r="G314" s="97" t="s">
        <v>232</v>
      </c>
      <c r="H314" s="39" t="str">
        <f>_xlfn.XLOOKUP(Tabela1[[#This Row],[Matrícula]],Equipe!B:B,Equipe!E:E,"ERRO",0)</f>
        <v>P82</v>
      </c>
      <c r="I314" s="39" t="str">
        <f>VLOOKUP(Tabela1[[#This Row],[Matrícula]],Equipe!B:F,5,0)</f>
        <v>Novo</v>
      </c>
    </row>
    <row r="315" spans="1:9" ht="30" customHeight="1" thickBot="1">
      <c r="A315" s="85" t="s">
        <v>162</v>
      </c>
      <c r="B315" s="103">
        <f>_xlfn.XLOOKUP(A315,Equipe!H:H,Equipe!B:B,"",0)</f>
        <v>2440812</v>
      </c>
      <c r="C315" s="89">
        <v>46368</v>
      </c>
      <c r="D315" s="104">
        <f>IF(Tabela1[[#This Row],[Início]]&lt;&gt;"",C315+E315-1,"")</f>
        <v>46368</v>
      </c>
      <c r="E315" s="85">
        <v>1</v>
      </c>
      <c r="F315" s="85" t="s">
        <v>11</v>
      </c>
      <c r="G315" s="97" t="s">
        <v>233</v>
      </c>
      <c r="H315" s="39" t="str">
        <f>_xlfn.XLOOKUP(Tabela1[[#This Row],[Matrícula]],Equipe!B:B,Equipe!E:E,"ERRO",0)</f>
        <v>P80</v>
      </c>
      <c r="I315" s="39" t="str">
        <f>VLOOKUP(Tabela1[[#This Row],[Matrícula]],Equipe!B:F,5,0)</f>
        <v>Experiente</v>
      </c>
    </row>
    <row r="316" spans="1:9" ht="30" customHeight="1" thickBot="1">
      <c r="A316" s="85" t="s">
        <v>234</v>
      </c>
      <c r="B316" s="103">
        <f>_xlfn.XLOOKUP(A316,Equipe!H:H,Equipe!B:B,"",0)</f>
        <v>2550195</v>
      </c>
      <c r="C316" s="89">
        <v>46027</v>
      </c>
      <c r="D316" s="104">
        <f>IF(Tabela1[[#This Row],[Início]]&lt;&gt;"",C316+E316-1,"")</f>
        <v>46056</v>
      </c>
      <c r="E316" s="85">
        <v>30</v>
      </c>
      <c r="F316" s="85" t="s">
        <v>24</v>
      </c>
      <c r="G316" s="97"/>
      <c r="H316" s="39" t="str">
        <f>_xlfn.XLOOKUP(Tabela1[[#This Row],[Matrícula]],Equipe!B:B,Equipe!E:E,"ERRO",0)</f>
        <v>P83</v>
      </c>
      <c r="I316" s="39" t="str">
        <f>VLOOKUP(Tabela1[[#This Row],[Matrícula]],Equipe!B:F,5,0)</f>
        <v>Experiente</v>
      </c>
    </row>
    <row r="317" spans="1:9" ht="30" customHeight="1" thickBot="1">
      <c r="A317" s="85" t="s">
        <v>10</v>
      </c>
      <c r="B317" s="103">
        <f>_xlfn.XLOOKUP(A317,Equipe!H:H,Equipe!B:B,"",0)</f>
        <v>9762281</v>
      </c>
      <c r="C317" s="89">
        <v>46118</v>
      </c>
      <c r="D317" s="104">
        <f>IF(Tabela1[[#This Row],[Início]]&lt;&gt;"",C317+E317-1,"")</f>
        <v>46127</v>
      </c>
      <c r="E317" s="85">
        <v>10</v>
      </c>
      <c r="F317" s="85" t="s">
        <v>24</v>
      </c>
      <c r="G317" s="97"/>
      <c r="H317" s="39" t="str">
        <f>_xlfn.XLOOKUP(Tabela1[[#This Row],[Matrícula]],Equipe!B:B,Equipe!E:E,"ERRO",0)</f>
        <v>P80</v>
      </c>
      <c r="I317" s="39" t="str">
        <f>VLOOKUP(Tabela1[[#This Row],[Matrícula]],Equipe!B:F,5,0)</f>
        <v>Experiente</v>
      </c>
    </row>
    <row r="318" spans="1:9" ht="30" customHeight="1" thickBot="1">
      <c r="A318" s="85" t="s">
        <v>10</v>
      </c>
      <c r="B318" s="103">
        <f>_xlfn.XLOOKUP(A318,Equipe!H:H,Equipe!B:B,"",0)</f>
        <v>9762281</v>
      </c>
      <c r="C318" s="89">
        <v>46216</v>
      </c>
      <c r="D318" s="104">
        <f>IF(Tabela1[[#This Row],[Início]]&lt;&gt;"",C318+E318-1,"")</f>
        <v>46235</v>
      </c>
      <c r="E318" s="85">
        <v>20</v>
      </c>
      <c r="F318" s="85" t="s">
        <v>24</v>
      </c>
      <c r="G318" s="97"/>
      <c r="H318" s="39" t="str">
        <f>_xlfn.XLOOKUP(Tabela1[[#This Row],[Matrícula]],Equipe!B:B,Equipe!E:E,"ERRO",0)</f>
        <v>P80</v>
      </c>
      <c r="I318" s="39" t="str">
        <f>VLOOKUP(Tabela1[[#This Row],[Matrícula]],Equipe!B:F,5,0)</f>
        <v>Experiente</v>
      </c>
    </row>
    <row r="319" spans="1:9" ht="30" customHeight="1" thickBot="1">
      <c r="A319" s="85" t="s">
        <v>45</v>
      </c>
      <c r="B319" s="103">
        <f>_xlfn.XLOOKUP(A319,Equipe!H:H,Equipe!B:B,"",0)</f>
        <v>4608780</v>
      </c>
      <c r="C319" s="89">
        <v>46034</v>
      </c>
      <c r="D319" s="104">
        <f>IF(Tabela1[[#This Row],[Início]]&lt;&gt;"",C319+E319-1,"")</f>
        <v>46063</v>
      </c>
      <c r="E319" s="85">
        <v>30</v>
      </c>
      <c r="F319" s="85" t="s">
        <v>24</v>
      </c>
      <c r="G319" s="97"/>
      <c r="H319" s="39" t="str">
        <f>_xlfn.XLOOKUP(Tabela1[[#This Row],[Matrícula]],Equipe!B:B,Equipe!E:E,"ERRO",0)</f>
        <v>P83</v>
      </c>
      <c r="I319" s="39" t="str">
        <f>VLOOKUP(Tabela1[[#This Row],[Matrícula]],Equipe!B:F,5,0)</f>
        <v>Novo</v>
      </c>
    </row>
    <row r="320" spans="1:9" ht="30" customHeight="1" thickBot="1">
      <c r="A320" s="85" t="s">
        <v>25</v>
      </c>
      <c r="B320" s="103">
        <f>_xlfn.XLOOKUP(A320,Equipe!H:H,Equipe!B:B,"",0)</f>
        <v>4608685</v>
      </c>
      <c r="C320" s="89">
        <v>46027</v>
      </c>
      <c r="D320" s="104">
        <f>IF(Tabela1[[#This Row],[Início]]&lt;&gt;"",C320+E320-1,"")</f>
        <v>46040</v>
      </c>
      <c r="E320" s="85">
        <v>14</v>
      </c>
      <c r="F320" s="85" t="s">
        <v>24</v>
      </c>
      <c r="G320" s="97"/>
      <c r="H320" s="39" t="str">
        <f>_xlfn.XLOOKUP(Tabela1[[#This Row],[Matrícula]],Equipe!B:B,Equipe!E:E,"ERRO",0)</f>
        <v>P80</v>
      </c>
      <c r="I320" s="39" t="str">
        <f>VLOOKUP(Tabela1[[#This Row],[Matrícula]],Equipe!B:F,5,0)</f>
        <v>Novo</v>
      </c>
    </row>
    <row r="321" spans="1:9" ht="30" customHeight="1" thickBot="1">
      <c r="A321" s="85" t="s">
        <v>25</v>
      </c>
      <c r="B321" s="103">
        <f>_xlfn.XLOOKUP(A321,Equipe!H:H,Equipe!B:B,"",0)</f>
        <v>4608685</v>
      </c>
      <c r="C321" s="89">
        <v>46195</v>
      </c>
      <c r="D321" s="104">
        <f>IF(Tabela1[[#This Row],[Início]]&lt;&gt;"",C321+E321-1,"")</f>
        <v>46210</v>
      </c>
      <c r="E321" s="85">
        <v>16</v>
      </c>
      <c r="F321" s="85" t="s">
        <v>24</v>
      </c>
      <c r="G321" s="97"/>
      <c r="H321" s="39" t="str">
        <f>_xlfn.XLOOKUP(Tabela1[[#This Row],[Matrícula]],Equipe!B:B,Equipe!E:E,"ERRO",0)</f>
        <v>P80</v>
      </c>
      <c r="I321" s="39" t="str">
        <f>VLOOKUP(Tabela1[[#This Row],[Matrícula]],Equipe!B:F,5,0)</f>
        <v>Novo</v>
      </c>
    </row>
    <row r="322" spans="1:9" ht="30" customHeight="1" thickBot="1">
      <c r="A322" s="85" t="s">
        <v>53</v>
      </c>
      <c r="B322" s="103">
        <f>_xlfn.XLOOKUP(A322,Equipe!H:H,Equipe!B:B,"",0)</f>
        <v>4608684</v>
      </c>
      <c r="C322" s="89">
        <v>46036</v>
      </c>
      <c r="D322" s="104">
        <f>IF(Tabela1[[#This Row],[Início]]&lt;&gt;"",C322+E322-1,"")</f>
        <v>46065</v>
      </c>
      <c r="E322" s="85">
        <v>30</v>
      </c>
      <c r="F322" s="85" t="s">
        <v>24</v>
      </c>
      <c r="G322" s="97"/>
      <c r="H322" s="39" t="str">
        <f>_xlfn.XLOOKUP(Tabela1[[#This Row],[Matrícula]],Equipe!B:B,Equipe!E:E,"ERRO",0)</f>
        <v>P82</v>
      </c>
      <c r="I322" s="39" t="str">
        <f>VLOOKUP(Tabela1[[#This Row],[Matrícula]],Equipe!B:F,5,0)</f>
        <v>Novo</v>
      </c>
    </row>
    <row r="323" spans="1:9" ht="30" customHeight="1" thickBot="1">
      <c r="A323" s="85" t="s">
        <v>221</v>
      </c>
      <c r="B323" s="103">
        <f>_xlfn.XLOOKUP(A323,Equipe!H:H,Equipe!B:B,"",0)</f>
        <v>2448533</v>
      </c>
      <c r="C323" s="89">
        <v>46010</v>
      </c>
      <c r="D323" s="104">
        <v>46010</v>
      </c>
      <c r="E323" s="85">
        <v>1</v>
      </c>
      <c r="F323" s="85" t="s">
        <v>11</v>
      </c>
      <c r="G323" s="97" t="s">
        <v>206</v>
      </c>
      <c r="H323" s="39" t="str">
        <f>_xlfn.XLOOKUP(Tabela1[[#This Row],[Matrícula]],Equipe!B:B,Equipe!E:E,"ERRO",0)</f>
        <v>PBAC</v>
      </c>
      <c r="I323" s="39" t="str">
        <f>VLOOKUP(Tabela1[[#This Row],[Matrícula]],Equipe!B:F,5,0)</f>
        <v>Experiente</v>
      </c>
    </row>
    <row r="324" spans="1:9" ht="30" customHeight="1" thickBot="1">
      <c r="A324" s="85" t="s">
        <v>235</v>
      </c>
      <c r="B324" s="103">
        <f>_xlfn.XLOOKUP(A324,Equipe!H:H,Equipe!B:B,"",0)</f>
        <v>9921954</v>
      </c>
      <c r="C324" s="89">
        <v>46010</v>
      </c>
      <c r="D324" s="104">
        <v>46010</v>
      </c>
      <c r="E324" s="85">
        <v>1</v>
      </c>
      <c r="F324" s="85" t="s">
        <v>11</v>
      </c>
      <c r="G324" s="97" t="s">
        <v>206</v>
      </c>
      <c r="H324" s="39" t="str">
        <f>_xlfn.XLOOKUP(Tabela1[[#This Row],[Matrícula]],Equipe!B:B,Equipe!E:E,"ERRO",0)</f>
        <v>PBAC</v>
      </c>
      <c r="I324" s="39" t="str">
        <f>VLOOKUP(Tabela1[[#This Row],[Matrícula]],Equipe!B:F,5,0)</f>
        <v>Experiente</v>
      </c>
    </row>
    <row r="325" spans="1:9" ht="30" customHeight="1" thickBot="1">
      <c r="A325" s="85" t="s">
        <v>221</v>
      </c>
      <c r="B325" s="103">
        <f>_xlfn.XLOOKUP(A325,Equipe!H:H,Equipe!B:B,"",0)</f>
        <v>2448533</v>
      </c>
      <c r="C325" s="89">
        <v>46014</v>
      </c>
      <c r="D325" s="104">
        <v>46014</v>
      </c>
      <c r="E325" s="85">
        <v>2</v>
      </c>
      <c r="F325" s="85" t="s">
        <v>11</v>
      </c>
      <c r="G325" s="97" t="s">
        <v>206</v>
      </c>
      <c r="H325" s="39" t="str">
        <f>_xlfn.XLOOKUP(Tabela1[[#This Row],[Matrícula]],Equipe!B:B,Equipe!E:E,"ERRO",0)</f>
        <v>PBAC</v>
      </c>
      <c r="I325" s="39" t="str">
        <f>VLOOKUP(Tabela1[[#This Row],[Matrícula]],Equipe!B:F,5,0)</f>
        <v>Experiente</v>
      </c>
    </row>
    <row r="326" spans="1:9" ht="30" customHeight="1" thickBot="1">
      <c r="A326" s="85"/>
      <c r="B326" s="103">
        <f>_xlfn.XLOOKUP(A326,Equipe!H:H,Equipe!B:B,"",0)</f>
        <v>0</v>
      </c>
      <c r="C326" s="89"/>
      <c r="D326" s="104"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c r="A327" s="85"/>
      <c r="B327" s="103">
        <f>_xlfn.XLOOKUP(A327,Equipe!H:H,Equipe!B:B,"",0)</f>
        <v>0</v>
      </c>
      <c r="C327" s="89"/>
      <c r="D327" s="104"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c r="A328" s="85"/>
      <c r="B328" s="103">
        <f>_xlfn.XLOOKUP(A328,Equipe!H:H,Equipe!B:B,"",0)</f>
        <v>0</v>
      </c>
      <c r="C328" s="89"/>
      <c r="D328" s="104"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c r="A329" s="85"/>
      <c r="B329" s="103">
        <f>_xlfn.XLOOKUP(A329,Equipe!H:H,Equipe!B:B,"",0)</f>
        <v>0</v>
      </c>
      <c r="C329" s="89"/>
      <c r="D329" s="104"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c r="A330" s="85"/>
      <c r="B330" s="103">
        <f>_xlfn.XLOOKUP(A330,Equipe!H:H,Equipe!B:B,"",0)</f>
        <v>0</v>
      </c>
      <c r="C330" s="89"/>
      <c r="D330" s="104"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c r="A331" s="85"/>
      <c r="B331" s="103">
        <f>_xlfn.XLOOKUP(A331,Equipe!H:H,Equipe!B:B,"",0)</f>
        <v>0</v>
      </c>
      <c r="C331" s="89"/>
      <c r="D331" s="104"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c r="A332" s="85"/>
      <c r="B332" s="103">
        <f>_xlfn.XLOOKUP(A332,Equipe!H:H,Equipe!B:B,"",0)</f>
        <v>0</v>
      </c>
      <c r="C332" s="89"/>
      <c r="D332" s="104"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c r="A333" s="85"/>
      <c r="B333" s="103">
        <f>_xlfn.XLOOKUP(A333,Equipe!H:H,Equipe!B:B,"",0)</f>
        <v>0</v>
      </c>
      <c r="C333" s="89"/>
      <c r="D333" s="104"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c r="A334" s="85"/>
      <c r="B334" s="103">
        <f>_xlfn.XLOOKUP(A334,Equipe!H:H,Equipe!B:B,"",0)</f>
        <v>0</v>
      </c>
      <c r="C334" s="89"/>
      <c r="D334" s="104"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c r="A335" s="85"/>
      <c r="B335" s="103">
        <f>_xlfn.XLOOKUP(A335,Equipe!H:H,Equipe!B:B,"",0)</f>
        <v>0</v>
      </c>
      <c r="C335" s="89"/>
      <c r="D335" s="104"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c r="A336" s="85"/>
      <c r="B336" s="103">
        <f>_xlfn.XLOOKUP(A336,Equipe!H:H,Equipe!B:B,"",0)</f>
        <v>0</v>
      </c>
      <c r="C336" s="89"/>
      <c r="D336" s="104"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c r="A337" s="85"/>
      <c r="B337" s="103">
        <f>_xlfn.XLOOKUP(A337,Equipe!H:H,Equipe!B:B,"",0)</f>
        <v>0</v>
      </c>
      <c r="C337" s="89"/>
      <c r="D337" s="104"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c r="A338" s="85"/>
      <c r="B338" s="103">
        <f>_xlfn.XLOOKUP(A338,Equipe!H:H,Equipe!B:B,"",0)</f>
        <v>0</v>
      </c>
      <c r="C338" s="89"/>
      <c r="D338" s="104"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c r="A339" s="85"/>
      <c r="B339" s="103">
        <f>_xlfn.XLOOKUP(A339,Equipe!H:H,Equipe!B:B,"",0)</f>
        <v>0</v>
      </c>
      <c r="C339" s="89"/>
      <c r="D339" s="104"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c r="A340" s="85"/>
      <c r="B340" s="103">
        <f>_xlfn.XLOOKUP(A340,Equipe!H:H,Equipe!B:B,"",0)</f>
        <v>0</v>
      </c>
      <c r="C340" s="89"/>
      <c r="D340" s="104"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c r="A341" s="85"/>
      <c r="B341" s="103">
        <f>_xlfn.XLOOKUP(A341,Equipe!H:H,Equipe!B:B,"",0)</f>
        <v>0</v>
      </c>
      <c r="C341" s="89"/>
      <c r="D341" s="104"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c r="A342" s="85"/>
      <c r="B342" s="103">
        <f>_xlfn.XLOOKUP(A342,Equipe!H:H,Equipe!B:B,"",0)</f>
        <v>0</v>
      </c>
      <c r="C342" s="89"/>
      <c r="D342" s="104"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c r="A343" s="85"/>
      <c r="B343" s="103">
        <f>_xlfn.XLOOKUP(A343,Equipe!H:H,Equipe!B:B,"",0)</f>
        <v>0</v>
      </c>
      <c r="C343" s="89"/>
      <c r="D343" s="104"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c r="A344" s="85"/>
      <c r="B344" s="103">
        <f>_xlfn.XLOOKUP(A344,Equipe!H:H,Equipe!B:B,"",0)</f>
        <v>0</v>
      </c>
      <c r="C344" s="89"/>
      <c r="D344" s="104"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c r="A345" s="85"/>
      <c r="B345" s="103">
        <f>_xlfn.XLOOKUP(A345,Equipe!H:H,Equipe!B:B,"",0)</f>
        <v>0</v>
      </c>
      <c r="C345" s="89"/>
      <c r="D345" s="104"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c r="A346" s="85"/>
      <c r="B346" s="103">
        <f>_xlfn.XLOOKUP(A346,Equipe!H:H,Equipe!B:B,"",0)</f>
        <v>0</v>
      </c>
      <c r="C346" s="89"/>
      <c r="D346" s="104"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c r="A347" s="85"/>
      <c r="B347" s="103">
        <f>_xlfn.XLOOKUP(A347,Equipe!H:H,Equipe!B:B,"",0)</f>
        <v>0</v>
      </c>
      <c r="C347" s="89"/>
      <c r="D347" s="104"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c r="A348" s="85"/>
      <c r="B348" s="103">
        <f>_xlfn.XLOOKUP(A348,Equipe!H:H,Equipe!B:B,"",0)</f>
        <v>0</v>
      </c>
      <c r="C348" s="89"/>
      <c r="D348" s="104"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c r="A349" s="85"/>
      <c r="B349" s="103">
        <f>_xlfn.XLOOKUP(A349,Equipe!H:H,Equipe!B:B,"",0)</f>
        <v>0</v>
      </c>
      <c r="C349" s="89"/>
      <c r="D349" s="104"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c r="A350" s="85"/>
      <c r="B350" s="103">
        <f>_xlfn.XLOOKUP(A350,Equipe!H:H,Equipe!B:B,"",0)</f>
        <v>0</v>
      </c>
      <c r="C350" s="89"/>
      <c r="D350" s="104"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c r="A351" s="85"/>
      <c r="B351" s="103">
        <f>_xlfn.XLOOKUP(A351,Equipe!H:H,Equipe!B:B,"",0)</f>
        <v>0</v>
      </c>
      <c r="C351" s="89"/>
      <c r="D351" s="104"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c r="A352" s="85"/>
      <c r="B352" s="103">
        <f>_xlfn.XLOOKUP(A352,Equipe!H:H,Equipe!B:B,"",0)</f>
        <v>0</v>
      </c>
      <c r="C352" s="89"/>
      <c r="D352" s="104"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c r="A353" s="85"/>
      <c r="B353" s="103">
        <f>_xlfn.XLOOKUP(A353,Equipe!H:H,Equipe!B:B,"",0)</f>
        <v>0</v>
      </c>
      <c r="C353" s="89"/>
      <c r="D353" s="104"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c r="A354" s="85"/>
      <c r="B354" s="103">
        <f>_xlfn.XLOOKUP(A354,Equipe!H:H,Equipe!B:B,"",0)</f>
        <v>0</v>
      </c>
      <c r="C354" s="89"/>
      <c r="D354" s="104"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c r="A355" s="85"/>
      <c r="B355" s="103">
        <f>_xlfn.XLOOKUP(A355,Equipe!H:H,Equipe!B:B,"",0)</f>
        <v>0</v>
      </c>
      <c r="C355" s="89"/>
      <c r="D355" s="104"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c r="A356" s="85"/>
      <c r="B356" s="103">
        <f>_xlfn.XLOOKUP(A356,Equipe!H:H,Equipe!B:B,"",0)</f>
        <v>0</v>
      </c>
      <c r="C356" s="89"/>
      <c r="D356" s="104"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c r="A357" s="85"/>
      <c r="B357" s="103">
        <f>_xlfn.XLOOKUP(A357,Equipe!H:H,Equipe!B:B,"",0)</f>
        <v>0</v>
      </c>
      <c r="C357" s="89"/>
      <c r="D357" s="104"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c r="A358" s="85"/>
      <c r="B358" s="103">
        <f>_xlfn.XLOOKUP(A358,Equipe!H:H,Equipe!B:B,"",0)</f>
        <v>0</v>
      </c>
      <c r="C358" s="89"/>
      <c r="D358" s="104"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c r="A359" s="85"/>
      <c r="B359" s="103">
        <f>_xlfn.XLOOKUP(A359,Equipe!H:H,Equipe!B:B,"",0)</f>
        <v>0</v>
      </c>
      <c r="C359" s="89"/>
      <c r="D359" s="104"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c r="A360" s="85"/>
      <c r="B360" s="103">
        <f>_xlfn.XLOOKUP(A360,Equipe!H:H,Equipe!B:B,"",0)</f>
        <v>0</v>
      </c>
      <c r="C360" s="89"/>
      <c r="D360" s="104"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c r="A361" s="85"/>
      <c r="B361" s="103">
        <f>_xlfn.XLOOKUP(A361,Equipe!H:H,Equipe!B:B,"",0)</f>
        <v>0</v>
      </c>
      <c r="C361" s="89"/>
      <c r="D361" s="104"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c r="A362" s="85"/>
      <c r="B362" s="103">
        <f>_xlfn.XLOOKUP(A362,Equipe!H:H,Equipe!B:B,"",0)</f>
        <v>0</v>
      </c>
      <c r="C362" s="89"/>
      <c r="D362" s="104"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c r="A363" s="85"/>
      <c r="B363" s="103">
        <f>_xlfn.XLOOKUP(A363,Equipe!H:H,Equipe!B:B,"",0)</f>
        <v>0</v>
      </c>
      <c r="C363" s="89"/>
      <c r="D363" s="104"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c r="A364" s="85"/>
      <c r="B364" s="103">
        <f>_xlfn.XLOOKUP(A364,Equipe!H:H,Equipe!B:B,"",0)</f>
        <v>0</v>
      </c>
      <c r="C364" s="89"/>
      <c r="D364" s="104"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c r="A365" s="85"/>
      <c r="B365" s="103">
        <f>_xlfn.XLOOKUP(A365,Equipe!H:H,Equipe!B:B,"",0)</f>
        <v>0</v>
      </c>
      <c r="C365" s="89"/>
      <c r="D365" s="104"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c r="A366" s="85"/>
      <c r="B366" s="103">
        <f>_xlfn.XLOOKUP(A366,Equipe!H:H,Equipe!B:B,"",0)</f>
        <v>0</v>
      </c>
      <c r="C366" s="89"/>
      <c r="D366" s="104"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c r="A367" s="85"/>
      <c r="B367" s="103">
        <f>_xlfn.XLOOKUP(A367,Equipe!H:H,Equipe!B:B,"",0)</f>
        <v>0</v>
      </c>
      <c r="C367" s="89"/>
      <c r="D367" s="104"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c r="A368" s="85"/>
      <c r="B368" s="103">
        <f>_xlfn.XLOOKUP(A368,Equipe!H:H,Equipe!B:B,"",0)</f>
        <v>0</v>
      </c>
      <c r="C368" s="89"/>
      <c r="D368" s="104"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c r="A369" s="85"/>
      <c r="B369" s="103">
        <f>_xlfn.XLOOKUP(A369,Equipe!H:H,Equipe!B:B,"",0)</f>
        <v>0</v>
      </c>
      <c r="C369" s="89"/>
      <c r="D369" s="104"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c r="A370" s="85"/>
      <c r="B370" s="103">
        <f>_xlfn.XLOOKUP(A370,Equipe!H:H,Equipe!B:B,"",0)</f>
        <v>0</v>
      </c>
      <c r="C370" s="89"/>
      <c r="D370" s="104"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c r="A371" s="85"/>
      <c r="B371" s="103">
        <f>_xlfn.XLOOKUP(A371,Equipe!H:H,Equipe!B:B,"",0)</f>
        <v>0</v>
      </c>
      <c r="C371" s="89"/>
      <c r="D371" s="104"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c r="A372" s="85"/>
      <c r="B372" s="103">
        <f>_xlfn.XLOOKUP(A372,Equipe!H:H,Equipe!B:B,"",0)</f>
        <v>0</v>
      </c>
      <c r="C372" s="89"/>
      <c r="D372" s="104"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c r="A373" s="85"/>
      <c r="B373" s="103">
        <f>_xlfn.XLOOKUP(A373,Equipe!H:H,Equipe!B:B,"",0)</f>
        <v>0</v>
      </c>
      <c r="C373" s="89"/>
      <c r="D373" s="104"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c r="A374" s="85"/>
      <c r="B374" s="103">
        <f>_xlfn.XLOOKUP(A374,Equipe!H:H,Equipe!B:B,"",0)</f>
        <v>0</v>
      </c>
      <c r="C374" s="89"/>
      <c r="D374" s="104"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c r="A375" s="85"/>
      <c r="B375" s="103">
        <f>_xlfn.XLOOKUP(A375,Equipe!H:H,Equipe!B:B,"",0)</f>
        <v>0</v>
      </c>
      <c r="C375" s="89"/>
      <c r="D375" s="104"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c r="A376" s="85"/>
      <c r="B376" s="103">
        <f>_xlfn.XLOOKUP(A376,Equipe!H:H,Equipe!B:B,"",0)</f>
        <v>0</v>
      </c>
      <c r="C376" s="89"/>
      <c r="D376" s="104"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c r="A377" s="85"/>
      <c r="B377" s="103">
        <f>_xlfn.XLOOKUP(A377,Equipe!H:H,Equipe!B:B,"",0)</f>
        <v>0</v>
      </c>
      <c r="C377" s="89"/>
      <c r="D377" s="104"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c r="A378" s="85"/>
      <c r="B378" s="103">
        <f>_xlfn.XLOOKUP(A378,Equipe!H:H,Equipe!B:B,"",0)</f>
        <v>0</v>
      </c>
      <c r="C378" s="89"/>
      <c r="D378" s="104"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c r="A379" s="85"/>
      <c r="B379" s="103">
        <f>_xlfn.XLOOKUP(A379,Equipe!H:H,Equipe!B:B,"",0)</f>
        <v>0</v>
      </c>
      <c r="C379" s="89"/>
      <c r="D379" s="104"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c r="A380" s="85"/>
      <c r="B380" s="103">
        <f>_xlfn.XLOOKUP(A380,Equipe!H:H,Equipe!B:B,"",0)</f>
        <v>0</v>
      </c>
      <c r="C380" s="89"/>
      <c r="D380" s="104"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c r="A381" s="85"/>
      <c r="B381" s="103">
        <f>_xlfn.XLOOKUP(A381,Equipe!H:H,Equipe!B:B,"",0)</f>
        <v>0</v>
      </c>
      <c r="C381" s="89"/>
      <c r="D381" s="104"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c r="A382" s="85"/>
      <c r="B382" s="103">
        <f>_xlfn.XLOOKUP(A382,Equipe!H:H,Equipe!B:B,"",0)</f>
        <v>0</v>
      </c>
      <c r="C382" s="89"/>
      <c r="D382" s="104"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c r="A383" s="85"/>
      <c r="B383" s="103">
        <f>_xlfn.XLOOKUP(A383,Equipe!H:H,Equipe!B:B,"",0)</f>
        <v>0</v>
      </c>
      <c r="C383" s="89"/>
      <c r="D383" s="104"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c r="A384" s="85"/>
      <c r="B384" s="103">
        <f>_xlfn.XLOOKUP(A384,Equipe!H:H,Equipe!B:B,"",0)</f>
        <v>0</v>
      </c>
      <c r="C384" s="89"/>
      <c r="D384" s="104"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c r="A385" s="85"/>
      <c r="B385" s="103">
        <f>_xlfn.XLOOKUP(A385,Equipe!H:H,Equipe!B:B,"",0)</f>
        <v>0</v>
      </c>
      <c r="C385" s="89"/>
      <c r="D385" s="104"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c r="A386" s="85"/>
      <c r="B386" s="103">
        <f>_xlfn.XLOOKUP(A386,Equipe!H:H,Equipe!B:B,"",0)</f>
        <v>0</v>
      </c>
      <c r="C386" s="89"/>
      <c r="D386" s="104"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c r="A387" s="85"/>
      <c r="B387" s="103">
        <f>_xlfn.XLOOKUP(A387,Equipe!H:H,Equipe!B:B,"",0)</f>
        <v>0</v>
      </c>
      <c r="C387" s="89"/>
      <c r="D387" s="104"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c r="A388" s="85"/>
      <c r="B388" s="103">
        <f>_xlfn.XLOOKUP(A388,Equipe!H:H,Equipe!B:B,"",0)</f>
        <v>0</v>
      </c>
      <c r="C388" s="89"/>
      <c r="D388" s="104"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c r="A389" s="85"/>
      <c r="B389" s="103">
        <f>_xlfn.XLOOKUP(A389,Equipe!H:H,Equipe!B:B,"",0)</f>
        <v>0</v>
      </c>
      <c r="C389" s="89"/>
      <c r="D389" s="104"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c r="A390" s="85"/>
      <c r="B390" s="103">
        <f>_xlfn.XLOOKUP(A390,Equipe!H:H,Equipe!B:B,"",0)</f>
        <v>0</v>
      </c>
      <c r="C390" s="89"/>
      <c r="D390" s="104"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c r="A391" s="85"/>
      <c r="B391" s="103">
        <f>_xlfn.XLOOKUP(A391,Equipe!H:H,Equipe!B:B,"",0)</f>
        <v>0</v>
      </c>
      <c r="C391" s="89"/>
      <c r="D391" s="104"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c r="A392" s="85"/>
      <c r="B392" s="103">
        <f>_xlfn.XLOOKUP(A392,Equipe!H:H,Equipe!B:B,"",0)</f>
        <v>0</v>
      </c>
      <c r="C392" s="89"/>
      <c r="D392" s="104"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c r="A393" s="85"/>
      <c r="B393" s="103">
        <f>_xlfn.XLOOKUP(A393,Equipe!H:H,Equipe!B:B,"",0)</f>
        <v>0</v>
      </c>
      <c r="C393" s="89"/>
      <c r="D393" s="104"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c r="A394" s="85"/>
      <c r="B394" s="103">
        <f>_xlfn.XLOOKUP(A394,Equipe!H:H,Equipe!B:B,"",0)</f>
        <v>0</v>
      </c>
      <c r="C394" s="89"/>
      <c r="D394" s="104"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c r="A395" s="85"/>
      <c r="B395" s="103">
        <f>_xlfn.XLOOKUP(A395,Equipe!H:H,Equipe!B:B,"",0)</f>
        <v>0</v>
      </c>
      <c r="C395" s="89"/>
      <c r="D395" s="104"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c r="A396" s="85"/>
      <c r="B396" s="103">
        <f>_xlfn.XLOOKUP(A396,Equipe!H:H,Equipe!B:B,"",0)</f>
        <v>0</v>
      </c>
      <c r="C396" s="89"/>
      <c r="D396" s="104"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c r="A397" s="85"/>
      <c r="B397" s="103">
        <f>_xlfn.XLOOKUP(A397,Equipe!H:H,Equipe!B:B,"",0)</f>
        <v>0</v>
      </c>
      <c r="C397" s="89"/>
      <c r="D397" s="104"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c r="A398" s="85"/>
      <c r="B398" s="103">
        <f>_xlfn.XLOOKUP(A398,Equipe!H:H,Equipe!B:B,"",0)</f>
        <v>0</v>
      </c>
      <c r="C398" s="89"/>
      <c r="D398" s="104"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c r="A399" s="85"/>
      <c r="B399" s="103">
        <f>_xlfn.XLOOKUP(A399,Equipe!H:H,Equipe!B:B,"",0)</f>
        <v>0</v>
      </c>
      <c r="C399" s="89"/>
      <c r="D399" s="104"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c r="A400" s="85"/>
      <c r="B400" s="103">
        <f>_xlfn.XLOOKUP(A400,Equipe!H:H,Equipe!B:B,"",0)</f>
        <v>0</v>
      </c>
      <c r="C400" s="89"/>
      <c r="D400" s="104"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c r="A401" s="85"/>
      <c r="B401" s="103">
        <f>_xlfn.XLOOKUP(A401,Equipe!H:H,Equipe!B:B,"",0)</f>
        <v>0</v>
      </c>
      <c r="C401" s="89"/>
      <c r="D401" s="104"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c r="A402" s="85"/>
      <c r="B402" s="103">
        <f>_xlfn.XLOOKUP(A402,Equipe!H:H,Equipe!B:B,"",0)</f>
        <v>0</v>
      </c>
      <c r="C402" s="89"/>
      <c r="D402" s="104"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c r="A403" s="85"/>
      <c r="B403" s="103">
        <f>_xlfn.XLOOKUP(A403,Equipe!H:H,Equipe!B:B,"",0)</f>
        <v>0</v>
      </c>
      <c r="C403" s="89"/>
      <c r="D403" s="104"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c r="A404" s="85"/>
      <c r="B404" s="103">
        <f>_xlfn.XLOOKUP(A404,Equipe!H:H,Equipe!B:B,"",0)</f>
        <v>0</v>
      </c>
      <c r="C404" s="89"/>
      <c r="D404" s="104"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c r="A405" s="85"/>
      <c r="B405" s="103">
        <f>_xlfn.XLOOKUP(A405,Equipe!H:H,Equipe!B:B,"",0)</f>
        <v>0</v>
      </c>
      <c r="C405" s="89"/>
      <c r="D405" s="104"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c r="A406" s="85"/>
      <c r="B406" s="103">
        <f>_xlfn.XLOOKUP(A406,Equipe!H:H,Equipe!B:B,"",0)</f>
        <v>0</v>
      </c>
      <c r="C406" s="89"/>
      <c r="D406" s="104"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c r="A407" s="85"/>
      <c r="B407" s="103">
        <f>_xlfn.XLOOKUP(A407,Equipe!H:H,Equipe!B:B,"",0)</f>
        <v>0</v>
      </c>
      <c r="C407" s="89"/>
      <c r="D407" s="104"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c r="A408" s="85"/>
      <c r="B408" s="103">
        <f>_xlfn.XLOOKUP(A408,Equipe!H:H,Equipe!B:B,"",0)</f>
        <v>0</v>
      </c>
      <c r="C408" s="89"/>
      <c r="D408" s="104"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c r="A409" s="85"/>
      <c r="B409" s="103">
        <f>_xlfn.XLOOKUP(A409,Equipe!H:H,Equipe!B:B,"",0)</f>
        <v>0</v>
      </c>
      <c r="C409" s="89"/>
      <c r="D409" s="104"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c r="A410" s="85"/>
      <c r="B410" s="103">
        <f>_xlfn.XLOOKUP(A410,Equipe!H:H,Equipe!B:B,"",0)</f>
        <v>0</v>
      </c>
      <c r="C410" s="89"/>
      <c r="D410" s="104"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c r="A411" s="85"/>
      <c r="B411" s="103">
        <f>_xlfn.XLOOKUP(A411,Equipe!H:H,Equipe!B:B,"",0)</f>
        <v>0</v>
      </c>
      <c r="C411" s="89"/>
      <c r="D411" s="104"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c r="A412" s="85"/>
      <c r="B412" s="103">
        <f>_xlfn.XLOOKUP(A412,Equipe!H:H,Equipe!B:B,"",0)</f>
        <v>0</v>
      </c>
      <c r="C412" s="89"/>
      <c r="D412" s="104"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c r="A413" s="85"/>
      <c r="B413" s="103">
        <f>_xlfn.XLOOKUP(A413,Equipe!H:H,Equipe!B:B,"",0)</f>
        <v>0</v>
      </c>
      <c r="C413" s="89"/>
      <c r="D413" s="104"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c r="A414" s="85"/>
      <c r="B414" s="103">
        <f>_xlfn.XLOOKUP(A414,Equipe!H:H,Equipe!B:B,"",0)</f>
        <v>0</v>
      </c>
      <c r="C414" s="89"/>
      <c r="D414" s="104"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c r="A415" s="85"/>
      <c r="B415" s="103">
        <f>_xlfn.XLOOKUP(A415,Equipe!H:H,Equipe!B:B,"",0)</f>
        <v>0</v>
      </c>
      <c r="C415" s="89"/>
      <c r="D415" s="104"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c r="A416" s="85"/>
      <c r="B416" s="103">
        <f>_xlfn.XLOOKUP(A416,Equipe!H:H,Equipe!B:B,"",0)</f>
        <v>0</v>
      </c>
      <c r="C416" s="89"/>
      <c r="D416" s="104"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c r="A417" s="85"/>
      <c r="B417" s="103">
        <f>_xlfn.XLOOKUP(A417,Equipe!H:H,Equipe!B:B,"",0)</f>
        <v>0</v>
      </c>
      <c r="C417" s="89"/>
      <c r="D417" s="104"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c r="A418" s="85"/>
      <c r="B418" s="103">
        <f>_xlfn.XLOOKUP(A418,Equipe!H:H,Equipe!B:B,"",0)</f>
        <v>0</v>
      </c>
      <c r="C418" s="89"/>
      <c r="D418" s="104"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c r="A419" s="85"/>
      <c r="B419" s="103">
        <f>_xlfn.XLOOKUP(A419,Equipe!H:H,Equipe!B:B,"",0)</f>
        <v>0</v>
      </c>
      <c r="C419" s="89"/>
      <c r="D419" s="104"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c r="A420" s="85"/>
      <c r="B420" s="103">
        <f>_xlfn.XLOOKUP(A420,Equipe!H:H,Equipe!B:B,"",0)</f>
        <v>0</v>
      </c>
      <c r="C420" s="89"/>
      <c r="D420" s="104"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c r="A421" s="85"/>
      <c r="B421" s="103">
        <f>_xlfn.XLOOKUP(A421,Equipe!H:H,Equipe!B:B,"",0)</f>
        <v>0</v>
      </c>
      <c r="C421" s="89"/>
      <c r="D421" s="104"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c r="A422" s="85"/>
      <c r="B422" s="103">
        <f>_xlfn.XLOOKUP(A422,Equipe!H:H,Equipe!B:B,"",0)</f>
        <v>0</v>
      </c>
      <c r="C422" s="89"/>
      <c r="D422" s="104"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c r="A423" s="85"/>
      <c r="B423" s="103">
        <f>_xlfn.XLOOKUP(A423,Equipe!H:H,Equipe!B:B,"",0)</f>
        <v>0</v>
      </c>
      <c r="C423" s="89"/>
      <c r="D423" s="104"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c r="A424" s="85"/>
      <c r="B424" s="103">
        <f>_xlfn.XLOOKUP(A424,Equipe!H:H,Equipe!B:B,"",0)</f>
        <v>0</v>
      </c>
      <c r="C424" s="89"/>
      <c r="D424" s="104"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c r="A425" s="85"/>
      <c r="B425" s="103">
        <f>_xlfn.XLOOKUP(A425,Equipe!H:H,Equipe!B:B,"",0)</f>
        <v>0</v>
      </c>
      <c r="C425" s="89"/>
      <c r="D425" s="104"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c r="A426" s="85"/>
      <c r="B426" s="103">
        <f>_xlfn.XLOOKUP(A426,Equipe!H:H,Equipe!B:B,"",0)</f>
        <v>0</v>
      </c>
      <c r="C426" s="89"/>
      <c r="D426" s="104"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c r="A427" s="85"/>
      <c r="B427" s="103">
        <f>_xlfn.XLOOKUP(A427,Equipe!H:H,Equipe!B:B,"",0)</f>
        <v>0</v>
      </c>
      <c r="C427" s="89"/>
      <c r="D427" s="104"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c r="A428" s="85"/>
      <c r="B428" s="103">
        <f>_xlfn.XLOOKUP(A428,Equipe!H:H,Equipe!B:B,"",0)</f>
        <v>0</v>
      </c>
      <c r="C428" s="89"/>
      <c r="D428" s="104"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c r="A429" s="85"/>
      <c r="B429" s="103">
        <f>_xlfn.XLOOKUP(A429,Equipe!H:H,Equipe!B:B,"",0)</f>
        <v>0</v>
      </c>
      <c r="C429" s="89"/>
      <c r="D429" s="104"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c r="A430" s="85"/>
      <c r="B430" s="103">
        <f>_xlfn.XLOOKUP(A430,Equipe!H:H,Equipe!B:B,"",0)</f>
        <v>0</v>
      </c>
      <c r="C430" s="89"/>
      <c r="D430" s="104"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c r="A431" s="85"/>
      <c r="B431" s="103">
        <f>_xlfn.XLOOKUP(A431,Equipe!H:H,Equipe!B:B,"",0)</f>
        <v>0</v>
      </c>
      <c r="C431" s="89"/>
      <c r="D431" s="104"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c r="A432" s="85"/>
      <c r="B432" s="103">
        <f>_xlfn.XLOOKUP(A432,Equipe!H:H,Equipe!B:B,"",0)</f>
        <v>0</v>
      </c>
      <c r="C432" s="89"/>
      <c r="D432" s="104"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c r="A433" s="85"/>
      <c r="B433" s="103">
        <f>_xlfn.XLOOKUP(A433,Equipe!H:H,Equipe!B:B,"",0)</f>
        <v>0</v>
      </c>
      <c r="C433" s="89"/>
      <c r="D433" s="104"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c r="A434" s="85"/>
      <c r="B434" s="103">
        <f>_xlfn.XLOOKUP(A434,Equipe!H:H,Equipe!B:B,"",0)</f>
        <v>0</v>
      </c>
      <c r="C434" s="89"/>
      <c r="D434" s="104"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c r="A435" s="85"/>
      <c r="B435" s="103">
        <f>_xlfn.XLOOKUP(A435,Equipe!H:H,Equipe!B:B,"",0)</f>
        <v>0</v>
      </c>
      <c r="C435" s="89"/>
      <c r="D435" s="104"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c r="A436" s="85"/>
      <c r="B436" s="103">
        <f>_xlfn.XLOOKUP(A436,Equipe!H:H,Equipe!B:B,"",0)</f>
        <v>0</v>
      </c>
      <c r="C436" s="89"/>
      <c r="D436" s="104"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c r="A437" s="85"/>
      <c r="B437" s="103">
        <f>_xlfn.XLOOKUP(A437,Equipe!H:H,Equipe!B:B,"",0)</f>
        <v>0</v>
      </c>
      <c r="C437" s="89"/>
      <c r="D437" s="104"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c r="A438" s="85"/>
      <c r="B438" s="103">
        <f>_xlfn.XLOOKUP(A438,Equipe!H:H,Equipe!B:B,"",0)</f>
        <v>0</v>
      </c>
      <c r="C438" s="89"/>
      <c r="D438" s="104"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c r="A439" s="85"/>
      <c r="B439" s="103">
        <f>_xlfn.XLOOKUP(A439,Equipe!H:H,Equipe!B:B,"",0)</f>
        <v>0</v>
      </c>
      <c r="C439" s="89"/>
      <c r="D439" s="104"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c r="A440" s="85"/>
      <c r="B440" s="103">
        <f>_xlfn.XLOOKUP(A440,Equipe!H:H,Equipe!B:B,"",0)</f>
        <v>0</v>
      </c>
      <c r="C440" s="89"/>
      <c r="D440" s="104"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c r="A441" s="85"/>
      <c r="B441" s="103">
        <f>_xlfn.XLOOKUP(A441,Equipe!H:H,Equipe!B:B,"",0)</f>
        <v>0</v>
      </c>
      <c r="C441" s="89"/>
      <c r="D441" s="104"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c r="A442" s="85"/>
      <c r="B442" s="103">
        <f>_xlfn.XLOOKUP(A442,Equipe!H:H,Equipe!B:B,"",0)</f>
        <v>0</v>
      </c>
      <c r="C442" s="89"/>
      <c r="D442" s="104"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c r="A443" s="85"/>
      <c r="B443" s="103">
        <f>_xlfn.XLOOKUP(A443,Equipe!H:H,Equipe!B:B,"",0)</f>
        <v>0</v>
      </c>
      <c r="C443" s="89"/>
      <c r="D443" s="104"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c r="A444" s="85"/>
      <c r="B444" s="103">
        <f>_xlfn.XLOOKUP(A444,Equipe!H:H,Equipe!B:B,"",0)</f>
        <v>0</v>
      </c>
      <c r="C444" s="89"/>
      <c r="D444" s="104"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c r="A445" s="85"/>
      <c r="B445" s="103">
        <f>_xlfn.XLOOKUP(A445,Equipe!H:H,Equipe!B:B,"",0)</f>
        <v>0</v>
      </c>
      <c r="C445" s="89"/>
      <c r="D445" s="104"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c r="A446" s="85"/>
      <c r="B446" s="103">
        <f>_xlfn.XLOOKUP(A446,Equipe!H:H,Equipe!B:B,"",0)</f>
        <v>0</v>
      </c>
      <c r="C446" s="89"/>
      <c r="D446" s="104"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c r="A447" s="85"/>
      <c r="B447" s="103">
        <f>_xlfn.XLOOKUP(A447,Equipe!H:H,Equipe!B:B,"",0)</f>
        <v>0</v>
      </c>
      <c r="C447" s="89"/>
      <c r="D447" s="104"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c r="A448" s="85"/>
      <c r="B448" s="103">
        <f>_xlfn.XLOOKUP(A448,Equipe!H:H,Equipe!B:B,"",0)</f>
        <v>0</v>
      </c>
      <c r="C448" s="89"/>
      <c r="D448" s="104"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c r="A449" s="85"/>
      <c r="B449" s="103">
        <f>_xlfn.XLOOKUP(A449,Equipe!H:H,Equipe!B:B,"",0)</f>
        <v>0</v>
      </c>
      <c r="C449" s="89"/>
      <c r="D449" s="104"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c r="A450" s="85"/>
      <c r="B450" s="103">
        <f>_xlfn.XLOOKUP(A450,Equipe!H:H,Equipe!B:B,"",0)</f>
        <v>0</v>
      </c>
      <c r="C450" s="89"/>
      <c r="D450" s="104"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c r="A451" s="85"/>
      <c r="B451" s="103">
        <f>_xlfn.XLOOKUP(A451,Equipe!H:H,Equipe!B:B,"",0)</f>
        <v>0</v>
      </c>
      <c r="C451" s="89"/>
      <c r="D451" s="104"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c r="A452" s="85"/>
      <c r="B452" s="103">
        <f>_xlfn.XLOOKUP(A452,Equipe!H:H,Equipe!B:B,"",0)</f>
        <v>0</v>
      </c>
      <c r="C452" s="89"/>
      <c r="D452" s="104"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c r="A453" s="85"/>
      <c r="B453" s="103">
        <f>_xlfn.XLOOKUP(A453,Equipe!H:H,Equipe!B:B,"",0)</f>
        <v>0</v>
      </c>
      <c r="C453" s="89"/>
      <c r="D453" s="104"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c r="A454" s="85"/>
      <c r="B454" s="103">
        <f>_xlfn.XLOOKUP(A454,Equipe!H:H,Equipe!B:B,"",0)</f>
        <v>0</v>
      </c>
      <c r="C454" s="89"/>
      <c r="D454" s="104"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c r="A455" s="85"/>
      <c r="B455" s="103">
        <f>_xlfn.XLOOKUP(A455,Equipe!H:H,Equipe!B:B,"",0)</f>
        <v>0</v>
      </c>
      <c r="C455" s="89"/>
      <c r="D455" s="104"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c r="A456" s="85"/>
      <c r="B456" s="103">
        <f>_xlfn.XLOOKUP(A456,Equipe!H:H,Equipe!B:B,"",0)</f>
        <v>0</v>
      </c>
      <c r="C456" s="89"/>
      <c r="D456" s="104"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c r="A457" s="85"/>
      <c r="B457" s="103">
        <f>_xlfn.XLOOKUP(A457,Equipe!H:H,Equipe!B:B,"",0)</f>
        <v>0</v>
      </c>
      <c r="C457" s="89"/>
      <c r="D457" s="104"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c r="A458" s="85"/>
      <c r="B458" s="103">
        <f>_xlfn.XLOOKUP(A458,Equipe!H:H,Equipe!B:B,"",0)</f>
        <v>0</v>
      </c>
      <c r="C458" s="89"/>
      <c r="D458" s="104"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c r="A459" s="85"/>
      <c r="B459" s="103">
        <f>_xlfn.XLOOKUP(A459,Equipe!H:H,Equipe!B:B,"",0)</f>
        <v>0</v>
      </c>
      <c r="C459" s="89"/>
      <c r="D459" s="104"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c r="A460" s="85"/>
      <c r="B460" s="103">
        <f>_xlfn.XLOOKUP(A460,Equipe!H:H,Equipe!B:B,"",0)</f>
        <v>0</v>
      </c>
      <c r="C460" s="89"/>
      <c r="D460" s="104"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c r="A461" s="85"/>
      <c r="B461" s="103">
        <f>_xlfn.XLOOKUP(A461,Equipe!H:H,Equipe!B:B,"",0)</f>
        <v>0</v>
      </c>
      <c r="C461" s="89"/>
      <c r="D461" s="104"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c r="A462" s="85"/>
      <c r="B462" s="103">
        <f>_xlfn.XLOOKUP(A462,Equipe!H:H,Equipe!B:B,"",0)</f>
        <v>0</v>
      </c>
      <c r="C462" s="89"/>
      <c r="D462" s="104"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c r="A463" s="85"/>
      <c r="B463" s="103">
        <f>_xlfn.XLOOKUP(A463,Equipe!H:H,Equipe!B:B,"",0)</f>
        <v>0</v>
      </c>
      <c r="C463" s="89"/>
      <c r="D463" s="104"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c r="A464" s="85"/>
      <c r="B464" s="103">
        <f>_xlfn.XLOOKUP(A464,Equipe!H:H,Equipe!B:B,"",0)</f>
        <v>0</v>
      </c>
      <c r="C464" s="89"/>
      <c r="D464" s="104"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c r="A465" s="85"/>
      <c r="B465" s="103">
        <f>_xlfn.XLOOKUP(A465,Equipe!H:H,Equipe!B:B,"",0)</f>
        <v>0</v>
      </c>
      <c r="C465" s="89"/>
      <c r="D465" s="104"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c r="A466" s="85"/>
      <c r="B466" s="103">
        <f>_xlfn.XLOOKUP(A466,Equipe!H:H,Equipe!B:B,"",0)</f>
        <v>0</v>
      </c>
      <c r="C466" s="89"/>
      <c r="D466" s="104"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c r="A467" s="85"/>
      <c r="B467" s="103">
        <f>_xlfn.XLOOKUP(A467,Equipe!H:H,Equipe!B:B,"",0)</f>
        <v>0</v>
      </c>
      <c r="C467" s="89"/>
      <c r="D467" s="104"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c r="A468" s="85"/>
      <c r="B468" s="103">
        <f>_xlfn.XLOOKUP(A468,Equipe!H:H,Equipe!B:B,"",0)</f>
        <v>0</v>
      </c>
      <c r="C468" s="89"/>
      <c r="D468" s="104"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c r="A469" s="85"/>
      <c r="B469" s="103">
        <f>_xlfn.XLOOKUP(A469,Equipe!H:H,Equipe!B:B,"",0)</f>
        <v>0</v>
      </c>
      <c r="C469" s="89"/>
      <c r="D469" s="104"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c r="A470" s="85"/>
      <c r="B470" s="103">
        <f>_xlfn.XLOOKUP(A470,Equipe!H:H,Equipe!B:B,"",0)</f>
        <v>0</v>
      </c>
      <c r="C470" s="89"/>
      <c r="D470" s="104"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c r="A471" s="85"/>
      <c r="B471" s="103">
        <f>_xlfn.XLOOKUP(A471,Equipe!H:H,Equipe!B:B,"",0)</f>
        <v>0</v>
      </c>
      <c r="C471" s="89"/>
      <c r="D471" s="104"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c r="A472" s="85"/>
      <c r="B472" s="103">
        <f>_xlfn.XLOOKUP(A472,Equipe!H:H,Equipe!B:B,"",0)</f>
        <v>0</v>
      </c>
      <c r="C472" s="89"/>
      <c r="D472" s="104"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c r="A473" s="85"/>
      <c r="B473" s="103">
        <f>_xlfn.XLOOKUP(A473,Equipe!H:H,Equipe!B:B,"",0)</f>
        <v>0</v>
      </c>
      <c r="C473" s="89"/>
      <c r="D473" s="104"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c r="A474" s="85"/>
      <c r="B474" s="103">
        <f>_xlfn.XLOOKUP(A474,Equipe!H:H,Equipe!B:B,"",0)</f>
        <v>0</v>
      </c>
      <c r="C474" s="89"/>
      <c r="D474" s="104"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c r="A475" s="85"/>
      <c r="B475" s="103">
        <f>_xlfn.XLOOKUP(A475,Equipe!H:H,Equipe!B:B,"",0)</f>
        <v>0</v>
      </c>
      <c r="C475" s="89"/>
      <c r="D475" s="104"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c r="A476" s="85"/>
      <c r="B476" s="103">
        <f>_xlfn.XLOOKUP(A476,Equipe!H:H,Equipe!B:B,"",0)</f>
        <v>0</v>
      </c>
      <c r="C476" s="89"/>
      <c r="D476" s="104"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c r="A477" s="85"/>
      <c r="B477" s="103">
        <f>_xlfn.XLOOKUP(A477,Equipe!H:H,Equipe!B:B,"",0)</f>
        <v>0</v>
      </c>
      <c r="C477" s="89"/>
      <c r="D477" s="104"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c r="A478" s="85"/>
      <c r="B478" s="103">
        <f>_xlfn.XLOOKUP(A478,Equipe!H:H,Equipe!B:B,"",0)</f>
        <v>0</v>
      </c>
      <c r="C478" s="89"/>
      <c r="D478" s="104"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c r="A479" s="85"/>
      <c r="B479" s="103">
        <f>_xlfn.XLOOKUP(A479,Equipe!H:H,Equipe!B:B,"",0)</f>
        <v>0</v>
      </c>
      <c r="C479" s="89"/>
      <c r="D479" s="104"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c r="A480" s="85"/>
      <c r="B480" s="103">
        <f>_xlfn.XLOOKUP(A480,Equipe!H:H,Equipe!B:B,"",0)</f>
        <v>0</v>
      </c>
      <c r="C480" s="89"/>
      <c r="D480" s="104"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c r="A481" s="85"/>
      <c r="B481" s="103">
        <f>_xlfn.XLOOKUP(A481,Equipe!H:H,Equipe!B:B,"",0)</f>
        <v>0</v>
      </c>
      <c r="C481" s="89"/>
      <c r="D481" s="104"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c r="A482" s="85"/>
      <c r="B482" s="103">
        <f>_xlfn.XLOOKUP(A482,Equipe!H:H,Equipe!B:B,"",0)</f>
        <v>0</v>
      </c>
      <c r="C482" s="89"/>
      <c r="D482" s="104"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c r="A483" s="85"/>
      <c r="B483" s="103">
        <f>_xlfn.XLOOKUP(A483,Equipe!H:H,Equipe!B:B,"",0)</f>
        <v>0</v>
      </c>
      <c r="C483" s="89"/>
      <c r="D483" s="104"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c r="A484" s="85"/>
      <c r="B484" s="103">
        <f>_xlfn.XLOOKUP(A484,Equipe!H:H,Equipe!B:B,"",0)</f>
        <v>0</v>
      </c>
      <c r="C484" s="89"/>
      <c r="D484" s="104"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c r="A485" s="85"/>
      <c r="B485" s="103">
        <f>_xlfn.XLOOKUP(A485,Equipe!H:H,Equipe!B:B,"",0)</f>
        <v>0</v>
      </c>
      <c r="C485" s="89"/>
      <c r="D485" s="104"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c r="A486" s="85"/>
      <c r="B486" s="103">
        <f>_xlfn.XLOOKUP(A486,Equipe!H:H,Equipe!B:B,"",0)</f>
        <v>0</v>
      </c>
      <c r="C486" s="89"/>
      <c r="D486" s="104"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c r="A487" s="85"/>
      <c r="B487" s="103">
        <f>_xlfn.XLOOKUP(A487,Equipe!H:H,Equipe!B:B,"",0)</f>
        <v>0</v>
      </c>
      <c r="C487" s="89"/>
      <c r="D487" s="104"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c r="A488" s="85"/>
      <c r="B488" s="103">
        <f>_xlfn.XLOOKUP(A488,Equipe!H:H,Equipe!B:B,"",0)</f>
        <v>0</v>
      </c>
      <c r="C488" s="89"/>
      <c r="D488" s="104"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c r="A489" s="85"/>
      <c r="B489" s="103">
        <f>_xlfn.XLOOKUP(A489,Equipe!H:H,Equipe!B:B,"",0)</f>
        <v>0</v>
      </c>
      <c r="C489" s="89"/>
      <c r="D489" s="104"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c r="A490" s="85"/>
      <c r="B490" s="103">
        <f>_xlfn.XLOOKUP(A490,Equipe!H:H,Equipe!B:B,"",0)</f>
        <v>0</v>
      </c>
      <c r="C490" s="89"/>
      <c r="D490" s="104"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c r="A491" s="85"/>
      <c r="B491" s="103">
        <f>_xlfn.XLOOKUP(A491,Equipe!H:H,Equipe!B:B,"",0)</f>
        <v>0</v>
      </c>
      <c r="C491" s="89"/>
      <c r="D491" s="104"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c r="A492" s="85"/>
      <c r="B492" s="103">
        <f>_xlfn.XLOOKUP(A492,Equipe!H:H,Equipe!B:B,"",0)</f>
        <v>0</v>
      </c>
      <c r="C492" s="89"/>
      <c r="D492" s="104"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c r="A493" s="85"/>
      <c r="B493" s="103">
        <f>_xlfn.XLOOKUP(A493,Equipe!H:H,Equipe!B:B,"",0)</f>
        <v>0</v>
      </c>
      <c r="C493" s="89"/>
      <c r="D493" s="104"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c r="A494" s="85"/>
      <c r="B494" s="103">
        <f>_xlfn.XLOOKUP(A494,Equipe!H:H,Equipe!B:B,"",0)</f>
        <v>0</v>
      </c>
      <c r="C494" s="89"/>
      <c r="D494" s="104"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c r="A495" s="85"/>
      <c r="B495" s="103">
        <f>_xlfn.XLOOKUP(A495,Equipe!H:H,Equipe!B:B,"",0)</f>
        <v>0</v>
      </c>
      <c r="C495" s="89"/>
      <c r="D495" s="104"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c r="A496" s="85"/>
      <c r="B496" s="103">
        <f>_xlfn.XLOOKUP(A496,Equipe!H:H,Equipe!B:B,"",0)</f>
        <v>0</v>
      </c>
      <c r="C496" s="89"/>
      <c r="D496" s="104"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c r="A497" s="85"/>
      <c r="B497" s="103">
        <f>_xlfn.XLOOKUP(A497,Equipe!H:H,Equipe!B:B,"",0)</f>
        <v>0</v>
      </c>
      <c r="C497" s="89"/>
      <c r="D497" s="104"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c r="A498" s="85"/>
      <c r="B498" s="103">
        <f>_xlfn.XLOOKUP(A498,Equipe!H:H,Equipe!B:B,"",0)</f>
        <v>0</v>
      </c>
      <c r="C498" s="89"/>
      <c r="D498" s="104"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c r="A499" s="85"/>
      <c r="B499" s="103">
        <f>_xlfn.XLOOKUP(A499,Equipe!H:H,Equipe!B:B,"",0)</f>
        <v>0</v>
      </c>
      <c r="C499" s="89"/>
      <c r="D499" s="104"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c r="A500" s="85"/>
      <c r="B500" s="103">
        <f>_xlfn.XLOOKUP(A500,Equipe!H:H,Equipe!B:B,"",0)</f>
        <v>0</v>
      </c>
      <c r="C500" s="89"/>
      <c r="D500" s="104"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c r="A501" s="85"/>
      <c r="B501" s="103">
        <f>_xlfn.XLOOKUP(A501,Equipe!H:H,Equipe!B:B,"",0)</f>
        <v>0</v>
      </c>
      <c r="C501" s="89"/>
      <c r="D501" s="104"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c r="A502" s="85"/>
      <c r="B502" s="103">
        <f>_xlfn.XLOOKUP(A502,Equipe!H:H,Equipe!B:B,"",0)</f>
        <v>0</v>
      </c>
      <c r="C502" s="89"/>
      <c r="D502" s="104"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c r="A503" s="85"/>
      <c r="B503" s="103">
        <f>_xlfn.XLOOKUP(A503,Equipe!H:H,Equipe!B:B,"",0)</f>
        <v>0</v>
      </c>
      <c r="C503" s="89"/>
      <c r="D503" s="104"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c r="A504" s="85"/>
      <c r="B504" s="103">
        <f>_xlfn.XLOOKUP(A504,Equipe!H:H,Equipe!B:B,"",0)</f>
        <v>0</v>
      </c>
      <c r="C504" s="89"/>
      <c r="D504" s="104"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c r="A505" s="85"/>
      <c r="B505" s="103">
        <f>_xlfn.XLOOKUP(A505,Equipe!H:H,Equipe!B:B,"",0)</f>
        <v>0</v>
      </c>
      <c r="C505" s="89"/>
      <c r="D505" s="104"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c r="A506" s="85"/>
      <c r="B506" s="103">
        <f>_xlfn.XLOOKUP(A506,Equipe!H:H,Equipe!B:B,"",0)</f>
        <v>0</v>
      </c>
      <c r="C506" s="89"/>
      <c r="D506" s="104"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c r="A507" s="85"/>
      <c r="B507" s="103">
        <f>_xlfn.XLOOKUP(A507,Equipe!H:H,Equipe!B:B,"",0)</f>
        <v>0</v>
      </c>
      <c r="C507" s="89"/>
      <c r="D507" s="104"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c r="A508" s="85"/>
      <c r="B508" s="103">
        <f>_xlfn.XLOOKUP(A508,Equipe!H:H,Equipe!B:B,"",0)</f>
        <v>0</v>
      </c>
      <c r="C508" s="89"/>
      <c r="D508" s="104"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c r="A509" s="85"/>
      <c r="B509" s="103">
        <f>_xlfn.XLOOKUP(A509,Equipe!H:H,Equipe!B:B,"",0)</f>
        <v>0</v>
      </c>
      <c r="C509" s="89"/>
      <c r="D509" s="104"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c r="A510" s="85"/>
      <c r="B510" s="103">
        <f>_xlfn.XLOOKUP(A510,Equipe!H:H,Equipe!B:B,"",0)</f>
        <v>0</v>
      </c>
      <c r="C510" s="89"/>
      <c r="D510" s="104"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c r="A511" s="85"/>
      <c r="B511" s="103">
        <f>_xlfn.XLOOKUP(A511,Equipe!H:H,Equipe!B:B,"",0)</f>
        <v>0</v>
      </c>
      <c r="C511" s="89"/>
      <c r="D511" s="104"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c r="A512" s="85"/>
      <c r="B512" s="103">
        <f>_xlfn.XLOOKUP(A512,Equipe!H:H,Equipe!B:B,"",0)</f>
        <v>0</v>
      </c>
      <c r="C512" s="89"/>
      <c r="D512" s="104"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c r="A513" s="85"/>
      <c r="B513" s="103">
        <f>_xlfn.XLOOKUP(A513,Equipe!H:H,Equipe!B:B,"",0)</f>
        <v>0</v>
      </c>
      <c r="C513" s="89"/>
      <c r="D513" s="104"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c r="A514" s="85"/>
      <c r="B514" s="103">
        <f>_xlfn.XLOOKUP(A514,Equipe!H:H,Equipe!B:B,"",0)</f>
        <v>0</v>
      </c>
      <c r="C514" s="89"/>
      <c r="D514" s="104"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c r="A515" s="85"/>
      <c r="B515" s="103">
        <f>_xlfn.XLOOKUP(A515,Equipe!H:H,Equipe!B:B,"",0)</f>
        <v>0</v>
      </c>
      <c r="C515" s="89"/>
      <c r="D515" s="104"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c r="A516" s="85"/>
      <c r="B516" s="103">
        <f>_xlfn.XLOOKUP(A516,Equipe!H:H,Equipe!B:B,"",0)</f>
        <v>0</v>
      </c>
      <c r="C516" s="89"/>
      <c r="D516" s="104"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c r="A517" s="85"/>
      <c r="B517" s="103">
        <f>_xlfn.XLOOKUP(A517,Equipe!H:H,Equipe!B:B,"",0)</f>
        <v>0</v>
      </c>
      <c r="C517" s="89"/>
      <c r="D517" s="104"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c r="A518" s="85"/>
      <c r="B518" s="103">
        <f>_xlfn.XLOOKUP(A518,Equipe!H:H,Equipe!B:B,"",0)</f>
        <v>0</v>
      </c>
      <c r="C518" s="89"/>
      <c r="D518" s="104"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c r="A519" s="85"/>
      <c r="B519" s="103">
        <f>_xlfn.XLOOKUP(A519,Equipe!H:H,Equipe!B:B,"",0)</f>
        <v>0</v>
      </c>
      <c r="C519" s="89"/>
      <c r="D519" s="104"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c r="A520" s="85"/>
      <c r="B520" s="103">
        <f>_xlfn.XLOOKUP(A520,Equipe!H:H,Equipe!B:B,"",0)</f>
        <v>0</v>
      </c>
      <c r="C520" s="89"/>
      <c r="D520" s="104"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c r="A521" s="85"/>
      <c r="B521" s="103">
        <f>_xlfn.XLOOKUP(A521,Equipe!H:H,Equipe!B:B,"",0)</f>
        <v>0</v>
      </c>
      <c r="C521" s="89"/>
      <c r="D521" s="104"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c r="A522" s="85"/>
      <c r="B522" s="103">
        <f>_xlfn.XLOOKUP(A522,Equipe!H:H,Equipe!B:B,"",0)</f>
        <v>0</v>
      </c>
      <c r="C522" s="89"/>
      <c r="D522" s="104"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c r="A523" s="85"/>
      <c r="B523" s="103">
        <f>_xlfn.XLOOKUP(A523,Equipe!H:H,Equipe!B:B,"",0)</f>
        <v>0</v>
      </c>
      <c r="C523" s="89"/>
      <c r="D523" s="104"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c r="A524" s="85"/>
      <c r="B524" s="103">
        <f>_xlfn.XLOOKUP(A524,Equipe!H:H,Equipe!B:B,"",0)</f>
        <v>0</v>
      </c>
      <c r="C524" s="89"/>
      <c r="D524" s="104"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c r="A525" s="85"/>
      <c r="B525" s="103">
        <f>_xlfn.XLOOKUP(A525,Equipe!H:H,Equipe!B:B,"",0)</f>
        <v>0</v>
      </c>
      <c r="C525" s="89"/>
      <c r="D525" s="104"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c r="A526" s="85"/>
      <c r="B526" s="103">
        <f>_xlfn.XLOOKUP(A526,Equipe!H:H,Equipe!B:B,"",0)</f>
        <v>0</v>
      </c>
      <c r="C526" s="89"/>
      <c r="D526" s="104"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c r="A527" s="85"/>
      <c r="B527" s="103">
        <f>_xlfn.XLOOKUP(A527,Equipe!H:H,Equipe!B:B,"",0)</f>
        <v>0</v>
      </c>
      <c r="C527" s="89"/>
      <c r="D527" s="104"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c r="A528" s="85"/>
      <c r="B528" s="103">
        <f>_xlfn.XLOOKUP(A528,Equipe!H:H,Equipe!B:B,"",0)</f>
        <v>0</v>
      </c>
      <c r="C528" s="89"/>
      <c r="D528" s="104"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c r="A529" s="85"/>
      <c r="B529" s="103">
        <f>_xlfn.XLOOKUP(A529,Equipe!H:H,Equipe!B:B,"",0)</f>
        <v>0</v>
      </c>
      <c r="C529" s="89"/>
      <c r="D529" s="104"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c r="A530" s="85"/>
      <c r="B530" s="103">
        <f>_xlfn.XLOOKUP(A530,Equipe!H:H,Equipe!B:B,"",0)</f>
        <v>0</v>
      </c>
      <c r="C530" s="89"/>
      <c r="D530" s="104"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c r="A531" s="85"/>
      <c r="B531" s="103">
        <f>_xlfn.XLOOKUP(A531,Equipe!H:H,Equipe!B:B,"",0)</f>
        <v>0</v>
      </c>
      <c r="C531" s="89"/>
      <c r="D531" s="104"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c r="A532" s="85"/>
      <c r="B532" s="103">
        <f>_xlfn.XLOOKUP(A532,Equipe!H:H,Equipe!B:B,"",0)</f>
        <v>0</v>
      </c>
      <c r="C532" s="89"/>
      <c r="D532" s="104"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c r="A533" s="85"/>
      <c r="B533" s="103">
        <f>_xlfn.XLOOKUP(A533,Equipe!H:H,Equipe!B:B,"",0)</f>
        <v>0</v>
      </c>
      <c r="C533" s="89"/>
      <c r="D533" s="104"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c r="A534" s="85"/>
      <c r="B534" s="103">
        <f>_xlfn.XLOOKUP(A534,Equipe!H:H,Equipe!B:B,"",0)</f>
        <v>0</v>
      </c>
      <c r="C534" s="89"/>
      <c r="D534" s="104"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c r="A535" s="85"/>
      <c r="B535" s="103">
        <f>_xlfn.XLOOKUP(A535,Equipe!H:H,Equipe!B:B,"",0)</f>
        <v>0</v>
      </c>
      <c r="C535" s="89"/>
      <c r="D535" s="104"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c r="A536" s="85"/>
      <c r="B536" s="103">
        <f>_xlfn.XLOOKUP(A536,Equipe!H:H,Equipe!B:B,"",0)</f>
        <v>0</v>
      </c>
      <c r="C536" s="89"/>
      <c r="D536" s="104"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c r="A537" s="85"/>
      <c r="B537" s="103">
        <f>_xlfn.XLOOKUP(A537,Equipe!H:H,Equipe!B:B,"",0)</f>
        <v>0</v>
      </c>
      <c r="C537" s="89"/>
      <c r="D537" s="104"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c r="A538" s="85"/>
      <c r="B538" s="103">
        <f>_xlfn.XLOOKUP(A538,Equipe!H:H,Equipe!B:B,"",0)</f>
        <v>0</v>
      </c>
      <c r="C538" s="89"/>
      <c r="D538" s="104"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c r="A539" s="85"/>
      <c r="B539" s="103">
        <f>_xlfn.XLOOKUP(A539,Equipe!H:H,Equipe!B:B,"",0)</f>
        <v>0</v>
      </c>
      <c r="C539" s="89"/>
      <c r="D539" s="104"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c r="A540" s="85"/>
      <c r="B540" s="103">
        <f>_xlfn.XLOOKUP(A540,Equipe!H:H,Equipe!B:B,"",0)</f>
        <v>0</v>
      </c>
      <c r="C540" s="89"/>
      <c r="D540" s="104"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c r="A541" s="85"/>
      <c r="B541" s="103">
        <f>_xlfn.XLOOKUP(A541,Equipe!H:H,Equipe!B:B,"",0)</f>
        <v>0</v>
      </c>
      <c r="C541" s="89"/>
      <c r="D541" s="104"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c r="A542" s="85"/>
      <c r="B542" s="103">
        <f>_xlfn.XLOOKUP(A542,Equipe!H:H,Equipe!B:B,"",0)</f>
        <v>0</v>
      </c>
      <c r="C542" s="89"/>
      <c r="D542" s="104"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c r="A543" s="85"/>
      <c r="B543" s="103">
        <f>_xlfn.XLOOKUP(A543,Equipe!H:H,Equipe!B:B,"",0)</f>
        <v>0</v>
      </c>
      <c r="C543" s="89"/>
      <c r="D543" s="104"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c r="A544" s="85"/>
      <c r="B544" s="103">
        <f>_xlfn.XLOOKUP(A544,Equipe!H:H,Equipe!B:B,"",0)</f>
        <v>0</v>
      </c>
      <c r="C544" s="89"/>
      <c r="D544" s="104"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c r="A545" s="85"/>
      <c r="B545" s="103">
        <f>_xlfn.XLOOKUP(A545,Equipe!H:H,Equipe!B:B,"",0)</f>
        <v>0</v>
      </c>
      <c r="C545" s="89"/>
      <c r="D545" s="104"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c r="A546" s="85"/>
      <c r="B546" s="103">
        <f>_xlfn.XLOOKUP(A546,Equipe!H:H,Equipe!B:B,"",0)</f>
        <v>0</v>
      </c>
      <c r="C546" s="89"/>
      <c r="D546" s="104"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c r="A547" s="85"/>
      <c r="B547" s="103">
        <f>_xlfn.XLOOKUP(A547,Equipe!H:H,Equipe!B:B,"",0)</f>
        <v>0</v>
      </c>
      <c r="C547" s="89"/>
      <c r="D547" s="104"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c r="A548" s="85"/>
      <c r="B548" s="103">
        <f>_xlfn.XLOOKUP(A548,Equipe!H:H,Equipe!B:B,"",0)</f>
        <v>0</v>
      </c>
      <c r="C548" s="89"/>
      <c r="D548" s="104"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c r="A549" s="85"/>
      <c r="B549" s="103">
        <f>_xlfn.XLOOKUP(A549,Equipe!H:H,Equipe!B:B,"",0)</f>
        <v>0</v>
      </c>
      <c r="C549" s="89"/>
      <c r="D549" s="104"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c r="A550" s="85"/>
      <c r="B550" s="103">
        <f>_xlfn.XLOOKUP(A550,Equipe!H:H,Equipe!B:B,"",0)</f>
        <v>0</v>
      </c>
      <c r="C550" s="89"/>
      <c r="D550" s="104"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c r="A551" s="85"/>
      <c r="B551" s="103">
        <f>_xlfn.XLOOKUP(A551,Equipe!H:H,Equipe!B:B,"",0)</f>
        <v>0</v>
      </c>
      <c r="C551" s="89"/>
      <c r="D551" s="104"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c r="A552" s="85"/>
      <c r="B552" s="103">
        <f>_xlfn.XLOOKUP(A552,Equipe!H:H,Equipe!B:B,"",0)</f>
        <v>0</v>
      </c>
      <c r="C552" s="89"/>
      <c r="D552" s="104"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c r="A553" s="85"/>
      <c r="B553" s="103">
        <f>_xlfn.XLOOKUP(A553,Equipe!H:H,Equipe!B:B,"",0)</f>
        <v>0</v>
      </c>
      <c r="C553" s="89"/>
      <c r="D553" s="104"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c r="A554" s="85"/>
      <c r="B554" s="103">
        <f>_xlfn.XLOOKUP(A554,Equipe!H:H,Equipe!B:B,"",0)</f>
        <v>0</v>
      </c>
      <c r="C554" s="89"/>
      <c r="D554" s="104"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c r="A555" s="85"/>
      <c r="B555" s="103">
        <f>_xlfn.XLOOKUP(A555,Equipe!H:H,Equipe!B:B,"",0)</f>
        <v>0</v>
      </c>
      <c r="C555" s="89"/>
      <c r="D555" s="104"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c r="A556" s="85"/>
      <c r="B556" s="103">
        <f>_xlfn.XLOOKUP(A556,Equipe!H:H,Equipe!B:B,"",0)</f>
        <v>0</v>
      </c>
      <c r="C556" s="89"/>
      <c r="D556" s="104"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c r="A557" s="85"/>
      <c r="B557" s="103">
        <f>_xlfn.XLOOKUP(A557,Equipe!H:H,Equipe!B:B,"",0)</f>
        <v>0</v>
      </c>
      <c r="C557" s="89"/>
      <c r="D557" s="104"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c r="A558" s="85"/>
      <c r="B558" s="103">
        <f>_xlfn.XLOOKUP(A558,Equipe!H:H,Equipe!B:B,"",0)</f>
        <v>0</v>
      </c>
      <c r="C558" s="89"/>
      <c r="D558" s="104"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c r="A559" s="85"/>
      <c r="B559" s="103">
        <f>_xlfn.XLOOKUP(A559,Equipe!H:H,Equipe!B:B,"",0)</f>
        <v>0</v>
      </c>
      <c r="C559" s="89"/>
      <c r="D559" s="104"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c r="A560" s="85"/>
      <c r="B560" s="103">
        <f>_xlfn.XLOOKUP(A560,Equipe!H:H,Equipe!B:B,"",0)</f>
        <v>0</v>
      </c>
      <c r="C560" s="89"/>
      <c r="D560" s="104"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c r="A561" s="85"/>
      <c r="B561" s="103">
        <f>_xlfn.XLOOKUP(A561,Equipe!H:H,Equipe!B:B,"",0)</f>
        <v>0</v>
      </c>
      <c r="C561" s="89"/>
      <c r="D561" s="104"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c r="A562" s="85"/>
      <c r="B562" s="103">
        <f>_xlfn.XLOOKUP(A562,Equipe!H:H,Equipe!B:B,"",0)</f>
        <v>0</v>
      </c>
      <c r="C562" s="89"/>
      <c r="D562" s="104"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c r="A563" s="85"/>
      <c r="B563" s="103">
        <f>_xlfn.XLOOKUP(A563,Equipe!H:H,Equipe!B:B,"",0)</f>
        <v>0</v>
      </c>
      <c r="C563" s="89"/>
      <c r="D563" s="104"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c r="A564" s="85"/>
      <c r="B564" s="103">
        <f>_xlfn.XLOOKUP(A564,Equipe!H:H,Equipe!B:B,"",0)</f>
        <v>0</v>
      </c>
      <c r="C564" s="89"/>
      <c r="D564" s="104"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c r="A565" s="85"/>
      <c r="B565" s="103">
        <f>_xlfn.XLOOKUP(A565,Equipe!H:H,Equipe!B:B,"",0)</f>
        <v>0</v>
      </c>
      <c r="C565" s="89"/>
      <c r="D565" s="104"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c r="A566" s="85"/>
      <c r="B566" s="103">
        <f>_xlfn.XLOOKUP(A566,Equipe!H:H,Equipe!B:B,"",0)</f>
        <v>0</v>
      </c>
      <c r="C566" s="89"/>
      <c r="D566" s="104"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c r="A567" s="85"/>
      <c r="B567" s="103">
        <f>_xlfn.XLOOKUP(A567,Equipe!H:H,Equipe!B:B,"",0)</f>
        <v>0</v>
      </c>
      <c r="C567" s="89"/>
      <c r="D567" s="104"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c r="A568" s="85"/>
      <c r="B568" s="103">
        <f>_xlfn.XLOOKUP(A568,Equipe!H:H,Equipe!B:B,"",0)</f>
        <v>0</v>
      </c>
      <c r="C568" s="89"/>
      <c r="D568" s="104"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c r="A569" s="85"/>
      <c r="B569" s="103">
        <f>_xlfn.XLOOKUP(A569,Equipe!H:H,Equipe!B:B,"",0)</f>
        <v>0</v>
      </c>
      <c r="C569" s="89"/>
      <c r="D569" s="104"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c r="A570" s="85"/>
      <c r="B570" s="103">
        <f>_xlfn.XLOOKUP(A570,Equipe!H:H,Equipe!B:B,"",0)</f>
        <v>0</v>
      </c>
      <c r="C570" s="89"/>
      <c r="D570" s="104"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c r="A571" s="85"/>
      <c r="B571" s="103">
        <f>_xlfn.XLOOKUP(A571,Equipe!H:H,Equipe!B:B,"",0)</f>
        <v>0</v>
      </c>
      <c r="C571" s="89"/>
      <c r="D571" s="104"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c r="A572" s="85"/>
      <c r="B572" s="103">
        <f>_xlfn.XLOOKUP(A572,Equipe!H:H,Equipe!B:B,"",0)</f>
        <v>0</v>
      </c>
      <c r="C572" s="89"/>
      <c r="D572" s="104"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c r="A573" s="85"/>
      <c r="B573" s="103">
        <f>_xlfn.XLOOKUP(A573,Equipe!H:H,Equipe!B:B,"",0)</f>
        <v>0</v>
      </c>
      <c r="C573" s="89"/>
      <c r="D573" s="104"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c r="A574" s="85"/>
      <c r="B574" s="103">
        <f>_xlfn.XLOOKUP(A574,Equipe!H:H,Equipe!B:B,"",0)</f>
        <v>0</v>
      </c>
      <c r="C574" s="89"/>
      <c r="D574" s="104"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c r="A575" s="85"/>
      <c r="B575" s="103">
        <f>_xlfn.XLOOKUP(A575,Equipe!H:H,Equipe!B:B,"",0)</f>
        <v>0</v>
      </c>
      <c r="C575" s="89"/>
      <c r="D575" s="104"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c r="A576" s="85"/>
      <c r="B576" s="103">
        <f>_xlfn.XLOOKUP(A576,Equipe!H:H,Equipe!B:B,"",0)</f>
        <v>0</v>
      </c>
      <c r="C576" s="89"/>
      <c r="D576" s="104"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c r="A577" s="85"/>
      <c r="B577" s="103">
        <f>_xlfn.XLOOKUP(A577,Equipe!H:H,Equipe!B:B,"",0)</f>
        <v>0</v>
      </c>
      <c r="C577" s="89"/>
      <c r="D577" s="104"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c r="A578" s="85"/>
      <c r="B578" s="103">
        <f>_xlfn.XLOOKUP(A578,Equipe!H:H,Equipe!B:B,"",0)</f>
        <v>0</v>
      </c>
      <c r="C578" s="89"/>
      <c r="D578" s="104"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c r="A579" s="85"/>
      <c r="B579" s="103">
        <f>_xlfn.XLOOKUP(A579,Equipe!H:H,Equipe!B:B,"",0)</f>
        <v>0</v>
      </c>
      <c r="C579" s="89"/>
      <c r="D579" s="104"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c r="A580" s="85"/>
      <c r="B580" s="103">
        <f>_xlfn.XLOOKUP(A580,Equipe!H:H,Equipe!B:B,"",0)</f>
        <v>0</v>
      </c>
      <c r="C580" s="89"/>
      <c r="D580" s="104"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c r="A581" s="85"/>
      <c r="B581" s="103">
        <f>_xlfn.XLOOKUP(A581,Equipe!H:H,Equipe!B:B,"",0)</f>
        <v>0</v>
      </c>
      <c r="C581" s="89"/>
      <c r="D581" s="104"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c r="A582" s="85"/>
      <c r="B582" s="103">
        <f>_xlfn.XLOOKUP(A582,Equipe!H:H,Equipe!B:B,"",0)</f>
        <v>0</v>
      </c>
      <c r="C582" s="89"/>
      <c r="D582" s="104"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c r="A583" s="85"/>
      <c r="B583" s="103">
        <f>_xlfn.XLOOKUP(A583,Equipe!H:H,Equipe!B:B,"",0)</f>
        <v>0</v>
      </c>
      <c r="C583" s="89"/>
      <c r="D583" s="104"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c r="A584" s="85"/>
      <c r="B584" s="103">
        <f>_xlfn.XLOOKUP(A584,Equipe!H:H,Equipe!B:B,"",0)</f>
        <v>0</v>
      </c>
      <c r="C584" s="89"/>
      <c r="D584" s="104"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c r="A585" s="85"/>
      <c r="B585" s="103">
        <f>_xlfn.XLOOKUP(A585,Equipe!H:H,Equipe!B:B,"",0)</f>
        <v>0</v>
      </c>
      <c r="C585" s="89"/>
      <c r="D585" s="104"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c r="A586" s="85"/>
      <c r="B586" s="103">
        <f>_xlfn.XLOOKUP(A586,Equipe!H:H,Equipe!B:B,"",0)</f>
        <v>0</v>
      </c>
      <c r="C586" s="89"/>
      <c r="D586" s="104"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c r="A587" s="85"/>
      <c r="B587" s="103">
        <f>_xlfn.XLOOKUP(A587,Equipe!H:H,Equipe!B:B,"",0)</f>
        <v>0</v>
      </c>
      <c r="C587" s="89"/>
      <c r="D587" s="104"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c r="A588" s="85"/>
      <c r="B588" s="103">
        <f>_xlfn.XLOOKUP(A588,Equipe!H:H,Equipe!B:B,"",0)</f>
        <v>0</v>
      </c>
      <c r="C588" s="89"/>
      <c r="D588" s="104"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c r="A589" s="85"/>
      <c r="B589" s="103">
        <f>_xlfn.XLOOKUP(A589,Equipe!H:H,Equipe!B:B,"",0)</f>
        <v>0</v>
      </c>
      <c r="C589" s="89"/>
      <c r="D589" s="104"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c r="A590" s="85"/>
      <c r="B590" s="103">
        <f>_xlfn.XLOOKUP(A590,Equipe!H:H,Equipe!B:B,"",0)</f>
        <v>0</v>
      </c>
      <c r="C590" s="89"/>
      <c r="D590" s="104"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c r="A591" s="85"/>
      <c r="B591" s="103">
        <f>_xlfn.XLOOKUP(A591,Equipe!H:H,Equipe!B:B,"",0)</f>
        <v>0</v>
      </c>
      <c r="C591" s="89"/>
      <c r="D591" s="104"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c r="A592" s="85"/>
      <c r="B592" s="103">
        <f>_xlfn.XLOOKUP(A592,Equipe!H:H,Equipe!B:B,"",0)</f>
        <v>0</v>
      </c>
      <c r="C592" s="89"/>
      <c r="D592" s="104"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c r="A593" s="85"/>
      <c r="B593" s="103">
        <f>_xlfn.XLOOKUP(A593,Equipe!H:H,Equipe!B:B,"",0)</f>
        <v>0</v>
      </c>
      <c r="C593" s="89"/>
      <c r="D593" s="104"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c r="A594" s="85"/>
      <c r="B594" s="103">
        <f>_xlfn.XLOOKUP(A594,Equipe!H:H,Equipe!B:B,"",0)</f>
        <v>0</v>
      </c>
      <c r="C594" s="89"/>
      <c r="D594" s="104"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c r="A595" s="85"/>
      <c r="B595" s="103">
        <f>_xlfn.XLOOKUP(A595,Equipe!H:H,Equipe!B:B,"",0)</f>
        <v>0</v>
      </c>
      <c r="C595" s="89"/>
      <c r="D595" s="104"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c r="A596" s="85"/>
      <c r="B596" s="103">
        <f>_xlfn.XLOOKUP(A596,Equipe!H:H,Equipe!B:B,"",0)</f>
        <v>0</v>
      </c>
      <c r="C596" s="89"/>
      <c r="D596" s="104"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c r="A597" s="85"/>
      <c r="B597" s="103">
        <f>_xlfn.XLOOKUP(A597,Equipe!H:H,Equipe!B:B,"",0)</f>
        <v>0</v>
      </c>
      <c r="C597" s="89"/>
      <c r="D597" s="104"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c r="A598" s="85"/>
      <c r="B598" s="103">
        <f>_xlfn.XLOOKUP(A598,Equipe!H:H,Equipe!B:B,"",0)</f>
        <v>0</v>
      </c>
      <c r="C598" s="89"/>
      <c r="D598" s="104"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c r="A599" s="85"/>
      <c r="B599" s="103">
        <f>_xlfn.XLOOKUP(A599,Equipe!H:H,Equipe!B:B,"",0)</f>
        <v>0</v>
      </c>
      <c r="C599" s="89"/>
      <c r="D599" s="104"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c r="A600" s="85"/>
      <c r="B600" s="103">
        <f>_xlfn.XLOOKUP(A600,Equipe!H:H,Equipe!B:B,"",0)</f>
        <v>0</v>
      </c>
      <c r="C600" s="89"/>
      <c r="D600" s="104"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c r="A601" s="85"/>
      <c r="B601" s="103">
        <f>_xlfn.XLOOKUP(A601,Equipe!H:H,Equipe!B:B,"",0)</f>
        <v>0</v>
      </c>
      <c r="C601" s="89"/>
      <c r="D601" s="104"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c r="A602" s="85"/>
      <c r="B602" s="103">
        <f>_xlfn.XLOOKUP(A602,Equipe!H:H,Equipe!B:B,"",0)</f>
        <v>0</v>
      </c>
      <c r="C602" s="89"/>
      <c r="D602" s="104"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c r="A603" s="85"/>
      <c r="B603" s="103">
        <f>_xlfn.XLOOKUP(A603,Equipe!H:H,Equipe!B:B,"",0)</f>
        <v>0</v>
      </c>
      <c r="C603" s="89"/>
      <c r="D603" s="104"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c r="A604" s="85"/>
      <c r="B604" s="103">
        <f>_xlfn.XLOOKUP(A604,Equipe!H:H,Equipe!B:B,"",0)</f>
        <v>0</v>
      </c>
      <c r="C604" s="89"/>
      <c r="D604" s="104"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c r="A605" s="85"/>
      <c r="B605" s="103">
        <f>_xlfn.XLOOKUP(A605,Equipe!H:H,Equipe!B:B,"",0)</f>
        <v>0</v>
      </c>
      <c r="C605" s="89"/>
      <c r="D605" s="104"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c r="A606" s="85"/>
      <c r="B606" s="103">
        <f>_xlfn.XLOOKUP(A606,Equipe!H:H,Equipe!B:B,"",0)</f>
        <v>0</v>
      </c>
      <c r="C606" s="89"/>
      <c r="D606" s="104"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c r="A607" s="85"/>
      <c r="B607" s="103">
        <f>_xlfn.XLOOKUP(A607,Equipe!H:H,Equipe!B:B,"",0)</f>
        <v>0</v>
      </c>
      <c r="C607" s="89"/>
      <c r="D607" s="104"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c r="A608" s="85"/>
      <c r="B608" s="103">
        <f>_xlfn.XLOOKUP(A608,Equipe!H:H,Equipe!B:B,"",0)</f>
        <v>0</v>
      </c>
      <c r="C608" s="89"/>
      <c r="D608" s="104"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c r="A609" s="85"/>
      <c r="B609" s="103">
        <f>_xlfn.XLOOKUP(A609,Equipe!H:H,Equipe!B:B,"",0)</f>
        <v>0</v>
      </c>
      <c r="C609" s="89"/>
      <c r="D609" s="104"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c r="A610" s="85"/>
      <c r="B610" s="103">
        <f>_xlfn.XLOOKUP(A610,Equipe!H:H,Equipe!B:B,"",0)</f>
        <v>0</v>
      </c>
      <c r="C610" s="89"/>
      <c r="D610" s="104"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c r="A611" s="85"/>
      <c r="B611" s="103">
        <f>_xlfn.XLOOKUP(A611,Equipe!H:H,Equipe!B:B,"",0)</f>
        <v>0</v>
      </c>
      <c r="C611" s="89"/>
      <c r="D611" s="104"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c r="A612" s="85"/>
      <c r="B612" s="103">
        <f>_xlfn.XLOOKUP(A612,Equipe!H:H,Equipe!B:B,"",0)</f>
        <v>0</v>
      </c>
      <c r="C612" s="89"/>
      <c r="D612" s="104"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c r="A613" s="85"/>
      <c r="B613" s="103">
        <f>_xlfn.XLOOKUP(A613,Equipe!H:H,Equipe!B:B,"",0)</f>
        <v>0</v>
      </c>
      <c r="C613" s="89"/>
      <c r="D613" s="104"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c r="A614" s="85"/>
      <c r="B614" s="103">
        <f>_xlfn.XLOOKUP(A614,Equipe!H:H,Equipe!B:B,"",0)</f>
        <v>0</v>
      </c>
      <c r="C614" s="89"/>
      <c r="D614" s="104"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c r="A615" s="85"/>
      <c r="B615" s="103">
        <f>_xlfn.XLOOKUP(A615,Equipe!H:H,Equipe!B:B,"",0)</f>
        <v>0</v>
      </c>
      <c r="C615" s="89"/>
      <c r="D615" s="104"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c r="A616" s="85"/>
      <c r="B616" s="103">
        <f>_xlfn.XLOOKUP(A616,Equipe!H:H,Equipe!B:B,"",0)</f>
        <v>0</v>
      </c>
      <c r="C616" s="89"/>
      <c r="D616" s="104"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c r="A617" s="85"/>
      <c r="B617" s="103">
        <f>_xlfn.XLOOKUP(A617,Equipe!H:H,Equipe!B:B,"",0)</f>
        <v>0</v>
      </c>
      <c r="C617" s="89"/>
      <c r="D617" s="104"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c r="A618" s="85"/>
      <c r="B618" s="103">
        <f>_xlfn.XLOOKUP(A618,Equipe!H:H,Equipe!B:B,"",0)</f>
        <v>0</v>
      </c>
      <c r="C618" s="89"/>
      <c r="D618" s="104"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c r="A619" s="85"/>
      <c r="B619" s="103">
        <f>_xlfn.XLOOKUP(A619,Equipe!H:H,Equipe!B:B,"",0)</f>
        <v>0</v>
      </c>
      <c r="C619" s="89"/>
      <c r="D619" s="104"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c r="A620" s="85"/>
      <c r="B620" s="103">
        <f>_xlfn.XLOOKUP(A620,Equipe!H:H,Equipe!B:B,"",0)</f>
        <v>0</v>
      </c>
      <c r="C620" s="89"/>
      <c r="D620" s="104"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c r="A621" s="85"/>
      <c r="B621" s="103">
        <f>_xlfn.XLOOKUP(A621,Equipe!H:H,Equipe!B:B,"",0)</f>
        <v>0</v>
      </c>
      <c r="C621" s="89"/>
      <c r="D621" s="104"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c r="A622" s="85"/>
      <c r="B622" s="103">
        <f>_xlfn.XLOOKUP(A622,Equipe!H:H,Equipe!B:B,"",0)</f>
        <v>0</v>
      </c>
      <c r="C622" s="89"/>
      <c r="D622" s="104"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c r="A623" s="85"/>
      <c r="B623" s="103">
        <f>_xlfn.XLOOKUP(A623,Equipe!H:H,Equipe!B:B,"",0)</f>
        <v>0</v>
      </c>
      <c r="C623" s="89"/>
      <c r="D623" s="104"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c r="A624" s="85"/>
      <c r="B624" s="103">
        <f>_xlfn.XLOOKUP(A624,Equipe!H:H,Equipe!B:B,"",0)</f>
        <v>0</v>
      </c>
      <c r="C624" s="89"/>
      <c r="D624" s="104"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c r="A625" s="85"/>
      <c r="B625" s="103">
        <f>_xlfn.XLOOKUP(A625,Equipe!H:H,Equipe!B:B,"",0)</f>
        <v>0</v>
      </c>
      <c r="C625" s="89"/>
      <c r="D625" s="104"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c r="A626" s="85"/>
      <c r="B626" s="103">
        <f>_xlfn.XLOOKUP(A626,Equipe!H:H,Equipe!B:B,"",0)</f>
        <v>0</v>
      </c>
      <c r="C626" s="89"/>
      <c r="D626" s="104"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c r="A627" s="85"/>
      <c r="B627" s="103">
        <f>_xlfn.XLOOKUP(A627,Equipe!H:H,Equipe!B:B,"",0)</f>
        <v>0</v>
      </c>
      <c r="C627" s="89"/>
      <c r="D627" s="104"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c r="A628" s="85"/>
      <c r="B628" s="103">
        <f>_xlfn.XLOOKUP(A628,Equipe!H:H,Equipe!B:B,"",0)</f>
        <v>0</v>
      </c>
      <c r="C628" s="89"/>
      <c r="D628" s="104"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c r="A629" s="85"/>
      <c r="B629" s="103">
        <f>_xlfn.XLOOKUP(A629,Equipe!H:H,Equipe!B:B,"",0)</f>
        <v>0</v>
      </c>
      <c r="C629" s="89"/>
      <c r="D629" s="104"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c r="A630" s="85"/>
      <c r="B630" s="103">
        <f>_xlfn.XLOOKUP(A630,Equipe!H:H,Equipe!B:B,"",0)</f>
        <v>0</v>
      </c>
      <c r="C630" s="89"/>
      <c r="D630" s="104"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c r="A631" s="85"/>
      <c r="B631" s="103">
        <f>_xlfn.XLOOKUP(A631,Equipe!H:H,Equipe!B:B,"",0)</f>
        <v>0</v>
      </c>
      <c r="C631" s="89"/>
      <c r="D631" s="104"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c r="A632" s="85"/>
      <c r="B632" s="103">
        <f>_xlfn.XLOOKUP(A632,Equipe!H:H,Equipe!B:B,"",0)</f>
        <v>0</v>
      </c>
      <c r="C632" s="89"/>
      <c r="D632" s="104"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c r="A633" s="85"/>
      <c r="B633" s="103">
        <f>_xlfn.XLOOKUP(A633,Equipe!H:H,Equipe!B:B,"",0)</f>
        <v>0</v>
      </c>
      <c r="C633" s="89"/>
      <c r="D633" s="104"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c r="A634" s="85"/>
      <c r="B634" s="103">
        <f>_xlfn.XLOOKUP(A634,Equipe!H:H,Equipe!B:B,"",0)</f>
        <v>0</v>
      </c>
      <c r="C634" s="89"/>
      <c r="D634" s="104"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c r="A635" s="85"/>
      <c r="B635" s="103">
        <f>_xlfn.XLOOKUP(A635,Equipe!H:H,Equipe!B:B,"",0)</f>
        <v>0</v>
      </c>
      <c r="C635" s="89"/>
      <c r="D635" s="104"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c r="A636" s="85"/>
      <c r="B636" s="103">
        <f>_xlfn.XLOOKUP(A636,Equipe!H:H,Equipe!B:B,"",0)</f>
        <v>0</v>
      </c>
      <c r="C636" s="89"/>
      <c r="D636" s="104"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c r="A637" s="85"/>
      <c r="B637" s="103">
        <f>_xlfn.XLOOKUP(A637,Equipe!H:H,Equipe!B:B,"",0)</f>
        <v>0</v>
      </c>
      <c r="C637" s="89"/>
      <c r="D637" s="104"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c r="A638" s="85"/>
      <c r="B638" s="103">
        <f>_xlfn.XLOOKUP(A638,Equipe!H:H,Equipe!B:B,"",0)</f>
        <v>0</v>
      </c>
      <c r="C638" s="89"/>
      <c r="D638" s="104"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c r="A639" s="85"/>
      <c r="B639" s="103">
        <f>_xlfn.XLOOKUP(A639,Equipe!H:H,Equipe!B:B,"",0)</f>
        <v>0</v>
      </c>
      <c r="C639" s="89"/>
      <c r="D639" s="104"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c r="A640" s="85"/>
      <c r="B640" s="103">
        <f>_xlfn.XLOOKUP(A640,Equipe!H:H,Equipe!B:B,"",0)</f>
        <v>0</v>
      </c>
      <c r="C640" s="89"/>
      <c r="D640" s="104"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c r="A641" s="85"/>
      <c r="B641" s="103">
        <f>_xlfn.XLOOKUP(A641,Equipe!H:H,Equipe!B:B,"",0)</f>
        <v>0</v>
      </c>
      <c r="C641" s="89"/>
      <c r="D641" s="104"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c r="A642" s="85"/>
      <c r="B642" s="103">
        <f>_xlfn.XLOOKUP(A642,Equipe!H:H,Equipe!B:B,"",0)</f>
        <v>0</v>
      </c>
      <c r="C642" s="89"/>
      <c r="D642" s="104"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c r="A643" s="85"/>
      <c r="B643" s="103">
        <f>_xlfn.XLOOKUP(A643,Equipe!H:H,Equipe!B:B,"",0)</f>
        <v>0</v>
      </c>
      <c r="C643" s="89"/>
      <c r="D643" s="104"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c r="A644" s="85"/>
      <c r="B644" s="103">
        <f>_xlfn.XLOOKUP(A644,Equipe!H:H,Equipe!B:B,"",0)</f>
        <v>0</v>
      </c>
      <c r="C644" s="89"/>
      <c r="D644" s="104"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c r="A645" s="85"/>
      <c r="B645" s="103">
        <f>_xlfn.XLOOKUP(A645,Equipe!H:H,Equipe!B:B,"",0)</f>
        <v>0</v>
      </c>
      <c r="C645" s="89"/>
      <c r="D645" s="104"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c r="A646" s="85"/>
      <c r="B646" s="103">
        <f>_xlfn.XLOOKUP(A646,Equipe!H:H,Equipe!B:B,"",0)</f>
        <v>0</v>
      </c>
      <c r="C646" s="89"/>
      <c r="D646" s="104"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c r="A647" s="85"/>
      <c r="B647" s="103">
        <f>_xlfn.XLOOKUP(A647,Equipe!H:H,Equipe!B:B,"",0)</f>
        <v>0</v>
      </c>
      <c r="C647" s="89"/>
      <c r="D647" s="104"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c r="A648" s="85"/>
      <c r="B648" s="103">
        <f>_xlfn.XLOOKUP(A648,Equipe!H:H,Equipe!B:B,"",0)</f>
        <v>0</v>
      </c>
      <c r="C648" s="89"/>
      <c r="D648" s="104"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c r="A649" s="85"/>
      <c r="B649" s="103">
        <f>_xlfn.XLOOKUP(A649,Equipe!H:H,Equipe!B:B,"",0)</f>
        <v>0</v>
      </c>
      <c r="C649" s="89"/>
      <c r="D649" s="104"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c r="A650" s="85"/>
      <c r="B650" s="103">
        <f>_xlfn.XLOOKUP(A650,Equipe!H:H,Equipe!B:B,"",0)</f>
        <v>0</v>
      </c>
      <c r="C650" s="89"/>
      <c r="D650" s="104"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c r="A651" s="85"/>
      <c r="B651" s="103">
        <f>_xlfn.XLOOKUP(A651,Equipe!H:H,Equipe!B:B,"",0)</f>
        <v>0</v>
      </c>
      <c r="C651" s="89"/>
      <c r="D651" s="104"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c r="A652" s="85"/>
      <c r="B652" s="103">
        <f>_xlfn.XLOOKUP(A652,Equipe!H:H,Equipe!B:B,"",0)</f>
        <v>0</v>
      </c>
      <c r="C652" s="89"/>
      <c r="D652" s="104"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c r="A653" s="85"/>
      <c r="B653" s="103">
        <f>_xlfn.XLOOKUP(A653,Equipe!H:H,Equipe!B:B,"",0)</f>
        <v>0</v>
      </c>
      <c r="C653" s="89"/>
      <c r="D653" s="104"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c r="A654" s="85"/>
      <c r="B654" s="103">
        <f>_xlfn.XLOOKUP(A654,Equipe!H:H,Equipe!B:B,"",0)</f>
        <v>0</v>
      </c>
      <c r="C654" s="89"/>
      <c r="D654" s="104"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c r="A655" s="85"/>
      <c r="B655" s="103">
        <f>_xlfn.XLOOKUP(A655,Equipe!H:H,Equipe!B:B,"",0)</f>
        <v>0</v>
      </c>
      <c r="C655" s="89"/>
      <c r="D655" s="104"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c r="A656" s="85"/>
      <c r="B656" s="103">
        <f>_xlfn.XLOOKUP(A656,Equipe!H:H,Equipe!B:B,"",0)</f>
        <v>0</v>
      </c>
      <c r="C656" s="89"/>
      <c r="D656" s="104"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c r="A657" s="85"/>
      <c r="B657" s="103">
        <f>_xlfn.XLOOKUP(A657,Equipe!H:H,Equipe!B:B,"",0)</f>
        <v>0</v>
      </c>
      <c r="C657" s="89"/>
      <c r="D657" s="104"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c r="A658" s="85"/>
      <c r="B658" s="103">
        <f>_xlfn.XLOOKUP(A658,Equipe!H:H,Equipe!B:B,"",0)</f>
        <v>0</v>
      </c>
      <c r="C658" s="89"/>
      <c r="D658" s="104"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c r="A659" s="85"/>
      <c r="B659" s="103">
        <f>_xlfn.XLOOKUP(A659,Equipe!H:H,Equipe!B:B,"",0)</f>
        <v>0</v>
      </c>
      <c r="C659" s="89"/>
      <c r="D659" s="104"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c r="A660" s="85"/>
      <c r="B660" s="103">
        <f>_xlfn.XLOOKUP(A660,Equipe!H:H,Equipe!B:B,"",0)</f>
        <v>0</v>
      </c>
      <c r="C660" s="89"/>
      <c r="D660" s="104"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c r="A661" s="85"/>
      <c r="B661" s="103">
        <f>_xlfn.XLOOKUP(A661,Equipe!H:H,Equipe!B:B,"",0)</f>
        <v>0</v>
      </c>
      <c r="C661" s="89"/>
      <c r="D661" s="104"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c r="A662" s="85"/>
      <c r="B662" s="103">
        <f>_xlfn.XLOOKUP(A662,Equipe!H:H,Equipe!B:B,"",0)</f>
        <v>0</v>
      </c>
      <c r="C662" s="89"/>
      <c r="D662" s="104"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c r="A663" s="85"/>
      <c r="B663" s="103">
        <f>_xlfn.XLOOKUP(A663,Equipe!H:H,Equipe!B:B,"",0)</f>
        <v>0</v>
      </c>
      <c r="C663" s="89"/>
      <c r="D663" s="104"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c r="A664" s="85"/>
      <c r="B664" s="103">
        <f>_xlfn.XLOOKUP(A664,Equipe!H:H,Equipe!B:B,"",0)</f>
        <v>0</v>
      </c>
      <c r="C664" s="89"/>
      <c r="D664" s="104"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c r="A665" s="85"/>
      <c r="B665" s="103">
        <f>_xlfn.XLOOKUP(A665,Equipe!H:H,Equipe!B:B,"",0)</f>
        <v>0</v>
      </c>
      <c r="C665" s="89"/>
      <c r="D665" s="104"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c r="A666" s="85"/>
      <c r="B666" s="103">
        <f>_xlfn.XLOOKUP(A666,Equipe!H:H,Equipe!B:B,"",0)</f>
        <v>0</v>
      </c>
      <c r="C666" s="89"/>
      <c r="D666" s="104"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c r="A667" s="85"/>
      <c r="B667" s="103">
        <f>_xlfn.XLOOKUP(A667,Equipe!H:H,Equipe!B:B,"",0)</f>
        <v>0</v>
      </c>
      <c r="C667" s="89"/>
      <c r="D667" s="104"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c r="A668" s="85"/>
      <c r="B668" s="103">
        <f>_xlfn.XLOOKUP(A668,Equipe!H:H,Equipe!B:B,"",0)</f>
        <v>0</v>
      </c>
      <c r="C668" s="89"/>
      <c r="D668" s="104"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c r="A669" s="85"/>
      <c r="B669" s="103">
        <f>_xlfn.XLOOKUP(A669,Equipe!H:H,Equipe!B:B,"",0)</f>
        <v>0</v>
      </c>
      <c r="C669" s="89"/>
      <c r="D669" s="104"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c r="A670" s="85"/>
      <c r="B670" s="103">
        <f>_xlfn.XLOOKUP(A670,Equipe!H:H,Equipe!B:B,"",0)</f>
        <v>0</v>
      </c>
      <c r="C670" s="89"/>
      <c r="D670" s="104"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c r="A671" s="85"/>
      <c r="B671" s="103">
        <f>_xlfn.XLOOKUP(A671,Equipe!H:H,Equipe!B:B,"",0)</f>
        <v>0</v>
      </c>
      <c r="C671" s="89"/>
      <c r="D671" s="104"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c r="A672" s="85"/>
      <c r="B672" s="103">
        <f>_xlfn.XLOOKUP(A672,Equipe!H:H,Equipe!B:B,"",0)</f>
        <v>0</v>
      </c>
      <c r="C672" s="89"/>
      <c r="D672" s="104"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c r="A673" s="85"/>
      <c r="B673" s="103">
        <f>_xlfn.XLOOKUP(A673,Equipe!H:H,Equipe!B:B,"",0)</f>
        <v>0</v>
      </c>
      <c r="C673" s="89"/>
      <c r="D673" s="104"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c r="A674" s="85"/>
      <c r="B674" s="103">
        <f>_xlfn.XLOOKUP(A674,Equipe!H:H,Equipe!B:B,"",0)</f>
        <v>0</v>
      </c>
      <c r="C674" s="89"/>
      <c r="D674" s="104"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c r="A675" s="85"/>
      <c r="B675" s="103">
        <f>_xlfn.XLOOKUP(A675,Equipe!H:H,Equipe!B:B,"",0)</f>
        <v>0</v>
      </c>
      <c r="C675" s="89"/>
      <c r="D675" s="104"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c r="A676" s="85"/>
      <c r="B676" s="103">
        <f>_xlfn.XLOOKUP(A676,Equipe!H:H,Equipe!B:B,"",0)</f>
        <v>0</v>
      </c>
      <c r="C676" s="89"/>
      <c r="D676" s="104"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c r="A677" s="85"/>
      <c r="B677" s="103">
        <f>_xlfn.XLOOKUP(A677,Equipe!H:H,Equipe!B:B,"",0)</f>
        <v>0</v>
      </c>
      <c r="C677" s="89"/>
      <c r="D677" s="104"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c r="A678" s="85"/>
      <c r="B678" s="103">
        <f>_xlfn.XLOOKUP(A678,Equipe!H:H,Equipe!B:B,"",0)</f>
        <v>0</v>
      </c>
      <c r="C678" s="89"/>
      <c r="D678" s="104"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c r="A679" s="85"/>
      <c r="B679" s="103">
        <f>_xlfn.XLOOKUP(A679,Equipe!H:H,Equipe!B:B,"",0)</f>
        <v>0</v>
      </c>
      <c r="C679" s="89"/>
      <c r="D679" s="104"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c r="A680" s="85"/>
      <c r="B680" s="103">
        <f>_xlfn.XLOOKUP(A680,Equipe!H:H,Equipe!B:B,"",0)</f>
        <v>0</v>
      </c>
      <c r="C680" s="89"/>
      <c r="D680" s="104"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c r="A681" s="85"/>
      <c r="B681" s="103">
        <f>_xlfn.XLOOKUP(A681,Equipe!H:H,Equipe!B:B,"",0)</f>
        <v>0</v>
      </c>
      <c r="C681" s="89"/>
      <c r="D681" s="104"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c r="A682" s="85"/>
      <c r="B682" s="103">
        <f>_xlfn.XLOOKUP(A682,Equipe!H:H,Equipe!B:B,"",0)</f>
        <v>0</v>
      </c>
      <c r="C682" s="89"/>
      <c r="D682" s="104"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c r="A683" s="85"/>
      <c r="B683" s="103">
        <f>_xlfn.XLOOKUP(A683,Equipe!H:H,Equipe!B:B,"",0)</f>
        <v>0</v>
      </c>
      <c r="C683" s="89"/>
      <c r="D683" s="104"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c r="A684" s="85"/>
      <c r="B684" s="103">
        <f>_xlfn.XLOOKUP(A684,Equipe!H:H,Equipe!B:B,"",0)</f>
        <v>0</v>
      </c>
      <c r="C684" s="89"/>
      <c r="D684" s="104"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c r="A685" s="85"/>
      <c r="B685" s="103">
        <f>_xlfn.XLOOKUP(A685,Equipe!H:H,Equipe!B:B,"",0)</f>
        <v>0</v>
      </c>
      <c r="C685" s="89"/>
      <c r="D685" s="104"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c r="A686" s="85"/>
      <c r="B686" s="103">
        <f>_xlfn.XLOOKUP(A686,Equipe!H:H,Equipe!B:B,"",0)</f>
        <v>0</v>
      </c>
      <c r="C686" s="89"/>
      <c r="D686" s="104"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c r="A687" s="85"/>
      <c r="B687" s="103">
        <f>_xlfn.XLOOKUP(A687,Equipe!H:H,Equipe!B:B,"",0)</f>
        <v>0</v>
      </c>
      <c r="C687" s="89"/>
      <c r="D687" s="104"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c r="A688" s="85"/>
      <c r="B688" s="103">
        <f>_xlfn.XLOOKUP(A688,Equipe!H:H,Equipe!B:B,"",0)</f>
        <v>0</v>
      </c>
      <c r="C688" s="89"/>
      <c r="D688" s="104"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c r="A689" s="85"/>
      <c r="B689" s="103">
        <f>_xlfn.XLOOKUP(A689,Equipe!H:H,Equipe!B:B,"",0)</f>
        <v>0</v>
      </c>
      <c r="C689" s="89"/>
      <c r="D689" s="104"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c r="A690" s="85"/>
      <c r="B690" s="103">
        <f>_xlfn.XLOOKUP(A690,Equipe!H:H,Equipe!B:B,"",0)</f>
        <v>0</v>
      </c>
      <c r="C690" s="89"/>
      <c r="D690" s="104"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c r="A691" s="85"/>
      <c r="B691" s="103">
        <f>_xlfn.XLOOKUP(A691,Equipe!H:H,Equipe!B:B,"",0)</f>
        <v>0</v>
      </c>
      <c r="C691" s="89"/>
      <c r="D691" s="104"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c r="A692" s="85"/>
      <c r="B692" s="103">
        <f>_xlfn.XLOOKUP(A692,Equipe!H:H,Equipe!B:B,"",0)</f>
        <v>0</v>
      </c>
      <c r="C692" s="89"/>
      <c r="D692" s="104"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c r="A693" s="85"/>
      <c r="B693" s="103">
        <f>_xlfn.XLOOKUP(A693,Equipe!H:H,Equipe!B:B,"",0)</f>
        <v>0</v>
      </c>
      <c r="C693" s="89"/>
      <c r="D693" s="104"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c r="A694" s="85"/>
      <c r="B694" s="103">
        <f>_xlfn.XLOOKUP(A694,Equipe!H:H,Equipe!B:B,"",0)</f>
        <v>0</v>
      </c>
      <c r="C694" s="89"/>
      <c r="D694" s="104"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c r="A695" s="85"/>
      <c r="B695" s="103">
        <f>_xlfn.XLOOKUP(A695,Equipe!H:H,Equipe!B:B,"",0)</f>
        <v>0</v>
      </c>
      <c r="C695" s="89"/>
      <c r="D695" s="104"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c r="A696" s="85"/>
      <c r="B696" s="103">
        <f>_xlfn.XLOOKUP(A696,Equipe!H:H,Equipe!B:B,"",0)</f>
        <v>0</v>
      </c>
      <c r="C696" s="89"/>
      <c r="D696" s="104"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c r="A697" s="85"/>
      <c r="B697" s="103">
        <f>_xlfn.XLOOKUP(A697,Equipe!H:H,Equipe!B:B,"",0)</f>
        <v>0</v>
      </c>
      <c r="C697" s="89"/>
      <c r="D697" s="104"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c r="A698" s="85"/>
      <c r="B698" s="103">
        <f>_xlfn.XLOOKUP(A698,Equipe!H:H,Equipe!B:B,"",0)</f>
        <v>0</v>
      </c>
      <c r="C698" s="89"/>
      <c r="D698" s="104"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c r="A699" s="85"/>
      <c r="B699" s="103">
        <f>_xlfn.XLOOKUP(A699,Equipe!H:H,Equipe!B:B,"",0)</f>
        <v>0</v>
      </c>
      <c r="C699" s="89"/>
      <c r="D699" s="104"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c r="A700" s="85"/>
      <c r="B700" s="103">
        <f>_xlfn.XLOOKUP(A700,Equipe!H:H,Equipe!B:B,"",0)</f>
        <v>0</v>
      </c>
      <c r="C700" s="89"/>
      <c r="D700" s="104"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c r="A701" s="85"/>
      <c r="B701" s="103">
        <f>_xlfn.XLOOKUP(A701,Equipe!H:H,Equipe!B:B,"",0)</f>
        <v>0</v>
      </c>
      <c r="C701" s="89"/>
      <c r="D701" s="104"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c r="A702" s="85"/>
      <c r="B702" s="103">
        <f>_xlfn.XLOOKUP(A702,Equipe!H:H,Equipe!B:B,"",0)</f>
        <v>0</v>
      </c>
      <c r="C702" s="89"/>
      <c r="D702" s="104"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c r="A703" s="85"/>
      <c r="B703" s="103">
        <f>_xlfn.XLOOKUP(A703,Equipe!H:H,Equipe!B:B,"",0)</f>
        <v>0</v>
      </c>
      <c r="C703" s="89"/>
      <c r="D703" s="104"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c r="A704" s="85"/>
      <c r="B704" s="103">
        <f>_xlfn.XLOOKUP(A704,Equipe!H:H,Equipe!B:B,"",0)</f>
        <v>0</v>
      </c>
      <c r="C704" s="89"/>
      <c r="D704" s="104"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c r="A705" s="85"/>
      <c r="B705" s="103">
        <f>_xlfn.XLOOKUP(A705,Equipe!H:H,Equipe!B:B,"",0)</f>
        <v>0</v>
      </c>
      <c r="C705" s="89"/>
      <c r="D705" s="104"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c r="A706" s="85"/>
      <c r="B706" s="103">
        <f>_xlfn.XLOOKUP(A706,Equipe!H:H,Equipe!B:B,"",0)</f>
        <v>0</v>
      </c>
      <c r="C706" s="89"/>
      <c r="D706" s="104"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c r="A707" s="85"/>
      <c r="B707" s="103">
        <f>_xlfn.XLOOKUP(A707,Equipe!H:H,Equipe!B:B,"",0)</f>
        <v>0</v>
      </c>
      <c r="C707" s="89"/>
      <c r="D707" s="104"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c r="A708" s="85"/>
      <c r="B708" s="103">
        <f>_xlfn.XLOOKUP(A708,Equipe!H:H,Equipe!B:B,"",0)</f>
        <v>0</v>
      </c>
      <c r="C708" s="89"/>
      <c r="D708" s="104"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c r="A709" s="85"/>
      <c r="B709" s="103">
        <f>_xlfn.XLOOKUP(A709,Equipe!H:H,Equipe!B:B,"",0)</f>
        <v>0</v>
      </c>
      <c r="C709" s="89"/>
      <c r="D709" s="104"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c r="A710" s="85"/>
      <c r="B710" s="103">
        <f>_xlfn.XLOOKUP(A710,Equipe!H:H,Equipe!B:B,"",0)</f>
        <v>0</v>
      </c>
      <c r="C710" s="89"/>
      <c r="D710" s="104"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c r="A711" s="85"/>
      <c r="B711" s="103">
        <f>_xlfn.XLOOKUP(A711,Equipe!H:H,Equipe!B:B,"",0)</f>
        <v>0</v>
      </c>
      <c r="C711" s="89"/>
      <c r="D711" s="104"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c r="A712" s="85"/>
      <c r="B712" s="103">
        <f>_xlfn.XLOOKUP(A712,Equipe!H:H,Equipe!B:B,"",0)</f>
        <v>0</v>
      </c>
      <c r="C712" s="89"/>
      <c r="D712" s="104"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c r="A713" s="85"/>
      <c r="B713" s="103">
        <f>_xlfn.XLOOKUP(A713,Equipe!H:H,Equipe!B:B,"",0)</f>
        <v>0</v>
      </c>
      <c r="C713" s="89"/>
      <c r="D713" s="104"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c r="A714" s="85"/>
      <c r="B714" s="103">
        <f>_xlfn.XLOOKUP(A714,Equipe!H:H,Equipe!B:B,"",0)</f>
        <v>0</v>
      </c>
      <c r="C714" s="89"/>
      <c r="D714" s="104"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c r="A715" s="85"/>
      <c r="B715" s="103">
        <f>_xlfn.XLOOKUP(A715,Equipe!H:H,Equipe!B:B,"",0)</f>
        <v>0</v>
      </c>
      <c r="C715" s="89"/>
      <c r="D715" s="104"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c r="A716" s="85"/>
      <c r="B716" s="103">
        <f>_xlfn.XLOOKUP(A716,Equipe!H:H,Equipe!B:B,"",0)</f>
        <v>0</v>
      </c>
      <c r="C716" s="89"/>
      <c r="D716" s="104"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c r="A717" s="85"/>
      <c r="B717" s="103">
        <f>_xlfn.XLOOKUP(A717,Equipe!H:H,Equipe!B:B,"",0)</f>
        <v>0</v>
      </c>
      <c r="C717" s="89"/>
      <c r="D717" s="104"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c r="A718" s="85"/>
      <c r="B718" s="103">
        <f>_xlfn.XLOOKUP(A718,Equipe!H:H,Equipe!B:B,"",0)</f>
        <v>0</v>
      </c>
      <c r="C718" s="89"/>
      <c r="D718" s="104"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c r="A719" s="85"/>
      <c r="B719" s="103">
        <f>_xlfn.XLOOKUP(A719,Equipe!H:H,Equipe!B:B,"",0)</f>
        <v>0</v>
      </c>
      <c r="C719" s="89"/>
      <c r="D719" s="104"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c r="A720" s="85"/>
      <c r="B720" s="103">
        <f>_xlfn.XLOOKUP(A720,Equipe!H:H,Equipe!B:B,"",0)</f>
        <v>0</v>
      </c>
      <c r="C720" s="89"/>
      <c r="D720" s="104"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c r="A721" s="85"/>
      <c r="B721" s="103">
        <f>_xlfn.XLOOKUP(A721,Equipe!H:H,Equipe!B:B,"",0)</f>
        <v>0</v>
      </c>
      <c r="C721" s="89"/>
      <c r="D721" s="104"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c r="A722" s="85"/>
      <c r="B722" s="103">
        <f>_xlfn.XLOOKUP(A722,Equipe!H:H,Equipe!B:B,"",0)</f>
        <v>0</v>
      </c>
      <c r="C722" s="89"/>
      <c r="D722" s="104"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c r="A723" s="85"/>
      <c r="B723" s="103">
        <f>_xlfn.XLOOKUP(A723,Equipe!H:H,Equipe!B:B,"",0)</f>
        <v>0</v>
      </c>
      <c r="C723" s="89"/>
      <c r="D723" s="104"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c r="A724" s="85"/>
      <c r="B724" s="103">
        <f>_xlfn.XLOOKUP(A724,Equipe!H:H,Equipe!B:B,"",0)</f>
        <v>0</v>
      </c>
      <c r="C724" s="89"/>
      <c r="D724" s="104"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c r="A725" s="85"/>
      <c r="B725" s="103">
        <f>_xlfn.XLOOKUP(A725,Equipe!H:H,Equipe!B:B,"",0)</f>
        <v>0</v>
      </c>
      <c r="C725" s="89"/>
      <c r="D725" s="104"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c r="A726" s="85"/>
      <c r="B726" s="103">
        <f>_xlfn.XLOOKUP(A726,Equipe!H:H,Equipe!B:B,"",0)</f>
        <v>0</v>
      </c>
      <c r="C726" s="89"/>
      <c r="D726" s="104"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c r="A727" s="85"/>
      <c r="B727" s="103">
        <f>_xlfn.XLOOKUP(A727,Equipe!H:H,Equipe!B:B,"",0)</f>
        <v>0</v>
      </c>
      <c r="C727" s="89"/>
      <c r="D727" s="104"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c r="A728" s="85"/>
      <c r="B728" s="103">
        <f>_xlfn.XLOOKUP(A728,Equipe!H:H,Equipe!B:B,"",0)</f>
        <v>0</v>
      </c>
      <c r="C728" s="89"/>
      <c r="D728" s="104"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c r="A729" s="85"/>
      <c r="B729" s="103">
        <f>_xlfn.XLOOKUP(A729,Equipe!H:H,Equipe!B:B,"",0)</f>
        <v>0</v>
      </c>
      <c r="C729" s="89"/>
      <c r="D729" s="104"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c r="A730" s="85"/>
      <c r="B730" s="103">
        <f>_xlfn.XLOOKUP(A730,Equipe!H:H,Equipe!B:B,"",0)</f>
        <v>0</v>
      </c>
      <c r="C730" s="89"/>
      <c r="D730" s="104"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c r="A731" s="85"/>
      <c r="B731" s="103">
        <f>_xlfn.XLOOKUP(A731,Equipe!H:H,Equipe!B:B,"",0)</f>
        <v>0</v>
      </c>
      <c r="C731" s="89"/>
      <c r="D731" s="104"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c r="A732" s="85"/>
      <c r="B732" s="103">
        <f>_xlfn.XLOOKUP(A732,Equipe!H:H,Equipe!B:B,"",0)</f>
        <v>0</v>
      </c>
      <c r="C732" s="89"/>
      <c r="D732" s="104"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c r="A733" s="85"/>
      <c r="B733" s="103">
        <f>_xlfn.XLOOKUP(A733,Equipe!H:H,Equipe!B:B,"",0)</f>
        <v>0</v>
      </c>
      <c r="C733" s="89"/>
      <c r="D733" s="104"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c r="A734" s="85"/>
      <c r="B734" s="103">
        <f>_xlfn.XLOOKUP(A734,Equipe!H:H,Equipe!B:B,"",0)</f>
        <v>0</v>
      </c>
      <c r="C734" s="89"/>
      <c r="D734" s="104"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c r="A735" s="85"/>
      <c r="B735" s="103">
        <f>_xlfn.XLOOKUP(A735,Equipe!H:H,Equipe!B:B,"",0)</f>
        <v>0</v>
      </c>
      <c r="C735" s="89"/>
      <c r="D735" s="104"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c r="A736" s="85"/>
      <c r="B736" s="103">
        <f>_xlfn.XLOOKUP(A736,Equipe!H:H,Equipe!B:B,"",0)</f>
        <v>0</v>
      </c>
      <c r="C736" s="89"/>
      <c r="D736" s="104"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c r="A737" s="85"/>
      <c r="B737" s="103">
        <f>_xlfn.XLOOKUP(A737,Equipe!H:H,Equipe!B:B,"",0)</f>
        <v>0</v>
      </c>
      <c r="C737" s="89"/>
      <c r="D737" s="104"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c r="A738" s="85"/>
      <c r="B738" s="103">
        <f>_xlfn.XLOOKUP(A738,Equipe!H:H,Equipe!B:B,"",0)</f>
        <v>0</v>
      </c>
      <c r="C738" s="89"/>
      <c r="D738" s="104"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c r="A739" s="85"/>
      <c r="B739" s="103">
        <f>_xlfn.XLOOKUP(A739,Equipe!H:H,Equipe!B:B,"",0)</f>
        <v>0</v>
      </c>
      <c r="C739" s="89"/>
      <c r="D739" s="104"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c r="A740" s="85"/>
      <c r="B740" s="103">
        <f>_xlfn.XLOOKUP(A740,Equipe!H:H,Equipe!B:B,"",0)</f>
        <v>0</v>
      </c>
      <c r="C740" s="89"/>
      <c r="D740" s="104"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c r="A741" s="85"/>
      <c r="B741" s="103">
        <f>_xlfn.XLOOKUP(A741,Equipe!H:H,Equipe!B:B,"",0)</f>
        <v>0</v>
      </c>
      <c r="C741" s="89"/>
      <c r="D741" s="104"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c r="A742" s="85"/>
      <c r="B742" s="103">
        <f>_xlfn.XLOOKUP(A742,Equipe!H:H,Equipe!B:B,"",0)</f>
        <v>0</v>
      </c>
      <c r="C742" s="89"/>
      <c r="D742" s="104"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c r="A743" s="85"/>
      <c r="B743" s="103">
        <f>_xlfn.XLOOKUP(A743,Equipe!H:H,Equipe!B:B,"",0)</f>
        <v>0</v>
      </c>
      <c r="C743" s="89"/>
      <c r="D743" s="104"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c r="A744" s="85"/>
      <c r="B744" s="103">
        <f>_xlfn.XLOOKUP(A744,Equipe!H:H,Equipe!B:B,"",0)</f>
        <v>0</v>
      </c>
      <c r="C744" s="89"/>
      <c r="D744" s="104"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c r="A745" s="85"/>
      <c r="B745" s="103">
        <f>_xlfn.XLOOKUP(A745,Equipe!H:H,Equipe!B:B,"",0)</f>
        <v>0</v>
      </c>
      <c r="C745" s="89"/>
      <c r="D745" s="104"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c r="A746" s="85"/>
      <c r="B746" s="103">
        <f>_xlfn.XLOOKUP(A746,Equipe!H:H,Equipe!B:B,"",0)</f>
        <v>0</v>
      </c>
      <c r="C746" s="89"/>
      <c r="D746" s="104"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c r="A747" s="85"/>
      <c r="B747" s="103">
        <f>_xlfn.XLOOKUP(A747,Equipe!H:H,Equipe!B:B,"",0)</f>
        <v>0</v>
      </c>
      <c r="C747" s="89"/>
      <c r="D747" s="104"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c r="A748" s="85"/>
      <c r="B748" s="103">
        <f>_xlfn.XLOOKUP(A748,Equipe!H:H,Equipe!B:B,"",0)</f>
        <v>0</v>
      </c>
      <c r="C748" s="89"/>
      <c r="D748" s="104"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c r="A749" s="85"/>
      <c r="B749" s="103">
        <f>_xlfn.XLOOKUP(A749,Equipe!H:H,Equipe!B:B,"",0)</f>
        <v>0</v>
      </c>
      <c r="C749" s="89"/>
      <c r="D749" s="104"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c r="A750" s="85"/>
      <c r="B750" s="103">
        <f>_xlfn.XLOOKUP(A750,Equipe!H:H,Equipe!B:B,"",0)</f>
        <v>0</v>
      </c>
      <c r="C750" s="89"/>
      <c r="D750" s="104"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c r="A751" s="85"/>
      <c r="B751" s="103">
        <f>_xlfn.XLOOKUP(A751,Equipe!H:H,Equipe!B:B,"",0)</f>
        <v>0</v>
      </c>
      <c r="C751" s="89"/>
      <c r="D751" s="104"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c r="A752" s="85"/>
      <c r="B752" s="103">
        <f>_xlfn.XLOOKUP(A752,Equipe!H:H,Equipe!B:B,"",0)</f>
        <v>0</v>
      </c>
      <c r="C752" s="89"/>
      <c r="D752" s="104"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c r="A753" s="85"/>
      <c r="B753" s="103">
        <f>_xlfn.XLOOKUP(A753,Equipe!H:H,Equipe!B:B,"",0)</f>
        <v>0</v>
      </c>
      <c r="C753" s="89"/>
      <c r="D753" s="104"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c r="A754" s="85"/>
      <c r="B754" s="103">
        <f>_xlfn.XLOOKUP(A754,Equipe!H:H,Equipe!B:B,"",0)</f>
        <v>0</v>
      </c>
      <c r="C754" s="89"/>
      <c r="D754" s="104"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c r="A755" s="85"/>
      <c r="B755" s="103">
        <f>_xlfn.XLOOKUP(A755,Equipe!H:H,Equipe!B:B,"",0)</f>
        <v>0</v>
      </c>
      <c r="C755" s="89"/>
      <c r="D755" s="104"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c r="A756" s="85"/>
      <c r="B756" s="103">
        <f>_xlfn.XLOOKUP(A756,Equipe!H:H,Equipe!B:B,"",0)</f>
        <v>0</v>
      </c>
      <c r="C756" s="89"/>
      <c r="D756" s="104"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c r="A757" s="85"/>
      <c r="B757" s="103">
        <f>_xlfn.XLOOKUP(A757,Equipe!H:H,Equipe!B:B,"",0)</f>
        <v>0</v>
      </c>
      <c r="C757" s="89"/>
      <c r="D757" s="104"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c r="A758" s="85"/>
      <c r="B758" s="103">
        <f>_xlfn.XLOOKUP(A758,Equipe!H:H,Equipe!B:B,"",0)</f>
        <v>0</v>
      </c>
      <c r="C758" s="89"/>
      <c r="D758" s="104"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c r="A759" s="85"/>
      <c r="B759" s="103">
        <f>_xlfn.XLOOKUP(A759,Equipe!H:H,Equipe!B:B,"",0)</f>
        <v>0</v>
      </c>
      <c r="C759" s="89"/>
      <c r="D759" s="104"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c r="A760" s="85"/>
      <c r="B760" s="103">
        <f>_xlfn.XLOOKUP(A760,Equipe!H:H,Equipe!B:B,"",0)</f>
        <v>0</v>
      </c>
      <c r="C760" s="89"/>
      <c r="D760" s="104"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c r="A761" s="85"/>
      <c r="B761" s="103">
        <f>_xlfn.XLOOKUP(A761,Equipe!H:H,Equipe!B:B,"",0)</f>
        <v>0</v>
      </c>
      <c r="C761" s="89"/>
      <c r="D761" s="104"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c r="A762" s="85"/>
      <c r="B762" s="103">
        <f>_xlfn.XLOOKUP(A762,Equipe!H:H,Equipe!B:B,"",0)</f>
        <v>0</v>
      </c>
      <c r="C762" s="89"/>
      <c r="D762" s="104"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c r="A763" s="85"/>
      <c r="B763" s="103">
        <f>_xlfn.XLOOKUP(A763,Equipe!H:H,Equipe!B:B,"",0)</f>
        <v>0</v>
      </c>
      <c r="C763" s="89"/>
      <c r="D763" s="104"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c r="A764" s="85"/>
      <c r="B764" s="103">
        <f>_xlfn.XLOOKUP(A764,Equipe!H:H,Equipe!B:B,"",0)</f>
        <v>0</v>
      </c>
      <c r="C764" s="89"/>
      <c r="D764" s="104"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c r="A765" s="85"/>
      <c r="B765" s="103">
        <f>_xlfn.XLOOKUP(A765,Equipe!H:H,Equipe!B:B,"",0)</f>
        <v>0</v>
      </c>
      <c r="C765" s="89"/>
      <c r="D765" s="104"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c r="A766" s="85"/>
      <c r="B766" s="103">
        <f>_xlfn.XLOOKUP(A766,Equipe!H:H,Equipe!B:B,"",0)</f>
        <v>0</v>
      </c>
      <c r="C766" s="89"/>
      <c r="D766" s="104"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c r="A767" s="85"/>
      <c r="B767" s="103">
        <f>_xlfn.XLOOKUP(A767,Equipe!H:H,Equipe!B:B,"",0)</f>
        <v>0</v>
      </c>
      <c r="C767" s="89"/>
      <c r="D767" s="104"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c r="A768" s="85"/>
      <c r="B768" s="103">
        <f>_xlfn.XLOOKUP(A768,Equipe!H:H,Equipe!B:B,"",0)</f>
        <v>0</v>
      </c>
      <c r="C768" s="89"/>
      <c r="D768" s="104"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c r="A769" s="85"/>
      <c r="B769" s="103">
        <f>_xlfn.XLOOKUP(A769,Equipe!H:H,Equipe!B:B,"",0)</f>
        <v>0</v>
      </c>
      <c r="C769" s="89"/>
      <c r="D769" s="104"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c r="A770" s="85"/>
      <c r="B770" s="103">
        <f>_xlfn.XLOOKUP(A770,Equipe!H:H,Equipe!B:B,"",0)</f>
        <v>0</v>
      </c>
      <c r="C770" s="89"/>
      <c r="D770" s="104"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c r="A771" s="85"/>
      <c r="B771" s="103">
        <f>_xlfn.XLOOKUP(A771,Equipe!H:H,Equipe!B:B,"",0)</f>
        <v>0</v>
      </c>
      <c r="C771" s="89"/>
      <c r="D771" s="104"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c r="A772" s="85"/>
      <c r="B772" s="103">
        <f>_xlfn.XLOOKUP(A772,Equipe!H:H,Equipe!B:B,"",0)</f>
        <v>0</v>
      </c>
      <c r="C772" s="89"/>
      <c r="D772" s="104"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c r="A773" s="85"/>
      <c r="B773" s="103">
        <f>_xlfn.XLOOKUP(A773,Equipe!H:H,Equipe!B:B,"",0)</f>
        <v>0</v>
      </c>
      <c r="C773" s="89"/>
      <c r="D773" s="104"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c r="A774" s="85"/>
      <c r="B774" s="103">
        <f>_xlfn.XLOOKUP(A774,Equipe!H:H,Equipe!B:B,"",0)</f>
        <v>0</v>
      </c>
      <c r="C774" s="89"/>
      <c r="D774" s="104"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c r="A775" s="85"/>
      <c r="B775" s="103">
        <f>_xlfn.XLOOKUP(A775,Equipe!H:H,Equipe!B:B,"",0)</f>
        <v>0</v>
      </c>
      <c r="C775" s="89"/>
      <c r="D775" s="104"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c r="A776" s="85"/>
      <c r="B776" s="103">
        <f>_xlfn.XLOOKUP(A776,Equipe!H:H,Equipe!B:B,"",0)</f>
        <v>0</v>
      </c>
      <c r="C776" s="89"/>
      <c r="D776" s="104"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c r="A777" s="85"/>
      <c r="B777" s="103">
        <f>_xlfn.XLOOKUP(A777,Equipe!H:H,Equipe!B:B,"",0)</f>
        <v>0</v>
      </c>
      <c r="C777" s="89"/>
      <c r="D777" s="104"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c r="A778" s="85"/>
      <c r="B778" s="103">
        <f>_xlfn.XLOOKUP(A778,Equipe!H:H,Equipe!B:B,"",0)</f>
        <v>0</v>
      </c>
      <c r="C778" s="89"/>
      <c r="D778" s="104"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c r="A779" s="85"/>
      <c r="B779" s="103">
        <f>_xlfn.XLOOKUP(A779,Equipe!H:H,Equipe!B:B,"",0)</f>
        <v>0</v>
      </c>
      <c r="C779" s="89"/>
      <c r="D779" s="104"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c r="A780" s="85"/>
      <c r="B780" s="103">
        <f>_xlfn.XLOOKUP(A780,Equipe!H:H,Equipe!B:B,"",0)</f>
        <v>0</v>
      </c>
      <c r="C780" s="89"/>
      <c r="D780" s="104"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c r="A781" s="85"/>
      <c r="B781" s="103">
        <f>_xlfn.XLOOKUP(A781,Equipe!H:H,Equipe!B:B,"",0)</f>
        <v>0</v>
      </c>
      <c r="C781" s="89"/>
      <c r="D781" s="104"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c r="A782" s="85"/>
      <c r="B782" s="103">
        <f>_xlfn.XLOOKUP(A782,Equipe!H:H,Equipe!B:B,"",0)</f>
        <v>0</v>
      </c>
      <c r="C782" s="89"/>
      <c r="D782" s="104"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c r="A783" s="85"/>
      <c r="B783" s="103">
        <f>_xlfn.XLOOKUP(A783,Equipe!H:H,Equipe!B:B,"",0)</f>
        <v>0</v>
      </c>
      <c r="C783" s="89"/>
      <c r="D783" s="104"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c r="A784" s="85"/>
      <c r="B784" s="103">
        <f>_xlfn.XLOOKUP(A784,Equipe!H:H,Equipe!B:B,"",0)</f>
        <v>0</v>
      </c>
      <c r="C784" s="89"/>
      <c r="D784" s="104"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c r="A785" s="85"/>
      <c r="B785" s="103">
        <f>_xlfn.XLOOKUP(A785,Equipe!H:H,Equipe!B:B,"",0)</f>
        <v>0</v>
      </c>
      <c r="C785" s="89"/>
      <c r="D785" s="104"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c r="A786" s="85"/>
      <c r="B786" s="103">
        <f>_xlfn.XLOOKUP(A786,Equipe!H:H,Equipe!B:B,"",0)</f>
        <v>0</v>
      </c>
      <c r="C786" s="89"/>
      <c r="D786" s="104"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c r="A787" s="85"/>
      <c r="B787" s="103">
        <f>_xlfn.XLOOKUP(A787,Equipe!H:H,Equipe!B:B,"",0)</f>
        <v>0</v>
      </c>
      <c r="C787" s="89"/>
      <c r="D787" s="104"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c r="A788" s="85"/>
      <c r="B788" s="103">
        <f>_xlfn.XLOOKUP(A788,Equipe!H:H,Equipe!B:B,"",0)</f>
        <v>0</v>
      </c>
      <c r="C788" s="89"/>
      <c r="D788" s="104"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c r="A789" s="85"/>
      <c r="B789" s="103">
        <f>_xlfn.XLOOKUP(A789,Equipe!H:H,Equipe!B:B,"",0)</f>
        <v>0</v>
      </c>
      <c r="C789" s="89"/>
      <c r="D789" s="104"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c r="A790" s="85"/>
      <c r="B790" s="103">
        <f>_xlfn.XLOOKUP(A790,Equipe!H:H,Equipe!B:B,"",0)</f>
        <v>0</v>
      </c>
      <c r="C790" s="89"/>
      <c r="D790" s="104"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c r="A791" s="85"/>
      <c r="B791" s="103">
        <f>_xlfn.XLOOKUP(A791,Equipe!H:H,Equipe!B:B,"",0)</f>
        <v>0</v>
      </c>
      <c r="C791" s="89"/>
      <c r="D791" s="104"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c r="A792" s="85"/>
      <c r="B792" s="103">
        <f>_xlfn.XLOOKUP(A792,Equipe!H:H,Equipe!B:B,"",0)</f>
        <v>0</v>
      </c>
      <c r="C792" s="89"/>
      <c r="D792" s="104"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c r="A793" s="85"/>
      <c r="B793" s="103">
        <f>_xlfn.XLOOKUP(A793,Equipe!H:H,Equipe!B:B,"",0)</f>
        <v>0</v>
      </c>
      <c r="C793" s="89"/>
      <c r="D793" s="104"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c r="A794" s="85"/>
      <c r="B794" s="103">
        <f>_xlfn.XLOOKUP(A794,Equipe!H:H,Equipe!B:B,"",0)</f>
        <v>0</v>
      </c>
      <c r="C794" s="89"/>
      <c r="D794" s="104"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c r="A795" s="85"/>
      <c r="B795" s="103">
        <f>_xlfn.XLOOKUP(A795,Equipe!H:H,Equipe!B:B,"",0)</f>
        <v>0</v>
      </c>
      <c r="C795" s="89"/>
      <c r="D795" s="104"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c r="A796" s="85"/>
      <c r="B796" s="103">
        <f>_xlfn.XLOOKUP(A796,Equipe!H:H,Equipe!B:B,"",0)</f>
        <v>0</v>
      </c>
      <c r="C796" s="89"/>
      <c r="D796" s="104"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c r="A797" s="85"/>
      <c r="B797" s="103">
        <f>_xlfn.XLOOKUP(A797,Equipe!H:H,Equipe!B:B,"",0)</f>
        <v>0</v>
      </c>
      <c r="C797" s="89"/>
      <c r="D797" s="104"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c r="A798" s="85"/>
      <c r="B798" s="103">
        <f>_xlfn.XLOOKUP(A798,Equipe!H:H,Equipe!B:B,"",0)</f>
        <v>0</v>
      </c>
      <c r="C798" s="89"/>
      <c r="D798" s="104"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c r="A799" s="85"/>
      <c r="B799" s="103">
        <f>_xlfn.XLOOKUP(A799,Equipe!H:H,Equipe!B:B,"",0)</f>
        <v>0</v>
      </c>
      <c r="C799" s="89"/>
      <c r="D799" s="104"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c r="A800" s="85"/>
      <c r="B800" s="103">
        <f>_xlfn.XLOOKUP(A800,Equipe!H:H,Equipe!B:B,"",0)</f>
        <v>0</v>
      </c>
      <c r="C800" s="89"/>
      <c r="D800" s="104"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c r="A801" s="85"/>
      <c r="B801" s="103">
        <f>_xlfn.XLOOKUP(A801,Equipe!H:H,Equipe!B:B,"",0)</f>
        <v>0</v>
      </c>
      <c r="C801" s="89"/>
      <c r="D801" s="104"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c r="A802" s="85"/>
      <c r="B802" s="103">
        <f>_xlfn.XLOOKUP(A802,Equipe!H:H,Equipe!B:B,"",0)</f>
        <v>0</v>
      </c>
      <c r="C802" s="89"/>
      <c r="D802" s="104"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c r="A803" s="85"/>
      <c r="B803" s="103">
        <f>_xlfn.XLOOKUP(A803,Equipe!H:H,Equipe!B:B,"",0)</f>
        <v>0</v>
      </c>
      <c r="C803" s="89"/>
      <c r="D803" s="104"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c r="A804" s="85"/>
      <c r="B804" s="103">
        <f>_xlfn.XLOOKUP(A804,Equipe!H:H,Equipe!B:B,"",0)</f>
        <v>0</v>
      </c>
      <c r="C804" s="89"/>
      <c r="D804" s="104"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c r="A805" s="85"/>
      <c r="B805" s="103">
        <f>_xlfn.XLOOKUP(A805,Equipe!H:H,Equipe!B:B,"",0)</f>
        <v>0</v>
      </c>
      <c r="C805" s="89"/>
      <c r="D805" s="104"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c r="A806" s="85"/>
      <c r="B806" s="103">
        <f>_xlfn.XLOOKUP(A806,Equipe!H:H,Equipe!B:B,"",0)</f>
        <v>0</v>
      </c>
      <c r="C806" s="89"/>
      <c r="D806" s="104"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c r="A807" s="85"/>
      <c r="B807" s="103">
        <f>_xlfn.XLOOKUP(A807,Equipe!H:H,Equipe!B:B,"",0)</f>
        <v>0</v>
      </c>
      <c r="C807" s="89"/>
      <c r="D807" s="104"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c r="A808" s="85"/>
      <c r="B808" s="103">
        <f>_xlfn.XLOOKUP(A808,Equipe!H:H,Equipe!B:B,"",0)</f>
        <v>0</v>
      </c>
      <c r="C808" s="89"/>
      <c r="D808" s="104"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c r="A809" s="85"/>
      <c r="B809" s="103">
        <f>_xlfn.XLOOKUP(A809,Equipe!H:H,Equipe!B:B,"",0)</f>
        <v>0</v>
      </c>
      <c r="C809" s="89"/>
      <c r="D809" s="104"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c r="A810" s="85"/>
      <c r="B810" s="103">
        <f>_xlfn.XLOOKUP(A810,Equipe!H:H,Equipe!B:B,"",0)</f>
        <v>0</v>
      </c>
      <c r="C810" s="89"/>
      <c r="D810" s="104"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c r="A811" s="85"/>
      <c r="B811" s="103">
        <f>_xlfn.XLOOKUP(A811,Equipe!H:H,Equipe!B:B,"",0)</f>
        <v>0</v>
      </c>
      <c r="C811" s="89"/>
      <c r="D811" s="104"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c r="A812" s="85"/>
      <c r="B812" s="103">
        <f>_xlfn.XLOOKUP(A812,Equipe!H:H,Equipe!B:B,"",0)</f>
        <v>0</v>
      </c>
      <c r="C812" s="89"/>
      <c r="D812" s="104"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c r="A813" s="85"/>
      <c r="B813" s="103">
        <f>_xlfn.XLOOKUP(A813,Equipe!H:H,Equipe!B:B,"",0)</f>
        <v>0</v>
      </c>
      <c r="C813" s="89"/>
      <c r="D813" s="104"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c r="A814" s="85"/>
      <c r="B814" s="103">
        <f>_xlfn.XLOOKUP(A814,Equipe!H:H,Equipe!B:B,"",0)</f>
        <v>0</v>
      </c>
      <c r="C814" s="89"/>
      <c r="D814" s="104"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c r="A815" s="85"/>
      <c r="B815" s="103">
        <f>_xlfn.XLOOKUP(A815,Equipe!H:H,Equipe!B:B,"",0)</f>
        <v>0</v>
      </c>
      <c r="C815" s="89"/>
      <c r="D815" s="104"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c r="A816" s="85"/>
      <c r="B816" s="103">
        <f>_xlfn.XLOOKUP(A816,Equipe!H:H,Equipe!B:B,"",0)</f>
        <v>0</v>
      </c>
      <c r="C816" s="89"/>
      <c r="D816" s="104"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c r="A817" s="85"/>
      <c r="B817" s="103">
        <f>_xlfn.XLOOKUP(A817,Equipe!H:H,Equipe!B:B,"",0)</f>
        <v>0</v>
      </c>
      <c r="C817" s="89"/>
      <c r="D817" s="104"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c r="A818" s="85"/>
      <c r="B818" s="103">
        <f>_xlfn.XLOOKUP(A818,Equipe!H:H,Equipe!B:B,"",0)</f>
        <v>0</v>
      </c>
      <c r="C818" s="89"/>
      <c r="D818" s="104"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c r="A819" s="85"/>
      <c r="B819" s="103">
        <f>_xlfn.XLOOKUP(A819,Equipe!H:H,Equipe!B:B,"",0)</f>
        <v>0</v>
      </c>
      <c r="C819" s="89"/>
      <c r="D819" s="104"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c r="A820" s="85"/>
      <c r="B820" s="103">
        <f>_xlfn.XLOOKUP(A820,Equipe!H:H,Equipe!B:B,"",0)</f>
        <v>0</v>
      </c>
      <c r="C820" s="89"/>
      <c r="D820" s="104"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c r="A821" s="85"/>
      <c r="B821" s="103">
        <f>_xlfn.XLOOKUP(A821,Equipe!H:H,Equipe!B:B,"",0)</f>
        <v>0</v>
      </c>
      <c r="C821" s="89"/>
      <c r="D821" s="104"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c r="A822" s="85"/>
      <c r="B822" s="103">
        <f>_xlfn.XLOOKUP(A822,Equipe!H:H,Equipe!B:B,"",0)</f>
        <v>0</v>
      </c>
      <c r="C822" s="89"/>
      <c r="D822" s="104"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c r="A823" s="85"/>
      <c r="B823" s="103">
        <f>_xlfn.XLOOKUP(A823,Equipe!H:H,Equipe!B:B,"",0)</f>
        <v>0</v>
      </c>
      <c r="C823" s="89"/>
      <c r="D823" s="104"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c r="A824" s="85"/>
      <c r="B824" s="103">
        <f>_xlfn.XLOOKUP(A824,Equipe!H:H,Equipe!B:B,"",0)</f>
        <v>0</v>
      </c>
      <c r="C824" s="89"/>
      <c r="D824" s="104"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c r="A825" s="85"/>
      <c r="B825" s="103">
        <f>_xlfn.XLOOKUP(A825,Equipe!H:H,Equipe!B:B,"",0)</f>
        <v>0</v>
      </c>
      <c r="C825" s="89"/>
      <c r="D825" s="104"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c r="A826" s="85"/>
      <c r="B826" s="103">
        <f>_xlfn.XLOOKUP(A826,Equipe!H:H,Equipe!B:B,"",0)</f>
        <v>0</v>
      </c>
      <c r="C826" s="89"/>
      <c r="D826" s="104"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c r="A827" s="85"/>
      <c r="B827" s="103">
        <f>_xlfn.XLOOKUP(A827,Equipe!H:H,Equipe!B:B,"",0)</f>
        <v>0</v>
      </c>
      <c r="C827" s="89"/>
      <c r="D827" s="104"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c r="A828" s="85"/>
      <c r="B828" s="103">
        <f>_xlfn.XLOOKUP(A828,Equipe!H:H,Equipe!B:B,"",0)</f>
        <v>0</v>
      </c>
      <c r="C828" s="89"/>
      <c r="D828" s="104"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c r="A829" s="85"/>
      <c r="B829" s="103">
        <f>_xlfn.XLOOKUP(A829,Equipe!H:H,Equipe!B:B,"",0)</f>
        <v>0</v>
      </c>
      <c r="C829" s="89"/>
      <c r="D829" s="104"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c r="A830" s="85"/>
      <c r="B830" s="103">
        <f>_xlfn.XLOOKUP(A830,Equipe!H:H,Equipe!B:B,"",0)</f>
        <v>0</v>
      </c>
      <c r="C830" s="89"/>
      <c r="D830" s="104"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c r="A831" s="85"/>
      <c r="B831" s="103">
        <f>_xlfn.XLOOKUP(A831,Equipe!H:H,Equipe!B:B,"",0)</f>
        <v>0</v>
      </c>
      <c r="C831" s="89"/>
      <c r="D831" s="104"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c r="A832" s="85"/>
      <c r="B832" s="103">
        <f>_xlfn.XLOOKUP(A832,Equipe!H:H,Equipe!B:B,"",0)</f>
        <v>0</v>
      </c>
      <c r="C832" s="89"/>
      <c r="D832" s="104"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c r="A833" s="85"/>
      <c r="B833" s="103">
        <f>_xlfn.XLOOKUP(A833,Equipe!H:H,Equipe!B:B,"",0)</f>
        <v>0</v>
      </c>
      <c r="C833" s="89"/>
      <c r="D833" s="104"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c r="A834" s="85"/>
      <c r="B834" s="103">
        <f>_xlfn.XLOOKUP(A834,Equipe!H:H,Equipe!B:B,"",0)</f>
        <v>0</v>
      </c>
      <c r="C834" s="89"/>
      <c r="D834" s="104"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c r="A835" s="85"/>
      <c r="B835" s="103">
        <f>_xlfn.XLOOKUP(A835,Equipe!H:H,Equipe!B:B,"",0)</f>
        <v>0</v>
      </c>
      <c r="C835" s="89"/>
      <c r="D835" s="104"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c r="A836" s="85"/>
      <c r="B836" s="103">
        <f>_xlfn.XLOOKUP(A836,Equipe!H:H,Equipe!B:B,"",0)</f>
        <v>0</v>
      </c>
      <c r="C836" s="89"/>
      <c r="D836" s="104"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c r="A837" s="85"/>
      <c r="B837" s="103">
        <f>_xlfn.XLOOKUP(A837,Equipe!H:H,Equipe!B:B,"",0)</f>
        <v>0</v>
      </c>
      <c r="C837" s="89"/>
      <c r="D837" s="104"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c r="A838" s="85"/>
      <c r="B838" s="103">
        <f>_xlfn.XLOOKUP(A838,Equipe!H:H,Equipe!B:B,"",0)</f>
        <v>0</v>
      </c>
      <c r="C838" s="89"/>
      <c r="D838" s="104"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c r="A839" s="85"/>
      <c r="B839" s="103">
        <f>_xlfn.XLOOKUP(A839,Equipe!H:H,Equipe!B:B,"",0)</f>
        <v>0</v>
      </c>
      <c r="C839" s="89"/>
      <c r="D839" s="104"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c r="A840" s="85"/>
      <c r="B840" s="103">
        <f>_xlfn.XLOOKUP(A840,Equipe!H:H,Equipe!B:B,"",0)</f>
        <v>0</v>
      </c>
      <c r="C840" s="89"/>
      <c r="D840" s="104"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c r="A841" s="85"/>
      <c r="B841" s="103">
        <f>_xlfn.XLOOKUP(A841,Equipe!H:H,Equipe!B:B,"",0)</f>
        <v>0</v>
      </c>
      <c r="C841" s="89"/>
      <c r="D841" s="104"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c r="A842" s="85"/>
      <c r="B842" s="103">
        <f>_xlfn.XLOOKUP(A842,Equipe!H:H,Equipe!B:B,"",0)</f>
        <v>0</v>
      </c>
      <c r="C842" s="89"/>
      <c r="D842" s="104"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c r="A843" s="85"/>
      <c r="B843" s="103">
        <f>_xlfn.XLOOKUP(A843,Equipe!H:H,Equipe!B:B,"",0)</f>
        <v>0</v>
      </c>
      <c r="C843" s="89"/>
      <c r="D843" s="104"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c r="A844" s="85"/>
      <c r="B844" s="103">
        <f>_xlfn.XLOOKUP(A844,Equipe!H:H,Equipe!B:B,"",0)</f>
        <v>0</v>
      </c>
      <c r="C844" s="89"/>
      <c r="D844" s="104"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c r="A845" s="85"/>
      <c r="B845" s="103">
        <f>_xlfn.XLOOKUP(A845,Equipe!H:H,Equipe!B:B,"",0)</f>
        <v>0</v>
      </c>
      <c r="C845" s="89"/>
      <c r="D845" s="104"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c r="A846" s="85"/>
      <c r="B846" s="103">
        <f>_xlfn.XLOOKUP(A846,Equipe!H:H,Equipe!B:B,"",0)</f>
        <v>0</v>
      </c>
      <c r="C846" s="89"/>
      <c r="D846" s="104"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c r="A847" s="85"/>
      <c r="B847" s="103">
        <f>_xlfn.XLOOKUP(A847,Equipe!H:H,Equipe!B:B,"",0)</f>
        <v>0</v>
      </c>
      <c r="C847" s="89"/>
      <c r="D847" s="104"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c r="A848" s="85"/>
      <c r="B848" s="103">
        <f>_xlfn.XLOOKUP(A848,Equipe!H:H,Equipe!B:B,"",0)</f>
        <v>0</v>
      </c>
      <c r="C848" s="89"/>
      <c r="D848" s="104"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c r="A849" s="85"/>
      <c r="B849" s="103">
        <f>_xlfn.XLOOKUP(A849,Equipe!H:H,Equipe!B:B,"",0)</f>
        <v>0</v>
      </c>
      <c r="C849" s="89"/>
      <c r="D849" s="104"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c r="A850" s="85"/>
      <c r="B850" s="103">
        <f>_xlfn.XLOOKUP(A850,Equipe!H:H,Equipe!B:B,"",0)</f>
        <v>0</v>
      </c>
      <c r="C850" s="89"/>
      <c r="D850" s="104"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c r="A851" s="85"/>
      <c r="B851" s="103">
        <f>_xlfn.XLOOKUP(A851,Equipe!H:H,Equipe!B:B,"",0)</f>
        <v>0</v>
      </c>
      <c r="C851" s="89"/>
      <c r="D851" s="104"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c r="A852" s="85"/>
      <c r="B852" s="103">
        <f>_xlfn.XLOOKUP(A852,Equipe!H:H,Equipe!B:B,"",0)</f>
        <v>0</v>
      </c>
      <c r="C852" s="89"/>
      <c r="D852" s="104"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c r="A853" s="85"/>
      <c r="B853" s="103">
        <f>_xlfn.XLOOKUP(A853,Equipe!H:H,Equipe!B:B,"",0)</f>
        <v>0</v>
      </c>
      <c r="C853" s="89"/>
      <c r="D853" s="104"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c r="A854" s="85"/>
      <c r="B854" s="103">
        <f>_xlfn.XLOOKUP(A854,Equipe!H:H,Equipe!B:B,"",0)</f>
        <v>0</v>
      </c>
      <c r="C854" s="89"/>
      <c r="D854" s="104"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c r="A855" s="85"/>
      <c r="B855" s="103">
        <f>_xlfn.XLOOKUP(A855,Equipe!H:H,Equipe!B:B,"",0)</f>
        <v>0</v>
      </c>
      <c r="C855" s="89"/>
      <c r="D855" s="104"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c r="A856" s="85"/>
      <c r="B856" s="103">
        <f>_xlfn.XLOOKUP(A856,Equipe!H:H,Equipe!B:B,"",0)</f>
        <v>0</v>
      </c>
      <c r="C856" s="89"/>
      <c r="D856" s="104"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c r="A857" s="85"/>
      <c r="B857" s="103">
        <f>_xlfn.XLOOKUP(A857,Equipe!H:H,Equipe!B:B,"",0)</f>
        <v>0</v>
      </c>
      <c r="C857" s="89"/>
      <c r="D857" s="104"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c r="A858" s="85"/>
      <c r="B858" s="103">
        <f>_xlfn.XLOOKUP(A858,Equipe!H:H,Equipe!B:B,"",0)</f>
        <v>0</v>
      </c>
      <c r="C858" s="89"/>
      <c r="D858" s="104"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c r="A859" s="85"/>
      <c r="B859" s="103">
        <f>_xlfn.XLOOKUP(A859,Equipe!H:H,Equipe!B:B,"",0)</f>
        <v>0</v>
      </c>
      <c r="C859" s="89"/>
      <c r="D859" s="104"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c r="A860" s="85"/>
      <c r="B860" s="103">
        <f>_xlfn.XLOOKUP(A860,Equipe!H:H,Equipe!B:B,"",0)</f>
        <v>0</v>
      </c>
      <c r="C860" s="89"/>
      <c r="D860" s="104"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c r="A861" s="85"/>
      <c r="B861" s="103">
        <f>_xlfn.XLOOKUP(A861,Equipe!H:H,Equipe!B:B,"",0)</f>
        <v>0</v>
      </c>
      <c r="C861" s="89"/>
      <c r="D861" s="104"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c r="A862" s="85"/>
      <c r="B862" s="103">
        <f>_xlfn.XLOOKUP(A862,Equipe!H:H,Equipe!B:B,"",0)</f>
        <v>0</v>
      </c>
      <c r="C862" s="89"/>
      <c r="D862" s="104"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c r="A863" s="85"/>
      <c r="B863" s="103">
        <f>_xlfn.XLOOKUP(A863,Equipe!H:H,Equipe!B:B,"",0)</f>
        <v>0</v>
      </c>
      <c r="C863" s="89"/>
      <c r="D863" s="104"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c r="A864" s="85"/>
      <c r="B864" s="103">
        <f>_xlfn.XLOOKUP(A864,Equipe!H:H,Equipe!B:B,"",0)</f>
        <v>0</v>
      </c>
      <c r="C864" s="89"/>
      <c r="D864" s="104"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c r="A865" s="85"/>
      <c r="B865" s="103">
        <f>_xlfn.XLOOKUP(A865,Equipe!H:H,Equipe!B:B,"",0)</f>
        <v>0</v>
      </c>
      <c r="C865" s="89"/>
      <c r="D865" s="104"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c r="A866" s="85"/>
      <c r="B866" s="103">
        <f>_xlfn.XLOOKUP(A866,Equipe!H:H,Equipe!B:B,"",0)</f>
        <v>0</v>
      </c>
      <c r="C866" s="89"/>
      <c r="D866" s="104"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c r="A867" s="85"/>
      <c r="B867" s="103">
        <f>_xlfn.XLOOKUP(A867,Equipe!H:H,Equipe!B:B,"",0)</f>
        <v>0</v>
      </c>
      <c r="C867" s="89"/>
      <c r="D867" s="104"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c r="A868" s="85"/>
      <c r="B868" s="103">
        <f>_xlfn.XLOOKUP(A868,Equipe!H:H,Equipe!B:B,"",0)</f>
        <v>0</v>
      </c>
      <c r="C868" s="89"/>
      <c r="D868" s="104"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c r="A869" s="85"/>
      <c r="B869" s="103">
        <f>_xlfn.XLOOKUP(A869,Equipe!H:H,Equipe!B:B,"",0)</f>
        <v>0</v>
      </c>
      <c r="C869" s="89"/>
      <c r="D869" s="104"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c r="A870" s="85"/>
      <c r="B870" s="103">
        <f>_xlfn.XLOOKUP(A870,Equipe!H:H,Equipe!B:B,"",0)</f>
        <v>0</v>
      </c>
      <c r="C870" s="89"/>
      <c r="D870" s="104"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c r="A871" s="85"/>
      <c r="B871" s="103">
        <f>_xlfn.XLOOKUP(A871,Equipe!H:H,Equipe!B:B,"",0)</f>
        <v>0</v>
      </c>
      <c r="C871" s="89"/>
      <c r="D871" s="104"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c r="A872" s="85"/>
      <c r="B872" s="103">
        <f>_xlfn.XLOOKUP(A872,Equipe!H:H,Equipe!B:B,"",0)</f>
        <v>0</v>
      </c>
      <c r="C872" s="89"/>
      <c r="D872" s="104"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c r="A873" s="85"/>
      <c r="B873" s="103">
        <f>_xlfn.XLOOKUP(A873,Equipe!H:H,Equipe!B:B,"",0)</f>
        <v>0</v>
      </c>
      <c r="C873" s="89"/>
      <c r="D873" s="104"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c r="A874" s="85"/>
      <c r="B874" s="103">
        <f>_xlfn.XLOOKUP(A874,Equipe!H:H,Equipe!B:B,"",0)</f>
        <v>0</v>
      </c>
      <c r="C874" s="89"/>
      <c r="D874" s="104"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c r="A875" s="85"/>
      <c r="B875" s="103">
        <f>_xlfn.XLOOKUP(A875,Equipe!H:H,Equipe!B:B,"",0)</f>
        <v>0</v>
      </c>
      <c r="C875" s="89"/>
      <c r="D875" s="104"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c r="A876" s="85"/>
      <c r="B876" s="103">
        <f>_xlfn.XLOOKUP(A876,Equipe!H:H,Equipe!B:B,"",0)</f>
        <v>0</v>
      </c>
      <c r="C876" s="89"/>
      <c r="D876" s="104"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c r="A877" s="85"/>
      <c r="B877" s="103">
        <f>_xlfn.XLOOKUP(A877,Equipe!H:H,Equipe!B:B,"",0)</f>
        <v>0</v>
      </c>
      <c r="C877" s="89"/>
      <c r="D877" s="104"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c r="A878" s="85"/>
      <c r="B878" s="103">
        <f>_xlfn.XLOOKUP(A878,Equipe!H:H,Equipe!B:B,"",0)</f>
        <v>0</v>
      </c>
      <c r="C878" s="89"/>
      <c r="D878" s="104"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c r="A879" s="85"/>
      <c r="B879" s="103">
        <f>_xlfn.XLOOKUP(A879,Equipe!H:H,Equipe!B:B,"",0)</f>
        <v>0</v>
      </c>
      <c r="C879" s="89"/>
      <c r="D879" s="104"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c r="A880" s="85"/>
      <c r="B880" s="103">
        <f>_xlfn.XLOOKUP(A880,Equipe!H:H,Equipe!B:B,"",0)</f>
        <v>0</v>
      </c>
      <c r="C880" s="89"/>
      <c r="D880" s="104"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c r="A881" s="85"/>
      <c r="B881" s="103">
        <f>_xlfn.XLOOKUP(A881,Equipe!H:H,Equipe!B:B,"",0)</f>
        <v>0</v>
      </c>
      <c r="C881" s="89"/>
      <c r="D881" s="104"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c r="A882" s="85"/>
      <c r="B882" s="103">
        <f>_xlfn.XLOOKUP(A882,Equipe!H:H,Equipe!B:B,"",0)</f>
        <v>0</v>
      </c>
      <c r="C882" s="89"/>
      <c r="D882" s="104"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c r="A883" s="85"/>
      <c r="B883" s="103">
        <f>_xlfn.XLOOKUP(A883,Equipe!H:H,Equipe!B:B,"",0)</f>
        <v>0</v>
      </c>
      <c r="C883" s="89"/>
      <c r="D883" s="104"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c r="A884" s="85"/>
      <c r="B884" s="103">
        <f>_xlfn.XLOOKUP(A884,Equipe!H:H,Equipe!B:B,"",0)</f>
        <v>0</v>
      </c>
      <c r="C884" s="89"/>
      <c r="D884" s="104"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c r="A885" s="85"/>
      <c r="B885" s="103">
        <f>_xlfn.XLOOKUP(A885,Equipe!H:H,Equipe!B:B,"",0)</f>
        <v>0</v>
      </c>
      <c r="C885" s="89"/>
      <c r="D885" s="104"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c r="A886" s="85"/>
      <c r="B886" s="103">
        <f>_xlfn.XLOOKUP(A886,Equipe!H:H,Equipe!B:B,"",0)</f>
        <v>0</v>
      </c>
      <c r="C886" s="89"/>
      <c r="D886" s="104"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c r="A887" s="85"/>
      <c r="B887" s="103">
        <f>_xlfn.XLOOKUP(A887,Equipe!H:H,Equipe!B:B,"",0)</f>
        <v>0</v>
      </c>
      <c r="C887" s="89"/>
      <c r="D887" s="104"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c r="A888" s="85"/>
      <c r="B888" s="103">
        <f>_xlfn.XLOOKUP(A888,Equipe!H:H,Equipe!B:B,"",0)</f>
        <v>0</v>
      </c>
      <c r="C888" s="89"/>
      <c r="D888" s="104"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c r="A889" s="85"/>
      <c r="B889" s="103">
        <f>_xlfn.XLOOKUP(A889,Equipe!H:H,Equipe!B:B,"",0)</f>
        <v>0</v>
      </c>
      <c r="C889" s="89"/>
      <c r="D889" s="104"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c r="A890" s="85"/>
      <c r="B890" s="103">
        <f>_xlfn.XLOOKUP(A890,Equipe!H:H,Equipe!B:B,"",0)</f>
        <v>0</v>
      </c>
      <c r="C890" s="89"/>
      <c r="D890" s="104"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c r="A891" s="85"/>
      <c r="B891" s="103">
        <f>_xlfn.XLOOKUP(A891,Equipe!H:H,Equipe!B:B,"",0)</f>
        <v>0</v>
      </c>
      <c r="C891" s="89"/>
      <c r="D891" s="104"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c r="A892" s="85"/>
      <c r="B892" s="103">
        <f>_xlfn.XLOOKUP(A892,Equipe!H:H,Equipe!B:B,"",0)</f>
        <v>0</v>
      </c>
      <c r="C892" s="89"/>
      <c r="D892" s="104"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c r="A893" s="85"/>
      <c r="B893" s="103">
        <f>_xlfn.XLOOKUP(A893,Equipe!H:H,Equipe!B:B,"",0)</f>
        <v>0</v>
      </c>
      <c r="C893" s="89"/>
      <c r="D893" s="104"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c r="A894" s="85"/>
      <c r="B894" s="103">
        <f>_xlfn.XLOOKUP(A894,Equipe!H:H,Equipe!B:B,"",0)</f>
        <v>0</v>
      </c>
      <c r="C894" s="89"/>
      <c r="D894" s="104"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c r="A895" s="85"/>
      <c r="B895" s="103">
        <f>_xlfn.XLOOKUP(A895,Equipe!H:H,Equipe!B:B,"",0)</f>
        <v>0</v>
      </c>
      <c r="C895" s="89"/>
      <c r="D895" s="104"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c r="A896" s="85"/>
      <c r="B896" s="103">
        <f>_xlfn.XLOOKUP(A896,Equipe!H:H,Equipe!B:B,"",0)</f>
        <v>0</v>
      </c>
      <c r="C896" s="89"/>
      <c r="D896" s="104"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c r="A897" s="85"/>
      <c r="B897" s="103">
        <f>_xlfn.XLOOKUP(A897,Equipe!H:H,Equipe!B:B,"",0)</f>
        <v>0</v>
      </c>
      <c r="C897" s="89"/>
      <c r="D897" s="104"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c r="A898" s="85"/>
      <c r="B898" s="103">
        <f>_xlfn.XLOOKUP(A898,Equipe!H:H,Equipe!B:B,"",0)</f>
        <v>0</v>
      </c>
      <c r="C898" s="89"/>
      <c r="D898" s="104"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c r="A899" s="85"/>
      <c r="B899" s="103">
        <f>_xlfn.XLOOKUP(A899,Equipe!H:H,Equipe!B:B,"",0)</f>
        <v>0</v>
      </c>
      <c r="C899" s="89"/>
      <c r="D899" s="104"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c r="A900" s="85"/>
      <c r="B900" s="103">
        <f>_xlfn.XLOOKUP(A900,Equipe!H:H,Equipe!B:B,"",0)</f>
        <v>0</v>
      </c>
      <c r="C900" s="89"/>
      <c r="D900" s="104"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c r="A901" s="85"/>
      <c r="B901" s="103">
        <f>_xlfn.XLOOKUP(A901,Equipe!H:H,Equipe!B:B,"",0)</f>
        <v>0</v>
      </c>
      <c r="C901" s="89"/>
      <c r="D901" s="104"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c r="A902" s="85"/>
      <c r="B902" s="103">
        <f>_xlfn.XLOOKUP(A902,Equipe!H:H,Equipe!B:B,"",0)</f>
        <v>0</v>
      </c>
      <c r="C902" s="89"/>
      <c r="D902" s="104"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c r="A903" s="85"/>
      <c r="B903" s="103">
        <f>_xlfn.XLOOKUP(A903,Equipe!H:H,Equipe!B:B,"",0)</f>
        <v>0</v>
      </c>
      <c r="C903" s="89"/>
      <c r="D903" s="104"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c r="A904" s="85"/>
      <c r="B904" s="103">
        <f>_xlfn.XLOOKUP(A904,Equipe!H:H,Equipe!B:B,"",0)</f>
        <v>0</v>
      </c>
      <c r="C904" s="89"/>
      <c r="D904" s="104"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c r="A905" s="85"/>
      <c r="B905" s="103">
        <f>_xlfn.XLOOKUP(A905,Equipe!H:H,Equipe!B:B,"",0)</f>
        <v>0</v>
      </c>
      <c r="C905" s="89"/>
      <c r="D905" s="104"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c r="A906" s="85"/>
      <c r="B906" s="103">
        <f>_xlfn.XLOOKUP(A906,Equipe!H:H,Equipe!B:B,"",0)</f>
        <v>0</v>
      </c>
      <c r="C906" s="89"/>
      <c r="D906" s="104"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c r="A907" s="85"/>
      <c r="B907" s="103">
        <f>_xlfn.XLOOKUP(A907,Equipe!H:H,Equipe!B:B,"",0)</f>
        <v>0</v>
      </c>
      <c r="C907" s="89"/>
      <c r="D907" s="104"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c r="A908" s="85"/>
      <c r="B908" s="103">
        <f>_xlfn.XLOOKUP(A908,Equipe!H:H,Equipe!B:B,"",0)</f>
        <v>0</v>
      </c>
      <c r="C908" s="89"/>
      <c r="D908" s="104"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c r="A909" s="85"/>
      <c r="B909" s="103">
        <f>_xlfn.XLOOKUP(A909,Equipe!H:H,Equipe!B:B,"",0)</f>
        <v>0</v>
      </c>
      <c r="C909" s="89"/>
      <c r="D909" s="104"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c r="A910" s="85"/>
      <c r="B910" s="103">
        <f>_xlfn.XLOOKUP(A910,Equipe!H:H,Equipe!B:B,"",0)</f>
        <v>0</v>
      </c>
      <c r="C910" s="89"/>
      <c r="D910" s="104"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c r="A911" s="85"/>
      <c r="B911" s="103">
        <f>_xlfn.XLOOKUP(A911,Equipe!H:H,Equipe!B:B,"",0)</f>
        <v>0</v>
      </c>
      <c r="C911" s="89"/>
      <c r="D911" s="104"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c r="A912" s="85"/>
      <c r="B912" s="103">
        <f>_xlfn.XLOOKUP(A912,Equipe!H:H,Equipe!B:B,"",0)</f>
        <v>0</v>
      </c>
      <c r="C912" s="89"/>
      <c r="D912" s="104"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c r="A913" s="85"/>
      <c r="B913" s="103">
        <f>_xlfn.XLOOKUP(A913,Equipe!H:H,Equipe!B:B,"",0)</f>
        <v>0</v>
      </c>
      <c r="C913" s="89"/>
      <c r="D913" s="104"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c r="A914" s="85"/>
      <c r="B914" s="103">
        <f>_xlfn.XLOOKUP(A914,Equipe!H:H,Equipe!B:B,"",0)</f>
        <v>0</v>
      </c>
      <c r="C914" s="89"/>
      <c r="D914" s="104"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c r="A915" s="85"/>
      <c r="B915" s="103">
        <f>_xlfn.XLOOKUP(A915,Equipe!H:H,Equipe!B:B,"",0)</f>
        <v>0</v>
      </c>
      <c r="C915" s="89"/>
      <c r="D915" s="104"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c r="A916" s="85"/>
      <c r="B916" s="103">
        <f>_xlfn.XLOOKUP(A916,Equipe!H:H,Equipe!B:B,"",0)</f>
        <v>0</v>
      </c>
      <c r="C916" s="89"/>
      <c r="D916" s="104"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c r="A917" s="85"/>
      <c r="B917" s="103">
        <f>_xlfn.XLOOKUP(A917,Equipe!H:H,Equipe!B:B,"",0)</f>
        <v>0</v>
      </c>
      <c r="C917" s="89"/>
      <c r="D917" s="104"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c r="A918" s="85"/>
      <c r="B918" s="103">
        <f>_xlfn.XLOOKUP(A918,Equipe!H:H,Equipe!B:B,"",0)</f>
        <v>0</v>
      </c>
      <c r="C918" s="89"/>
      <c r="D918" s="104"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c r="A919" s="85"/>
      <c r="B919" s="103">
        <f>_xlfn.XLOOKUP(A919,Equipe!H:H,Equipe!B:B,"",0)</f>
        <v>0</v>
      </c>
      <c r="C919" s="89"/>
      <c r="D919" s="104"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c r="A920" s="85"/>
      <c r="B920" s="103">
        <f>_xlfn.XLOOKUP(A920,Equipe!H:H,Equipe!B:B,"",0)</f>
        <v>0</v>
      </c>
      <c r="C920" s="89"/>
      <c r="D920" s="104"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c r="A921" s="85"/>
      <c r="B921" s="103">
        <f>_xlfn.XLOOKUP(A921,Equipe!H:H,Equipe!B:B,"",0)</f>
        <v>0</v>
      </c>
      <c r="C921" s="89"/>
      <c r="D921" s="104"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c r="A922" s="85"/>
      <c r="B922" s="103">
        <f>_xlfn.XLOOKUP(A922,Equipe!H:H,Equipe!B:B,"",0)</f>
        <v>0</v>
      </c>
      <c r="C922" s="89"/>
      <c r="D922" s="104"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c r="A923" s="85"/>
      <c r="B923" s="103">
        <f>_xlfn.XLOOKUP(A923,Equipe!H:H,Equipe!B:B,"",0)</f>
        <v>0</v>
      </c>
      <c r="C923" s="89"/>
      <c r="D923" s="104"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c r="A924" s="85"/>
      <c r="B924" s="103">
        <f>_xlfn.XLOOKUP(A924,Equipe!H:H,Equipe!B:B,"",0)</f>
        <v>0</v>
      </c>
      <c r="C924" s="89"/>
      <c r="D924" s="104"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c r="A925" s="85"/>
      <c r="B925" s="103">
        <f>_xlfn.XLOOKUP(A925,Equipe!H:H,Equipe!B:B,"",0)</f>
        <v>0</v>
      </c>
      <c r="C925" s="89"/>
      <c r="D925" s="104"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c r="A926" s="85"/>
      <c r="B926" s="103">
        <f>_xlfn.XLOOKUP(A926,Equipe!H:H,Equipe!B:B,"",0)</f>
        <v>0</v>
      </c>
      <c r="C926" s="89"/>
      <c r="D926" s="104"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c r="A927" s="85"/>
      <c r="B927" s="103">
        <f>_xlfn.XLOOKUP(A927,Equipe!H:H,Equipe!B:B,"",0)</f>
        <v>0</v>
      </c>
      <c r="C927" s="89"/>
      <c r="D927" s="104"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c r="A928" s="85"/>
      <c r="B928" s="103">
        <f>_xlfn.XLOOKUP(A928,Equipe!H:H,Equipe!B:B,"",0)</f>
        <v>0</v>
      </c>
      <c r="C928" s="89"/>
      <c r="D928" s="104"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c r="A929" s="85"/>
      <c r="B929" s="103">
        <f>_xlfn.XLOOKUP(A929,Equipe!H:H,Equipe!B:B,"",0)</f>
        <v>0</v>
      </c>
      <c r="C929" s="89"/>
      <c r="D929" s="104"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c r="A930" s="85"/>
      <c r="B930" s="103">
        <f>_xlfn.XLOOKUP(A930,Equipe!H:H,Equipe!B:B,"",0)</f>
        <v>0</v>
      </c>
      <c r="C930" s="89"/>
      <c r="D930" s="104"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c r="A931" s="85"/>
      <c r="B931" s="103">
        <f>_xlfn.XLOOKUP(A931,Equipe!H:H,Equipe!B:B,"",0)</f>
        <v>0</v>
      </c>
      <c r="C931" s="89"/>
      <c r="D931" s="104"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c r="A932" s="85"/>
      <c r="B932" s="103">
        <f>_xlfn.XLOOKUP(A932,Equipe!H:H,Equipe!B:B,"",0)</f>
        <v>0</v>
      </c>
      <c r="C932" s="89"/>
      <c r="D932" s="104"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c r="A933" s="85"/>
      <c r="B933" s="103">
        <f>_xlfn.XLOOKUP(A933,Equipe!H:H,Equipe!B:B,"",0)</f>
        <v>0</v>
      </c>
      <c r="C933" s="89"/>
      <c r="D933" s="104"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c r="A934" s="85"/>
      <c r="B934" s="103">
        <f>_xlfn.XLOOKUP(A934,Equipe!H:H,Equipe!B:B,"",0)</f>
        <v>0</v>
      </c>
      <c r="C934" s="89"/>
      <c r="D934" s="104"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c r="A935" s="85"/>
      <c r="B935" s="103">
        <f>_xlfn.XLOOKUP(A935,Equipe!H:H,Equipe!B:B,"",0)</f>
        <v>0</v>
      </c>
      <c r="C935" s="89"/>
      <c r="D935" s="104"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c r="A936" s="85"/>
      <c r="B936" s="103">
        <f>_xlfn.XLOOKUP(A936,Equipe!H:H,Equipe!B:B,"",0)</f>
        <v>0</v>
      </c>
      <c r="C936" s="89"/>
      <c r="D936" s="104"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c r="A937" s="85"/>
      <c r="B937" s="103">
        <f>_xlfn.XLOOKUP(A937,Equipe!H:H,Equipe!B:B,"",0)</f>
        <v>0</v>
      </c>
      <c r="C937" s="89"/>
      <c r="D937" s="104"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c r="A938" s="85"/>
      <c r="B938" s="103">
        <f>_xlfn.XLOOKUP(A938,Equipe!H:H,Equipe!B:B,"",0)</f>
        <v>0</v>
      </c>
      <c r="C938" s="89"/>
      <c r="D938" s="104"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c r="A939" s="85"/>
      <c r="B939" s="103">
        <f>_xlfn.XLOOKUP(A939,Equipe!H:H,Equipe!B:B,"",0)</f>
        <v>0</v>
      </c>
      <c r="C939" s="89"/>
      <c r="D939" s="104"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c r="A940" s="85"/>
      <c r="B940" s="103">
        <f>_xlfn.XLOOKUP(A940,Equipe!H:H,Equipe!B:B,"",0)</f>
        <v>0</v>
      </c>
      <c r="C940" s="89"/>
      <c r="D940" s="104"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c r="A941" s="85"/>
      <c r="B941" s="103">
        <f>_xlfn.XLOOKUP(A941,Equipe!H:H,Equipe!B:B,"",0)</f>
        <v>0</v>
      </c>
      <c r="C941" s="89"/>
      <c r="D941" s="104"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c r="A942" s="85"/>
      <c r="B942" s="103">
        <f>_xlfn.XLOOKUP(A942,Equipe!H:H,Equipe!B:B,"",0)</f>
        <v>0</v>
      </c>
      <c r="C942" s="89"/>
      <c r="D942" s="104"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c r="A943" s="85"/>
      <c r="B943" s="103">
        <f>_xlfn.XLOOKUP(A943,Equipe!H:H,Equipe!B:B,"",0)</f>
        <v>0</v>
      </c>
      <c r="C943" s="89"/>
      <c r="D943" s="104"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c r="A944" s="85"/>
      <c r="B944" s="103">
        <f>_xlfn.XLOOKUP(A944,Equipe!H:H,Equipe!B:B,"",0)</f>
        <v>0</v>
      </c>
      <c r="C944" s="89"/>
      <c r="D944" s="104"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c r="A945" s="85"/>
      <c r="B945" s="103">
        <f>_xlfn.XLOOKUP(A945,Equipe!H:H,Equipe!B:B,"",0)</f>
        <v>0</v>
      </c>
      <c r="C945" s="89"/>
      <c r="D945" s="104"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c r="A946" s="85"/>
      <c r="B946" s="103">
        <f>_xlfn.XLOOKUP(A946,Equipe!H:H,Equipe!B:B,"",0)</f>
        <v>0</v>
      </c>
      <c r="C946" s="89"/>
      <c r="D946" s="104"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c r="A947" s="85"/>
      <c r="B947" s="103">
        <f>_xlfn.XLOOKUP(A947,Equipe!H:H,Equipe!B:B,"",0)</f>
        <v>0</v>
      </c>
      <c r="C947" s="89"/>
      <c r="D947" s="104"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c r="A948" s="85"/>
      <c r="B948" s="103">
        <f>_xlfn.XLOOKUP(A948,Equipe!H:H,Equipe!B:B,"",0)</f>
        <v>0</v>
      </c>
      <c r="C948" s="89"/>
      <c r="D948" s="104"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c r="A949" s="85"/>
      <c r="B949" s="103">
        <f>_xlfn.XLOOKUP(A949,Equipe!H:H,Equipe!B:B,"",0)</f>
        <v>0</v>
      </c>
      <c r="C949" s="89"/>
      <c r="D949" s="104"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c r="A950" s="85"/>
      <c r="B950" s="103">
        <f>_xlfn.XLOOKUP(A950,Equipe!H:H,Equipe!B:B,"",0)</f>
        <v>0</v>
      </c>
      <c r="C950" s="89"/>
      <c r="D950" s="104"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c r="A951" s="85"/>
      <c r="B951" s="103">
        <f>_xlfn.XLOOKUP(A951,Equipe!H:H,Equipe!B:B,"",0)</f>
        <v>0</v>
      </c>
      <c r="C951" s="89"/>
      <c r="D951" s="104"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c r="A952" s="85"/>
      <c r="B952" s="103">
        <f>_xlfn.XLOOKUP(A952,Equipe!H:H,Equipe!B:B,"",0)</f>
        <v>0</v>
      </c>
      <c r="C952" s="89"/>
      <c r="D952" s="104"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c r="A953" s="85"/>
      <c r="B953" s="103">
        <f>_xlfn.XLOOKUP(A953,Equipe!H:H,Equipe!B:B,"",0)</f>
        <v>0</v>
      </c>
      <c r="C953" s="89"/>
      <c r="D953" s="104"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c r="A954" s="85"/>
      <c r="B954" s="103">
        <f>_xlfn.XLOOKUP(A954,Equipe!H:H,Equipe!B:B,"",0)</f>
        <v>0</v>
      </c>
      <c r="C954" s="89"/>
      <c r="D954" s="104"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c r="A955" s="85"/>
      <c r="B955" s="103">
        <f>_xlfn.XLOOKUP(A955,Equipe!H:H,Equipe!B:B,"",0)</f>
        <v>0</v>
      </c>
      <c r="C955" s="89"/>
      <c r="D955" s="104"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c r="A956" s="85"/>
      <c r="B956" s="103">
        <f>_xlfn.XLOOKUP(A956,Equipe!H:H,Equipe!B:B,"",0)</f>
        <v>0</v>
      </c>
      <c r="C956" s="89"/>
      <c r="D956" s="104"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c r="A957" s="85"/>
      <c r="B957" s="103">
        <f>_xlfn.XLOOKUP(A957,Equipe!H:H,Equipe!B:B,"",0)</f>
        <v>0</v>
      </c>
      <c r="C957" s="89"/>
      <c r="D957" s="104"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c r="A958" s="85"/>
      <c r="B958" s="103">
        <f>_xlfn.XLOOKUP(A958,Equipe!H:H,Equipe!B:B,"",0)</f>
        <v>0</v>
      </c>
      <c r="C958" s="89"/>
      <c r="D958" s="104"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c r="A959" s="85"/>
      <c r="B959" s="103">
        <f>_xlfn.XLOOKUP(A959,Equipe!H:H,Equipe!B:B,"",0)</f>
        <v>0</v>
      </c>
      <c r="C959" s="89"/>
      <c r="D959" s="104"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c r="A960" s="85"/>
      <c r="B960" s="103">
        <f>_xlfn.XLOOKUP(A960,Equipe!H:H,Equipe!B:B,"",0)</f>
        <v>0</v>
      </c>
      <c r="C960" s="89"/>
      <c r="D960" s="104"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c r="A961" s="85"/>
      <c r="B961" s="103">
        <f>_xlfn.XLOOKUP(A961,Equipe!H:H,Equipe!B:B,"",0)</f>
        <v>0</v>
      </c>
      <c r="C961" s="89"/>
      <c r="D961" s="104"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c r="A962" s="85"/>
      <c r="B962" s="103">
        <f>_xlfn.XLOOKUP(A962,Equipe!H:H,Equipe!B:B,"",0)</f>
        <v>0</v>
      </c>
      <c r="C962" s="89"/>
      <c r="D962" s="104"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c r="A963" s="85"/>
      <c r="B963" s="103">
        <f>_xlfn.XLOOKUP(A963,Equipe!H:H,Equipe!B:B,"",0)</f>
        <v>0</v>
      </c>
      <c r="C963" s="89"/>
      <c r="D963" s="104"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c r="A964" s="85"/>
      <c r="B964" s="103">
        <f>_xlfn.XLOOKUP(A964,Equipe!H:H,Equipe!B:B,"",0)</f>
        <v>0</v>
      </c>
      <c r="C964" s="89"/>
      <c r="D964" s="104"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c r="A965" s="85"/>
      <c r="B965" s="103">
        <f>_xlfn.XLOOKUP(A965,Equipe!H:H,Equipe!B:B,"",0)</f>
        <v>0</v>
      </c>
      <c r="C965" s="89"/>
      <c r="D965" s="104"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c r="A966" s="85"/>
      <c r="B966" s="103">
        <f>_xlfn.XLOOKUP(A966,Equipe!H:H,Equipe!B:B,"",0)</f>
        <v>0</v>
      </c>
      <c r="C966" s="89"/>
      <c r="D966" s="104"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c r="A967" s="85"/>
      <c r="B967" s="103">
        <f>_xlfn.XLOOKUP(A967,Equipe!H:H,Equipe!B:B,"",0)</f>
        <v>0</v>
      </c>
      <c r="C967" s="89"/>
      <c r="D967" s="104"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c r="A968" s="85"/>
      <c r="B968" s="103">
        <f>_xlfn.XLOOKUP(A968,Equipe!H:H,Equipe!B:B,"",0)</f>
        <v>0</v>
      </c>
      <c r="C968" s="89"/>
      <c r="D968" s="104"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c r="A969" s="85"/>
      <c r="B969" s="103">
        <f>_xlfn.XLOOKUP(A969,Equipe!H:H,Equipe!B:B,"",0)</f>
        <v>0</v>
      </c>
      <c r="C969" s="89"/>
      <c r="D969" s="104"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c r="A970" s="85"/>
      <c r="B970" s="103">
        <f>_xlfn.XLOOKUP(A970,Equipe!H:H,Equipe!B:B,"",0)</f>
        <v>0</v>
      </c>
      <c r="C970" s="89"/>
      <c r="D970" s="104"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c r="A971" s="85"/>
      <c r="B971" s="103">
        <f>_xlfn.XLOOKUP(A971,Equipe!H:H,Equipe!B:B,"",0)</f>
        <v>0</v>
      </c>
      <c r="C971" s="89"/>
      <c r="D971" s="104"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c r="A972" s="85"/>
      <c r="B972" s="103">
        <f>_xlfn.XLOOKUP(A972,Equipe!H:H,Equipe!B:B,"",0)</f>
        <v>0</v>
      </c>
      <c r="C972" s="89"/>
      <c r="D972" s="104"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c r="A973" s="85"/>
      <c r="B973" s="103">
        <f>_xlfn.XLOOKUP(A973,Equipe!H:H,Equipe!B:B,"",0)</f>
        <v>0</v>
      </c>
      <c r="C973" s="89"/>
      <c r="D973" s="104"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c r="A974" s="85"/>
      <c r="B974" s="103">
        <f>_xlfn.XLOOKUP(A974,Equipe!H:H,Equipe!B:B,"",0)</f>
        <v>0</v>
      </c>
      <c r="C974" s="89"/>
      <c r="D974" s="104"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c r="A975" s="85"/>
      <c r="B975" s="103">
        <f>_xlfn.XLOOKUP(A975,Equipe!H:H,Equipe!B:B,"",0)</f>
        <v>0</v>
      </c>
      <c r="C975" s="89"/>
      <c r="D975" s="104"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c r="A976" s="85"/>
      <c r="B976" s="103">
        <f>_xlfn.XLOOKUP(A976,Equipe!H:H,Equipe!B:B,"",0)</f>
        <v>0</v>
      </c>
      <c r="C976" s="89"/>
      <c r="D976" s="104"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c r="A977" s="85"/>
      <c r="B977" s="103">
        <f>_xlfn.XLOOKUP(A977,Equipe!H:H,Equipe!B:B,"",0)</f>
        <v>0</v>
      </c>
      <c r="C977" s="89"/>
      <c r="D977" s="104"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c r="A978" s="85"/>
      <c r="B978" s="103">
        <f>_xlfn.XLOOKUP(A978,Equipe!H:H,Equipe!B:B,"",0)</f>
        <v>0</v>
      </c>
      <c r="C978" s="89"/>
      <c r="D978" s="104"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c r="A979" s="85"/>
      <c r="B979" s="103">
        <f>_xlfn.XLOOKUP(A979,Equipe!H:H,Equipe!B:B,"",0)</f>
        <v>0</v>
      </c>
      <c r="C979" s="89"/>
      <c r="D979" s="104"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c r="A980" s="85"/>
      <c r="B980" s="103">
        <f>_xlfn.XLOOKUP(A980,Equipe!H:H,Equipe!B:B,"",0)</f>
        <v>0</v>
      </c>
      <c r="C980" s="89"/>
      <c r="D980" s="104"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c r="A981" s="85"/>
      <c r="B981" s="103">
        <f>_xlfn.XLOOKUP(A981,Equipe!H:H,Equipe!B:B,"",0)</f>
        <v>0</v>
      </c>
      <c r="C981" s="89"/>
      <c r="D981" s="104"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c r="A982" s="85"/>
      <c r="B982" s="103">
        <f>_xlfn.XLOOKUP(A982,Equipe!H:H,Equipe!B:B,"",0)</f>
        <v>0</v>
      </c>
      <c r="C982" s="89"/>
      <c r="D982" s="104"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c r="A983" s="85"/>
      <c r="B983" s="103">
        <f>_xlfn.XLOOKUP(A983,Equipe!H:H,Equipe!B:B,"",0)</f>
        <v>0</v>
      </c>
      <c r="C983" s="89"/>
      <c r="D983" s="104"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c r="A984" s="85"/>
      <c r="B984" s="103">
        <f>_xlfn.XLOOKUP(A984,Equipe!H:H,Equipe!B:B,"",0)</f>
        <v>0</v>
      </c>
      <c r="C984" s="89"/>
      <c r="D984" s="104"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c r="A985" s="85"/>
      <c r="B985" s="103">
        <f>_xlfn.XLOOKUP(A985,Equipe!H:H,Equipe!B:B,"",0)</f>
        <v>0</v>
      </c>
      <c r="C985" s="89"/>
      <c r="D985" s="104"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c r="A986" s="85"/>
      <c r="B986" s="103">
        <f>_xlfn.XLOOKUP(A986,Equipe!H:H,Equipe!B:B,"",0)</f>
        <v>0</v>
      </c>
      <c r="C986" s="89"/>
      <c r="D986" s="104"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c r="A987" s="85"/>
      <c r="B987" s="103">
        <f>_xlfn.XLOOKUP(A987,Equipe!H:H,Equipe!B:B,"",0)</f>
        <v>0</v>
      </c>
      <c r="C987" s="89"/>
      <c r="D987" s="104"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c r="A988" s="85"/>
      <c r="B988" s="103">
        <f>_xlfn.XLOOKUP(A988,Equipe!H:H,Equipe!B:B,"",0)</f>
        <v>0</v>
      </c>
      <c r="C988" s="89"/>
      <c r="D988" s="104"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c r="A989" s="85"/>
      <c r="B989" s="103">
        <f>_xlfn.XLOOKUP(A989,Equipe!H:H,Equipe!B:B,"",0)</f>
        <v>0</v>
      </c>
      <c r="C989" s="89"/>
      <c r="D989" s="104"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c r="A990" s="85"/>
      <c r="B990" s="103">
        <f>_xlfn.XLOOKUP(A990,Equipe!H:H,Equipe!B:B,"",0)</f>
        <v>0</v>
      </c>
      <c r="C990" s="89"/>
      <c r="D990" s="104"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c r="A991" s="85"/>
      <c r="B991" s="103">
        <f>_xlfn.XLOOKUP(A991,Equipe!H:H,Equipe!B:B,"",0)</f>
        <v>0</v>
      </c>
      <c r="C991" s="89"/>
      <c r="D991" s="104"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c r="A992" s="85"/>
      <c r="B992" s="103">
        <f>_xlfn.XLOOKUP(A992,Equipe!H:H,Equipe!B:B,"",0)</f>
        <v>0</v>
      </c>
      <c r="C992" s="89"/>
      <c r="D992" s="104"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c r="A993" s="85"/>
      <c r="B993" s="103">
        <f>_xlfn.XLOOKUP(A993,Equipe!H:H,Equipe!B:B,"",0)</f>
        <v>0</v>
      </c>
      <c r="C993" s="89"/>
      <c r="D993" s="104"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c r="A994" s="85"/>
      <c r="B994" s="103">
        <f>_xlfn.XLOOKUP(A994,Equipe!H:H,Equipe!B:B,"",0)</f>
        <v>0</v>
      </c>
      <c r="C994" s="89"/>
      <c r="D994" s="104"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c r="A995" s="85"/>
      <c r="B995" s="103">
        <f>_xlfn.XLOOKUP(A995,Equipe!H:H,Equipe!B:B,"",0)</f>
        <v>0</v>
      </c>
      <c r="C995" s="89"/>
      <c r="D995" s="104"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c r="A996" s="85"/>
      <c r="B996" s="103">
        <f>_xlfn.XLOOKUP(A996,Equipe!H:H,Equipe!B:B,"",0)</f>
        <v>0</v>
      </c>
      <c r="C996" s="89"/>
      <c r="D996" s="104"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c r="A997" s="85"/>
      <c r="B997" s="103">
        <f>_xlfn.XLOOKUP(A997,Equipe!H:H,Equipe!B:B,"",0)</f>
        <v>0</v>
      </c>
      <c r="C997" s="89"/>
      <c r="D997" s="104"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c r="A998" s="85"/>
      <c r="B998" s="103">
        <f>_xlfn.XLOOKUP(A998,Equipe!H:H,Equipe!B:B,"",0)</f>
        <v>0</v>
      </c>
      <c r="C998" s="89"/>
      <c r="D998" s="104"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c r="A999" s="85"/>
      <c r="B999" s="103">
        <f>_xlfn.XLOOKUP(A999,Equipe!H:H,Equipe!B:B,"",0)</f>
        <v>0</v>
      </c>
      <c r="C999" s="89"/>
      <c r="D999" s="104"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c r="A1000" s="85"/>
      <c r="B1000" s="103">
        <f>_xlfn.XLOOKUP(A1000,Equipe!H:H,Equipe!B:B,"",0)</f>
        <v>0</v>
      </c>
      <c r="C1000" s="89"/>
      <c r="D1000" s="104"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c r="A1001" s="85"/>
      <c r="B1001" s="103">
        <f>_xlfn.XLOOKUP(A1001,Equipe!H:H,Equipe!B:B,"",0)</f>
        <v>0</v>
      </c>
      <c r="C1001" s="89"/>
      <c r="D1001" s="104"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c r="A1002" s="85"/>
      <c r="B1002" s="103">
        <f>_xlfn.XLOOKUP(A1002,Equipe!H:H,Equipe!B:B,"",0)</f>
        <v>0</v>
      </c>
      <c r="C1002" s="89"/>
      <c r="D1002" s="104"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c r="A1003" s="85"/>
      <c r="B1003" s="103">
        <f>_xlfn.XLOOKUP(A1003,Equipe!H:H,Equipe!B:B,"",0)</f>
        <v>0</v>
      </c>
      <c r="C1003" s="89"/>
      <c r="D1003" s="104"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c r="A1004" s="85"/>
      <c r="B1004" s="103">
        <f>_xlfn.XLOOKUP(A1004,Equipe!H:H,Equipe!B:B,"",0)</f>
        <v>0</v>
      </c>
      <c r="C1004" s="89"/>
      <c r="D1004" s="104"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c r="A1005" s="85"/>
      <c r="B1005" s="103">
        <f>_xlfn.XLOOKUP(A1005,Equipe!H:H,Equipe!B:B,"",0)</f>
        <v>0</v>
      </c>
      <c r="C1005" s="89"/>
      <c r="D1005" s="104"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c r="A1006" s="85"/>
      <c r="B1006" s="103">
        <f>_xlfn.XLOOKUP(A1006,Equipe!H:H,Equipe!B:B,"",0)</f>
        <v>0</v>
      </c>
      <c r="C1006" s="89"/>
      <c r="D1006" s="104" t="str">
        <f>IF(Tabela1[[#This Row],[Início]]&lt;&gt;"",C1006+E1006-1,"")</f>
        <v/>
      </c>
      <c r="E1006" s="85"/>
      <c r="F1006" s="85"/>
      <c r="G1006" s="97"/>
      <c r="H1006" s="39" t="str">
        <f>_xlfn.XLOOKUP(Tabela1[[#This Row],[Matrícula]],Equipe!B:B,Equipe!E:E,"ERRO",0)</f>
        <v>ERRO</v>
      </c>
      <c r="I1006" s="39" t="e">
        <f>VLOOKUP(Tabela1[[#This Row],[Matrícula]],Equipe!B:F,5,0)</f>
        <v>#N/A</v>
      </c>
    </row>
    <row r="1007" spans="1:9" ht="1.35" customHeight="1" thickBot="1">
      <c r="A1007" s="85"/>
      <c r="B1007" s="103">
        <f>_xlfn.XLOOKUP(A1007,Equipe!H:H,Equipe!B:B,"",0)</f>
        <v>0</v>
      </c>
      <c r="C1007" s="89"/>
      <c r="D1007" s="104"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c r="A1008" s="85"/>
      <c r="B1008" s="103">
        <f>_xlfn.XLOOKUP(A1008,Equipe!H:H,Equipe!B:B,"",0)</f>
        <v>0</v>
      </c>
      <c r="C1008" s="89"/>
      <c r="D1008" s="104" t="str">
        <f>IF(Tabela1[[#This Row],[Início]]&lt;&gt;"",C1008+E1008-1,"")</f>
        <v/>
      </c>
      <c r="E1008" s="85"/>
      <c r="F1008" s="85"/>
      <c r="G1008" s="97"/>
      <c r="H1008" s="39" t="str">
        <f>_xlfn.XLOOKUP(Tabela1[[#This Row],[Matrícula]],Equipe!B:B,Equipe!E:E,"ERRO",0)</f>
        <v>ERRO</v>
      </c>
      <c r="I1008" s="39" t="e">
        <f>VLOOKUP(Tabela1[[#This Row],[Matrícula]],Equipe!B:F,5,0)</f>
        <v>#N/A</v>
      </c>
    </row>
    <row r="1009" spans="1:9" ht="30" customHeight="1" thickBot="1">
      <c r="A1009" s="88"/>
      <c r="B1009" s="88">
        <v>4608</v>
      </c>
      <c r="C1009" s="90"/>
      <c r="D1009" s="105" t="str">
        <f>IF(Tabela1[[#This Row],[Início]]&lt;&gt;"",C1009+E1009-1,"")</f>
        <v/>
      </c>
      <c r="E1009" s="88"/>
      <c r="F1009" s="88"/>
      <c r="G1009" s="99"/>
      <c r="H1009" s="39" t="str">
        <f>_xlfn.XLOOKUP(Tabela1[[#This Row],[Matrícula]],Equipe!B:B,Equipe!E:E,"ERRO",0)</f>
        <v>ERRO</v>
      </c>
      <c r="I1009" s="39" t="e">
        <f>VLOOKUP(Tabela1[[#This Row],[Matrícula]],Equipe!B:F,5,0)</f>
        <v>#N/A</v>
      </c>
    </row>
    <row r="1010" spans="1:9" ht="30" customHeight="1">
      <c r="A1010" s="88"/>
      <c r="B1010" s="88"/>
      <c r="C1010" s="90"/>
      <c r="D1010" s="105"/>
      <c r="E1010" s="88"/>
      <c r="F1010" s="88"/>
      <c r="G1010" s="99"/>
      <c r="H1010" s="141"/>
      <c r="I1010" s="141"/>
    </row>
  </sheetData>
  <mergeCells count="1">
    <mergeCell ref="L5:L7"/>
  </mergeCells>
  <phoneticPr fontId="29" type="noConversion"/>
  <conditionalFormatting sqref="A1:XFD1 C2:XFD3 K2:K6 A2:B34 L4:XFD4 E4:J62 C4:D68 M5:XFD7 L8:XFD76 K9:K76 A35:A54 B35:B64 A56:A64 E63:I73 J63:J76 A65:B68 A69:C70 D69:D73 A70:B72 A73:C73 A74:I76 A77:XFD77 A78:I84 J78:XFD170 A85:B86 D85:I86 A87:I104 A105:B105 D105:I105 A106:I113 A114:F114 H114:I114 A115:I145 A146:B146 D146:I146 A147:I159 E160:I170 A160:D209 E171:XFD184 E185:F185 H185:XFD185 E186:XFD209 A210:XFD213 A214:F214 H214:XFD214 A215:XFD300 A301:F302 H301:XFD302 A303:XFD308 H309:XFD309 A310:XFD1048576">
    <cfRule type="cellIs" dxfId="125" priority="13" operator="equal">
      <formula>"ESTALEIRO"</formula>
    </cfRule>
  </conditionalFormatting>
  <conditionalFormatting sqref="C71:C72">
    <cfRule type="cellIs" dxfId="124" priority="7" operator="equal">
      <formula>"ESTALEIRO"</formula>
    </cfRule>
  </conditionalFormatting>
  <conditionalFormatting sqref="C85:C86">
    <cfRule type="cellIs" dxfId="123" priority="5" operator="equal">
      <formula>"ESTALEIRO"</formula>
    </cfRule>
  </conditionalFormatting>
  <conditionalFormatting sqref="C105">
    <cfRule type="cellIs" dxfId="122" priority="4" operator="equal">
      <formula>"ESTALEIRO"</formula>
    </cfRule>
  </conditionalFormatting>
  <conditionalFormatting sqref="C146">
    <cfRule type="cellIs" dxfId="121" priority="3" operator="equal">
      <formula>"ESTALEIRO"</formula>
    </cfRule>
  </conditionalFormatting>
  <conditionalFormatting sqref="G301:G302">
    <cfRule type="cellIs" dxfId="120" priority="1" operator="equal">
      <formula>"ESTALEIRO"</formula>
    </cfRule>
  </conditionalFormatting>
  <dataValidations count="3">
    <dataValidation type="list" allowBlank="1" showInputMessage="1" showErrorMessage="1" sqref="F1009:F1109" xr:uid="{FE92769D-A30C-45A3-B10C-426BB3355AD8}">
      <formula1>#REF!</formula1>
    </dataValidation>
    <dataValidation type="list" allowBlank="1" showInputMessage="1" showErrorMessage="1" sqref="F2:F308 F310:F1008" xr:uid="{156E15E9-23E7-431B-9B12-A26E3B0A7469}">
      <formula1>$K$2:$K$11</formula1>
    </dataValidation>
    <dataValidation type="date" allowBlank="1" showInputMessage="1" showErrorMessage="1" sqref="C2:C308 C310:C1010"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A2:A308 A310:A1008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zoomScale="120" zoomScaleNormal="120" workbookViewId="0">
      <pane ySplit="1" topLeftCell="A2" activePane="bottomLeft" state="frozen"/>
      <selection pane="bottomLeft" activeCell="C3" sqref="C3"/>
    </sheetView>
  </sheetViews>
  <sheetFormatPr defaultRowHeight="14.4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c r="A1" s="110" t="s">
        <v>236</v>
      </c>
      <c r="B1" s="111" t="s">
        <v>1</v>
      </c>
      <c r="C1" s="111" t="s">
        <v>237</v>
      </c>
      <c r="D1" s="111" t="s">
        <v>238</v>
      </c>
      <c r="E1" s="112" t="s">
        <v>239</v>
      </c>
      <c r="F1" s="112" t="s">
        <v>8</v>
      </c>
      <c r="G1" s="112" t="s">
        <v>240</v>
      </c>
      <c r="H1" s="112" t="s">
        <v>0</v>
      </c>
      <c r="I1" s="129" t="s">
        <v>241</v>
      </c>
      <c r="J1" s="130" t="s">
        <v>242</v>
      </c>
    </row>
    <row r="2" spans="1:10">
      <c r="A2" s="79" t="s">
        <v>243</v>
      </c>
      <c r="B2" s="113">
        <v>4612171</v>
      </c>
      <c r="C2" s="113" t="s">
        <v>244</v>
      </c>
      <c r="D2" s="114" t="s">
        <v>245</v>
      </c>
      <c r="E2" s="115" t="s">
        <v>226</v>
      </c>
      <c r="F2" s="115" t="s">
        <v>227</v>
      </c>
      <c r="G2" s="116" t="s">
        <v>246</v>
      </c>
      <c r="H2" s="115" t="s">
        <v>114</v>
      </c>
      <c r="I2" s="131" t="s">
        <v>247</v>
      </c>
      <c r="J2" s="132"/>
    </row>
    <row r="3" spans="1:10">
      <c r="A3" s="79" t="s">
        <v>243</v>
      </c>
      <c r="B3" s="107">
        <v>4612050</v>
      </c>
      <c r="C3" s="107" t="s">
        <v>248</v>
      </c>
      <c r="D3" s="108" t="s">
        <v>245</v>
      </c>
      <c r="E3" s="120" t="s">
        <v>249</v>
      </c>
      <c r="F3" s="109" t="s">
        <v>227</v>
      </c>
      <c r="G3" s="117" t="s">
        <v>250</v>
      </c>
      <c r="H3" s="109" t="s">
        <v>106</v>
      </c>
      <c r="I3" s="131" t="s">
        <v>247</v>
      </c>
      <c r="J3" s="132"/>
    </row>
    <row r="4" spans="1:10">
      <c r="A4" s="79" t="s">
        <v>243</v>
      </c>
      <c r="B4" s="113">
        <v>4612140</v>
      </c>
      <c r="C4" s="113" t="s">
        <v>251</v>
      </c>
      <c r="D4" s="114" t="s">
        <v>245</v>
      </c>
      <c r="E4" s="115" t="s">
        <v>252</v>
      </c>
      <c r="F4" s="115" t="s">
        <v>227</v>
      </c>
      <c r="G4" s="116" t="s">
        <v>253</v>
      </c>
      <c r="H4" s="115" t="s">
        <v>110</v>
      </c>
      <c r="I4" s="131" t="s">
        <v>247</v>
      </c>
      <c r="J4" s="132"/>
    </row>
    <row r="5" spans="1:10">
      <c r="A5" s="79" t="s">
        <v>243</v>
      </c>
      <c r="B5" s="107">
        <v>9842940</v>
      </c>
      <c r="C5" s="107" t="s">
        <v>254</v>
      </c>
      <c r="D5" s="108" t="s">
        <v>245</v>
      </c>
      <c r="E5" s="109" t="s">
        <v>226</v>
      </c>
      <c r="F5" s="109" t="s">
        <v>227</v>
      </c>
      <c r="G5" s="117" t="s">
        <v>255</v>
      </c>
      <c r="H5" s="109" t="s">
        <v>33</v>
      </c>
      <c r="I5" s="131" t="s">
        <v>256</v>
      </c>
      <c r="J5" s="133"/>
    </row>
    <row r="6" spans="1:10">
      <c r="A6" s="79" t="s">
        <v>257</v>
      </c>
      <c r="B6" s="113">
        <v>9886449</v>
      </c>
      <c r="C6" s="113" t="s">
        <v>258</v>
      </c>
      <c r="D6" s="114" t="s">
        <v>245</v>
      </c>
      <c r="E6" s="115" t="s">
        <v>226</v>
      </c>
      <c r="F6" s="115" t="s">
        <v>259</v>
      </c>
      <c r="G6" s="134" t="s">
        <v>260</v>
      </c>
      <c r="H6" s="115" t="s">
        <v>58</v>
      </c>
      <c r="I6" s="131" t="s">
        <v>247</v>
      </c>
      <c r="J6" s="133" t="s">
        <v>261</v>
      </c>
    </row>
    <row r="7" spans="1:10">
      <c r="A7" s="118" t="s">
        <v>257</v>
      </c>
      <c r="B7" s="107">
        <v>4608721</v>
      </c>
      <c r="C7" s="107" t="s">
        <v>262</v>
      </c>
      <c r="D7" s="119" t="s">
        <v>245</v>
      </c>
      <c r="E7" s="120" t="s">
        <v>226</v>
      </c>
      <c r="F7" s="120" t="s">
        <v>227</v>
      </c>
      <c r="G7" s="121" t="s">
        <v>263</v>
      </c>
      <c r="H7" s="120" t="s">
        <v>32</v>
      </c>
      <c r="I7" s="131" t="s">
        <v>247</v>
      </c>
      <c r="J7" s="133"/>
    </row>
    <row r="8" spans="1:10">
      <c r="A8" s="118" t="s">
        <v>257</v>
      </c>
      <c r="B8" s="113">
        <v>1385894</v>
      </c>
      <c r="C8" s="113" t="s">
        <v>264</v>
      </c>
      <c r="D8" s="122" t="s">
        <v>245</v>
      </c>
      <c r="E8" s="123" t="s">
        <v>226</v>
      </c>
      <c r="F8" s="123" t="s">
        <v>259</v>
      </c>
      <c r="G8" s="135" t="s">
        <v>265</v>
      </c>
      <c r="H8" s="123" t="s">
        <v>35</v>
      </c>
      <c r="I8" s="131" t="s">
        <v>247</v>
      </c>
      <c r="J8" s="133" t="s">
        <v>261</v>
      </c>
    </row>
    <row r="9" spans="1:10">
      <c r="A9" s="118" t="s">
        <v>257</v>
      </c>
      <c r="B9" s="107">
        <v>4608685</v>
      </c>
      <c r="C9" s="107" t="s">
        <v>266</v>
      </c>
      <c r="D9" s="119" t="s">
        <v>245</v>
      </c>
      <c r="E9" s="120" t="s">
        <v>226</v>
      </c>
      <c r="F9" s="120" t="s">
        <v>227</v>
      </c>
      <c r="G9" s="136" t="s">
        <v>267</v>
      </c>
      <c r="H9" s="120" t="s">
        <v>25</v>
      </c>
      <c r="I9" s="131" t="s">
        <v>247</v>
      </c>
      <c r="J9" s="133"/>
    </row>
    <row r="10" spans="1:10">
      <c r="A10" s="118" t="s">
        <v>268</v>
      </c>
      <c r="B10" s="113">
        <v>9762281</v>
      </c>
      <c r="C10" s="113" t="s">
        <v>269</v>
      </c>
      <c r="D10" s="122" t="s">
        <v>245</v>
      </c>
      <c r="E10" s="123" t="s">
        <v>226</v>
      </c>
      <c r="F10" s="123" t="s">
        <v>259</v>
      </c>
      <c r="G10" s="135" t="s">
        <v>270</v>
      </c>
      <c r="H10" s="123" t="s">
        <v>271</v>
      </c>
      <c r="I10" s="131" t="s">
        <v>247</v>
      </c>
      <c r="J10" s="133" t="s">
        <v>272</v>
      </c>
    </row>
    <row r="11" spans="1:10">
      <c r="A11" s="118" t="s">
        <v>268</v>
      </c>
      <c r="B11" s="107">
        <v>9683150</v>
      </c>
      <c r="C11" s="107" t="s">
        <v>273</v>
      </c>
      <c r="D11" s="119" t="s">
        <v>245</v>
      </c>
      <c r="E11" s="120" t="s">
        <v>226</v>
      </c>
      <c r="F11" s="120" t="s">
        <v>259</v>
      </c>
      <c r="G11" s="136" t="s">
        <v>274</v>
      </c>
      <c r="H11" s="120" t="s">
        <v>275</v>
      </c>
      <c r="I11" s="131" t="s">
        <v>247</v>
      </c>
      <c r="J11" s="133" t="s">
        <v>272</v>
      </c>
    </row>
    <row r="12" spans="1:10">
      <c r="A12" s="79" t="s">
        <v>268</v>
      </c>
      <c r="B12" s="113">
        <v>2440812</v>
      </c>
      <c r="C12" s="113" t="s">
        <v>276</v>
      </c>
      <c r="D12" s="114" t="s">
        <v>277</v>
      </c>
      <c r="E12" s="115" t="s">
        <v>226</v>
      </c>
      <c r="F12" s="115" t="s">
        <v>259</v>
      </c>
      <c r="G12" s="134" t="s">
        <v>278</v>
      </c>
      <c r="H12" s="115" t="s">
        <v>162</v>
      </c>
      <c r="I12" s="131" t="s">
        <v>247</v>
      </c>
      <c r="J12" s="133"/>
    </row>
    <row r="13" spans="1:10">
      <c r="A13" s="118" t="s">
        <v>268</v>
      </c>
      <c r="B13" s="107">
        <v>1381625</v>
      </c>
      <c r="C13" s="107" t="s">
        <v>279</v>
      </c>
      <c r="D13" s="108" t="s">
        <v>245</v>
      </c>
      <c r="E13" s="109" t="s">
        <v>226</v>
      </c>
      <c r="F13" s="109" t="s">
        <v>259</v>
      </c>
      <c r="G13" s="137" t="s">
        <v>280</v>
      </c>
      <c r="H13" s="109" t="s">
        <v>41</v>
      </c>
      <c r="I13" s="131" t="s">
        <v>247</v>
      </c>
      <c r="J13" s="133"/>
    </row>
    <row r="14" spans="1:10">
      <c r="A14" s="79" t="s">
        <v>268</v>
      </c>
      <c r="B14" s="113">
        <v>4608389</v>
      </c>
      <c r="C14" s="113" t="s">
        <v>281</v>
      </c>
      <c r="D14" s="114" t="s">
        <v>245</v>
      </c>
      <c r="E14" s="115" t="s">
        <v>226</v>
      </c>
      <c r="F14" s="115" t="s">
        <v>227</v>
      </c>
      <c r="G14" s="134" t="s">
        <v>282</v>
      </c>
      <c r="H14" s="115" t="s">
        <v>22</v>
      </c>
      <c r="I14" s="131" t="s">
        <v>247</v>
      </c>
      <c r="J14" s="133"/>
    </row>
    <row r="15" spans="1:10">
      <c r="A15" s="118" t="s">
        <v>243</v>
      </c>
      <c r="B15" s="107">
        <v>4608544</v>
      </c>
      <c r="C15" s="107" t="s">
        <v>283</v>
      </c>
      <c r="D15" s="108" t="s">
        <v>245</v>
      </c>
      <c r="E15" s="109" t="s">
        <v>249</v>
      </c>
      <c r="F15" s="109" t="s">
        <v>227</v>
      </c>
      <c r="G15" s="137" t="s">
        <v>284</v>
      </c>
      <c r="H15" s="109" t="s">
        <v>14</v>
      </c>
      <c r="I15" s="131" t="s">
        <v>247</v>
      </c>
      <c r="J15" s="133"/>
    </row>
    <row r="16" spans="1:10">
      <c r="A16" s="118" t="s">
        <v>257</v>
      </c>
      <c r="B16" s="113">
        <v>4608474</v>
      </c>
      <c r="C16" s="113" t="s">
        <v>285</v>
      </c>
      <c r="D16" s="114" t="s">
        <v>245</v>
      </c>
      <c r="E16" s="115" t="s">
        <v>249</v>
      </c>
      <c r="F16" s="123" t="s">
        <v>227</v>
      </c>
      <c r="G16" s="124" t="s">
        <v>286</v>
      </c>
      <c r="H16" s="123" t="s">
        <v>30</v>
      </c>
      <c r="I16" s="131" t="s">
        <v>247</v>
      </c>
      <c r="J16" s="133"/>
    </row>
    <row r="17" spans="1:10">
      <c r="A17" s="79" t="s">
        <v>257</v>
      </c>
      <c r="B17" s="107">
        <v>1386344</v>
      </c>
      <c r="C17" s="107" t="s">
        <v>287</v>
      </c>
      <c r="D17" s="119" t="s">
        <v>245</v>
      </c>
      <c r="E17" s="120" t="s">
        <v>249</v>
      </c>
      <c r="F17" s="120" t="s">
        <v>259</v>
      </c>
      <c r="G17" s="121" t="s">
        <v>288</v>
      </c>
      <c r="H17" s="120" t="s">
        <v>289</v>
      </c>
      <c r="I17" s="131" t="s">
        <v>247</v>
      </c>
      <c r="J17" s="133" t="s">
        <v>272</v>
      </c>
    </row>
    <row r="18" spans="1:10">
      <c r="A18" s="79" t="s">
        <v>257</v>
      </c>
      <c r="B18" s="113">
        <v>4608684</v>
      </c>
      <c r="C18" s="113" t="s">
        <v>290</v>
      </c>
      <c r="D18" s="122" t="s">
        <v>245</v>
      </c>
      <c r="E18" s="123" t="s">
        <v>249</v>
      </c>
      <c r="F18" s="123" t="s">
        <v>227</v>
      </c>
      <c r="G18" s="124" t="s">
        <v>291</v>
      </c>
      <c r="H18" s="115" t="s">
        <v>53</v>
      </c>
      <c r="I18" s="131" t="s">
        <v>247</v>
      </c>
      <c r="J18" s="133"/>
    </row>
    <row r="19" spans="1:10">
      <c r="A19" s="79" t="s">
        <v>268</v>
      </c>
      <c r="B19" s="107">
        <v>9612082</v>
      </c>
      <c r="C19" s="107" t="s">
        <v>292</v>
      </c>
      <c r="D19" s="119" t="s">
        <v>245</v>
      </c>
      <c r="E19" s="120" t="s">
        <v>249</v>
      </c>
      <c r="F19" s="109" t="s">
        <v>259</v>
      </c>
      <c r="G19" s="121" t="s">
        <v>293</v>
      </c>
      <c r="H19" s="120" t="s">
        <v>56</v>
      </c>
      <c r="I19" s="131" t="s">
        <v>247</v>
      </c>
      <c r="J19" s="133"/>
    </row>
    <row r="20" spans="1:10">
      <c r="A20" s="79" t="s">
        <v>268</v>
      </c>
      <c r="B20" s="113">
        <v>9618720</v>
      </c>
      <c r="C20" s="113" t="s">
        <v>294</v>
      </c>
      <c r="D20" s="122" t="s">
        <v>245</v>
      </c>
      <c r="E20" s="123" t="s">
        <v>249</v>
      </c>
      <c r="F20" s="115" t="s">
        <v>259</v>
      </c>
      <c r="G20" s="124" t="s">
        <v>295</v>
      </c>
      <c r="H20" s="123" t="s">
        <v>64</v>
      </c>
      <c r="I20" s="131" t="s">
        <v>247</v>
      </c>
      <c r="J20" s="133" t="s">
        <v>261</v>
      </c>
    </row>
    <row r="21" spans="1:10">
      <c r="A21" s="79" t="s">
        <v>268</v>
      </c>
      <c r="B21" s="107">
        <v>9724817</v>
      </c>
      <c r="C21" s="107" t="s">
        <v>296</v>
      </c>
      <c r="D21" s="119" t="s">
        <v>245</v>
      </c>
      <c r="E21" s="120" t="s">
        <v>249</v>
      </c>
      <c r="F21" s="109" t="s">
        <v>259</v>
      </c>
      <c r="G21" s="121" t="s">
        <v>297</v>
      </c>
      <c r="H21" s="120" t="s">
        <v>37</v>
      </c>
      <c r="I21" s="131" t="s">
        <v>247</v>
      </c>
      <c r="J21" s="133"/>
    </row>
    <row r="22" spans="1:10">
      <c r="A22" s="79" t="s">
        <v>268</v>
      </c>
      <c r="B22" s="113">
        <v>2460800</v>
      </c>
      <c r="C22" s="113" t="s">
        <v>298</v>
      </c>
      <c r="D22" s="122" t="s">
        <v>277</v>
      </c>
      <c r="E22" s="123" t="s">
        <v>249</v>
      </c>
      <c r="F22" s="115" t="s">
        <v>259</v>
      </c>
      <c r="G22" s="116" t="s">
        <v>299</v>
      </c>
      <c r="H22" s="115" t="s">
        <v>300</v>
      </c>
      <c r="I22" s="131" t="s">
        <v>247</v>
      </c>
      <c r="J22" s="133"/>
    </row>
    <row r="23" spans="1:10">
      <c r="A23" s="79" t="s">
        <v>243</v>
      </c>
      <c r="B23" s="107">
        <v>4608559</v>
      </c>
      <c r="C23" s="107" t="s">
        <v>301</v>
      </c>
      <c r="D23" s="119" t="s">
        <v>245</v>
      </c>
      <c r="E23" s="120" t="s">
        <v>252</v>
      </c>
      <c r="F23" s="120" t="s">
        <v>227</v>
      </c>
      <c r="G23" s="121" t="s">
        <v>302</v>
      </c>
      <c r="H23" s="120" t="s">
        <v>19</v>
      </c>
      <c r="I23" s="131" t="s">
        <v>247</v>
      </c>
      <c r="J23" s="132"/>
    </row>
    <row r="24" spans="1:10">
      <c r="A24" s="79" t="s">
        <v>257</v>
      </c>
      <c r="B24" s="113">
        <v>4608411</v>
      </c>
      <c r="C24" s="113" t="s">
        <v>303</v>
      </c>
      <c r="D24" s="122" t="s">
        <v>245</v>
      </c>
      <c r="E24" s="123" t="s">
        <v>252</v>
      </c>
      <c r="F24" s="115" t="s">
        <v>227</v>
      </c>
      <c r="G24" s="124" t="s">
        <v>304</v>
      </c>
      <c r="H24" s="123" t="s">
        <v>47</v>
      </c>
      <c r="I24" s="131" t="s">
        <v>247</v>
      </c>
      <c r="J24" s="132"/>
    </row>
    <row r="25" spans="1:10">
      <c r="A25" s="79" t="s">
        <v>257</v>
      </c>
      <c r="B25" s="107">
        <v>9634180</v>
      </c>
      <c r="C25" s="107" t="s">
        <v>305</v>
      </c>
      <c r="D25" s="108" t="s">
        <v>245</v>
      </c>
      <c r="E25" s="109" t="s">
        <v>252</v>
      </c>
      <c r="F25" s="109" t="s">
        <v>259</v>
      </c>
      <c r="G25" s="117" t="s">
        <v>306</v>
      </c>
      <c r="H25" s="109" t="s">
        <v>307</v>
      </c>
      <c r="I25" s="131" t="s">
        <v>247</v>
      </c>
      <c r="J25" s="132"/>
    </row>
    <row r="26" spans="1:10">
      <c r="A26" s="79" t="s">
        <v>268</v>
      </c>
      <c r="B26" s="113">
        <v>4608780</v>
      </c>
      <c r="C26" s="113" t="s">
        <v>308</v>
      </c>
      <c r="D26" s="114" t="s">
        <v>245</v>
      </c>
      <c r="E26" s="115" t="s">
        <v>252</v>
      </c>
      <c r="F26" s="115" t="s">
        <v>227</v>
      </c>
      <c r="G26" s="116" t="s">
        <v>309</v>
      </c>
      <c r="H26" s="115" t="s">
        <v>45</v>
      </c>
      <c r="I26" s="131" t="s">
        <v>247</v>
      </c>
      <c r="J26" s="132"/>
    </row>
    <row r="27" spans="1:10">
      <c r="A27" s="79" t="s">
        <v>268</v>
      </c>
      <c r="B27" s="107">
        <v>2475130</v>
      </c>
      <c r="C27" s="107" t="s">
        <v>310</v>
      </c>
      <c r="D27" s="108" t="s">
        <v>245</v>
      </c>
      <c r="E27" s="109" t="s">
        <v>252</v>
      </c>
      <c r="F27" s="109" t="s">
        <v>259</v>
      </c>
      <c r="G27" s="136" t="s">
        <v>311</v>
      </c>
      <c r="H27" s="120" t="s">
        <v>84</v>
      </c>
      <c r="I27" s="131" t="s">
        <v>247</v>
      </c>
      <c r="J27" s="132"/>
    </row>
    <row r="28" spans="1:10">
      <c r="A28" s="79" t="s">
        <v>268</v>
      </c>
      <c r="B28" s="113">
        <v>2477135</v>
      </c>
      <c r="C28" s="113" t="s">
        <v>312</v>
      </c>
      <c r="D28" s="114" t="s">
        <v>245</v>
      </c>
      <c r="E28" s="115" t="s">
        <v>252</v>
      </c>
      <c r="F28" s="115" t="s">
        <v>259</v>
      </c>
      <c r="G28" s="135" t="s">
        <v>313</v>
      </c>
      <c r="H28" s="123" t="s">
        <v>52</v>
      </c>
      <c r="I28" s="131" t="s">
        <v>247</v>
      </c>
      <c r="J28" s="132"/>
    </row>
    <row r="29" spans="1:10">
      <c r="A29" s="79" t="s">
        <v>243</v>
      </c>
      <c r="B29" s="107">
        <v>4606246</v>
      </c>
      <c r="C29" s="107" t="s">
        <v>314</v>
      </c>
      <c r="D29" s="108" t="s">
        <v>315</v>
      </c>
      <c r="E29" s="120" t="s">
        <v>316</v>
      </c>
      <c r="F29" s="109" t="s">
        <v>227</v>
      </c>
      <c r="G29" s="136" t="s">
        <v>317</v>
      </c>
      <c r="H29" s="120" t="s">
        <v>61</v>
      </c>
      <c r="I29" s="131" t="s">
        <v>247</v>
      </c>
      <c r="J29" s="133"/>
    </row>
    <row r="30" spans="1:10">
      <c r="A30" s="79" t="s">
        <v>257</v>
      </c>
      <c r="B30" s="113">
        <v>4606308</v>
      </c>
      <c r="C30" s="113" t="s">
        <v>318</v>
      </c>
      <c r="D30" s="114" t="s">
        <v>315</v>
      </c>
      <c r="E30" s="123" t="s">
        <v>316</v>
      </c>
      <c r="F30" s="115" t="s">
        <v>227</v>
      </c>
      <c r="G30" s="135" t="s">
        <v>319</v>
      </c>
      <c r="H30" s="123" t="s">
        <v>320</v>
      </c>
      <c r="I30" s="131" t="s">
        <v>247</v>
      </c>
      <c r="J30" s="133"/>
    </row>
    <row r="31" spans="1:10">
      <c r="A31" s="79" t="s">
        <v>257</v>
      </c>
      <c r="B31" s="107">
        <v>9634222</v>
      </c>
      <c r="C31" s="107" t="s">
        <v>321</v>
      </c>
      <c r="D31" s="108" t="s">
        <v>245</v>
      </c>
      <c r="E31" s="120" t="s">
        <v>252</v>
      </c>
      <c r="F31" s="109" t="s">
        <v>259</v>
      </c>
      <c r="G31" s="136" t="s">
        <v>322</v>
      </c>
      <c r="H31" s="120" t="s">
        <v>39</v>
      </c>
      <c r="I31" s="131" t="s">
        <v>247</v>
      </c>
      <c r="J31" s="133" t="s">
        <v>261</v>
      </c>
    </row>
    <row r="32" spans="1:10">
      <c r="A32" s="79" t="s">
        <v>257</v>
      </c>
      <c r="B32" s="113">
        <v>229316</v>
      </c>
      <c r="C32" s="113" t="s">
        <v>323</v>
      </c>
      <c r="D32" s="113" t="s">
        <v>315</v>
      </c>
      <c r="E32" s="81" t="s">
        <v>316</v>
      </c>
      <c r="F32" s="81" t="s">
        <v>259</v>
      </c>
      <c r="G32" s="138" t="s">
        <v>324</v>
      </c>
      <c r="H32" s="81" t="s">
        <v>124</v>
      </c>
      <c r="I32" s="131" t="s">
        <v>247</v>
      </c>
      <c r="J32" s="133"/>
    </row>
    <row r="33" spans="1:10">
      <c r="A33" s="79" t="s">
        <v>268</v>
      </c>
      <c r="B33" s="107">
        <v>2493288</v>
      </c>
      <c r="C33" s="107" t="s">
        <v>325</v>
      </c>
      <c r="D33" s="107" t="s">
        <v>315</v>
      </c>
      <c r="E33" s="80" t="s">
        <v>316</v>
      </c>
      <c r="F33" s="109" t="s">
        <v>259</v>
      </c>
      <c r="G33" s="139" t="s">
        <v>326</v>
      </c>
      <c r="H33" s="80" t="s">
        <v>34</v>
      </c>
      <c r="I33" s="131" t="s">
        <v>247</v>
      </c>
      <c r="J33" s="133"/>
    </row>
    <row r="34" spans="1:10">
      <c r="A34" s="79" t="s">
        <v>268</v>
      </c>
      <c r="B34" s="113">
        <v>214272</v>
      </c>
      <c r="C34" s="113" t="s">
        <v>327</v>
      </c>
      <c r="D34" s="113" t="s">
        <v>315</v>
      </c>
      <c r="E34" s="81" t="s">
        <v>316</v>
      </c>
      <c r="F34" s="115" t="s">
        <v>259</v>
      </c>
      <c r="G34" s="138" t="s">
        <v>328</v>
      </c>
      <c r="H34" s="81" t="s">
        <v>329</v>
      </c>
      <c r="I34" s="131" t="s">
        <v>247</v>
      </c>
      <c r="J34" s="133"/>
    </row>
    <row r="35" spans="1:10">
      <c r="A35" s="79" t="s">
        <v>268</v>
      </c>
      <c r="B35" s="107">
        <v>4606694</v>
      </c>
      <c r="C35" s="107" t="s">
        <v>330</v>
      </c>
      <c r="D35" s="108" t="s">
        <v>315</v>
      </c>
      <c r="E35" s="80" t="s">
        <v>316</v>
      </c>
      <c r="F35" s="80" t="s">
        <v>227</v>
      </c>
      <c r="G35" s="139" t="s">
        <v>331</v>
      </c>
      <c r="H35" s="80" t="s">
        <v>49</v>
      </c>
      <c r="I35" s="131" t="s">
        <v>247</v>
      </c>
      <c r="J35" s="133"/>
    </row>
    <row r="36" spans="1:10">
      <c r="A36" s="79" t="s">
        <v>268</v>
      </c>
      <c r="B36" s="113">
        <v>2430855</v>
      </c>
      <c r="C36" s="113" t="s">
        <v>332</v>
      </c>
      <c r="D36" s="114" t="s">
        <v>245</v>
      </c>
      <c r="E36" s="81" t="s">
        <v>316</v>
      </c>
      <c r="F36" s="81" t="s">
        <v>259</v>
      </c>
      <c r="G36" s="83" t="s">
        <v>333</v>
      </c>
      <c r="H36" s="81" t="s">
        <v>27</v>
      </c>
      <c r="I36" s="131" t="s">
        <v>247</v>
      </c>
      <c r="J36" s="133"/>
    </row>
    <row r="37" spans="1:10">
      <c r="A37" s="79" t="s">
        <v>268</v>
      </c>
      <c r="B37" s="107">
        <v>4604625</v>
      </c>
      <c r="C37" s="107" t="s">
        <v>334</v>
      </c>
      <c r="D37" s="108" t="s">
        <v>335</v>
      </c>
      <c r="E37" s="80" t="s">
        <v>316</v>
      </c>
      <c r="F37" s="80" t="s">
        <v>227</v>
      </c>
      <c r="G37" s="82" t="s">
        <v>336</v>
      </c>
      <c r="H37" s="80" t="s">
        <v>337</v>
      </c>
      <c r="I37" s="131" t="s">
        <v>247</v>
      </c>
      <c r="J37" s="133"/>
    </row>
    <row r="38" spans="1:10">
      <c r="A38" s="79" t="s">
        <v>268</v>
      </c>
      <c r="B38" s="113">
        <v>4612098</v>
      </c>
      <c r="C38" s="113" t="s">
        <v>338</v>
      </c>
      <c r="D38" s="114" t="s">
        <v>245</v>
      </c>
      <c r="E38" s="115" t="s">
        <v>226</v>
      </c>
      <c r="F38" s="81" t="s">
        <v>227</v>
      </c>
      <c r="G38" s="83" t="s">
        <v>339</v>
      </c>
      <c r="H38" s="81" t="s">
        <v>100</v>
      </c>
      <c r="I38" s="131"/>
      <c r="J38" s="132"/>
    </row>
    <row r="39" spans="1:10">
      <c r="A39" s="118" t="s">
        <v>268</v>
      </c>
      <c r="B39" s="107">
        <v>4612126</v>
      </c>
      <c r="C39" s="107" t="s">
        <v>340</v>
      </c>
      <c r="D39" s="108" t="s">
        <v>245</v>
      </c>
      <c r="E39" s="109" t="s">
        <v>249</v>
      </c>
      <c r="F39" s="80" t="s">
        <v>227</v>
      </c>
      <c r="G39" s="82" t="s">
        <v>341</v>
      </c>
      <c r="H39" s="80" t="s">
        <v>105</v>
      </c>
      <c r="I39" s="131" t="s">
        <v>247</v>
      </c>
      <c r="J39" s="132"/>
    </row>
    <row r="40" spans="1:10">
      <c r="A40" s="79" t="s">
        <v>268</v>
      </c>
      <c r="B40" s="113">
        <v>2550195</v>
      </c>
      <c r="C40" s="113" t="s">
        <v>342</v>
      </c>
      <c r="D40" s="113" t="s">
        <v>277</v>
      </c>
      <c r="E40" s="81" t="s">
        <v>252</v>
      </c>
      <c r="F40" s="81" t="s">
        <v>259</v>
      </c>
      <c r="G40" s="83" t="s">
        <v>343</v>
      </c>
      <c r="H40" s="81" t="s">
        <v>234</v>
      </c>
      <c r="I40" s="131" t="s">
        <v>256</v>
      </c>
      <c r="J40" s="132"/>
    </row>
    <row r="41" spans="1:10">
      <c r="A41" s="79" t="s">
        <v>257</v>
      </c>
      <c r="B41" s="107">
        <v>4612243</v>
      </c>
      <c r="C41" s="107" t="s">
        <v>344</v>
      </c>
      <c r="D41" s="108" t="s">
        <v>245</v>
      </c>
      <c r="E41" s="109" t="s">
        <v>226</v>
      </c>
      <c r="F41" s="80" t="s">
        <v>227</v>
      </c>
      <c r="G41" s="82" t="s">
        <v>345</v>
      </c>
      <c r="H41" s="80" t="s">
        <v>102</v>
      </c>
      <c r="I41" s="131" t="s">
        <v>247</v>
      </c>
      <c r="J41" s="132"/>
    </row>
    <row r="42" spans="1:10">
      <c r="A42" s="79" t="s">
        <v>257</v>
      </c>
      <c r="B42" s="113">
        <v>4612389</v>
      </c>
      <c r="C42" s="113" t="s">
        <v>346</v>
      </c>
      <c r="D42" s="114" t="s">
        <v>245</v>
      </c>
      <c r="E42" s="115" t="s">
        <v>226</v>
      </c>
      <c r="F42" s="81" t="s">
        <v>227</v>
      </c>
      <c r="G42" s="83" t="s">
        <v>347</v>
      </c>
      <c r="H42" s="81" t="s">
        <v>108</v>
      </c>
      <c r="I42" s="131" t="s">
        <v>247</v>
      </c>
      <c r="J42" s="132"/>
    </row>
    <row r="43" spans="1:10">
      <c r="A43" s="79" t="s">
        <v>257</v>
      </c>
      <c r="B43" s="107">
        <v>4612192</v>
      </c>
      <c r="C43" s="107" t="s">
        <v>348</v>
      </c>
      <c r="D43" s="108" t="s">
        <v>245</v>
      </c>
      <c r="E43" s="109" t="s">
        <v>249</v>
      </c>
      <c r="F43" s="80" t="s">
        <v>227</v>
      </c>
      <c r="G43" s="82" t="s">
        <v>349</v>
      </c>
      <c r="H43" s="80" t="s">
        <v>103</v>
      </c>
      <c r="I43" s="131" t="s">
        <v>247</v>
      </c>
      <c r="J43" s="132"/>
    </row>
    <row r="44" spans="1:10">
      <c r="A44" s="79" t="s">
        <v>257</v>
      </c>
      <c r="B44" s="113">
        <v>4612393</v>
      </c>
      <c r="C44" s="113" t="s">
        <v>350</v>
      </c>
      <c r="D44" s="114" t="s">
        <v>245</v>
      </c>
      <c r="E44" s="115" t="s">
        <v>252</v>
      </c>
      <c r="F44" s="81" t="s">
        <v>227</v>
      </c>
      <c r="G44" s="83" t="s">
        <v>351</v>
      </c>
      <c r="H44" s="81" t="s">
        <v>137</v>
      </c>
      <c r="I44" s="131" t="s">
        <v>247</v>
      </c>
      <c r="J44" s="132"/>
    </row>
    <row r="45" spans="1:10">
      <c r="A45" s="79" t="s">
        <v>257</v>
      </c>
      <c r="B45" s="107">
        <v>4612228</v>
      </c>
      <c r="C45" s="107" t="s">
        <v>352</v>
      </c>
      <c r="D45" s="108" t="s">
        <v>245</v>
      </c>
      <c r="E45" s="109" t="s">
        <v>249</v>
      </c>
      <c r="F45" s="80" t="s">
        <v>227</v>
      </c>
      <c r="G45" s="82" t="s">
        <v>353</v>
      </c>
      <c r="H45" s="80" t="s">
        <v>139</v>
      </c>
      <c r="I45" s="131" t="s">
        <v>247</v>
      </c>
      <c r="J45" s="132"/>
    </row>
    <row r="46" spans="1:10">
      <c r="A46" s="79" t="s">
        <v>257</v>
      </c>
      <c r="B46" s="113">
        <v>4612247</v>
      </c>
      <c r="C46" s="113" t="s">
        <v>354</v>
      </c>
      <c r="D46" s="114" t="s">
        <v>245</v>
      </c>
      <c r="E46" s="115" t="s">
        <v>252</v>
      </c>
      <c r="F46" s="81" t="s">
        <v>227</v>
      </c>
      <c r="G46" s="83" t="s">
        <v>355</v>
      </c>
      <c r="H46" s="81" t="s">
        <v>136</v>
      </c>
      <c r="I46" s="131" t="s">
        <v>247</v>
      </c>
      <c r="J46" s="132"/>
    </row>
    <row r="47" spans="1:10">
      <c r="A47" s="79" t="s">
        <v>243</v>
      </c>
      <c r="B47" s="107">
        <v>2448533</v>
      </c>
      <c r="C47" s="107" t="s">
        <v>356</v>
      </c>
      <c r="D47" s="108" t="s">
        <v>245</v>
      </c>
      <c r="E47" s="109" t="s">
        <v>316</v>
      </c>
      <c r="F47" s="109" t="s">
        <v>259</v>
      </c>
      <c r="G47" s="82" t="s">
        <v>357</v>
      </c>
      <c r="H47" s="80" t="s">
        <v>221</v>
      </c>
      <c r="I47" s="131"/>
      <c r="J47" s="132"/>
    </row>
    <row r="48" spans="1:10">
      <c r="A48" s="79" t="s">
        <v>243</v>
      </c>
      <c r="B48" s="113">
        <v>9921954</v>
      </c>
      <c r="C48" s="113" t="s">
        <v>358</v>
      </c>
      <c r="D48" s="114" t="s">
        <v>245</v>
      </c>
      <c r="E48" s="115" t="s">
        <v>316</v>
      </c>
      <c r="F48" s="115" t="s">
        <v>259</v>
      </c>
      <c r="G48" s="83" t="s">
        <v>359</v>
      </c>
      <c r="H48" s="81" t="s">
        <v>360</v>
      </c>
      <c r="I48" s="131"/>
      <c r="J48" s="132"/>
    </row>
    <row r="49" spans="1:10">
      <c r="A49" s="79" t="s">
        <v>257</v>
      </c>
      <c r="B49" s="107">
        <v>1386288</v>
      </c>
      <c r="C49" s="107" t="s">
        <v>361</v>
      </c>
      <c r="D49" s="108" t="s">
        <v>245</v>
      </c>
      <c r="E49" s="109" t="s">
        <v>316</v>
      </c>
      <c r="F49" s="109" t="s">
        <v>259</v>
      </c>
      <c r="G49" s="82" t="s">
        <v>362</v>
      </c>
      <c r="H49" s="80" t="s">
        <v>205</v>
      </c>
      <c r="I49" s="131"/>
      <c r="J49" s="132"/>
    </row>
    <row r="50" spans="1:10">
      <c r="A50" s="79" t="s">
        <v>257</v>
      </c>
      <c r="B50" s="113">
        <v>9678697</v>
      </c>
      <c r="C50" s="113" t="s">
        <v>363</v>
      </c>
      <c r="D50" s="114" t="s">
        <v>245</v>
      </c>
      <c r="E50" s="115" t="s">
        <v>316</v>
      </c>
      <c r="F50" s="115" t="s">
        <v>259</v>
      </c>
      <c r="G50" s="83" t="s">
        <v>364</v>
      </c>
      <c r="H50" s="81" t="s">
        <v>365</v>
      </c>
      <c r="I50" s="131"/>
      <c r="J50" s="132"/>
    </row>
    <row r="51" spans="1:10">
      <c r="A51" s="79" t="s">
        <v>257</v>
      </c>
      <c r="B51" s="107">
        <v>1385870</v>
      </c>
      <c r="C51" s="107" t="s">
        <v>366</v>
      </c>
      <c r="D51" s="108" t="s">
        <v>245</v>
      </c>
      <c r="E51" s="109" t="s">
        <v>316</v>
      </c>
      <c r="F51" s="109" t="s">
        <v>259</v>
      </c>
      <c r="G51" s="82" t="s">
        <v>367</v>
      </c>
      <c r="H51" s="80" t="s">
        <v>204</v>
      </c>
      <c r="I51" s="131"/>
      <c r="J51" s="132"/>
    </row>
    <row r="52" spans="1:10">
      <c r="A52" s="79" t="s">
        <v>257</v>
      </c>
      <c r="B52" s="113">
        <v>1387328</v>
      </c>
      <c r="C52" s="113" t="s">
        <v>368</v>
      </c>
      <c r="D52" s="114" t="s">
        <v>245</v>
      </c>
      <c r="E52" s="115" t="s">
        <v>316</v>
      </c>
      <c r="F52" s="115" t="s">
        <v>259</v>
      </c>
      <c r="G52" s="83" t="s">
        <v>369</v>
      </c>
      <c r="H52" s="80" t="s">
        <v>370</v>
      </c>
      <c r="I52" s="131"/>
      <c r="J52" s="132"/>
    </row>
    <row r="53" spans="1:10">
      <c r="A53" s="79" t="s">
        <v>257</v>
      </c>
      <c r="B53" s="107">
        <v>1385950</v>
      </c>
      <c r="C53" s="107" t="s">
        <v>371</v>
      </c>
      <c r="D53" s="108" t="s">
        <v>245</v>
      </c>
      <c r="E53" s="109" t="s">
        <v>316</v>
      </c>
      <c r="F53" s="109" t="s">
        <v>259</v>
      </c>
      <c r="G53" s="82" t="s">
        <v>372</v>
      </c>
      <c r="H53" s="81" t="s">
        <v>202</v>
      </c>
      <c r="I53" s="131"/>
      <c r="J53" s="132"/>
    </row>
    <row r="54" spans="1:10">
      <c r="A54" s="79" t="s">
        <v>257</v>
      </c>
      <c r="B54" s="107">
        <v>1385950</v>
      </c>
      <c r="C54" s="107" t="s">
        <v>371</v>
      </c>
      <c r="D54" s="108" t="s">
        <v>245</v>
      </c>
      <c r="E54" s="120" t="s">
        <v>316</v>
      </c>
      <c r="F54" s="80" t="s">
        <v>259</v>
      </c>
      <c r="G54" s="144" t="s">
        <v>372</v>
      </c>
      <c r="H54" s="80" t="s">
        <v>202</v>
      </c>
      <c r="I54" s="131"/>
      <c r="J54" s="132"/>
    </row>
    <row r="55" spans="1:10">
      <c r="A55" s="79" t="s">
        <v>257</v>
      </c>
      <c r="B55" s="113">
        <v>1387328</v>
      </c>
      <c r="C55" s="113" t="s">
        <v>368</v>
      </c>
      <c r="D55" s="114" t="s">
        <v>245</v>
      </c>
      <c r="E55" s="120" t="s">
        <v>316</v>
      </c>
      <c r="F55" s="81" t="s">
        <v>259</v>
      </c>
      <c r="G55" s="145" t="s">
        <v>369</v>
      </c>
      <c r="H55" s="81" t="s">
        <v>370</v>
      </c>
      <c r="I55" s="131"/>
      <c r="J55" s="132"/>
    </row>
    <row r="56" spans="1:10">
      <c r="A56" s="79" t="s">
        <v>257</v>
      </c>
      <c r="B56" s="107">
        <v>1385870</v>
      </c>
      <c r="C56" s="107" t="s">
        <v>366</v>
      </c>
      <c r="D56" s="108" t="s">
        <v>245</v>
      </c>
      <c r="E56" s="120" t="s">
        <v>316</v>
      </c>
      <c r="F56" s="80" t="s">
        <v>259</v>
      </c>
      <c r="G56" s="144" t="s">
        <v>367</v>
      </c>
      <c r="H56" s="80" t="s">
        <v>204</v>
      </c>
      <c r="I56" s="131"/>
      <c r="J56" s="132"/>
    </row>
    <row r="57" spans="1:10">
      <c r="A57" s="79" t="s">
        <v>257</v>
      </c>
      <c r="B57" s="113">
        <v>1386288</v>
      </c>
      <c r="C57" s="113" t="s">
        <v>361</v>
      </c>
      <c r="D57" s="114" t="s">
        <v>245</v>
      </c>
      <c r="E57" s="120" t="s">
        <v>316</v>
      </c>
      <c r="F57" s="81" t="s">
        <v>259</v>
      </c>
      <c r="G57" s="145" t="s">
        <v>362</v>
      </c>
      <c r="H57" s="81" t="s">
        <v>205</v>
      </c>
      <c r="I57" s="131"/>
      <c r="J57" s="132"/>
    </row>
    <row r="58" spans="1:10">
      <c r="A58" s="79" t="s">
        <v>257</v>
      </c>
      <c r="B58" s="107">
        <v>9678697</v>
      </c>
      <c r="C58" s="107" t="s">
        <v>363</v>
      </c>
      <c r="D58" s="108" t="s">
        <v>245</v>
      </c>
      <c r="E58" s="120" t="s">
        <v>316</v>
      </c>
      <c r="F58" s="80" t="s">
        <v>259</v>
      </c>
      <c r="G58" s="144" t="s">
        <v>364</v>
      </c>
      <c r="H58" s="80" t="s">
        <v>373</v>
      </c>
      <c r="I58" s="131"/>
      <c r="J58" s="132"/>
    </row>
    <row r="59" spans="1:10">
      <c r="A59" s="79" t="s">
        <v>243</v>
      </c>
      <c r="B59" s="113">
        <v>9921954</v>
      </c>
      <c r="C59" s="113" t="s">
        <v>358</v>
      </c>
      <c r="D59" s="114" t="s">
        <v>245</v>
      </c>
      <c r="E59" s="120" t="s">
        <v>316</v>
      </c>
      <c r="F59" s="81" t="s">
        <v>259</v>
      </c>
      <c r="G59" s="145" t="s">
        <v>359</v>
      </c>
      <c r="H59" s="81" t="s">
        <v>235</v>
      </c>
      <c r="I59" s="131"/>
      <c r="J59" s="132"/>
    </row>
    <row r="60" spans="1:10">
      <c r="A60" s="79" t="s">
        <v>243</v>
      </c>
      <c r="B60" s="107">
        <v>2448533</v>
      </c>
      <c r="C60" s="107" t="s">
        <v>356</v>
      </c>
      <c r="D60" s="108" t="s">
        <v>245</v>
      </c>
      <c r="E60" s="120" t="s">
        <v>316</v>
      </c>
      <c r="F60" s="80" t="s">
        <v>259</v>
      </c>
      <c r="G60" s="144" t="s">
        <v>357</v>
      </c>
      <c r="H60" s="80" t="s">
        <v>221</v>
      </c>
      <c r="I60" s="131"/>
      <c r="J60" s="132"/>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1" operator="containsText" text="INST">
      <formula>NOT(ISERROR(SEARCH("INST",A49)))</formula>
    </cfRule>
    <cfRule type="containsText" dxfId="103" priority="100" operator="containsText" text="ELET">
      <formula>NOT(ISERROR(SEARCH("ELET",A49)))</formula>
    </cfRule>
    <cfRule type="containsText" dxfId="102" priority="102" operator="containsText" text="MEC">
      <formula>NOT(ISERROR(SEARCH("MEC",A49)))</formula>
    </cfRule>
  </conditionalFormatting>
  <conditionalFormatting sqref="A49:A60">
    <cfRule type="containsText" dxfId="101" priority="8" operator="containsText" text="INST">
      <formula>NOT(ISERROR(SEARCH("INST",A49)))</formula>
    </cfRule>
    <cfRule type="containsText" dxfId="100" priority="7" operator="containsText" text="ELET">
      <formula>NOT(ISERROR(SEARCH("ELET",A49)))</formula>
    </cfRule>
    <cfRule type="containsText" dxfId="99" priority="9" operator="containsText" text="MEC">
      <formula>NOT(ISERROR(SEARCH("MEC",A49)))</formula>
    </cfRule>
  </conditionalFormatting>
  <conditionalFormatting sqref="A1:G46">
    <cfRule type="containsText" dxfId="98" priority="114" operator="containsText" text="MEC">
      <formula>NOT(ISERROR(SEARCH("MEC",A1)))</formula>
    </cfRule>
    <cfRule type="containsText" dxfId="97" priority="113" operator="containsText" text="INST">
      <formula>NOT(ISERROR(SEARCH("INST",A1)))</formula>
    </cfRule>
    <cfRule type="containsText" dxfId="96" priority="112" operator="containsText" text="ELET">
      <formula>NOT(ISERROR(SEARCH("ELET",A1)))</formula>
    </cfRule>
  </conditionalFormatting>
  <conditionalFormatting sqref="A54:G60">
    <cfRule type="containsText" dxfId="95" priority="12" operator="containsText" text="MEC">
      <formula>NOT(ISERROR(SEARCH("MEC",A54)))</formula>
    </cfRule>
    <cfRule type="containsText" dxfId="94" priority="10" operator="containsText" text="ELET">
      <formula>NOT(ISERROR(SEARCH("ELET",A54)))</formula>
    </cfRule>
    <cfRule type="containsText" dxfId="93" priority="11" operator="containsText" text="INST">
      <formula>NOT(ISERROR(SEARCH("INST",A54)))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2" operator="containsText" text="MEC">
      <formula>NOT(ISERROR(SEARCH("MEC",C47)))</formula>
    </cfRule>
    <cfRule type="containsText" dxfId="85" priority="71" operator="containsText" text="INST">
      <formula>NOT(ISERROR(SEARCH("INST",C47)))</formula>
    </cfRule>
  </conditionalFormatting>
  <conditionalFormatting sqref="D25:D31">
    <cfRule type="containsText" dxfId="84" priority="105" operator="containsText" text="MEC">
      <formula>NOT(ISERROR(SEARCH("MEC",D25)))</formula>
    </cfRule>
    <cfRule type="containsText" dxfId="83" priority="104" operator="containsText" text="INST">
      <formula>NOT(ISERROR(SEARCH("INST",D25)))</formula>
    </cfRule>
    <cfRule type="containsText" dxfId="82" priority="103" operator="containsText" text="ELET">
      <formula>NOT(ISERROR(SEARCH("ELET",D25)))</formula>
    </cfRule>
  </conditionalFormatting>
  <conditionalFormatting sqref="D35:D53">
    <cfRule type="containsText" dxfId="81" priority="98" operator="containsText" text="INST">
      <formula>NOT(ISERROR(SEARCH("INST",D35)))</formula>
    </cfRule>
    <cfRule type="containsText" dxfId="80" priority="99" operator="containsText" text="MEC">
      <formula>NOT(ISERROR(SEARCH("MEC",D35)))</formula>
    </cfRule>
    <cfRule type="containsText" dxfId="79" priority="97" operator="containsText" text="ELET">
      <formula>NOT(ISERROR(SEARCH("ELET",D35)))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2" operator="containsText" text="INST">
      <formula>NOT(ISERROR(SEARCH("INST",E3)))</formula>
    </cfRule>
    <cfRule type="containsText" dxfId="73" priority="93" operator="containsText" text="MEC">
      <formula>NOT(ISERROR(SEARCH("MEC",E3)))</formula>
    </cfRule>
    <cfRule type="containsText" dxfId="72" priority="91" operator="containsText" text="ELET">
      <formula>NOT(ISERROR(SEARCH("ELET",E3)))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8" operator="containsText" text="MEC">
      <formula>NOT(ISERROR(SEARCH("MEC",E22)))</formula>
    </cfRule>
    <cfRule type="containsText" dxfId="66" priority="107" operator="containsText" text="INST">
      <formula>NOT(ISERROR(SEARCH("INST",E22)))</formula>
    </cfRule>
  </conditionalFormatting>
  <conditionalFormatting sqref="E44">
    <cfRule type="containsText" dxfId="65" priority="89" operator="containsText" text="INST">
      <formula>NOT(ISERROR(SEARCH("INST",E44)))</formula>
    </cfRule>
    <cfRule type="containsText" dxfId="64" priority="88" operator="containsText" text="ELET">
      <formula>NOT(ISERROR(SEARCH("ELET",E44)))</formula>
    </cfRule>
    <cfRule type="containsText" dxfId="63" priority="90" operator="containsText" text="MEC">
      <formula>NOT(ISERROR(SEARCH("MEC",E44)))</formula>
    </cfRule>
  </conditionalFormatting>
  <conditionalFormatting sqref="E46">
    <cfRule type="containsText" dxfId="62" priority="94" operator="containsText" text="ELET">
      <formula>NOT(ISERROR(SEARCH("ELET",E46)))</formula>
    </cfRule>
    <cfRule type="containsText" dxfId="61" priority="96" operator="containsText" text="MEC">
      <formula>NOT(ISERROR(SEARCH("MEC",E46)))</formula>
    </cfRule>
    <cfRule type="containsText" dxfId="60" priority="86" operator="containsText" text="INST">
      <formula>NOT(ISERROR(SEARCH("INST",E46)))</formula>
    </cfRule>
    <cfRule type="containsText" dxfId="59" priority="87" operator="containsText" text="MEC">
      <formula>NOT(ISERROR(SEARCH("MEC",E46)))</formula>
    </cfRule>
    <cfRule type="containsText" dxfId="58" priority="85" operator="containsText" text="ELET">
      <formula>NOT(ISERROR(SEARCH("ELET",E46)))</formula>
    </cfRule>
    <cfRule type="containsText" dxfId="57" priority="95" operator="containsText" text="INST">
      <formula>NOT(ISERROR(SEARCH("INST",E46)))</formula>
    </cfRule>
  </conditionalFormatting>
  <conditionalFormatting sqref="E48 E52">
    <cfRule type="containsText" dxfId="56" priority="65" operator="containsText" text="INST">
      <formula>NOT(ISERROR(SEARCH("INST",E48)))</formula>
    </cfRule>
    <cfRule type="containsText" dxfId="55" priority="64" operator="containsText" text="ELET">
      <formula>NOT(ISERROR(SEARCH("ELET",E48)))</formula>
    </cfRule>
    <cfRule type="containsText" dxfId="54" priority="66" operator="containsText" text="MEC">
      <formula>NOT(ISERROR(SEARCH("MEC",E48)))</formula>
    </cfRule>
  </conditionalFormatting>
  <conditionalFormatting sqref="E48">
    <cfRule type="containsText" dxfId="53" priority="30" operator="containsText" text="MEC">
      <formula>NOT(ISERROR(SEARCH("MEC",E48)))</formula>
    </cfRule>
    <cfRule type="containsText" dxfId="52" priority="31" operator="containsText" text="ELET">
      <formula>NOT(ISERROR(SEARCH("ELET",E48)))</formula>
    </cfRule>
    <cfRule type="containsText" dxfId="51" priority="32" operator="containsText" text="INST">
      <formula>NOT(ISERROR(SEARCH("INST",E48)))</formula>
    </cfRule>
    <cfRule type="containsText" dxfId="50" priority="33" operator="containsText" text="MEC">
      <formula>NOT(ISERROR(SEARCH("MEC",E48)))</formula>
    </cfRule>
    <cfRule type="containsText" dxfId="49" priority="29" operator="containsText" text="INST">
      <formula>NOT(ISERROR(SEARCH("INST",E48)))</formula>
    </cfRule>
    <cfRule type="containsText" dxfId="48" priority="28" operator="containsText" text="ELET">
      <formula>NOT(ISERROR(SEARCH("ELET",E48)))</formula>
    </cfRule>
  </conditionalFormatting>
  <conditionalFormatting sqref="E50">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fRule type="containsText" dxfId="41" priority="13" operator="containsText" text="ELET">
      <formula>NOT(ISERROR(SEARCH("ELET",E50)))</formula>
    </cfRule>
    <cfRule type="containsText" dxfId="40" priority="14" operator="containsText" text="INST">
      <formula>NOT(ISERROR(SEARCH("INST",E50)))</formula>
    </cfRule>
    <cfRule type="containsText" dxfId="39" priority="15" operator="containsText" text="MEC">
      <formula>NOT(ISERROR(SEARCH("MEC",E50)))</formula>
    </cfRule>
    <cfRule type="containsText" dxfId="38" priority="16" operator="containsText" text="ELET">
      <formula>NOT(ISERROR(SEARCH("ELET",E50)))</formula>
    </cfRule>
    <cfRule type="containsText" dxfId="37" priority="17" operator="containsText" text="INST">
      <formula>NOT(ISERROR(SEARCH("INST",E50)))</formula>
    </cfRule>
    <cfRule type="containsText" dxfId="36" priority="18" operator="containsText" text="MEC">
      <formula>NOT(ISERROR(SEARCH("MEC",E50)))</formula>
    </cfRule>
    <cfRule type="containsText" dxfId="35" priority="19" operator="containsText" text="ELET">
      <formula>NOT(ISERROR(SEARCH("ELET",E50)))</formula>
    </cfRule>
    <cfRule type="containsText" dxfId="34" priority="20" operator="containsText" text="INST">
      <formula>NOT(ISERROR(SEARCH("INST",E50)))</formula>
    </cfRule>
    <cfRule type="containsText" dxfId="33" priority="21" operator="containsText" text="MEC">
      <formula>NOT(ISERROR(SEARCH("MEC",E50)))</formula>
    </cfRule>
  </conditionalFormatting>
  <conditionalFormatting sqref="E52">
    <cfRule type="containsText" dxfId="32" priority="27" operator="containsText" text="MEC">
      <formula>NOT(ISERROR(SEARCH("MEC",E52)))</formula>
    </cfRule>
    <cfRule type="containsText" dxfId="31" priority="26" operator="containsText" text="INST">
      <formula>NOT(ISERROR(SEARCH("INST",E52)))</formula>
    </cfRule>
    <cfRule type="containsText" dxfId="30" priority="25" operator="containsText" text="ELET">
      <formula>NOT(ISERROR(SEARCH("ELET",E52)))</formula>
    </cfRule>
    <cfRule type="containsText" dxfId="29" priority="23" operator="containsText" text="INST">
      <formula>NOT(ISERROR(SEARCH("INST",E52)))</formula>
    </cfRule>
    <cfRule type="containsText" dxfId="28" priority="24" operator="containsText" text="MEC">
      <formula>NOT(ISERROR(SEARCH("MEC",E52)))</formula>
    </cfRule>
    <cfRule type="containsText" dxfId="27" priority="22" operator="containsText" text="ELET">
      <formula>NOT(ISERROR(SEARCH("ELET",E52)))</formula>
    </cfRule>
  </conditionalFormatting>
  <conditionalFormatting sqref="E54:E60">
    <cfRule type="containsText" dxfId="26" priority="1" operator="containsText" text="ELET">
      <formula>NOT(ISERROR(SEARCH("ELET",E54)))</formula>
    </cfRule>
    <cfRule type="containsText" dxfId="25" priority="3" operator="containsText" text="MEC">
      <formula>NOT(ISERROR(SEARCH("MEC",E54)))</formula>
    </cfRule>
    <cfRule type="containsText" dxfId="24" priority="2" operator="containsText" text="INST">
      <formula>NOT(ISERROR(SEARCH("INST",E54)))</formula>
    </cfRule>
  </conditionalFormatting>
  <conditionalFormatting sqref="F47:G53">
    <cfRule type="containsText" dxfId="23" priority="35" operator="containsText" text="INST">
      <formula>NOT(ISERROR(SEARCH("INST",F47)))</formula>
    </cfRule>
    <cfRule type="containsText" dxfId="22" priority="36" operator="containsText" text="MEC">
      <formula>NOT(ISERROR(SEARCH("MEC",F47)))</formula>
    </cfRule>
    <cfRule type="containsText" dxfId="21" priority="34" operator="containsText" text="ELET">
      <formula>NOT(ISERROR(SEARCH("ELET",F47)))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81" zoomScaleNormal="100" workbookViewId="0">
      <selection activeCell="E92" sqref="E92"/>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53" t="s">
        <v>374</v>
      </c>
      <c r="C2" s="154"/>
      <c r="D2" s="154"/>
      <c r="E2" s="154"/>
      <c r="G2" s="149" t="s">
        <v>226</v>
      </c>
      <c r="H2" s="149"/>
      <c r="I2" s="149"/>
      <c r="J2" s="149"/>
      <c r="L2" s="150" t="s">
        <v>249</v>
      </c>
      <c r="M2" s="151"/>
      <c r="N2" s="151"/>
      <c r="O2" s="152"/>
      <c r="Q2" s="150" t="s">
        <v>252</v>
      </c>
      <c r="R2" s="151"/>
      <c r="S2" s="151"/>
      <c r="T2" s="152"/>
    </row>
    <row r="3" spans="2:35" ht="14.45">
      <c r="B3" s="128" t="s">
        <v>375</v>
      </c>
      <c r="C3" s="128" t="s">
        <v>375</v>
      </c>
      <c r="D3" s="128" t="s">
        <v>376</v>
      </c>
      <c r="E3" s="128" t="s">
        <v>377</v>
      </c>
      <c r="G3" s="101" t="s">
        <v>375</v>
      </c>
      <c r="H3" s="101" t="s">
        <v>375</v>
      </c>
      <c r="I3" s="101" t="s">
        <v>376</v>
      </c>
      <c r="J3" s="84" t="s">
        <v>378</v>
      </c>
      <c r="L3" s="101" t="s">
        <v>375</v>
      </c>
      <c r="M3" s="101" t="s">
        <v>375</v>
      </c>
      <c r="N3" s="101" t="s">
        <v>376</v>
      </c>
      <c r="O3" s="84" t="s">
        <v>378</v>
      </c>
      <c r="Q3" s="101" t="s">
        <v>375</v>
      </c>
      <c r="R3" s="101" t="s">
        <v>375</v>
      </c>
      <c r="S3" s="101" t="s">
        <v>376</v>
      </c>
      <c r="T3" s="84" t="s">
        <v>378</v>
      </c>
    </row>
    <row r="4" spans="2:35" ht="14.45">
      <c r="B4" s="100">
        <v>45505</v>
      </c>
      <c r="C4" s="102">
        <f>B4-1</f>
        <v>45504</v>
      </c>
      <c r="D4" s="84">
        <f>I4+N4+S4</f>
        <v>1</v>
      </c>
      <c r="E4" s="84">
        <f>COUNTIFS(Equipe!F:F,"Novo",Equipe!D:D,"Técnico")*3</f>
        <v>63</v>
      </c>
      <c r="G4" s="100">
        <v>45505</v>
      </c>
      <c r="H4" s="102">
        <f>G4-1</f>
        <v>45504</v>
      </c>
      <c r="I4" s="84">
        <f>COUNTIFS('Planejamento IED'!C:C,"&lt;"&amp;H4,'Planejamento IED'!F:F,"Embarque",'Planejamento IED'!H:H,'Embarques Vivenciais'!$G$2,'Planejamento IED'!I:I,"Novo")</f>
        <v>0</v>
      </c>
      <c r="J4" s="84">
        <f>COUNTIFS(Equipe!F:F,"Novo",Equipe!D:D,"Técnico",Equipe!E:E,$G$2)*3</f>
        <v>24</v>
      </c>
      <c r="L4" s="100">
        <v>45505</v>
      </c>
      <c r="M4" s="102">
        <f>L4-1</f>
        <v>45504</v>
      </c>
      <c r="N4" s="84">
        <f>COUNTIFS('Planejamento IED'!C:C,"&lt;"&amp;M4,'Planejamento IED'!F:F,"Embarque",'Planejamento IED'!H:H,'Embarques Vivenciais'!$L$2,'Planejamento IED'!I:I,"Novo")</f>
        <v>1</v>
      </c>
      <c r="O4" s="84">
        <f>COUNTIFS(Equipe!F:F,"Novo",Equipe!D:D,"Técnico",Equipe!E:E,$L$2)*3</f>
        <v>21</v>
      </c>
      <c r="Q4" s="100">
        <v>45505</v>
      </c>
      <c r="R4" s="102">
        <f>Q4-1</f>
        <v>45504</v>
      </c>
      <c r="S4" s="84">
        <f>COUNTIFS('Planejamento IED'!C:C,"&lt;"&amp;R4,'Planejamento IED'!F:F,"Embarque",'Planejamento IED'!H:H,'Embarques Vivenciais'!$Q$2,'Planejamento IED'!I:I,"Novo")</f>
        <v>0</v>
      </c>
      <c r="T4" s="84">
        <f>COUNTIFS(Equipe!F:F,"Novo",Equipe!D:D,"Técnico",Equipe!E:E,$Q$2)*3</f>
        <v>18</v>
      </c>
    </row>
    <row r="5" spans="2:35" ht="14.45">
      <c r="B5" s="100">
        <v>45536</v>
      </c>
      <c r="C5" s="102">
        <f t="shared" ref="C5:C33" si="0">B5-1</f>
        <v>45535</v>
      </c>
      <c r="D5" s="84">
        <f t="shared" ref="D5:D33" si="1">I5+N5+S5</f>
        <v>1</v>
      </c>
      <c r="E5" s="84">
        <f>COUNTIFS(Equipe!F:F,"Novo",Equipe!D:D,"Técnico")*3</f>
        <v>63</v>
      </c>
      <c r="G5" s="100">
        <v>45536</v>
      </c>
      <c r="H5" s="102">
        <f t="shared" ref="H5:H33" si="2">G5-1</f>
        <v>45535</v>
      </c>
      <c r="I5" s="84">
        <f>COUNTIFS('Planejamento IED'!C:C,"&lt;"&amp;H5,'Planejamento IED'!F:F,"Embarque",'Planejamento IED'!H:H,'Embarques Vivenciais'!$G$2,'Planejamento IED'!I:I,"Novo")</f>
        <v>0</v>
      </c>
      <c r="J5" s="84">
        <f>COUNTIFS(Equipe!F:F,"Novo",Equipe!D:D,"Técnico",Equipe!E:E,$G$2)*3</f>
        <v>24</v>
      </c>
      <c r="L5" s="100">
        <v>45536</v>
      </c>
      <c r="M5" s="102">
        <f t="shared" ref="M5:M33" si="3">L5-1</f>
        <v>45535</v>
      </c>
      <c r="N5" s="84">
        <f>COUNTIFS('Planejamento IED'!C:C,"&lt;"&amp;M5,'Planejamento IED'!F:F,"Embarque",'Planejamento IED'!H:H,'Embarques Vivenciais'!$L$2,'Planejamento IED'!I:I,"Novo")</f>
        <v>1</v>
      </c>
      <c r="O5" s="84">
        <f>COUNTIFS(Equipe!F:F,"Novo",Equipe!D:D,"Técnico",Equipe!E:E,$L$2)*3</f>
        <v>21</v>
      </c>
      <c r="Q5" s="100">
        <v>45536</v>
      </c>
      <c r="R5" s="102">
        <f t="shared" ref="R5:R33" si="4">Q5-1</f>
        <v>45535</v>
      </c>
      <c r="S5" s="84">
        <f>COUNTIFS('Planejamento IED'!C:C,"&lt;"&amp;R5,'Planejamento IED'!F:F,"Embarque",'Planejamento IED'!H:H,'Embarques Vivenciais'!$Q$2,'Planejamento IED'!I:I,"Novo")</f>
        <v>0</v>
      </c>
      <c r="T5" s="84">
        <f>COUNTIFS(Equipe!F:F,"Novo",Equipe!D:D,"Técnico",Equipe!E:E,$Q$2)*3</f>
        <v>18</v>
      </c>
    </row>
    <row r="6" spans="2:35" ht="14.45">
      <c r="B6" s="100">
        <v>45566</v>
      </c>
      <c r="C6" s="102">
        <f t="shared" si="0"/>
        <v>45565</v>
      </c>
      <c r="D6" s="84">
        <f t="shared" si="1"/>
        <v>2</v>
      </c>
      <c r="E6" s="84">
        <f>COUNTIFS(Equipe!F:F,"Novo",Equipe!D:D,"Técnico")*3</f>
        <v>63</v>
      </c>
      <c r="G6" s="100">
        <v>45566</v>
      </c>
      <c r="H6" s="102">
        <f t="shared" si="2"/>
        <v>45565</v>
      </c>
      <c r="I6" s="84">
        <f>COUNTIFS('Planejamento IED'!C:C,"&lt;"&amp;H6,'Planejamento IED'!F:F,"Embarque",'Planejamento IED'!H:H,'Embarques Vivenciais'!$G$2,'Planejamento IED'!I:I,"Novo")</f>
        <v>0</v>
      </c>
      <c r="J6" s="84">
        <f>COUNTIFS(Equipe!F:F,"Novo",Equipe!D:D,"Técnico",Equipe!E:E,$G$2)*3</f>
        <v>24</v>
      </c>
      <c r="L6" s="100">
        <v>45566</v>
      </c>
      <c r="M6" s="102">
        <f t="shared" si="3"/>
        <v>45565</v>
      </c>
      <c r="N6" s="84">
        <f>COUNTIFS('Planejamento IED'!C:C,"&lt;"&amp;M6,'Planejamento IED'!F:F,"Embarque",'Planejamento IED'!H:H,'Embarques Vivenciais'!$L$2,'Planejamento IED'!I:I,"Novo")</f>
        <v>1</v>
      </c>
      <c r="O6" s="84">
        <f>COUNTIFS(Equipe!F:F,"Novo",Equipe!D:D,"Técnico",Equipe!E:E,$L$2)*3</f>
        <v>21</v>
      </c>
      <c r="Q6" s="100">
        <v>45566</v>
      </c>
      <c r="R6" s="102">
        <f t="shared" si="4"/>
        <v>45565</v>
      </c>
      <c r="S6" s="84">
        <f>COUNTIFS('Planejamento IED'!C:C,"&lt;"&amp;R6,'Planejamento IED'!F:F,"Embarque",'Planejamento IED'!H:H,'Embarques Vivenciais'!$Q$2,'Planejamento IED'!I:I,"Novo")</f>
        <v>1</v>
      </c>
      <c r="T6" s="84">
        <f>COUNTIFS(Equipe!F:F,"Novo",Equipe!D:D,"Técnico",Equipe!E:E,$Q$2)*3</f>
        <v>18</v>
      </c>
    </row>
    <row r="7" spans="2:35" ht="14.45">
      <c r="B7" s="100">
        <v>45597</v>
      </c>
      <c r="C7" s="102">
        <f t="shared" si="0"/>
        <v>45596</v>
      </c>
      <c r="D7" s="84">
        <f t="shared" si="1"/>
        <v>2</v>
      </c>
      <c r="E7" s="84">
        <f>COUNTIFS(Equipe!F:F,"Novo",Equipe!D:D,"Técnico")*3</f>
        <v>63</v>
      </c>
      <c r="G7" s="100">
        <v>45597</v>
      </c>
      <c r="H7" s="102">
        <f t="shared" si="2"/>
        <v>45596</v>
      </c>
      <c r="I7" s="84">
        <f>COUNTIFS('Planejamento IED'!C:C,"&lt;"&amp;H7,'Planejamento IED'!F:F,"Embarque",'Planejamento IED'!H:H,'Embarques Vivenciais'!$G$2,'Planejamento IED'!I:I,"Novo")</f>
        <v>0</v>
      </c>
      <c r="J7" s="84">
        <f>COUNTIFS(Equipe!F:F,"Novo",Equipe!D:D,"Técnico",Equipe!E:E,$G$2)*3</f>
        <v>24</v>
      </c>
      <c r="L7" s="100">
        <v>45597</v>
      </c>
      <c r="M7" s="102">
        <f t="shared" si="3"/>
        <v>45596</v>
      </c>
      <c r="N7" s="84">
        <f>COUNTIFS('Planejamento IED'!C:C,"&lt;"&amp;M7,'Planejamento IED'!F:F,"Embarque",'Planejamento IED'!H:H,'Embarques Vivenciais'!$L$2,'Planejamento IED'!I:I,"Novo")</f>
        <v>1</v>
      </c>
      <c r="O7" s="84">
        <f>COUNTIFS(Equipe!F:F,"Novo",Equipe!D:D,"Técnico",Equipe!E:E,$L$2)*3</f>
        <v>21</v>
      </c>
      <c r="Q7" s="100">
        <v>45597</v>
      </c>
      <c r="R7" s="102">
        <f t="shared" si="4"/>
        <v>45596</v>
      </c>
      <c r="S7" s="84">
        <f>COUNTIFS('Planejamento IED'!C:C,"&lt;"&amp;R7,'Planejamento IED'!F:F,"Embarque",'Planejamento IED'!H:H,'Embarques Vivenciais'!$Q$2,'Planejamento IED'!I:I,"Novo")</f>
        <v>1</v>
      </c>
      <c r="T7" s="84">
        <f>COUNTIFS(Equipe!F:F,"Novo",Equipe!D:D,"Técnico",Equipe!E:E,$Q$2)*3</f>
        <v>18</v>
      </c>
    </row>
    <row r="8" spans="2:35" ht="14.45">
      <c r="B8" s="100">
        <v>45627</v>
      </c>
      <c r="C8" s="102">
        <f t="shared" si="0"/>
        <v>45626</v>
      </c>
      <c r="D8" s="84">
        <f t="shared" si="1"/>
        <v>2</v>
      </c>
      <c r="E8" s="84">
        <f>COUNTIFS(Equipe!F:F,"Novo",Equipe!D:D,"Técnico")*3</f>
        <v>63</v>
      </c>
      <c r="G8" s="100">
        <v>45627</v>
      </c>
      <c r="H8" s="102">
        <f t="shared" si="2"/>
        <v>45626</v>
      </c>
      <c r="I8" s="84">
        <f>COUNTIFS('Planejamento IED'!C:C,"&lt;"&amp;H8,'Planejamento IED'!F:F,"Embarque",'Planejamento IED'!H:H,'Embarques Vivenciais'!$G$2,'Planejamento IED'!I:I,"Novo")</f>
        <v>0</v>
      </c>
      <c r="J8" s="84">
        <f>COUNTIFS(Equipe!F:F,"Novo",Equipe!D:D,"Técnico",Equipe!E:E,$G$2)*3</f>
        <v>24</v>
      </c>
      <c r="L8" s="100">
        <v>45627</v>
      </c>
      <c r="M8" s="102">
        <f t="shared" si="3"/>
        <v>45626</v>
      </c>
      <c r="N8" s="84">
        <f>COUNTIFS('Planejamento IED'!C:C,"&lt;"&amp;M8,'Planejamento IED'!F:F,"Embarque",'Planejamento IED'!H:H,'Embarques Vivenciais'!$L$2,'Planejamento IED'!I:I,"Novo")</f>
        <v>1</v>
      </c>
      <c r="O8" s="84">
        <f>COUNTIFS(Equipe!F:F,"Novo",Equipe!D:D,"Técnico",Equipe!E:E,$L$2)*3</f>
        <v>21</v>
      </c>
      <c r="Q8" s="100">
        <v>45627</v>
      </c>
      <c r="R8" s="102">
        <f t="shared" si="4"/>
        <v>45626</v>
      </c>
      <c r="S8" s="84">
        <f>COUNTIFS('Planejamento IED'!C:C,"&lt;"&amp;R8,'Planejamento IED'!F:F,"Embarque",'Planejamento IED'!H:H,'Embarques Vivenciais'!$Q$2,'Planejamento IED'!I:I,"Novo")</f>
        <v>1</v>
      </c>
      <c r="T8" s="84">
        <f>COUNTIFS(Equipe!F:F,"Novo",Equipe!D:D,"Técnico",Equipe!E:E,$Q$2)*3</f>
        <v>18</v>
      </c>
    </row>
    <row r="9" spans="2:35" ht="14.45">
      <c r="B9" s="100">
        <v>45658</v>
      </c>
      <c r="C9" s="102">
        <f t="shared" si="0"/>
        <v>45657</v>
      </c>
      <c r="D9" s="84">
        <f t="shared" si="1"/>
        <v>2</v>
      </c>
      <c r="E9" s="84">
        <f>COUNTIFS(Equipe!F:F,"Novo",Equipe!D:D,"Técnico")*3</f>
        <v>63</v>
      </c>
      <c r="G9" s="100">
        <v>45658</v>
      </c>
      <c r="H9" s="102">
        <f t="shared" si="2"/>
        <v>45657</v>
      </c>
      <c r="I9" s="84">
        <f>COUNTIFS('Planejamento IED'!C:C,"&lt;"&amp;H9,'Planejamento IED'!F:F,"Embarque",'Planejamento IED'!H:H,'Embarques Vivenciais'!$G$2,'Planejamento IED'!I:I,"Novo")</f>
        <v>0</v>
      </c>
      <c r="J9" s="84">
        <f>COUNTIFS(Equipe!F:F,"Novo",Equipe!D:D,"Técnico",Equipe!E:E,$G$2)*3</f>
        <v>24</v>
      </c>
      <c r="L9" s="100">
        <v>45658</v>
      </c>
      <c r="M9" s="102">
        <f t="shared" si="3"/>
        <v>45657</v>
      </c>
      <c r="N9" s="84">
        <f>COUNTIFS('Planejamento IED'!C:C,"&lt;"&amp;M9,'Planejamento IED'!F:F,"Embarque",'Planejamento IED'!H:H,'Embarques Vivenciais'!$L$2,'Planejamento IED'!I:I,"Novo")</f>
        <v>1</v>
      </c>
      <c r="O9" s="84">
        <f>COUNTIFS(Equipe!F:F,"Novo",Equipe!D:D,"Técnico",Equipe!E:E,$L$2)*3</f>
        <v>21</v>
      </c>
      <c r="Q9" s="100">
        <v>45658</v>
      </c>
      <c r="R9" s="102">
        <f t="shared" si="4"/>
        <v>45657</v>
      </c>
      <c r="S9" s="84">
        <f>COUNTIFS('Planejamento IED'!C:C,"&lt;"&amp;R9,'Planejamento IED'!F:F,"Embarque",'Planejamento IED'!H:H,'Embarques Vivenciais'!$Q$2,'Planejamento IED'!I:I,"Novo")</f>
        <v>1</v>
      </c>
      <c r="T9" s="84">
        <f>COUNTIFS(Equipe!F:F,"Novo",Equipe!D:D,"Técnico",Equipe!E:E,$Q$2)*3</f>
        <v>18</v>
      </c>
    </row>
    <row r="10" spans="2:35" ht="14.45">
      <c r="B10" s="100">
        <v>45689</v>
      </c>
      <c r="C10" s="102">
        <f t="shared" si="0"/>
        <v>45688</v>
      </c>
      <c r="D10" s="84">
        <f t="shared" si="1"/>
        <v>3</v>
      </c>
      <c r="E10" s="84">
        <f>COUNTIFS(Equipe!F:F,"Novo",Equipe!D:D,"Técnico")*3</f>
        <v>63</v>
      </c>
      <c r="G10" s="100">
        <v>45689</v>
      </c>
      <c r="H10" s="102">
        <f t="shared" si="2"/>
        <v>45688</v>
      </c>
      <c r="I10" s="84">
        <f>COUNTIFS('Planejamento IED'!C:C,"&lt;"&amp;H10,'Planejamento IED'!F:F,"Embarque",'Planejamento IED'!H:H,'Embarques Vivenciais'!$G$2,'Planejamento IED'!I:I,"Novo")</f>
        <v>1</v>
      </c>
      <c r="J10" s="84">
        <f>COUNTIFS(Equipe!F:F,"Novo",Equipe!D:D,"Técnico",Equipe!E:E,$G$2)*3</f>
        <v>24</v>
      </c>
      <c r="L10" s="100">
        <v>45689</v>
      </c>
      <c r="M10" s="102">
        <f t="shared" si="3"/>
        <v>45688</v>
      </c>
      <c r="N10" s="84">
        <f>COUNTIFS('Planejamento IED'!C:C,"&lt;"&amp;M10,'Planejamento IED'!F:F,"Embarque",'Planejamento IED'!H:H,'Embarques Vivenciais'!$L$2,'Planejamento IED'!I:I,"Novo")</f>
        <v>1</v>
      </c>
      <c r="O10" s="84">
        <f>COUNTIFS(Equipe!F:F,"Novo",Equipe!D:D,"Técnico",Equipe!E:E,$L$2)*3</f>
        <v>21</v>
      </c>
      <c r="Q10" s="100">
        <v>45689</v>
      </c>
      <c r="R10" s="102">
        <f t="shared" si="4"/>
        <v>45688</v>
      </c>
      <c r="S10" s="84">
        <f>COUNTIFS('Planejamento IED'!C:C,"&lt;"&amp;R10,'Planejamento IED'!F:F,"Embarque",'Planejamento IED'!H:H,'Embarques Vivenciais'!$Q$2,'Planejamento IED'!I:I,"Novo")</f>
        <v>1</v>
      </c>
      <c r="T10" s="84">
        <f>COUNTIFS(Equipe!F:F,"Novo",Equipe!D:D,"Técnico",Equipe!E:E,$Q$2)*3</f>
        <v>18</v>
      </c>
    </row>
    <row r="11" spans="2:35" ht="14.45">
      <c r="B11" s="100">
        <v>45717</v>
      </c>
      <c r="C11" s="102">
        <f t="shared" si="0"/>
        <v>45716</v>
      </c>
      <c r="D11" s="84">
        <f t="shared" si="1"/>
        <v>3</v>
      </c>
      <c r="E11" s="84">
        <f>COUNTIFS(Equipe!F:F,"Novo",Equipe!D:D,"Técnico")*3</f>
        <v>63</v>
      </c>
      <c r="G11" s="100">
        <v>45717</v>
      </c>
      <c r="H11" s="102">
        <f t="shared" si="2"/>
        <v>45716</v>
      </c>
      <c r="I11" s="84">
        <f>COUNTIFS('Planejamento IED'!C:C,"&lt;"&amp;H11,'Planejamento IED'!F:F,"Embarque",'Planejamento IED'!H:H,'Embarques Vivenciais'!$G$2,'Planejamento IED'!I:I,"Novo")</f>
        <v>1</v>
      </c>
      <c r="J11" s="84">
        <f>COUNTIFS(Equipe!F:F,"Novo",Equipe!D:D,"Técnico",Equipe!E:E,$G$2)*3</f>
        <v>24</v>
      </c>
      <c r="L11" s="100">
        <v>45717</v>
      </c>
      <c r="M11" s="102">
        <f t="shared" si="3"/>
        <v>45716</v>
      </c>
      <c r="N11" s="84">
        <f>COUNTIFS('Planejamento IED'!C:C,"&lt;"&amp;M11,'Planejamento IED'!F:F,"Embarque",'Planejamento IED'!H:H,'Embarques Vivenciais'!$L$2,'Planejamento IED'!I:I,"Novo")</f>
        <v>1</v>
      </c>
      <c r="O11" s="84">
        <f>COUNTIFS(Equipe!F:F,"Novo",Equipe!D:D,"Técnico",Equipe!E:E,$L$2)*3</f>
        <v>21</v>
      </c>
      <c r="Q11" s="100">
        <v>45717</v>
      </c>
      <c r="R11" s="102">
        <f t="shared" si="4"/>
        <v>45716</v>
      </c>
      <c r="S11" s="84">
        <f>COUNTIFS('Planejamento IED'!C:C,"&lt;"&amp;R11,'Planejamento IED'!F:F,"Embarque",'Planejamento IED'!H:H,'Embarques Vivenciais'!$Q$2,'Planejamento IED'!I:I,"Novo")</f>
        <v>1</v>
      </c>
      <c r="T11" s="84">
        <f>COUNTIFS(Equipe!F:F,"Novo",Equipe!D:D,"Técnico",Equipe!E:E,$Q$2)*3</f>
        <v>18</v>
      </c>
    </row>
    <row r="12" spans="2:35" ht="14.45">
      <c r="B12" s="100">
        <v>45748</v>
      </c>
      <c r="C12" s="102">
        <f t="shared" si="0"/>
        <v>45747</v>
      </c>
      <c r="D12" s="84">
        <f t="shared" si="1"/>
        <v>4</v>
      </c>
      <c r="E12" s="84">
        <f>COUNTIFS(Equipe!F:F,"Novo",Equipe!D:D,"Técnico")*3</f>
        <v>63</v>
      </c>
      <c r="G12" s="100">
        <v>45748</v>
      </c>
      <c r="H12" s="102">
        <f t="shared" si="2"/>
        <v>45747</v>
      </c>
      <c r="I12" s="84">
        <f>COUNTIFS('Planejamento IED'!C:C,"&lt;"&amp;H12,'Planejamento IED'!F:F,"Embarque",'Planejamento IED'!H:H,'Embarques Vivenciais'!$G$2,'Planejamento IED'!I:I,"Novo")</f>
        <v>2</v>
      </c>
      <c r="J12" s="84">
        <f>COUNTIFS(Equipe!F:F,"Novo",Equipe!D:D,"Técnico",Equipe!E:E,$G$2)*3</f>
        <v>24</v>
      </c>
      <c r="L12" s="100">
        <v>45748</v>
      </c>
      <c r="M12" s="102">
        <f t="shared" si="3"/>
        <v>45747</v>
      </c>
      <c r="N12" s="84">
        <f>COUNTIFS('Planejamento IED'!C:C,"&lt;"&amp;M12,'Planejamento IED'!F:F,"Embarque",'Planejamento IED'!H:H,'Embarques Vivenciais'!$L$2,'Planejamento IED'!I:I,"Novo")</f>
        <v>1</v>
      </c>
      <c r="O12" s="84">
        <f>COUNTIFS(Equipe!F:F,"Novo",Equipe!D:D,"Técnico",Equipe!E:E,$L$2)*3</f>
        <v>21</v>
      </c>
      <c r="Q12" s="100">
        <v>45748</v>
      </c>
      <c r="R12" s="102">
        <f t="shared" si="4"/>
        <v>45747</v>
      </c>
      <c r="S12" s="84">
        <f>COUNTIFS('Planejamento IED'!C:C,"&lt;"&amp;R12,'Planejamento IED'!F:F,"Embarque",'Planejamento IED'!H:H,'Embarques Vivenciais'!$Q$2,'Planejamento IED'!I:I,"Novo")</f>
        <v>1</v>
      </c>
      <c r="T12" s="84">
        <f>COUNTIFS(Equipe!F:F,"Novo",Equipe!D:D,"Técnico",Equipe!E:E,$Q$2)*3</f>
        <v>18</v>
      </c>
    </row>
    <row r="13" spans="2:35" ht="14.45">
      <c r="B13" s="100">
        <v>45778</v>
      </c>
      <c r="C13" s="102">
        <f t="shared" si="0"/>
        <v>45777</v>
      </c>
      <c r="D13" s="84">
        <f t="shared" si="1"/>
        <v>6</v>
      </c>
      <c r="E13" s="84">
        <f>COUNTIFS(Equipe!F:F,"Novo",Equipe!D:D,"Técnico")*3</f>
        <v>63</v>
      </c>
      <c r="G13" s="100">
        <v>45778</v>
      </c>
      <c r="H13" s="102">
        <f t="shared" si="2"/>
        <v>45777</v>
      </c>
      <c r="I13" s="84">
        <f>COUNTIFS('Planejamento IED'!C:C,"&lt;"&amp;H13,'Planejamento IED'!F:F,"Embarque",'Planejamento IED'!H:H,'Embarques Vivenciais'!$G$2,'Planejamento IED'!I:I,"Novo")</f>
        <v>3</v>
      </c>
      <c r="J13" s="84">
        <f>COUNTIFS(Equipe!F:F,"Novo",Equipe!D:D,"Técnico",Equipe!E:E,$G$2)*3</f>
        <v>24</v>
      </c>
      <c r="L13" s="100">
        <v>45778</v>
      </c>
      <c r="M13" s="102">
        <f t="shared" si="3"/>
        <v>45777</v>
      </c>
      <c r="N13" s="84">
        <f>COUNTIFS('Planejamento IED'!C:C,"&lt;"&amp;M13,'Planejamento IED'!F:F,"Embarque",'Planejamento IED'!H:H,'Embarques Vivenciais'!$L$2,'Planejamento IED'!I:I,"Novo")</f>
        <v>1</v>
      </c>
      <c r="O13" s="84">
        <f>COUNTIFS(Equipe!F:F,"Novo",Equipe!D:D,"Técnico",Equipe!E:E,$L$2)*3</f>
        <v>21</v>
      </c>
      <c r="Q13" s="100">
        <v>45778</v>
      </c>
      <c r="R13" s="102">
        <f t="shared" si="4"/>
        <v>45777</v>
      </c>
      <c r="S13" s="84">
        <f>COUNTIFS('Planejamento IED'!C:C,"&lt;"&amp;R13,'Planejamento IED'!F:F,"Embarque",'Planejamento IED'!H:H,'Embarques Vivenciais'!$Q$2,'Planejamento IED'!I:I,"Novo")</f>
        <v>2</v>
      </c>
      <c r="T13" s="84">
        <f>COUNTIFS(Equipe!F:F,"Novo",Equipe!D:D,"Técnico",Equipe!E:E,$Q$2)*3</f>
        <v>18</v>
      </c>
      <c r="AI13" t="s">
        <v>379</v>
      </c>
    </row>
    <row r="14" spans="2:35" ht="14.45">
      <c r="B14" s="100">
        <v>45809</v>
      </c>
      <c r="C14" s="102">
        <f t="shared" si="0"/>
        <v>45808</v>
      </c>
      <c r="D14" s="84">
        <f t="shared" si="1"/>
        <v>10</v>
      </c>
      <c r="E14" s="84">
        <f>COUNTIFS(Equipe!F:F,"Novo",Equipe!D:D,"Técnico")*3</f>
        <v>63</v>
      </c>
      <c r="G14" s="100">
        <v>45809</v>
      </c>
      <c r="H14" s="102">
        <f t="shared" si="2"/>
        <v>45808</v>
      </c>
      <c r="I14" s="84">
        <f>COUNTIFS('Planejamento IED'!C:C,"&lt;"&amp;H14,'Planejamento IED'!F:F,"Embarque",'Planejamento IED'!H:H,'Embarques Vivenciais'!$G$2,'Planejamento IED'!I:I,"Novo")</f>
        <v>5</v>
      </c>
      <c r="J14" s="84">
        <f>COUNTIFS(Equipe!F:F,"Novo",Equipe!D:D,"Técnico",Equipe!E:E,$G$2)*3</f>
        <v>24</v>
      </c>
      <c r="L14" s="100">
        <v>45809</v>
      </c>
      <c r="M14" s="102">
        <f t="shared" si="3"/>
        <v>45808</v>
      </c>
      <c r="N14" s="84">
        <f>COUNTIFS('Planejamento IED'!C:C,"&lt;"&amp;M14,'Planejamento IED'!F:F,"Embarque",'Planejamento IED'!H:H,'Embarques Vivenciais'!$L$2,'Planejamento IED'!I:I,"Novo")</f>
        <v>2</v>
      </c>
      <c r="O14" s="84">
        <f>COUNTIFS(Equipe!F:F,"Novo",Equipe!D:D,"Técnico",Equipe!E:E,$L$2)*3</f>
        <v>21</v>
      </c>
      <c r="Q14" s="100">
        <v>45809</v>
      </c>
      <c r="R14" s="102">
        <f t="shared" si="4"/>
        <v>45808</v>
      </c>
      <c r="S14" s="84">
        <f>COUNTIFS('Planejamento IED'!C:C,"&lt;"&amp;R14,'Planejamento IED'!F:F,"Embarque",'Planejamento IED'!H:H,'Embarques Vivenciais'!$Q$2,'Planejamento IED'!I:I,"Novo")</f>
        <v>3</v>
      </c>
      <c r="T14" s="84">
        <f>COUNTIFS(Equipe!F:F,"Novo",Equipe!D:D,"Técnico",Equipe!E:E,$Q$2)*3</f>
        <v>18</v>
      </c>
    </row>
    <row r="15" spans="2:35" ht="14.45">
      <c r="B15" s="100">
        <v>45839</v>
      </c>
      <c r="C15" s="102">
        <f t="shared" si="0"/>
        <v>45838</v>
      </c>
      <c r="D15" s="84">
        <f t="shared" si="1"/>
        <v>13</v>
      </c>
      <c r="E15" s="84">
        <f>COUNTIFS(Equipe!F:F,"Novo",Equipe!D:D,"Técnico")*3</f>
        <v>63</v>
      </c>
      <c r="G15" s="100">
        <v>45839</v>
      </c>
      <c r="H15" s="102">
        <f t="shared" si="2"/>
        <v>45838</v>
      </c>
      <c r="I15" s="84">
        <f>COUNTIFS('Planejamento IED'!C:C,"&lt;"&amp;H15,'Planejamento IED'!F:F,"Embarque",'Planejamento IED'!H:H,'Embarques Vivenciais'!$G$2,'Planejamento IED'!I:I,"Novo")</f>
        <v>6</v>
      </c>
      <c r="J15" s="84">
        <f>COUNTIFS(Equipe!F:F,"Novo",Equipe!D:D,"Técnico",Equipe!E:E,$G$2)*3</f>
        <v>24</v>
      </c>
      <c r="L15" s="100">
        <v>45839</v>
      </c>
      <c r="M15" s="102">
        <f t="shared" si="3"/>
        <v>45838</v>
      </c>
      <c r="N15" s="84">
        <f>COUNTIFS('Planejamento IED'!C:C,"&lt;"&amp;M15,'Planejamento IED'!F:F,"Embarque",'Planejamento IED'!H:H,'Embarques Vivenciais'!$L$2,'Planejamento IED'!I:I,"Novo")</f>
        <v>4</v>
      </c>
      <c r="O15" s="84">
        <f>COUNTIFS(Equipe!F:F,"Novo",Equipe!D:D,"Técnico",Equipe!E:E,$L$2)*3</f>
        <v>21</v>
      </c>
      <c r="Q15" s="100">
        <v>45839</v>
      </c>
      <c r="R15" s="102">
        <f t="shared" si="4"/>
        <v>45838</v>
      </c>
      <c r="S15" s="84">
        <f>COUNTIFS('Planejamento IED'!C:C,"&lt;"&amp;R15,'Planejamento IED'!F:F,"Embarque",'Planejamento IED'!H:H,'Embarques Vivenciais'!$Q$2,'Planejamento IED'!I:I,"Novo")</f>
        <v>3</v>
      </c>
      <c r="T15" s="84">
        <f>COUNTIFS(Equipe!F:F,"Novo",Equipe!D:D,"Técnico",Equipe!E:E,$Q$2)*3</f>
        <v>18</v>
      </c>
    </row>
    <row r="16" spans="2:35" ht="14.45">
      <c r="B16" s="100">
        <v>45870</v>
      </c>
      <c r="C16" s="102">
        <f t="shared" si="0"/>
        <v>45869</v>
      </c>
      <c r="D16" s="84">
        <f t="shared" si="1"/>
        <v>14</v>
      </c>
      <c r="E16" s="84">
        <f>COUNTIFS(Equipe!F:F,"Novo",Equipe!D:D,"Técnico")*3</f>
        <v>63</v>
      </c>
      <c r="G16" s="100">
        <v>45870</v>
      </c>
      <c r="H16" s="102">
        <f t="shared" si="2"/>
        <v>45869</v>
      </c>
      <c r="I16" s="84">
        <f>COUNTIFS('Planejamento IED'!C:C,"&lt;"&amp;H16,'Planejamento IED'!F:F,"Embarque",'Planejamento IED'!H:H,'Embarques Vivenciais'!$G$2,'Planejamento IED'!I:I,"Novo")</f>
        <v>7</v>
      </c>
      <c r="J16" s="84">
        <f>COUNTIFS(Equipe!F:F,"Novo",Equipe!D:D,"Técnico",Equipe!E:E,$G$2)*3</f>
        <v>24</v>
      </c>
      <c r="L16" s="100">
        <v>45870</v>
      </c>
      <c r="M16" s="102">
        <f t="shared" si="3"/>
        <v>45869</v>
      </c>
      <c r="N16" s="84">
        <f>COUNTIFS('Planejamento IED'!C:C,"&lt;"&amp;M16,'Planejamento IED'!F:F,"Embarque",'Planejamento IED'!H:H,'Embarques Vivenciais'!$L$2,'Planejamento IED'!I:I,"Novo")</f>
        <v>4</v>
      </c>
      <c r="O16" s="84">
        <f>COUNTIFS(Equipe!F:F,"Novo",Equipe!D:D,"Técnico",Equipe!E:E,$L$2)*3</f>
        <v>21</v>
      </c>
      <c r="Q16" s="100">
        <v>45870</v>
      </c>
      <c r="R16" s="102">
        <f t="shared" si="4"/>
        <v>45869</v>
      </c>
      <c r="S16" s="84">
        <f>COUNTIFS('Planejamento IED'!C:C,"&lt;"&amp;R16,'Planejamento IED'!F:F,"Embarque",'Planejamento IED'!H:H,'Embarques Vivenciais'!$Q$2,'Planejamento IED'!I:I,"Novo")</f>
        <v>3</v>
      </c>
      <c r="T16" s="84">
        <f>COUNTIFS(Equipe!F:F,"Novo",Equipe!D:D,"Técnico",Equipe!E:E,$Q$2)*3</f>
        <v>18</v>
      </c>
    </row>
    <row r="17" spans="2:20" ht="14.45">
      <c r="B17" s="100">
        <v>45901</v>
      </c>
      <c r="C17" s="102">
        <f t="shared" si="0"/>
        <v>45900</v>
      </c>
      <c r="D17" s="84">
        <f t="shared" si="1"/>
        <v>18</v>
      </c>
      <c r="E17" s="84">
        <f>COUNTIFS(Equipe!F:F,"Novo",Equipe!D:D,"Técnico")*3</f>
        <v>63</v>
      </c>
      <c r="G17" s="100">
        <v>45901</v>
      </c>
      <c r="H17" s="102">
        <f t="shared" si="2"/>
        <v>45900</v>
      </c>
      <c r="I17" s="84">
        <f>COUNTIFS('Planejamento IED'!C:C,"&lt;"&amp;H17,'Planejamento IED'!F:F,"Embarque",'Planejamento IED'!H:H,'Embarques Vivenciais'!$G$2,'Planejamento IED'!I:I,"Novo")</f>
        <v>9</v>
      </c>
      <c r="J17" s="84">
        <f>COUNTIFS(Equipe!F:F,"Novo",Equipe!D:D,"Técnico",Equipe!E:E,$G$2)*3</f>
        <v>24</v>
      </c>
      <c r="L17" s="100">
        <v>45901</v>
      </c>
      <c r="M17" s="102">
        <f t="shared" si="3"/>
        <v>45900</v>
      </c>
      <c r="N17" s="84">
        <f>COUNTIFS('Planejamento IED'!C:C,"&lt;"&amp;M17,'Planejamento IED'!F:F,"Embarque",'Planejamento IED'!H:H,'Embarques Vivenciais'!$L$2,'Planejamento IED'!I:I,"Novo")</f>
        <v>4</v>
      </c>
      <c r="O17" s="84">
        <f>COUNTIFS(Equipe!F:F,"Novo",Equipe!D:D,"Técnico",Equipe!E:E,$L$2)*3</f>
        <v>21</v>
      </c>
      <c r="Q17" s="100">
        <v>45901</v>
      </c>
      <c r="R17" s="102">
        <f t="shared" si="4"/>
        <v>45900</v>
      </c>
      <c r="S17" s="84">
        <f>COUNTIFS('Planejamento IED'!C:C,"&lt;"&amp;R17,'Planejamento IED'!F:F,"Embarque",'Planejamento IED'!H:H,'Embarques Vivenciais'!$Q$2,'Planejamento IED'!I:I,"Novo")</f>
        <v>5</v>
      </c>
      <c r="T17" s="84">
        <f>COUNTIFS(Equipe!F:F,"Novo",Equipe!D:D,"Técnico",Equipe!E:E,$Q$2)*3</f>
        <v>18</v>
      </c>
    </row>
    <row r="18" spans="2:20" ht="14.45">
      <c r="B18" s="100">
        <v>45931</v>
      </c>
      <c r="C18" s="102">
        <f t="shared" si="0"/>
        <v>45930</v>
      </c>
      <c r="D18" s="84">
        <f t="shared" si="1"/>
        <v>24</v>
      </c>
      <c r="E18" s="84">
        <f>COUNTIFS(Equipe!F:F,"Novo",Equipe!D:D,"Técnico")*3</f>
        <v>63</v>
      </c>
      <c r="G18" s="100">
        <v>45931</v>
      </c>
      <c r="H18" s="102">
        <f t="shared" si="2"/>
        <v>45930</v>
      </c>
      <c r="I18" s="84">
        <f>COUNTIFS('Planejamento IED'!C:C,"&lt;"&amp;H18,'Planejamento IED'!F:F,"Embarque",'Planejamento IED'!H:H,'Embarques Vivenciais'!$G$2,'Planejamento IED'!I:I,"Novo")</f>
        <v>11</v>
      </c>
      <c r="J18" s="84">
        <f>COUNTIFS(Equipe!F:F,"Novo",Equipe!D:D,"Técnico",Equipe!E:E,$G$2)*3</f>
        <v>24</v>
      </c>
      <c r="L18" s="100">
        <v>45931</v>
      </c>
      <c r="M18" s="102">
        <f t="shared" si="3"/>
        <v>45930</v>
      </c>
      <c r="N18" s="84">
        <f>COUNTIFS('Planejamento IED'!C:C,"&lt;"&amp;M18,'Planejamento IED'!F:F,"Embarque",'Planejamento IED'!H:H,'Embarques Vivenciais'!$L$2,'Planejamento IED'!I:I,"Novo")</f>
        <v>7</v>
      </c>
      <c r="O18" s="84">
        <f>COUNTIFS(Equipe!F:F,"Novo",Equipe!D:D,"Técnico",Equipe!E:E,$L$2)*3</f>
        <v>21</v>
      </c>
      <c r="Q18" s="100">
        <v>45931</v>
      </c>
      <c r="R18" s="102">
        <f t="shared" si="4"/>
        <v>45930</v>
      </c>
      <c r="S18" s="84">
        <f>COUNTIFS('Planejamento IED'!C:C,"&lt;"&amp;R18,'Planejamento IED'!F:F,"Embarque",'Planejamento IED'!H:H,'Embarques Vivenciais'!$Q$2,'Planejamento IED'!I:I,"Novo")</f>
        <v>6</v>
      </c>
      <c r="T18" s="84">
        <f>COUNTIFS(Equipe!F:F,"Novo",Equipe!D:D,"Técnico",Equipe!E:E,$Q$2)*3</f>
        <v>18</v>
      </c>
    </row>
    <row r="19" spans="2:20" ht="14.45">
      <c r="B19" s="100">
        <v>45962</v>
      </c>
      <c r="C19" s="102">
        <f t="shared" si="0"/>
        <v>45961</v>
      </c>
      <c r="D19" s="84">
        <f t="shared" si="1"/>
        <v>28</v>
      </c>
      <c r="E19" s="84">
        <f>COUNTIFS(Equipe!F:F,"Novo",Equipe!D:D,"Técnico")*3</f>
        <v>63</v>
      </c>
      <c r="G19" s="100">
        <v>45962</v>
      </c>
      <c r="H19" s="102">
        <f t="shared" si="2"/>
        <v>45961</v>
      </c>
      <c r="I19" s="84">
        <f>COUNTIFS('Planejamento IED'!C:C,"&lt;"&amp;H19,'Planejamento IED'!F:F,"Embarque",'Planejamento IED'!H:H,'Embarques Vivenciais'!$G$2,'Planejamento IED'!I:I,"Novo")</f>
        <v>13</v>
      </c>
      <c r="J19" s="84">
        <f>COUNTIFS(Equipe!F:F,"Novo",Equipe!D:D,"Técnico",Equipe!E:E,$G$2)*3</f>
        <v>24</v>
      </c>
      <c r="L19" s="100">
        <v>45962</v>
      </c>
      <c r="M19" s="102">
        <f t="shared" si="3"/>
        <v>45961</v>
      </c>
      <c r="N19" s="84">
        <f>COUNTIFS('Planejamento IED'!C:C,"&lt;"&amp;M19,'Planejamento IED'!F:F,"Embarque",'Planejamento IED'!H:H,'Embarques Vivenciais'!$L$2,'Planejamento IED'!I:I,"Novo")</f>
        <v>8</v>
      </c>
      <c r="O19" s="84">
        <f>COUNTIFS(Equipe!F:F,"Novo",Equipe!D:D,"Técnico",Equipe!E:E,$L$2)*3</f>
        <v>21</v>
      </c>
      <c r="Q19" s="100">
        <v>45962</v>
      </c>
      <c r="R19" s="102">
        <f t="shared" si="4"/>
        <v>45961</v>
      </c>
      <c r="S19" s="84">
        <f>COUNTIFS('Planejamento IED'!C:C,"&lt;"&amp;R19,'Planejamento IED'!F:F,"Embarque",'Planejamento IED'!H:H,'Embarques Vivenciais'!$Q$2,'Planejamento IED'!I:I,"Novo")</f>
        <v>7</v>
      </c>
      <c r="T19" s="84">
        <f>COUNTIFS(Equipe!F:F,"Novo",Equipe!D:D,"Técnico",Equipe!E:E,$Q$2)*3</f>
        <v>18</v>
      </c>
    </row>
    <row r="20" spans="2:20" ht="14.45">
      <c r="B20" s="100">
        <v>45992</v>
      </c>
      <c r="C20" s="102">
        <f t="shared" si="0"/>
        <v>45991</v>
      </c>
      <c r="D20" s="84">
        <f t="shared" si="1"/>
        <v>29</v>
      </c>
      <c r="E20" s="84">
        <f>COUNTIFS(Equipe!F:F,"Novo",Equipe!D:D,"Técnico")*3</f>
        <v>63</v>
      </c>
      <c r="G20" s="100">
        <v>45992</v>
      </c>
      <c r="H20" s="102">
        <f t="shared" si="2"/>
        <v>45991</v>
      </c>
      <c r="I20" s="84">
        <f>COUNTIFS('Planejamento IED'!C:C,"&lt;"&amp;H20,'Planejamento IED'!F:F,"Embarque",'Planejamento IED'!H:H,'Embarques Vivenciais'!$G$2,'Planejamento IED'!I:I,"Novo")</f>
        <v>13</v>
      </c>
      <c r="J20" s="84">
        <f>COUNTIFS(Equipe!F:F,"Novo",Equipe!D:D,"Técnico",Equipe!E:E,$G$2)*3</f>
        <v>24</v>
      </c>
      <c r="L20" s="100">
        <v>45992</v>
      </c>
      <c r="M20" s="102">
        <f t="shared" si="3"/>
        <v>45991</v>
      </c>
      <c r="N20" s="84">
        <f>COUNTIFS('Planejamento IED'!C:C,"&lt;"&amp;M20,'Planejamento IED'!F:F,"Embarque",'Planejamento IED'!H:H,'Embarques Vivenciais'!$L$2,'Planejamento IED'!I:I,"Novo")</f>
        <v>8</v>
      </c>
      <c r="O20" s="84">
        <f>COUNTIFS(Equipe!F:F,"Novo",Equipe!D:D,"Técnico",Equipe!E:E,$L$2)*3</f>
        <v>21</v>
      </c>
      <c r="Q20" s="100">
        <v>45992</v>
      </c>
      <c r="R20" s="102">
        <f t="shared" si="4"/>
        <v>45991</v>
      </c>
      <c r="S20" s="84">
        <f>COUNTIFS('Planejamento IED'!C:C,"&lt;"&amp;R20,'Planejamento IED'!F:F,"Embarque",'Planejamento IED'!H:H,'Embarques Vivenciais'!$Q$2,'Planejamento IED'!I:I,"Novo")</f>
        <v>8</v>
      </c>
      <c r="T20" s="84">
        <f>COUNTIFS(Equipe!F:F,"Novo",Equipe!D:D,"Técnico",Equipe!E:E,$Q$2)*3</f>
        <v>18</v>
      </c>
    </row>
    <row r="21" spans="2:20" ht="14.45">
      <c r="B21" s="100">
        <v>46023</v>
      </c>
      <c r="C21" s="102">
        <f t="shared" si="0"/>
        <v>46022</v>
      </c>
      <c r="D21" s="84">
        <f t="shared" si="1"/>
        <v>35</v>
      </c>
      <c r="E21" s="84">
        <f>COUNTIFS(Equipe!F:F,"Novo",Equipe!D:D,"Técnico")*3</f>
        <v>63</v>
      </c>
      <c r="G21" s="100">
        <v>46023</v>
      </c>
      <c r="H21" s="102">
        <f t="shared" si="2"/>
        <v>46022</v>
      </c>
      <c r="I21" s="84">
        <f>COUNTIFS('Planejamento IED'!C:C,"&lt;"&amp;H21,'Planejamento IED'!F:F,"Embarque",'Planejamento IED'!H:H,'Embarques Vivenciais'!$G$2,'Planejamento IED'!I:I,"Novo")</f>
        <v>15</v>
      </c>
      <c r="J21" s="84">
        <f>COUNTIFS(Equipe!F:F,"Novo",Equipe!D:D,"Técnico",Equipe!E:E,$G$2)*3</f>
        <v>24</v>
      </c>
      <c r="L21" s="100">
        <v>46023</v>
      </c>
      <c r="M21" s="102">
        <f t="shared" si="3"/>
        <v>46022</v>
      </c>
      <c r="N21" s="84">
        <f>COUNTIFS('Planejamento IED'!C:C,"&lt;"&amp;M21,'Planejamento IED'!F:F,"Embarque",'Planejamento IED'!H:H,'Embarques Vivenciais'!$L$2,'Planejamento IED'!I:I,"Novo")</f>
        <v>11</v>
      </c>
      <c r="O21" s="84">
        <f>COUNTIFS(Equipe!F:F,"Novo",Equipe!D:D,"Técnico",Equipe!E:E,$L$2)*3</f>
        <v>21</v>
      </c>
      <c r="Q21" s="100">
        <v>46023</v>
      </c>
      <c r="R21" s="102">
        <f t="shared" si="4"/>
        <v>46022</v>
      </c>
      <c r="S21" s="84">
        <f>COUNTIFS('Planejamento IED'!C:C,"&lt;"&amp;R21,'Planejamento IED'!F:F,"Embarque",'Planejamento IED'!H:H,'Embarques Vivenciais'!$Q$2,'Planejamento IED'!I:I,"Novo")</f>
        <v>9</v>
      </c>
      <c r="T21" s="84">
        <f>COUNTIFS(Equipe!F:F,"Novo",Equipe!D:D,"Técnico",Equipe!E:E,$Q$2)*3</f>
        <v>18</v>
      </c>
    </row>
    <row r="22" spans="2:20" ht="14.45">
      <c r="B22" s="100">
        <v>46054</v>
      </c>
      <c r="C22" s="102">
        <f t="shared" si="0"/>
        <v>46053</v>
      </c>
      <c r="D22" s="84">
        <f t="shared" si="1"/>
        <v>36</v>
      </c>
      <c r="E22" s="84">
        <f>COUNTIFS(Equipe!F:F,"Novo",Equipe!D:D,"Técnico")*3</f>
        <v>63</v>
      </c>
      <c r="G22" s="100">
        <v>46054</v>
      </c>
      <c r="H22" s="102">
        <f t="shared" si="2"/>
        <v>46053</v>
      </c>
      <c r="I22" s="84">
        <f>COUNTIFS('Planejamento IED'!C:C,"&lt;"&amp;H22,'Planejamento IED'!F:F,"Embarque",'Planejamento IED'!H:H,'Embarques Vivenciais'!$G$2,'Planejamento IED'!I:I,"Novo")</f>
        <v>16</v>
      </c>
      <c r="J22" s="84">
        <f>COUNTIFS(Equipe!F:F,"Novo",Equipe!D:D,"Técnico",Equipe!E:E,$G$2)*3</f>
        <v>24</v>
      </c>
      <c r="L22" s="100">
        <v>46054</v>
      </c>
      <c r="M22" s="102">
        <f t="shared" si="3"/>
        <v>46053</v>
      </c>
      <c r="N22" s="84">
        <f>COUNTIFS('Planejamento IED'!C:C,"&lt;"&amp;M22,'Planejamento IED'!F:F,"Embarque",'Planejamento IED'!H:H,'Embarques Vivenciais'!$L$2,'Planejamento IED'!I:I,"Novo")</f>
        <v>11</v>
      </c>
      <c r="O22" s="84">
        <f>COUNTIFS(Equipe!F:F,"Novo",Equipe!D:D,"Técnico",Equipe!E:E,$L$2)*3</f>
        <v>21</v>
      </c>
      <c r="Q22" s="100">
        <v>46054</v>
      </c>
      <c r="R22" s="102">
        <f t="shared" si="4"/>
        <v>46053</v>
      </c>
      <c r="S22" s="84">
        <f>COUNTIFS('Planejamento IED'!C:C,"&lt;"&amp;R22,'Planejamento IED'!F:F,"Embarque",'Planejamento IED'!H:H,'Embarques Vivenciais'!$Q$2,'Planejamento IED'!I:I,"Novo")</f>
        <v>9</v>
      </c>
      <c r="T22" s="84">
        <f>COUNTIFS(Equipe!F:F,"Novo",Equipe!D:D,"Técnico",Equipe!E:E,$Q$2)*3</f>
        <v>18</v>
      </c>
    </row>
    <row r="23" spans="2:20" ht="14.45">
      <c r="B23" s="100">
        <v>46082</v>
      </c>
      <c r="C23" s="102">
        <f t="shared" si="0"/>
        <v>46081</v>
      </c>
      <c r="D23" s="84">
        <f t="shared" si="1"/>
        <v>36</v>
      </c>
      <c r="E23" s="84">
        <f>COUNTIFS(Equipe!F:F,"Novo",Equipe!D:D,"Técnico")*3</f>
        <v>63</v>
      </c>
      <c r="G23" s="100">
        <v>46082</v>
      </c>
      <c r="H23" s="102">
        <f t="shared" si="2"/>
        <v>46081</v>
      </c>
      <c r="I23" s="84">
        <f>COUNTIFS('Planejamento IED'!C:C,"&lt;"&amp;H23,'Planejamento IED'!F:F,"Embarque",'Planejamento IED'!H:H,'Embarques Vivenciais'!$G$2,'Planejamento IED'!I:I,"Novo")</f>
        <v>16</v>
      </c>
      <c r="J23" s="84">
        <f>COUNTIFS(Equipe!F:F,"Novo",Equipe!D:D,"Técnico",Equipe!E:E,$G$2)*3</f>
        <v>24</v>
      </c>
      <c r="L23" s="100">
        <v>46082</v>
      </c>
      <c r="M23" s="102">
        <f t="shared" si="3"/>
        <v>46081</v>
      </c>
      <c r="N23" s="84">
        <f>COUNTIFS('Planejamento IED'!C:C,"&lt;"&amp;M23,'Planejamento IED'!F:F,"Embarque",'Planejamento IED'!H:H,'Embarques Vivenciais'!$L$2,'Planejamento IED'!I:I,"Novo")</f>
        <v>11</v>
      </c>
      <c r="O23" s="84">
        <f>COUNTIFS(Equipe!F:F,"Novo",Equipe!D:D,"Técnico",Equipe!E:E,$L$2)*3</f>
        <v>21</v>
      </c>
      <c r="Q23" s="100">
        <v>46082</v>
      </c>
      <c r="R23" s="102">
        <f t="shared" si="4"/>
        <v>46081</v>
      </c>
      <c r="S23" s="84">
        <f>COUNTIFS('Planejamento IED'!C:C,"&lt;"&amp;R23,'Planejamento IED'!F:F,"Embarque",'Planejamento IED'!H:H,'Embarques Vivenciais'!$Q$2,'Planejamento IED'!I:I,"Novo")</f>
        <v>9</v>
      </c>
      <c r="T23" s="84">
        <f>COUNTIFS(Equipe!F:F,"Novo",Equipe!D:D,"Técnico",Equipe!E:E,$Q$2)*3</f>
        <v>18</v>
      </c>
    </row>
    <row r="24" spans="2:20" ht="14.45">
      <c r="B24" s="100">
        <v>46113</v>
      </c>
      <c r="C24" s="102">
        <f t="shared" si="0"/>
        <v>46112</v>
      </c>
      <c r="D24" s="84">
        <f t="shared" si="1"/>
        <v>36</v>
      </c>
      <c r="E24" s="84">
        <f>COUNTIFS(Equipe!F:F,"Novo",Equipe!D:D,"Técnico")*3</f>
        <v>63</v>
      </c>
      <c r="G24" s="100">
        <v>46113</v>
      </c>
      <c r="H24" s="102">
        <f t="shared" si="2"/>
        <v>46112</v>
      </c>
      <c r="I24" s="84">
        <f>COUNTIFS('Planejamento IED'!C:C,"&lt;"&amp;H24,'Planejamento IED'!F:F,"Embarque",'Planejamento IED'!H:H,'Embarques Vivenciais'!$G$2,'Planejamento IED'!I:I,"Novo")</f>
        <v>16</v>
      </c>
      <c r="J24" s="84">
        <f>COUNTIFS(Equipe!F:F,"Novo",Equipe!D:D,"Técnico",Equipe!E:E,$G$2)*3</f>
        <v>24</v>
      </c>
      <c r="L24" s="100">
        <v>46113</v>
      </c>
      <c r="M24" s="102">
        <f t="shared" si="3"/>
        <v>46112</v>
      </c>
      <c r="N24" s="84">
        <f>COUNTIFS('Planejamento IED'!C:C,"&lt;"&amp;M24,'Planejamento IED'!F:F,"Embarque",'Planejamento IED'!H:H,'Embarques Vivenciais'!$L$2,'Planejamento IED'!I:I,"Novo")</f>
        <v>11</v>
      </c>
      <c r="O24" s="84">
        <f>COUNTIFS(Equipe!F:F,"Novo",Equipe!D:D,"Técnico",Equipe!E:E,$L$2)*3</f>
        <v>21</v>
      </c>
      <c r="Q24" s="100">
        <v>46113</v>
      </c>
      <c r="R24" s="102">
        <f t="shared" si="4"/>
        <v>46112</v>
      </c>
      <c r="S24" s="84">
        <f>COUNTIFS('Planejamento IED'!C:C,"&lt;"&amp;R24,'Planejamento IED'!F:F,"Embarque",'Planejamento IED'!H:H,'Embarques Vivenciais'!$Q$2,'Planejamento IED'!I:I,"Novo")</f>
        <v>9</v>
      </c>
      <c r="T24" s="84">
        <f>COUNTIFS(Equipe!F:F,"Novo",Equipe!D:D,"Técnico",Equipe!E:E,$Q$2)*3</f>
        <v>18</v>
      </c>
    </row>
    <row r="25" spans="2:20" ht="14.45">
      <c r="B25" s="100">
        <v>46143</v>
      </c>
      <c r="C25" s="102">
        <f t="shared" si="0"/>
        <v>46142</v>
      </c>
      <c r="D25" s="84">
        <f t="shared" si="1"/>
        <v>36</v>
      </c>
      <c r="E25" s="84">
        <f>COUNTIFS(Equipe!F:F,"Novo",Equipe!D:D,"Técnico")*3</f>
        <v>63</v>
      </c>
      <c r="G25" s="100">
        <v>46143</v>
      </c>
      <c r="H25" s="102">
        <f t="shared" si="2"/>
        <v>46142</v>
      </c>
      <c r="I25" s="84">
        <f>COUNTIFS('Planejamento IED'!C:C,"&lt;"&amp;H25,'Planejamento IED'!F:F,"Embarque",'Planejamento IED'!H:H,'Embarques Vivenciais'!$G$2,'Planejamento IED'!I:I,"Novo")</f>
        <v>16</v>
      </c>
      <c r="J25" s="84">
        <f>COUNTIFS(Equipe!F:F,"Novo",Equipe!D:D,"Técnico",Equipe!E:E,$G$2)*3</f>
        <v>24</v>
      </c>
      <c r="L25" s="100">
        <v>46143</v>
      </c>
      <c r="M25" s="102">
        <f t="shared" si="3"/>
        <v>46142</v>
      </c>
      <c r="N25" s="84">
        <f>COUNTIFS('Planejamento IED'!C:C,"&lt;"&amp;M25,'Planejamento IED'!F:F,"Embarque",'Planejamento IED'!H:H,'Embarques Vivenciais'!$L$2,'Planejamento IED'!I:I,"Novo")</f>
        <v>11</v>
      </c>
      <c r="O25" s="84">
        <f>COUNTIFS(Equipe!F:F,"Novo",Equipe!D:D,"Técnico",Equipe!E:E,$L$2)*3</f>
        <v>21</v>
      </c>
      <c r="Q25" s="100">
        <v>46143</v>
      </c>
      <c r="R25" s="102">
        <f t="shared" si="4"/>
        <v>46142</v>
      </c>
      <c r="S25" s="84">
        <f>COUNTIFS('Planejamento IED'!C:C,"&lt;"&amp;R25,'Planejamento IED'!F:F,"Embarque",'Planejamento IED'!H:H,'Embarques Vivenciais'!$Q$2,'Planejamento IED'!I:I,"Novo")</f>
        <v>9</v>
      </c>
      <c r="T25" s="84">
        <f>COUNTIFS(Equipe!F:F,"Novo",Equipe!D:D,"Técnico",Equipe!E:E,$Q$2)*3</f>
        <v>18</v>
      </c>
    </row>
    <row r="26" spans="2:20" ht="14.45">
      <c r="B26" s="100">
        <v>46174</v>
      </c>
      <c r="C26" s="102">
        <f t="shared" si="0"/>
        <v>46173</v>
      </c>
      <c r="D26" s="84">
        <f t="shared" si="1"/>
        <v>36</v>
      </c>
      <c r="E26" s="84">
        <f>COUNTIFS(Equipe!F:F,"Novo",Equipe!D:D,"Técnico")*3</f>
        <v>63</v>
      </c>
      <c r="G26" s="100">
        <v>46174</v>
      </c>
      <c r="H26" s="102">
        <f t="shared" si="2"/>
        <v>46173</v>
      </c>
      <c r="I26" s="84">
        <f>COUNTIFS('Planejamento IED'!C:C,"&lt;"&amp;H26,'Planejamento IED'!F:F,"Embarque",'Planejamento IED'!H:H,'Embarques Vivenciais'!$G$2,'Planejamento IED'!I:I,"Novo")</f>
        <v>16</v>
      </c>
      <c r="J26" s="84">
        <f>COUNTIFS(Equipe!F:F,"Novo",Equipe!D:D,"Técnico",Equipe!E:E,$G$2)*3</f>
        <v>24</v>
      </c>
      <c r="L26" s="100">
        <v>46174</v>
      </c>
      <c r="M26" s="102">
        <f t="shared" si="3"/>
        <v>46173</v>
      </c>
      <c r="N26" s="84">
        <f>COUNTIFS('Planejamento IED'!C:C,"&lt;"&amp;M26,'Planejamento IED'!F:F,"Embarque",'Planejamento IED'!H:H,'Embarques Vivenciais'!$L$2,'Planejamento IED'!I:I,"Novo")</f>
        <v>11</v>
      </c>
      <c r="O26" s="84">
        <f>COUNTIFS(Equipe!F:F,"Novo",Equipe!D:D,"Técnico",Equipe!E:E,$L$2)*3</f>
        <v>21</v>
      </c>
      <c r="Q26" s="100">
        <v>46174</v>
      </c>
      <c r="R26" s="102">
        <f t="shared" si="4"/>
        <v>46173</v>
      </c>
      <c r="S26" s="84">
        <f>COUNTIFS('Planejamento IED'!C:C,"&lt;"&amp;R26,'Planejamento IED'!F:F,"Embarque",'Planejamento IED'!H:H,'Embarques Vivenciais'!$Q$2,'Planejamento IED'!I:I,"Novo")</f>
        <v>9</v>
      </c>
      <c r="T26" s="84">
        <f>COUNTIFS(Equipe!F:F,"Novo",Equipe!D:D,"Técnico",Equipe!E:E,$Q$2)*3</f>
        <v>18</v>
      </c>
    </row>
    <row r="27" spans="2:20" ht="14.45">
      <c r="B27" s="100">
        <v>46204</v>
      </c>
      <c r="C27" s="102">
        <f t="shared" si="0"/>
        <v>46203</v>
      </c>
      <c r="D27" s="84">
        <f t="shared" si="1"/>
        <v>36</v>
      </c>
      <c r="E27" s="84">
        <f>COUNTIFS(Equipe!F:F,"Novo",Equipe!D:D,"Técnico")*3</f>
        <v>63</v>
      </c>
      <c r="G27" s="100">
        <v>46204</v>
      </c>
      <c r="H27" s="102">
        <f t="shared" si="2"/>
        <v>46203</v>
      </c>
      <c r="I27" s="84">
        <f>COUNTIFS('Planejamento IED'!C:C,"&lt;"&amp;H27,'Planejamento IED'!F:F,"Embarque",'Planejamento IED'!H:H,'Embarques Vivenciais'!$G$2,'Planejamento IED'!I:I,"Novo")</f>
        <v>16</v>
      </c>
      <c r="J27" s="84">
        <f>COUNTIFS(Equipe!F:F,"Novo",Equipe!D:D,"Técnico",Equipe!E:E,$G$2)*3</f>
        <v>24</v>
      </c>
      <c r="L27" s="100">
        <v>46204</v>
      </c>
      <c r="M27" s="102">
        <f t="shared" si="3"/>
        <v>46203</v>
      </c>
      <c r="N27" s="84">
        <f>COUNTIFS('Planejamento IED'!C:C,"&lt;"&amp;M27,'Planejamento IED'!F:F,"Embarque",'Planejamento IED'!H:H,'Embarques Vivenciais'!$L$2,'Planejamento IED'!I:I,"Novo")</f>
        <v>11</v>
      </c>
      <c r="O27" s="84">
        <f>COUNTIFS(Equipe!F:F,"Novo",Equipe!D:D,"Técnico",Equipe!E:E,$L$2)*3</f>
        <v>21</v>
      </c>
      <c r="Q27" s="100">
        <v>46204</v>
      </c>
      <c r="R27" s="102">
        <f t="shared" si="4"/>
        <v>46203</v>
      </c>
      <c r="S27" s="84">
        <f>COUNTIFS('Planejamento IED'!C:C,"&lt;"&amp;R27,'Planejamento IED'!F:F,"Embarque",'Planejamento IED'!H:H,'Embarques Vivenciais'!$Q$2,'Planejamento IED'!I:I,"Novo")</f>
        <v>9</v>
      </c>
      <c r="T27" s="84">
        <f>COUNTIFS(Equipe!F:F,"Novo",Equipe!D:D,"Técnico",Equipe!E:E,$Q$2)*3</f>
        <v>18</v>
      </c>
    </row>
    <row r="28" spans="2:20" ht="14.45">
      <c r="B28" s="100">
        <v>46235</v>
      </c>
      <c r="C28" s="102">
        <f t="shared" si="0"/>
        <v>46234</v>
      </c>
      <c r="D28" s="84">
        <f t="shared" si="1"/>
        <v>36</v>
      </c>
      <c r="E28" s="84">
        <f>COUNTIFS(Equipe!F:F,"Novo",Equipe!D:D,"Técnico")*3</f>
        <v>63</v>
      </c>
      <c r="G28" s="100">
        <v>46235</v>
      </c>
      <c r="H28" s="102">
        <f t="shared" si="2"/>
        <v>46234</v>
      </c>
      <c r="I28" s="84">
        <f>COUNTIFS('Planejamento IED'!C:C,"&lt;"&amp;H28,'Planejamento IED'!F:F,"Embarque",'Planejamento IED'!H:H,'Embarques Vivenciais'!$G$2,'Planejamento IED'!I:I,"Novo")</f>
        <v>16</v>
      </c>
      <c r="J28" s="84">
        <f>COUNTIFS(Equipe!F:F,"Novo",Equipe!D:D,"Técnico",Equipe!E:E,$G$2)*3</f>
        <v>24</v>
      </c>
      <c r="L28" s="100">
        <v>46235</v>
      </c>
      <c r="M28" s="102">
        <f t="shared" si="3"/>
        <v>46234</v>
      </c>
      <c r="N28" s="84">
        <f>COUNTIFS('Planejamento IED'!C:C,"&lt;"&amp;M28,'Planejamento IED'!F:F,"Embarque",'Planejamento IED'!H:H,'Embarques Vivenciais'!$L$2,'Planejamento IED'!I:I,"Novo")</f>
        <v>11</v>
      </c>
      <c r="O28" s="84">
        <f>COUNTIFS(Equipe!F:F,"Novo",Equipe!D:D,"Técnico",Equipe!E:E,$L$2)*3</f>
        <v>21</v>
      </c>
      <c r="Q28" s="100">
        <v>46235</v>
      </c>
      <c r="R28" s="102">
        <f t="shared" si="4"/>
        <v>46234</v>
      </c>
      <c r="S28" s="84">
        <f>COUNTIFS('Planejamento IED'!C:C,"&lt;"&amp;R28,'Planejamento IED'!F:F,"Embarque",'Planejamento IED'!H:H,'Embarques Vivenciais'!$Q$2,'Planejamento IED'!I:I,"Novo")</f>
        <v>9</v>
      </c>
      <c r="T28" s="84">
        <f>COUNTIFS(Equipe!F:F,"Novo",Equipe!D:D,"Técnico",Equipe!E:E,$Q$2)*3</f>
        <v>18</v>
      </c>
    </row>
    <row r="29" spans="2:20" ht="14.45">
      <c r="B29" s="100">
        <v>46266</v>
      </c>
      <c r="C29" s="102">
        <f t="shared" si="0"/>
        <v>46265</v>
      </c>
      <c r="D29" s="84">
        <f t="shared" si="1"/>
        <v>36</v>
      </c>
      <c r="E29" s="84">
        <f>COUNTIFS(Equipe!F:F,"Novo",Equipe!D:D,"Técnico")*3</f>
        <v>63</v>
      </c>
      <c r="G29" s="100">
        <v>46266</v>
      </c>
      <c r="H29" s="102">
        <f t="shared" si="2"/>
        <v>46265</v>
      </c>
      <c r="I29" s="84">
        <f>COUNTIFS('Planejamento IED'!C:C,"&lt;"&amp;H29,'Planejamento IED'!F:F,"Embarque",'Planejamento IED'!H:H,'Embarques Vivenciais'!$G$2,'Planejamento IED'!I:I,"Novo")</f>
        <v>16</v>
      </c>
      <c r="J29" s="84">
        <f>COUNTIFS(Equipe!F:F,"Novo",Equipe!D:D,"Técnico",Equipe!E:E,$G$2)*3</f>
        <v>24</v>
      </c>
      <c r="L29" s="100">
        <v>46266</v>
      </c>
      <c r="M29" s="102">
        <f t="shared" si="3"/>
        <v>46265</v>
      </c>
      <c r="N29" s="84">
        <f>COUNTIFS('Planejamento IED'!C:C,"&lt;"&amp;M29,'Planejamento IED'!F:F,"Embarque",'Planejamento IED'!H:H,'Embarques Vivenciais'!$L$2,'Planejamento IED'!I:I,"Novo")</f>
        <v>11</v>
      </c>
      <c r="O29" s="84">
        <f>COUNTIFS(Equipe!F:F,"Novo",Equipe!D:D,"Técnico",Equipe!E:E,$L$2)*3</f>
        <v>21</v>
      </c>
      <c r="Q29" s="100">
        <v>46266</v>
      </c>
      <c r="R29" s="102">
        <f t="shared" si="4"/>
        <v>46265</v>
      </c>
      <c r="S29" s="84">
        <f>COUNTIFS('Planejamento IED'!C:C,"&lt;"&amp;R29,'Planejamento IED'!F:F,"Embarque",'Planejamento IED'!H:H,'Embarques Vivenciais'!$Q$2,'Planejamento IED'!I:I,"Novo")</f>
        <v>9</v>
      </c>
      <c r="T29" s="84">
        <f>COUNTIFS(Equipe!F:F,"Novo",Equipe!D:D,"Técnico",Equipe!E:E,$Q$2)*3</f>
        <v>18</v>
      </c>
    </row>
    <row r="30" spans="2:20" ht="14.45">
      <c r="B30" s="100">
        <v>46296</v>
      </c>
      <c r="C30" s="102">
        <f t="shared" si="0"/>
        <v>46295</v>
      </c>
      <c r="D30" s="84">
        <f t="shared" si="1"/>
        <v>36</v>
      </c>
      <c r="E30" s="84">
        <f>COUNTIFS(Equipe!F:F,"Novo",Equipe!D:D,"Técnico")*3</f>
        <v>63</v>
      </c>
      <c r="G30" s="100">
        <v>46296</v>
      </c>
      <c r="H30" s="102">
        <f t="shared" si="2"/>
        <v>46295</v>
      </c>
      <c r="I30" s="84">
        <f>COUNTIFS('Planejamento IED'!C:C,"&lt;"&amp;H30,'Planejamento IED'!F:F,"Embarque",'Planejamento IED'!H:H,'Embarques Vivenciais'!$G$2,'Planejamento IED'!I:I,"Novo")</f>
        <v>16</v>
      </c>
      <c r="J30" s="84">
        <f>COUNTIFS(Equipe!F:F,"Novo",Equipe!D:D,"Técnico",Equipe!E:E,$G$2)*3</f>
        <v>24</v>
      </c>
      <c r="L30" s="100">
        <v>46296</v>
      </c>
      <c r="M30" s="102">
        <f t="shared" si="3"/>
        <v>46295</v>
      </c>
      <c r="N30" s="84">
        <f>COUNTIFS('Planejamento IED'!C:C,"&lt;"&amp;M30,'Planejamento IED'!F:F,"Embarque",'Planejamento IED'!H:H,'Embarques Vivenciais'!$L$2,'Planejamento IED'!I:I,"Novo")</f>
        <v>11</v>
      </c>
      <c r="O30" s="84">
        <f>COUNTIFS(Equipe!F:F,"Novo",Equipe!D:D,"Técnico",Equipe!E:E,$L$2)*3</f>
        <v>21</v>
      </c>
      <c r="Q30" s="100">
        <v>46296</v>
      </c>
      <c r="R30" s="102">
        <f t="shared" si="4"/>
        <v>46295</v>
      </c>
      <c r="S30" s="84">
        <f>COUNTIFS('Planejamento IED'!C:C,"&lt;"&amp;R30,'Planejamento IED'!F:F,"Embarque",'Planejamento IED'!H:H,'Embarques Vivenciais'!$Q$2,'Planejamento IED'!I:I,"Novo")</f>
        <v>9</v>
      </c>
      <c r="T30" s="84">
        <f>COUNTIFS(Equipe!F:F,"Novo",Equipe!D:D,"Técnico",Equipe!E:E,$Q$2)*3</f>
        <v>18</v>
      </c>
    </row>
    <row r="31" spans="2:20" ht="14.45">
      <c r="B31" s="100">
        <v>46327</v>
      </c>
      <c r="C31" s="102">
        <f t="shared" si="0"/>
        <v>46326</v>
      </c>
      <c r="D31" s="84">
        <f t="shared" si="1"/>
        <v>36</v>
      </c>
      <c r="E31" s="84">
        <f>COUNTIFS(Equipe!F:F,"Novo",Equipe!D:D,"Técnico")*3</f>
        <v>63</v>
      </c>
      <c r="G31" s="100">
        <v>46327</v>
      </c>
      <c r="H31" s="102">
        <f t="shared" si="2"/>
        <v>46326</v>
      </c>
      <c r="I31" s="84">
        <f>COUNTIFS('Planejamento IED'!C:C,"&lt;"&amp;H31,'Planejamento IED'!F:F,"Embarque",'Planejamento IED'!H:H,'Embarques Vivenciais'!$G$2,'Planejamento IED'!I:I,"Novo")</f>
        <v>16</v>
      </c>
      <c r="J31" s="84">
        <f>COUNTIFS(Equipe!F:F,"Novo",Equipe!D:D,"Técnico",Equipe!E:E,$G$2)*3</f>
        <v>24</v>
      </c>
      <c r="L31" s="100">
        <v>46327</v>
      </c>
      <c r="M31" s="102">
        <f t="shared" si="3"/>
        <v>46326</v>
      </c>
      <c r="N31" s="84">
        <f>COUNTIFS('Planejamento IED'!C:C,"&lt;"&amp;M31,'Planejamento IED'!F:F,"Embarque",'Planejamento IED'!H:H,'Embarques Vivenciais'!$L$2,'Planejamento IED'!I:I,"Novo")</f>
        <v>11</v>
      </c>
      <c r="O31" s="84">
        <f>COUNTIFS(Equipe!F:F,"Novo",Equipe!D:D,"Técnico",Equipe!E:E,$L$2)*3</f>
        <v>21</v>
      </c>
      <c r="Q31" s="100">
        <v>46327</v>
      </c>
      <c r="R31" s="102">
        <f t="shared" si="4"/>
        <v>46326</v>
      </c>
      <c r="S31" s="84">
        <f>COUNTIFS('Planejamento IED'!C:C,"&lt;"&amp;R31,'Planejamento IED'!F:F,"Embarque",'Planejamento IED'!H:H,'Embarques Vivenciais'!$Q$2,'Planejamento IED'!I:I,"Novo")</f>
        <v>9</v>
      </c>
      <c r="T31" s="84">
        <f>COUNTIFS(Equipe!F:F,"Novo",Equipe!D:D,"Técnico",Equipe!E:E,$Q$2)*3</f>
        <v>18</v>
      </c>
    </row>
    <row r="32" spans="2:20" ht="14.45">
      <c r="B32" s="100">
        <v>46357</v>
      </c>
      <c r="C32" s="102">
        <f t="shared" si="0"/>
        <v>46356</v>
      </c>
      <c r="D32" s="84">
        <f t="shared" si="1"/>
        <v>36</v>
      </c>
      <c r="E32" s="84">
        <f>COUNTIFS(Equipe!F:F,"Novo",Equipe!D:D,"Técnico")*3</f>
        <v>63</v>
      </c>
      <c r="G32" s="100">
        <v>46357</v>
      </c>
      <c r="H32" s="102">
        <f t="shared" si="2"/>
        <v>46356</v>
      </c>
      <c r="I32" s="84">
        <f>COUNTIFS('Planejamento IED'!C:C,"&lt;"&amp;H32,'Planejamento IED'!F:F,"Embarque",'Planejamento IED'!H:H,'Embarques Vivenciais'!$G$2,'Planejamento IED'!I:I,"Novo")</f>
        <v>16</v>
      </c>
      <c r="J32" s="84">
        <f>COUNTIFS(Equipe!F:F,"Novo",Equipe!D:D,"Técnico",Equipe!E:E,$G$2)*3</f>
        <v>24</v>
      </c>
      <c r="L32" s="100">
        <v>46357</v>
      </c>
      <c r="M32" s="102">
        <f t="shared" si="3"/>
        <v>46356</v>
      </c>
      <c r="N32" s="84">
        <f>COUNTIFS('Planejamento IED'!C:C,"&lt;"&amp;M32,'Planejamento IED'!F:F,"Embarque",'Planejamento IED'!H:H,'Embarques Vivenciais'!$L$2,'Planejamento IED'!I:I,"Novo")</f>
        <v>11</v>
      </c>
      <c r="O32" s="84">
        <f>COUNTIFS(Equipe!F:F,"Novo",Equipe!D:D,"Técnico",Equipe!E:E,$L$2)*3</f>
        <v>21</v>
      </c>
      <c r="Q32" s="100">
        <v>46357</v>
      </c>
      <c r="R32" s="102">
        <f t="shared" si="4"/>
        <v>46356</v>
      </c>
      <c r="S32" s="84">
        <f>COUNTIFS('Planejamento IED'!C:C,"&lt;"&amp;R32,'Planejamento IED'!F:F,"Embarque",'Planejamento IED'!H:H,'Embarques Vivenciais'!$Q$2,'Planejamento IED'!I:I,"Novo")</f>
        <v>9</v>
      </c>
      <c r="T32" s="84">
        <f>COUNTIFS(Equipe!F:F,"Novo",Equipe!D:D,"Técnico",Equipe!E:E,$Q$2)*3</f>
        <v>18</v>
      </c>
    </row>
    <row r="33" spans="2:20" ht="14.45">
      <c r="B33" s="100">
        <v>46388</v>
      </c>
      <c r="C33" s="102">
        <f t="shared" si="0"/>
        <v>46387</v>
      </c>
      <c r="D33" s="84">
        <f t="shared" si="1"/>
        <v>36</v>
      </c>
      <c r="E33" s="84">
        <f>COUNTIFS(Equipe!F:F,"Novo",Equipe!D:D,"Técnico")*3</f>
        <v>63</v>
      </c>
      <c r="G33" s="100">
        <v>46388</v>
      </c>
      <c r="H33" s="102">
        <f t="shared" si="2"/>
        <v>46387</v>
      </c>
      <c r="I33" s="84">
        <f>COUNTIFS('Planejamento IED'!C:C,"&lt;"&amp;H33,'Planejamento IED'!F:F,"Embarque",'Planejamento IED'!H:H,'Embarques Vivenciais'!$G$2,'Planejamento IED'!I:I,"Novo")</f>
        <v>16</v>
      </c>
      <c r="J33" s="84">
        <f>COUNTIFS(Equipe!F:F,"Novo",Equipe!D:D,"Técnico",Equipe!E:E,$G$2)*3</f>
        <v>24</v>
      </c>
      <c r="L33" s="100">
        <v>46388</v>
      </c>
      <c r="M33" s="102">
        <f t="shared" si="3"/>
        <v>46387</v>
      </c>
      <c r="N33" s="84">
        <f>COUNTIFS('Planejamento IED'!C:C,"&lt;"&amp;M33,'Planejamento IED'!F:F,"Embarque",'Planejamento IED'!H:H,'Embarques Vivenciais'!$L$2,'Planejamento IED'!I:I,"Novo")</f>
        <v>11</v>
      </c>
      <c r="O33" s="84">
        <f>COUNTIFS(Equipe!F:F,"Novo",Equipe!D:D,"Técnico",Equipe!E:E,$L$2)*3</f>
        <v>21</v>
      </c>
      <c r="Q33" s="100">
        <v>46388</v>
      </c>
      <c r="R33" s="102">
        <f t="shared" si="4"/>
        <v>46387</v>
      </c>
      <c r="S33" s="84">
        <f>COUNTIFS('Planejamento IED'!C:C,"&lt;"&amp;R33,'Planejamento IED'!F:F,"Embarque",'Planejamento IED'!H:H,'Embarques Vivenciais'!$Q$2,'Planejamento IED'!I:I,"Novo")</f>
        <v>9</v>
      </c>
      <c r="T33" s="84">
        <f>COUNTIFS(Equipe!F:F,"Novo",Equipe!D:D,"Técnico",Equipe!E:E,$Q$2)*3</f>
        <v>18</v>
      </c>
    </row>
    <row r="40" spans="2:20" ht="15" customHeight="1">
      <c r="O40" s="140" t="s">
        <v>380</v>
      </c>
    </row>
    <row r="76" spans="1:20" ht="15" customHeight="1">
      <c r="A76" s="110" t="s">
        <v>236</v>
      </c>
      <c r="B76" s="111" t="s">
        <v>1</v>
      </c>
      <c r="C76" s="111" t="s">
        <v>237</v>
      </c>
      <c r="D76" s="111" t="s">
        <v>238</v>
      </c>
      <c r="E76" s="112" t="s">
        <v>239</v>
      </c>
      <c r="F76" s="112" t="s">
        <v>0</v>
      </c>
      <c r="G76" s="112" t="s">
        <v>376</v>
      </c>
      <c r="H76" s="112" t="s">
        <v>381</v>
      </c>
      <c r="S76"/>
      <c r="T76"/>
    </row>
    <row r="77" spans="1:20" ht="15" customHeight="1">
      <c r="A77" s="79" t="s">
        <v>243</v>
      </c>
      <c r="B77" s="113">
        <v>4612171</v>
      </c>
      <c r="C77" s="113" t="s">
        <v>244</v>
      </c>
      <c r="D77" s="114" t="s">
        <v>245</v>
      </c>
      <c r="E77" s="115" t="s">
        <v>226</v>
      </c>
      <c r="F77" s="115" t="s">
        <v>114</v>
      </c>
      <c r="G77" s="115">
        <f ca="1">COUNTIFS('Planejamento IED'!A:A,'Embarques Vivenciais'!F77,'Planejamento IED'!F:F,"Embarque",'Planejamento IED'!C:C,"&lt;="&amp;TODAY())</f>
        <v>1</v>
      </c>
      <c r="H77" s="115">
        <f ca="1">SUMIFS('Planejamento IED'!E:E,'Planejamento IED'!A:A,F77,'Planejamento IED'!F:F,"Embarque",'Planejamento IED'!D:D,"&lt;="&amp;TODAY())</f>
        <v>3</v>
      </c>
      <c r="S77"/>
      <c r="T77"/>
    </row>
    <row r="78" spans="1:20" ht="15" customHeight="1">
      <c r="A78" s="79" t="s">
        <v>243</v>
      </c>
      <c r="B78" s="107">
        <v>4612050</v>
      </c>
      <c r="C78" s="107" t="s">
        <v>248</v>
      </c>
      <c r="D78" s="108" t="s">
        <v>245</v>
      </c>
      <c r="E78" s="109" t="s">
        <v>249</v>
      </c>
      <c r="F78" s="109" t="s">
        <v>106</v>
      </c>
      <c r="G78" s="115">
        <f ca="1">COUNTIFS('Planejamento IED'!A:A,'Embarques Vivenciais'!F78,'Planejamento IED'!F:F,"Embarque",'Planejamento IED'!C:C,"&lt;="&amp;TODAY())</f>
        <v>1</v>
      </c>
      <c r="H78" s="115">
        <f ca="1">SUMIFS('Planejamento IED'!E:E,'Planejamento IED'!A:A,F78,'Planejamento IED'!F:F,"Embarque",'Planejamento IED'!D:D,"&lt;="&amp;TODAY())</f>
        <v>14</v>
      </c>
      <c r="S78"/>
      <c r="T78"/>
    </row>
    <row r="79" spans="1:20" ht="15" customHeight="1">
      <c r="A79" s="79" t="s">
        <v>243</v>
      </c>
      <c r="B79" s="113">
        <v>4612140</v>
      </c>
      <c r="C79" s="113" t="s">
        <v>251</v>
      </c>
      <c r="D79" s="114" t="s">
        <v>245</v>
      </c>
      <c r="E79" s="115" t="s">
        <v>252</v>
      </c>
      <c r="F79" s="115" t="s">
        <v>110</v>
      </c>
      <c r="G79" s="115">
        <f ca="1">COUNTIFS('Planejamento IED'!A:A,'Embarques Vivenciais'!F79,'Planejamento IED'!F:F,"Embarque",'Planejamento IED'!C:C,"&lt;="&amp;TODAY())</f>
        <v>1</v>
      </c>
      <c r="H79" s="115">
        <f ca="1">SUMIFS('Planejamento IED'!E:E,'Planejamento IED'!A:A,F79,'Planejamento IED'!F:F,"Embarque",'Planejamento IED'!D:D,"&lt;="&amp;TODAY())</f>
        <v>7</v>
      </c>
      <c r="S79"/>
      <c r="T79"/>
    </row>
    <row r="80" spans="1:20" ht="15" customHeight="1">
      <c r="A80" s="79" t="s">
        <v>257</v>
      </c>
      <c r="B80" s="107">
        <v>4612243</v>
      </c>
      <c r="C80" s="107" t="s">
        <v>344</v>
      </c>
      <c r="D80" s="108" t="s">
        <v>245</v>
      </c>
      <c r="E80" s="109" t="s">
        <v>226</v>
      </c>
      <c r="F80" s="109" t="s">
        <v>102</v>
      </c>
      <c r="G80" s="115">
        <f ca="1">COUNTIFS('Planejamento IED'!A:A,'Embarques Vivenciais'!F80,'Planejamento IED'!F:F,"Embarque",'Planejamento IED'!C:C,"&lt;="&amp;TODAY())</f>
        <v>1</v>
      </c>
      <c r="H80" s="115">
        <f ca="1">SUMIFS('Planejamento IED'!E:E,'Planejamento IED'!A:A,F80,'Planejamento IED'!F:F,"Embarque",'Planejamento IED'!D:D,"&lt;="&amp;TODAY())</f>
        <v>14</v>
      </c>
      <c r="S80"/>
      <c r="T80"/>
    </row>
    <row r="81" spans="1:20" ht="15" customHeight="1">
      <c r="A81" s="79" t="s">
        <v>257</v>
      </c>
      <c r="B81" s="113">
        <v>4612389</v>
      </c>
      <c r="C81" s="113" t="s">
        <v>346</v>
      </c>
      <c r="D81" s="114" t="s">
        <v>245</v>
      </c>
      <c r="E81" s="109" t="s">
        <v>226</v>
      </c>
      <c r="F81" s="115" t="s">
        <v>108</v>
      </c>
      <c r="G81" s="115">
        <f ca="1">COUNTIFS('Planejamento IED'!A:A,'Embarques Vivenciais'!F81,'Planejamento IED'!F:F,"Embarque",'Planejamento IED'!C:C,"&lt;="&amp;TODAY())</f>
        <v>0</v>
      </c>
      <c r="H81" s="115">
        <f ca="1">SUMIFS('Planejamento IED'!E:E,'Planejamento IED'!A:A,F81,'Planejamento IED'!F:F,"Embarque",'Planejamento IED'!D:D,"&lt;="&amp;TODAY())</f>
        <v>0</v>
      </c>
      <c r="S81"/>
      <c r="T81"/>
    </row>
    <row r="82" spans="1:20" ht="15" customHeight="1">
      <c r="A82" s="118" t="s">
        <v>257</v>
      </c>
      <c r="B82" s="107">
        <v>4612192</v>
      </c>
      <c r="C82" s="107" t="s">
        <v>348</v>
      </c>
      <c r="D82" s="119" t="s">
        <v>245</v>
      </c>
      <c r="E82" s="120" t="s">
        <v>249</v>
      </c>
      <c r="F82" s="120" t="s">
        <v>103</v>
      </c>
      <c r="G82" s="115">
        <f ca="1">COUNTIFS('Planejamento IED'!A:A,'Embarques Vivenciais'!F82,'Planejamento IED'!F:F,"Embarque",'Planejamento IED'!C:C,"&lt;="&amp;TODAY())</f>
        <v>1</v>
      </c>
      <c r="H82" s="115">
        <f ca="1">SUMIFS('Planejamento IED'!E:E,'Planejamento IED'!A:A,F82,'Planejamento IED'!F:F,"Embarque",'Planejamento IED'!D:D,"&lt;="&amp;TODAY())</f>
        <v>0</v>
      </c>
      <c r="S82"/>
      <c r="T82"/>
    </row>
    <row r="83" spans="1:20" ht="15" customHeight="1">
      <c r="A83" s="118" t="s">
        <v>257</v>
      </c>
      <c r="B83" s="113">
        <v>4612393</v>
      </c>
      <c r="C83" s="113" t="s">
        <v>350</v>
      </c>
      <c r="D83" s="122" t="s">
        <v>245</v>
      </c>
      <c r="E83" s="115" t="s">
        <v>252</v>
      </c>
      <c r="F83" s="123" t="s">
        <v>137</v>
      </c>
      <c r="G83" s="115">
        <f ca="1">COUNTIFS('Planejamento IED'!A:A,'Embarques Vivenciais'!F83,'Planejamento IED'!F:F,"Embarque",'Planejamento IED'!C:C,"&lt;="&amp;TODAY())</f>
        <v>0</v>
      </c>
      <c r="H83" s="115">
        <f ca="1">SUMIFS('Planejamento IED'!E:E,'Planejamento IED'!A:A,F83,'Planejamento IED'!F:F,"Embarque",'Planejamento IED'!D:D,"&lt;="&amp;TODAY())</f>
        <v>0</v>
      </c>
      <c r="S83"/>
      <c r="T83"/>
    </row>
    <row r="84" spans="1:20" ht="15" customHeight="1">
      <c r="A84" s="79" t="s">
        <v>257</v>
      </c>
      <c r="B84" s="107">
        <v>4612228</v>
      </c>
      <c r="C84" s="107" t="s">
        <v>352</v>
      </c>
      <c r="D84" s="108" t="s">
        <v>245</v>
      </c>
      <c r="E84" s="120" t="s">
        <v>249</v>
      </c>
      <c r="F84" s="109" t="s">
        <v>139</v>
      </c>
      <c r="G84" s="115">
        <f ca="1">COUNTIFS('Planejamento IED'!A:A,'Embarques Vivenciais'!F84,'Planejamento IED'!F:F,"Embarque",'Planejamento IED'!C:C,"&lt;="&amp;TODAY())</f>
        <v>0</v>
      </c>
      <c r="H84" s="115">
        <f ca="1">SUMIFS('Planejamento IED'!E:E,'Planejamento IED'!A:A,F84,'Planejamento IED'!F:F,"Embarque",'Planejamento IED'!D:D,"&lt;="&amp;TODAY())</f>
        <v>0</v>
      </c>
      <c r="S84"/>
      <c r="T84"/>
    </row>
    <row r="85" spans="1:20" ht="15" customHeight="1">
      <c r="A85" s="118" t="s">
        <v>257</v>
      </c>
      <c r="B85" s="113">
        <v>4612247</v>
      </c>
      <c r="C85" s="113" t="s">
        <v>354</v>
      </c>
      <c r="D85" s="114" t="s">
        <v>245</v>
      </c>
      <c r="E85" s="115" t="s">
        <v>252</v>
      </c>
      <c r="F85" s="115" t="s">
        <v>136</v>
      </c>
      <c r="G85" s="115">
        <f ca="1">COUNTIFS('Planejamento IED'!A:A,'Embarques Vivenciais'!F85,'Planejamento IED'!F:F,"Embarque",'Planejamento IED'!C:C,"&lt;="&amp;TODAY())</f>
        <v>1</v>
      </c>
      <c r="H85" s="115">
        <f ca="1">SUMIFS('Planejamento IED'!E:E,'Planejamento IED'!A:A,F85,'Planejamento IED'!F:F,"Embarque",'Planejamento IED'!D:D,"&lt;="&amp;TODAY())</f>
        <v>12</v>
      </c>
      <c r="S85"/>
      <c r="T85"/>
    </row>
    <row r="86" spans="1:20" ht="15" customHeight="1">
      <c r="A86" s="118" t="s">
        <v>268</v>
      </c>
      <c r="B86" s="113">
        <v>4612098</v>
      </c>
      <c r="C86" s="113" t="s">
        <v>338</v>
      </c>
      <c r="D86" s="114" t="s">
        <v>245</v>
      </c>
      <c r="E86" s="115" t="s">
        <v>226</v>
      </c>
      <c r="F86" s="115" t="s">
        <v>100</v>
      </c>
      <c r="G86" s="115">
        <f ca="1">COUNTIFS('Planejamento IED'!A:A,'Embarques Vivenciais'!F86,'Planejamento IED'!F:F,"Embarque",'Planejamento IED'!C:C,"&lt;="&amp;TODAY())</f>
        <v>2</v>
      </c>
      <c r="H86" s="115">
        <f ca="1">SUMIFS('Planejamento IED'!E:E,'Planejamento IED'!A:A,F86,'Planejamento IED'!F:F,"Embarque",'Planejamento IED'!D:D,"&lt;="&amp;TODAY())</f>
        <v>24</v>
      </c>
      <c r="S86"/>
      <c r="T86"/>
    </row>
    <row r="87" spans="1:20" ht="15" customHeight="1">
      <c r="A87" s="118" t="s">
        <v>268</v>
      </c>
      <c r="B87" s="107">
        <v>4612126</v>
      </c>
      <c r="C87" s="107" t="s">
        <v>340</v>
      </c>
      <c r="D87" s="108" t="s">
        <v>245</v>
      </c>
      <c r="E87" s="109" t="s">
        <v>249</v>
      </c>
      <c r="F87" s="120" t="s">
        <v>105</v>
      </c>
      <c r="G87" s="115">
        <f ca="1">COUNTIFS('Planejamento IED'!A:A,'Embarques Vivenciais'!F87,'Planejamento IED'!F:F,"Embarque",'Planejamento IED'!C:C,"&lt;="&amp;TODAY())</f>
        <v>2</v>
      </c>
      <c r="H87" s="115">
        <f ca="1">SUMIFS('Planejamento IED'!E:E,'Planejamento IED'!A:A,F87,'Planejamento IED'!F:F,"Embarque",'Planejamento IED'!D:D,"&lt;="&amp;TODAY())</f>
        <v>28</v>
      </c>
      <c r="S87"/>
      <c r="T87"/>
    </row>
    <row r="88" spans="1:20" ht="15" customHeight="1">
      <c r="A88" s="79" t="s">
        <v>243</v>
      </c>
      <c r="B88" s="107">
        <v>9842940</v>
      </c>
      <c r="C88" s="107" t="s">
        <v>254</v>
      </c>
      <c r="D88" s="119" t="s">
        <v>245</v>
      </c>
      <c r="E88" s="120" t="s">
        <v>226</v>
      </c>
      <c r="F88" s="120" t="s">
        <v>33</v>
      </c>
      <c r="G88" s="143">
        <f ca="1">COUNTIFS('Planejamento IED'!A:A,'Embarques Vivenciais'!F88,'Planejamento IED'!F:F,"Embarque",'Planejamento IED'!C:C,"&lt;="&amp;TODAY())</f>
        <v>4</v>
      </c>
      <c r="H88" s="143">
        <f ca="1">SUMIFS('Planejamento IED'!E:E,'Planejamento IED'!A:A,F88,'Planejamento IED'!F:F,"Embarque",'Planejamento IED'!D:D,"&lt;="&amp;TODAY())</f>
        <v>45</v>
      </c>
      <c r="S88"/>
      <c r="T88"/>
    </row>
    <row r="89" spans="1:20" ht="15" customHeight="1">
      <c r="A89" s="79" t="s">
        <v>257</v>
      </c>
      <c r="B89" s="107">
        <v>4608721</v>
      </c>
      <c r="C89" s="107" t="s">
        <v>262</v>
      </c>
      <c r="D89" s="119" t="s">
        <v>245</v>
      </c>
      <c r="E89" s="120" t="s">
        <v>226</v>
      </c>
      <c r="F89" s="109" t="s">
        <v>32</v>
      </c>
      <c r="G89" s="115">
        <f ca="1">COUNTIFS('Planejamento IED'!A:A,'Embarques Vivenciais'!F89,'Planejamento IED'!F:F,"Embarque",'Planejamento IED'!C:C,"&lt;="&amp;TODAY())</f>
        <v>1</v>
      </c>
      <c r="H89" s="115">
        <f ca="1">SUMIFS('Planejamento IED'!E:E,'Planejamento IED'!A:A,F89,'Planejamento IED'!F:F,"Embarque",'Planejamento IED'!D:D,"&lt;="&amp;TODAY())</f>
        <v>5</v>
      </c>
      <c r="S89"/>
      <c r="T89"/>
    </row>
    <row r="90" spans="1:20" ht="15" customHeight="1">
      <c r="A90" s="79" t="s">
        <v>257</v>
      </c>
      <c r="B90" s="107">
        <v>4608685</v>
      </c>
      <c r="C90" s="107" t="s">
        <v>266</v>
      </c>
      <c r="D90" s="119" t="s">
        <v>245</v>
      </c>
      <c r="E90" s="120" t="s">
        <v>226</v>
      </c>
      <c r="F90" s="120" t="s">
        <v>25</v>
      </c>
      <c r="G90" s="115">
        <f ca="1">COUNTIFS('Planejamento IED'!A:A,'Embarques Vivenciais'!F90,'Planejamento IED'!F:F,"Embarque",'Planejamento IED'!C:C,"&lt;="&amp;TODAY())</f>
        <v>2</v>
      </c>
      <c r="H90" s="115">
        <f ca="1">SUMIFS('Planejamento IED'!E:E,'Planejamento IED'!A:A,F90,'Planejamento IED'!F:F,"Embarque",'Planejamento IED'!D:D,"&lt;="&amp;TODAY())</f>
        <v>27</v>
      </c>
      <c r="S90"/>
      <c r="T90"/>
    </row>
    <row r="91" spans="1:20" ht="15" customHeight="1">
      <c r="A91" s="79" t="s">
        <v>268</v>
      </c>
      <c r="B91" s="113">
        <v>4608389</v>
      </c>
      <c r="C91" s="113" t="s">
        <v>281</v>
      </c>
      <c r="D91" s="122" t="s">
        <v>245</v>
      </c>
      <c r="E91" s="123" t="s">
        <v>226</v>
      </c>
      <c r="F91" s="123" t="s">
        <v>22</v>
      </c>
      <c r="G91" s="143">
        <f ca="1">COUNTIFS('Planejamento IED'!A:A,'Embarques Vivenciais'!F91,'Planejamento IED'!F:F,"Embarque",'Planejamento IED'!C:C,"&lt;="&amp;TODAY())</f>
        <v>3</v>
      </c>
      <c r="H91" s="115">
        <f ca="1">SUMIFS('Planejamento IED'!E:E,'Planejamento IED'!A:A,F91,'Planejamento IED'!F:F,"Embarque",'Planejamento IED'!D:D,"&lt;="&amp;TODAY())</f>
        <v>33</v>
      </c>
      <c r="S91"/>
      <c r="T91"/>
    </row>
    <row r="92" spans="1:20" ht="15" customHeight="1">
      <c r="A92" s="79" t="s">
        <v>243</v>
      </c>
      <c r="B92" s="107">
        <v>4608544</v>
      </c>
      <c r="C92" s="107" t="s">
        <v>283</v>
      </c>
      <c r="D92" s="108" t="s">
        <v>245</v>
      </c>
      <c r="E92" s="109" t="s">
        <v>249</v>
      </c>
      <c r="F92" s="109" t="s">
        <v>14</v>
      </c>
      <c r="G92" s="143">
        <f ca="1">COUNTIFS('Planejamento IED'!A:A,'Embarques Vivenciais'!F92,'Planejamento IED'!F:F,"Embarque",'Planejamento IED'!C:C,"&lt;="&amp;TODAY())</f>
        <v>4</v>
      </c>
      <c r="H92" s="143">
        <f ca="1">SUMIFS('Planejamento IED'!E:E,'Planejamento IED'!A:A,F92,'Planejamento IED'!F:F,"Embarque",'Planejamento IED'!D:D,"&lt;="&amp;TODAY())</f>
        <v>46</v>
      </c>
      <c r="S92"/>
      <c r="T92"/>
    </row>
    <row r="93" spans="1:20" ht="15" customHeight="1">
      <c r="A93" s="79" t="s">
        <v>257</v>
      </c>
      <c r="B93" s="113">
        <v>4608474</v>
      </c>
      <c r="C93" s="113" t="s">
        <v>285</v>
      </c>
      <c r="D93" s="114" t="s">
        <v>245</v>
      </c>
      <c r="E93" s="115" t="s">
        <v>249</v>
      </c>
      <c r="F93" s="115" t="s">
        <v>30</v>
      </c>
      <c r="G93" s="115">
        <f ca="1">COUNTIFS('Planejamento IED'!A:A,'Embarques Vivenciais'!F93,'Planejamento IED'!F:F,"Embarque",'Planejamento IED'!C:C,"&lt;="&amp;TODAY())</f>
        <v>2</v>
      </c>
      <c r="H93" s="115">
        <f ca="1">SUMIFS('Planejamento IED'!E:E,'Planejamento IED'!A:A,F93,'Planejamento IED'!F:F,"Embarque",'Planejamento IED'!D:D,"&lt;="&amp;TODAY())</f>
        <v>19</v>
      </c>
      <c r="S93"/>
      <c r="T93"/>
    </row>
    <row r="94" spans="1:20" ht="15" customHeight="1">
      <c r="A94" s="79" t="s">
        <v>257</v>
      </c>
      <c r="B94" s="125">
        <v>4608684</v>
      </c>
      <c r="C94" s="113" t="s">
        <v>290</v>
      </c>
      <c r="D94" s="114" t="s">
        <v>245</v>
      </c>
      <c r="E94" s="123" t="s">
        <v>249</v>
      </c>
      <c r="F94" s="123" t="s">
        <v>53</v>
      </c>
      <c r="G94" s="115">
        <f ca="1">COUNTIFS('Planejamento IED'!A:A,'Embarques Vivenciais'!F94,'Planejamento IED'!F:F,"Embarque",'Planejamento IED'!C:C,"&lt;="&amp;TODAY())</f>
        <v>1</v>
      </c>
      <c r="H94" s="115">
        <f ca="1">SUMIFS('Planejamento IED'!E:E,'Planejamento IED'!A:A,F94,'Planejamento IED'!F:F,"Embarque",'Planejamento IED'!D:D,"&lt;="&amp;TODAY())</f>
        <v>6</v>
      </c>
      <c r="S94"/>
      <c r="T94"/>
    </row>
    <row r="95" spans="1:20" ht="15" customHeight="1">
      <c r="A95" s="79" t="s">
        <v>243</v>
      </c>
      <c r="B95" s="107">
        <v>4608559</v>
      </c>
      <c r="C95" s="107" t="s">
        <v>301</v>
      </c>
      <c r="D95" s="108" t="s">
        <v>245</v>
      </c>
      <c r="E95" s="80" t="s">
        <v>252</v>
      </c>
      <c r="F95" s="80" t="s">
        <v>19</v>
      </c>
      <c r="G95" s="115">
        <f ca="1">COUNTIFS('Planejamento IED'!A:A,'Embarques Vivenciais'!F95,'Planejamento IED'!F:F,"Embarque",'Planejamento IED'!C:C,"&lt;="&amp;TODAY())</f>
        <v>2</v>
      </c>
      <c r="H95" s="115">
        <f ca="1">SUMIFS('Planejamento IED'!E:E,'Planejamento IED'!A:A,F95,'Planejamento IED'!F:F,"Embarque",'Planejamento IED'!D:D,"&lt;="&amp;TODAY())</f>
        <v>15</v>
      </c>
      <c r="S95"/>
      <c r="T95"/>
    </row>
    <row r="96" spans="1:20" ht="15" customHeight="1">
      <c r="A96" s="79" t="s">
        <v>257</v>
      </c>
      <c r="B96" s="113">
        <v>4608411</v>
      </c>
      <c r="C96" s="113" t="s">
        <v>303</v>
      </c>
      <c r="D96" s="114" t="s">
        <v>245</v>
      </c>
      <c r="E96" s="81" t="s">
        <v>252</v>
      </c>
      <c r="F96" s="81" t="s">
        <v>47</v>
      </c>
      <c r="G96" s="115">
        <f ca="1">COUNTIFS('Planejamento IED'!A:A,'Embarques Vivenciais'!F96,'Planejamento IED'!F:F,"Embarque",'Planejamento IED'!C:C,"&lt;="&amp;TODAY())</f>
        <v>3</v>
      </c>
      <c r="H96" s="115">
        <f ca="1">SUMIFS('Planejamento IED'!E:E,'Planejamento IED'!A:A,F96,'Planejamento IED'!F:F,"Embarque",'Planejamento IED'!D:D,"&lt;="&amp;TODAY())</f>
        <v>20</v>
      </c>
      <c r="S96"/>
      <c r="T96"/>
    </row>
    <row r="97" spans="1:20" ht="15" customHeight="1">
      <c r="A97" s="79" t="s">
        <v>268</v>
      </c>
      <c r="B97" s="113">
        <v>4608780</v>
      </c>
      <c r="C97" s="113" t="s">
        <v>308</v>
      </c>
      <c r="D97" s="114" t="s">
        <v>245</v>
      </c>
      <c r="E97" s="81" t="s">
        <v>252</v>
      </c>
      <c r="F97" s="81" t="s">
        <v>45</v>
      </c>
      <c r="G97" s="115">
        <f ca="1">COUNTIFS('Planejamento IED'!A:A,'Embarques Vivenciais'!F97,'Planejamento IED'!F:F,"Embarque",'Planejamento IED'!C:C,"&lt;="&amp;TODAY())</f>
        <v>2</v>
      </c>
      <c r="H97" s="115">
        <f ca="1">SUMIFS('Planejamento IED'!E:E,'Planejamento IED'!A:A,F97,'Planejamento IED'!F:F,"Embarque",'Planejamento IED'!D:D,"&lt;="&amp;TODAY())</f>
        <v>10</v>
      </c>
      <c r="S97"/>
      <c r="T97"/>
    </row>
    <row r="98" spans="1:20" ht="15" customHeight="1">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4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382</v>
      </c>
      <c r="B1" s="36" t="s">
        <v>383</v>
      </c>
      <c r="C1" s="1"/>
      <c r="D1" s="2"/>
      <c r="E1" s="4"/>
      <c r="F1" s="31"/>
      <c r="H1" s="2"/>
      <c r="I1" s="50" t="s">
        <v>384</v>
      </c>
    </row>
    <row r="2" spans="1:239" ht="30" customHeight="1">
      <c r="A2" s="32" t="s">
        <v>385</v>
      </c>
      <c r="B2" s="37" t="s">
        <v>386</v>
      </c>
      <c r="I2" s="51"/>
    </row>
    <row r="3" spans="1:239" ht="33" customHeight="1">
      <c r="A3" s="32" t="s">
        <v>387</v>
      </c>
      <c r="B3" s="70" t="s">
        <v>388</v>
      </c>
      <c r="C3" s="69">
        <f>Início_do_projeto+120</f>
        <v>46051</v>
      </c>
      <c r="D3" s="68" t="s">
        <v>389</v>
      </c>
      <c r="E3" s="158">
        <v>45931</v>
      </c>
      <c r="F3" s="158"/>
      <c r="G3" s="64"/>
    </row>
    <row r="4" spans="1:239" ht="30" customHeight="1">
      <c r="A4" s="33" t="s">
        <v>390</v>
      </c>
      <c r="C4" s="159" t="s">
        <v>391</v>
      </c>
      <c r="D4" s="160"/>
      <c r="E4" s="7">
        <v>1</v>
      </c>
      <c r="I4" s="155">
        <f>I5</f>
        <v>45929</v>
      </c>
      <c r="J4" s="156"/>
      <c r="K4" s="156"/>
      <c r="L4" s="156"/>
      <c r="M4" s="156"/>
      <c r="N4" s="156"/>
      <c r="O4" s="157"/>
      <c r="P4" s="155">
        <f>P5</f>
        <v>45936</v>
      </c>
      <c r="Q4" s="156"/>
      <c r="R4" s="156"/>
      <c r="S4" s="156"/>
      <c r="T4" s="156"/>
      <c r="U4" s="156"/>
      <c r="V4" s="157"/>
      <c r="W4" s="155">
        <f>W5</f>
        <v>45943</v>
      </c>
      <c r="X4" s="156"/>
      <c r="Y4" s="156"/>
      <c r="Z4" s="156"/>
      <c r="AA4" s="156"/>
      <c r="AB4" s="156"/>
      <c r="AC4" s="157"/>
      <c r="AD4" s="155">
        <f>AD5</f>
        <v>45950</v>
      </c>
      <c r="AE4" s="156"/>
      <c r="AF4" s="156"/>
      <c r="AG4" s="156"/>
      <c r="AH4" s="156"/>
      <c r="AI4" s="156"/>
      <c r="AJ4" s="157"/>
      <c r="AK4" s="155">
        <f>AK5</f>
        <v>45957</v>
      </c>
      <c r="AL4" s="156"/>
      <c r="AM4" s="156"/>
      <c r="AN4" s="156"/>
      <c r="AO4" s="156"/>
      <c r="AP4" s="156"/>
      <c r="AQ4" s="157"/>
      <c r="AR4" s="155">
        <f>AR5</f>
        <v>45964</v>
      </c>
      <c r="AS4" s="156"/>
      <c r="AT4" s="156"/>
      <c r="AU4" s="156"/>
      <c r="AV4" s="156"/>
      <c r="AW4" s="156"/>
      <c r="AX4" s="157"/>
      <c r="AY4" s="155">
        <f>AY5</f>
        <v>45971</v>
      </c>
      <c r="AZ4" s="156"/>
      <c r="BA4" s="156"/>
      <c r="BB4" s="156"/>
      <c r="BC4" s="156"/>
      <c r="BD4" s="156"/>
      <c r="BE4" s="157"/>
      <c r="BF4" s="155">
        <f>BF5</f>
        <v>45978</v>
      </c>
      <c r="BG4" s="156"/>
      <c r="BH4" s="156"/>
      <c r="BI4" s="156"/>
      <c r="BJ4" s="156"/>
      <c r="BK4" s="156"/>
      <c r="BL4" s="157"/>
      <c r="BM4" s="155">
        <f>BM5</f>
        <v>45985</v>
      </c>
      <c r="BN4" s="156"/>
      <c r="BO4" s="156"/>
      <c r="BP4" s="156"/>
      <c r="BQ4" s="156"/>
      <c r="BR4" s="156"/>
      <c r="BS4" s="157"/>
      <c r="BT4" s="155">
        <f>BT5</f>
        <v>45992</v>
      </c>
      <c r="BU4" s="156"/>
      <c r="BV4" s="156"/>
      <c r="BW4" s="156"/>
      <c r="BX4" s="156"/>
      <c r="BY4" s="156"/>
      <c r="BZ4" s="157"/>
      <c r="CA4" s="155">
        <f>CA5</f>
        <v>45999</v>
      </c>
      <c r="CB4" s="156"/>
      <c r="CC4" s="156"/>
      <c r="CD4" s="156"/>
      <c r="CE4" s="156"/>
      <c r="CF4" s="156"/>
      <c r="CG4" s="157"/>
      <c r="CH4" s="155">
        <f>CH5</f>
        <v>46006</v>
      </c>
      <c r="CI4" s="156"/>
      <c r="CJ4" s="156"/>
      <c r="CK4" s="156"/>
      <c r="CL4" s="156"/>
      <c r="CM4" s="156"/>
      <c r="CN4" s="157"/>
      <c r="CO4" s="155">
        <f>CO5</f>
        <v>46013</v>
      </c>
      <c r="CP4" s="156"/>
      <c r="CQ4" s="156"/>
      <c r="CR4" s="156"/>
      <c r="CS4" s="156"/>
      <c r="CT4" s="156"/>
      <c r="CU4" s="157"/>
      <c r="CV4" s="155">
        <f>CV5</f>
        <v>46020</v>
      </c>
      <c r="CW4" s="156"/>
      <c r="CX4" s="156"/>
      <c r="CY4" s="156"/>
      <c r="CZ4" s="156"/>
      <c r="DA4" s="156"/>
      <c r="DB4" s="157"/>
      <c r="DC4" s="155">
        <f>DC5</f>
        <v>46027</v>
      </c>
      <c r="DD4" s="156"/>
      <c r="DE4" s="156"/>
      <c r="DF4" s="156"/>
      <c r="DG4" s="156"/>
      <c r="DH4" s="156"/>
      <c r="DI4" s="157"/>
      <c r="DJ4" s="155">
        <f>DJ5</f>
        <v>46034</v>
      </c>
      <c r="DK4" s="156"/>
      <c r="DL4" s="156"/>
      <c r="DM4" s="156"/>
      <c r="DN4" s="156"/>
      <c r="DO4" s="156"/>
      <c r="DP4" s="157"/>
      <c r="DQ4" s="155">
        <f>DQ5</f>
        <v>46041</v>
      </c>
      <c r="DR4" s="156"/>
      <c r="DS4" s="156"/>
      <c r="DT4" s="156"/>
      <c r="DU4" s="156"/>
      <c r="DV4" s="156"/>
      <c r="DW4" s="157"/>
      <c r="DX4" s="155">
        <f>DX5</f>
        <v>46048</v>
      </c>
      <c r="DY4" s="156"/>
      <c r="DZ4" s="156"/>
      <c r="EA4" s="156"/>
      <c r="EB4" s="156"/>
      <c r="EC4" s="156"/>
      <c r="ED4" s="157"/>
      <c r="EE4" s="155">
        <f t="shared" ref="EE4" si="0">EE5</f>
        <v>46055</v>
      </c>
      <c r="EF4" s="156"/>
      <c r="EG4" s="156"/>
      <c r="EH4" s="156"/>
      <c r="EI4" s="156"/>
      <c r="EJ4" s="156"/>
      <c r="EK4" s="157"/>
      <c r="EL4" s="155">
        <f t="shared" ref="EL4" si="1">EL5</f>
        <v>46062</v>
      </c>
      <c r="EM4" s="156"/>
      <c r="EN4" s="156"/>
      <c r="EO4" s="156"/>
      <c r="EP4" s="156"/>
      <c r="EQ4" s="156"/>
      <c r="ER4" s="157"/>
      <c r="ES4" s="155">
        <f t="shared" ref="ES4" si="2">ES5</f>
        <v>46069</v>
      </c>
      <c r="ET4" s="156"/>
      <c r="EU4" s="156"/>
      <c r="EV4" s="156"/>
      <c r="EW4" s="156"/>
      <c r="EX4" s="156"/>
      <c r="EY4" s="157"/>
      <c r="EZ4" s="155">
        <f t="shared" ref="EZ4" si="3">EZ5</f>
        <v>46076</v>
      </c>
      <c r="FA4" s="156"/>
      <c r="FB4" s="156"/>
      <c r="FC4" s="156"/>
      <c r="FD4" s="156"/>
      <c r="FE4" s="156"/>
      <c r="FF4" s="157"/>
      <c r="FG4" s="155">
        <f t="shared" ref="FG4" si="4">FG5</f>
        <v>46083</v>
      </c>
      <c r="FH4" s="156"/>
      <c r="FI4" s="156"/>
      <c r="FJ4" s="156"/>
      <c r="FK4" s="156"/>
      <c r="FL4" s="156"/>
      <c r="FM4" s="157"/>
      <c r="FN4" s="155">
        <f t="shared" ref="FN4" si="5">FN5</f>
        <v>46090</v>
      </c>
      <c r="FO4" s="156"/>
      <c r="FP4" s="156"/>
      <c r="FQ4" s="156"/>
      <c r="FR4" s="156"/>
      <c r="FS4" s="156"/>
      <c r="FT4" s="157"/>
      <c r="FU4" s="155">
        <f t="shared" ref="FU4" si="6">FU5</f>
        <v>46097</v>
      </c>
      <c r="FV4" s="156"/>
      <c r="FW4" s="156"/>
      <c r="FX4" s="156"/>
      <c r="FY4" s="156"/>
      <c r="FZ4" s="156"/>
      <c r="GA4" s="157"/>
      <c r="GB4" s="155">
        <f t="shared" ref="GB4" si="7">GB5</f>
        <v>46104</v>
      </c>
      <c r="GC4" s="156"/>
      <c r="GD4" s="156"/>
      <c r="GE4" s="156"/>
      <c r="GF4" s="156"/>
      <c r="GG4" s="156"/>
      <c r="GH4" s="157"/>
      <c r="GI4" s="155">
        <f t="shared" ref="GI4" si="8">GI5</f>
        <v>46111</v>
      </c>
      <c r="GJ4" s="156"/>
      <c r="GK4" s="156"/>
      <c r="GL4" s="156"/>
      <c r="GM4" s="156"/>
      <c r="GN4" s="156"/>
      <c r="GO4" s="157"/>
      <c r="GP4" s="155">
        <f t="shared" ref="GP4" si="9">GP5</f>
        <v>46118</v>
      </c>
      <c r="GQ4" s="156"/>
      <c r="GR4" s="156"/>
      <c r="GS4" s="156"/>
      <c r="GT4" s="156"/>
      <c r="GU4" s="156"/>
      <c r="GV4" s="157"/>
      <c r="GW4" s="155">
        <f t="shared" ref="GW4" si="10">GW5</f>
        <v>46125</v>
      </c>
      <c r="GX4" s="156"/>
      <c r="GY4" s="156"/>
      <c r="GZ4" s="156"/>
      <c r="HA4" s="156"/>
      <c r="HB4" s="156"/>
      <c r="HC4" s="157"/>
      <c r="HD4" s="155">
        <f t="shared" ref="HD4" si="11">HD5</f>
        <v>46132</v>
      </c>
      <c r="HE4" s="156"/>
      <c r="HF4" s="156"/>
      <c r="HG4" s="156"/>
      <c r="HH4" s="156"/>
      <c r="HI4" s="156"/>
      <c r="HJ4" s="157"/>
      <c r="HK4" s="155">
        <f t="shared" ref="HK4" si="12">HK5</f>
        <v>46139</v>
      </c>
      <c r="HL4" s="156"/>
      <c r="HM4" s="156"/>
      <c r="HN4" s="156"/>
      <c r="HO4" s="156"/>
      <c r="HP4" s="156"/>
      <c r="HQ4" s="157"/>
      <c r="HR4" s="155">
        <f t="shared" ref="HR4" si="13">HR5</f>
        <v>46146</v>
      </c>
      <c r="HS4" s="156"/>
      <c r="HT4" s="156"/>
      <c r="HU4" s="156"/>
      <c r="HV4" s="156"/>
      <c r="HW4" s="156"/>
      <c r="HX4" s="157"/>
      <c r="HY4" s="155">
        <f t="shared" ref="HY4" si="14">HY5</f>
        <v>46153</v>
      </c>
      <c r="HZ4" s="156"/>
      <c r="IA4" s="156"/>
      <c r="IB4" s="156"/>
      <c r="IC4" s="156"/>
      <c r="ID4" s="156"/>
      <c r="IE4" s="157"/>
    </row>
    <row r="5" spans="1:239" ht="15" customHeight="1">
      <c r="A5" s="33" t="s">
        <v>392</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393</v>
      </c>
      <c r="B6" s="8" t="s">
        <v>394</v>
      </c>
      <c r="C6" s="9" t="s">
        <v>395</v>
      </c>
      <c r="D6" s="9" t="s">
        <v>396</v>
      </c>
      <c r="E6" s="9" t="s">
        <v>397</v>
      </c>
      <c r="F6" s="9" t="s">
        <v>398</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399</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400</v>
      </c>
      <c r="B8" s="15" t="s">
        <v>401</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402</v>
      </c>
      <c r="B9" s="45" t="s">
        <v>403</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404</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405</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406</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407</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408</v>
      </c>
      <c r="B16" s="18" t="s">
        <v>409</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403</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406</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407</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410</v>
      </c>
      <c r="B23" s="21" t="s">
        <v>411</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403</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406</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407</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412</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413</v>
      </c>
      <c r="B31" s="24" t="s">
        <v>414</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0C6DA31E-C450-4A22-A430-196FD463FC2E}"/>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Julio Cesar de Souza Fassarela</cp:lastModifiedBy>
  <cp:revision/>
  <dcterms:created xsi:type="dcterms:W3CDTF">2021-12-14T20:18:50Z</dcterms:created>
  <dcterms:modified xsi:type="dcterms:W3CDTF">2025-12-22T11:10:09Z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